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SuppXLS\"/>
    </mc:Choice>
  </mc:AlternateContent>
  <xr:revisionPtr revIDLastSave="0" documentId="8_{7471876E-C41E-4709-AD76-8FB66AACA0B2}" xr6:coauthVersionLast="47" xr6:coauthVersionMax="47" xr10:uidLastSave="{00000000-0000-0000-0000-000000000000}"/>
  <bookViews>
    <workbookView xWindow="-98" yWindow="-98" windowWidth="28996" windowHeight="17475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24" sheetId="8" r:id="rId7"/>
    <sheet name="ts_036" sheetId="9" r:id="rId8"/>
    <sheet name="ts_048" sheetId="10" r:id="rId9"/>
    <sheet name="ts_annual" sheetId="11" r:id="rId10"/>
    <sheet name="ts_12t" sheetId="12" r:id="rId11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<sst xmlns="http://schemas.openxmlformats.org/spreadsheetml/2006/main" count="33998" uniqueCount="337">
  <si>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</si>
  <si>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</si>
  <si>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</si>
  <si>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</si>
  <si>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</si>
  <si>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</si>
  <si>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</si>
  <si>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</si>
  <si>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</si>
  <si>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</si>
  <si>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</si>
  <si>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</si>
  <si>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</si>
  <si>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</si>
  <si>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</si>
  <si>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</si>
  <si>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</si>
  <si>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</si>
  <si>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</si>
  <si>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</si>
  <si>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</si>
  <si>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</si>
  <si>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</si>
  <si>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</si>
  <si>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</si>
  <si>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</si>
  <si>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</si>
  <si>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</si>
  <si>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</si>
  <si>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</si>
  <si>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</si>
  <si>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</si>
  <si>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</si>
  <si>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</si>
  <si>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</si>
  <si>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</si>
  <si>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</si>
  <si>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</si>
  <si>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</si>
  <si>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</si>
  <si>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</si>
  <si>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</si>
  <si>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</si>
  <si>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</si>
  <si>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</si>
  <si>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</si>
  <si>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</si>
  <si>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</si>
  <si>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</si>
  <si>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</si>
  <si>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</si>
  <si>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</si>
  <si>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</si>
  <si>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</si>
  <si>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</si>
  <si>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</si>
  <si>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</si>
  <si>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</si>
  <si>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</si>
  <si>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</si>
  <si>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</si>
  <si>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</si>
  <si>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</si>
  <si>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</si>
  <si>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</si>
  <si>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</si>
  <si>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</si>
  <si>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</si>
  <si>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</si>
  <si>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</si>
  <si>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</si>
  <si>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</si>
  <si>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</si>
  <si>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</si>
  <si>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</si>
  <si>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</si>
  <si>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</si>
  <si>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</si>
  <si>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</si>
  <si>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</si>
  <si>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</si>
  <si>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</si>
  <si>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</si>
  <si>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</si>
  <si>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</si>
  <si>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</si>
  <si>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</si>
  <si>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</si>
  <si>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</si>
  <si>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</si>
  <si>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</si>
  <si>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</si>
  <si>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</si>
  <si>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</si>
  <si>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</si>
  <si>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</si>
  <si>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</si>
  <si>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</si>
  <si>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</si>
  <si>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</si>
  <si>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</si>
  <si>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</si>
  <si>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</si>
  <si>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</si>
  <si>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</si>
  <si>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</si>
  <si>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</si>
  <si>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</si>
  <si>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</si>
  <si>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</si>
  <si>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</si>
  <si>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</si>
  <si>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</si>
  <si>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</si>
  <si>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</si>
  <si>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</si>
  <si>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</si>
  <si>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</si>
  <si>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</si>
  <si>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</si>
  <si>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</si>
  <si>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</si>
  <si>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</si>
  <si>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</si>
  <si>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</si>
  <si>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</si>
  <si>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</si>
  <si>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</si>
  <si>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</si>
  <si>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</si>
  <si>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</si>
  <si>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</si>
  <si>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</si>
  <si>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ZAF</t>
  </si>
  <si>
    <t>R10AFRICA</t>
  </si>
  <si>
    <t>Limited gas, abundant cheap coal</t>
  </si>
  <si>
    <t>1-25,36-40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</si>
  <si>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</si>
  <si>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</si>
  <si>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</si>
  <si>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</si>
  <si>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</si>
  <si>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</si>
  <si>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</si>
  <si>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</si>
  <si>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</t>
  </si>
  <si>
    <t>S02</t>
  </si>
  <si>
    <t>H02</t>
  </si>
  <si>
    <t>S03</t>
  </si>
  <si>
    <t>H03</t>
  </si>
  <si>
    <t>com_fr</t>
  </si>
  <si>
    <t>elc_spv_ZAF_001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</si>
  <si>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</si>
  <si>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</si>
  <si>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</si>
  <si>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</si>
  <si>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</si>
  <si>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</si>
  <si>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</si>
  <si>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</si>
  <si>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</si>
  <si>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</si>
  <si>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</si>
  <si>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</si>
  <si>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</si>
  <si>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</si>
  <si>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</si>
  <si>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</si>
  <si>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</si>
  <si>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</si>
  <si>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</si>
  <si>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</si>
  <si>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</si>
  <si>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</si>
  <si>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</si>
  <si>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</si>
  <si>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</si>
  <si>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</si>
  <si>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</si>
  <si>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</si>
  <si>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</si>
  <si>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</si>
  <si>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</si>
  <si>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</si>
  <si>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</si>
  <si>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</si>
  <si>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</si>
  <si>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</si>
  <si>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</si>
  <si>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</si>
  <si>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</si>
  <si>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</si>
  <si>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</si>
  <si>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</si>
  <si>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</si>
  <si>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</si>
  <si>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</si>
  <si>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</si>
  <si>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</si>
  <si>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</si>
  <si>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</si>
  <si>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</si>
  <si>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</si>
  <si>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</si>
  <si>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</si>
  <si>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</si>
  <si>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</si>
  <si>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</si>
  <si>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</si>
  <si>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</si>
  <si>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</si>
  <si>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</si>
  <si>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</si>
  <si>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</si>
  <si>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</si>
  <si>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</si>
  <si>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</si>
  <si>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</si>
  <si>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</si>
  <si>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</si>
  <si>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</si>
  <si>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</si>
  <si>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</si>
  <si>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</si>
  <si>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</si>
  <si>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</si>
  <si>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</si>
  <si>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</si>
  <si>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</si>
  <si>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</si>
  <si>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</si>
  <si>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</si>
  <si>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</si>
  <si>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</si>
  <si>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</si>
  <si>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</si>
  <si>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</si>
  <si>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</si>
  <si>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</si>
  <si>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</si>
  <si>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</si>
  <si>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</si>
  <si>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</si>
  <si>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</si>
  <si>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</si>
  <si>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</si>
  <si>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</si>
  <si>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</si>
  <si>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</si>
  <si>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</si>
  <si>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</si>
  <si>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</si>
  <si>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</si>
  <si>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</si>
  <si>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</si>
  <si>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</si>
  <si>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</si>
  <si>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</si>
  <si>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</si>
  <si>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</si>
  <si>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</si>
  <si>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</si>
  <si>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</si>
  <si>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</si>
  <si>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</si>
  <si>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</si>
  <si>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g_yrfr</t>
  </si>
  <si>
    <t>day_night</t>
  </si>
  <si>
    <t>D</t>
  </si>
  <si>
    <t>S03aH02,S02aH02,S01aH02</t>
  </si>
  <si>
    <t>N</t>
  </si>
  <si>
    <t>S01aH01,S01aH03,S02aH01,S03aH01,S03aH03,S02aH03</t>
  </si>
  <si>
    <t>com_pkflx</t>
  </si>
  <si>
    <t>ncap_afs</t>
  </si>
  <si>
    <t>pset_ci</t>
  </si>
  <si>
    <t>hydro</t>
  </si>
  <si>
    <t>H04</t>
  </si>
  <si>
    <t>H05</t>
  </si>
  <si>
    <t>H06</t>
  </si>
  <si>
    <t>ts_024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</si>
  <si>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</si>
  <si>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</si>
  <si>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</si>
  <si>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</si>
  <si>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</si>
  <si>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</si>
  <si>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</si>
  <si>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</si>
  <si>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</si>
  <si>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S02aH04,S02aH03,S03aH03,S01aH04,S03aH02,S02aH02,S03aH04,S01aH03,S01aH02</t>
  </si>
  <si>
    <t>S02aH06,S03aH05,S01aH01,S02aH01,S01aH06,S02aH05,S03aH01,S01aH05,S03aH06</t>
  </si>
  <si>
    <t>S01,S02,S03,S04</t>
  </si>
  <si>
    <t>S04</t>
  </si>
  <si>
    <t>ts_036</t>
  </si>
  <si>
    <t>S04aH01</t>
  </si>
  <si>
    <t>S04aH02</t>
  </si>
  <si>
    <t>S04aH03</t>
  </si>
  <si>
    <t>S04aH04</t>
  </si>
  <si>
    <t>S04aH05</t>
  </si>
  <si>
    <t>S04aH06</t>
  </si>
  <si>
    <t>S02aH04,S03aH04,S02aH02,S03aH02,S01aH03,S01aH04,S04aH03,S02aH03,S01aH02,S04aH04,S03aH03,S04aH02</t>
  </si>
  <si>
    <t>S02aH05,S02aH06,S03aH05,S03aH01,S02aH01,S01aH01,S04aH01,S04aH06,S01aH05,S03aH06,S01aH06,S04aH05</t>
  </si>
  <si>
    <t>H07</t>
  </si>
  <si>
    <t>H08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</si>
  <si>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</si>
  <si>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</si>
  <si>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</si>
  <si>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</si>
  <si>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</si>
  <si>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</si>
  <si>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</si>
  <si>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</si>
  <si>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S01aH03,S04aH06,S02aH04,S02aH05,S01aH04,S03aH04,S02aH06,S03aH05,S03aH03,S03aH02,S01aH02,S04aH04,S01aH06,S02aH03,S04aH03,S01aH05,S03aH06,S02aH02,S04aH05,S04aH02</t>
  </si>
  <si>
    <t>S03aH08,S04aH07,S04aH08,S01aH07,S02aH07,S01aH08,S02aH08,S03aH07,S01aH01,S04aH01,S02aH01,S03aH01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</si>
  <si>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</si>
  <si>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</si>
  <si>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</si>
  <si>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</si>
  <si>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</si>
  <si>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</si>
  <si>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</si>
  <si>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</si>
  <si>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</si>
  <si>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</si>
  <si>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</si>
  <si>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</si>
  <si>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</si>
  <si>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</si>
  <si>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</si>
  <si>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</si>
  <si>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</si>
  <si>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</si>
  <si>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</si>
  <si>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</si>
  <si>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</si>
  <si>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WaP,SaD,RaD,FaP,SaP,RaP,WaD,FaD</t>
  </si>
  <si>
    <t>SaN,WaN,WaP,RaN,FaP,SaP,FaN,RaP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</si>
</sst>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229.26</c:v>
                </c:pt>
                <c:pt idx="1">
                  <c:v>291.16019999999997</c:v>
                </c:pt>
                <c:pt idx="2">
                  <c:v>385.15679999999998</c:v>
                </c:pt>
                <c:pt idx="3">
                  <c:v>518.12759999999992</c:v>
                </c:pt>
                <c:pt idx="4">
                  <c:v>669.43919999999991</c:v>
                </c:pt>
                <c:pt idx="5">
                  <c:v>1027.0848000000001</c:v>
                </c:pt>
                <c:pt idx="6">
                  <c:v>1377.8525999999999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workbookViewId="0">
      <selection activeCell="A11" sqref="A1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136</v>
      </c>
      <c r="H1">
        <v>8</v>
      </c>
      <c r="I1">
        <v>13</v>
      </c>
      <c r="J1">
        <v>18</v>
      </c>
      <c r="K1">
        <v>23</v>
      </c>
      <c r="L1">
        <v>28</v>
      </c>
      <c r="M1">
        <v>33</v>
      </c>
      <c r="N1">
        <v>38</v>
      </c>
    </row>
    <row r="2" spans="1:39" x14ac:dyDescent="0.45">
      <c r="D2" s="1" t="str">
        <f>"~Inputcell: "&amp;_xlfn.TEXTJOIN(",",TRUE,G1:EE1)</f>
        <v>~Inputcell: 1-25,36-40,8,13,18,23,28,33,38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5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5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5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229.26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5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229.26</v>
      </c>
      <c r="U14" s="8">
        <f t="shared" ref="U14:Z14" si="4">$S$12*J15</f>
        <v>291.16019999999997</v>
      </c>
      <c r="V14" s="8">
        <f t="shared" si="4"/>
        <v>385.15679999999998</v>
      </c>
      <c r="W14" s="8">
        <f t="shared" si="4"/>
        <v>518.12759999999992</v>
      </c>
      <c r="X14" s="8">
        <f t="shared" si="4"/>
        <v>669.43919999999991</v>
      </c>
      <c r="Y14" s="8">
        <f t="shared" si="4"/>
        <v>1027.0848000000001</v>
      </c>
      <c r="Z14" s="8">
        <f t="shared" si="4"/>
        <v>1377.8525999999999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5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5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5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5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5.1812759999999995</v>
      </c>
      <c r="X18" s="6">
        <f t="shared" si="8"/>
        <v>13.388783999999999</v>
      </c>
      <c r="Y18" s="6">
        <f t="shared" si="8"/>
        <v>20.541696000000002</v>
      </c>
      <c r="Z18" s="6">
        <f t="shared" si="8"/>
        <v>41.335577999999998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5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8"/>
        <v>112.33739999999999</v>
      </c>
      <c r="U19" s="6">
        <f t="shared" si="8"/>
        <v>131.02208999999999</v>
      </c>
      <c r="V19" s="6">
        <f t="shared" si="8"/>
        <v>165.617424</v>
      </c>
      <c r="W19" s="6">
        <f t="shared" si="8"/>
        <v>217.61359199999995</v>
      </c>
      <c r="X19" s="6">
        <f t="shared" si="8"/>
        <v>267.77567999999997</v>
      </c>
      <c r="Y19" s="6">
        <f t="shared" si="8"/>
        <v>421.10476800000004</v>
      </c>
      <c r="Z19" s="6">
        <f t="shared" si="8"/>
        <v>523.58398799999998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5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8"/>
        <v>112.33739999999999</v>
      </c>
      <c r="U20" s="6">
        <f t="shared" si="8"/>
        <v>151.40330399999999</v>
      </c>
      <c r="V20" s="6">
        <f t="shared" si="8"/>
        <v>207.98467199999999</v>
      </c>
      <c r="W20" s="6">
        <f t="shared" si="8"/>
        <v>264.24507599999998</v>
      </c>
      <c r="X20" s="6">
        <f t="shared" si="8"/>
        <v>341.41399199999995</v>
      </c>
      <c r="Y20" s="6">
        <f t="shared" si="8"/>
        <v>493.00070400000004</v>
      </c>
      <c r="Z20" s="6">
        <f t="shared" si="8"/>
        <v>647.59072199999991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5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2.2925999999999997</v>
      </c>
      <c r="U21" s="6">
        <f t="shared" ref="U21:Z21" si="9">T21</f>
        <v>2.2925999999999997</v>
      </c>
      <c r="V21" s="6">
        <f t="shared" si="9"/>
        <v>2.2925999999999997</v>
      </c>
      <c r="W21" s="6">
        <f t="shared" si="9"/>
        <v>2.2925999999999997</v>
      </c>
      <c r="X21" s="6">
        <f t="shared" si="9"/>
        <v>2.2925999999999997</v>
      </c>
      <c r="Y21" s="6">
        <f t="shared" si="9"/>
        <v>2.2925999999999997</v>
      </c>
      <c r="Z21" s="6">
        <f t="shared" si="9"/>
        <v>2.2925999999999997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5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2.2926000000000215</v>
      </c>
      <c r="U22" s="6">
        <f t="shared" si="10"/>
        <v>6.4422059999999988</v>
      </c>
      <c r="V22" s="6">
        <f t="shared" si="10"/>
        <v>9.2621040000000221</v>
      </c>
      <c r="W22" s="6">
        <f t="shared" si="10"/>
        <v>33.976331999999957</v>
      </c>
      <c r="X22" s="6">
        <f t="shared" si="10"/>
        <v>57.956927999999948</v>
      </c>
      <c r="Y22" s="6">
        <f t="shared" si="10"/>
        <v>110.68672800000002</v>
      </c>
      <c r="Z22" s="6">
        <f t="shared" si="10"/>
        <v>204.38529000000017</v>
      </c>
      <c r="AA22" t="s">
        <v>17</v>
      </c>
      <c r="AJ22" s="10">
        <f t="shared" si="6"/>
        <v>3</v>
      </c>
    </row>
    <row r="23" spans="1:36" x14ac:dyDescent="0.45">
      <c r="A23">
        <v>5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5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6"/>
        <v>4</v>
      </c>
    </row>
    <row r="25" spans="1:36" ht="14.65" customHeight="1" x14ac:dyDescent="0.45">
      <c r="A25">
        <v>5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5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5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5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10.76</v>
      </c>
      <c r="S28" t="s">
        <v>32</v>
      </c>
      <c r="T28" s="3">
        <f>Q28</f>
        <v>10.76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5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-12.27</v>
      </c>
      <c r="S29" t="s">
        <v>35</v>
      </c>
      <c r="T29" s="3">
        <f>-1*Q29</f>
        <v>12.27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5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5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5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5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5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5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5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5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6"/>
        <v>6</v>
      </c>
    </row>
    <row r="38" spans="1:36" x14ac:dyDescent="0.45">
      <c r="A38">
        <v>5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6"/>
        <v>6</v>
      </c>
    </row>
    <row r="39" spans="1:36" x14ac:dyDescent="0.45">
      <c r="A39">
        <v>5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6"/>
        <v>7</v>
      </c>
    </row>
    <row r="40" spans="1:36" x14ac:dyDescent="0.45">
      <c r="A40">
        <v>5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6"/>
        <v>7</v>
      </c>
    </row>
    <row r="41" spans="1:36" x14ac:dyDescent="0.45">
      <c r="A41">
        <v>5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5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5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5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5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25.75</v>
      </c>
      <c r="J45">
        <f t="shared" si="13"/>
        <v>26.78</v>
      </c>
      <c r="K45">
        <f t="shared" si="13"/>
        <v>35.277500000000003</v>
      </c>
      <c r="L45">
        <f t="shared" si="13"/>
        <v>33.475000000000001</v>
      </c>
      <c r="M45">
        <f t="shared" si="13"/>
        <v>39.912500000000001</v>
      </c>
      <c r="N45">
        <f t="shared" si="13"/>
        <v>41.972499999999997</v>
      </c>
      <c r="O45">
        <f t="shared" si="13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6"/>
        <v>8</v>
      </c>
    </row>
    <row r="46" spans="1:36" x14ac:dyDescent="0.45">
      <c r="A46">
        <v>5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9.1499999999999986</v>
      </c>
      <c r="J46">
        <f t="shared" si="13"/>
        <v>9.8819999999999997</v>
      </c>
      <c r="K46">
        <f t="shared" si="13"/>
        <v>10.979999999999999</v>
      </c>
      <c r="L46">
        <f t="shared" si="13"/>
        <v>12.260999999999999</v>
      </c>
      <c r="M46">
        <f t="shared" si="13"/>
        <v>13.907999999999998</v>
      </c>
      <c r="N46">
        <f t="shared" si="13"/>
        <v>13.358999999999998</v>
      </c>
      <c r="O46">
        <f t="shared" si="13"/>
        <v>14.365499999999999</v>
      </c>
      <c r="R46">
        <f>HLOOKUP($G46&amp;"_"&amp;R$44,fuel_prices!$B$10:$I$11,2,FALSE)</f>
        <v>7.6</v>
      </c>
      <c r="S46">
        <f>HLOOKUP($G46&amp;"_"&amp;S$44,fuel_prices!$B$10:$I$11,2,FALSE)</f>
        <v>10.7</v>
      </c>
      <c r="AJ46" s="10">
        <f t="shared" si="6"/>
        <v>8</v>
      </c>
    </row>
    <row r="47" spans="1:36" x14ac:dyDescent="0.45">
      <c r="A47">
        <v>5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50</v>
      </c>
      <c r="J47">
        <f t="shared" si="13"/>
        <v>57.499999999999993</v>
      </c>
      <c r="K47">
        <f t="shared" si="13"/>
        <v>80</v>
      </c>
      <c r="L47">
        <f t="shared" si="13"/>
        <v>66.5</v>
      </c>
      <c r="M47">
        <f t="shared" si="13"/>
        <v>73.5</v>
      </c>
      <c r="N47">
        <f t="shared" si="13"/>
        <v>80.5</v>
      </c>
      <c r="O47">
        <f t="shared" si="13"/>
        <v>88.5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6"/>
        <v>8</v>
      </c>
    </row>
    <row r="48" spans="1:36" x14ac:dyDescent="0.45">
      <c r="A48">
        <v>5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22</v>
      </c>
      <c r="O48">
        <f>VLOOKUP($E$5,$AK$9:$AM$15,3,FALSE)*I48</f>
        <v>66</v>
      </c>
      <c r="R48">
        <f>HLOOKUP($G48&amp;"_"&amp;R$44,fuel_prices!$B$10:$I$11,2,FALSE)</f>
        <v>18</v>
      </c>
      <c r="S48">
        <f>HLOOKUP($G48&amp;"_"&amp;S$44,fuel_prices!$B$10:$I$11,2,FALSE)</f>
        <v>26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20.6</v>
      </c>
      <c r="C11">
        <v>30.9</v>
      </c>
      <c r="D11">
        <v>7.6</v>
      </c>
      <c r="E11">
        <v>10.7</v>
      </c>
      <c r="F11">
        <v>45</v>
      </c>
      <c r="G11">
        <v>55</v>
      </c>
      <c r="H11">
        <v>18</v>
      </c>
      <c r="I11">
        <v>26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142.38999999999999</v>
      </c>
      <c r="D11">
        <v>49.83</v>
      </c>
      <c r="E11">
        <v>3.43</v>
      </c>
      <c r="F11">
        <v>0.03</v>
      </c>
      <c r="G11">
        <v>15.72</v>
      </c>
      <c r="H11">
        <v>-3.39</v>
      </c>
      <c r="I11">
        <v>207.84</v>
      </c>
    </row>
    <row r="12" spans="1:9" x14ac:dyDescent="0.45">
      <c r="A12" t="s">
        <v>133</v>
      </c>
      <c r="B12">
        <v>2001</v>
      </c>
      <c r="C12">
        <v>146.94</v>
      </c>
      <c r="D12">
        <v>57.1</v>
      </c>
      <c r="E12">
        <v>3.48</v>
      </c>
      <c r="F12">
        <v>0.02</v>
      </c>
      <c r="G12">
        <v>9.1999999999999993</v>
      </c>
      <c r="H12">
        <v>-7</v>
      </c>
      <c r="I12">
        <v>208.17</v>
      </c>
    </row>
    <row r="13" spans="1:9" x14ac:dyDescent="0.45">
      <c r="A13" t="s">
        <v>133</v>
      </c>
      <c r="B13">
        <v>2002</v>
      </c>
      <c r="C13">
        <v>154.36000000000001</v>
      </c>
      <c r="D13">
        <v>53.29</v>
      </c>
      <c r="E13">
        <v>3.3</v>
      </c>
      <c r="F13">
        <v>0.02</v>
      </c>
      <c r="G13">
        <v>9.5</v>
      </c>
      <c r="H13">
        <v>-7.24</v>
      </c>
      <c r="I13">
        <v>218.56</v>
      </c>
    </row>
    <row r="14" spans="1:9" x14ac:dyDescent="0.45">
      <c r="A14" t="s">
        <v>133</v>
      </c>
      <c r="B14">
        <v>2003</v>
      </c>
      <c r="C14">
        <v>149.13999999999999</v>
      </c>
      <c r="D14">
        <v>60.29</v>
      </c>
      <c r="E14">
        <v>3.27</v>
      </c>
      <c r="F14">
        <v>0.02</v>
      </c>
      <c r="G14">
        <v>8.19</v>
      </c>
      <c r="H14">
        <v>-10.26</v>
      </c>
      <c r="I14">
        <v>231.25</v>
      </c>
    </row>
    <row r="15" spans="1:9" x14ac:dyDescent="0.45">
      <c r="A15" t="s">
        <v>133</v>
      </c>
      <c r="B15">
        <v>2004</v>
      </c>
      <c r="C15">
        <v>161.47999999999999</v>
      </c>
      <c r="D15">
        <v>67.38</v>
      </c>
      <c r="E15">
        <v>3.29</v>
      </c>
      <c r="F15">
        <v>0.02</v>
      </c>
      <c r="G15">
        <v>9.82</v>
      </c>
      <c r="H15">
        <v>-13.25</v>
      </c>
      <c r="I15">
        <v>240.93</v>
      </c>
    </row>
    <row r="16" spans="1:9" x14ac:dyDescent="0.45">
      <c r="A16" t="s">
        <v>133</v>
      </c>
      <c r="B16">
        <v>2005</v>
      </c>
      <c r="C16">
        <v>155.32</v>
      </c>
      <c r="D16">
        <v>69.59</v>
      </c>
      <c r="E16">
        <v>3.28</v>
      </c>
      <c r="F16">
        <v>0.02</v>
      </c>
      <c r="G16">
        <v>11.08</v>
      </c>
      <c r="H16">
        <v>-13.42</v>
      </c>
      <c r="I16">
        <v>242.06</v>
      </c>
    </row>
    <row r="17" spans="1:9" x14ac:dyDescent="0.45">
      <c r="A17" t="s">
        <v>133</v>
      </c>
      <c r="B17">
        <v>2006</v>
      </c>
      <c r="C17">
        <v>161.09</v>
      </c>
      <c r="D17">
        <v>74.34</v>
      </c>
      <c r="E17">
        <v>3.28</v>
      </c>
      <c r="F17">
        <v>0.02</v>
      </c>
      <c r="G17">
        <v>10.62</v>
      </c>
      <c r="H17">
        <v>-13.59</v>
      </c>
      <c r="I17">
        <v>250.85</v>
      </c>
    </row>
    <row r="18" spans="1:9" x14ac:dyDescent="0.45">
      <c r="A18" t="s">
        <v>133</v>
      </c>
      <c r="B18">
        <v>2007</v>
      </c>
      <c r="C18">
        <v>165.17</v>
      </c>
      <c r="D18">
        <v>77.16</v>
      </c>
      <c r="E18">
        <v>3.15</v>
      </c>
      <c r="F18">
        <v>0.02</v>
      </c>
      <c r="G18">
        <v>11.35</v>
      </c>
      <c r="H18">
        <v>-14.5</v>
      </c>
      <c r="I18">
        <v>260.5</v>
      </c>
    </row>
    <row r="19" spans="1:9" x14ac:dyDescent="0.45">
      <c r="A19" t="s">
        <v>133</v>
      </c>
      <c r="B19">
        <v>2008</v>
      </c>
      <c r="C19">
        <v>166.07</v>
      </c>
      <c r="D19">
        <v>75.489999999999995</v>
      </c>
      <c r="E19">
        <v>3.09</v>
      </c>
      <c r="F19">
        <v>0.02</v>
      </c>
      <c r="G19">
        <v>10.57</v>
      </c>
      <c r="H19">
        <v>-14.17</v>
      </c>
      <c r="I19">
        <v>255.52</v>
      </c>
    </row>
    <row r="20" spans="1:9" x14ac:dyDescent="0.45">
      <c r="A20" t="s">
        <v>133</v>
      </c>
      <c r="B20">
        <v>2009</v>
      </c>
      <c r="C20">
        <v>165.68</v>
      </c>
      <c r="D20">
        <v>73.45</v>
      </c>
      <c r="E20">
        <v>2.9</v>
      </c>
      <c r="F20">
        <v>0.02</v>
      </c>
      <c r="G20">
        <v>12.3</v>
      </c>
      <c r="H20">
        <v>-14.05</v>
      </c>
      <c r="I20">
        <v>246.82</v>
      </c>
    </row>
    <row r="21" spans="1:9" x14ac:dyDescent="0.45">
      <c r="A21" t="s">
        <v>133</v>
      </c>
      <c r="B21">
        <v>2010</v>
      </c>
      <c r="C21">
        <v>171.41</v>
      </c>
      <c r="D21">
        <v>76.430000000000007</v>
      </c>
      <c r="E21">
        <v>2.94</v>
      </c>
      <c r="F21">
        <v>0.02</v>
      </c>
      <c r="G21">
        <v>12.19</v>
      </c>
      <c r="H21">
        <v>-14.67</v>
      </c>
      <c r="I21">
        <v>256.64999999999998</v>
      </c>
    </row>
    <row r="22" spans="1:9" x14ac:dyDescent="0.45">
      <c r="A22" t="s">
        <v>133</v>
      </c>
      <c r="B22">
        <v>2011</v>
      </c>
      <c r="C22">
        <v>171.22</v>
      </c>
      <c r="D22">
        <v>76.88</v>
      </c>
      <c r="E22">
        <v>3.12</v>
      </c>
      <c r="F22">
        <v>0.03</v>
      </c>
      <c r="G22">
        <v>11.89</v>
      </c>
      <c r="H22">
        <v>-14.96</v>
      </c>
      <c r="I22">
        <v>259.58</v>
      </c>
    </row>
    <row r="23" spans="1:9" x14ac:dyDescent="0.45">
      <c r="A23" t="s">
        <v>133</v>
      </c>
      <c r="B23">
        <v>2012</v>
      </c>
      <c r="C23">
        <v>166.95</v>
      </c>
      <c r="D23">
        <v>73.7</v>
      </c>
      <c r="E23">
        <v>3.21</v>
      </c>
      <c r="F23">
        <v>0.03</v>
      </c>
      <c r="G23">
        <v>10.01</v>
      </c>
      <c r="H23">
        <v>-15.04</v>
      </c>
      <c r="I23">
        <v>254.91</v>
      </c>
    </row>
    <row r="24" spans="1:9" x14ac:dyDescent="0.45">
      <c r="A24" t="s">
        <v>133</v>
      </c>
      <c r="B24">
        <v>2013</v>
      </c>
      <c r="C24">
        <v>166.45</v>
      </c>
      <c r="D24">
        <v>73.319999999999993</v>
      </c>
      <c r="E24">
        <v>3.12</v>
      </c>
      <c r="F24">
        <v>0.03</v>
      </c>
      <c r="G24">
        <v>9.43</v>
      </c>
      <c r="H24">
        <v>-13.93</v>
      </c>
      <c r="I24">
        <v>253.19</v>
      </c>
    </row>
    <row r="25" spans="1:9" x14ac:dyDescent="0.45">
      <c r="A25" t="s">
        <v>133</v>
      </c>
      <c r="B25">
        <v>2014</v>
      </c>
      <c r="C25">
        <v>164.85</v>
      </c>
      <c r="D25">
        <v>72.84</v>
      </c>
      <c r="E25">
        <v>3.1</v>
      </c>
      <c r="F25">
        <v>0.03</v>
      </c>
      <c r="G25">
        <v>11.18</v>
      </c>
      <c r="H25">
        <v>-13.84</v>
      </c>
      <c r="I25">
        <v>249.47</v>
      </c>
    </row>
    <row r="26" spans="1:9" x14ac:dyDescent="0.45">
      <c r="A26" t="s">
        <v>133</v>
      </c>
      <c r="B26">
        <v>2015</v>
      </c>
      <c r="C26">
        <v>156.46</v>
      </c>
      <c r="D26">
        <v>76.28</v>
      </c>
      <c r="E26">
        <v>2.85</v>
      </c>
      <c r="F26">
        <v>0.03</v>
      </c>
      <c r="G26">
        <v>13.06</v>
      </c>
      <c r="H26">
        <v>-14.61</v>
      </c>
      <c r="I26">
        <v>246.74</v>
      </c>
    </row>
    <row r="27" spans="1:9" x14ac:dyDescent="0.45">
      <c r="A27" t="s">
        <v>133</v>
      </c>
      <c r="B27">
        <v>2016</v>
      </c>
      <c r="C27">
        <v>155.34</v>
      </c>
      <c r="D27">
        <v>91.49</v>
      </c>
      <c r="E27">
        <v>2.85</v>
      </c>
      <c r="F27">
        <v>0.05</v>
      </c>
      <c r="G27">
        <v>10.56</v>
      </c>
      <c r="H27">
        <v>-16.55</v>
      </c>
      <c r="I27">
        <v>249.45</v>
      </c>
    </row>
    <row r="28" spans="1:9" x14ac:dyDescent="0.45">
      <c r="A28" t="s">
        <v>133</v>
      </c>
      <c r="B28">
        <v>2017</v>
      </c>
      <c r="C28">
        <v>153.65</v>
      </c>
      <c r="D28">
        <v>91.84</v>
      </c>
      <c r="E28">
        <v>3.15</v>
      </c>
      <c r="F28">
        <v>0.05</v>
      </c>
      <c r="G28">
        <v>8.57</v>
      </c>
      <c r="H28">
        <v>-15.2</v>
      </c>
      <c r="I28">
        <v>250.66</v>
      </c>
    </row>
    <row r="29" spans="1:9" x14ac:dyDescent="0.45">
      <c r="A29" t="s">
        <v>133</v>
      </c>
      <c r="B29">
        <v>2018</v>
      </c>
      <c r="C29">
        <v>155.27000000000001</v>
      </c>
      <c r="D29">
        <v>93.03</v>
      </c>
      <c r="E29">
        <v>2.83</v>
      </c>
      <c r="F29">
        <v>0.05</v>
      </c>
      <c r="G29">
        <v>9.69</v>
      </c>
      <c r="H29">
        <v>-14.39</v>
      </c>
      <c r="I29">
        <v>251.81</v>
      </c>
    </row>
    <row r="30" spans="1:9" x14ac:dyDescent="0.45">
      <c r="A30" t="s">
        <v>133</v>
      </c>
      <c r="B30">
        <v>2019</v>
      </c>
      <c r="C30">
        <v>151.53</v>
      </c>
      <c r="D30">
        <v>91.54</v>
      </c>
      <c r="E30">
        <v>2.6</v>
      </c>
      <c r="F30">
        <v>0.05</v>
      </c>
      <c r="G30">
        <v>9.8000000000000007</v>
      </c>
      <c r="H30">
        <v>-14.98</v>
      </c>
      <c r="I30">
        <v>247.58</v>
      </c>
    </row>
    <row r="31" spans="1:9" x14ac:dyDescent="0.45">
      <c r="A31" t="s">
        <v>133</v>
      </c>
      <c r="B31">
        <v>2020</v>
      </c>
      <c r="C31">
        <v>148.1</v>
      </c>
      <c r="D31">
        <v>87.15</v>
      </c>
      <c r="E31">
        <v>1.93</v>
      </c>
      <c r="F31">
        <v>0.05</v>
      </c>
      <c r="G31">
        <v>9.83</v>
      </c>
      <c r="H31">
        <v>-13.65</v>
      </c>
      <c r="I31">
        <v>234.73</v>
      </c>
    </row>
    <row r="32" spans="1:9" x14ac:dyDescent="0.45">
      <c r="A32" t="s">
        <v>133</v>
      </c>
      <c r="B32">
        <v>2021</v>
      </c>
      <c r="C32">
        <v>146.36000000000001</v>
      </c>
      <c r="D32">
        <v>88.85</v>
      </c>
      <c r="E32">
        <v>2.13</v>
      </c>
      <c r="F32">
        <v>0.06</v>
      </c>
      <c r="G32">
        <v>10.14</v>
      </c>
      <c r="H32">
        <v>-13.7</v>
      </c>
      <c r="I32">
        <v>239.64</v>
      </c>
    </row>
    <row r="33" spans="1:9" x14ac:dyDescent="0.45">
      <c r="A33" t="s">
        <v>133</v>
      </c>
      <c r="B33">
        <v>2022</v>
      </c>
      <c r="C33">
        <v>140.80000000000001</v>
      </c>
      <c r="D33">
        <v>85.66</v>
      </c>
      <c r="E33">
        <v>1.67</v>
      </c>
      <c r="F33">
        <v>0.05</v>
      </c>
      <c r="G33">
        <v>10.76</v>
      </c>
      <c r="H33">
        <v>-12.27</v>
      </c>
      <c r="I33">
        <v>230.77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267</v>
      </c>
      <c r="D10" t="s">
        <v>118</v>
      </c>
      <c r="F10" t="s">
        <v>267</v>
      </c>
      <c r="G10" t="s">
        <v>279</v>
      </c>
      <c r="I10" t="s">
        <v>267</v>
      </c>
      <c r="J10" t="s">
        <v>293</v>
      </c>
      <c r="L10" t="s">
        <v>267</v>
      </c>
      <c r="M10" t="s">
        <v>119</v>
      </c>
      <c r="O10" t="s">
        <v>267</v>
      </c>
      <c r="P10" t="s">
        <v>103</v>
      </c>
      <c r="R10" t="s">
        <v>267</v>
      </c>
      <c r="S10" t="s">
        <v>120</v>
      </c>
    </row>
    <row r="11" spans="1:19" x14ac:dyDescent="0.45">
      <c r="B11" s="15"/>
      <c r="C11" s="15" t="s">
        <v>268</v>
      </c>
      <c r="D11" t="s">
        <v>269</v>
      </c>
      <c r="F11" t="s">
        <v>268</v>
      </c>
      <c r="G11" t="s">
        <v>289</v>
      </c>
      <c r="I11" t="s">
        <v>268</v>
      </c>
      <c r="J11" t="s">
        <v>300</v>
      </c>
      <c r="L11" t="s">
        <v>268</v>
      </c>
      <c r="M11" t="s">
        <v>312</v>
      </c>
      <c r="O11" t="s">
        <v>268</v>
      </c>
      <c r="P11" t="s">
        <v>316</v>
      </c>
      <c r="R11" t="s">
        <v>268</v>
      </c>
      <c r="S11" t="s">
        <v>335</v>
      </c>
    </row>
    <row r="12" spans="1:19" x14ac:dyDescent="0.45">
      <c r="B12" s="15"/>
      <c r="C12" s="15" t="s">
        <v>270</v>
      </c>
      <c r="D12" t="s">
        <v>271</v>
      </c>
      <c r="F12" t="s">
        <v>270</v>
      </c>
      <c r="G12" t="s">
        <v>290</v>
      </c>
      <c r="I12" t="s">
        <v>270</v>
      </c>
      <c r="J12" t="s">
        <v>301</v>
      </c>
      <c r="L12" t="s">
        <v>270</v>
      </c>
      <c r="M12" t="s">
        <v>313</v>
      </c>
      <c r="O12" t="s">
        <v>270</v>
      </c>
      <c r="P12" t="s">
        <v>316</v>
      </c>
      <c r="R12" t="s">
        <v>270</v>
      </c>
      <c r="S12" t="s">
        <v>336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697E-3CDD-4863-AB5B-C0152BF24997}">
  <dimension ref="A9:AN397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266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272</v>
      </c>
      <c r="AK10" t="s">
        <v>47</v>
      </c>
      <c r="AL10" t="s">
        <v>115</v>
      </c>
      <c r="AM10" t="s">
        <v>273</v>
      </c>
      <c r="AN10" t="s">
        <v>274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1.1541312584932259E-2</v>
      </c>
      <c r="L11" t="s">
        <v>153</v>
      </c>
      <c r="N11" t="s">
        <v>204</v>
      </c>
      <c r="O11" t="s">
        <v>152</v>
      </c>
      <c r="P11">
        <v>9.4917082829870214E-2</v>
      </c>
      <c r="Q11" t="s">
        <v>153</v>
      </c>
      <c r="S11" t="s">
        <v>246</v>
      </c>
      <c r="T11" t="s">
        <v>152</v>
      </c>
      <c r="U11">
        <v>0.14189169097646159</v>
      </c>
      <c r="V11" t="s">
        <v>153</v>
      </c>
      <c r="X11">
        <v>0.13504566210045663</v>
      </c>
      <c r="Y11">
        <v>5.3332007392122266E-2</v>
      </c>
      <c r="Z11" t="s">
        <v>152</v>
      </c>
      <c r="AA11" t="s">
        <v>25</v>
      </c>
      <c r="AC11" t="s">
        <v>22</v>
      </c>
      <c r="AD11" t="s">
        <v>152</v>
      </c>
      <c r="AE11">
        <v>9.6063648791185188E-2</v>
      </c>
      <c r="AG11" t="s">
        <v>96</v>
      </c>
      <c r="AH11" t="s">
        <v>152</v>
      </c>
      <c r="AI11">
        <v>0.1678492137077876</v>
      </c>
      <c r="AK11">
        <v>2020</v>
      </c>
      <c r="AL11" t="s">
        <v>142</v>
      </c>
      <c r="AM11">
        <v>0.12520000000000001</v>
      </c>
      <c r="AN11" t="s">
        <v>275</v>
      </c>
    </row>
    <row r="12" spans="1:40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0.40966010715223955</v>
      </c>
      <c r="L12" t="s">
        <v>153</v>
      </c>
      <c r="N12" t="s">
        <v>204</v>
      </c>
      <c r="O12" t="s">
        <v>154</v>
      </c>
      <c r="P12">
        <v>0.20427441836709823</v>
      </c>
      <c r="Q12" t="s">
        <v>153</v>
      </c>
      <c r="S12" t="s">
        <v>246</v>
      </c>
      <c r="T12" t="s">
        <v>154</v>
      </c>
      <c r="U12">
        <v>0.17745344974502658</v>
      </c>
      <c r="V12" t="s">
        <v>153</v>
      </c>
      <c r="X12">
        <v>0.19292237442922375</v>
      </c>
      <c r="Y12">
        <v>0.27018936097920759</v>
      </c>
      <c r="Z12" t="s">
        <v>154</v>
      </c>
      <c r="AA12" t="s">
        <v>25</v>
      </c>
      <c r="AC12" t="s">
        <v>22</v>
      </c>
      <c r="AD12" t="s">
        <v>154</v>
      </c>
      <c r="AE12">
        <v>0.21131598922132255</v>
      </c>
      <c r="AG12" t="s">
        <v>96</v>
      </c>
      <c r="AH12" t="s">
        <v>154</v>
      </c>
      <c r="AI12">
        <v>0.18811595223956146</v>
      </c>
      <c r="AK12">
        <v>2020</v>
      </c>
      <c r="AL12" t="s">
        <v>146</v>
      </c>
      <c r="AM12">
        <v>7.8466666666666671E-2</v>
      </c>
      <c r="AN12" t="s">
        <v>275</v>
      </c>
    </row>
    <row r="13" spans="1:40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3.7236437232631106E-2</v>
      </c>
      <c r="L13" t="s">
        <v>153</v>
      </c>
      <c r="N13" t="s">
        <v>204</v>
      </c>
      <c r="O13" t="s">
        <v>155</v>
      </c>
      <c r="P13">
        <v>0.12436852158349182</v>
      </c>
      <c r="Q13" t="s">
        <v>153</v>
      </c>
      <c r="S13" t="s">
        <v>246</v>
      </c>
      <c r="T13" t="s">
        <v>155</v>
      </c>
      <c r="U13">
        <v>0.14840869431480486</v>
      </c>
      <c r="V13" t="s">
        <v>153</v>
      </c>
      <c r="X13">
        <v>0.13504566210045663</v>
      </c>
      <c r="Y13">
        <v>0.13949233025880714</v>
      </c>
      <c r="Z13" t="s">
        <v>155</v>
      </c>
      <c r="AA13" t="s">
        <v>25</v>
      </c>
      <c r="AC13" t="s">
        <v>22</v>
      </c>
      <c r="AD13" t="s">
        <v>155</v>
      </c>
      <c r="AE13">
        <v>0.15272226762130481</v>
      </c>
      <c r="AG13" t="s">
        <v>96</v>
      </c>
      <c r="AH13" t="s">
        <v>155</v>
      </c>
      <c r="AI13">
        <v>0.22084432533672027</v>
      </c>
      <c r="AK13">
        <v>2020</v>
      </c>
      <c r="AL13" t="s">
        <v>148</v>
      </c>
      <c r="AM13">
        <v>0.10894</v>
      </c>
      <c r="AN13" t="s">
        <v>275</v>
      </c>
    </row>
    <row r="14" spans="1:40" x14ac:dyDescent="0.45">
      <c r="I14" t="s">
        <v>151</v>
      </c>
      <c r="J14" t="s">
        <v>156</v>
      </c>
      <c r="K14">
        <v>0</v>
      </c>
      <c r="L14" t="s">
        <v>153</v>
      </c>
      <c r="N14" t="s">
        <v>204</v>
      </c>
      <c r="O14" t="s">
        <v>156</v>
      </c>
      <c r="P14">
        <v>6.7012789607080972E-2</v>
      </c>
      <c r="Q14" t="s">
        <v>153</v>
      </c>
      <c r="S14" t="s">
        <v>246</v>
      </c>
      <c r="T14" t="s">
        <v>156</v>
      </c>
      <c r="U14">
        <v>4.8064228334497507E-2</v>
      </c>
      <c r="V14" t="s">
        <v>153</v>
      </c>
      <c r="X14">
        <v>5.1141552511415528E-2</v>
      </c>
      <c r="Y14">
        <v>2.0196736527194229E-2</v>
      </c>
      <c r="Z14" t="s">
        <v>156</v>
      </c>
      <c r="AA14" t="s">
        <v>25</v>
      </c>
      <c r="AC14" t="s">
        <v>22</v>
      </c>
      <c r="AD14" t="s">
        <v>156</v>
      </c>
      <c r="AE14">
        <v>3.805302255968683E-2</v>
      </c>
      <c r="AG14" t="s">
        <v>96</v>
      </c>
      <c r="AH14" t="s">
        <v>156</v>
      </c>
      <c r="AI14">
        <v>0.13593048417283571</v>
      </c>
      <c r="AK14">
        <v>2021</v>
      </c>
      <c r="AL14" t="s">
        <v>142</v>
      </c>
      <c r="AM14">
        <v>0.30280000000000001</v>
      </c>
      <c r="AN14" t="s">
        <v>275</v>
      </c>
    </row>
    <row r="15" spans="1:40" x14ac:dyDescent="0.45">
      <c r="I15" t="s">
        <v>151</v>
      </c>
      <c r="J15" t="s">
        <v>157</v>
      </c>
      <c r="K15">
        <v>0.12331110892030575</v>
      </c>
      <c r="L15" t="s">
        <v>153</v>
      </c>
      <c r="N15" t="s">
        <v>204</v>
      </c>
      <c r="O15" t="s">
        <v>157</v>
      </c>
      <c r="P15">
        <v>0.12628990324125855</v>
      </c>
      <c r="Q15" t="s">
        <v>153</v>
      </c>
      <c r="S15" t="s">
        <v>246</v>
      </c>
      <c r="T15" t="s">
        <v>157</v>
      </c>
      <c r="U15">
        <v>6.3066426892393238E-2</v>
      </c>
      <c r="V15" t="s">
        <v>153</v>
      </c>
      <c r="X15">
        <v>7.3059360730593603E-2</v>
      </c>
      <c r="Y15">
        <v>0.10232023137674136</v>
      </c>
      <c r="Z15" t="s">
        <v>157</v>
      </c>
      <c r="AA15" t="s">
        <v>25</v>
      </c>
      <c r="AC15" t="s">
        <v>22</v>
      </c>
      <c r="AD15" t="s">
        <v>157</v>
      </c>
      <c r="AE15">
        <v>8.5227601273096032E-2</v>
      </c>
      <c r="AG15" t="s">
        <v>96</v>
      </c>
      <c r="AH15" t="s">
        <v>157</v>
      </c>
      <c r="AI15">
        <v>0.12575895968237161</v>
      </c>
      <c r="AK15">
        <v>2021</v>
      </c>
      <c r="AL15" t="s">
        <v>146</v>
      </c>
      <c r="AM15">
        <v>6.6333333333333341E-2</v>
      </c>
      <c r="AN15" t="s">
        <v>275</v>
      </c>
    </row>
    <row r="16" spans="1:40" x14ac:dyDescent="0.45">
      <c r="I16" t="s">
        <v>151</v>
      </c>
      <c r="J16" t="s">
        <v>158</v>
      </c>
      <c r="K16">
        <v>7.2028954301483509E-3</v>
      </c>
      <c r="L16" t="s">
        <v>153</v>
      </c>
      <c r="N16" t="s">
        <v>204</v>
      </c>
      <c r="O16" t="s">
        <v>158</v>
      </c>
      <c r="P16">
        <v>5.7572979569613998E-2</v>
      </c>
      <c r="Q16" t="s">
        <v>153</v>
      </c>
      <c r="S16" t="s">
        <v>246</v>
      </c>
      <c r="T16" t="s">
        <v>158</v>
      </c>
      <c r="U16">
        <v>4.5061668171528249E-2</v>
      </c>
      <c r="V16" t="s">
        <v>153</v>
      </c>
      <c r="X16">
        <v>5.1141552511415528E-2</v>
      </c>
      <c r="Y16">
        <v>5.2825497849489103E-2</v>
      </c>
      <c r="Z16" t="s">
        <v>158</v>
      </c>
      <c r="AA16" t="s">
        <v>25</v>
      </c>
      <c r="AC16" t="s">
        <v>22</v>
      </c>
      <c r="AD16" t="s">
        <v>158</v>
      </c>
      <c r="AE16">
        <v>6.5491196977729718E-2</v>
      </c>
      <c r="AG16" t="s">
        <v>96</v>
      </c>
      <c r="AH16" t="s">
        <v>158</v>
      </c>
      <c r="AI16">
        <v>0.13858796181608968</v>
      </c>
      <c r="AK16">
        <v>2021</v>
      </c>
      <c r="AL16" t="s">
        <v>148</v>
      </c>
      <c r="AM16">
        <v>0.20571999999999999</v>
      </c>
      <c r="AN16" t="s">
        <v>275</v>
      </c>
    </row>
    <row r="17" spans="9:40" x14ac:dyDescent="0.45">
      <c r="I17" t="s">
        <v>151</v>
      </c>
      <c r="J17" t="s">
        <v>159</v>
      </c>
      <c r="K17">
        <v>1.8673103059871365E-2</v>
      </c>
      <c r="L17" t="s">
        <v>153</v>
      </c>
      <c r="N17" t="s">
        <v>204</v>
      </c>
      <c r="O17" t="s">
        <v>159</v>
      </c>
      <c r="P17">
        <v>5.9005430494534689E-2</v>
      </c>
      <c r="Q17" t="s">
        <v>153</v>
      </c>
      <c r="S17" t="s">
        <v>246</v>
      </c>
      <c r="T17" t="s">
        <v>159</v>
      </c>
      <c r="U17">
        <v>0.10856213482366767</v>
      </c>
      <c r="V17" t="s">
        <v>153</v>
      </c>
      <c r="X17">
        <v>0.10547945205479452</v>
      </c>
      <c r="Y17">
        <v>4.1655769087338104E-2</v>
      </c>
      <c r="Z17" t="s">
        <v>159</v>
      </c>
      <c r="AA17" t="s">
        <v>25</v>
      </c>
      <c r="AC17" t="s">
        <v>22</v>
      </c>
      <c r="AD17" t="s">
        <v>159</v>
      </c>
      <c r="AE17">
        <v>7.2929594686831953E-2</v>
      </c>
      <c r="AG17" t="s">
        <v>96</v>
      </c>
      <c r="AH17" t="s">
        <v>159</v>
      </c>
      <c r="AI17">
        <v>0.12643214833681915</v>
      </c>
      <c r="AK17">
        <v>2022</v>
      </c>
      <c r="AL17" t="s">
        <v>142</v>
      </c>
      <c r="AM17">
        <v>0.6472</v>
      </c>
      <c r="AN17" t="s">
        <v>275</v>
      </c>
    </row>
    <row r="18" spans="9:40" x14ac:dyDescent="0.45">
      <c r="I18" t="s">
        <v>151</v>
      </c>
      <c r="J18" t="s">
        <v>160</v>
      </c>
      <c r="K18">
        <v>0.36381402805233859</v>
      </c>
      <c r="L18" t="s">
        <v>153</v>
      </c>
      <c r="N18" t="s">
        <v>204</v>
      </c>
      <c r="O18" t="s">
        <v>160</v>
      </c>
      <c r="P18">
        <v>0.16783982024270627</v>
      </c>
      <c r="Q18" t="s">
        <v>153</v>
      </c>
      <c r="S18" t="s">
        <v>246</v>
      </c>
      <c r="T18" t="s">
        <v>160</v>
      </c>
      <c r="U18">
        <v>0.14723235735867896</v>
      </c>
      <c r="V18" t="s">
        <v>153</v>
      </c>
      <c r="X18">
        <v>0.15068493150684931</v>
      </c>
      <c r="Y18">
        <v>0.21103547721452903</v>
      </c>
      <c r="Z18" t="s">
        <v>160</v>
      </c>
      <c r="AA18" t="s">
        <v>25</v>
      </c>
      <c r="AC18" t="s">
        <v>22</v>
      </c>
      <c r="AD18" t="s">
        <v>160</v>
      </c>
      <c r="AE18">
        <v>0.16127614241086199</v>
      </c>
      <c r="AG18" t="s">
        <v>96</v>
      </c>
      <c r="AH18" t="s">
        <v>160</v>
      </c>
      <c r="AI18">
        <v>0.15828873176807501</v>
      </c>
      <c r="AK18">
        <v>2022</v>
      </c>
      <c r="AL18" t="s">
        <v>146</v>
      </c>
      <c r="AM18">
        <v>0.1762</v>
      </c>
      <c r="AN18" t="s">
        <v>275</v>
      </c>
    </row>
    <row r="19" spans="9:40" x14ac:dyDescent="0.45">
      <c r="I19" t="s">
        <v>151</v>
      </c>
      <c r="J19" t="s">
        <v>161</v>
      </c>
      <c r="K19">
        <v>2.856100756753404E-2</v>
      </c>
      <c r="L19" t="s">
        <v>153</v>
      </c>
      <c r="N19" t="s">
        <v>204</v>
      </c>
      <c r="O19" t="s">
        <v>161</v>
      </c>
      <c r="P19">
        <v>9.8719054064346765E-2</v>
      </c>
      <c r="Q19" t="s">
        <v>153</v>
      </c>
      <c r="S19" t="s">
        <v>246</v>
      </c>
      <c r="T19" t="s">
        <v>161</v>
      </c>
      <c r="U19">
        <v>0.12025934938294426</v>
      </c>
      <c r="V19" t="s">
        <v>153</v>
      </c>
      <c r="X19">
        <v>0.10547945205479452</v>
      </c>
      <c r="Y19">
        <v>0.10895258931457129</v>
      </c>
      <c r="Z19" t="s">
        <v>161</v>
      </c>
      <c r="AA19" t="s">
        <v>25</v>
      </c>
      <c r="AC19" t="s">
        <v>22</v>
      </c>
      <c r="AD19" t="s">
        <v>161</v>
      </c>
      <c r="AE19">
        <v>0.11692053645798094</v>
      </c>
      <c r="AG19" t="s">
        <v>96</v>
      </c>
      <c r="AH19" t="s">
        <v>161</v>
      </c>
      <c r="AI19">
        <v>0.20409847122563485</v>
      </c>
      <c r="AK19">
        <v>2022</v>
      </c>
      <c r="AL19" t="s">
        <v>148</v>
      </c>
      <c r="AM19">
        <v>0.34526000000000001</v>
      </c>
      <c r="AN19" t="s">
        <v>275</v>
      </c>
    </row>
    <row r="20" spans="9:40" x14ac:dyDescent="0.45">
      <c r="I20" t="s">
        <v>162</v>
      </c>
      <c r="J20" t="s">
        <v>152</v>
      </c>
      <c r="K20">
        <v>1.0913438867105928E-2</v>
      </c>
      <c r="L20" t="s">
        <v>153</v>
      </c>
      <c r="N20" t="s">
        <v>205</v>
      </c>
      <c r="O20" t="s">
        <v>152</v>
      </c>
      <c r="P20">
        <v>9.5496888032173807E-2</v>
      </c>
      <c r="Q20" t="s">
        <v>153</v>
      </c>
      <c r="S20" t="s">
        <v>247</v>
      </c>
      <c r="T20" t="s">
        <v>152</v>
      </c>
      <c r="U20">
        <v>0.1433209088312408</v>
      </c>
      <c r="V20" t="s">
        <v>153</v>
      </c>
      <c r="AC20" t="s">
        <v>19</v>
      </c>
      <c r="AD20" t="s">
        <v>152</v>
      </c>
      <c r="AE20">
        <v>0.13308094338400844</v>
      </c>
      <c r="AK20">
        <v>2025</v>
      </c>
      <c r="AL20" t="s">
        <v>142</v>
      </c>
      <c r="AM20">
        <v>0.37473333333333336</v>
      </c>
      <c r="AN20" t="s">
        <v>275</v>
      </c>
    </row>
    <row r="21" spans="9:40" x14ac:dyDescent="0.45">
      <c r="I21" t="s">
        <v>162</v>
      </c>
      <c r="J21" t="s">
        <v>154</v>
      </c>
      <c r="K21">
        <v>0.40277100186621467</v>
      </c>
      <c r="L21" t="s">
        <v>153</v>
      </c>
      <c r="N21" t="s">
        <v>205</v>
      </c>
      <c r="O21" t="s">
        <v>154</v>
      </c>
      <c r="P21">
        <v>0.20181709774857751</v>
      </c>
      <c r="Q21" t="s">
        <v>153</v>
      </c>
      <c r="S21" t="s">
        <v>247</v>
      </c>
      <c r="T21" t="s">
        <v>154</v>
      </c>
      <c r="U21">
        <v>0.17679872214549824</v>
      </c>
      <c r="V21" t="s">
        <v>153</v>
      </c>
      <c r="AC21" t="s">
        <v>19</v>
      </c>
      <c r="AD21" t="s">
        <v>154</v>
      </c>
      <c r="AE21">
        <v>0.19392633000245765</v>
      </c>
      <c r="AK21">
        <v>2025</v>
      </c>
      <c r="AL21" t="s">
        <v>146</v>
      </c>
      <c r="AM21">
        <v>0.17863333333333334</v>
      </c>
      <c r="AN21" t="s">
        <v>275</v>
      </c>
    </row>
    <row r="22" spans="9:40" x14ac:dyDescent="0.45">
      <c r="I22" t="s">
        <v>162</v>
      </c>
      <c r="J22" t="s">
        <v>155</v>
      </c>
      <c r="K22">
        <v>4.0107473004752418E-2</v>
      </c>
      <c r="L22" t="s">
        <v>153</v>
      </c>
      <c r="N22" t="s">
        <v>205</v>
      </c>
      <c r="O22" t="s">
        <v>155</v>
      </c>
      <c r="P22">
        <v>0.13974539812472095</v>
      </c>
      <c r="Q22" t="s">
        <v>153</v>
      </c>
      <c r="S22" t="s">
        <v>247</v>
      </c>
      <c r="T22" t="s">
        <v>155</v>
      </c>
      <c r="U22">
        <v>0.16120063357877085</v>
      </c>
      <c r="V22" t="s">
        <v>153</v>
      </c>
      <c r="AC22" t="s">
        <v>19</v>
      </c>
      <c r="AD22" t="s">
        <v>155</v>
      </c>
      <c r="AE22">
        <v>0.13599539234337324</v>
      </c>
      <c r="AK22">
        <v>2025</v>
      </c>
      <c r="AL22" t="s">
        <v>148</v>
      </c>
      <c r="AM22">
        <v>0.10224</v>
      </c>
      <c r="AN22" t="s">
        <v>275</v>
      </c>
    </row>
    <row r="23" spans="9:40" x14ac:dyDescent="0.45">
      <c r="I23" t="s">
        <v>162</v>
      </c>
      <c r="J23" t="s">
        <v>156</v>
      </c>
      <c r="K23">
        <v>0</v>
      </c>
      <c r="L23" t="s">
        <v>153</v>
      </c>
      <c r="N23" t="s">
        <v>205</v>
      </c>
      <c r="O23" t="s">
        <v>156</v>
      </c>
      <c r="P23">
        <v>5.6072227812690813E-2</v>
      </c>
      <c r="Q23" t="s">
        <v>153</v>
      </c>
      <c r="S23" t="s">
        <v>247</v>
      </c>
      <c r="T23" t="s">
        <v>156</v>
      </c>
      <c r="U23">
        <v>4.2678434825421288E-2</v>
      </c>
      <c r="V23" t="s">
        <v>153</v>
      </c>
      <c r="AC23" t="s">
        <v>19</v>
      </c>
      <c r="AD23" t="s">
        <v>156</v>
      </c>
      <c r="AE23">
        <v>5.0287740175593641E-2</v>
      </c>
      <c r="AK23">
        <v>2026</v>
      </c>
      <c r="AL23" t="s">
        <v>142</v>
      </c>
      <c r="AM23">
        <v>0.34346666666666664</v>
      </c>
      <c r="AN23" t="s">
        <v>275</v>
      </c>
    </row>
    <row r="24" spans="9:40" x14ac:dyDescent="0.45">
      <c r="I24" t="s">
        <v>162</v>
      </c>
      <c r="J24" t="s">
        <v>157</v>
      </c>
      <c r="K24">
        <v>0.11875969122524614</v>
      </c>
      <c r="L24" t="s">
        <v>153</v>
      </c>
      <c r="N24" t="s">
        <v>205</v>
      </c>
      <c r="O24" t="s">
        <v>157</v>
      </c>
      <c r="P24">
        <v>0.10753568669551306</v>
      </c>
      <c r="Q24" t="s">
        <v>153</v>
      </c>
      <c r="S24" t="s">
        <v>247</v>
      </c>
      <c r="T24" t="s">
        <v>157</v>
      </c>
      <c r="U24">
        <v>5.757996251587541E-2</v>
      </c>
      <c r="V24" t="s">
        <v>153</v>
      </c>
      <c r="AC24" t="s">
        <v>19</v>
      </c>
      <c r="AD24" t="s">
        <v>157</v>
      </c>
      <c r="AE24">
        <v>7.3427344739822167E-2</v>
      </c>
      <c r="AK24">
        <v>2026</v>
      </c>
      <c r="AL24" t="s">
        <v>146</v>
      </c>
      <c r="AM24">
        <v>0.19226666666666667</v>
      </c>
      <c r="AN24" t="s">
        <v>275</v>
      </c>
    </row>
    <row r="25" spans="9:40" x14ac:dyDescent="0.45">
      <c r="I25" t="s">
        <v>162</v>
      </c>
      <c r="J25" t="s">
        <v>158</v>
      </c>
      <c r="K25">
        <v>7.6346439039932934E-3</v>
      </c>
      <c r="L25" t="s">
        <v>153</v>
      </c>
      <c r="N25" t="s">
        <v>205</v>
      </c>
      <c r="O25" t="s">
        <v>158</v>
      </c>
      <c r="P25">
        <v>5.7844421976926262E-2</v>
      </c>
      <c r="Q25" t="s">
        <v>153</v>
      </c>
      <c r="S25" t="s">
        <v>247</v>
      </c>
      <c r="T25" t="s">
        <v>158</v>
      </c>
      <c r="U25">
        <v>4.2031748085528196E-2</v>
      </c>
      <c r="V25" t="s">
        <v>153</v>
      </c>
      <c r="AC25" t="s">
        <v>19</v>
      </c>
      <c r="AD25" t="s">
        <v>158</v>
      </c>
      <c r="AE25">
        <v>5.1699125778184869E-2</v>
      </c>
      <c r="AK25">
        <v>2026</v>
      </c>
      <c r="AL25" t="s">
        <v>148</v>
      </c>
      <c r="AM25">
        <v>0.20543999999999998</v>
      </c>
      <c r="AN25" t="s">
        <v>275</v>
      </c>
    </row>
    <row r="26" spans="9:40" x14ac:dyDescent="0.45">
      <c r="I26" t="s">
        <v>162</v>
      </c>
      <c r="J26" t="s">
        <v>159</v>
      </c>
      <c r="K26">
        <v>1.9318814583759232E-2</v>
      </c>
      <c r="L26" t="s">
        <v>153</v>
      </c>
      <c r="N26" t="s">
        <v>205</v>
      </c>
      <c r="O26" t="s">
        <v>159</v>
      </c>
      <c r="P26">
        <v>6.5080105631475663E-2</v>
      </c>
      <c r="Q26" t="s">
        <v>153</v>
      </c>
      <c r="S26" t="s">
        <v>247</v>
      </c>
      <c r="T26" t="s">
        <v>159</v>
      </c>
      <c r="U26">
        <v>0.10765832237118178</v>
      </c>
      <c r="V26" t="s">
        <v>153</v>
      </c>
      <c r="AC26" t="s">
        <v>19</v>
      </c>
      <c r="AD26" t="s">
        <v>159</v>
      </c>
      <c r="AE26">
        <v>0.10394521483197547</v>
      </c>
      <c r="AK26">
        <v>2027</v>
      </c>
      <c r="AL26" t="s">
        <v>142</v>
      </c>
      <c r="AM26">
        <v>0.25593333333333335</v>
      </c>
      <c r="AN26" t="s">
        <v>275</v>
      </c>
    </row>
    <row r="27" spans="9:40" x14ac:dyDescent="0.45">
      <c r="I27" t="s">
        <v>162</v>
      </c>
      <c r="J27" t="s">
        <v>160</v>
      </c>
      <c r="K27">
        <v>0.36689412215190104</v>
      </c>
      <c r="L27" t="s">
        <v>153</v>
      </c>
      <c r="N27" t="s">
        <v>205</v>
      </c>
      <c r="O27" t="s">
        <v>160</v>
      </c>
      <c r="P27">
        <v>0.1657149745936512</v>
      </c>
      <c r="Q27" t="s">
        <v>153</v>
      </c>
      <c r="S27" t="s">
        <v>247</v>
      </c>
      <c r="T27" t="s">
        <v>160</v>
      </c>
      <c r="U27">
        <v>0.1438626184373466</v>
      </c>
      <c r="V27" t="s">
        <v>153</v>
      </c>
      <c r="AC27" t="s">
        <v>19</v>
      </c>
      <c r="AD27" t="s">
        <v>160</v>
      </c>
      <c r="AE27">
        <v>0.15142985452270419</v>
      </c>
      <c r="AK27">
        <v>2027</v>
      </c>
      <c r="AL27" t="s">
        <v>146</v>
      </c>
      <c r="AM27">
        <v>0.11793333333333333</v>
      </c>
      <c r="AN27" t="s">
        <v>275</v>
      </c>
    </row>
    <row r="28" spans="9:40" x14ac:dyDescent="0.45">
      <c r="I28" t="s">
        <v>162</v>
      </c>
      <c r="J28" t="s">
        <v>161</v>
      </c>
      <c r="K28">
        <v>3.3600814397027431E-2</v>
      </c>
      <c r="L28" t="s">
        <v>153</v>
      </c>
      <c r="N28" t="s">
        <v>205</v>
      </c>
      <c r="O28" t="s">
        <v>161</v>
      </c>
      <c r="P28">
        <v>0.11069319938427076</v>
      </c>
      <c r="Q28" t="s">
        <v>153</v>
      </c>
      <c r="S28" t="s">
        <v>247</v>
      </c>
      <c r="T28" t="s">
        <v>161</v>
      </c>
      <c r="U28">
        <v>0.12486864920913972</v>
      </c>
      <c r="V28" t="s">
        <v>153</v>
      </c>
      <c r="AC28" t="s">
        <v>19</v>
      </c>
      <c r="AD28" t="s">
        <v>161</v>
      </c>
      <c r="AE28">
        <v>0.10620805422188036</v>
      </c>
      <c r="AK28">
        <v>2027</v>
      </c>
      <c r="AL28" t="s">
        <v>148</v>
      </c>
      <c r="AM28">
        <v>8.0099999999999991E-2</v>
      </c>
      <c r="AN28" t="s">
        <v>275</v>
      </c>
    </row>
    <row r="29" spans="9:40" x14ac:dyDescent="0.45">
      <c r="I29" t="s">
        <v>163</v>
      </c>
      <c r="J29" t="s">
        <v>152</v>
      </c>
      <c r="K29">
        <v>1.2346697995919561E-2</v>
      </c>
      <c r="L29" t="s">
        <v>153</v>
      </c>
      <c r="N29" t="s">
        <v>206</v>
      </c>
      <c r="O29" t="s">
        <v>152</v>
      </c>
      <c r="P29">
        <v>0.10234343213468322</v>
      </c>
      <c r="Q29" t="s">
        <v>153</v>
      </c>
      <c r="S29" t="s">
        <v>248</v>
      </c>
      <c r="T29" t="s">
        <v>152</v>
      </c>
      <c r="U29">
        <v>0.11985597614347041</v>
      </c>
      <c r="V29" t="s">
        <v>153</v>
      </c>
      <c r="AK29">
        <v>2028</v>
      </c>
      <c r="AL29" t="s">
        <v>142</v>
      </c>
      <c r="AM29">
        <v>0.30960000000000004</v>
      </c>
      <c r="AN29" t="s">
        <v>275</v>
      </c>
    </row>
    <row r="30" spans="9:40" x14ac:dyDescent="0.45">
      <c r="I30" t="s">
        <v>163</v>
      </c>
      <c r="J30" t="s">
        <v>154</v>
      </c>
      <c r="K30">
        <v>0.40169020720180737</v>
      </c>
      <c r="L30" t="s">
        <v>153</v>
      </c>
      <c r="N30" t="s">
        <v>206</v>
      </c>
      <c r="O30" t="s">
        <v>154</v>
      </c>
      <c r="P30">
        <v>0.17625711345750458</v>
      </c>
      <c r="Q30" t="s">
        <v>153</v>
      </c>
      <c r="S30" t="s">
        <v>248</v>
      </c>
      <c r="T30" t="s">
        <v>154</v>
      </c>
      <c r="U30">
        <v>0.18117461813672375</v>
      </c>
      <c r="V30" t="s">
        <v>153</v>
      </c>
      <c r="AK30">
        <v>2028</v>
      </c>
      <c r="AL30" t="s">
        <v>146</v>
      </c>
      <c r="AM30">
        <v>0.13460000000000003</v>
      </c>
      <c r="AN30" t="s">
        <v>275</v>
      </c>
    </row>
    <row r="31" spans="9:40" x14ac:dyDescent="0.45">
      <c r="I31" t="s">
        <v>163</v>
      </c>
      <c r="J31" t="s">
        <v>155</v>
      </c>
      <c r="K31">
        <v>4.1033453696939885E-2</v>
      </c>
      <c r="L31" t="s">
        <v>153</v>
      </c>
      <c r="N31" t="s">
        <v>206</v>
      </c>
      <c r="O31" t="s">
        <v>155</v>
      </c>
      <c r="P31">
        <v>0.17480585936437706</v>
      </c>
      <c r="Q31" t="s">
        <v>153</v>
      </c>
      <c r="S31" t="s">
        <v>248</v>
      </c>
      <c r="T31" t="s">
        <v>155</v>
      </c>
      <c r="U31">
        <v>0.17685879026860013</v>
      </c>
      <c r="V31" t="s">
        <v>153</v>
      </c>
      <c r="AK31">
        <v>2028</v>
      </c>
      <c r="AL31" t="s">
        <v>148</v>
      </c>
      <c r="AM31">
        <v>0.14775999999999997</v>
      </c>
      <c r="AN31" t="s">
        <v>275</v>
      </c>
    </row>
    <row r="32" spans="9:40" x14ac:dyDescent="0.45">
      <c r="I32" t="s">
        <v>163</v>
      </c>
      <c r="J32" t="s">
        <v>156</v>
      </c>
      <c r="K32">
        <v>0</v>
      </c>
      <c r="L32" t="s">
        <v>153</v>
      </c>
      <c r="N32" t="s">
        <v>206</v>
      </c>
      <c r="O32" t="s">
        <v>156</v>
      </c>
      <c r="P32">
        <v>4.1052094341787755E-2</v>
      </c>
      <c r="Q32" t="s">
        <v>153</v>
      </c>
      <c r="S32" t="s">
        <v>248</v>
      </c>
      <c r="T32" t="s">
        <v>156</v>
      </c>
      <c r="U32">
        <v>4.0582604011727468E-2</v>
      </c>
      <c r="V32" t="s">
        <v>153</v>
      </c>
      <c r="AK32">
        <v>2029</v>
      </c>
      <c r="AL32" t="s">
        <v>142</v>
      </c>
      <c r="AM32">
        <v>0.25398333333333334</v>
      </c>
      <c r="AN32" t="s">
        <v>275</v>
      </c>
    </row>
    <row r="33" spans="9:40" x14ac:dyDescent="0.45">
      <c r="I33" t="s">
        <v>163</v>
      </c>
      <c r="J33" t="s">
        <v>157</v>
      </c>
      <c r="K33">
        <v>0.10624902978285473</v>
      </c>
      <c r="L33" t="s">
        <v>153</v>
      </c>
      <c r="N33" t="s">
        <v>206</v>
      </c>
      <c r="O33" t="s">
        <v>157</v>
      </c>
      <c r="P33">
        <v>8.6080159374374923E-2</v>
      </c>
      <c r="Q33" t="s">
        <v>153</v>
      </c>
      <c r="S33" t="s">
        <v>248</v>
      </c>
      <c r="T33" t="s">
        <v>157</v>
      </c>
      <c r="U33">
        <v>5.6379516515344383E-2</v>
      </c>
      <c r="V33" t="s">
        <v>153</v>
      </c>
      <c r="AK33">
        <v>2029</v>
      </c>
      <c r="AL33" t="s">
        <v>146</v>
      </c>
      <c r="AM33">
        <v>0.11596666666666666</v>
      </c>
      <c r="AN33" t="s">
        <v>275</v>
      </c>
    </row>
    <row r="34" spans="9:40" x14ac:dyDescent="0.45">
      <c r="I34" t="s">
        <v>163</v>
      </c>
      <c r="J34" t="s">
        <v>158</v>
      </c>
      <c r="K34">
        <v>6.1801441852621219E-3</v>
      </c>
      <c r="L34" t="s">
        <v>153</v>
      </c>
      <c r="N34" t="s">
        <v>206</v>
      </c>
      <c r="O34" t="s">
        <v>158</v>
      </c>
      <c r="P34">
        <v>4.6886572152218371E-2</v>
      </c>
      <c r="Q34" t="s">
        <v>153</v>
      </c>
      <c r="S34" t="s">
        <v>248</v>
      </c>
      <c r="T34" t="s">
        <v>158</v>
      </c>
      <c r="U34">
        <v>4.4243070609677117E-2</v>
      </c>
      <c r="V34" t="s">
        <v>153</v>
      </c>
      <c r="AK34">
        <v>2029</v>
      </c>
      <c r="AL34" t="s">
        <v>148</v>
      </c>
      <c r="AM34">
        <v>0.20441999999999999</v>
      </c>
      <c r="AN34" t="s">
        <v>275</v>
      </c>
    </row>
    <row r="35" spans="9:40" x14ac:dyDescent="0.45">
      <c r="I35" t="s">
        <v>163</v>
      </c>
      <c r="J35" t="s">
        <v>159</v>
      </c>
      <c r="K35">
        <v>2.4381175838036635E-2</v>
      </c>
      <c r="L35" t="s">
        <v>153</v>
      </c>
      <c r="N35" t="s">
        <v>206</v>
      </c>
      <c r="O35" t="s">
        <v>159</v>
      </c>
      <c r="P35">
        <v>8.2460120505011725E-2</v>
      </c>
      <c r="Q35" t="s">
        <v>153</v>
      </c>
      <c r="S35" t="s">
        <v>248</v>
      </c>
      <c r="T35" t="s">
        <v>159</v>
      </c>
      <c r="U35">
        <v>9.2307511581522866E-2</v>
      </c>
      <c r="V35" t="s">
        <v>153</v>
      </c>
      <c r="AK35">
        <v>2030</v>
      </c>
      <c r="AL35" t="s">
        <v>142</v>
      </c>
      <c r="AM35">
        <v>0.2835333333333333</v>
      </c>
      <c r="AN35" t="s">
        <v>275</v>
      </c>
    </row>
    <row r="36" spans="9:40" x14ac:dyDescent="0.45">
      <c r="I36" t="s">
        <v>163</v>
      </c>
      <c r="J36" t="s">
        <v>160</v>
      </c>
      <c r="K36">
        <v>0.37123297356704454</v>
      </c>
      <c r="L36" t="s">
        <v>153</v>
      </c>
      <c r="N36" t="s">
        <v>206</v>
      </c>
      <c r="O36" t="s">
        <v>160</v>
      </c>
      <c r="P36">
        <v>0.1517032038362183</v>
      </c>
      <c r="Q36" t="s">
        <v>153</v>
      </c>
      <c r="S36" t="s">
        <v>248</v>
      </c>
      <c r="T36" t="s">
        <v>160</v>
      </c>
      <c r="U36">
        <v>0.14878487091722264</v>
      </c>
      <c r="V36" t="s">
        <v>153</v>
      </c>
      <c r="AK36">
        <v>2030</v>
      </c>
      <c r="AL36" t="s">
        <v>146</v>
      </c>
      <c r="AM36">
        <v>6.9066666666666665E-2</v>
      </c>
      <c r="AN36" t="s">
        <v>275</v>
      </c>
    </row>
    <row r="37" spans="9:40" x14ac:dyDescent="0.45">
      <c r="I37" t="s">
        <v>163</v>
      </c>
      <c r="J37" t="s">
        <v>161</v>
      </c>
      <c r="K37">
        <v>3.6886317732136291E-2</v>
      </c>
      <c r="L37" t="s">
        <v>153</v>
      </c>
      <c r="N37" t="s">
        <v>206</v>
      </c>
      <c r="O37" t="s">
        <v>161</v>
      </c>
      <c r="P37">
        <v>0.13841144483382442</v>
      </c>
      <c r="Q37" t="s">
        <v>153</v>
      </c>
      <c r="S37" t="s">
        <v>248</v>
      </c>
      <c r="T37" t="s">
        <v>161</v>
      </c>
      <c r="U37">
        <v>0.13981304181570964</v>
      </c>
      <c r="V37" t="s">
        <v>153</v>
      </c>
      <c r="AK37">
        <v>2030</v>
      </c>
      <c r="AL37" t="s">
        <v>148</v>
      </c>
      <c r="AM37">
        <v>0.22373999999999999</v>
      </c>
      <c r="AN37" t="s">
        <v>275</v>
      </c>
    </row>
    <row r="38" spans="9:40" x14ac:dyDescent="0.45">
      <c r="I38" t="s">
        <v>164</v>
      </c>
      <c r="J38" t="s">
        <v>152</v>
      </c>
      <c r="K38">
        <v>1.4192965630004318E-2</v>
      </c>
      <c r="L38" t="s">
        <v>153</v>
      </c>
      <c r="N38" t="s">
        <v>207</v>
      </c>
      <c r="O38" t="s">
        <v>152</v>
      </c>
      <c r="P38">
        <v>7.5488060681246763E-2</v>
      </c>
      <c r="Q38" t="s">
        <v>153</v>
      </c>
      <c r="S38" t="s">
        <v>249</v>
      </c>
      <c r="T38" t="s">
        <v>152</v>
      </c>
      <c r="U38">
        <v>0.14137385707328026</v>
      </c>
      <c r="V38" t="s">
        <v>153</v>
      </c>
      <c r="AK38">
        <v>2031</v>
      </c>
      <c r="AL38" t="s">
        <v>142</v>
      </c>
      <c r="AM38">
        <v>0.25950000000000001</v>
      </c>
      <c r="AN38" t="s">
        <v>275</v>
      </c>
    </row>
    <row r="39" spans="9:40" x14ac:dyDescent="0.45">
      <c r="I39" t="s">
        <v>164</v>
      </c>
      <c r="J39" t="s">
        <v>154</v>
      </c>
      <c r="K39">
        <v>0.40026616584710062</v>
      </c>
      <c r="L39" t="s">
        <v>153</v>
      </c>
      <c r="N39" t="s">
        <v>207</v>
      </c>
      <c r="O39" t="s">
        <v>154</v>
      </c>
      <c r="P39">
        <v>0.19912272294019334</v>
      </c>
      <c r="Q39" t="s">
        <v>153</v>
      </c>
      <c r="S39" t="s">
        <v>249</v>
      </c>
      <c r="T39" t="s">
        <v>154</v>
      </c>
      <c r="U39">
        <v>0.18925254839635564</v>
      </c>
      <c r="V39" t="s">
        <v>153</v>
      </c>
      <c r="AK39">
        <v>2031</v>
      </c>
      <c r="AL39" t="s">
        <v>146</v>
      </c>
      <c r="AM39">
        <v>7.9899999999999999E-2</v>
      </c>
      <c r="AN39" t="s">
        <v>275</v>
      </c>
    </row>
    <row r="40" spans="9:40" x14ac:dyDescent="0.45">
      <c r="I40" t="s">
        <v>164</v>
      </c>
      <c r="J40" t="s">
        <v>155</v>
      </c>
      <c r="K40">
        <v>3.5367699403030049E-2</v>
      </c>
      <c r="L40" t="s">
        <v>153</v>
      </c>
      <c r="N40" t="s">
        <v>207</v>
      </c>
      <c r="O40" t="s">
        <v>155</v>
      </c>
      <c r="P40">
        <v>0.13572086301817182</v>
      </c>
      <c r="Q40" t="s">
        <v>153</v>
      </c>
      <c r="S40" t="s">
        <v>249</v>
      </c>
      <c r="T40" t="s">
        <v>155</v>
      </c>
      <c r="U40">
        <v>0.15835181484424571</v>
      </c>
      <c r="V40" t="s">
        <v>153</v>
      </c>
      <c r="AK40">
        <v>2031</v>
      </c>
      <c r="AL40" t="s">
        <v>148</v>
      </c>
      <c r="AM40">
        <v>0.22067999999999999</v>
      </c>
      <c r="AN40" t="s">
        <v>275</v>
      </c>
    </row>
    <row r="41" spans="9:40" x14ac:dyDescent="0.45">
      <c r="I41" t="s">
        <v>164</v>
      </c>
      <c r="J41" t="s">
        <v>156</v>
      </c>
      <c r="K41">
        <v>0</v>
      </c>
      <c r="L41" t="s">
        <v>153</v>
      </c>
      <c r="N41" t="s">
        <v>207</v>
      </c>
      <c r="O41" t="s">
        <v>156</v>
      </c>
      <c r="P41">
        <v>5.0048102588184186E-2</v>
      </c>
      <c r="Q41" t="s">
        <v>153</v>
      </c>
      <c r="S41" t="s">
        <v>249</v>
      </c>
      <c r="T41" t="s">
        <v>156</v>
      </c>
      <c r="U41">
        <v>3.941888229180094E-2</v>
      </c>
      <c r="V41" t="s">
        <v>153</v>
      </c>
      <c r="AK41">
        <v>2032</v>
      </c>
      <c r="AL41" t="s">
        <v>142</v>
      </c>
      <c r="AM41">
        <v>0.3691166666666667</v>
      </c>
      <c r="AN41" t="s">
        <v>275</v>
      </c>
    </row>
    <row r="42" spans="9:40" x14ac:dyDescent="0.45">
      <c r="I42" t="s">
        <v>164</v>
      </c>
      <c r="J42" t="s">
        <v>157</v>
      </c>
      <c r="K42">
        <v>0.11299918297722746</v>
      </c>
      <c r="L42" t="s">
        <v>153</v>
      </c>
      <c r="N42" t="s">
        <v>207</v>
      </c>
      <c r="O42" t="s">
        <v>157</v>
      </c>
      <c r="P42">
        <v>0.10867642180812537</v>
      </c>
      <c r="Q42" t="s">
        <v>153</v>
      </c>
      <c r="S42" t="s">
        <v>249</v>
      </c>
      <c r="T42" t="s">
        <v>157</v>
      </c>
      <c r="U42">
        <v>5.3289649466561645E-2</v>
      </c>
      <c r="V42" t="s">
        <v>153</v>
      </c>
      <c r="AK42">
        <v>2032</v>
      </c>
      <c r="AL42" t="s">
        <v>146</v>
      </c>
      <c r="AM42">
        <v>5.000000000000001E-2</v>
      </c>
      <c r="AN42" t="s">
        <v>275</v>
      </c>
    </row>
    <row r="43" spans="9:40" x14ac:dyDescent="0.45">
      <c r="I43" t="s">
        <v>164</v>
      </c>
      <c r="J43" t="s">
        <v>158</v>
      </c>
      <c r="K43">
        <v>4.712020139347811E-3</v>
      </c>
      <c r="L43" t="s">
        <v>153</v>
      </c>
      <c r="N43" t="s">
        <v>207</v>
      </c>
      <c r="O43" t="s">
        <v>158</v>
      </c>
      <c r="P43">
        <v>5.6573670218548387E-2</v>
      </c>
      <c r="Q43" t="s">
        <v>153</v>
      </c>
      <c r="S43" t="s">
        <v>249</v>
      </c>
      <c r="T43" t="s">
        <v>158</v>
      </c>
      <c r="U43">
        <v>4.1102594165900917E-2</v>
      </c>
      <c r="V43" t="s">
        <v>153</v>
      </c>
      <c r="AK43">
        <v>2032</v>
      </c>
      <c r="AL43" t="s">
        <v>148</v>
      </c>
      <c r="AM43">
        <v>0.14548</v>
      </c>
      <c r="AN43" t="s">
        <v>275</v>
      </c>
    </row>
    <row r="44" spans="9:40" x14ac:dyDescent="0.45">
      <c r="I44" t="s">
        <v>164</v>
      </c>
      <c r="J44" t="s">
        <v>159</v>
      </c>
      <c r="K44">
        <v>2.7258432438521687E-2</v>
      </c>
      <c r="L44" t="s">
        <v>153</v>
      </c>
      <c r="N44" t="s">
        <v>207</v>
      </c>
      <c r="O44" t="s">
        <v>159</v>
      </c>
      <c r="P44">
        <v>6.3820888703498918E-2</v>
      </c>
      <c r="Q44" t="s">
        <v>153</v>
      </c>
      <c r="S44" t="s">
        <v>249</v>
      </c>
      <c r="T44" t="s">
        <v>159</v>
      </c>
      <c r="U44">
        <v>0.10785923108289534</v>
      </c>
      <c r="V44" t="s">
        <v>153</v>
      </c>
      <c r="AK44">
        <v>2033</v>
      </c>
      <c r="AL44" t="s">
        <v>142</v>
      </c>
      <c r="AM44">
        <v>0.44756666666666667</v>
      </c>
      <c r="AN44" t="s">
        <v>275</v>
      </c>
    </row>
    <row r="45" spans="9:40" x14ac:dyDescent="0.45">
      <c r="I45" t="s">
        <v>164</v>
      </c>
      <c r="J45" t="s">
        <v>160</v>
      </c>
      <c r="K45">
        <v>0.37159589342629246</v>
      </c>
      <c r="L45" t="s">
        <v>153</v>
      </c>
      <c r="N45" t="s">
        <v>207</v>
      </c>
      <c r="O45" t="s">
        <v>160</v>
      </c>
      <c r="P45">
        <v>0.19600206951119084</v>
      </c>
      <c r="Q45" t="s">
        <v>153</v>
      </c>
      <c r="S45" t="s">
        <v>249</v>
      </c>
      <c r="T45" t="s">
        <v>160</v>
      </c>
      <c r="U45">
        <v>0.14864295190878324</v>
      </c>
      <c r="V45" t="s">
        <v>153</v>
      </c>
      <c r="AK45">
        <v>2033</v>
      </c>
      <c r="AL45" t="s">
        <v>146</v>
      </c>
      <c r="AM45">
        <v>0.26600000000000001</v>
      </c>
      <c r="AN45" t="s">
        <v>275</v>
      </c>
    </row>
    <row r="46" spans="9:40" x14ac:dyDescent="0.45">
      <c r="I46" t="s">
        <v>164</v>
      </c>
      <c r="J46" t="s">
        <v>161</v>
      </c>
      <c r="K46">
        <v>3.3607640138473609E-2</v>
      </c>
      <c r="L46" t="s">
        <v>153</v>
      </c>
      <c r="N46" t="s">
        <v>207</v>
      </c>
      <c r="O46" t="s">
        <v>161</v>
      </c>
      <c r="P46">
        <v>0.11454720053084148</v>
      </c>
      <c r="Q46" t="s">
        <v>153</v>
      </c>
      <c r="S46" t="s">
        <v>249</v>
      </c>
      <c r="T46" t="s">
        <v>161</v>
      </c>
      <c r="U46">
        <v>0.12070847077017539</v>
      </c>
      <c r="V46" t="s">
        <v>153</v>
      </c>
      <c r="AK46">
        <v>2033</v>
      </c>
      <c r="AL46" t="s">
        <v>148</v>
      </c>
      <c r="AM46">
        <v>0.29630000000000001</v>
      </c>
      <c r="AN46" t="s">
        <v>275</v>
      </c>
    </row>
    <row r="47" spans="9:40" x14ac:dyDescent="0.45">
      <c r="I47" t="s">
        <v>165</v>
      </c>
      <c r="J47" t="s">
        <v>152</v>
      </c>
      <c r="K47">
        <v>1.3659233229312919E-2</v>
      </c>
      <c r="L47" t="s">
        <v>153</v>
      </c>
      <c r="N47" t="s">
        <v>208</v>
      </c>
      <c r="O47" t="s">
        <v>152</v>
      </c>
      <c r="P47">
        <v>8.1897427339851517E-2</v>
      </c>
      <c r="Q47" t="s">
        <v>153</v>
      </c>
      <c r="S47" t="s">
        <v>250</v>
      </c>
      <c r="T47" t="s">
        <v>152</v>
      </c>
      <c r="U47">
        <v>0.12039309893659529</v>
      </c>
      <c r="V47" t="s">
        <v>153</v>
      </c>
      <c r="AK47">
        <v>2034</v>
      </c>
      <c r="AL47" t="s">
        <v>142</v>
      </c>
      <c r="AM47">
        <v>0.36313333333333331</v>
      </c>
      <c r="AN47" t="s">
        <v>275</v>
      </c>
    </row>
    <row r="48" spans="9:40" x14ac:dyDescent="0.45">
      <c r="I48" t="s">
        <v>165</v>
      </c>
      <c r="J48" t="s">
        <v>154</v>
      </c>
      <c r="K48">
        <v>0.40311236806332784</v>
      </c>
      <c r="L48" t="s">
        <v>153</v>
      </c>
      <c r="N48" t="s">
        <v>208</v>
      </c>
      <c r="O48" t="s">
        <v>154</v>
      </c>
      <c r="P48">
        <v>0.18729945068555551</v>
      </c>
      <c r="Q48" t="s">
        <v>153</v>
      </c>
      <c r="S48" t="s">
        <v>250</v>
      </c>
      <c r="T48" t="s">
        <v>154</v>
      </c>
      <c r="U48">
        <v>0.19140761169045786</v>
      </c>
      <c r="V48" t="s">
        <v>153</v>
      </c>
      <c r="AK48">
        <v>2034</v>
      </c>
      <c r="AL48" t="s">
        <v>146</v>
      </c>
      <c r="AM48">
        <v>0.26450000000000001</v>
      </c>
      <c r="AN48" t="s">
        <v>275</v>
      </c>
    </row>
    <row r="49" spans="9:40" x14ac:dyDescent="0.45">
      <c r="I49" t="s">
        <v>165</v>
      </c>
      <c r="J49" t="s">
        <v>155</v>
      </c>
      <c r="K49">
        <v>3.3091010222444636E-2</v>
      </c>
      <c r="L49" t="s">
        <v>153</v>
      </c>
      <c r="N49" t="s">
        <v>208</v>
      </c>
      <c r="O49" t="s">
        <v>155</v>
      </c>
      <c r="P49">
        <v>0.1610751263958177</v>
      </c>
      <c r="Q49" t="s">
        <v>153</v>
      </c>
      <c r="S49" t="s">
        <v>250</v>
      </c>
      <c r="T49" t="s">
        <v>155</v>
      </c>
      <c r="U49">
        <v>0.16631253701408963</v>
      </c>
      <c r="V49" t="s">
        <v>153</v>
      </c>
      <c r="AK49">
        <v>2034</v>
      </c>
      <c r="AL49" t="s">
        <v>148</v>
      </c>
      <c r="AM49">
        <v>0.19137999999999997</v>
      </c>
      <c r="AN49" t="s">
        <v>275</v>
      </c>
    </row>
    <row r="50" spans="9:40" x14ac:dyDescent="0.45">
      <c r="I50" t="s">
        <v>165</v>
      </c>
      <c r="J50" t="s">
        <v>156</v>
      </c>
      <c r="K50">
        <v>0</v>
      </c>
      <c r="L50" t="s">
        <v>153</v>
      </c>
      <c r="N50" t="s">
        <v>208</v>
      </c>
      <c r="O50" t="s">
        <v>156</v>
      </c>
      <c r="P50">
        <v>5.8774691465837255E-2</v>
      </c>
      <c r="Q50" t="s">
        <v>153</v>
      </c>
      <c r="S50" t="s">
        <v>250</v>
      </c>
      <c r="T50" t="s">
        <v>156</v>
      </c>
      <c r="U50">
        <v>3.6553918172212305E-2</v>
      </c>
      <c r="V50" t="s">
        <v>153</v>
      </c>
      <c r="AK50">
        <v>2035</v>
      </c>
      <c r="AL50" t="s">
        <v>142</v>
      </c>
      <c r="AM50">
        <v>0.3786500000000001</v>
      </c>
      <c r="AN50" t="s">
        <v>275</v>
      </c>
    </row>
    <row r="51" spans="9:40" x14ac:dyDescent="0.45">
      <c r="I51" t="s">
        <v>165</v>
      </c>
      <c r="J51" t="s">
        <v>157</v>
      </c>
      <c r="K51">
        <v>0.11881958360298883</v>
      </c>
      <c r="L51" t="s">
        <v>153</v>
      </c>
      <c r="N51" t="s">
        <v>208</v>
      </c>
      <c r="O51" t="s">
        <v>157</v>
      </c>
      <c r="P51">
        <v>0.11237102912609229</v>
      </c>
      <c r="Q51" t="s">
        <v>153</v>
      </c>
      <c r="S51" t="s">
        <v>250</v>
      </c>
      <c r="T51" t="s">
        <v>157</v>
      </c>
      <c r="U51">
        <v>5.190815336800237E-2</v>
      </c>
      <c r="V51" t="s">
        <v>153</v>
      </c>
      <c r="AK51">
        <v>2035</v>
      </c>
      <c r="AL51" t="s">
        <v>146</v>
      </c>
      <c r="AM51">
        <v>0.22930000000000003</v>
      </c>
      <c r="AN51" t="s">
        <v>275</v>
      </c>
    </row>
    <row r="52" spans="9:40" x14ac:dyDescent="0.45">
      <c r="I52" t="s">
        <v>165</v>
      </c>
      <c r="J52" t="s">
        <v>158</v>
      </c>
      <c r="K52">
        <v>5.4931372745535174E-3</v>
      </c>
      <c r="L52" t="s">
        <v>153</v>
      </c>
      <c r="N52" t="s">
        <v>208</v>
      </c>
      <c r="O52" t="s">
        <v>158</v>
      </c>
      <c r="P52">
        <v>6.1614323283135236E-2</v>
      </c>
      <c r="Q52" t="s">
        <v>153</v>
      </c>
      <c r="S52" t="s">
        <v>250</v>
      </c>
      <c r="T52" t="s">
        <v>158</v>
      </c>
      <c r="U52">
        <v>4.3390458221056201E-2</v>
      </c>
      <c r="V52" t="s">
        <v>153</v>
      </c>
      <c r="AK52">
        <v>2035</v>
      </c>
      <c r="AL52" t="s">
        <v>148</v>
      </c>
      <c r="AM52">
        <v>0.20916000000000001</v>
      </c>
      <c r="AN52" t="s">
        <v>275</v>
      </c>
    </row>
    <row r="53" spans="9:40" x14ac:dyDescent="0.45">
      <c r="I53" t="s">
        <v>165</v>
      </c>
      <c r="J53" t="s">
        <v>159</v>
      </c>
      <c r="K53">
        <v>2.6018679280274386E-2</v>
      </c>
      <c r="L53" t="s">
        <v>153</v>
      </c>
      <c r="N53" t="s">
        <v>208</v>
      </c>
      <c r="O53" t="s">
        <v>159</v>
      </c>
      <c r="P53">
        <v>5.332728186955981E-2</v>
      </c>
      <c r="Q53" t="s">
        <v>153</v>
      </c>
      <c r="S53" t="s">
        <v>250</v>
      </c>
      <c r="T53" t="s">
        <v>159</v>
      </c>
      <c r="U53">
        <v>9.1337676902908935E-2</v>
      </c>
      <c r="V53" t="s">
        <v>153</v>
      </c>
      <c r="AK53">
        <v>2036</v>
      </c>
      <c r="AL53" t="s">
        <v>142</v>
      </c>
      <c r="AM53">
        <v>0.35435</v>
      </c>
      <c r="AN53" t="s">
        <v>275</v>
      </c>
    </row>
    <row r="54" spans="9:40" x14ac:dyDescent="0.45">
      <c r="I54" t="s">
        <v>165</v>
      </c>
      <c r="J54" t="s">
        <v>160</v>
      </c>
      <c r="K54">
        <v>0.36942139997107165</v>
      </c>
      <c r="L54" t="s">
        <v>153</v>
      </c>
      <c r="N54" t="s">
        <v>208</v>
      </c>
      <c r="O54" t="s">
        <v>160</v>
      </c>
      <c r="P54">
        <v>0.1551818340437956</v>
      </c>
      <c r="Q54" t="s">
        <v>153</v>
      </c>
      <c r="S54" t="s">
        <v>250</v>
      </c>
      <c r="T54" t="s">
        <v>160</v>
      </c>
      <c r="U54">
        <v>0.16150603132737834</v>
      </c>
      <c r="V54" t="s">
        <v>153</v>
      </c>
      <c r="AK54">
        <v>2036</v>
      </c>
      <c r="AL54" t="s">
        <v>146</v>
      </c>
      <c r="AM54">
        <v>5.000000000000001E-2</v>
      </c>
      <c r="AN54" t="s">
        <v>275</v>
      </c>
    </row>
    <row r="55" spans="9:40" x14ac:dyDescent="0.45">
      <c r="I55" t="s">
        <v>165</v>
      </c>
      <c r="J55" t="s">
        <v>161</v>
      </c>
      <c r="K55">
        <v>3.0384588356024027E-2</v>
      </c>
      <c r="L55" t="s">
        <v>153</v>
      </c>
      <c r="N55" t="s">
        <v>208</v>
      </c>
      <c r="O55" t="s">
        <v>161</v>
      </c>
      <c r="P55">
        <v>0.12845883579035433</v>
      </c>
      <c r="Q55" t="s">
        <v>153</v>
      </c>
      <c r="S55" t="s">
        <v>250</v>
      </c>
      <c r="T55" t="s">
        <v>161</v>
      </c>
      <c r="U55">
        <v>0.13719051436730142</v>
      </c>
      <c r="V55" t="s">
        <v>153</v>
      </c>
      <c r="AK55">
        <v>2036</v>
      </c>
      <c r="AL55" t="s">
        <v>148</v>
      </c>
      <c r="AM55">
        <v>0.11657999999999999</v>
      </c>
      <c r="AN55" t="s">
        <v>275</v>
      </c>
    </row>
    <row r="56" spans="9:40" x14ac:dyDescent="0.45">
      <c r="I56" t="s">
        <v>166</v>
      </c>
      <c r="J56" t="s">
        <v>152</v>
      </c>
      <c r="K56">
        <v>7.446714139793217E-3</v>
      </c>
      <c r="L56" t="s">
        <v>153</v>
      </c>
      <c r="N56" t="s">
        <v>209</v>
      </c>
      <c r="O56" t="s">
        <v>152</v>
      </c>
      <c r="P56">
        <v>0.10255489839009981</v>
      </c>
      <c r="Q56" t="s">
        <v>153</v>
      </c>
      <c r="S56" t="s">
        <v>251</v>
      </c>
      <c r="T56" t="s">
        <v>152</v>
      </c>
      <c r="U56">
        <v>0.13824149464571978</v>
      </c>
      <c r="V56" t="s">
        <v>153</v>
      </c>
      <c r="AK56">
        <v>2037</v>
      </c>
      <c r="AL56" t="s">
        <v>142</v>
      </c>
      <c r="AM56">
        <v>0.27431666666666665</v>
      </c>
      <c r="AN56" t="s">
        <v>275</v>
      </c>
    </row>
    <row r="57" spans="9:40" x14ac:dyDescent="0.45">
      <c r="I57" t="s">
        <v>166</v>
      </c>
      <c r="J57" t="s">
        <v>154</v>
      </c>
      <c r="K57">
        <v>0.40003202412611633</v>
      </c>
      <c r="L57" t="s">
        <v>153</v>
      </c>
      <c r="N57" t="s">
        <v>209</v>
      </c>
      <c r="O57" t="s">
        <v>154</v>
      </c>
      <c r="P57">
        <v>0.17483083550774989</v>
      </c>
      <c r="Q57" t="s">
        <v>153</v>
      </c>
      <c r="S57" t="s">
        <v>251</v>
      </c>
      <c r="T57" t="s">
        <v>154</v>
      </c>
      <c r="U57">
        <v>0.18998096354945276</v>
      </c>
      <c r="V57" t="s">
        <v>153</v>
      </c>
      <c r="AK57">
        <v>2037</v>
      </c>
      <c r="AL57" t="s">
        <v>146</v>
      </c>
      <c r="AM57">
        <v>0.16339999999999999</v>
      </c>
      <c r="AN57" t="s">
        <v>275</v>
      </c>
    </row>
    <row r="58" spans="9:40" x14ac:dyDescent="0.45">
      <c r="I58" t="s">
        <v>166</v>
      </c>
      <c r="J58" t="s">
        <v>155</v>
      </c>
      <c r="K58">
        <v>5.4786387260902049E-2</v>
      </c>
      <c r="L58" t="s">
        <v>153</v>
      </c>
      <c r="N58" t="s">
        <v>209</v>
      </c>
      <c r="O58" t="s">
        <v>155</v>
      </c>
      <c r="P58">
        <v>0.16602348713706319</v>
      </c>
      <c r="Q58" t="s">
        <v>153</v>
      </c>
      <c r="S58" t="s">
        <v>251</v>
      </c>
      <c r="T58" t="s">
        <v>155</v>
      </c>
      <c r="U58">
        <v>0.1582888977880742</v>
      </c>
      <c r="V58" t="s">
        <v>153</v>
      </c>
      <c r="AK58">
        <v>2037</v>
      </c>
      <c r="AL58" t="s">
        <v>148</v>
      </c>
      <c r="AM58">
        <v>0.16541999999999998</v>
      </c>
      <c r="AN58" t="s">
        <v>275</v>
      </c>
    </row>
    <row r="59" spans="9:40" x14ac:dyDescent="0.45">
      <c r="I59" t="s">
        <v>166</v>
      </c>
      <c r="J59" t="s">
        <v>156</v>
      </c>
      <c r="K59">
        <v>0</v>
      </c>
      <c r="L59" t="s">
        <v>153</v>
      </c>
      <c r="N59" t="s">
        <v>209</v>
      </c>
      <c r="O59" t="s">
        <v>156</v>
      </c>
      <c r="P59">
        <v>5.4136930987582522E-2</v>
      </c>
      <c r="Q59" t="s">
        <v>153</v>
      </c>
      <c r="S59" t="s">
        <v>251</v>
      </c>
      <c r="T59" t="s">
        <v>156</v>
      </c>
      <c r="U59">
        <v>3.757278607330107E-2</v>
      </c>
      <c r="V59" t="s">
        <v>153</v>
      </c>
      <c r="AK59">
        <v>2038</v>
      </c>
      <c r="AL59" t="s">
        <v>142</v>
      </c>
      <c r="AM59">
        <v>0.27021666666666672</v>
      </c>
      <c r="AN59" t="s">
        <v>275</v>
      </c>
    </row>
    <row r="60" spans="9:40" x14ac:dyDescent="0.45">
      <c r="I60" t="s">
        <v>166</v>
      </c>
      <c r="J60" t="s">
        <v>157</v>
      </c>
      <c r="K60">
        <v>0.10028379909520137</v>
      </c>
      <c r="L60" t="s">
        <v>153</v>
      </c>
      <c r="N60" t="s">
        <v>209</v>
      </c>
      <c r="O60" t="s">
        <v>157</v>
      </c>
      <c r="P60">
        <v>9.4470953250121517E-2</v>
      </c>
      <c r="Q60" t="s">
        <v>153</v>
      </c>
      <c r="S60" t="s">
        <v>251</v>
      </c>
      <c r="T60" t="s">
        <v>157</v>
      </c>
      <c r="U60">
        <v>5.0602663177965676E-2</v>
      </c>
      <c r="V60" t="s">
        <v>153</v>
      </c>
      <c r="AK60">
        <v>2038</v>
      </c>
      <c r="AL60" t="s">
        <v>146</v>
      </c>
      <c r="AM60">
        <v>5.000000000000001E-2</v>
      </c>
      <c r="AN60" t="s">
        <v>275</v>
      </c>
    </row>
    <row r="61" spans="9:40" x14ac:dyDescent="0.45">
      <c r="I61" t="s">
        <v>166</v>
      </c>
      <c r="J61" t="s">
        <v>158</v>
      </c>
      <c r="K61">
        <v>7.5380403628430778E-3</v>
      </c>
      <c r="L61" t="s">
        <v>153</v>
      </c>
      <c r="N61" t="s">
        <v>209</v>
      </c>
      <c r="O61" t="s">
        <v>158</v>
      </c>
      <c r="P61">
        <v>5.8891031523076232E-2</v>
      </c>
      <c r="Q61" t="s">
        <v>153</v>
      </c>
      <c r="S61" t="s">
        <v>251</v>
      </c>
      <c r="T61" t="s">
        <v>158</v>
      </c>
      <c r="U61">
        <v>4.1691977088836804E-2</v>
      </c>
      <c r="V61" t="s">
        <v>153</v>
      </c>
      <c r="AK61">
        <v>2038</v>
      </c>
      <c r="AL61" t="s">
        <v>148</v>
      </c>
      <c r="AM61">
        <v>0.13203999999999999</v>
      </c>
      <c r="AN61" t="s">
        <v>275</v>
      </c>
    </row>
    <row r="62" spans="9:40" x14ac:dyDescent="0.45">
      <c r="I62" t="s">
        <v>166</v>
      </c>
      <c r="J62" t="s">
        <v>159</v>
      </c>
      <c r="K62">
        <v>1.5762726423899427E-2</v>
      </c>
      <c r="L62" t="s">
        <v>153</v>
      </c>
      <c r="N62" t="s">
        <v>209</v>
      </c>
      <c r="O62" t="s">
        <v>159</v>
      </c>
      <c r="P62">
        <v>7.4862893633369135E-2</v>
      </c>
      <c r="Q62" t="s">
        <v>153</v>
      </c>
      <c r="S62" t="s">
        <v>251</v>
      </c>
      <c r="T62" t="s">
        <v>159</v>
      </c>
      <c r="U62">
        <v>0.10528202724903415</v>
      </c>
      <c r="V62" t="s">
        <v>153</v>
      </c>
      <c r="AK62">
        <v>2039</v>
      </c>
      <c r="AL62" t="s">
        <v>142</v>
      </c>
      <c r="AM62">
        <v>0.33373333333333327</v>
      </c>
      <c r="AN62" t="s">
        <v>275</v>
      </c>
    </row>
    <row r="63" spans="9:40" x14ac:dyDescent="0.45">
      <c r="I63" t="s">
        <v>166</v>
      </c>
      <c r="J63" t="s">
        <v>160</v>
      </c>
      <c r="K63">
        <v>0.36725457553947394</v>
      </c>
      <c r="L63" t="s">
        <v>153</v>
      </c>
      <c r="N63" t="s">
        <v>209</v>
      </c>
      <c r="O63" t="s">
        <v>160</v>
      </c>
      <c r="P63">
        <v>0.14141497634607697</v>
      </c>
      <c r="Q63" t="s">
        <v>153</v>
      </c>
      <c r="S63" t="s">
        <v>251</v>
      </c>
      <c r="T63" t="s">
        <v>160</v>
      </c>
      <c r="U63">
        <v>0.15428686332263233</v>
      </c>
      <c r="V63" t="s">
        <v>153</v>
      </c>
      <c r="AK63">
        <v>2039</v>
      </c>
      <c r="AL63" t="s">
        <v>146</v>
      </c>
      <c r="AM63">
        <v>0.11126666666666667</v>
      </c>
      <c r="AN63" t="s">
        <v>275</v>
      </c>
    </row>
    <row r="64" spans="9:40" x14ac:dyDescent="0.45">
      <c r="I64" t="s">
        <v>166</v>
      </c>
      <c r="J64" t="s">
        <v>161</v>
      </c>
      <c r="K64">
        <v>4.6895733051772533E-2</v>
      </c>
      <c r="L64" t="s">
        <v>153</v>
      </c>
      <c r="N64" t="s">
        <v>209</v>
      </c>
      <c r="O64" t="s">
        <v>161</v>
      </c>
      <c r="P64">
        <v>0.13281399322486387</v>
      </c>
      <c r="Q64" t="s">
        <v>153</v>
      </c>
      <c r="S64" t="s">
        <v>251</v>
      </c>
      <c r="T64" t="s">
        <v>161</v>
      </c>
      <c r="U64">
        <v>0.12405232710498344</v>
      </c>
      <c r="V64" t="s">
        <v>153</v>
      </c>
      <c r="AK64">
        <v>2039</v>
      </c>
      <c r="AL64" t="s">
        <v>148</v>
      </c>
      <c r="AM64">
        <v>9.6360000000000001E-2</v>
      </c>
      <c r="AN64" t="s">
        <v>275</v>
      </c>
    </row>
    <row r="65" spans="9:40" x14ac:dyDescent="0.45">
      <c r="I65" t="s">
        <v>167</v>
      </c>
      <c r="J65" t="s">
        <v>152</v>
      </c>
      <c r="K65">
        <v>9.7249917357243865E-3</v>
      </c>
      <c r="L65" t="s">
        <v>153</v>
      </c>
      <c r="N65" t="s">
        <v>210</v>
      </c>
      <c r="O65" t="s">
        <v>152</v>
      </c>
      <c r="P65">
        <v>6.7841334766118713E-2</v>
      </c>
      <c r="Q65" t="s">
        <v>153</v>
      </c>
      <c r="S65" t="s">
        <v>252</v>
      </c>
      <c r="T65" t="s">
        <v>152</v>
      </c>
      <c r="U65">
        <v>0.11812141556994629</v>
      </c>
      <c r="V65" t="s">
        <v>153</v>
      </c>
      <c r="AK65">
        <v>2040</v>
      </c>
      <c r="AL65" t="s">
        <v>142</v>
      </c>
      <c r="AM65">
        <v>0.36719999999999997</v>
      </c>
      <c r="AN65" t="s">
        <v>275</v>
      </c>
    </row>
    <row r="66" spans="9:40" x14ac:dyDescent="0.45">
      <c r="I66" t="s">
        <v>167</v>
      </c>
      <c r="J66" t="s">
        <v>154</v>
      </c>
      <c r="K66">
        <v>0.40225347832042052</v>
      </c>
      <c r="L66" t="s">
        <v>153</v>
      </c>
      <c r="N66" t="s">
        <v>210</v>
      </c>
      <c r="O66" t="s">
        <v>154</v>
      </c>
      <c r="P66">
        <v>0.19076986618224384</v>
      </c>
      <c r="Q66" t="s">
        <v>153</v>
      </c>
      <c r="S66" t="s">
        <v>252</v>
      </c>
      <c r="T66" t="s">
        <v>154</v>
      </c>
      <c r="U66">
        <v>0.18159471269016877</v>
      </c>
      <c r="V66" t="s">
        <v>153</v>
      </c>
      <c r="AK66">
        <v>2040</v>
      </c>
      <c r="AL66" t="s">
        <v>146</v>
      </c>
      <c r="AM66">
        <v>0.1704</v>
      </c>
      <c r="AN66" t="s">
        <v>275</v>
      </c>
    </row>
    <row r="67" spans="9:40" x14ac:dyDescent="0.45">
      <c r="I67" t="s">
        <v>167</v>
      </c>
      <c r="J67" t="s">
        <v>155</v>
      </c>
      <c r="K67">
        <v>5.3076353172902858E-2</v>
      </c>
      <c r="L67" t="s">
        <v>153</v>
      </c>
      <c r="N67" t="s">
        <v>210</v>
      </c>
      <c r="O67" t="s">
        <v>155</v>
      </c>
      <c r="P67">
        <v>8.3717786261623947E-2</v>
      </c>
      <c r="Q67" t="s">
        <v>153</v>
      </c>
      <c r="S67" t="s">
        <v>252</v>
      </c>
      <c r="T67" t="s">
        <v>155</v>
      </c>
      <c r="U67">
        <v>0.1350175520204111</v>
      </c>
      <c r="V67" t="s">
        <v>153</v>
      </c>
      <c r="AK67">
        <v>2040</v>
      </c>
      <c r="AL67" t="s">
        <v>148</v>
      </c>
      <c r="AM67">
        <v>0.21082000000000001</v>
      </c>
      <c r="AN67" t="s">
        <v>275</v>
      </c>
    </row>
    <row r="68" spans="9:40" x14ac:dyDescent="0.45">
      <c r="I68" t="s">
        <v>167</v>
      </c>
      <c r="J68" t="s">
        <v>156</v>
      </c>
      <c r="K68">
        <v>0</v>
      </c>
      <c r="L68" t="s">
        <v>153</v>
      </c>
      <c r="N68" t="s">
        <v>210</v>
      </c>
      <c r="O68" t="s">
        <v>156</v>
      </c>
      <c r="P68">
        <v>5.4634143443743274E-2</v>
      </c>
      <c r="Q68" t="s">
        <v>153</v>
      </c>
      <c r="S68" t="s">
        <v>252</v>
      </c>
      <c r="T68" t="s">
        <v>156</v>
      </c>
      <c r="U68">
        <v>5.582565531689513E-2</v>
      </c>
      <c r="V68" t="s">
        <v>153</v>
      </c>
      <c r="AK68">
        <v>2041</v>
      </c>
      <c r="AL68" t="s">
        <v>142</v>
      </c>
      <c r="AM68">
        <v>0.28056666666666669</v>
      </c>
      <c r="AN68" t="s">
        <v>275</v>
      </c>
    </row>
    <row r="69" spans="9:40" x14ac:dyDescent="0.45">
      <c r="I69" t="s">
        <v>167</v>
      </c>
      <c r="J69" t="s">
        <v>157</v>
      </c>
      <c r="K69">
        <v>9.5151196357382714E-2</v>
      </c>
      <c r="L69" t="s">
        <v>153</v>
      </c>
      <c r="N69" t="s">
        <v>210</v>
      </c>
      <c r="O69" t="s">
        <v>157</v>
      </c>
      <c r="P69">
        <v>0.12247212535793653</v>
      </c>
      <c r="Q69" t="s">
        <v>153</v>
      </c>
      <c r="S69" t="s">
        <v>252</v>
      </c>
      <c r="T69" t="s">
        <v>157</v>
      </c>
      <c r="U69">
        <v>7.2497842629007644E-2</v>
      </c>
      <c r="V69" t="s">
        <v>153</v>
      </c>
      <c r="AK69">
        <v>2041</v>
      </c>
      <c r="AL69" t="s">
        <v>146</v>
      </c>
      <c r="AM69">
        <v>0.1245</v>
      </c>
      <c r="AN69" t="s">
        <v>275</v>
      </c>
    </row>
    <row r="70" spans="9:40" x14ac:dyDescent="0.45">
      <c r="I70" t="s">
        <v>167</v>
      </c>
      <c r="J70" t="s">
        <v>158</v>
      </c>
      <c r="K70">
        <v>7.2439528171806935E-3</v>
      </c>
      <c r="L70" t="s">
        <v>153</v>
      </c>
      <c r="N70" t="s">
        <v>210</v>
      </c>
      <c r="O70" t="s">
        <v>158</v>
      </c>
      <c r="P70">
        <v>4.9498677585517015E-2</v>
      </c>
      <c r="Q70" t="s">
        <v>153</v>
      </c>
      <c r="S70" t="s">
        <v>252</v>
      </c>
      <c r="T70" t="s">
        <v>158</v>
      </c>
      <c r="U70">
        <v>5.5613718994733205E-2</v>
      </c>
      <c r="V70" t="s">
        <v>153</v>
      </c>
      <c r="AK70">
        <v>2041</v>
      </c>
      <c r="AL70" t="s">
        <v>148</v>
      </c>
      <c r="AM70">
        <v>0.21038000000000001</v>
      </c>
      <c r="AN70" t="s">
        <v>275</v>
      </c>
    </row>
    <row r="71" spans="9:40" x14ac:dyDescent="0.45">
      <c r="I71" t="s">
        <v>167</v>
      </c>
      <c r="J71" t="s">
        <v>159</v>
      </c>
      <c r="K71">
        <v>1.7920503666076122E-2</v>
      </c>
      <c r="L71" t="s">
        <v>153</v>
      </c>
      <c r="N71" t="s">
        <v>210</v>
      </c>
      <c r="O71" t="s">
        <v>159</v>
      </c>
      <c r="P71">
        <v>6.8868803315182109E-2</v>
      </c>
      <c r="Q71" t="s">
        <v>153</v>
      </c>
      <c r="S71" t="s">
        <v>252</v>
      </c>
      <c r="T71" t="s">
        <v>159</v>
      </c>
      <c r="U71">
        <v>0.10246978259928283</v>
      </c>
      <c r="V71" t="s">
        <v>153</v>
      </c>
      <c r="AK71">
        <v>2042</v>
      </c>
      <c r="AL71" t="s">
        <v>142</v>
      </c>
      <c r="AM71">
        <v>0.24938333333333337</v>
      </c>
      <c r="AN71" t="s">
        <v>275</v>
      </c>
    </row>
    <row r="72" spans="9:40" x14ac:dyDescent="0.45">
      <c r="I72" t="s">
        <v>167</v>
      </c>
      <c r="J72" t="s">
        <v>160</v>
      </c>
      <c r="K72">
        <v>0.37025531398113337</v>
      </c>
      <c r="L72" t="s">
        <v>153</v>
      </c>
      <c r="N72" t="s">
        <v>210</v>
      </c>
      <c r="O72" t="s">
        <v>160</v>
      </c>
      <c r="P72">
        <v>0.27222979634061095</v>
      </c>
      <c r="Q72" t="s">
        <v>153</v>
      </c>
      <c r="S72" t="s">
        <v>252</v>
      </c>
      <c r="T72" t="s">
        <v>160</v>
      </c>
      <c r="U72">
        <v>0.16701006153211009</v>
      </c>
      <c r="V72" t="s">
        <v>153</v>
      </c>
      <c r="AK72">
        <v>2042</v>
      </c>
      <c r="AL72" t="s">
        <v>146</v>
      </c>
      <c r="AM72">
        <v>8.4766666666666657E-2</v>
      </c>
      <c r="AN72" t="s">
        <v>275</v>
      </c>
    </row>
    <row r="73" spans="9:40" x14ac:dyDescent="0.45">
      <c r="I73" t="s">
        <v>167</v>
      </c>
      <c r="J73" t="s">
        <v>161</v>
      </c>
      <c r="K73">
        <v>4.4374209949179677E-2</v>
      </c>
      <c r="L73" t="s">
        <v>153</v>
      </c>
      <c r="N73" t="s">
        <v>210</v>
      </c>
      <c r="O73" t="s">
        <v>161</v>
      </c>
      <c r="P73">
        <v>8.9967466747023814E-2</v>
      </c>
      <c r="Q73" t="s">
        <v>153</v>
      </c>
      <c r="S73" t="s">
        <v>252</v>
      </c>
      <c r="T73" t="s">
        <v>161</v>
      </c>
      <c r="U73">
        <v>0.11184925864744119</v>
      </c>
      <c r="V73" t="s">
        <v>153</v>
      </c>
      <c r="AK73">
        <v>2042</v>
      </c>
      <c r="AL73" t="s">
        <v>148</v>
      </c>
      <c r="AM73">
        <v>0.22286</v>
      </c>
      <c r="AN73" t="s">
        <v>275</v>
      </c>
    </row>
    <row r="74" spans="9:40" x14ac:dyDescent="0.45">
      <c r="I74" t="s">
        <v>168</v>
      </c>
      <c r="J74" t="s">
        <v>152</v>
      </c>
      <c r="K74">
        <v>6.5459936133221673E-3</v>
      </c>
      <c r="L74" t="s">
        <v>153</v>
      </c>
      <c r="N74" t="s">
        <v>211</v>
      </c>
      <c r="O74" t="s">
        <v>152</v>
      </c>
      <c r="P74">
        <v>9.6390271146245002E-2</v>
      </c>
      <c r="Q74" t="s">
        <v>153</v>
      </c>
      <c r="S74" t="s">
        <v>253</v>
      </c>
      <c r="T74" t="s">
        <v>152</v>
      </c>
      <c r="U74">
        <v>0.12581804394454421</v>
      </c>
      <c r="V74" t="s">
        <v>153</v>
      </c>
      <c r="AK74">
        <v>2043</v>
      </c>
      <c r="AL74" t="s">
        <v>142</v>
      </c>
      <c r="AM74">
        <v>0.37969999999999998</v>
      </c>
      <c r="AN74" t="s">
        <v>275</v>
      </c>
    </row>
    <row r="75" spans="9:40" x14ac:dyDescent="0.45">
      <c r="I75" t="s">
        <v>168</v>
      </c>
      <c r="J75" t="s">
        <v>154</v>
      </c>
      <c r="K75">
        <v>0.40696812830382989</v>
      </c>
      <c r="L75" t="s">
        <v>153</v>
      </c>
      <c r="N75" t="s">
        <v>211</v>
      </c>
      <c r="O75" t="s">
        <v>154</v>
      </c>
      <c r="P75">
        <v>0.13172404699567655</v>
      </c>
      <c r="Q75" t="s">
        <v>153</v>
      </c>
      <c r="S75" t="s">
        <v>253</v>
      </c>
      <c r="T75" t="s">
        <v>154</v>
      </c>
      <c r="U75">
        <v>0.18009288357193712</v>
      </c>
      <c r="V75" t="s">
        <v>153</v>
      </c>
      <c r="AK75">
        <v>2043</v>
      </c>
      <c r="AL75" t="s">
        <v>146</v>
      </c>
      <c r="AM75">
        <v>0.10609999999999999</v>
      </c>
      <c r="AN75" t="s">
        <v>275</v>
      </c>
    </row>
    <row r="76" spans="9:40" x14ac:dyDescent="0.45">
      <c r="I76" t="s">
        <v>168</v>
      </c>
      <c r="J76" t="s">
        <v>155</v>
      </c>
      <c r="K76">
        <v>4.5922193130335097E-2</v>
      </c>
      <c r="L76" t="s">
        <v>153</v>
      </c>
      <c r="N76" t="s">
        <v>211</v>
      </c>
      <c r="O76" t="s">
        <v>155</v>
      </c>
      <c r="P76">
        <v>0.12890979383238688</v>
      </c>
      <c r="Q76" t="s">
        <v>153</v>
      </c>
      <c r="S76" t="s">
        <v>253</v>
      </c>
      <c r="T76" t="s">
        <v>155</v>
      </c>
      <c r="U76">
        <v>0.14714333486706629</v>
      </c>
      <c r="V76" t="s">
        <v>153</v>
      </c>
      <c r="AK76">
        <v>2043</v>
      </c>
      <c r="AL76" t="s">
        <v>148</v>
      </c>
      <c r="AM76">
        <v>0.11500000000000002</v>
      </c>
      <c r="AN76" t="s">
        <v>275</v>
      </c>
    </row>
    <row r="77" spans="9:40" x14ac:dyDescent="0.45">
      <c r="I77" t="s">
        <v>168</v>
      </c>
      <c r="J77" t="s">
        <v>156</v>
      </c>
      <c r="K77">
        <v>0</v>
      </c>
      <c r="L77" t="s">
        <v>153</v>
      </c>
      <c r="N77" t="s">
        <v>211</v>
      </c>
      <c r="O77" t="s">
        <v>156</v>
      </c>
      <c r="P77">
        <v>6.5404022234969064E-2</v>
      </c>
      <c r="Q77" t="s">
        <v>153</v>
      </c>
      <c r="S77" t="s">
        <v>253</v>
      </c>
      <c r="T77" t="s">
        <v>156</v>
      </c>
      <c r="U77">
        <v>3.6778298665367623E-2</v>
      </c>
      <c r="V77" t="s">
        <v>153</v>
      </c>
      <c r="AK77">
        <v>2044</v>
      </c>
      <c r="AL77" t="s">
        <v>142</v>
      </c>
      <c r="AM77">
        <v>0.24704999999999999</v>
      </c>
      <c r="AN77" t="s">
        <v>275</v>
      </c>
    </row>
    <row r="78" spans="9:40" x14ac:dyDescent="0.45">
      <c r="I78" t="s">
        <v>168</v>
      </c>
      <c r="J78" t="s">
        <v>157</v>
      </c>
      <c r="K78">
        <v>0.11638554589626673</v>
      </c>
      <c r="L78" t="s">
        <v>153</v>
      </c>
      <c r="N78" t="s">
        <v>211</v>
      </c>
      <c r="O78" t="s">
        <v>157</v>
      </c>
      <c r="P78">
        <v>8.8433244573892761E-2</v>
      </c>
      <c r="Q78" t="s">
        <v>153</v>
      </c>
      <c r="S78" t="s">
        <v>253</v>
      </c>
      <c r="T78" t="s">
        <v>157</v>
      </c>
      <c r="U78">
        <v>6.558259224743955E-2</v>
      </c>
      <c r="V78" t="s">
        <v>153</v>
      </c>
      <c r="AK78">
        <v>2044</v>
      </c>
      <c r="AL78" t="s">
        <v>146</v>
      </c>
      <c r="AM78">
        <v>0.20493333333333333</v>
      </c>
      <c r="AN78" t="s">
        <v>275</v>
      </c>
    </row>
    <row r="79" spans="9:40" x14ac:dyDescent="0.45">
      <c r="I79" t="s">
        <v>168</v>
      </c>
      <c r="J79" t="s">
        <v>158</v>
      </c>
      <c r="K79">
        <v>8.3753362130951359E-3</v>
      </c>
      <c r="L79" t="s">
        <v>153</v>
      </c>
      <c r="N79" t="s">
        <v>211</v>
      </c>
      <c r="O79" t="s">
        <v>158</v>
      </c>
      <c r="P79">
        <v>6.4382277266634438E-2</v>
      </c>
      <c r="Q79" t="s">
        <v>153</v>
      </c>
      <c r="S79" t="s">
        <v>253</v>
      </c>
      <c r="T79" t="s">
        <v>158</v>
      </c>
      <c r="U79">
        <v>5.3353040273199093E-2</v>
      </c>
      <c r="V79" t="s">
        <v>153</v>
      </c>
      <c r="AK79">
        <v>2044</v>
      </c>
      <c r="AL79" t="s">
        <v>148</v>
      </c>
      <c r="AM79">
        <v>0.17626000000000003</v>
      </c>
      <c r="AN79" t="s">
        <v>275</v>
      </c>
    </row>
    <row r="80" spans="9:40" x14ac:dyDescent="0.45">
      <c r="I80" t="s">
        <v>168</v>
      </c>
      <c r="J80" t="s">
        <v>159</v>
      </c>
      <c r="K80">
        <v>1.4233468146752613E-2</v>
      </c>
      <c r="L80" t="s">
        <v>153</v>
      </c>
      <c r="N80" t="s">
        <v>211</v>
      </c>
      <c r="O80" t="s">
        <v>159</v>
      </c>
      <c r="P80">
        <v>0.10898992556777982</v>
      </c>
      <c r="Q80" t="s">
        <v>153</v>
      </c>
      <c r="S80" t="s">
        <v>253</v>
      </c>
      <c r="T80" t="s">
        <v>159</v>
      </c>
      <c r="U80">
        <v>0.10345881501746999</v>
      </c>
      <c r="V80" t="s">
        <v>153</v>
      </c>
      <c r="AK80">
        <v>2045</v>
      </c>
      <c r="AL80" t="s">
        <v>142</v>
      </c>
      <c r="AM80">
        <v>0.30990000000000001</v>
      </c>
      <c r="AN80" t="s">
        <v>275</v>
      </c>
    </row>
    <row r="81" spans="9:40" x14ac:dyDescent="0.45">
      <c r="I81" t="s">
        <v>168</v>
      </c>
      <c r="J81" t="s">
        <v>160</v>
      </c>
      <c r="K81">
        <v>0.36311860999402179</v>
      </c>
      <c r="L81" t="s">
        <v>153</v>
      </c>
      <c r="N81" t="s">
        <v>211</v>
      </c>
      <c r="O81" t="s">
        <v>160</v>
      </c>
      <c r="P81">
        <v>0.17977596126681067</v>
      </c>
      <c r="Q81" t="s">
        <v>153</v>
      </c>
      <c r="S81" t="s">
        <v>253</v>
      </c>
      <c r="T81" t="s">
        <v>160</v>
      </c>
      <c r="U81">
        <v>0.15869107067386171</v>
      </c>
      <c r="V81" t="s">
        <v>153</v>
      </c>
      <c r="AK81">
        <v>2045</v>
      </c>
      <c r="AL81" t="s">
        <v>146</v>
      </c>
      <c r="AM81">
        <v>0.24406666666666665</v>
      </c>
      <c r="AN81" t="s">
        <v>275</v>
      </c>
    </row>
    <row r="82" spans="9:40" x14ac:dyDescent="0.45">
      <c r="I82" t="s">
        <v>168</v>
      </c>
      <c r="J82" t="s">
        <v>161</v>
      </c>
      <c r="K82">
        <v>3.8450724702380229E-2</v>
      </c>
      <c r="L82" t="s">
        <v>153</v>
      </c>
      <c r="N82" t="s">
        <v>211</v>
      </c>
      <c r="O82" t="s">
        <v>161</v>
      </c>
      <c r="P82">
        <v>0.1359904571156077</v>
      </c>
      <c r="Q82" t="s">
        <v>153</v>
      </c>
      <c r="S82" t="s">
        <v>253</v>
      </c>
      <c r="T82" t="s">
        <v>161</v>
      </c>
      <c r="U82">
        <v>0.12908192073911309</v>
      </c>
      <c r="V82" t="s">
        <v>153</v>
      </c>
      <c r="AK82">
        <v>2045</v>
      </c>
      <c r="AL82" t="s">
        <v>148</v>
      </c>
      <c r="AM82">
        <v>0.24424000000000001</v>
      </c>
      <c r="AN82" t="s">
        <v>275</v>
      </c>
    </row>
    <row r="83" spans="9:40" x14ac:dyDescent="0.45">
      <c r="I83" t="s">
        <v>169</v>
      </c>
      <c r="J83" t="s">
        <v>152</v>
      </c>
      <c r="K83">
        <v>8.8278524864373511E-3</v>
      </c>
      <c r="L83" t="s">
        <v>153</v>
      </c>
      <c r="N83" t="s">
        <v>212</v>
      </c>
      <c r="O83" t="s">
        <v>152</v>
      </c>
      <c r="P83">
        <v>0.11324451683154771</v>
      </c>
      <c r="Q83" t="s">
        <v>153</v>
      </c>
      <c r="S83" t="s">
        <v>254</v>
      </c>
      <c r="T83" t="s">
        <v>152</v>
      </c>
      <c r="U83">
        <v>0.12003104999324483</v>
      </c>
      <c r="V83" t="s">
        <v>153</v>
      </c>
      <c r="AK83">
        <v>2046</v>
      </c>
      <c r="AL83" t="s">
        <v>142</v>
      </c>
      <c r="AM83">
        <v>0.38053333333333333</v>
      </c>
      <c r="AN83" t="s">
        <v>275</v>
      </c>
    </row>
    <row r="84" spans="9:40" x14ac:dyDescent="0.45">
      <c r="I84" t="s">
        <v>169</v>
      </c>
      <c r="J84" t="s">
        <v>154</v>
      </c>
      <c r="K84">
        <v>0.40331904927365242</v>
      </c>
      <c r="L84" t="s">
        <v>153</v>
      </c>
      <c r="N84" t="s">
        <v>212</v>
      </c>
      <c r="O84" t="s">
        <v>154</v>
      </c>
      <c r="P84">
        <v>0.11651016646724066</v>
      </c>
      <c r="Q84" t="s">
        <v>153</v>
      </c>
      <c r="S84" t="s">
        <v>254</v>
      </c>
      <c r="T84" t="s">
        <v>154</v>
      </c>
      <c r="U84">
        <v>0.17766787795965486</v>
      </c>
      <c r="V84" t="s">
        <v>153</v>
      </c>
      <c r="AK84">
        <v>2046</v>
      </c>
      <c r="AL84" t="s">
        <v>146</v>
      </c>
      <c r="AM84">
        <v>5.000000000000001E-2</v>
      </c>
      <c r="AN84" t="s">
        <v>275</v>
      </c>
    </row>
    <row r="85" spans="9:40" x14ac:dyDescent="0.45">
      <c r="I85" t="s">
        <v>169</v>
      </c>
      <c r="J85" t="s">
        <v>155</v>
      </c>
      <c r="K85">
        <v>4.6670628887134427E-2</v>
      </c>
      <c r="L85" t="s">
        <v>153</v>
      </c>
      <c r="N85" t="s">
        <v>212</v>
      </c>
      <c r="O85" t="s">
        <v>155</v>
      </c>
      <c r="P85">
        <v>0.13484314204601675</v>
      </c>
      <c r="Q85" t="s">
        <v>153</v>
      </c>
      <c r="S85" t="s">
        <v>254</v>
      </c>
      <c r="T85" t="s">
        <v>155</v>
      </c>
      <c r="U85">
        <v>0.14374372295311116</v>
      </c>
      <c r="V85" t="s">
        <v>153</v>
      </c>
      <c r="AK85">
        <v>2046</v>
      </c>
      <c r="AL85" t="s">
        <v>148</v>
      </c>
      <c r="AM85">
        <v>0.14857999999999999</v>
      </c>
      <c r="AN85" t="s">
        <v>275</v>
      </c>
    </row>
    <row r="86" spans="9:40" x14ac:dyDescent="0.45">
      <c r="I86" t="s">
        <v>169</v>
      </c>
      <c r="J86" t="s">
        <v>156</v>
      </c>
      <c r="K86">
        <v>0</v>
      </c>
      <c r="L86" t="s">
        <v>153</v>
      </c>
      <c r="N86" t="s">
        <v>212</v>
      </c>
      <c r="O86" t="s">
        <v>156</v>
      </c>
      <c r="P86">
        <v>6.7009862097583708E-2</v>
      </c>
      <c r="Q86" t="s">
        <v>153</v>
      </c>
      <c r="S86" t="s">
        <v>254</v>
      </c>
      <c r="T86" t="s">
        <v>156</v>
      </c>
      <c r="U86">
        <v>4.3138375544515078E-2</v>
      </c>
      <c r="V86" t="s">
        <v>153</v>
      </c>
      <c r="AK86">
        <v>2047</v>
      </c>
      <c r="AL86" t="s">
        <v>142</v>
      </c>
      <c r="AM86">
        <v>0.40939999999999999</v>
      </c>
      <c r="AN86" t="s">
        <v>275</v>
      </c>
    </row>
    <row r="87" spans="9:40" x14ac:dyDescent="0.45">
      <c r="I87" t="s">
        <v>169</v>
      </c>
      <c r="J87" t="s">
        <v>157</v>
      </c>
      <c r="K87">
        <v>0.11040670688366046</v>
      </c>
      <c r="L87" t="s">
        <v>153</v>
      </c>
      <c r="N87" t="s">
        <v>212</v>
      </c>
      <c r="O87" t="s">
        <v>157</v>
      </c>
      <c r="P87">
        <v>6.7416502821640703E-2</v>
      </c>
      <c r="Q87" t="s">
        <v>153</v>
      </c>
      <c r="S87" t="s">
        <v>254</v>
      </c>
      <c r="T87" t="s">
        <v>157</v>
      </c>
      <c r="U87">
        <v>7.0666912144231528E-2</v>
      </c>
      <c r="V87" t="s">
        <v>153</v>
      </c>
      <c r="AK87">
        <v>2047</v>
      </c>
      <c r="AL87" t="s">
        <v>146</v>
      </c>
      <c r="AM87">
        <v>0.16533333333333333</v>
      </c>
      <c r="AN87" t="s">
        <v>275</v>
      </c>
    </row>
    <row r="88" spans="9:40" x14ac:dyDescent="0.45">
      <c r="I88" t="s">
        <v>169</v>
      </c>
      <c r="J88" t="s">
        <v>158</v>
      </c>
      <c r="K88">
        <v>8.1283067808335888E-3</v>
      </c>
      <c r="L88" t="s">
        <v>153</v>
      </c>
      <c r="N88" t="s">
        <v>212</v>
      </c>
      <c r="O88" t="s">
        <v>158</v>
      </c>
      <c r="P88">
        <v>6.3574671900956795E-2</v>
      </c>
      <c r="Q88" t="s">
        <v>153</v>
      </c>
      <c r="S88" t="s">
        <v>254</v>
      </c>
      <c r="T88" t="s">
        <v>158</v>
      </c>
      <c r="U88">
        <v>5.2384457990249066E-2</v>
      </c>
      <c r="V88" t="s">
        <v>153</v>
      </c>
      <c r="AK88">
        <v>2047</v>
      </c>
      <c r="AL88" t="s">
        <v>148</v>
      </c>
      <c r="AM88">
        <v>0.28315999999999997</v>
      </c>
      <c r="AN88" t="s">
        <v>275</v>
      </c>
    </row>
    <row r="89" spans="9:40" x14ac:dyDescent="0.45">
      <c r="I89" t="s">
        <v>169</v>
      </c>
      <c r="J89" t="s">
        <v>159</v>
      </c>
      <c r="K89">
        <v>1.679972686111009E-2</v>
      </c>
      <c r="L89" t="s">
        <v>153</v>
      </c>
      <c r="N89" t="s">
        <v>212</v>
      </c>
      <c r="O89" t="s">
        <v>159</v>
      </c>
      <c r="P89">
        <v>0.13582710876861365</v>
      </c>
      <c r="Q89" t="s">
        <v>153</v>
      </c>
      <c r="S89" t="s">
        <v>254</v>
      </c>
      <c r="T89" t="s">
        <v>159</v>
      </c>
      <c r="U89">
        <v>9.9955683180343785E-2</v>
      </c>
      <c r="V89" t="s">
        <v>153</v>
      </c>
      <c r="AK89">
        <v>2048</v>
      </c>
      <c r="AL89" t="s">
        <v>142</v>
      </c>
      <c r="AM89">
        <v>0.35516666666666669</v>
      </c>
      <c r="AN89" t="s">
        <v>275</v>
      </c>
    </row>
    <row r="90" spans="9:40" x14ac:dyDescent="0.45">
      <c r="I90" t="s">
        <v>169</v>
      </c>
      <c r="J90" t="s">
        <v>160</v>
      </c>
      <c r="K90">
        <v>0.36660406396541811</v>
      </c>
      <c r="L90" t="s">
        <v>153</v>
      </c>
      <c r="N90" t="s">
        <v>212</v>
      </c>
      <c r="O90" t="s">
        <v>160</v>
      </c>
      <c r="P90">
        <v>0.15585963895966892</v>
      </c>
      <c r="Q90" t="s">
        <v>153</v>
      </c>
      <c r="S90" t="s">
        <v>254</v>
      </c>
      <c r="T90" t="s">
        <v>160</v>
      </c>
      <c r="U90">
        <v>0.17304236575595319</v>
      </c>
      <c r="V90" t="s">
        <v>153</v>
      </c>
      <c r="AK90">
        <v>2048</v>
      </c>
      <c r="AL90" t="s">
        <v>146</v>
      </c>
      <c r="AM90">
        <v>0.29363333333333336</v>
      </c>
      <c r="AN90" t="s">
        <v>275</v>
      </c>
    </row>
    <row r="91" spans="9:40" x14ac:dyDescent="0.45">
      <c r="I91" t="s">
        <v>169</v>
      </c>
      <c r="J91" t="s">
        <v>161</v>
      </c>
      <c r="K91">
        <v>3.9243664861754117E-2</v>
      </c>
      <c r="L91" t="s">
        <v>153</v>
      </c>
      <c r="N91" t="s">
        <v>212</v>
      </c>
      <c r="O91" t="s">
        <v>161</v>
      </c>
      <c r="P91">
        <v>0.14571439010672496</v>
      </c>
      <c r="Q91" t="s">
        <v>153</v>
      </c>
      <c r="S91" t="s">
        <v>254</v>
      </c>
      <c r="T91" t="s">
        <v>161</v>
      </c>
      <c r="U91">
        <v>0.11936955447869328</v>
      </c>
      <c r="V91" t="s">
        <v>153</v>
      </c>
      <c r="AK91">
        <v>2048</v>
      </c>
      <c r="AL91" t="s">
        <v>148</v>
      </c>
      <c r="AM91">
        <v>0.14809999999999998</v>
      </c>
      <c r="AN91" t="s">
        <v>275</v>
      </c>
    </row>
    <row r="92" spans="9:40" x14ac:dyDescent="0.45">
      <c r="I92" t="s">
        <v>170</v>
      </c>
      <c r="J92" t="s">
        <v>152</v>
      </c>
      <c r="K92">
        <v>7.2097730118541913E-3</v>
      </c>
      <c r="L92" t="s">
        <v>153</v>
      </c>
      <c r="N92" t="s">
        <v>213</v>
      </c>
      <c r="O92" t="s">
        <v>152</v>
      </c>
      <c r="P92">
        <v>7.8317194319514533E-2</v>
      </c>
      <c r="Q92" t="s">
        <v>153</v>
      </c>
      <c r="S92" t="s">
        <v>255</v>
      </c>
      <c r="T92" t="s">
        <v>152</v>
      </c>
      <c r="U92">
        <v>0.11633470947145454</v>
      </c>
      <c r="V92" t="s">
        <v>153</v>
      </c>
      <c r="AK92">
        <v>2049</v>
      </c>
      <c r="AL92" t="s">
        <v>142</v>
      </c>
      <c r="AM92">
        <v>0.21319999999999997</v>
      </c>
      <c r="AN92" t="s">
        <v>275</v>
      </c>
    </row>
    <row r="93" spans="9:40" x14ac:dyDescent="0.45">
      <c r="I93" t="s">
        <v>170</v>
      </c>
      <c r="J93" t="s">
        <v>154</v>
      </c>
      <c r="K93">
        <v>0.39571180426930047</v>
      </c>
      <c r="L93" t="s">
        <v>153</v>
      </c>
      <c r="N93" t="s">
        <v>213</v>
      </c>
      <c r="O93" t="s">
        <v>154</v>
      </c>
      <c r="P93">
        <v>0.15037192157501086</v>
      </c>
      <c r="Q93" t="s">
        <v>153</v>
      </c>
      <c r="S93" t="s">
        <v>255</v>
      </c>
      <c r="T93" t="s">
        <v>154</v>
      </c>
      <c r="U93">
        <v>0.16825378310795869</v>
      </c>
      <c r="V93" t="s">
        <v>153</v>
      </c>
      <c r="AK93">
        <v>2049</v>
      </c>
      <c r="AL93" t="s">
        <v>146</v>
      </c>
      <c r="AM93">
        <v>9.8300000000000012E-2</v>
      </c>
      <c r="AN93" t="s">
        <v>275</v>
      </c>
    </row>
    <row r="94" spans="9:40" x14ac:dyDescent="0.45">
      <c r="I94" t="s">
        <v>170</v>
      </c>
      <c r="J94" t="s">
        <v>155</v>
      </c>
      <c r="K94">
        <v>6.4584088541345896E-2</v>
      </c>
      <c r="L94" t="s">
        <v>153</v>
      </c>
      <c r="N94" t="s">
        <v>213</v>
      </c>
      <c r="O94" t="s">
        <v>155</v>
      </c>
      <c r="P94">
        <v>0.15175345129129789</v>
      </c>
      <c r="Q94" t="s">
        <v>153</v>
      </c>
      <c r="S94" t="s">
        <v>255</v>
      </c>
      <c r="T94" t="s">
        <v>155</v>
      </c>
      <c r="U94">
        <v>0.14646252686694936</v>
      </c>
      <c r="V94" t="s">
        <v>153</v>
      </c>
      <c r="AK94">
        <v>2049</v>
      </c>
      <c r="AL94" t="s">
        <v>148</v>
      </c>
      <c r="AM94">
        <v>0.10868</v>
      </c>
      <c r="AN94" t="s">
        <v>275</v>
      </c>
    </row>
    <row r="95" spans="9:40" x14ac:dyDescent="0.45">
      <c r="I95" t="s">
        <v>170</v>
      </c>
      <c r="J95" t="s">
        <v>156</v>
      </c>
      <c r="K95">
        <v>0</v>
      </c>
      <c r="L95" t="s">
        <v>153</v>
      </c>
      <c r="N95" t="s">
        <v>213</v>
      </c>
      <c r="O95" t="s">
        <v>156</v>
      </c>
      <c r="P95">
        <v>4.9945134847874627E-2</v>
      </c>
      <c r="Q95" t="s">
        <v>153</v>
      </c>
      <c r="S95" t="s">
        <v>255</v>
      </c>
      <c r="T95" t="s">
        <v>156</v>
      </c>
      <c r="U95">
        <v>4.4603768932123915E-2</v>
      </c>
      <c r="V95" t="s">
        <v>153</v>
      </c>
      <c r="AK95">
        <v>2050</v>
      </c>
      <c r="AL95" t="s">
        <v>142</v>
      </c>
      <c r="AM95">
        <v>0.32679999999999998</v>
      </c>
      <c r="AN95" t="s">
        <v>275</v>
      </c>
    </row>
    <row r="96" spans="9:40" x14ac:dyDescent="0.45">
      <c r="I96" t="s">
        <v>170</v>
      </c>
      <c r="J96" t="s">
        <v>157</v>
      </c>
      <c r="K96">
        <v>8.4273658219075662E-2</v>
      </c>
      <c r="L96" t="s">
        <v>153</v>
      </c>
      <c r="N96" t="s">
        <v>213</v>
      </c>
      <c r="O96" t="s">
        <v>157</v>
      </c>
      <c r="P96">
        <v>5.3629458707135647E-2</v>
      </c>
      <c r="Q96" t="s">
        <v>153</v>
      </c>
      <c r="S96" t="s">
        <v>255</v>
      </c>
      <c r="T96" t="s">
        <v>157</v>
      </c>
      <c r="U96">
        <v>6.1904368257304998E-2</v>
      </c>
      <c r="V96" t="s">
        <v>153</v>
      </c>
      <c r="AK96">
        <v>2050</v>
      </c>
      <c r="AL96" t="s">
        <v>146</v>
      </c>
      <c r="AM96">
        <v>0.23246666666666668</v>
      </c>
      <c r="AN96" t="s">
        <v>275</v>
      </c>
    </row>
    <row r="97" spans="9:40" x14ac:dyDescent="0.45">
      <c r="I97" t="s">
        <v>170</v>
      </c>
      <c r="J97" t="s">
        <v>158</v>
      </c>
      <c r="K97">
        <v>7.1399367752862011E-3</v>
      </c>
      <c r="L97" t="s">
        <v>153</v>
      </c>
      <c r="N97" t="s">
        <v>213</v>
      </c>
      <c r="O97" t="s">
        <v>158</v>
      </c>
      <c r="P97">
        <v>5.5979287740798286E-2</v>
      </c>
      <c r="Q97" t="s">
        <v>153</v>
      </c>
      <c r="S97" t="s">
        <v>255</v>
      </c>
      <c r="T97" t="s">
        <v>158</v>
      </c>
      <c r="U97">
        <v>5.3064291972503543E-2</v>
      </c>
      <c r="V97" t="s">
        <v>153</v>
      </c>
      <c r="AK97">
        <v>2050</v>
      </c>
      <c r="AL97" t="s">
        <v>148</v>
      </c>
      <c r="AM97">
        <v>0.13136</v>
      </c>
      <c r="AN97" t="s">
        <v>275</v>
      </c>
    </row>
    <row r="98" spans="9:40" x14ac:dyDescent="0.45">
      <c r="I98" t="s">
        <v>170</v>
      </c>
      <c r="J98" t="s">
        <v>159</v>
      </c>
      <c r="K98">
        <v>1.5063952113756178E-2</v>
      </c>
      <c r="L98" t="s">
        <v>153</v>
      </c>
      <c r="N98" t="s">
        <v>213</v>
      </c>
      <c r="O98" t="s">
        <v>159</v>
      </c>
      <c r="P98">
        <v>8.1153714890643228E-2</v>
      </c>
      <c r="Q98" t="s">
        <v>153</v>
      </c>
      <c r="S98" t="s">
        <v>255</v>
      </c>
      <c r="T98" t="s">
        <v>159</v>
      </c>
      <c r="U98">
        <v>0.11485949813738838</v>
      </c>
      <c r="V98" t="s">
        <v>153</v>
      </c>
    </row>
    <row r="99" spans="9:40" x14ac:dyDescent="0.45">
      <c r="I99" t="s">
        <v>170</v>
      </c>
      <c r="J99" t="s">
        <v>160</v>
      </c>
      <c r="K99">
        <v>0.36973720491874329</v>
      </c>
      <c r="L99" t="s">
        <v>153</v>
      </c>
      <c r="N99" t="s">
        <v>213</v>
      </c>
      <c r="O99" t="s">
        <v>160</v>
      </c>
      <c r="P99">
        <v>0.20000245254997914</v>
      </c>
      <c r="Q99" t="s">
        <v>153</v>
      </c>
      <c r="S99" t="s">
        <v>255</v>
      </c>
      <c r="T99" t="s">
        <v>160</v>
      </c>
      <c r="U99">
        <v>0.16209461187119062</v>
      </c>
      <c r="V99" t="s">
        <v>153</v>
      </c>
    </row>
    <row r="100" spans="9:40" x14ac:dyDescent="0.45">
      <c r="I100" t="s">
        <v>170</v>
      </c>
      <c r="J100" t="s">
        <v>161</v>
      </c>
      <c r="K100">
        <v>5.6279582150637691E-2</v>
      </c>
      <c r="L100" t="s">
        <v>153</v>
      </c>
      <c r="N100" t="s">
        <v>213</v>
      </c>
      <c r="O100" t="s">
        <v>161</v>
      </c>
      <c r="P100">
        <v>0.17884738407774797</v>
      </c>
      <c r="Q100" t="s">
        <v>153</v>
      </c>
      <c r="S100" t="s">
        <v>255</v>
      </c>
      <c r="T100" t="s">
        <v>161</v>
      </c>
      <c r="U100">
        <v>0.13242244138312184</v>
      </c>
      <c r="V100" t="s">
        <v>153</v>
      </c>
    </row>
    <row r="101" spans="9:40" x14ac:dyDescent="0.45">
      <c r="I101" t="s">
        <v>171</v>
      </c>
      <c r="J101" t="s">
        <v>152</v>
      </c>
      <c r="K101">
        <v>9.0892139921714236E-3</v>
      </c>
      <c r="L101" t="s">
        <v>153</v>
      </c>
      <c r="N101" t="s">
        <v>214</v>
      </c>
      <c r="O101" t="s">
        <v>152</v>
      </c>
      <c r="P101">
        <v>9.2724059656491636E-2</v>
      </c>
      <c r="Q101" t="s">
        <v>153</v>
      </c>
      <c r="S101" t="s">
        <v>256</v>
      </c>
      <c r="T101" t="s">
        <v>152</v>
      </c>
      <c r="U101">
        <v>0.1206872060411267</v>
      </c>
      <c r="V101" t="s">
        <v>153</v>
      </c>
    </row>
    <row r="102" spans="9:40" x14ac:dyDescent="0.45">
      <c r="I102" t="s">
        <v>171</v>
      </c>
      <c r="J102" t="s">
        <v>154</v>
      </c>
      <c r="K102">
        <v>0.39872672214544308</v>
      </c>
      <c r="L102" t="s">
        <v>153</v>
      </c>
      <c r="N102" t="s">
        <v>214</v>
      </c>
      <c r="O102" t="s">
        <v>154</v>
      </c>
      <c r="P102">
        <v>0.12396273681503765</v>
      </c>
      <c r="Q102" t="s">
        <v>153</v>
      </c>
      <c r="S102" t="s">
        <v>256</v>
      </c>
      <c r="T102" t="s">
        <v>154</v>
      </c>
      <c r="U102">
        <v>0.18005640650063912</v>
      </c>
      <c r="V102" t="s">
        <v>153</v>
      </c>
    </row>
    <row r="103" spans="9:40" x14ac:dyDescent="0.45">
      <c r="I103" t="s">
        <v>171</v>
      </c>
      <c r="J103" t="s">
        <v>155</v>
      </c>
      <c r="K103">
        <v>5.9424854221035918E-2</v>
      </c>
      <c r="L103" t="s">
        <v>153</v>
      </c>
      <c r="N103" t="s">
        <v>214</v>
      </c>
      <c r="O103" t="s">
        <v>155</v>
      </c>
      <c r="P103">
        <v>0.12872652465382284</v>
      </c>
      <c r="Q103" t="s">
        <v>153</v>
      </c>
      <c r="S103" t="s">
        <v>256</v>
      </c>
      <c r="T103" t="s">
        <v>155</v>
      </c>
      <c r="U103">
        <v>0.14276958166277304</v>
      </c>
      <c r="V103" t="s">
        <v>153</v>
      </c>
    </row>
    <row r="104" spans="9:40" x14ac:dyDescent="0.45">
      <c r="I104" t="s">
        <v>171</v>
      </c>
      <c r="J104" t="s">
        <v>156</v>
      </c>
      <c r="K104">
        <v>0</v>
      </c>
      <c r="L104" t="s">
        <v>153</v>
      </c>
      <c r="N104" t="s">
        <v>214</v>
      </c>
      <c r="O104" t="s">
        <v>156</v>
      </c>
      <c r="P104">
        <v>7.9335942569762966E-2</v>
      </c>
      <c r="Q104" t="s">
        <v>153</v>
      </c>
      <c r="S104" t="s">
        <v>256</v>
      </c>
      <c r="T104" t="s">
        <v>156</v>
      </c>
      <c r="U104">
        <v>4.3663626401278306E-2</v>
      </c>
      <c r="V104" t="s">
        <v>153</v>
      </c>
    </row>
    <row r="105" spans="9:40" x14ac:dyDescent="0.45">
      <c r="I105" t="s">
        <v>171</v>
      </c>
      <c r="J105" t="s">
        <v>157</v>
      </c>
      <c r="K105">
        <v>8.4991397511250247E-2</v>
      </c>
      <c r="L105" t="s">
        <v>153</v>
      </c>
      <c r="N105" t="s">
        <v>214</v>
      </c>
      <c r="O105" t="s">
        <v>157</v>
      </c>
      <c r="P105">
        <v>8.5419410136637022E-2</v>
      </c>
      <c r="Q105" t="s">
        <v>153</v>
      </c>
      <c r="S105" t="s">
        <v>256</v>
      </c>
      <c r="T105" t="s">
        <v>157</v>
      </c>
      <c r="U105">
        <v>6.5306750286751772E-2</v>
      </c>
      <c r="V105" t="s">
        <v>153</v>
      </c>
    </row>
    <row r="106" spans="9:40" x14ac:dyDescent="0.45">
      <c r="I106" t="s">
        <v>171</v>
      </c>
      <c r="J106" t="s">
        <v>158</v>
      </c>
      <c r="K106">
        <v>7.2085436884927034E-3</v>
      </c>
      <c r="L106" t="s">
        <v>153</v>
      </c>
      <c r="N106" t="s">
        <v>214</v>
      </c>
      <c r="O106" t="s">
        <v>158</v>
      </c>
      <c r="P106">
        <v>6.6865599924533878E-2</v>
      </c>
      <c r="Q106" t="s">
        <v>153</v>
      </c>
      <c r="S106" t="s">
        <v>256</v>
      </c>
      <c r="T106" t="s">
        <v>158</v>
      </c>
      <c r="U106">
        <v>5.3077547666173237E-2</v>
      </c>
      <c r="V106" t="s">
        <v>153</v>
      </c>
    </row>
    <row r="107" spans="9:40" x14ac:dyDescent="0.45">
      <c r="I107" t="s">
        <v>171</v>
      </c>
      <c r="J107" t="s">
        <v>159</v>
      </c>
      <c r="K107">
        <v>1.6907441356695051E-2</v>
      </c>
      <c r="L107" t="s">
        <v>153</v>
      </c>
      <c r="N107" t="s">
        <v>214</v>
      </c>
      <c r="O107" t="s">
        <v>159</v>
      </c>
      <c r="P107">
        <v>0.10140686925212668</v>
      </c>
      <c r="Q107" t="s">
        <v>153</v>
      </c>
      <c r="S107" t="s">
        <v>256</v>
      </c>
      <c r="T107" t="s">
        <v>159</v>
      </c>
      <c r="U107">
        <v>0.10988716405682811</v>
      </c>
      <c r="V107" t="s">
        <v>153</v>
      </c>
    </row>
    <row r="108" spans="9:40" x14ac:dyDescent="0.45">
      <c r="I108" t="s">
        <v>171</v>
      </c>
      <c r="J108" t="s">
        <v>160</v>
      </c>
      <c r="K108">
        <v>0.37266908042123409</v>
      </c>
      <c r="L108" t="s">
        <v>153</v>
      </c>
      <c r="N108" t="s">
        <v>214</v>
      </c>
      <c r="O108" t="s">
        <v>160</v>
      </c>
      <c r="P108">
        <v>0.16580772873061539</v>
      </c>
      <c r="Q108" t="s">
        <v>153</v>
      </c>
      <c r="S108" t="s">
        <v>256</v>
      </c>
      <c r="T108" t="s">
        <v>160</v>
      </c>
      <c r="U108">
        <v>0.16032736232840603</v>
      </c>
      <c r="V108" t="s">
        <v>153</v>
      </c>
    </row>
    <row r="109" spans="9:40" x14ac:dyDescent="0.45">
      <c r="I109" t="s">
        <v>171</v>
      </c>
      <c r="J109" t="s">
        <v>161</v>
      </c>
      <c r="K109">
        <v>5.09827466636774E-2</v>
      </c>
      <c r="L109" t="s">
        <v>153</v>
      </c>
      <c r="N109" t="s">
        <v>214</v>
      </c>
      <c r="O109" t="s">
        <v>161</v>
      </c>
      <c r="P109">
        <v>0.15575112826097379</v>
      </c>
      <c r="Q109" t="s">
        <v>153</v>
      </c>
      <c r="S109" t="s">
        <v>256</v>
      </c>
      <c r="T109" t="s">
        <v>161</v>
      </c>
      <c r="U109">
        <v>0.1242243550560241</v>
      </c>
      <c r="V109" t="s">
        <v>153</v>
      </c>
    </row>
    <row r="110" spans="9:40" x14ac:dyDescent="0.45">
      <c r="I110" t="s">
        <v>172</v>
      </c>
      <c r="J110" t="s">
        <v>152</v>
      </c>
      <c r="K110">
        <v>5.906106435818282E-3</v>
      </c>
      <c r="L110" t="s">
        <v>153</v>
      </c>
      <c r="N110" t="s">
        <v>215</v>
      </c>
      <c r="O110" t="s">
        <v>152</v>
      </c>
      <c r="P110">
        <v>0.10815575888411398</v>
      </c>
      <c r="Q110" t="s">
        <v>153</v>
      </c>
      <c r="S110" t="s">
        <v>257</v>
      </c>
      <c r="T110" t="s">
        <v>152</v>
      </c>
      <c r="U110">
        <v>0.12833467342761806</v>
      </c>
      <c r="V110" t="s">
        <v>153</v>
      </c>
    </row>
    <row r="111" spans="9:40" x14ac:dyDescent="0.45">
      <c r="I111" t="s">
        <v>172</v>
      </c>
      <c r="J111" t="s">
        <v>154</v>
      </c>
      <c r="K111">
        <v>0.39333128563123282</v>
      </c>
      <c r="L111" t="s">
        <v>153</v>
      </c>
      <c r="N111" t="s">
        <v>215</v>
      </c>
      <c r="O111" t="s">
        <v>154</v>
      </c>
      <c r="P111">
        <v>0.18896907178672423</v>
      </c>
      <c r="Q111" t="s">
        <v>153</v>
      </c>
      <c r="S111" t="s">
        <v>257</v>
      </c>
      <c r="T111" t="s">
        <v>154</v>
      </c>
      <c r="U111">
        <v>0.18247895555081181</v>
      </c>
      <c r="V111" t="s">
        <v>153</v>
      </c>
    </row>
    <row r="112" spans="9:40" x14ac:dyDescent="0.45">
      <c r="I112" t="s">
        <v>172</v>
      </c>
      <c r="J112" t="s">
        <v>155</v>
      </c>
      <c r="K112">
        <v>6.3378070499730876E-2</v>
      </c>
      <c r="L112" t="s">
        <v>153</v>
      </c>
      <c r="N112" t="s">
        <v>215</v>
      </c>
      <c r="O112" t="s">
        <v>155</v>
      </c>
      <c r="P112">
        <v>0.13657105539124245</v>
      </c>
      <c r="Q112" t="s">
        <v>153</v>
      </c>
      <c r="S112" t="s">
        <v>257</v>
      </c>
      <c r="T112" t="s">
        <v>155</v>
      </c>
      <c r="U112">
        <v>0.14212898003324434</v>
      </c>
      <c r="V112" t="s">
        <v>153</v>
      </c>
    </row>
    <row r="113" spans="9:22" x14ac:dyDescent="0.45">
      <c r="I113" t="s">
        <v>172</v>
      </c>
      <c r="J113" t="s">
        <v>156</v>
      </c>
      <c r="K113">
        <v>0</v>
      </c>
      <c r="L113" t="s">
        <v>153</v>
      </c>
      <c r="N113" t="s">
        <v>215</v>
      </c>
      <c r="O113" t="s">
        <v>156</v>
      </c>
      <c r="P113">
        <v>6.1020871194659349E-2</v>
      </c>
      <c r="Q113" t="s">
        <v>153</v>
      </c>
      <c r="S113" t="s">
        <v>257</v>
      </c>
      <c r="T113" t="s">
        <v>156</v>
      </c>
      <c r="U113">
        <v>4.4360017224323034E-2</v>
      </c>
      <c r="V113" t="s">
        <v>153</v>
      </c>
    </row>
    <row r="114" spans="9:22" x14ac:dyDescent="0.45">
      <c r="I114" t="s">
        <v>172</v>
      </c>
      <c r="J114" t="s">
        <v>157</v>
      </c>
      <c r="K114">
        <v>8.8911870793326214E-2</v>
      </c>
      <c r="L114" t="s">
        <v>153</v>
      </c>
      <c r="N114" t="s">
        <v>215</v>
      </c>
      <c r="O114" t="s">
        <v>157</v>
      </c>
      <c r="P114">
        <v>8.9536487866973796E-2</v>
      </c>
      <c r="Q114" t="s">
        <v>153</v>
      </c>
      <c r="S114" t="s">
        <v>257</v>
      </c>
      <c r="T114" t="s">
        <v>157</v>
      </c>
      <c r="U114">
        <v>6.4330989002150604E-2</v>
      </c>
      <c r="V114" t="s">
        <v>153</v>
      </c>
    </row>
    <row r="115" spans="9:22" x14ac:dyDescent="0.45">
      <c r="I115" t="s">
        <v>172</v>
      </c>
      <c r="J115" t="s">
        <v>158</v>
      </c>
      <c r="K115">
        <v>7.5194916731752314E-3</v>
      </c>
      <c r="L115" t="s">
        <v>153</v>
      </c>
      <c r="N115" t="s">
        <v>215</v>
      </c>
      <c r="O115" t="s">
        <v>158</v>
      </c>
      <c r="P115">
        <v>5.3986486908615607E-2</v>
      </c>
      <c r="Q115" t="s">
        <v>153</v>
      </c>
      <c r="S115" t="s">
        <v>257</v>
      </c>
      <c r="T115" t="s">
        <v>158</v>
      </c>
      <c r="U115">
        <v>5.460624994196376E-2</v>
      </c>
      <c r="V115" t="s">
        <v>153</v>
      </c>
    </row>
    <row r="116" spans="9:22" x14ac:dyDescent="0.45">
      <c r="I116" t="s">
        <v>172</v>
      </c>
      <c r="J116" t="s">
        <v>159</v>
      </c>
      <c r="K116">
        <v>1.3210638692414537E-2</v>
      </c>
      <c r="L116" t="s">
        <v>153</v>
      </c>
      <c r="N116" t="s">
        <v>215</v>
      </c>
      <c r="O116" t="s">
        <v>159</v>
      </c>
      <c r="P116">
        <v>8.307748783968498E-2</v>
      </c>
      <c r="Q116" t="s">
        <v>153</v>
      </c>
      <c r="S116" t="s">
        <v>257</v>
      </c>
      <c r="T116" t="s">
        <v>159</v>
      </c>
      <c r="U116">
        <v>0.1092704914944293</v>
      </c>
      <c r="V116" t="s">
        <v>153</v>
      </c>
    </row>
    <row r="117" spans="9:22" x14ac:dyDescent="0.45">
      <c r="I117" t="s">
        <v>172</v>
      </c>
      <c r="J117" t="s">
        <v>160</v>
      </c>
      <c r="K117">
        <v>0.37102943806745547</v>
      </c>
      <c r="L117" t="s">
        <v>153</v>
      </c>
      <c r="N117" t="s">
        <v>215</v>
      </c>
      <c r="O117" t="s">
        <v>160</v>
      </c>
      <c r="P117">
        <v>0.16388844559060464</v>
      </c>
      <c r="Q117" t="s">
        <v>153</v>
      </c>
      <c r="S117" t="s">
        <v>257</v>
      </c>
      <c r="T117" t="s">
        <v>160</v>
      </c>
      <c r="U117">
        <v>0.15154194778096422</v>
      </c>
      <c r="V117" t="s">
        <v>153</v>
      </c>
    </row>
    <row r="118" spans="9:22" x14ac:dyDescent="0.45">
      <c r="I118" t="s">
        <v>172</v>
      </c>
      <c r="J118" t="s">
        <v>161</v>
      </c>
      <c r="K118">
        <v>5.671309820684662E-2</v>
      </c>
      <c r="L118" t="s">
        <v>153</v>
      </c>
      <c r="N118" t="s">
        <v>215</v>
      </c>
      <c r="O118" t="s">
        <v>161</v>
      </c>
      <c r="P118">
        <v>0.11479433453738344</v>
      </c>
      <c r="Q118" t="s">
        <v>153</v>
      </c>
      <c r="S118" t="s">
        <v>257</v>
      </c>
      <c r="T118" t="s">
        <v>161</v>
      </c>
      <c r="U118">
        <v>0.12294769554449908</v>
      </c>
      <c r="V118" t="s">
        <v>153</v>
      </c>
    </row>
    <row r="119" spans="9:22" x14ac:dyDescent="0.45">
      <c r="I119" t="s">
        <v>173</v>
      </c>
      <c r="J119" t="s">
        <v>152</v>
      </c>
      <c r="K119">
        <v>7.8588576603606831E-3</v>
      </c>
      <c r="L119" t="s">
        <v>153</v>
      </c>
      <c r="N119" t="s">
        <v>216</v>
      </c>
      <c r="O119" t="s">
        <v>152</v>
      </c>
      <c r="P119">
        <v>9.9004648259581371E-2</v>
      </c>
      <c r="Q119" t="s">
        <v>153</v>
      </c>
      <c r="S119" t="s">
        <v>258</v>
      </c>
      <c r="T119" t="s">
        <v>152</v>
      </c>
      <c r="U119">
        <v>0.12289182748367163</v>
      </c>
      <c r="V119" t="s">
        <v>153</v>
      </c>
    </row>
    <row r="120" spans="9:22" x14ac:dyDescent="0.45">
      <c r="I120" t="s">
        <v>173</v>
      </c>
      <c r="J120" t="s">
        <v>154</v>
      </c>
      <c r="K120">
        <v>0.39969469381788725</v>
      </c>
      <c r="L120" t="s">
        <v>153</v>
      </c>
      <c r="N120" t="s">
        <v>216</v>
      </c>
      <c r="O120" t="s">
        <v>154</v>
      </c>
      <c r="P120">
        <v>0.19009613605362069</v>
      </c>
      <c r="Q120" t="s">
        <v>153</v>
      </c>
      <c r="S120" t="s">
        <v>258</v>
      </c>
      <c r="T120" t="s">
        <v>154</v>
      </c>
      <c r="U120">
        <v>0.16732950572421268</v>
      </c>
      <c r="V120" t="s">
        <v>153</v>
      </c>
    </row>
    <row r="121" spans="9:22" x14ac:dyDescent="0.45">
      <c r="I121" t="s">
        <v>173</v>
      </c>
      <c r="J121" t="s">
        <v>155</v>
      </c>
      <c r="K121">
        <v>5.9631909623487321E-2</v>
      </c>
      <c r="L121" t="s">
        <v>153</v>
      </c>
      <c r="N121" t="s">
        <v>216</v>
      </c>
      <c r="O121" t="s">
        <v>155</v>
      </c>
      <c r="P121">
        <v>0.13606822006506114</v>
      </c>
      <c r="Q121" t="s">
        <v>153</v>
      </c>
      <c r="S121" t="s">
        <v>258</v>
      </c>
      <c r="T121" t="s">
        <v>155</v>
      </c>
      <c r="U121">
        <v>0.12096110561730365</v>
      </c>
      <c r="V121" t="s">
        <v>153</v>
      </c>
    </row>
    <row r="122" spans="9:22" x14ac:dyDescent="0.45">
      <c r="I122" t="s">
        <v>173</v>
      </c>
      <c r="J122" t="s">
        <v>156</v>
      </c>
      <c r="K122">
        <v>0</v>
      </c>
      <c r="L122" t="s">
        <v>153</v>
      </c>
      <c r="N122" t="s">
        <v>216</v>
      </c>
      <c r="O122" t="s">
        <v>156</v>
      </c>
      <c r="P122">
        <v>4.7214993603078306E-2</v>
      </c>
      <c r="Q122" t="s">
        <v>153</v>
      </c>
      <c r="S122" t="s">
        <v>258</v>
      </c>
      <c r="T122" t="s">
        <v>156</v>
      </c>
      <c r="U122">
        <v>6.0805897524811227E-2</v>
      </c>
      <c r="V122" t="s">
        <v>153</v>
      </c>
    </row>
    <row r="123" spans="9:22" x14ac:dyDescent="0.45">
      <c r="I123" t="s">
        <v>173</v>
      </c>
      <c r="J123" t="s">
        <v>157</v>
      </c>
      <c r="K123">
        <v>8.9383081301211684E-2</v>
      </c>
      <c r="L123" t="s">
        <v>153</v>
      </c>
      <c r="N123" t="s">
        <v>216</v>
      </c>
      <c r="O123" t="s">
        <v>157</v>
      </c>
      <c r="P123">
        <v>8.1188950442013796E-2</v>
      </c>
      <c r="Q123" t="s">
        <v>153</v>
      </c>
      <c r="S123" t="s">
        <v>258</v>
      </c>
      <c r="T123" t="s">
        <v>157</v>
      </c>
      <c r="U123">
        <v>8.3581225566658354E-2</v>
      </c>
      <c r="V123" t="s">
        <v>153</v>
      </c>
    </row>
    <row r="124" spans="9:22" x14ac:dyDescent="0.45">
      <c r="I124" t="s">
        <v>173</v>
      </c>
      <c r="J124" t="s">
        <v>158</v>
      </c>
      <c r="K124">
        <v>7.310578143554289E-3</v>
      </c>
      <c r="L124" t="s">
        <v>153</v>
      </c>
      <c r="N124" t="s">
        <v>216</v>
      </c>
      <c r="O124" t="s">
        <v>158</v>
      </c>
      <c r="P124">
        <v>5.5843663578212792E-2</v>
      </c>
      <c r="Q124" t="s">
        <v>153</v>
      </c>
      <c r="S124" t="s">
        <v>258</v>
      </c>
      <c r="T124" t="s">
        <v>158</v>
      </c>
      <c r="U124">
        <v>5.7049652186899655E-2</v>
      </c>
      <c r="V124" t="s">
        <v>153</v>
      </c>
    </row>
    <row r="125" spans="9:22" x14ac:dyDescent="0.45">
      <c r="I125" t="s">
        <v>173</v>
      </c>
      <c r="J125" t="s">
        <v>159</v>
      </c>
      <c r="K125">
        <v>1.60168183133329E-2</v>
      </c>
      <c r="L125" t="s">
        <v>153</v>
      </c>
      <c r="N125" t="s">
        <v>216</v>
      </c>
      <c r="O125" t="s">
        <v>159</v>
      </c>
      <c r="P125">
        <v>8.6734921874662654E-2</v>
      </c>
      <c r="Q125" t="s">
        <v>153</v>
      </c>
      <c r="S125" t="s">
        <v>258</v>
      </c>
      <c r="T125" t="s">
        <v>159</v>
      </c>
      <c r="U125">
        <v>0.11241028011367013</v>
      </c>
      <c r="V125" t="s">
        <v>153</v>
      </c>
    </row>
    <row r="126" spans="9:22" x14ac:dyDescent="0.45">
      <c r="I126" t="s">
        <v>173</v>
      </c>
      <c r="J126" t="s">
        <v>160</v>
      </c>
      <c r="K126">
        <v>0.36916784862603624</v>
      </c>
      <c r="L126" t="s">
        <v>153</v>
      </c>
      <c r="N126" t="s">
        <v>216</v>
      </c>
      <c r="O126" t="s">
        <v>160</v>
      </c>
      <c r="P126">
        <v>0.18377875723187875</v>
      </c>
      <c r="Q126" t="s">
        <v>153</v>
      </c>
      <c r="S126" t="s">
        <v>258</v>
      </c>
      <c r="T126" t="s">
        <v>160</v>
      </c>
      <c r="U126">
        <v>0.15841582989421696</v>
      </c>
      <c r="V126" t="s">
        <v>153</v>
      </c>
    </row>
    <row r="127" spans="9:22" x14ac:dyDescent="0.45">
      <c r="I127" t="s">
        <v>173</v>
      </c>
      <c r="J127" t="s">
        <v>161</v>
      </c>
      <c r="K127">
        <v>5.0936212514131787E-2</v>
      </c>
      <c r="L127" t="s">
        <v>153</v>
      </c>
      <c r="N127" t="s">
        <v>216</v>
      </c>
      <c r="O127" t="s">
        <v>161</v>
      </c>
      <c r="P127">
        <v>0.12006970889188645</v>
      </c>
      <c r="Q127" t="s">
        <v>153</v>
      </c>
      <c r="S127" t="s">
        <v>258</v>
      </c>
      <c r="T127" t="s">
        <v>161</v>
      </c>
      <c r="U127">
        <v>0.11655467588855671</v>
      </c>
      <c r="V127" t="s">
        <v>153</v>
      </c>
    </row>
    <row r="128" spans="9:22" x14ac:dyDescent="0.45">
      <c r="I128" t="s">
        <v>174</v>
      </c>
      <c r="J128" t="s">
        <v>152</v>
      </c>
      <c r="K128">
        <v>5.6377509847257033E-3</v>
      </c>
      <c r="L128" t="s">
        <v>153</v>
      </c>
      <c r="N128" t="s">
        <v>217</v>
      </c>
      <c r="O128" t="s">
        <v>152</v>
      </c>
      <c r="P128">
        <v>9.1715238158022891E-2</v>
      </c>
      <c r="Q128" t="s">
        <v>153</v>
      </c>
      <c r="S128" t="s">
        <v>259</v>
      </c>
      <c r="T128" t="s">
        <v>152</v>
      </c>
      <c r="U128">
        <v>0.11939793602416719</v>
      </c>
      <c r="V128" t="s">
        <v>153</v>
      </c>
    </row>
    <row r="129" spans="9:22" x14ac:dyDescent="0.45">
      <c r="I129" t="s">
        <v>174</v>
      </c>
      <c r="J129" t="s">
        <v>154</v>
      </c>
      <c r="K129">
        <v>0.39678346485945987</v>
      </c>
      <c r="L129" t="s">
        <v>153</v>
      </c>
      <c r="N129" t="s">
        <v>217</v>
      </c>
      <c r="O129" t="s">
        <v>154</v>
      </c>
      <c r="P129">
        <v>0.20933675799574444</v>
      </c>
      <c r="Q129" t="s">
        <v>153</v>
      </c>
      <c r="S129" t="s">
        <v>259</v>
      </c>
      <c r="T129" t="s">
        <v>154</v>
      </c>
      <c r="U129">
        <v>0.16717646668249922</v>
      </c>
      <c r="V129" t="s">
        <v>153</v>
      </c>
    </row>
    <row r="130" spans="9:22" x14ac:dyDescent="0.45">
      <c r="I130" t="s">
        <v>174</v>
      </c>
      <c r="J130" t="s">
        <v>155</v>
      </c>
      <c r="K130">
        <v>6.1598356668659489E-2</v>
      </c>
      <c r="L130" t="s">
        <v>153</v>
      </c>
      <c r="N130" t="s">
        <v>217</v>
      </c>
      <c r="O130" t="s">
        <v>155</v>
      </c>
      <c r="P130">
        <v>0.12686722762046937</v>
      </c>
      <c r="Q130" t="s">
        <v>153</v>
      </c>
      <c r="S130" t="s">
        <v>259</v>
      </c>
      <c r="T130" t="s">
        <v>155</v>
      </c>
      <c r="U130">
        <v>0.12679227490366959</v>
      </c>
      <c r="V130" t="s">
        <v>153</v>
      </c>
    </row>
    <row r="131" spans="9:22" x14ac:dyDescent="0.45">
      <c r="I131" t="s">
        <v>174</v>
      </c>
      <c r="J131" t="s">
        <v>156</v>
      </c>
      <c r="K131">
        <v>0</v>
      </c>
      <c r="L131" t="s">
        <v>153</v>
      </c>
      <c r="N131" t="s">
        <v>217</v>
      </c>
      <c r="O131" t="s">
        <v>156</v>
      </c>
      <c r="P131">
        <v>5.6369050671403451E-2</v>
      </c>
      <c r="Q131" t="s">
        <v>153</v>
      </c>
      <c r="S131" t="s">
        <v>259</v>
      </c>
      <c r="T131" t="s">
        <v>156</v>
      </c>
      <c r="U131">
        <v>6.031868758745712E-2</v>
      </c>
      <c r="V131" t="s">
        <v>153</v>
      </c>
    </row>
    <row r="132" spans="9:22" x14ac:dyDescent="0.45">
      <c r="I132" t="s">
        <v>174</v>
      </c>
      <c r="J132" t="s">
        <v>157</v>
      </c>
      <c r="K132">
        <v>9.4045964749614033E-2</v>
      </c>
      <c r="L132" t="s">
        <v>153</v>
      </c>
      <c r="N132" t="s">
        <v>217</v>
      </c>
      <c r="O132" t="s">
        <v>157</v>
      </c>
      <c r="P132">
        <v>0.10120904960856984</v>
      </c>
      <c r="Q132" t="s">
        <v>153</v>
      </c>
      <c r="S132" t="s">
        <v>259</v>
      </c>
      <c r="T132" t="s">
        <v>157</v>
      </c>
      <c r="U132">
        <v>8.3874106301249335E-2</v>
      </c>
      <c r="V132" t="s">
        <v>153</v>
      </c>
    </row>
    <row r="133" spans="9:22" x14ac:dyDescent="0.45">
      <c r="I133" t="s">
        <v>174</v>
      </c>
      <c r="J133" t="s">
        <v>158</v>
      </c>
      <c r="K133">
        <v>7.6805402911067286E-3</v>
      </c>
      <c r="L133" t="s">
        <v>153</v>
      </c>
      <c r="N133" t="s">
        <v>217</v>
      </c>
      <c r="O133" t="s">
        <v>158</v>
      </c>
      <c r="P133">
        <v>6.1887375053855047E-2</v>
      </c>
      <c r="Q133" t="s">
        <v>153</v>
      </c>
      <c r="S133" t="s">
        <v>259</v>
      </c>
      <c r="T133" t="s">
        <v>158</v>
      </c>
      <c r="U133">
        <v>5.9044084059655277E-2</v>
      </c>
      <c r="V133" t="s">
        <v>153</v>
      </c>
    </row>
    <row r="134" spans="9:22" x14ac:dyDescent="0.45">
      <c r="I134" t="s">
        <v>174</v>
      </c>
      <c r="J134" t="s">
        <v>159</v>
      </c>
      <c r="K134">
        <v>1.3581174008126735E-2</v>
      </c>
      <c r="L134" t="s">
        <v>153</v>
      </c>
      <c r="N134" t="s">
        <v>217</v>
      </c>
      <c r="O134" t="s">
        <v>159</v>
      </c>
      <c r="P134">
        <v>6.8201447622813632E-2</v>
      </c>
      <c r="Q134" t="s">
        <v>153</v>
      </c>
      <c r="S134" t="s">
        <v>259</v>
      </c>
      <c r="T134" t="s">
        <v>159</v>
      </c>
      <c r="U134">
        <v>0.10757733552631574</v>
      </c>
      <c r="V134" t="s">
        <v>153</v>
      </c>
    </row>
    <row r="135" spans="9:22" x14ac:dyDescent="0.45">
      <c r="I135" t="s">
        <v>174</v>
      </c>
      <c r="J135" t="s">
        <v>160</v>
      </c>
      <c r="K135">
        <v>0.36634068703578354</v>
      </c>
      <c r="L135" t="s">
        <v>153</v>
      </c>
      <c r="N135" t="s">
        <v>217</v>
      </c>
      <c r="O135" t="s">
        <v>160</v>
      </c>
      <c r="P135">
        <v>0.18197380042197006</v>
      </c>
      <c r="Q135" t="s">
        <v>153</v>
      </c>
      <c r="S135" t="s">
        <v>259</v>
      </c>
      <c r="T135" t="s">
        <v>160</v>
      </c>
      <c r="U135">
        <v>0.15861974113652391</v>
      </c>
      <c r="V135" t="s">
        <v>153</v>
      </c>
    </row>
    <row r="136" spans="9:22" x14ac:dyDescent="0.45">
      <c r="I136" t="s">
        <v>174</v>
      </c>
      <c r="J136" t="s">
        <v>161</v>
      </c>
      <c r="K136">
        <v>5.4332061402526985E-2</v>
      </c>
      <c r="L136" t="s">
        <v>153</v>
      </c>
      <c r="N136" t="s">
        <v>217</v>
      </c>
      <c r="O136" t="s">
        <v>161</v>
      </c>
      <c r="P136">
        <v>0.10244005284715414</v>
      </c>
      <c r="Q136" t="s">
        <v>153</v>
      </c>
      <c r="S136" t="s">
        <v>259</v>
      </c>
      <c r="T136" t="s">
        <v>161</v>
      </c>
      <c r="U136">
        <v>0.11719936777846074</v>
      </c>
      <c r="V136" t="s">
        <v>153</v>
      </c>
    </row>
    <row r="137" spans="9:22" x14ac:dyDescent="0.45">
      <c r="I137" t="s">
        <v>175</v>
      </c>
      <c r="J137" t="s">
        <v>152</v>
      </c>
      <c r="K137">
        <v>1.3455516231066496E-2</v>
      </c>
      <c r="L137" t="s">
        <v>153</v>
      </c>
      <c r="N137" t="s">
        <v>218</v>
      </c>
      <c r="O137" t="s">
        <v>152</v>
      </c>
      <c r="P137">
        <v>9.6924263787057152E-2</v>
      </c>
      <c r="Q137" t="s">
        <v>153</v>
      </c>
      <c r="S137" t="s">
        <v>260</v>
      </c>
      <c r="T137" t="s">
        <v>152</v>
      </c>
      <c r="U137">
        <v>0.10910350167561951</v>
      </c>
      <c r="V137" t="s">
        <v>153</v>
      </c>
    </row>
    <row r="138" spans="9:22" x14ac:dyDescent="0.45">
      <c r="I138" t="s">
        <v>175</v>
      </c>
      <c r="J138" t="s">
        <v>154</v>
      </c>
      <c r="K138">
        <v>0.40480775915945155</v>
      </c>
      <c r="L138" t="s">
        <v>153</v>
      </c>
      <c r="N138" t="s">
        <v>218</v>
      </c>
      <c r="O138" t="s">
        <v>154</v>
      </c>
      <c r="P138">
        <v>0.14942000563398883</v>
      </c>
      <c r="Q138" t="s">
        <v>153</v>
      </c>
      <c r="S138" t="s">
        <v>260</v>
      </c>
      <c r="T138" t="s">
        <v>154</v>
      </c>
      <c r="U138">
        <v>0.17971151113536327</v>
      </c>
      <c r="V138" t="s">
        <v>153</v>
      </c>
    </row>
    <row r="139" spans="9:22" x14ac:dyDescent="0.45">
      <c r="I139" t="s">
        <v>175</v>
      </c>
      <c r="J139" t="s">
        <v>155</v>
      </c>
      <c r="K139">
        <v>3.8645188021959667E-2</v>
      </c>
      <c r="L139" t="s">
        <v>153</v>
      </c>
      <c r="N139" t="s">
        <v>218</v>
      </c>
      <c r="O139" t="s">
        <v>155</v>
      </c>
      <c r="P139">
        <v>0.15120722590548724</v>
      </c>
      <c r="Q139" t="s">
        <v>153</v>
      </c>
      <c r="S139" t="s">
        <v>260</v>
      </c>
      <c r="T139" t="s">
        <v>155</v>
      </c>
      <c r="U139">
        <v>0.13491684042172761</v>
      </c>
      <c r="V139" t="s">
        <v>153</v>
      </c>
    </row>
    <row r="140" spans="9:22" x14ac:dyDescent="0.45">
      <c r="I140" t="s">
        <v>175</v>
      </c>
      <c r="J140" t="s">
        <v>156</v>
      </c>
      <c r="K140">
        <v>0</v>
      </c>
      <c r="L140" t="s">
        <v>153</v>
      </c>
      <c r="N140" t="s">
        <v>218</v>
      </c>
      <c r="O140" t="s">
        <v>156</v>
      </c>
      <c r="P140">
        <v>5.3890441277660538E-2</v>
      </c>
      <c r="Q140" t="s">
        <v>153</v>
      </c>
      <c r="S140" t="s">
        <v>260</v>
      </c>
      <c r="T140" t="s">
        <v>156</v>
      </c>
      <c r="U140">
        <v>4.9610821093188935E-2</v>
      </c>
      <c r="V140" t="s">
        <v>153</v>
      </c>
    </row>
    <row r="141" spans="9:22" x14ac:dyDescent="0.45">
      <c r="I141" t="s">
        <v>175</v>
      </c>
      <c r="J141" t="s">
        <v>157</v>
      </c>
      <c r="K141">
        <v>9.8341991933384956E-2</v>
      </c>
      <c r="L141" t="s">
        <v>153</v>
      </c>
      <c r="N141" t="s">
        <v>218</v>
      </c>
      <c r="O141" t="s">
        <v>157</v>
      </c>
      <c r="P141">
        <v>5.9542095381795654E-2</v>
      </c>
      <c r="Q141" t="s">
        <v>153</v>
      </c>
      <c r="S141" t="s">
        <v>260</v>
      </c>
      <c r="T141" t="s">
        <v>157</v>
      </c>
      <c r="U141">
        <v>7.9191887609517689E-2</v>
      </c>
      <c r="V141" t="s">
        <v>153</v>
      </c>
    </row>
    <row r="142" spans="9:22" x14ac:dyDescent="0.45">
      <c r="I142" t="s">
        <v>175</v>
      </c>
      <c r="J142" t="s">
        <v>158</v>
      </c>
      <c r="K142">
        <v>3.0882664564303693E-3</v>
      </c>
      <c r="L142" t="s">
        <v>153</v>
      </c>
      <c r="N142" t="s">
        <v>218</v>
      </c>
      <c r="O142" t="s">
        <v>158</v>
      </c>
      <c r="P142">
        <v>6.0453373047897954E-2</v>
      </c>
      <c r="Q142" t="s">
        <v>153</v>
      </c>
      <c r="S142" t="s">
        <v>260</v>
      </c>
      <c r="T142" t="s">
        <v>158</v>
      </c>
      <c r="U142">
        <v>5.573041843165167E-2</v>
      </c>
      <c r="V142" t="s">
        <v>153</v>
      </c>
    </row>
    <row r="143" spans="9:22" x14ac:dyDescent="0.45">
      <c r="I143" t="s">
        <v>175</v>
      </c>
      <c r="J143" t="s">
        <v>159</v>
      </c>
      <c r="K143">
        <v>2.5122325597998502E-2</v>
      </c>
      <c r="L143" t="s">
        <v>153</v>
      </c>
      <c r="N143" t="s">
        <v>218</v>
      </c>
      <c r="O143" t="s">
        <v>159</v>
      </c>
      <c r="P143">
        <v>9.0182360308436099E-2</v>
      </c>
      <c r="Q143" t="s">
        <v>153</v>
      </c>
      <c r="S143" t="s">
        <v>260</v>
      </c>
      <c r="T143" t="s">
        <v>159</v>
      </c>
      <c r="U143">
        <v>9.7103533601547623E-2</v>
      </c>
      <c r="V143" t="s">
        <v>153</v>
      </c>
    </row>
    <row r="144" spans="9:22" x14ac:dyDescent="0.45">
      <c r="I144" t="s">
        <v>175</v>
      </c>
      <c r="J144" t="s">
        <v>160</v>
      </c>
      <c r="K144">
        <v>0.37964036528230427</v>
      </c>
      <c r="L144" t="s">
        <v>153</v>
      </c>
      <c r="N144" t="s">
        <v>218</v>
      </c>
      <c r="O144" t="s">
        <v>160</v>
      </c>
      <c r="P144">
        <v>0.16110629406018845</v>
      </c>
      <c r="Q144" t="s">
        <v>153</v>
      </c>
      <c r="S144" t="s">
        <v>260</v>
      </c>
      <c r="T144" t="s">
        <v>160</v>
      </c>
      <c r="U144">
        <v>0.17295183633222716</v>
      </c>
      <c r="V144" t="s">
        <v>153</v>
      </c>
    </row>
    <row r="145" spans="9:22" x14ac:dyDescent="0.45">
      <c r="I145" t="s">
        <v>175</v>
      </c>
      <c r="J145" t="s">
        <v>161</v>
      </c>
      <c r="K145">
        <v>3.6898587317405696E-2</v>
      </c>
      <c r="L145" t="s">
        <v>153</v>
      </c>
      <c r="N145" t="s">
        <v>218</v>
      </c>
      <c r="O145" t="s">
        <v>161</v>
      </c>
      <c r="P145">
        <v>0.17727394059748522</v>
      </c>
      <c r="Q145" t="s">
        <v>153</v>
      </c>
      <c r="S145" t="s">
        <v>260</v>
      </c>
      <c r="T145" t="s">
        <v>161</v>
      </c>
      <c r="U145">
        <v>0.12167964969915346</v>
      </c>
      <c r="V145" t="s">
        <v>153</v>
      </c>
    </row>
    <row r="146" spans="9:22" x14ac:dyDescent="0.45">
      <c r="I146" t="s">
        <v>176</v>
      </c>
      <c r="J146" t="s">
        <v>152</v>
      </c>
      <c r="K146">
        <v>1.3756721392282966E-2</v>
      </c>
      <c r="L146" t="s">
        <v>153</v>
      </c>
      <c r="N146" t="s">
        <v>219</v>
      </c>
      <c r="O146" t="s">
        <v>152</v>
      </c>
      <c r="P146">
        <v>0.11528163627900519</v>
      </c>
      <c r="Q146" t="s">
        <v>153</v>
      </c>
      <c r="S146" t="s">
        <v>261</v>
      </c>
      <c r="T146" t="s">
        <v>152</v>
      </c>
      <c r="U146">
        <v>0.12697933896130431</v>
      </c>
      <c r="V146" t="s">
        <v>153</v>
      </c>
    </row>
    <row r="147" spans="9:22" x14ac:dyDescent="0.45">
      <c r="I147" t="s">
        <v>176</v>
      </c>
      <c r="J147" t="s">
        <v>154</v>
      </c>
      <c r="K147">
        <v>0.40101109072343127</v>
      </c>
      <c r="L147" t="s">
        <v>153</v>
      </c>
      <c r="N147" t="s">
        <v>219</v>
      </c>
      <c r="O147" t="s">
        <v>154</v>
      </c>
      <c r="P147">
        <v>0.17313719557448082</v>
      </c>
      <c r="Q147" t="s">
        <v>153</v>
      </c>
      <c r="S147" t="s">
        <v>261</v>
      </c>
      <c r="T147" t="s">
        <v>154</v>
      </c>
      <c r="U147">
        <v>0.17483595992140755</v>
      </c>
      <c r="V147" t="s">
        <v>153</v>
      </c>
    </row>
    <row r="148" spans="9:22" x14ac:dyDescent="0.45">
      <c r="I148" t="s">
        <v>176</v>
      </c>
      <c r="J148" t="s">
        <v>155</v>
      </c>
      <c r="K148">
        <v>3.5667894078917614E-2</v>
      </c>
      <c r="L148" t="s">
        <v>153</v>
      </c>
      <c r="N148" t="s">
        <v>219</v>
      </c>
      <c r="O148" t="s">
        <v>155</v>
      </c>
      <c r="P148">
        <v>0.15109620851445829</v>
      </c>
      <c r="Q148" t="s">
        <v>153</v>
      </c>
      <c r="S148" t="s">
        <v>261</v>
      </c>
      <c r="T148" t="s">
        <v>155</v>
      </c>
      <c r="U148">
        <v>0.13674973416834857</v>
      </c>
      <c r="V148" t="s">
        <v>153</v>
      </c>
    </row>
    <row r="149" spans="9:22" x14ac:dyDescent="0.45">
      <c r="I149" t="s">
        <v>176</v>
      </c>
      <c r="J149" t="s">
        <v>156</v>
      </c>
      <c r="K149">
        <v>0</v>
      </c>
      <c r="L149" t="s">
        <v>153</v>
      </c>
      <c r="N149" t="s">
        <v>219</v>
      </c>
      <c r="O149" t="s">
        <v>156</v>
      </c>
      <c r="P149">
        <v>4.1045394167584473E-2</v>
      </c>
      <c r="Q149" t="s">
        <v>153</v>
      </c>
      <c r="S149" t="s">
        <v>261</v>
      </c>
      <c r="T149" t="s">
        <v>156</v>
      </c>
      <c r="U149">
        <v>5.5531653910498906E-2</v>
      </c>
      <c r="V149" t="s">
        <v>153</v>
      </c>
    </row>
    <row r="150" spans="9:22" x14ac:dyDescent="0.45">
      <c r="I150" t="s">
        <v>176</v>
      </c>
      <c r="J150" t="s">
        <v>157</v>
      </c>
      <c r="K150">
        <v>0.11000704362208083</v>
      </c>
      <c r="L150" t="s">
        <v>153</v>
      </c>
      <c r="N150" t="s">
        <v>219</v>
      </c>
      <c r="O150" t="s">
        <v>157</v>
      </c>
      <c r="P150">
        <v>5.3241919319867569E-2</v>
      </c>
      <c r="Q150" t="s">
        <v>153</v>
      </c>
      <c r="S150" t="s">
        <v>261</v>
      </c>
      <c r="T150" t="s">
        <v>157</v>
      </c>
      <c r="U150">
        <v>7.7022720568751049E-2</v>
      </c>
      <c r="V150" t="s">
        <v>153</v>
      </c>
    </row>
    <row r="151" spans="9:22" x14ac:dyDescent="0.45">
      <c r="I151" t="s">
        <v>176</v>
      </c>
      <c r="J151" t="s">
        <v>158</v>
      </c>
      <c r="K151">
        <v>3.4509510915026798E-3</v>
      </c>
      <c r="L151" t="s">
        <v>153</v>
      </c>
      <c r="N151" t="s">
        <v>219</v>
      </c>
      <c r="O151" t="s">
        <v>158</v>
      </c>
      <c r="P151">
        <v>5.5428516869825986E-2</v>
      </c>
      <c r="Q151" t="s">
        <v>153</v>
      </c>
      <c r="S151" t="s">
        <v>261</v>
      </c>
      <c r="T151" t="s">
        <v>158</v>
      </c>
      <c r="U151">
        <v>5.3903970521648664E-2</v>
      </c>
      <c r="V151" t="s">
        <v>153</v>
      </c>
    </row>
    <row r="152" spans="9:22" x14ac:dyDescent="0.45">
      <c r="I152" t="s">
        <v>176</v>
      </c>
      <c r="J152" t="s">
        <v>159</v>
      </c>
      <c r="K152">
        <v>2.6421551914685752E-2</v>
      </c>
      <c r="L152" t="s">
        <v>153</v>
      </c>
      <c r="N152" t="s">
        <v>219</v>
      </c>
      <c r="O152" t="s">
        <v>159</v>
      </c>
      <c r="P152">
        <v>0.10661326298865587</v>
      </c>
      <c r="Q152" t="s">
        <v>153</v>
      </c>
      <c r="S152" t="s">
        <v>261</v>
      </c>
      <c r="T152" t="s">
        <v>159</v>
      </c>
      <c r="U152">
        <v>0.10544380295731741</v>
      </c>
      <c r="V152" t="s">
        <v>153</v>
      </c>
    </row>
    <row r="153" spans="9:22" x14ac:dyDescent="0.45">
      <c r="I153" t="s">
        <v>176</v>
      </c>
      <c r="J153" t="s">
        <v>160</v>
      </c>
      <c r="K153">
        <v>0.37615699392105817</v>
      </c>
      <c r="L153" t="s">
        <v>153</v>
      </c>
      <c r="N153" t="s">
        <v>219</v>
      </c>
      <c r="O153" t="s">
        <v>160</v>
      </c>
      <c r="P153">
        <v>0.16007188242438519</v>
      </c>
      <c r="Q153" t="s">
        <v>153</v>
      </c>
      <c r="S153" t="s">
        <v>261</v>
      </c>
      <c r="T153" t="s">
        <v>160</v>
      </c>
      <c r="U153">
        <v>0.15367914871355179</v>
      </c>
      <c r="V153" t="s">
        <v>153</v>
      </c>
    </row>
    <row r="154" spans="9:22" x14ac:dyDescent="0.45">
      <c r="I154" t="s">
        <v>176</v>
      </c>
      <c r="J154" t="s">
        <v>161</v>
      </c>
      <c r="K154">
        <v>3.3527753256040585E-2</v>
      </c>
      <c r="L154" t="s">
        <v>153</v>
      </c>
      <c r="N154" t="s">
        <v>219</v>
      </c>
      <c r="O154" t="s">
        <v>161</v>
      </c>
      <c r="P154">
        <v>0.14408398386173543</v>
      </c>
      <c r="Q154" t="s">
        <v>153</v>
      </c>
      <c r="S154" t="s">
        <v>261</v>
      </c>
      <c r="T154" t="s">
        <v>161</v>
      </c>
      <c r="U154">
        <v>0.1158536702771695</v>
      </c>
      <c r="V154" t="s">
        <v>153</v>
      </c>
    </row>
    <row r="155" spans="9:22" x14ac:dyDescent="0.45">
      <c r="I155" t="s">
        <v>177</v>
      </c>
      <c r="J155" t="s">
        <v>152</v>
      </c>
      <c r="K155">
        <v>1.1805895668191284E-2</v>
      </c>
      <c r="L155" t="s">
        <v>153</v>
      </c>
      <c r="N155" t="s">
        <v>220</v>
      </c>
      <c r="O155" t="s">
        <v>152</v>
      </c>
      <c r="P155">
        <v>0.11418646181942277</v>
      </c>
      <c r="Q155" t="s">
        <v>153</v>
      </c>
      <c r="S155" t="s">
        <v>262</v>
      </c>
      <c r="T155" t="s">
        <v>152</v>
      </c>
      <c r="U155">
        <v>0.12494087553776227</v>
      </c>
      <c r="V155" t="s">
        <v>153</v>
      </c>
    </row>
    <row r="156" spans="9:22" x14ac:dyDescent="0.45">
      <c r="I156" t="s">
        <v>177</v>
      </c>
      <c r="J156" t="s">
        <v>154</v>
      </c>
      <c r="K156">
        <v>0.40141560728546549</v>
      </c>
      <c r="L156" t="s">
        <v>153</v>
      </c>
      <c r="N156" t="s">
        <v>220</v>
      </c>
      <c r="O156" t="s">
        <v>154</v>
      </c>
      <c r="P156">
        <v>0.19484397002032483</v>
      </c>
      <c r="Q156" t="s">
        <v>153</v>
      </c>
      <c r="S156" t="s">
        <v>262</v>
      </c>
      <c r="T156" t="s">
        <v>154</v>
      </c>
      <c r="U156">
        <v>0.17976626598911005</v>
      </c>
      <c r="V156" t="s">
        <v>153</v>
      </c>
    </row>
    <row r="157" spans="9:22" x14ac:dyDescent="0.45">
      <c r="I157" t="s">
        <v>177</v>
      </c>
      <c r="J157" t="s">
        <v>155</v>
      </c>
      <c r="K157">
        <v>4.149988484278197E-2</v>
      </c>
      <c r="L157" t="s">
        <v>153</v>
      </c>
      <c r="N157" t="s">
        <v>220</v>
      </c>
      <c r="O157" t="s">
        <v>155</v>
      </c>
      <c r="P157">
        <v>0.12533203448042587</v>
      </c>
      <c r="Q157" t="s">
        <v>153</v>
      </c>
      <c r="S157" t="s">
        <v>262</v>
      </c>
      <c r="T157" t="s">
        <v>155</v>
      </c>
      <c r="U157">
        <v>0.12749286107238433</v>
      </c>
      <c r="V157" t="s">
        <v>153</v>
      </c>
    </row>
    <row r="158" spans="9:22" x14ac:dyDescent="0.45">
      <c r="I158" t="s">
        <v>177</v>
      </c>
      <c r="J158" t="s">
        <v>156</v>
      </c>
      <c r="K158">
        <v>0</v>
      </c>
      <c r="L158" t="s">
        <v>153</v>
      </c>
      <c r="N158" t="s">
        <v>220</v>
      </c>
      <c r="O158" t="s">
        <v>156</v>
      </c>
      <c r="P158">
        <v>5.1906427810891033E-2</v>
      </c>
      <c r="Q158" t="s">
        <v>153</v>
      </c>
      <c r="S158" t="s">
        <v>262</v>
      </c>
      <c r="T158" t="s">
        <v>156</v>
      </c>
      <c r="U158">
        <v>5.7547600970171087E-2</v>
      </c>
      <c r="V158" t="s">
        <v>153</v>
      </c>
    </row>
    <row r="159" spans="9:22" x14ac:dyDescent="0.45">
      <c r="I159" t="s">
        <v>177</v>
      </c>
      <c r="J159" t="s">
        <v>157</v>
      </c>
      <c r="K159">
        <v>0.10109541471820427</v>
      </c>
      <c r="L159" t="s">
        <v>153</v>
      </c>
      <c r="N159" t="s">
        <v>220</v>
      </c>
      <c r="O159" t="s">
        <v>157</v>
      </c>
      <c r="P159">
        <v>8.2874417789720808E-2</v>
      </c>
      <c r="Q159" t="s">
        <v>153</v>
      </c>
      <c r="S159" t="s">
        <v>262</v>
      </c>
      <c r="T159" t="s">
        <v>157</v>
      </c>
      <c r="U159">
        <v>7.7997247474143841E-2</v>
      </c>
      <c r="V159" t="s">
        <v>153</v>
      </c>
    </row>
    <row r="160" spans="9:22" x14ac:dyDescent="0.45">
      <c r="I160" t="s">
        <v>177</v>
      </c>
      <c r="J160" t="s">
        <v>158</v>
      </c>
      <c r="K160">
        <v>4.5703747749145148E-3</v>
      </c>
      <c r="L160" t="s">
        <v>153</v>
      </c>
      <c r="N160" t="s">
        <v>220</v>
      </c>
      <c r="O160" t="s">
        <v>158</v>
      </c>
      <c r="P160">
        <v>3.2197814255398513E-2</v>
      </c>
      <c r="Q160" t="s">
        <v>153</v>
      </c>
      <c r="S160" t="s">
        <v>262</v>
      </c>
      <c r="T160" t="s">
        <v>158</v>
      </c>
      <c r="U160">
        <v>5.5130702406150464E-2</v>
      </c>
      <c r="V160" t="s">
        <v>153</v>
      </c>
    </row>
    <row r="161" spans="9:22" x14ac:dyDescent="0.45">
      <c r="I161" t="s">
        <v>177</v>
      </c>
      <c r="J161" t="s">
        <v>159</v>
      </c>
      <c r="K161">
        <v>2.3871176867468969E-2</v>
      </c>
      <c r="L161" t="s">
        <v>153</v>
      </c>
      <c r="N161" t="s">
        <v>220</v>
      </c>
      <c r="O161" t="s">
        <v>159</v>
      </c>
      <c r="P161">
        <v>8.0563863377852152E-2</v>
      </c>
      <c r="Q161" t="s">
        <v>153</v>
      </c>
      <c r="S161" t="s">
        <v>262</v>
      </c>
      <c r="T161" t="s">
        <v>159</v>
      </c>
      <c r="U161">
        <v>0.10966964330137871</v>
      </c>
      <c r="V161" t="s">
        <v>153</v>
      </c>
    </row>
    <row r="162" spans="9:22" x14ac:dyDescent="0.45">
      <c r="I162" t="s">
        <v>177</v>
      </c>
      <c r="J162" t="s">
        <v>160</v>
      </c>
      <c r="K162">
        <v>0.37849884923593691</v>
      </c>
      <c r="L162" t="s">
        <v>153</v>
      </c>
      <c r="N162" t="s">
        <v>220</v>
      </c>
      <c r="O162" t="s">
        <v>160</v>
      </c>
      <c r="P162">
        <v>0.19634518479609567</v>
      </c>
      <c r="Q162" t="s">
        <v>153</v>
      </c>
      <c r="S162" t="s">
        <v>262</v>
      </c>
      <c r="T162" t="s">
        <v>160</v>
      </c>
      <c r="U162">
        <v>0.15743579042659864</v>
      </c>
      <c r="V162" t="s">
        <v>153</v>
      </c>
    </row>
    <row r="163" spans="9:22" x14ac:dyDescent="0.45">
      <c r="I163" t="s">
        <v>177</v>
      </c>
      <c r="J163" t="s">
        <v>161</v>
      </c>
      <c r="K163">
        <v>3.7242796607038567E-2</v>
      </c>
      <c r="L163" t="s">
        <v>153</v>
      </c>
      <c r="N163" t="s">
        <v>220</v>
      </c>
      <c r="O163" t="s">
        <v>161</v>
      </c>
      <c r="P163">
        <v>0.12174982564986786</v>
      </c>
      <c r="Q163" t="s">
        <v>153</v>
      </c>
      <c r="S163" t="s">
        <v>262</v>
      </c>
      <c r="T163" t="s">
        <v>161</v>
      </c>
      <c r="U163">
        <v>0.11001901282230228</v>
      </c>
      <c r="V163" t="s">
        <v>153</v>
      </c>
    </row>
    <row r="164" spans="9:22" x14ac:dyDescent="0.45">
      <c r="I164" t="s">
        <v>178</v>
      </c>
      <c r="J164" t="s">
        <v>152</v>
      </c>
      <c r="K164">
        <v>6.9971203820154244E-3</v>
      </c>
      <c r="L164" t="s">
        <v>153</v>
      </c>
      <c r="N164" t="s">
        <v>221</v>
      </c>
      <c r="O164" t="s">
        <v>152</v>
      </c>
      <c r="P164">
        <v>0.11687279038250931</v>
      </c>
      <c r="Q164" t="s">
        <v>153</v>
      </c>
      <c r="S164" t="s">
        <v>263</v>
      </c>
      <c r="T164" t="s">
        <v>152</v>
      </c>
      <c r="U164">
        <v>0.11891659653800633</v>
      </c>
      <c r="V164" t="s">
        <v>153</v>
      </c>
    </row>
    <row r="165" spans="9:22" x14ac:dyDescent="0.45">
      <c r="I165" t="s">
        <v>178</v>
      </c>
      <c r="J165" t="s">
        <v>154</v>
      </c>
      <c r="K165">
        <v>0.39550232044051858</v>
      </c>
      <c r="L165" t="s">
        <v>153</v>
      </c>
      <c r="N165" t="s">
        <v>221</v>
      </c>
      <c r="O165" t="s">
        <v>154</v>
      </c>
      <c r="P165">
        <v>0.18404214277992609</v>
      </c>
      <c r="Q165" t="s">
        <v>153</v>
      </c>
      <c r="S165" t="s">
        <v>263</v>
      </c>
      <c r="T165" t="s">
        <v>154</v>
      </c>
      <c r="U165">
        <v>0.1828321215037787</v>
      </c>
      <c r="V165" t="s">
        <v>153</v>
      </c>
    </row>
    <row r="166" spans="9:22" x14ac:dyDescent="0.45">
      <c r="I166" t="s">
        <v>178</v>
      </c>
      <c r="J166" t="s">
        <v>155</v>
      </c>
      <c r="K166">
        <v>5.6985576250897202E-2</v>
      </c>
      <c r="L166" t="s">
        <v>153</v>
      </c>
      <c r="N166" t="s">
        <v>221</v>
      </c>
      <c r="O166" t="s">
        <v>155</v>
      </c>
      <c r="P166">
        <v>0.14666059148795282</v>
      </c>
      <c r="Q166" t="s">
        <v>153</v>
      </c>
      <c r="S166" t="s">
        <v>263</v>
      </c>
      <c r="T166" t="s">
        <v>155</v>
      </c>
      <c r="U166">
        <v>0.13007822280831455</v>
      </c>
      <c r="V166" t="s">
        <v>153</v>
      </c>
    </row>
    <row r="167" spans="9:22" x14ac:dyDescent="0.45">
      <c r="I167" t="s">
        <v>178</v>
      </c>
      <c r="J167" t="s">
        <v>156</v>
      </c>
      <c r="K167">
        <v>0</v>
      </c>
      <c r="L167" t="s">
        <v>153</v>
      </c>
      <c r="N167" t="s">
        <v>221</v>
      </c>
      <c r="O167" t="s">
        <v>156</v>
      </c>
      <c r="P167">
        <v>3.9527318233314804E-2</v>
      </c>
      <c r="Q167" t="s">
        <v>153</v>
      </c>
      <c r="S167" t="s">
        <v>263</v>
      </c>
      <c r="T167" t="s">
        <v>156</v>
      </c>
      <c r="U167">
        <v>5.8686028507687643E-2</v>
      </c>
      <c r="V167" t="s">
        <v>153</v>
      </c>
    </row>
    <row r="168" spans="9:22" x14ac:dyDescent="0.45">
      <c r="I168" t="s">
        <v>178</v>
      </c>
      <c r="J168" t="s">
        <v>157</v>
      </c>
      <c r="K168">
        <v>8.8391713731754473E-2</v>
      </c>
      <c r="L168" t="s">
        <v>153</v>
      </c>
      <c r="N168" t="s">
        <v>221</v>
      </c>
      <c r="O168" t="s">
        <v>157</v>
      </c>
      <c r="P168">
        <v>6.7176773509471044E-2</v>
      </c>
      <c r="Q168" t="s">
        <v>153</v>
      </c>
      <c r="S168" t="s">
        <v>263</v>
      </c>
      <c r="T168" t="s">
        <v>157</v>
      </c>
      <c r="U168">
        <v>7.535368621203746E-2</v>
      </c>
      <c r="V168" t="s">
        <v>153</v>
      </c>
    </row>
    <row r="169" spans="9:22" x14ac:dyDescent="0.45">
      <c r="I169" t="s">
        <v>178</v>
      </c>
      <c r="J169" t="s">
        <v>158</v>
      </c>
      <c r="K169">
        <v>6.8125143895632649E-3</v>
      </c>
      <c r="L169" t="s">
        <v>153</v>
      </c>
      <c r="N169" t="s">
        <v>221</v>
      </c>
      <c r="O169" t="s">
        <v>158</v>
      </c>
      <c r="P169">
        <v>4.7939024281689883E-2</v>
      </c>
      <c r="Q169" t="s">
        <v>153</v>
      </c>
      <c r="S169" t="s">
        <v>263</v>
      </c>
      <c r="T169" t="s">
        <v>158</v>
      </c>
      <c r="U169">
        <v>5.7285996952083966E-2</v>
      </c>
      <c r="V169" t="s">
        <v>153</v>
      </c>
    </row>
    <row r="170" spans="9:22" x14ac:dyDescent="0.45">
      <c r="I170" t="s">
        <v>178</v>
      </c>
      <c r="J170" t="s">
        <v>159</v>
      </c>
      <c r="K170">
        <v>1.4649311660669467E-2</v>
      </c>
      <c r="L170" t="s">
        <v>153</v>
      </c>
      <c r="N170" t="s">
        <v>221</v>
      </c>
      <c r="O170" t="s">
        <v>159</v>
      </c>
      <c r="P170">
        <v>9.5354530808251736E-2</v>
      </c>
      <c r="Q170" t="s">
        <v>153</v>
      </c>
      <c r="S170" t="s">
        <v>263</v>
      </c>
      <c r="T170" t="s">
        <v>159</v>
      </c>
      <c r="U170">
        <v>0.10511914871195982</v>
      </c>
      <c r="V170" t="s">
        <v>153</v>
      </c>
    </row>
    <row r="171" spans="9:22" x14ac:dyDescent="0.45">
      <c r="I171" t="s">
        <v>178</v>
      </c>
      <c r="J171" t="s">
        <v>160</v>
      </c>
      <c r="K171">
        <v>0.37870379695504863</v>
      </c>
      <c r="L171" t="s">
        <v>153</v>
      </c>
      <c r="N171" t="s">
        <v>221</v>
      </c>
      <c r="O171" t="s">
        <v>160</v>
      </c>
      <c r="P171">
        <v>0.17725640529139153</v>
      </c>
      <c r="Q171" t="s">
        <v>153</v>
      </c>
      <c r="S171" t="s">
        <v>263</v>
      </c>
      <c r="T171" t="s">
        <v>160</v>
      </c>
      <c r="U171">
        <v>0.16065071133637174</v>
      </c>
      <c r="V171" t="s">
        <v>153</v>
      </c>
    </row>
    <row r="172" spans="9:22" x14ac:dyDescent="0.45">
      <c r="I172" t="s">
        <v>178</v>
      </c>
      <c r="J172" t="s">
        <v>161</v>
      </c>
      <c r="K172">
        <v>5.1957646189530367E-2</v>
      </c>
      <c r="L172" t="s">
        <v>153</v>
      </c>
      <c r="N172" t="s">
        <v>221</v>
      </c>
      <c r="O172" t="s">
        <v>161</v>
      </c>
      <c r="P172">
        <v>0.12517042322549832</v>
      </c>
      <c r="Q172" t="s">
        <v>153</v>
      </c>
      <c r="S172" t="s">
        <v>263</v>
      </c>
      <c r="T172" t="s">
        <v>161</v>
      </c>
      <c r="U172">
        <v>0.11107748742976199</v>
      </c>
      <c r="V172" t="s">
        <v>153</v>
      </c>
    </row>
    <row r="173" spans="9:22" x14ac:dyDescent="0.45">
      <c r="I173" t="s">
        <v>179</v>
      </c>
      <c r="J173" t="s">
        <v>152</v>
      </c>
      <c r="K173">
        <v>9.0557003876813955E-3</v>
      </c>
      <c r="L173" t="s">
        <v>153</v>
      </c>
      <c r="N173" t="s">
        <v>222</v>
      </c>
      <c r="O173" t="s">
        <v>152</v>
      </c>
      <c r="P173">
        <v>0.10464693992765287</v>
      </c>
      <c r="Q173" t="s">
        <v>153</v>
      </c>
      <c r="S173" t="s">
        <v>264</v>
      </c>
      <c r="T173" t="s">
        <v>152</v>
      </c>
      <c r="U173">
        <v>0.12113273183567523</v>
      </c>
      <c r="V173" t="s">
        <v>153</v>
      </c>
    </row>
    <row r="174" spans="9:22" x14ac:dyDescent="0.45">
      <c r="I174" t="s">
        <v>179</v>
      </c>
      <c r="J174" t="s">
        <v>154</v>
      </c>
      <c r="K174">
        <v>0.39637729248192055</v>
      </c>
      <c r="L174" t="s">
        <v>153</v>
      </c>
      <c r="N174" t="s">
        <v>222</v>
      </c>
      <c r="O174" t="s">
        <v>154</v>
      </c>
      <c r="P174">
        <v>0.18871653453696735</v>
      </c>
      <c r="Q174" t="s">
        <v>153</v>
      </c>
      <c r="S174" t="s">
        <v>264</v>
      </c>
      <c r="T174" t="s">
        <v>154</v>
      </c>
      <c r="U174">
        <v>0.1716325727491769</v>
      </c>
      <c r="V174" t="s">
        <v>153</v>
      </c>
    </row>
    <row r="175" spans="9:22" x14ac:dyDescent="0.45">
      <c r="I175" t="s">
        <v>179</v>
      </c>
      <c r="J175" t="s">
        <v>155</v>
      </c>
      <c r="K175">
        <v>5.3128308601153508E-2</v>
      </c>
      <c r="L175" t="s">
        <v>153</v>
      </c>
      <c r="N175" t="s">
        <v>222</v>
      </c>
      <c r="O175" t="s">
        <v>155</v>
      </c>
      <c r="P175">
        <v>0.14985220453969064</v>
      </c>
      <c r="Q175" t="s">
        <v>153</v>
      </c>
      <c r="S175" t="s">
        <v>264</v>
      </c>
      <c r="T175" t="s">
        <v>155</v>
      </c>
      <c r="U175">
        <v>0.12552922888940907</v>
      </c>
      <c r="V175" t="s">
        <v>153</v>
      </c>
    </row>
    <row r="176" spans="9:22" x14ac:dyDescent="0.45">
      <c r="I176" t="s">
        <v>179</v>
      </c>
      <c r="J176" t="s">
        <v>156</v>
      </c>
      <c r="K176">
        <v>0</v>
      </c>
      <c r="L176" t="s">
        <v>153</v>
      </c>
      <c r="N176" t="s">
        <v>222</v>
      </c>
      <c r="O176" t="s">
        <v>156</v>
      </c>
      <c r="P176">
        <v>3.130051845573583E-2</v>
      </c>
      <c r="Q176" t="s">
        <v>153</v>
      </c>
      <c r="S176" t="s">
        <v>264</v>
      </c>
      <c r="T176" t="s">
        <v>156</v>
      </c>
      <c r="U176">
        <v>5.780266857811963E-2</v>
      </c>
      <c r="V176" t="s">
        <v>153</v>
      </c>
    </row>
    <row r="177" spans="9:22" x14ac:dyDescent="0.45">
      <c r="I177" t="s">
        <v>179</v>
      </c>
      <c r="J177" t="s">
        <v>157</v>
      </c>
      <c r="K177">
        <v>9.0019267350421914E-2</v>
      </c>
      <c r="L177" t="s">
        <v>153</v>
      </c>
      <c r="N177" t="s">
        <v>222</v>
      </c>
      <c r="O177" t="s">
        <v>157</v>
      </c>
      <c r="P177">
        <v>6.2058776071478208E-2</v>
      </c>
      <c r="Q177" t="s">
        <v>153</v>
      </c>
      <c r="S177" t="s">
        <v>264</v>
      </c>
      <c r="T177" t="s">
        <v>157</v>
      </c>
      <c r="U177">
        <v>7.8877476004441838E-2</v>
      </c>
      <c r="V177" t="s">
        <v>153</v>
      </c>
    </row>
    <row r="178" spans="9:22" x14ac:dyDescent="0.45">
      <c r="I178" t="s">
        <v>179</v>
      </c>
      <c r="J178" t="s">
        <v>158</v>
      </c>
      <c r="K178">
        <v>5.8140544704099366E-3</v>
      </c>
      <c r="L178" t="s">
        <v>153</v>
      </c>
      <c r="N178" t="s">
        <v>222</v>
      </c>
      <c r="O178" t="s">
        <v>158</v>
      </c>
      <c r="P178">
        <v>4.2247198291567402E-2</v>
      </c>
      <c r="Q178" t="s">
        <v>153</v>
      </c>
      <c r="S178" t="s">
        <v>264</v>
      </c>
      <c r="T178" t="s">
        <v>158</v>
      </c>
      <c r="U178">
        <v>5.4989865092867331E-2</v>
      </c>
      <c r="V178" t="s">
        <v>153</v>
      </c>
    </row>
    <row r="179" spans="9:22" x14ac:dyDescent="0.45">
      <c r="I179" t="s">
        <v>179</v>
      </c>
      <c r="J179" t="s">
        <v>159</v>
      </c>
      <c r="K179">
        <v>1.8285542892569097E-2</v>
      </c>
      <c r="L179" t="s">
        <v>153</v>
      </c>
      <c r="N179" t="s">
        <v>222</v>
      </c>
      <c r="O179" t="s">
        <v>159</v>
      </c>
      <c r="P179">
        <v>9.0407774606098279E-2</v>
      </c>
      <c r="Q179" t="s">
        <v>153</v>
      </c>
      <c r="S179" t="s">
        <v>264</v>
      </c>
      <c r="T179" t="s">
        <v>159</v>
      </c>
      <c r="U179">
        <v>0.11012095022709482</v>
      </c>
      <c r="V179" t="s">
        <v>153</v>
      </c>
    </row>
    <row r="180" spans="9:22" x14ac:dyDescent="0.45">
      <c r="I180" t="s">
        <v>179</v>
      </c>
      <c r="J180" t="s">
        <v>160</v>
      </c>
      <c r="K180">
        <v>0.37923771400085288</v>
      </c>
      <c r="L180" t="s">
        <v>153</v>
      </c>
      <c r="N180" t="s">
        <v>222</v>
      </c>
      <c r="O180" t="s">
        <v>160</v>
      </c>
      <c r="P180">
        <v>0.19201700737956343</v>
      </c>
      <c r="Q180" t="s">
        <v>153</v>
      </c>
      <c r="S180" t="s">
        <v>264</v>
      </c>
      <c r="T180" t="s">
        <v>160</v>
      </c>
      <c r="U180">
        <v>0.1617432336892525</v>
      </c>
      <c r="V180" t="s">
        <v>153</v>
      </c>
    </row>
    <row r="181" spans="9:22" x14ac:dyDescent="0.45">
      <c r="I181" t="s">
        <v>179</v>
      </c>
      <c r="J181" t="s">
        <v>161</v>
      </c>
      <c r="K181">
        <v>4.8082119814988944E-2</v>
      </c>
      <c r="L181" t="s">
        <v>153</v>
      </c>
      <c r="N181" t="s">
        <v>222</v>
      </c>
      <c r="O181" t="s">
        <v>161</v>
      </c>
      <c r="P181">
        <v>0.13875304619124926</v>
      </c>
      <c r="Q181" t="s">
        <v>153</v>
      </c>
      <c r="S181" t="s">
        <v>264</v>
      </c>
      <c r="T181" t="s">
        <v>161</v>
      </c>
      <c r="U181">
        <v>0.11817127293396525</v>
      </c>
      <c r="V181" t="s">
        <v>153</v>
      </c>
    </row>
    <row r="182" spans="9:22" x14ac:dyDescent="0.45">
      <c r="I182" t="s">
        <v>180</v>
      </c>
      <c r="J182" t="s">
        <v>152</v>
      </c>
      <c r="K182">
        <v>1.1168170552760264E-2</v>
      </c>
      <c r="L182" t="s">
        <v>153</v>
      </c>
      <c r="N182" t="s">
        <v>223</v>
      </c>
      <c r="O182" t="s">
        <v>152</v>
      </c>
      <c r="P182">
        <v>0.13531897066885124</v>
      </c>
      <c r="Q182" t="s">
        <v>153</v>
      </c>
      <c r="S182" t="s">
        <v>265</v>
      </c>
      <c r="T182" t="s">
        <v>152</v>
      </c>
      <c r="U182">
        <v>0.11211265400066105</v>
      </c>
      <c r="V182" t="s">
        <v>153</v>
      </c>
    </row>
    <row r="183" spans="9:22" x14ac:dyDescent="0.45">
      <c r="I183" t="s">
        <v>180</v>
      </c>
      <c r="J183" t="s">
        <v>154</v>
      </c>
      <c r="K183">
        <v>0.39803686403844185</v>
      </c>
      <c r="L183" t="s">
        <v>153</v>
      </c>
      <c r="N183" t="s">
        <v>223</v>
      </c>
      <c r="O183" t="s">
        <v>154</v>
      </c>
      <c r="P183">
        <v>0.13991556887376214</v>
      </c>
      <c r="Q183" t="s">
        <v>153</v>
      </c>
      <c r="S183" t="s">
        <v>265</v>
      </c>
      <c r="T183" t="s">
        <v>154</v>
      </c>
      <c r="U183">
        <v>0.18594654227612989</v>
      </c>
      <c r="V183" t="s">
        <v>153</v>
      </c>
    </row>
    <row r="184" spans="9:22" x14ac:dyDescent="0.45">
      <c r="I184" t="s">
        <v>180</v>
      </c>
      <c r="J184" t="s">
        <v>155</v>
      </c>
      <c r="K184">
        <v>4.6838017565972889E-2</v>
      </c>
      <c r="L184" t="s">
        <v>153</v>
      </c>
      <c r="N184" t="s">
        <v>223</v>
      </c>
      <c r="O184" t="s">
        <v>155</v>
      </c>
      <c r="P184">
        <v>0.15353296108869446</v>
      </c>
      <c r="Q184" t="s">
        <v>153</v>
      </c>
      <c r="S184" t="s">
        <v>265</v>
      </c>
      <c r="T184" t="s">
        <v>155</v>
      </c>
      <c r="U184">
        <v>0.12702716020116159</v>
      </c>
      <c r="V184" t="s">
        <v>153</v>
      </c>
    </row>
    <row r="185" spans="9:22" x14ac:dyDescent="0.45">
      <c r="I185" t="s">
        <v>180</v>
      </c>
      <c r="J185" t="s">
        <v>156</v>
      </c>
      <c r="K185">
        <v>0</v>
      </c>
      <c r="L185" t="s">
        <v>153</v>
      </c>
      <c r="N185" t="s">
        <v>223</v>
      </c>
      <c r="O185" t="s">
        <v>156</v>
      </c>
      <c r="P185">
        <v>3.9271689966872282E-2</v>
      </c>
      <c r="Q185" t="s">
        <v>153</v>
      </c>
      <c r="S185" t="s">
        <v>265</v>
      </c>
      <c r="T185" t="s">
        <v>156</v>
      </c>
      <c r="U185">
        <v>5.657507953012568E-2</v>
      </c>
      <c r="V185" t="s">
        <v>153</v>
      </c>
    </row>
    <row r="186" spans="9:22" x14ac:dyDescent="0.45">
      <c r="I186" t="s">
        <v>180</v>
      </c>
      <c r="J186" t="s">
        <v>157</v>
      </c>
      <c r="K186">
        <v>9.3426047344291108E-2</v>
      </c>
      <c r="L186" t="s">
        <v>153</v>
      </c>
      <c r="N186" t="s">
        <v>223</v>
      </c>
      <c r="O186" t="s">
        <v>157</v>
      </c>
      <c r="P186">
        <v>4.8929111954655206E-2</v>
      </c>
      <c r="Q186" t="s">
        <v>153</v>
      </c>
      <c r="S186" t="s">
        <v>265</v>
      </c>
      <c r="T186" t="s">
        <v>157</v>
      </c>
      <c r="U186">
        <v>7.9437271121093986E-2</v>
      </c>
      <c r="V186" t="s">
        <v>153</v>
      </c>
    </row>
    <row r="187" spans="9:22" x14ac:dyDescent="0.45">
      <c r="I187" t="s">
        <v>180</v>
      </c>
      <c r="J187" t="s">
        <v>158</v>
      </c>
      <c r="K187">
        <v>4.4400038149331458E-3</v>
      </c>
      <c r="L187" t="s">
        <v>153</v>
      </c>
      <c r="N187" t="s">
        <v>223</v>
      </c>
      <c r="O187" t="s">
        <v>158</v>
      </c>
      <c r="P187">
        <v>4.1949990554134529E-2</v>
      </c>
      <c r="Q187" t="s">
        <v>153</v>
      </c>
      <c r="S187" t="s">
        <v>265</v>
      </c>
      <c r="T187" t="s">
        <v>158</v>
      </c>
      <c r="U187">
        <v>5.8180792044585421E-2</v>
      </c>
      <c r="V187" t="s">
        <v>153</v>
      </c>
    </row>
    <row r="188" spans="9:22" x14ac:dyDescent="0.45">
      <c r="I188" t="s">
        <v>180</v>
      </c>
      <c r="J188" t="s">
        <v>159</v>
      </c>
      <c r="K188">
        <v>2.3196904590310864E-2</v>
      </c>
      <c r="L188" t="s">
        <v>153</v>
      </c>
      <c r="N188" t="s">
        <v>223</v>
      </c>
      <c r="O188" t="s">
        <v>159</v>
      </c>
      <c r="P188">
        <v>0.12908935846576466</v>
      </c>
      <c r="Q188" t="s">
        <v>153</v>
      </c>
      <c r="S188" t="s">
        <v>265</v>
      </c>
      <c r="T188" t="s">
        <v>159</v>
      </c>
      <c r="U188">
        <v>9.9937291216527516E-2</v>
      </c>
      <c r="V188" t="s">
        <v>153</v>
      </c>
    </row>
    <row r="189" spans="9:22" x14ac:dyDescent="0.45">
      <c r="I189" t="s">
        <v>180</v>
      </c>
      <c r="J189" t="s">
        <v>160</v>
      </c>
      <c r="K189">
        <v>0.38153728225262229</v>
      </c>
      <c r="L189" t="s">
        <v>153</v>
      </c>
      <c r="N189" t="s">
        <v>223</v>
      </c>
      <c r="O189" t="s">
        <v>160</v>
      </c>
      <c r="P189">
        <v>0.14582450150962478</v>
      </c>
      <c r="Q189" t="s">
        <v>153</v>
      </c>
      <c r="S189" t="s">
        <v>265</v>
      </c>
      <c r="T189" t="s">
        <v>160</v>
      </c>
      <c r="U189">
        <v>0.16725643719893829</v>
      </c>
      <c r="V189" t="s">
        <v>153</v>
      </c>
    </row>
    <row r="190" spans="9:22" x14ac:dyDescent="0.45">
      <c r="I190" t="s">
        <v>180</v>
      </c>
      <c r="J190" t="s">
        <v>161</v>
      </c>
      <c r="K190">
        <v>4.135670984066718E-2</v>
      </c>
      <c r="L190" t="s">
        <v>153</v>
      </c>
      <c r="N190" t="s">
        <v>223</v>
      </c>
      <c r="O190" t="s">
        <v>161</v>
      </c>
      <c r="P190">
        <v>0.16616784691764261</v>
      </c>
      <c r="Q190" t="s">
        <v>153</v>
      </c>
      <c r="S190" t="s">
        <v>265</v>
      </c>
      <c r="T190" t="s">
        <v>161</v>
      </c>
      <c r="U190">
        <v>0.11352677241077908</v>
      </c>
      <c r="V190" t="s">
        <v>153</v>
      </c>
    </row>
    <row r="191" spans="9:22" x14ac:dyDescent="0.45">
      <c r="I191" t="s">
        <v>181</v>
      </c>
      <c r="J191" t="s">
        <v>152</v>
      </c>
      <c r="K191">
        <v>1.018004918464714E-2</v>
      </c>
      <c r="L191" t="s">
        <v>153</v>
      </c>
      <c r="N191" t="s">
        <v>224</v>
      </c>
      <c r="O191" t="s">
        <v>152</v>
      </c>
      <c r="P191">
        <v>0.13287963873918407</v>
      </c>
      <c r="Q191" t="s">
        <v>153</v>
      </c>
    </row>
    <row r="192" spans="9:22" x14ac:dyDescent="0.45">
      <c r="I192" t="s">
        <v>181</v>
      </c>
      <c r="J192" t="s">
        <v>154</v>
      </c>
      <c r="K192">
        <v>0.39781770049171294</v>
      </c>
      <c r="L192" t="s">
        <v>153</v>
      </c>
      <c r="N192" t="s">
        <v>224</v>
      </c>
      <c r="O192" t="s">
        <v>154</v>
      </c>
      <c r="P192">
        <v>0.14658066712729065</v>
      </c>
      <c r="Q192" t="s">
        <v>153</v>
      </c>
    </row>
    <row r="193" spans="9:17" x14ac:dyDescent="0.45">
      <c r="I193" t="s">
        <v>181</v>
      </c>
      <c r="J193" t="s">
        <v>155</v>
      </c>
      <c r="K193">
        <v>5.0682236895807788E-2</v>
      </c>
      <c r="L193" t="s">
        <v>153</v>
      </c>
      <c r="N193" t="s">
        <v>224</v>
      </c>
      <c r="O193" t="s">
        <v>155</v>
      </c>
      <c r="P193">
        <v>0.16746511576385972</v>
      </c>
      <c r="Q193" t="s">
        <v>153</v>
      </c>
    </row>
    <row r="194" spans="9:17" x14ac:dyDescent="0.45">
      <c r="I194" t="s">
        <v>181</v>
      </c>
      <c r="J194" t="s">
        <v>156</v>
      </c>
      <c r="K194">
        <v>0</v>
      </c>
      <c r="L194" t="s">
        <v>153</v>
      </c>
      <c r="N194" t="s">
        <v>224</v>
      </c>
      <c r="O194" t="s">
        <v>156</v>
      </c>
      <c r="P194">
        <v>4.9069742684906548E-2</v>
      </c>
      <c r="Q194" t="s">
        <v>153</v>
      </c>
    </row>
    <row r="195" spans="9:17" x14ac:dyDescent="0.45">
      <c r="I195" t="s">
        <v>181</v>
      </c>
      <c r="J195" t="s">
        <v>157</v>
      </c>
      <c r="K195">
        <v>9.3937853878873503E-2</v>
      </c>
      <c r="L195" t="s">
        <v>153</v>
      </c>
      <c r="N195" t="s">
        <v>224</v>
      </c>
      <c r="O195" t="s">
        <v>157</v>
      </c>
      <c r="P195">
        <v>4.2601504261516571E-2</v>
      </c>
      <c r="Q195" t="s">
        <v>153</v>
      </c>
    </row>
    <row r="196" spans="9:17" x14ac:dyDescent="0.45">
      <c r="I196" t="s">
        <v>181</v>
      </c>
      <c r="J196" t="s">
        <v>158</v>
      </c>
      <c r="K196">
        <v>5.8351808204569113E-3</v>
      </c>
      <c r="L196" t="s">
        <v>153</v>
      </c>
      <c r="N196" t="s">
        <v>224</v>
      </c>
      <c r="O196" t="s">
        <v>158</v>
      </c>
      <c r="P196">
        <v>5.6899783028188385E-2</v>
      </c>
      <c r="Q196" t="s">
        <v>153</v>
      </c>
    </row>
    <row r="197" spans="9:17" x14ac:dyDescent="0.45">
      <c r="I197" t="s">
        <v>181</v>
      </c>
      <c r="J197" t="s">
        <v>159</v>
      </c>
      <c r="K197">
        <v>2.0275804881571522E-2</v>
      </c>
      <c r="L197" t="s">
        <v>153</v>
      </c>
      <c r="N197" t="s">
        <v>224</v>
      </c>
      <c r="O197" t="s">
        <v>159</v>
      </c>
      <c r="P197">
        <v>0.11749185057865262</v>
      </c>
      <c r="Q197" t="s">
        <v>153</v>
      </c>
    </row>
    <row r="198" spans="9:17" x14ac:dyDescent="0.45">
      <c r="I198" t="s">
        <v>181</v>
      </c>
      <c r="J198" t="s">
        <v>160</v>
      </c>
      <c r="K198">
        <v>0.37710813660612574</v>
      </c>
      <c r="L198" t="s">
        <v>153</v>
      </c>
      <c r="N198" t="s">
        <v>224</v>
      </c>
      <c r="O198" t="s">
        <v>160</v>
      </c>
      <c r="P198">
        <v>0.13395070332455089</v>
      </c>
      <c r="Q198" t="s">
        <v>153</v>
      </c>
    </row>
    <row r="199" spans="9:17" x14ac:dyDescent="0.45">
      <c r="I199" t="s">
        <v>181</v>
      </c>
      <c r="J199" t="s">
        <v>161</v>
      </c>
      <c r="K199">
        <v>4.4163037240805537E-2</v>
      </c>
      <c r="L199" t="s">
        <v>153</v>
      </c>
      <c r="N199" t="s">
        <v>224</v>
      </c>
      <c r="O199" t="s">
        <v>161</v>
      </c>
      <c r="P199">
        <v>0.15306099449185487</v>
      </c>
      <c r="Q199" t="s">
        <v>153</v>
      </c>
    </row>
    <row r="200" spans="9:17" x14ac:dyDescent="0.45">
      <c r="I200" t="s">
        <v>182</v>
      </c>
      <c r="J200" t="s">
        <v>152</v>
      </c>
      <c r="K200">
        <v>1.3517533850442322E-3</v>
      </c>
      <c r="L200" t="s">
        <v>153</v>
      </c>
      <c r="N200" t="s">
        <v>225</v>
      </c>
      <c r="O200" t="s">
        <v>152</v>
      </c>
      <c r="P200">
        <v>9.4002235178128751E-2</v>
      </c>
      <c r="Q200" t="s">
        <v>153</v>
      </c>
    </row>
    <row r="201" spans="9:17" x14ac:dyDescent="0.45">
      <c r="I201" t="s">
        <v>182</v>
      </c>
      <c r="J201" t="s">
        <v>154</v>
      </c>
      <c r="K201">
        <v>0.41791935550626463</v>
      </c>
      <c r="L201" t="s">
        <v>153</v>
      </c>
      <c r="N201" t="s">
        <v>225</v>
      </c>
      <c r="O201" t="s">
        <v>154</v>
      </c>
      <c r="P201">
        <v>0.10064368451603289</v>
      </c>
      <c r="Q201" t="s">
        <v>153</v>
      </c>
    </row>
    <row r="202" spans="9:17" x14ac:dyDescent="0.45">
      <c r="I202" t="s">
        <v>182</v>
      </c>
      <c r="J202" t="s">
        <v>155</v>
      </c>
      <c r="K202">
        <v>5.5288512239901402E-2</v>
      </c>
      <c r="L202" t="s">
        <v>153</v>
      </c>
      <c r="N202" t="s">
        <v>225</v>
      </c>
      <c r="O202" t="s">
        <v>155</v>
      </c>
      <c r="P202">
        <v>0.17531386473402816</v>
      </c>
      <c r="Q202" t="s">
        <v>153</v>
      </c>
    </row>
    <row r="203" spans="9:17" x14ac:dyDescent="0.45">
      <c r="I203" t="s">
        <v>182</v>
      </c>
      <c r="J203" t="s">
        <v>156</v>
      </c>
      <c r="K203">
        <v>0</v>
      </c>
      <c r="L203" t="s">
        <v>153</v>
      </c>
      <c r="N203" t="s">
        <v>225</v>
      </c>
      <c r="O203" t="s">
        <v>156</v>
      </c>
      <c r="P203">
        <v>3.1797340466157779E-2</v>
      </c>
      <c r="Q203" t="s">
        <v>153</v>
      </c>
    </row>
    <row r="204" spans="9:17" x14ac:dyDescent="0.45">
      <c r="I204" t="s">
        <v>182</v>
      </c>
      <c r="J204" t="s">
        <v>157</v>
      </c>
      <c r="K204">
        <v>0.1228534143861502</v>
      </c>
      <c r="L204" t="s">
        <v>153</v>
      </c>
      <c r="N204" t="s">
        <v>225</v>
      </c>
      <c r="O204" t="s">
        <v>157</v>
      </c>
      <c r="P204">
        <v>4.0205986615336711E-2</v>
      </c>
      <c r="Q204" t="s">
        <v>153</v>
      </c>
    </row>
    <row r="205" spans="9:17" x14ac:dyDescent="0.45">
      <c r="I205" t="s">
        <v>182</v>
      </c>
      <c r="J205" t="s">
        <v>158</v>
      </c>
      <c r="K205">
        <v>9.7746869452297949E-3</v>
      </c>
      <c r="L205" t="s">
        <v>153</v>
      </c>
      <c r="N205" t="s">
        <v>225</v>
      </c>
      <c r="O205" t="s">
        <v>158</v>
      </c>
      <c r="P205">
        <v>5.9824909762716941E-2</v>
      </c>
      <c r="Q205" t="s">
        <v>153</v>
      </c>
    </row>
    <row r="206" spans="9:17" x14ac:dyDescent="0.45">
      <c r="I206" t="s">
        <v>182</v>
      </c>
      <c r="J206" t="s">
        <v>159</v>
      </c>
      <c r="K206">
        <v>7.2126534137551875E-3</v>
      </c>
      <c r="L206" t="s">
        <v>153</v>
      </c>
      <c r="N206" t="s">
        <v>225</v>
      </c>
      <c r="O206" t="s">
        <v>159</v>
      </c>
      <c r="P206">
        <v>0.12064303315842098</v>
      </c>
      <c r="Q206" t="s">
        <v>153</v>
      </c>
    </row>
    <row r="207" spans="9:17" x14ac:dyDescent="0.45">
      <c r="I207" t="s">
        <v>182</v>
      </c>
      <c r="J207" t="s">
        <v>160</v>
      </c>
      <c r="K207">
        <v>0.34263478321544555</v>
      </c>
      <c r="L207" t="s">
        <v>153</v>
      </c>
      <c r="N207" t="s">
        <v>225</v>
      </c>
      <c r="O207" t="s">
        <v>160</v>
      </c>
      <c r="P207">
        <v>0.14142371473558282</v>
      </c>
      <c r="Q207" t="s">
        <v>153</v>
      </c>
    </row>
    <row r="208" spans="9:17" x14ac:dyDescent="0.45">
      <c r="I208" t="s">
        <v>182</v>
      </c>
      <c r="J208" t="s">
        <v>161</v>
      </c>
      <c r="K208">
        <v>4.2964840908209651E-2</v>
      </c>
      <c r="L208" t="s">
        <v>153</v>
      </c>
      <c r="N208" t="s">
        <v>225</v>
      </c>
      <c r="O208" t="s">
        <v>161</v>
      </c>
      <c r="P208">
        <v>0.23614523083359484</v>
      </c>
      <c r="Q208" t="s">
        <v>153</v>
      </c>
    </row>
    <row r="209" spans="9:17" x14ac:dyDescent="0.45">
      <c r="I209" t="s">
        <v>183</v>
      </c>
      <c r="J209" t="s">
        <v>152</v>
      </c>
      <c r="K209">
        <v>1.4065991641940166E-3</v>
      </c>
      <c r="L209" t="s">
        <v>153</v>
      </c>
      <c r="N209" t="s">
        <v>226</v>
      </c>
      <c r="O209" t="s">
        <v>152</v>
      </c>
      <c r="P209">
        <v>0.13073325814690337</v>
      </c>
      <c r="Q209" t="s">
        <v>153</v>
      </c>
    </row>
    <row r="210" spans="9:17" x14ac:dyDescent="0.45">
      <c r="I210" t="s">
        <v>183</v>
      </c>
      <c r="J210" t="s">
        <v>154</v>
      </c>
      <c r="K210">
        <v>0.42216326189562442</v>
      </c>
      <c r="L210" t="s">
        <v>153</v>
      </c>
      <c r="N210" t="s">
        <v>226</v>
      </c>
      <c r="O210" t="s">
        <v>154</v>
      </c>
      <c r="P210">
        <v>0.1083047616455564</v>
      </c>
      <c r="Q210" t="s">
        <v>153</v>
      </c>
    </row>
    <row r="211" spans="9:17" x14ac:dyDescent="0.45">
      <c r="I211" t="s">
        <v>183</v>
      </c>
      <c r="J211" t="s">
        <v>155</v>
      </c>
      <c r="K211">
        <v>5.3439650975746607E-2</v>
      </c>
      <c r="L211" t="s">
        <v>153</v>
      </c>
      <c r="N211" t="s">
        <v>226</v>
      </c>
      <c r="O211" t="s">
        <v>155</v>
      </c>
      <c r="P211">
        <v>0.14965640831461105</v>
      </c>
      <c r="Q211" t="s">
        <v>153</v>
      </c>
    </row>
    <row r="212" spans="9:17" x14ac:dyDescent="0.45">
      <c r="I212" t="s">
        <v>183</v>
      </c>
      <c r="J212" t="s">
        <v>156</v>
      </c>
      <c r="K212">
        <v>0</v>
      </c>
      <c r="L212" t="s">
        <v>153</v>
      </c>
      <c r="N212" t="s">
        <v>226</v>
      </c>
      <c r="O212" t="s">
        <v>156</v>
      </c>
      <c r="P212">
        <v>4.3673034077204166E-2</v>
      </c>
      <c r="Q212" t="s">
        <v>153</v>
      </c>
    </row>
    <row r="213" spans="9:17" x14ac:dyDescent="0.45">
      <c r="I213" t="s">
        <v>183</v>
      </c>
      <c r="J213" t="s">
        <v>157</v>
      </c>
      <c r="K213">
        <v>0.12364732866478081</v>
      </c>
      <c r="L213" t="s">
        <v>153</v>
      </c>
      <c r="N213" t="s">
        <v>226</v>
      </c>
      <c r="O213" t="s">
        <v>157</v>
      </c>
      <c r="P213">
        <v>4.1298090348228261E-2</v>
      </c>
      <c r="Q213" t="s">
        <v>153</v>
      </c>
    </row>
    <row r="214" spans="9:17" x14ac:dyDescent="0.45">
      <c r="I214" t="s">
        <v>183</v>
      </c>
      <c r="J214" t="s">
        <v>158</v>
      </c>
      <c r="K214">
        <v>1.012662067853283E-2</v>
      </c>
      <c r="L214" t="s">
        <v>153</v>
      </c>
      <c r="N214" t="s">
        <v>226</v>
      </c>
      <c r="O214" t="s">
        <v>158</v>
      </c>
      <c r="P214">
        <v>5.0105703891081432E-2</v>
      </c>
      <c r="Q214" t="s">
        <v>153</v>
      </c>
    </row>
    <row r="215" spans="9:17" x14ac:dyDescent="0.45">
      <c r="I215" t="s">
        <v>183</v>
      </c>
      <c r="J215" t="s">
        <v>159</v>
      </c>
      <c r="K215">
        <v>6.3655093359630075E-3</v>
      </c>
      <c r="L215" t="s">
        <v>153</v>
      </c>
      <c r="N215" t="s">
        <v>226</v>
      </c>
      <c r="O215" t="s">
        <v>159</v>
      </c>
      <c r="P215">
        <v>0.14399059118809843</v>
      </c>
      <c r="Q215" t="s">
        <v>153</v>
      </c>
    </row>
    <row r="216" spans="9:17" x14ac:dyDescent="0.45">
      <c r="I216" t="s">
        <v>183</v>
      </c>
      <c r="J216" t="s">
        <v>160</v>
      </c>
      <c r="K216">
        <v>0.34097370832659402</v>
      </c>
      <c r="L216" t="s">
        <v>153</v>
      </c>
      <c r="N216" t="s">
        <v>226</v>
      </c>
      <c r="O216" t="s">
        <v>160</v>
      </c>
      <c r="P216">
        <v>0.14425085595757953</v>
      </c>
      <c r="Q216" t="s">
        <v>153</v>
      </c>
    </row>
    <row r="217" spans="9:17" x14ac:dyDescent="0.45">
      <c r="I217" t="s">
        <v>183</v>
      </c>
      <c r="J217" t="s">
        <v>161</v>
      </c>
      <c r="K217">
        <v>4.1877320958564869E-2</v>
      </c>
      <c r="L217" t="s">
        <v>153</v>
      </c>
      <c r="N217" t="s">
        <v>226</v>
      </c>
      <c r="O217" t="s">
        <v>161</v>
      </c>
      <c r="P217">
        <v>0.18798729643073969</v>
      </c>
      <c r="Q217" t="s">
        <v>153</v>
      </c>
    </row>
    <row r="218" spans="9:17" x14ac:dyDescent="0.45">
      <c r="I218" t="s">
        <v>184</v>
      </c>
      <c r="J218" t="s">
        <v>152</v>
      </c>
      <c r="K218">
        <v>1.0711629177072254E-3</v>
      </c>
      <c r="L218" t="s">
        <v>153</v>
      </c>
      <c r="N218" t="s">
        <v>227</v>
      </c>
      <c r="O218" t="s">
        <v>152</v>
      </c>
      <c r="P218">
        <v>0.15369845604499446</v>
      </c>
      <c r="Q218" t="s">
        <v>153</v>
      </c>
    </row>
    <row r="219" spans="9:17" x14ac:dyDescent="0.45">
      <c r="I219" t="s">
        <v>184</v>
      </c>
      <c r="J219" t="s">
        <v>154</v>
      </c>
      <c r="K219">
        <v>0.41294696806272213</v>
      </c>
      <c r="L219" t="s">
        <v>153</v>
      </c>
      <c r="N219" t="s">
        <v>227</v>
      </c>
      <c r="O219" t="s">
        <v>154</v>
      </c>
      <c r="P219">
        <v>0.10678105107536345</v>
      </c>
      <c r="Q219" t="s">
        <v>153</v>
      </c>
    </row>
    <row r="220" spans="9:17" x14ac:dyDescent="0.45">
      <c r="I220" t="s">
        <v>184</v>
      </c>
      <c r="J220" t="s">
        <v>155</v>
      </c>
      <c r="K220">
        <v>5.912958976731135E-2</v>
      </c>
      <c r="L220" t="s">
        <v>153</v>
      </c>
      <c r="N220" t="s">
        <v>227</v>
      </c>
      <c r="O220" t="s">
        <v>155</v>
      </c>
      <c r="P220">
        <v>0.10448413963925898</v>
      </c>
      <c r="Q220" t="s">
        <v>153</v>
      </c>
    </row>
    <row r="221" spans="9:17" x14ac:dyDescent="0.45">
      <c r="I221" t="s">
        <v>184</v>
      </c>
      <c r="J221" t="s">
        <v>156</v>
      </c>
      <c r="K221">
        <v>0</v>
      </c>
      <c r="L221" t="s">
        <v>153</v>
      </c>
      <c r="N221" t="s">
        <v>227</v>
      </c>
      <c r="O221" t="s">
        <v>156</v>
      </c>
      <c r="P221">
        <v>5.6750514576293612E-2</v>
      </c>
      <c r="Q221" t="s">
        <v>153</v>
      </c>
    </row>
    <row r="222" spans="9:17" x14ac:dyDescent="0.45">
      <c r="I222" t="s">
        <v>184</v>
      </c>
      <c r="J222" t="s">
        <v>157</v>
      </c>
      <c r="K222">
        <v>0.12228509784642613</v>
      </c>
      <c r="L222" t="s">
        <v>153</v>
      </c>
      <c r="N222" t="s">
        <v>227</v>
      </c>
      <c r="O222" t="s">
        <v>157</v>
      </c>
      <c r="P222">
        <v>4.2764316320644778E-2</v>
      </c>
      <c r="Q222" t="s">
        <v>153</v>
      </c>
    </row>
    <row r="223" spans="9:17" x14ac:dyDescent="0.45">
      <c r="I223" t="s">
        <v>184</v>
      </c>
      <c r="J223" t="s">
        <v>158</v>
      </c>
      <c r="K223">
        <v>1.0415425202984245E-2</v>
      </c>
      <c r="L223" t="s">
        <v>153</v>
      </c>
      <c r="N223" t="s">
        <v>227</v>
      </c>
      <c r="O223" t="s">
        <v>158</v>
      </c>
      <c r="P223">
        <v>4.7944160105288867E-2</v>
      </c>
      <c r="Q223" t="s">
        <v>153</v>
      </c>
    </row>
    <row r="224" spans="9:17" x14ac:dyDescent="0.45">
      <c r="I224" t="s">
        <v>184</v>
      </c>
      <c r="J224" t="s">
        <v>159</v>
      </c>
      <c r="K224">
        <v>7.1068682093904075E-3</v>
      </c>
      <c r="L224" t="s">
        <v>153</v>
      </c>
      <c r="N224" t="s">
        <v>227</v>
      </c>
      <c r="O224" t="s">
        <v>159</v>
      </c>
      <c r="P224">
        <v>0.1813146366478384</v>
      </c>
      <c r="Q224" t="s">
        <v>153</v>
      </c>
    </row>
    <row r="225" spans="9:17" x14ac:dyDescent="0.45">
      <c r="I225" t="s">
        <v>184</v>
      </c>
      <c r="J225" t="s">
        <v>160</v>
      </c>
      <c r="K225">
        <v>0.34299679524084598</v>
      </c>
      <c r="L225" t="s">
        <v>153</v>
      </c>
      <c r="N225" t="s">
        <v>227</v>
      </c>
      <c r="O225" t="s">
        <v>160</v>
      </c>
      <c r="P225">
        <v>0.15023731505033353</v>
      </c>
      <c r="Q225" t="s">
        <v>153</v>
      </c>
    </row>
    <row r="226" spans="9:17" x14ac:dyDescent="0.45">
      <c r="I226" t="s">
        <v>184</v>
      </c>
      <c r="J226" t="s">
        <v>161</v>
      </c>
      <c r="K226">
        <v>4.4048092752614912E-2</v>
      </c>
      <c r="L226" t="s">
        <v>153</v>
      </c>
      <c r="N226" t="s">
        <v>227</v>
      </c>
      <c r="O226" t="s">
        <v>161</v>
      </c>
      <c r="P226">
        <v>0.15602541053998262</v>
      </c>
      <c r="Q226" t="s">
        <v>153</v>
      </c>
    </row>
    <row r="227" spans="9:17" x14ac:dyDescent="0.45">
      <c r="I227" t="s">
        <v>185</v>
      </c>
      <c r="J227" t="s">
        <v>152</v>
      </c>
      <c r="K227">
        <v>7.6507230475733004E-4</v>
      </c>
      <c r="L227" t="s">
        <v>153</v>
      </c>
      <c r="N227" t="s">
        <v>228</v>
      </c>
      <c r="O227" t="s">
        <v>152</v>
      </c>
      <c r="P227">
        <v>0.13458344698435792</v>
      </c>
      <c r="Q227" t="s">
        <v>153</v>
      </c>
    </row>
    <row r="228" spans="9:17" x14ac:dyDescent="0.45">
      <c r="I228" t="s">
        <v>185</v>
      </c>
      <c r="J228" t="s">
        <v>154</v>
      </c>
      <c r="K228">
        <v>0.40862946042418891</v>
      </c>
      <c r="L228" t="s">
        <v>153</v>
      </c>
      <c r="N228" t="s">
        <v>228</v>
      </c>
      <c r="O228" t="s">
        <v>154</v>
      </c>
      <c r="P228">
        <v>0.10889308068832354</v>
      </c>
      <c r="Q228" t="s">
        <v>153</v>
      </c>
    </row>
    <row r="229" spans="9:17" x14ac:dyDescent="0.45">
      <c r="I229" t="s">
        <v>185</v>
      </c>
      <c r="J229" t="s">
        <v>155</v>
      </c>
      <c r="K229">
        <v>6.2545370133236702E-2</v>
      </c>
      <c r="L229" t="s">
        <v>153</v>
      </c>
      <c r="N229" t="s">
        <v>228</v>
      </c>
      <c r="O229" t="s">
        <v>155</v>
      </c>
      <c r="P229">
        <v>0.11116064006769399</v>
      </c>
      <c r="Q229" t="s">
        <v>153</v>
      </c>
    </row>
    <row r="230" spans="9:17" x14ac:dyDescent="0.45">
      <c r="I230" t="s">
        <v>185</v>
      </c>
      <c r="J230" t="s">
        <v>156</v>
      </c>
      <c r="K230">
        <v>0</v>
      </c>
      <c r="L230" t="s">
        <v>153</v>
      </c>
      <c r="N230" t="s">
        <v>228</v>
      </c>
      <c r="O230" t="s">
        <v>156</v>
      </c>
      <c r="P230">
        <v>6.2564127291363333E-2</v>
      </c>
      <c r="Q230" t="s">
        <v>153</v>
      </c>
    </row>
    <row r="231" spans="9:17" x14ac:dyDescent="0.45">
      <c r="I231" t="s">
        <v>185</v>
      </c>
      <c r="J231" t="s">
        <v>157</v>
      </c>
      <c r="K231">
        <v>0.12084374280797226</v>
      </c>
      <c r="L231" t="s">
        <v>153</v>
      </c>
      <c r="N231" t="s">
        <v>228</v>
      </c>
      <c r="O231" t="s">
        <v>157</v>
      </c>
      <c r="P231">
        <v>5.2026510052998319E-2</v>
      </c>
      <c r="Q231" t="s">
        <v>153</v>
      </c>
    </row>
    <row r="232" spans="9:17" x14ac:dyDescent="0.45">
      <c r="I232" t="s">
        <v>185</v>
      </c>
      <c r="J232" t="s">
        <v>158</v>
      </c>
      <c r="K232">
        <v>1.2211670895017027E-2</v>
      </c>
      <c r="L232" t="s">
        <v>153</v>
      </c>
      <c r="N232" t="s">
        <v>228</v>
      </c>
      <c r="O232" t="s">
        <v>158</v>
      </c>
      <c r="P232">
        <v>5.5220946171152155E-2</v>
      </c>
      <c r="Q232" t="s">
        <v>153</v>
      </c>
    </row>
    <row r="233" spans="9:17" x14ac:dyDescent="0.45">
      <c r="I233" t="s">
        <v>185</v>
      </c>
      <c r="J233" t="s">
        <v>159</v>
      </c>
      <c r="K233">
        <v>6.2621933774980433E-3</v>
      </c>
      <c r="L233" t="s">
        <v>153</v>
      </c>
      <c r="N233" t="s">
        <v>228</v>
      </c>
      <c r="O233" t="s">
        <v>159</v>
      </c>
      <c r="P233">
        <v>0.14698466807412572</v>
      </c>
      <c r="Q233" t="s">
        <v>153</v>
      </c>
    </row>
    <row r="234" spans="9:17" x14ac:dyDescent="0.45">
      <c r="I234" t="s">
        <v>185</v>
      </c>
      <c r="J234" t="s">
        <v>160</v>
      </c>
      <c r="K234">
        <v>0.34203279500945577</v>
      </c>
      <c r="L234" t="s">
        <v>153</v>
      </c>
      <c r="N234" t="s">
        <v>228</v>
      </c>
      <c r="O234" t="s">
        <v>160</v>
      </c>
      <c r="P234">
        <v>0.17945365797126067</v>
      </c>
      <c r="Q234" t="s">
        <v>153</v>
      </c>
    </row>
    <row r="235" spans="9:17" x14ac:dyDescent="0.45">
      <c r="I235" t="s">
        <v>185</v>
      </c>
      <c r="J235" t="s">
        <v>161</v>
      </c>
      <c r="K235">
        <v>4.6709695047876178E-2</v>
      </c>
      <c r="L235" t="s">
        <v>153</v>
      </c>
      <c r="N235" t="s">
        <v>228</v>
      </c>
      <c r="O235" t="s">
        <v>161</v>
      </c>
      <c r="P235">
        <v>0.14911292269872498</v>
      </c>
      <c r="Q235" t="s">
        <v>153</v>
      </c>
    </row>
    <row r="236" spans="9:17" x14ac:dyDescent="0.45">
      <c r="I236" t="s">
        <v>186</v>
      </c>
      <c r="J236" t="s">
        <v>152</v>
      </c>
      <c r="K236">
        <v>1.124524664385998E-3</v>
      </c>
      <c r="L236" t="s">
        <v>153</v>
      </c>
      <c r="N236" t="s">
        <v>229</v>
      </c>
      <c r="O236" t="s">
        <v>152</v>
      </c>
      <c r="P236">
        <v>0.12387322183264518</v>
      </c>
      <c r="Q236" t="s">
        <v>153</v>
      </c>
    </row>
    <row r="237" spans="9:17" x14ac:dyDescent="0.45">
      <c r="I237" t="s">
        <v>186</v>
      </c>
      <c r="J237" t="s">
        <v>154</v>
      </c>
      <c r="K237">
        <v>0.40241370962129069</v>
      </c>
      <c r="L237" t="s">
        <v>153</v>
      </c>
      <c r="N237" t="s">
        <v>229</v>
      </c>
      <c r="O237" t="s">
        <v>154</v>
      </c>
      <c r="P237">
        <v>0.10200618434239994</v>
      </c>
      <c r="Q237" t="s">
        <v>153</v>
      </c>
    </row>
    <row r="238" spans="9:17" x14ac:dyDescent="0.45">
      <c r="I238" t="s">
        <v>186</v>
      </c>
      <c r="J238" t="s">
        <v>155</v>
      </c>
      <c r="K238">
        <v>5.5412926408012715E-2</v>
      </c>
      <c r="L238" t="s">
        <v>153</v>
      </c>
      <c r="N238" t="s">
        <v>229</v>
      </c>
      <c r="O238" t="s">
        <v>155</v>
      </c>
      <c r="P238">
        <v>0.1365761023660392</v>
      </c>
      <c r="Q238" t="s">
        <v>153</v>
      </c>
    </row>
    <row r="239" spans="9:17" x14ac:dyDescent="0.45">
      <c r="I239" t="s">
        <v>186</v>
      </c>
      <c r="J239" t="s">
        <v>156</v>
      </c>
      <c r="K239">
        <v>0</v>
      </c>
      <c r="L239" t="s">
        <v>153</v>
      </c>
      <c r="N239" t="s">
        <v>229</v>
      </c>
      <c r="O239" t="s">
        <v>156</v>
      </c>
      <c r="P239">
        <v>4.7729730863571733E-2</v>
      </c>
      <c r="Q239" t="s">
        <v>153</v>
      </c>
    </row>
    <row r="240" spans="9:17" x14ac:dyDescent="0.45">
      <c r="I240" t="s">
        <v>186</v>
      </c>
      <c r="J240" t="s">
        <v>157</v>
      </c>
      <c r="K240">
        <v>0.12492933659666984</v>
      </c>
      <c r="L240" t="s">
        <v>153</v>
      </c>
      <c r="N240" t="s">
        <v>229</v>
      </c>
      <c r="O240" t="s">
        <v>157</v>
      </c>
      <c r="P240">
        <v>4.2978979892055791E-2</v>
      </c>
      <c r="Q240" t="s">
        <v>153</v>
      </c>
    </row>
    <row r="241" spans="9:17" x14ac:dyDescent="0.45">
      <c r="I241" t="s">
        <v>186</v>
      </c>
      <c r="J241" t="s">
        <v>158</v>
      </c>
      <c r="K241">
        <v>1.3605464673010373E-2</v>
      </c>
      <c r="L241" t="s">
        <v>153</v>
      </c>
      <c r="N241" t="s">
        <v>229</v>
      </c>
      <c r="O241" t="s">
        <v>158</v>
      </c>
      <c r="P241">
        <v>5.747681565915725E-2</v>
      </c>
      <c r="Q241" t="s">
        <v>153</v>
      </c>
    </row>
    <row r="242" spans="9:17" x14ac:dyDescent="0.45">
      <c r="I242" t="s">
        <v>186</v>
      </c>
      <c r="J242" t="s">
        <v>159</v>
      </c>
      <c r="K242">
        <v>4.5171751296724013E-3</v>
      </c>
      <c r="L242" t="s">
        <v>153</v>
      </c>
      <c r="N242" t="s">
        <v>229</v>
      </c>
      <c r="O242" t="s">
        <v>159</v>
      </c>
      <c r="P242">
        <v>0.1507138953046307</v>
      </c>
      <c r="Q242" t="s">
        <v>153</v>
      </c>
    </row>
    <row r="243" spans="9:17" x14ac:dyDescent="0.45">
      <c r="I243" t="s">
        <v>186</v>
      </c>
      <c r="J243" t="s">
        <v>160</v>
      </c>
      <c r="K243">
        <v>0.35233897256185753</v>
      </c>
      <c r="L243" t="s">
        <v>153</v>
      </c>
      <c r="N243" t="s">
        <v>229</v>
      </c>
      <c r="O243" t="s">
        <v>160</v>
      </c>
      <c r="P243">
        <v>0.14580323905586501</v>
      </c>
      <c r="Q243" t="s">
        <v>153</v>
      </c>
    </row>
    <row r="244" spans="9:17" x14ac:dyDescent="0.45">
      <c r="I244" t="s">
        <v>186</v>
      </c>
      <c r="J244" t="s">
        <v>161</v>
      </c>
      <c r="K244">
        <v>4.5657890345101274E-2</v>
      </c>
      <c r="L244" t="s">
        <v>153</v>
      </c>
      <c r="N244" t="s">
        <v>229</v>
      </c>
      <c r="O244" t="s">
        <v>161</v>
      </c>
      <c r="P244">
        <v>0.19284183068363556</v>
      </c>
      <c r="Q244" t="s">
        <v>153</v>
      </c>
    </row>
    <row r="245" spans="9:17" x14ac:dyDescent="0.45">
      <c r="I245" t="s">
        <v>187</v>
      </c>
      <c r="J245" t="s">
        <v>152</v>
      </c>
      <c r="K245">
        <v>1.3030584013847789E-3</v>
      </c>
      <c r="L245" t="s">
        <v>153</v>
      </c>
      <c r="N245" t="s">
        <v>230</v>
      </c>
      <c r="O245" t="s">
        <v>152</v>
      </c>
      <c r="P245">
        <v>0.15459095098159312</v>
      </c>
      <c r="Q245" t="s">
        <v>153</v>
      </c>
    </row>
    <row r="246" spans="9:17" x14ac:dyDescent="0.45">
      <c r="I246" t="s">
        <v>187</v>
      </c>
      <c r="J246" t="s">
        <v>154</v>
      </c>
      <c r="K246">
        <v>0.40121631759875276</v>
      </c>
      <c r="L246" t="s">
        <v>153</v>
      </c>
      <c r="N246" t="s">
        <v>230</v>
      </c>
      <c r="O246" t="s">
        <v>154</v>
      </c>
      <c r="P246">
        <v>0.11012461564656935</v>
      </c>
      <c r="Q246" t="s">
        <v>153</v>
      </c>
    </row>
    <row r="247" spans="9:17" x14ac:dyDescent="0.45">
      <c r="I247" t="s">
        <v>187</v>
      </c>
      <c r="J247" t="s">
        <v>155</v>
      </c>
      <c r="K247">
        <v>5.5046803872319937E-2</v>
      </c>
      <c r="L247" t="s">
        <v>153</v>
      </c>
      <c r="N247" t="s">
        <v>230</v>
      </c>
      <c r="O247" t="s">
        <v>155</v>
      </c>
      <c r="P247">
        <v>0.11791747624858188</v>
      </c>
      <c r="Q247" t="s">
        <v>153</v>
      </c>
    </row>
    <row r="248" spans="9:17" x14ac:dyDescent="0.45">
      <c r="I248" t="s">
        <v>187</v>
      </c>
      <c r="J248" t="s">
        <v>156</v>
      </c>
      <c r="K248">
        <v>0</v>
      </c>
      <c r="L248" t="s">
        <v>153</v>
      </c>
      <c r="N248" t="s">
        <v>230</v>
      </c>
      <c r="O248" t="s">
        <v>156</v>
      </c>
      <c r="P248">
        <v>6.3342172232516869E-2</v>
      </c>
      <c r="Q248" t="s">
        <v>153</v>
      </c>
    </row>
    <row r="249" spans="9:17" x14ac:dyDescent="0.45">
      <c r="I249" t="s">
        <v>187</v>
      </c>
      <c r="J249" t="s">
        <v>157</v>
      </c>
      <c r="K249">
        <v>0.12324296670937132</v>
      </c>
      <c r="L249" t="s">
        <v>153</v>
      </c>
      <c r="N249" t="s">
        <v>230</v>
      </c>
      <c r="O249" t="s">
        <v>157</v>
      </c>
      <c r="P249">
        <v>5.2559730713109307E-2</v>
      </c>
      <c r="Q249" t="s">
        <v>153</v>
      </c>
    </row>
    <row r="250" spans="9:17" x14ac:dyDescent="0.45">
      <c r="I250" t="s">
        <v>187</v>
      </c>
      <c r="J250" t="s">
        <v>158</v>
      </c>
      <c r="K250">
        <v>1.2805428605648582E-2</v>
      </c>
      <c r="L250" t="s">
        <v>153</v>
      </c>
      <c r="N250" t="s">
        <v>230</v>
      </c>
      <c r="O250" t="s">
        <v>158</v>
      </c>
      <c r="P250">
        <v>4.6040282165721952E-2</v>
      </c>
      <c r="Q250" t="s">
        <v>153</v>
      </c>
    </row>
    <row r="251" spans="9:17" x14ac:dyDescent="0.45">
      <c r="I251" t="s">
        <v>187</v>
      </c>
      <c r="J251" t="s">
        <v>159</v>
      </c>
      <c r="K251">
        <v>4.6806489726058309E-3</v>
      </c>
      <c r="L251" t="s">
        <v>153</v>
      </c>
      <c r="N251" t="s">
        <v>230</v>
      </c>
      <c r="O251" t="s">
        <v>159</v>
      </c>
      <c r="P251">
        <v>0.16701566583489724</v>
      </c>
      <c r="Q251" t="s">
        <v>153</v>
      </c>
    </row>
    <row r="252" spans="9:17" x14ac:dyDescent="0.45">
      <c r="I252" t="s">
        <v>187</v>
      </c>
      <c r="J252" t="s">
        <v>160</v>
      </c>
      <c r="K252">
        <v>0.35504016795510279</v>
      </c>
      <c r="L252" t="s">
        <v>153</v>
      </c>
      <c r="N252" t="s">
        <v>230</v>
      </c>
      <c r="O252" t="s">
        <v>160</v>
      </c>
      <c r="P252">
        <v>0.15355947652003207</v>
      </c>
      <c r="Q252" t="s">
        <v>153</v>
      </c>
    </row>
    <row r="253" spans="9:17" x14ac:dyDescent="0.45">
      <c r="I253" t="s">
        <v>187</v>
      </c>
      <c r="J253" t="s">
        <v>161</v>
      </c>
      <c r="K253">
        <v>4.6664607884816398E-2</v>
      </c>
      <c r="L253" t="s">
        <v>153</v>
      </c>
      <c r="N253" t="s">
        <v>230</v>
      </c>
      <c r="O253" t="s">
        <v>161</v>
      </c>
      <c r="P253">
        <v>0.134849629656976</v>
      </c>
      <c r="Q253" t="s">
        <v>153</v>
      </c>
    </row>
    <row r="254" spans="9:17" x14ac:dyDescent="0.45">
      <c r="I254" t="s">
        <v>188</v>
      </c>
      <c r="J254" t="s">
        <v>152</v>
      </c>
      <c r="K254">
        <v>2.2647414870390578E-3</v>
      </c>
      <c r="L254" t="s">
        <v>153</v>
      </c>
      <c r="N254" t="s">
        <v>231</v>
      </c>
      <c r="O254" t="s">
        <v>152</v>
      </c>
      <c r="P254">
        <v>0.14630643367796065</v>
      </c>
      <c r="Q254" t="s">
        <v>153</v>
      </c>
    </row>
    <row r="255" spans="9:17" x14ac:dyDescent="0.45">
      <c r="I255" t="s">
        <v>188</v>
      </c>
      <c r="J255" t="s">
        <v>154</v>
      </c>
      <c r="K255">
        <v>0.41023456867330393</v>
      </c>
      <c r="L255" t="s">
        <v>153</v>
      </c>
      <c r="N255" t="s">
        <v>231</v>
      </c>
      <c r="O255" t="s">
        <v>154</v>
      </c>
      <c r="P255">
        <v>0.11783901141596975</v>
      </c>
      <c r="Q255" t="s">
        <v>153</v>
      </c>
    </row>
    <row r="256" spans="9:17" x14ac:dyDescent="0.45">
      <c r="I256" t="s">
        <v>188</v>
      </c>
      <c r="J256" t="s">
        <v>155</v>
      </c>
      <c r="K256">
        <v>5.1861860133875386E-2</v>
      </c>
      <c r="L256" t="s">
        <v>153</v>
      </c>
      <c r="N256" t="s">
        <v>231</v>
      </c>
      <c r="O256" t="s">
        <v>155</v>
      </c>
      <c r="P256">
        <v>9.8948441183009272E-2</v>
      </c>
      <c r="Q256" t="s">
        <v>153</v>
      </c>
    </row>
    <row r="257" spans="9:17" x14ac:dyDescent="0.45">
      <c r="I257" t="s">
        <v>188</v>
      </c>
      <c r="J257" t="s">
        <v>156</v>
      </c>
      <c r="K257">
        <v>0</v>
      </c>
      <c r="L257" t="s">
        <v>153</v>
      </c>
      <c r="N257" t="s">
        <v>231</v>
      </c>
      <c r="O257" t="s">
        <v>156</v>
      </c>
      <c r="P257">
        <v>6.8183313308515292E-2</v>
      </c>
      <c r="Q257" t="s">
        <v>153</v>
      </c>
    </row>
    <row r="258" spans="9:17" x14ac:dyDescent="0.45">
      <c r="I258" t="s">
        <v>188</v>
      </c>
      <c r="J258" t="s">
        <v>157</v>
      </c>
      <c r="K258">
        <v>0.12024372653412493</v>
      </c>
      <c r="L258" t="s">
        <v>153</v>
      </c>
      <c r="N258" t="s">
        <v>231</v>
      </c>
      <c r="O258" t="s">
        <v>157</v>
      </c>
      <c r="P258">
        <v>6.050585974179562E-2</v>
      </c>
      <c r="Q258" t="s">
        <v>153</v>
      </c>
    </row>
    <row r="259" spans="9:17" x14ac:dyDescent="0.45">
      <c r="I259" t="s">
        <v>188</v>
      </c>
      <c r="J259" t="s">
        <v>158</v>
      </c>
      <c r="K259">
        <v>9.620804614834215E-3</v>
      </c>
      <c r="L259" t="s">
        <v>153</v>
      </c>
      <c r="N259" t="s">
        <v>231</v>
      </c>
      <c r="O259" t="s">
        <v>158</v>
      </c>
      <c r="P259">
        <v>5.2566197652506426E-2</v>
      </c>
      <c r="Q259" t="s">
        <v>153</v>
      </c>
    </row>
    <row r="260" spans="9:17" x14ac:dyDescent="0.45">
      <c r="I260" t="s">
        <v>188</v>
      </c>
      <c r="J260" t="s">
        <v>159</v>
      </c>
      <c r="K260">
        <v>7.2770549373447138E-3</v>
      </c>
      <c r="L260" t="s">
        <v>153</v>
      </c>
      <c r="N260" t="s">
        <v>231</v>
      </c>
      <c r="O260" t="s">
        <v>159</v>
      </c>
      <c r="P260">
        <v>0.1625432754159836</v>
      </c>
      <c r="Q260" t="s">
        <v>153</v>
      </c>
    </row>
    <row r="261" spans="9:17" x14ac:dyDescent="0.45">
      <c r="I261" t="s">
        <v>188</v>
      </c>
      <c r="J261" t="s">
        <v>160</v>
      </c>
      <c r="K261">
        <v>0.35683722675976448</v>
      </c>
      <c r="L261" t="s">
        <v>153</v>
      </c>
      <c r="N261" t="s">
        <v>231</v>
      </c>
      <c r="O261" t="s">
        <v>160</v>
      </c>
      <c r="P261">
        <v>0.16879850586514941</v>
      </c>
      <c r="Q261" t="s">
        <v>153</v>
      </c>
    </row>
    <row r="262" spans="9:17" x14ac:dyDescent="0.45">
      <c r="I262" t="s">
        <v>188</v>
      </c>
      <c r="J262" t="s">
        <v>161</v>
      </c>
      <c r="K262">
        <v>4.1660016859713295E-2</v>
      </c>
      <c r="L262" t="s">
        <v>153</v>
      </c>
      <c r="N262" t="s">
        <v>231</v>
      </c>
      <c r="O262" t="s">
        <v>161</v>
      </c>
      <c r="P262">
        <v>0.12430896173910923</v>
      </c>
      <c r="Q262" t="s">
        <v>153</v>
      </c>
    </row>
    <row r="263" spans="9:17" x14ac:dyDescent="0.45">
      <c r="I263" t="s">
        <v>189</v>
      </c>
      <c r="J263" t="s">
        <v>152</v>
      </c>
      <c r="K263">
        <v>1.7663631331000763E-3</v>
      </c>
      <c r="L263" t="s">
        <v>153</v>
      </c>
      <c r="N263" t="s">
        <v>232</v>
      </c>
      <c r="O263" t="s">
        <v>152</v>
      </c>
      <c r="P263">
        <v>0.14953903795539703</v>
      </c>
      <c r="Q263" t="s">
        <v>153</v>
      </c>
    </row>
    <row r="264" spans="9:17" x14ac:dyDescent="0.45">
      <c r="I264" t="s">
        <v>189</v>
      </c>
      <c r="J264" t="s">
        <v>154</v>
      </c>
      <c r="K264">
        <v>0.40727821001462522</v>
      </c>
      <c r="L264" t="s">
        <v>153</v>
      </c>
      <c r="N264" t="s">
        <v>232</v>
      </c>
      <c r="O264" t="s">
        <v>154</v>
      </c>
      <c r="P264">
        <v>0.13900271475164838</v>
      </c>
      <c r="Q264" t="s">
        <v>153</v>
      </c>
    </row>
    <row r="265" spans="9:17" x14ac:dyDescent="0.45">
      <c r="I265" t="s">
        <v>189</v>
      </c>
      <c r="J265" t="s">
        <v>155</v>
      </c>
      <c r="K265">
        <v>5.2360689225075904E-2</v>
      </c>
      <c r="L265" t="s">
        <v>153</v>
      </c>
      <c r="N265" t="s">
        <v>232</v>
      </c>
      <c r="O265" t="s">
        <v>155</v>
      </c>
      <c r="P265">
        <v>0.13696280375689029</v>
      </c>
      <c r="Q265" t="s">
        <v>153</v>
      </c>
    </row>
    <row r="266" spans="9:17" x14ac:dyDescent="0.45">
      <c r="I266" t="s">
        <v>189</v>
      </c>
      <c r="J266" t="s">
        <v>156</v>
      </c>
      <c r="K266">
        <v>0</v>
      </c>
      <c r="L266" t="s">
        <v>153</v>
      </c>
      <c r="N266" t="s">
        <v>232</v>
      </c>
      <c r="O266" t="s">
        <v>156</v>
      </c>
      <c r="P266">
        <v>5.3008192591149438E-2</v>
      </c>
      <c r="Q266" t="s">
        <v>153</v>
      </c>
    </row>
    <row r="267" spans="9:17" x14ac:dyDescent="0.45">
      <c r="I267" t="s">
        <v>189</v>
      </c>
      <c r="J267" t="s">
        <v>157</v>
      </c>
      <c r="K267">
        <v>0.12457646261942976</v>
      </c>
      <c r="L267" t="s">
        <v>153</v>
      </c>
      <c r="N267" t="s">
        <v>232</v>
      </c>
      <c r="O267" t="s">
        <v>157</v>
      </c>
      <c r="P267">
        <v>6.4685430780036315E-2</v>
      </c>
      <c r="Q267" t="s">
        <v>153</v>
      </c>
    </row>
    <row r="268" spans="9:17" x14ac:dyDescent="0.45">
      <c r="I268" t="s">
        <v>189</v>
      </c>
      <c r="J268" t="s">
        <v>158</v>
      </c>
      <c r="K268">
        <v>1.1292485739259043E-2</v>
      </c>
      <c r="L268" t="s">
        <v>153</v>
      </c>
      <c r="N268" t="s">
        <v>232</v>
      </c>
      <c r="O268" t="s">
        <v>158</v>
      </c>
      <c r="P268">
        <v>5.7551695402036959E-2</v>
      </c>
      <c r="Q268" t="s">
        <v>153</v>
      </c>
    </row>
    <row r="269" spans="9:17" x14ac:dyDescent="0.45">
      <c r="I269" t="s">
        <v>189</v>
      </c>
      <c r="J269" t="s">
        <v>159</v>
      </c>
      <c r="K269">
        <v>5.5099675987811663E-3</v>
      </c>
      <c r="L269" t="s">
        <v>153</v>
      </c>
      <c r="N269" t="s">
        <v>232</v>
      </c>
      <c r="O269" t="s">
        <v>159</v>
      </c>
      <c r="P269">
        <v>0.11679627422230505</v>
      </c>
      <c r="Q269" t="s">
        <v>153</v>
      </c>
    </row>
    <row r="270" spans="9:17" x14ac:dyDescent="0.45">
      <c r="I270" t="s">
        <v>189</v>
      </c>
      <c r="J270" t="s">
        <v>160</v>
      </c>
      <c r="K270">
        <v>0.35379603666476089</v>
      </c>
      <c r="L270" t="s">
        <v>153</v>
      </c>
      <c r="N270" t="s">
        <v>232</v>
      </c>
      <c r="O270" t="s">
        <v>160</v>
      </c>
      <c r="P270">
        <v>0.1421884969036861</v>
      </c>
      <c r="Q270" t="s">
        <v>153</v>
      </c>
    </row>
    <row r="271" spans="9:17" x14ac:dyDescent="0.45">
      <c r="I271" t="s">
        <v>189</v>
      </c>
      <c r="J271" t="s">
        <v>161</v>
      </c>
      <c r="K271">
        <v>4.3419785004967758E-2</v>
      </c>
      <c r="L271" t="s">
        <v>153</v>
      </c>
      <c r="N271" t="s">
        <v>232</v>
      </c>
      <c r="O271" t="s">
        <v>161</v>
      </c>
      <c r="P271">
        <v>0.14026535363684722</v>
      </c>
      <c r="Q271" t="s">
        <v>153</v>
      </c>
    </row>
    <row r="272" spans="9:17" x14ac:dyDescent="0.45">
      <c r="I272" t="s">
        <v>190</v>
      </c>
      <c r="J272" t="s">
        <v>152</v>
      </c>
      <c r="K272">
        <v>1.4315920231247768E-3</v>
      </c>
      <c r="L272" t="s">
        <v>153</v>
      </c>
      <c r="N272" t="s">
        <v>233</v>
      </c>
      <c r="O272" t="s">
        <v>152</v>
      </c>
      <c r="P272">
        <v>0.13259705884226344</v>
      </c>
      <c r="Q272" t="s">
        <v>153</v>
      </c>
    </row>
    <row r="273" spans="9:17" x14ac:dyDescent="0.45">
      <c r="I273" t="s">
        <v>190</v>
      </c>
      <c r="J273" t="s">
        <v>154</v>
      </c>
      <c r="K273">
        <v>0.41110548159629362</v>
      </c>
      <c r="L273" t="s">
        <v>153</v>
      </c>
      <c r="N273" t="s">
        <v>233</v>
      </c>
      <c r="O273" t="s">
        <v>154</v>
      </c>
      <c r="P273">
        <v>0.14844146322545265</v>
      </c>
      <c r="Q273" t="s">
        <v>153</v>
      </c>
    </row>
    <row r="274" spans="9:17" x14ac:dyDescent="0.45">
      <c r="I274" t="s">
        <v>190</v>
      </c>
      <c r="J274" t="s">
        <v>155</v>
      </c>
      <c r="K274">
        <v>5.3497151636422005E-2</v>
      </c>
      <c r="L274" t="s">
        <v>153</v>
      </c>
      <c r="N274" t="s">
        <v>233</v>
      </c>
      <c r="O274" t="s">
        <v>155</v>
      </c>
      <c r="P274">
        <v>0.1178039152383485</v>
      </c>
      <c r="Q274" t="s">
        <v>153</v>
      </c>
    </row>
    <row r="275" spans="9:17" x14ac:dyDescent="0.45">
      <c r="I275" t="s">
        <v>190</v>
      </c>
      <c r="J275" t="s">
        <v>156</v>
      </c>
      <c r="K275">
        <v>0</v>
      </c>
      <c r="L275" t="s">
        <v>153</v>
      </c>
      <c r="N275" t="s">
        <v>233</v>
      </c>
      <c r="O275" t="s">
        <v>156</v>
      </c>
      <c r="P275">
        <v>5.4536305795383509E-2</v>
      </c>
      <c r="Q275" t="s">
        <v>153</v>
      </c>
    </row>
    <row r="276" spans="9:17" x14ac:dyDescent="0.45">
      <c r="I276" t="s">
        <v>190</v>
      </c>
      <c r="J276" t="s">
        <v>157</v>
      </c>
      <c r="K276">
        <v>0.12719189397750816</v>
      </c>
      <c r="L276" t="s">
        <v>153</v>
      </c>
      <c r="N276" t="s">
        <v>233</v>
      </c>
      <c r="O276" t="s">
        <v>157</v>
      </c>
      <c r="P276">
        <v>7.0042287901844053E-2</v>
      </c>
      <c r="Q276" t="s">
        <v>153</v>
      </c>
    </row>
    <row r="277" spans="9:17" x14ac:dyDescent="0.45">
      <c r="I277" t="s">
        <v>190</v>
      </c>
      <c r="J277" t="s">
        <v>158</v>
      </c>
      <c r="K277">
        <v>1.1105963780433622E-2</v>
      </c>
      <c r="L277" t="s">
        <v>153</v>
      </c>
      <c r="N277" t="s">
        <v>233</v>
      </c>
      <c r="O277" t="s">
        <v>158</v>
      </c>
      <c r="P277">
        <v>5.3708136508894597E-2</v>
      </c>
      <c r="Q277" t="s">
        <v>153</v>
      </c>
    </row>
    <row r="278" spans="9:17" x14ac:dyDescent="0.45">
      <c r="I278" t="s">
        <v>190</v>
      </c>
      <c r="J278" t="s">
        <v>159</v>
      </c>
      <c r="K278">
        <v>4.7485494097060802E-3</v>
      </c>
      <c r="L278" t="s">
        <v>153</v>
      </c>
      <c r="N278" t="s">
        <v>233</v>
      </c>
      <c r="O278" t="s">
        <v>159</v>
      </c>
      <c r="P278">
        <v>0.12351340736192361</v>
      </c>
      <c r="Q278" t="s">
        <v>153</v>
      </c>
    </row>
    <row r="279" spans="9:17" x14ac:dyDescent="0.45">
      <c r="I279" t="s">
        <v>190</v>
      </c>
      <c r="J279" t="s">
        <v>160</v>
      </c>
      <c r="K279">
        <v>0.34835502830147125</v>
      </c>
      <c r="L279" t="s">
        <v>153</v>
      </c>
      <c r="N279" t="s">
        <v>233</v>
      </c>
      <c r="O279" t="s">
        <v>160</v>
      </c>
      <c r="P279">
        <v>0.16060600016190665</v>
      </c>
      <c r="Q279" t="s">
        <v>153</v>
      </c>
    </row>
    <row r="280" spans="9:17" x14ac:dyDescent="0.45">
      <c r="I280" t="s">
        <v>190</v>
      </c>
      <c r="J280" t="s">
        <v>161</v>
      </c>
      <c r="K280">
        <v>4.2564339275040684E-2</v>
      </c>
      <c r="L280" t="s">
        <v>153</v>
      </c>
      <c r="N280" t="s">
        <v>233</v>
      </c>
      <c r="O280" t="s">
        <v>161</v>
      </c>
      <c r="P280">
        <v>0.13875142496398113</v>
      </c>
      <c r="Q280" t="s">
        <v>153</v>
      </c>
    </row>
    <row r="281" spans="9:17" x14ac:dyDescent="0.45">
      <c r="I281" t="s">
        <v>191</v>
      </c>
      <c r="J281" t="s">
        <v>152</v>
      </c>
      <c r="K281">
        <v>2.2722963971238712E-3</v>
      </c>
      <c r="L281" t="s">
        <v>153</v>
      </c>
      <c r="N281" t="s">
        <v>234</v>
      </c>
      <c r="O281" t="s">
        <v>152</v>
      </c>
      <c r="P281">
        <v>0.15568165598376196</v>
      </c>
      <c r="Q281" t="s">
        <v>153</v>
      </c>
    </row>
    <row r="282" spans="9:17" x14ac:dyDescent="0.45">
      <c r="I282" t="s">
        <v>191</v>
      </c>
      <c r="J282" t="s">
        <v>154</v>
      </c>
      <c r="K282">
        <v>0.41803422405252011</v>
      </c>
      <c r="L282" t="s">
        <v>153</v>
      </c>
      <c r="N282" t="s">
        <v>234</v>
      </c>
      <c r="O282" t="s">
        <v>154</v>
      </c>
      <c r="P282">
        <v>0.13314508064042946</v>
      </c>
      <c r="Q282" t="s">
        <v>153</v>
      </c>
    </row>
    <row r="283" spans="9:17" x14ac:dyDescent="0.45">
      <c r="I283" t="s">
        <v>191</v>
      </c>
      <c r="J283" t="s">
        <v>155</v>
      </c>
      <c r="K283">
        <v>5.2978327049607248E-2</v>
      </c>
      <c r="L283" t="s">
        <v>153</v>
      </c>
      <c r="N283" t="s">
        <v>234</v>
      </c>
      <c r="O283" t="s">
        <v>155</v>
      </c>
      <c r="P283">
        <v>0.11351423085385533</v>
      </c>
      <c r="Q283" t="s">
        <v>153</v>
      </c>
    </row>
    <row r="284" spans="9:17" x14ac:dyDescent="0.45">
      <c r="I284" t="s">
        <v>191</v>
      </c>
      <c r="J284" t="s">
        <v>156</v>
      </c>
      <c r="K284">
        <v>0</v>
      </c>
      <c r="L284" t="s">
        <v>153</v>
      </c>
      <c r="N284" t="s">
        <v>234</v>
      </c>
      <c r="O284" t="s">
        <v>156</v>
      </c>
      <c r="P284">
        <v>6.5649354399426013E-2</v>
      </c>
      <c r="Q284" t="s">
        <v>153</v>
      </c>
    </row>
    <row r="285" spans="9:17" x14ac:dyDescent="0.45">
      <c r="I285" t="s">
        <v>191</v>
      </c>
      <c r="J285" t="s">
        <v>157</v>
      </c>
      <c r="K285">
        <v>0.12458770768883919</v>
      </c>
      <c r="L285" t="s">
        <v>153</v>
      </c>
      <c r="N285" t="s">
        <v>234</v>
      </c>
      <c r="O285" t="s">
        <v>157</v>
      </c>
      <c r="P285">
        <v>7.2414235858191178E-2</v>
      </c>
      <c r="Q285" t="s">
        <v>153</v>
      </c>
    </row>
    <row r="286" spans="9:17" x14ac:dyDescent="0.45">
      <c r="I286" t="s">
        <v>191</v>
      </c>
      <c r="J286" t="s">
        <v>158</v>
      </c>
      <c r="K286">
        <v>9.6882514258139884E-3</v>
      </c>
      <c r="L286" t="s">
        <v>153</v>
      </c>
      <c r="N286" t="s">
        <v>234</v>
      </c>
      <c r="O286" t="s">
        <v>158</v>
      </c>
      <c r="P286">
        <v>5.7761891834476227E-2</v>
      </c>
      <c r="Q286" t="s">
        <v>153</v>
      </c>
    </row>
    <row r="287" spans="9:17" x14ac:dyDescent="0.45">
      <c r="I287" t="s">
        <v>191</v>
      </c>
      <c r="J287" t="s">
        <v>159</v>
      </c>
      <c r="K287">
        <v>6.6633725213010144E-3</v>
      </c>
      <c r="L287" t="s">
        <v>153</v>
      </c>
      <c r="N287" t="s">
        <v>234</v>
      </c>
      <c r="O287" t="s">
        <v>159</v>
      </c>
      <c r="P287">
        <v>0.13364704377714409</v>
      </c>
      <c r="Q287" t="s">
        <v>153</v>
      </c>
    </row>
    <row r="288" spans="9:17" x14ac:dyDescent="0.45">
      <c r="I288" t="s">
        <v>191</v>
      </c>
      <c r="J288" t="s">
        <v>160</v>
      </c>
      <c r="K288">
        <v>0.34522921851833843</v>
      </c>
      <c r="L288" t="s">
        <v>153</v>
      </c>
      <c r="N288" t="s">
        <v>234</v>
      </c>
      <c r="O288" t="s">
        <v>160</v>
      </c>
      <c r="P288">
        <v>0.14578546308570814</v>
      </c>
      <c r="Q288" t="s">
        <v>153</v>
      </c>
    </row>
    <row r="289" spans="9:17" x14ac:dyDescent="0.45">
      <c r="I289" t="s">
        <v>191</v>
      </c>
      <c r="J289" t="s">
        <v>161</v>
      </c>
      <c r="K289">
        <v>4.0546602346456392E-2</v>
      </c>
      <c r="L289" t="s">
        <v>153</v>
      </c>
      <c r="N289" t="s">
        <v>234</v>
      </c>
      <c r="O289" t="s">
        <v>161</v>
      </c>
      <c r="P289">
        <v>0.12240104356700557</v>
      </c>
      <c r="Q289" t="s">
        <v>153</v>
      </c>
    </row>
    <row r="290" spans="9:17" x14ac:dyDescent="0.45">
      <c r="I290" t="s">
        <v>192</v>
      </c>
      <c r="J290" t="s">
        <v>152</v>
      </c>
      <c r="K290">
        <v>2.2517821771321526E-3</v>
      </c>
      <c r="L290" t="s">
        <v>153</v>
      </c>
      <c r="N290" t="s">
        <v>235</v>
      </c>
      <c r="O290" t="s">
        <v>152</v>
      </c>
      <c r="P290">
        <v>0.17272891970297963</v>
      </c>
      <c r="Q290" t="s">
        <v>153</v>
      </c>
    </row>
    <row r="291" spans="9:17" x14ac:dyDescent="0.45">
      <c r="I291" t="s">
        <v>192</v>
      </c>
      <c r="J291" t="s">
        <v>154</v>
      </c>
      <c r="K291">
        <v>0.40072000947865111</v>
      </c>
      <c r="L291" t="s">
        <v>153</v>
      </c>
      <c r="N291" t="s">
        <v>235</v>
      </c>
      <c r="O291" t="s">
        <v>154</v>
      </c>
      <c r="P291">
        <v>0.1158838314872902</v>
      </c>
      <c r="Q291" t="s">
        <v>153</v>
      </c>
    </row>
    <row r="292" spans="9:17" x14ac:dyDescent="0.45">
      <c r="I292" t="s">
        <v>192</v>
      </c>
      <c r="J292" t="s">
        <v>155</v>
      </c>
      <c r="K292">
        <v>4.9720499059378219E-2</v>
      </c>
      <c r="L292" t="s">
        <v>153</v>
      </c>
      <c r="N292" t="s">
        <v>235</v>
      </c>
      <c r="O292" t="s">
        <v>155</v>
      </c>
      <c r="P292">
        <v>0.11587973643877932</v>
      </c>
      <c r="Q292" t="s">
        <v>153</v>
      </c>
    </row>
    <row r="293" spans="9:17" x14ac:dyDescent="0.45">
      <c r="I293" t="s">
        <v>192</v>
      </c>
      <c r="J293" t="s">
        <v>156</v>
      </c>
      <c r="K293">
        <v>0</v>
      </c>
      <c r="L293" t="s">
        <v>153</v>
      </c>
      <c r="N293" t="s">
        <v>235</v>
      </c>
      <c r="O293" t="s">
        <v>156</v>
      </c>
      <c r="P293">
        <v>7.3240838005941347E-2</v>
      </c>
      <c r="Q293" t="s">
        <v>153</v>
      </c>
    </row>
    <row r="294" spans="9:17" x14ac:dyDescent="0.45">
      <c r="I294" t="s">
        <v>192</v>
      </c>
      <c r="J294" t="s">
        <v>157</v>
      </c>
      <c r="K294">
        <v>0.11827404763417618</v>
      </c>
      <c r="L294" t="s">
        <v>153</v>
      </c>
      <c r="N294" t="s">
        <v>235</v>
      </c>
      <c r="O294" t="s">
        <v>157</v>
      </c>
      <c r="P294">
        <v>6.2689741228391702E-2</v>
      </c>
      <c r="Q294" t="s">
        <v>153</v>
      </c>
    </row>
    <row r="295" spans="9:17" x14ac:dyDescent="0.45">
      <c r="I295" t="s">
        <v>192</v>
      </c>
      <c r="J295" t="s">
        <v>158</v>
      </c>
      <c r="K295">
        <v>9.7102841771503495E-3</v>
      </c>
      <c r="L295" t="s">
        <v>153</v>
      </c>
      <c r="N295" t="s">
        <v>235</v>
      </c>
      <c r="O295" t="s">
        <v>158</v>
      </c>
      <c r="P295">
        <v>5.7248343986420272E-2</v>
      </c>
      <c r="Q295" t="s">
        <v>153</v>
      </c>
    </row>
    <row r="296" spans="9:17" x14ac:dyDescent="0.45">
      <c r="I296" t="s">
        <v>192</v>
      </c>
      <c r="J296" t="s">
        <v>159</v>
      </c>
      <c r="K296">
        <v>7.5269807846849706E-3</v>
      </c>
      <c r="L296" t="s">
        <v>153</v>
      </c>
      <c r="N296" t="s">
        <v>235</v>
      </c>
      <c r="O296" t="s">
        <v>159</v>
      </c>
      <c r="P296">
        <v>0.15147450488090838</v>
      </c>
      <c r="Q296" t="s">
        <v>153</v>
      </c>
    </row>
    <row r="297" spans="9:17" x14ac:dyDescent="0.45">
      <c r="I297" t="s">
        <v>192</v>
      </c>
      <c r="J297" t="s">
        <v>160</v>
      </c>
      <c r="K297">
        <v>0.36755462744455886</v>
      </c>
      <c r="L297" t="s">
        <v>153</v>
      </c>
      <c r="N297" t="s">
        <v>235</v>
      </c>
      <c r="O297" t="s">
        <v>160</v>
      </c>
      <c r="P297">
        <v>0.12592258554089264</v>
      </c>
      <c r="Q297" t="s">
        <v>153</v>
      </c>
    </row>
    <row r="298" spans="9:17" x14ac:dyDescent="0.45">
      <c r="I298" t="s">
        <v>192</v>
      </c>
      <c r="J298" t="s">
        <v>161</v>
      </c>
      <c r="K298">
        <v>4.4241769244265795E-2</v>
      </c>
      <c r="L298" t="s">
        <v>153</v>
      </c>
      <c r="N298" t="s">
        <v>235</v>
      </c>
      <c r="O298" t="s">
        <v>161</v>
      </c>
      <c r="P298">
        <v>0.12493149872839494</v>
      </c>
      <c r="Q298" t="s">
        <v>153</v>
      </c>
    </row>
    <row r="299" spans="9:17" x14ac:dyDescent="0.45">
      <c r="I299" t="s">
        <v>193</v>
      </c>
      <c r="J299" t="s">
        <v>152</v>
      </c>
      <c r="K299">
        <v>1.7041629307088997E-3</v>
      </c>
      <c r="L299" t="s">
        <v>153</v>
      </c>
      <c r="N299" t="s">
        <v>236</v>
      </c>
      <c r="O299" t="s">
        <v>152</v>
      </c>
      <c r="P299">
        <v>0.17214354588611691</v>
      </c>
      <c r="Q299" t="s">
        <v>153</v>
      </c>
    </row>
    <row r="300" spans="9:17" x14ac:dyDescent="0.45">
      <c r="I300" t="s">
        <v>193</v>
      </c>
      <c r="J300" t="s">
        <v>154</v>
      </c>
      <c r="K300">
        <v>0.39490986697888097</v>
      </c>
      <c r="L300" t="s">
        <v>153</v>
      </c>
      <c r="N300" t="s">
        <v>236</v>
      </c>
      <c r="O300" t="s">
        <v>154</v>
      </c>
      <c r="P300">
        <v>0.14255897674196438</v>
      </c>
      <c r="Q300" t="s">
        <v>153</v>
      </c>
    </row>
    <row r="301" spans="9:17" x14ac:dyDescent="0.45">
      <c r="I301" t="s">
        <v>193</v>
      </c>
      <c r="J301" t="s">
        <v>155</v>
      </c>
      <c r="K301">
        <v>5.1165717094663873E-2</v>
      </c>
      <c r="L301" t="s">
        <v>153</v>
      </c>
      <c r="N301" t="s">
        <v>236</v>
      </c>
      <c r="O301" t="s">
        <v>155</v>
      </c>
      <c r="P301">
        <v>0.12106915344997664</v>
      </c>
      <c r="Q301" t="s">
        <v>153</v>
      </c>
    </row>
    <row r="302" spans="9:17" x14ac:dyDescent="0.45">
      <c r="I302" t="s">
        <v>193</v>
      </c>
      <c r="J302" t="s">
        <v>156</v>
      </c>
      <c r="K302">
        <v>0</v>
      </c>
      <c r="L302" t="s">
        <v>153</v>
      </c>
      <c r="N302" t="s">
        <v>236</v>
      </c>
      <c r="O302" t="s">
        <v>156</v>
      </c>
      <c r="P302">
        <v>6.7162879177899135E-2</v>
      </c>
      <c r="Q302" t="s">
        <v>153</v>
      </c>
    </row>
    <row r="303" spans="9:17" x14ac:dyDescent="0.45">
      <c r="I303" t="s">
        <v>193</v>
      </c>
      <c r="J303" t="s">
        <v>157</v>
      </c>
      <c r="K303">
        <v>0.12113587052398064</v>
      </c>
      <c r="L303" t="s">
        <v>153</v>
      </c>
      <c r="N303" t="s">
        <v>236</v>
      </c>
      <c r="O303" t="s">
        <v>157</v>
      </c>
      <c r="P303">
        <v>6.9603344845210663E-2</v>
      </c>
      <c r="Q303" t="s">
        <v>153</v>
      </c>
    </row>
    <row r="304" spans="9:17" x14ac:dyDescent="0.45">
      <c r="I304" t="s">
        <v>193</v>
      </c>
      <c r="J304" t="s">
        <v>158</v>
      </c>
      <c r="K304">
        <v>1.256092559550622E-2</v>
      </c>
      <c r="L304" t="s">
        <v>153</v>
      </c>
      <c r="N304" t="s">
        <v>236</v>
      </c>
      <c r="O304" t="s">
        <v>158</v>
      </c>
      <c r="P304">
        <v>5.0730198515038856E-2</v>
      </c>
      <c r="Q304" t="s">
        <v>153</v>
      </c>
    </row>
    <row r="305" spans="9:17" x14ac:dyDescent="0.45">
      <c r="I305" t="s">
        <v>193</v>
      </c>
      <c r="J305" t="s">
        <v>159</v>
      </c>
      <c r="K305">
        <v>6.7613391243065424E-3</v>
      </c>
      <c r="L305" t="s">
        <v>153</v>
      </c>
      <c r="N305" t="s">
        <v>236</v>
      </c>
      <c r="O305" t="s">
        <v>159</v>
      </c>
      <c r="P305">
        <v>0.14077285164381315</v>
      </c>
      <c r="Q305" t="s">
        <v>153</v>
      </c>
    </row>
    <row r="306" spans="9:17" x14ac:dyDescent="0.45">
      <c r="I306" t="s">
        <v>193</v>
      </c>
      <c r="J306" t="s">
        <v>160</v>
      </c>
      <c r="K306">
        <v>0.36442218614360988</v>
      </c>
      <c r="L306" t="s">
        <v>153</v>
      </c>
      <c r="N306" t="s">
        <v>236</v>
      </c>
      <c r="O306" t="s">
        <v>160</v>
      </c>
      <c r="P306">
        <v>0.11773056685289283</v>
      </c>
      <c r="Q306" t="s">
        <v>153</v>
      </c>
    </row>
    <row r="307" spans="9:17" x14ac:dyDescent="0.45">
      <c r="I307" t="s">
        <v>193</v>
      </c>
      <c r="J307" t="s">
        <v>161</v>
      </c>
      <c r="K307">
        <v>4.7339931608344814E-2</v>
      </c>
      <c r="L307" t="s">
        <v>153</v>
      </c>
      <c r="N307" t="s">
        <v>236</v>
      </c>
      <c r="O307" t="s">
        <v>161</v>
      </c>
      <c r="P307">
        <v>0.11822848288708437</v>
      </c>
      <c r="Q307" t="s">
        <v>153</v>
      </c>
    </row>
    <row r="308" spans="9:17" x14ac:dyDescent="0.45">
      <c r="I308" t="s">
        <v>194</v>
      </c>
      <c r="J308" t="s">
        <v>152</v>
      </c>
      <c r="K308">
        <v>1.5182137587739933E-3</v>
      </c>
      <c r="L308" t="s">
        <v>153</v>
      </c>
      <c r="N308" t="s">
        <v>237</v>
      </c>
      <c r="O308" t="s">
        <v>152</v>
      </c>
      <c r="P308">
        <v>0.15441569649266096</v>
      </c>
      <c r="Q308" t="s">
        <v>153</v>
      </c>
    </row>
    <row r="309" spans="9:17" x14ac:dyDescent="0.45">
      <c r="I309" t="s">
        <v>194</v>
      </c>
      <c r="J309" t="s">
        <v>154</v>
      </c>
      <c r="K309">
        <v>0.38377947773393539</v>
      </c>
      <c r="L309" t="s">
        <v>153</v>
      </c>
      <c r="N309" t="s">
        <v>237</v>
      </c>
      <c r="O309" t="s">
        <v>154</v>
      </c>
      <c r="P309">
        <v>0.17186006644356963</v>
      </c>
      <c r="Q309" t="s">
        <v>153</v>
      </c>
    </row>
    <row r="310" spans="9:17" x14ac:dyDescent="0.45">
      <c r="I310" t="s">
        <v>194</v>
      </c>
      <c r="J310" t="s">
        <v>155</v>
      </c>
      <c r="K310">
        <v>5.5435618387888796E-2</v>
      </c>
      <c r="L310" t="s">
        <v>153</v>
      </c>
      <c r="N310" t="s">
        <v>237</v>
      </c>
      <c r="O310" t="s">
        <v>155</v>
      </c>
      <c r="P310">
        <v>0.12261417685551819</v>
      </c>
      <c r="Q310" t="s">
        <v>153</v>
      </c>
    </row>
    <row r="311" spans="9:17" x14ac:dyDescent="0.45">
      <c r="I311" t="s">
        <v>194</v>
      </c>
      <c r="J311" t="s">
        <v>156</v>
      </c>
      <c r="K311">
        <v>0</v>
      </c>
      <c r="L311" t="s">
        <v>153</v>
      </c>
      <c r="N311" t="s">
        <v>237</v>
      </c>
      <c r="O311" t="s">
        <v>156</v>
      </c>
      <c r="P311">
        <v>5.9561001193443257E-2</v>
      </c>
      <c r="Q311" t="s">
        <v>153</v>
      </c>
    </row>
    <row r="312" spans="9:17" x14ac:dyDescent="0.45">
      <c r="I312" t="s">
        <v>194</v>
      </c>
      <c r="J312" t="s">
        <v>157</v>
      </c>
      <c r="K312">
        <v>0.11451456042764881</v>
      </c>
      <c r="L312" t="s">
        <v>153</v>
      </c>
      <c r="N312" t="s">
        <v>237</v>
      </c>
      <c r="O312" t="s">
        <v>157</v>
      </c>
      <c r="P312">
        <v>7.9195329945264875E-2</v>
      </c>
      <c r="Q312" t="s">
        <v>153</v>
      </c>
    </row>
    <row r="313" spans="9:17" x14ac:dyDescent="0.45">
      <c r="I313" t="s">
        <v>194</v>
      </c>
      <c r="J313" t="s">
        <v>158</v>
      </c>
      <c r="K313">
        <v>1.1747393764366865E-2</v>
      </c>
      <c r="L313" t="s">
        <v>153</v>
      </c>
      <c r="N313" t="s">
        <v>237</v>
      </c>
      <c r="O313" t="s">
        <v>158</v>
      </c>
      <c r="P313">
        <v>5.3889350818383273E-2</v>
      </c>
      <c r="Q313" t="s">
        <v>153</v>
      </c>
    </row>
    <row r="314" spans="9:17" x14ac:dyDescent="0.45">
      <c r="I314" t="s">
        <v>194</v>
      </c>
      <c r="J314" t="s">
        <v>159</v>
      </c>
      <c r="K314">
        <v>6.4849364465702818E-3</v>
      </c>
      <c r="L314" t="s">
        <v>153</v>
      </c>
      <c r="N314" t="s">
        <v>237</v>
      </c>
      <c r="O314" t="s">
        <v>159</v>
      </c>
      <c r="P314">
        <v>0.10712672002992502</v>
      </c>
      <c r="Q314" t="s">
        <v>153</v>
      </c>
    </row>
    <row r="315" spans="9:17" x14ac:dyDescent="0.45">
      <c r="I315" t="s">
        <v>194</v>
      </c>
      <c r="J315" t="s">
        <v>160</v>
      </c>
      <c r="K315">
        <v>0.3727435618244806</v>
      </c>
      <c r="L315" t="s">
        <v>153</v>
      </c>
      <c r="N315" t="s">
        <v>237</v>
      </c>
      <c r="O315" t="s">
        <v>160</v>
      </c>
      <c r="P315">
        <v>0.13970640908042811</v>
      </c>
      <c r="Q315" t="s">
        <v>153</v>
      </c>
    </row>
    <row r="316" spans="9:17" x14ac:dyDescent="0.45">
      <c r="I316" t="s">
        <v>194</v>
      </c>
      <c r="J316" t="s">
        <v>161</v>
      </c>
      <c r="K316">
        <v>5.3776237656336136E-2</v>
      </c>
      <c r="L316" t="s">
        <v>153</v>
      </c>
      <c r="N316" t="s">
        <v>237</v>
      </c>
      <c r="O316" t="s">
        <v>161</v>
      </c>
      <c r="P316">
        <v>0.11163124914080844</v>
      </c>
      <c r="Q316" t="s">
        <v>153</v>
      </c>
    </row>
    <row r="317" spans="9:17" x14ac:dyDescent="0.45">
      <c r="I317" t="s">
        <v>195</v>
      </c>
      <c r="J317" t="s">
        <v>152</v>
      </c>
      <c r="K317">
        <v>1.2924826034233872E-3</v>
      </c>
      <c r="L317" t="s">
        <v>153</v>
      </c>
      <c r="N317" t="s">
        <v>238</v>
      </c>
      <c r="O317" t="s">
        <v>152</v>
      </c>
      <c r="P317">
        <v>0.11484874160065965</v>
      </c>
      <c r="Q317" t="s">
        <v>153</v>
      </c>
    </row>
    <row r="318" spans="9:17" x14ac:dyDescent="0.45">
      <c r="I318" t="s">
        <v>195</v>
      </c>
      <c r="J318" t="s">
        <v>154</v>
      </c>
      <c r="K318">
        <v>0.38062482638123513</v>
      </c>
      <c r="L318" t="s">
        <v>153</v>
      </c>
      <c r="N318" t="s">
        <v>238</v>
      </c>
      <c r="O318" t="s">
        <v>154</v>
      </c>
      <c r="P318">
        <v>0.18390244313016724</v>
      </c>
      <c r="Q318" t="s">
        <v>153</v>
      </c>
    </row>
    <row r="319" spans="9:17" x14ac:dyDescent="0.45">
      <c r="I319" t="s">
        <v>195</v>
      </c>
      <c r="J319" t="s">
        <v>155</v>
      </c>
      <c r="K319">
        <v>6.4733466862052239E-2</v>
      </c>
      <c r="L319" t="s">
        <v>153</v>
      </c>
      <c r="N319" t="s">
        <v>238</v>
      </c>
      <c r="O319" t="s">
        <v>155</v>
      </c>
      <c r="P319">
        <v>0.16934940990169917</v>
      </c>
      <c r="Q319" t="s">
        <v>153</v>
      </c>
    </row>
    <row r="320" spans="9:17" x14ac:dyDescent="0.45">
      <c r="I320" t="s">
        <v>195</v>
      </c>
      <c r="J320" t="s">
        <v>156</v>
      </c>
      <c r="K320">
        <v>0</v>
      </c>
      <c r="L320" t="s">
        <v>153</v>
      </c>
      <c r="N320" t="s">
        <v>238</v>
      </c>
      <c r="O320" t="s">
        <v>156</v>
      </c>
      <c r="P320">
        <v>4.3110217325657049E-2</v>
      </c>
      <c r="Q320" t="s">
        <v>153</v>
      </c>
    </row>
    <row r="321" spans="9:17" x14ac:dyDescent="0.45">
      <c r="I321" t="s">
        <v>195</v>
      </c>
      <c r="J321" t="s">
        <v>157</v>
      </c>
      <c r="K321">
        <v>0.10688734688884222</v>
      </c>
      <c r="L321" t="s">
        <v>153</v>
      </c>
      <c r="N321" t="s">
        <v>238</v>
      </c>
      <c r="O321" t="s">
        <v>157</v>
      </c>
      <c r="P321">
        <v>6.1591117681137231E-2</v>
      </c>
      <c r="Q321" t="s">
        <v>153</v>
      </c>
    </row>
    <row r="322" spans="9:17" x14ac:dyDescent="0.45">
      <c r="I322" t="s">
        <v>195</v>
      </c>
      <c r="J322" t="s">
        <v>158</v>
      </c>
      <c r="K322">
        <v>1.3395069504176333E-2</v>
      </c>
      <c r="L322" t="s">
        <v>153</v>
      </c>
      <c r="N322" t="s">
        <v>238</v>
      </c>
      <c r="O322" t="s">
        <v>158</v>
      </c>
      <c r="P322">
        <v>4.5286387862386951E-2</v>
      </c>
      <c r="Q322" t="s">
        <v>153</v>
      </c>
    </row>
    <row r="323" spans="9:17" x14ac:dyDescent="0.45">
      <c r="I323" t="s">
        <v>195</v>
      </c>
      <c r="J323" t="s">
        <v>159</v>
      </c>
      <c r="K323">
        <v>6.802931630702733E-3</v>
      </c>
      <c r="L323" t="s">
        <v>153</v>
      </c>
      <c r="N323" t="s">
        <v>238</v>
      </c>
      <c r="O323" t="s">
        <v>159</v>
      </c>
      <c r="P323">
        <v>8.9937183246888167E-2</v>
      </c>
      <c r="Q323" t="s">
        <v>153</v>
      </c>
    </row>
    <row r="324" spans="9:17" x14ac:dyDescent="0.45">
      <c r="I324" t="s">
        <v>195</v>
      </c>
      <c r="J324" t="s">
        <v>160</v>
      </c>
      <c r="K324">
        <v>0.36510996836944554</v>
      </c>
      <c r="L324" t="s">
        <v>153</v>
      </c>
      <c r="N324" t="s">
        <v>238</v>
      </c>
      <c r="O324" t="s">
        <v>160</v>
      </c>
      <c r="P324">
        <v>0.1556197587758906</v>
      </c>
      <c r="Q324" t="s">
        <v>153</v>
      </c>
    </row>
    <row r="325" spans="9:17" x14ac:dyDescent="0.45">
      <c r="I325" t="s">
        <v>195</v>
      </c>
      <c r="J325" t="s">
        <v>161</v>
      </c>
      <c r="K325">
        <v>6.115390776012293E-2</v>
      </c>
      <c r="L325" t="s">
        <v>153</v>
      </c>
      <c r="N325" t="s">
        <v>238</v>
      </c>
      <c r="O325" t="s">
        <v>161</v>
      </c>
      <c r="P325">
        <v>0.13635474047551382</v>
      </c>
      <c r="Q325" t="s">
        <v>153</v>
      </c>
    </row>
    <row r="326" spans="9:17" x14ac:dyDescent="0.45">
      <c r="I326" t="s">
        <v>196</v>
      </c>
      <c r="J326" t="s">
        <v>152</v>
      </c>
      <c r="K326">
        <v>1.4694727231107229E-3</v>
      </c>
      <c r="L326" t="s">
        <v>153</v>
      </c>
      <c r="N326" t="s">
        <v>239</v>
      </c>
      <c r="O326" t="s">
        <v>152</v>
      </c>
      <c r="P326">
        <v>0.13989794046293899</v>
      </c>
      <c r="Q326" t="s">
        <v>153</v>
      </c>
    </row>
    <row r="327" spans="9:17" x14ac:dyDescent="0.45">
      <c r="I327" t="s">
        <v>196</v>
      </c>
      <c r="J327" t="s">
        <v>154</v>
      </c>
      <c r="K327">
        <v>0.37815282525971539</v>
      </c>
      <c r="L327" t="s">
        <v>153</v>
      </c>
      <c r="N327" t="s">
        <v>239</v>
      </c>
      <c r="O327" t="s">
        <v>154</v>
      </c>
      <c r="P327">
        <v>0.16056239980676404</v>
      </c>
      <c r="Q327" t="s">
        <v>153</v>
      </c>
    </row>
    <row r="328" spans="9:17" x14ac:dyDescent="0.45">
      <c r="I328" t="s">
        <v>196</v>
      </c>
      <c r="J328" t="s">
        <v>155</v>
      </c>
      <c r="K328">
        <v>6.4055760880677728E-2</v>
      </c>
      <c r="L328" t="s">
        <v>153</v>
      </c>
      <c r="N328" t="s">
        <v>239</v>
      </c>
      <c r="O328" t="s">
        <v>155</v>
      </c>
      <c r="P328">
        <v>0.18287009218044756</v>
      </c>
      <c r="Q328" t="s">
        <v>153</v>
      </c>
    </row>
    <row r="329" spans="9:17" x14ac:dyDescent="0.45">
      <c r="I329" t="s">
        <v>196</v>
      </c>
      <c r="J329" t="s">
        <v>156</v>
      </c>
      <c r="K329">
        <v>0</v>
      </c>
      <c r="L329" t="s">
        <v>153</v>
      </c>
      <c r="N329" t="s">
        <v>239</v>
      </c>
      <c r="O329" t="s">
        <v>156</v>
      </c>
      <c r="P329">
        <v>4.6462477422427442E-2</v>
      </c>
      <c r="Q329" t="s">
        <v>153</v>
      </c>
    </row>
    <row r="330" spans="9:17" x14ac:dyDescent="0.45">
      <c r="I330" t="s">
        <v>196</v>
      </c>
      <c r="J330" t="s">
        <v>157</v>
      </c>
      <c r="K330">
        <v>0.10435977352662801</v>
      </c>
      <c r="L330" t="s">
        <v>153</v>
      </c>
      <c r="N330" t="s">
        <v>239</v>
      </c>
      <c r="O330" t="s">
        <v>157</v>
      </c>
      <c r="P330">
        <v>7.2028761062377086E-2</v>
      </c>
      <c r="Q330" t="s">
        <v>153</v>
      </c>
    </row>
    <row r="331" spans="9:17" x14ac:dyDescent="0.45">
      <c r="I331" t="s">
        <v>196</v>
      </c>
      <c r="J331" t="s">
        <v>158</v>
      </c>
      <c r="K331">
        <v>1.1627451779193689E-2</v>
      </c>
      <c r="L331" t="s">
        <v>153</v>
      </c>
      <c r="N331" t="s">
        <v>239</v>
      </c>
      <c r="O331" t="s">
        <v>158</v>
      </c>
      <c r="P331">
        <v>4.8575151197053537E-2</v>
      </c>
      <c r="Q331" t="s">
        <v>153</v>
      </c>
    </row>
    <row r="332" spans="9:17" x14ac:dyDescent="0.45">
      <c r="I332" t="s">
        <v>196</v>
      </c>
      <c r="J332" t="s">
        <v>159</v>
      </c>
      <c r="K332">
        <v>6.9289536351308106E-3</v>
      </c>
      <c r="L332" t="s">
        <v>153</v>
      </c>
      <c r="N332" t="s">
        <v>239</v>
      </c>
      <c r="O332" t="s">
        <v>159</v>
      </c>
      <c r="P332">
        <v>9.293619662337986E-2</v>
      </c>
      <c r="Q332" t="s">
        <v>153</v>
      </c>
    </row>
    <row r="333" spans="9:17" x14ac:dyDescent="0.45">
      <c r="I333" t="s">
        <v>196</v>
      </c>
      <c r="J333" t="s">
        <v>160</v>
      </c>
      <c r="K333">
        <v>0.37080782533404633</v>
      </c>
      <c r="L333" t="s">
        <v>153</v>
      </c>
      <c r="N333" t="s">
        <v>239</v>
      </c>
      <c r="O333" t="s">
        <v>160</v>
      </c>
      <c r="P333">
        <v>0.11152625709472933</v>
      </c>
      <c r="Q333" t="s">
        <v>153</v>
      </c>
    </row>
    <row r="334" spans="9:17" x14ac:dyDescent="0.45">
      <c r="I334" t="s">
        <v>196</v>
      </c>
      <c r="J334" t="s">
        <v>161</v>
      </c>
      <c r="K334">
        <v>6.25979368614972E-2</v>
      </c>
      <c r="L334" t="s">
        <v>153</v>
      </c>
      <c r="N334" t="s">
        <v>239</v>
      </c>
      <c r="O334" t="s">
        <v>161</v>
      </c>
      <c r="P334">
        <v>0.1451407241498808</v>
      </c>
      <c r="Q334" t="s">
        <v>153</v>
      </c>
    </row>
    <row r="335" spans="9:17" x14ac:dyDescent="0.45">
      <c r="I335" t="s">
        <v>197</v>
      </c>
      <c r="J335" t="s">
        <v>152</v>
      </c>
      <c r="K335">
        <v>0</v>
      </c>
      <c r="L335" t="s">
        <v>153</v>
      </c>
      <c r="N335" t="s">
        <v>240</v>
      </c>
      <c r="O335" t="s">
        <v>152</v>
      </c>
      <c r="P335">
        <v>0.10945327168045482</v>
      </c>
      <c r="Q335" t="s">
        <v>153</v>
      </c>
    </row>
    <row r="336" spans="9:17" x14ac:dyDescent="0.45">
      <c r="I336" t="s">
        <v>197</v>
      </c>
      <c r="J336" t="s">
        <v>154</v>
      </c>
      <c r="K336">
        <v>0.39558785754928089</v>
      </c>
      <c r="L336" t="s">
        <v>153</v>
      </c>
      <c r="N336" t="s">
        <v>240</v>
      </c>
      <c r="O336" t="s">
        <v>154</v>
      </c>
      <c r="P336">
        <v>0.20270167525437627</v>
      </c>
      <c r="Q336" t="s">
        <v>153</v>
      </c>
    </row>
    <row r="337" spans="9:17" x14ac:dyDescent="0.45">
      <c r="I337" t="s">
        <v>197</v>
      </c>
      <c r="J337" t="s">
        <v>155</v>
      </c>
      <c r="K337">
        <v>6.3760466464840959E-2</v>
      </c>
      <c r="L337" t="s">
        <v>153</v>
      </c>
      <c r="N337" t="s">
        <v>240</v>
      </c>
      <c r="O337" t="s">
        <v>155</v>
      </c>
      <c r="P337">
        <v>0.16180403732786322</v>
      </c>
      <c r="Q337" t="s">
        <v>153</v>
      </c>
    </row>
    <row r="338" spans="9:17" x14ac:dyDescent="0.45">
      <c r="I338" t="s">
        <v>197</v>
      </c>
      <c r="J338" t="s">
        <v>156</v>
      </c>
      <c r="K338">
        <v>0</v>
      </c>
      <c r="L338" t="s">
        <v>153</v>
      </c>
      <c r="N338" t="s">
        <v>240</v>
      </c>
      <c r="O338" t="s">
        <v>156</v>
      </c>
      <c r="P338">
        <v>5.1019973140952857E-2</v>
      </c>
      <c r="Q338" t="s">
        <v>153</v>
      </c>
    </row>
    <row r="339" spans="9:17" x14ac:dyDescent="0.45">
      <c r="I339" t="s">
        <v>197</v>
      </c>
      <c r="J339" t="s">
        <v>157</v>
      </c>
      <c r="K339">
        <v>0.12175657438702447</v>
      </c>
      <c r="L339" t="s">
        <v>153</v>
      </c>
      <c r="N339" t="s">
        <v>240</v>
      </c>
      <c r="O339" t="s">
        <v>157</v>
      </c>
      <c r="P339">
        <v>8.7051949252997016E-2</v>
      </c>
      <c r="Q339" t="s">
        <v>153</v>
      </c>
    </row>
    <row r="340" spans="9:17" x14ac:dyDescent="0.45">
      <c r="I340" t="s">
        <v>197</v>
      </c>
      <c r="J340" t="s">
        <v>158</v>
      </c>
      <c r="K340">
        <v>1.6422932003150207E-2</v>
      </c>
      <c r="L340" t="s">
        <v>153</v>
      </c>
      <c r="N340" t="s">
        <v>240</v>
      </c>
      <c r="O340" t="s">
        <v>158</v>
      </c>
      <c r="P340">
        <v>4.6732564720371718E-2</v>
      </c>
      <c r="Q340" t="s">
        <v>153</v>
      </c>
    </row>
    <row r="341" spans="9:17" x14ac:dyDescent="0.45">
      <c r="I341" t="s">
        <v>197</v>
      </c>
      <c r="J341" t="s">
        <v>159</v>
      </c>
      <c r="K341">
        <v>4.3443284908322253E-3</v>
      </c>
      <c r="L341" t="s">
        <v>153</v>
      </c>
      <c r="N341" t="s">
        <v>240</v>
      </c>
      <c r="O341" t="s">
        <v>159</v>
      </c>
      <c r="P341">
        <v>6.7762612235069061E-2</v>
      </c>
      <c r="Q341" t="s">
        <v>153</v>
      </c>
    </row>
    <row r="342" spans="9:17" x14ac:dyDescent="0.45">
      <c r="I342" t="s">
        <v>197</v>
      </c>
      <c r="J342" t="s">
        <v>160</v>
      </c>
      <c r="K342">
        <v>0.34846802495668677</v>
      </c>
      <c r="L342" t="s">
        <v>153</v>
      </c>
      <c r="N342" t="s">
        <v>240</v>
      </c>
      <c r="O342" t="s">
        <v>160</v>
      </c>
      <c r="P342">
        <v>0.15221323900907285</v>
      </c>
      <c r="Q342" t="s">
        <v>153</v>
      </c>
    </row>
    <row r="343" spans="9:17" x14ac:dyDescent="0.45">
      <c r="I343" t="s">
        <v>197</v>
      </c>
      <c r="J343" t="s">
        <v>161</v>
      </c>
      <c r="K343">
        <v>4.9659816148186403E-2</v>
      </c>
      <c r="L343" t="s">
        <v>153</v>
      </c>
      <c r="N343" t="s">
        <v>240</v>
      </c>
      <c r="O343" t="s">
        <v>161</v>
      </c>
      <c r="P343">
        <v>0.12126067737884384</v>
      </c>
      <c r="Q343" t="s">
        <v>153</v>
      </c>
    </row>
    <row r="344" spans="9:17" x14ac:dyDescent="0.45">
      <c r="I344" t="s">
        <v>198</v>
      </c>
      <c r="J344" t="s">
        <v>152</v>
      </c>
      <c r="K344">
        <v>9.7829594070460442E-5</v>
      </c>
      <c r="L344" t="s">
        <v>153</v>
      </c>
      <c r="N344" t="s">
        <v>241</v>
      </c>
      <c r="O344" t="s">
        <v>152</v>
      </c>
      <c r="P344">
        <v>9.3383197744066296E-2</v>
      </c>
      <c r="Q344" t="s">
        <v>153</v>
      </c>
    </row>
    <row r="345" spans="9:17" x14ac:dyDescent="0.45">
      <c r="I345" t="s">
        <v>198</v>
      </c>
      <c r="J345" t="s">
        <v>154</v>
      </c>
      <c r="K345">
        <v>0.39442422267456478</v>
      </c>
      <c r="L345" t="s">
        <v>153</v>
      </c>
      <c r="N345" t="s">
        <v>241</v>
      </c>
      <c r="O345" t="s">
        <v>154</v>
      </c>
      <c r="P345">
        <v>0.21518209949584804</v>
      </c>
      <c r="Q345" t="s">
        <v>153</v>
      </c>
    </row>
    <row r="346" spans="9:17" x14ac:dyDescent="0.45">
      <c r="I346" t="s">
        <v>198</v>
      </c>
      <c r="J346" t="s">
        <v>155</v>
      </c>
      <c r="K346">
        <v>6.5074910978725156E-2</v>
      </c>
      <c r="L346" t="s">
        <v>153</v>
      </c>
      <c r="N346" t="s">
        <v>241</v>
      </c>
      <c r="O346" t="s">
        <v>155</v>
      </c>
      <c r="P346">
        <v>0.17315843680837933</v>
      </c>
      <c r="Q346" t="s">
        <v>153</v>
      </c>
    </row>
    <row r="347" spans="9:17" x14ac:dyDescent="0.45">
      <c r="I347" t="s">
        <v>198</v>
      </c>
      <c r="J347" t="s">
        <v>156</v>
      </c>
      <c r="K347">
        <v>0</v>
      </c>
      <c r="L347" t="s">
        <v>153</v>
      </c>
      <c r="N347" t="s">
        <v>241</v>
      </c>
      <c r="O347" t="s">
        <v>156</v>
      </c>
      <c r="P347">
        <v>4.4446119404640147E-2</v>
      </c>
      <c r="Q347" t="s">
        <v>153</v>
      </c>
    </row>
    <row r="348" spans="9:17" x14ac:dyDescent="0.45">
      <c r="I348" t="s">
        <v>198</v>
      </c>
      <c r="J348" t="s">
        <v>157</v>
      </c>
      <c r="K348">
        <v>0.12036547166125321</v>
      </c>
      <c r="L348" t="s">
        <v>153</v>
      </c>
      <c r="N348" t="s">
        <v>241</v>
      </c>
      <c r="O348" t="s">
        <v>157</v>
      </c>
      <c r="P348">
        <v>7.4162425782817454E-2</v>
      </c>
      <c r="Q348" t="s">
        <v>153</v>
      </c>
    </row>
    <row r="349" spans="9:17" x14ac:dyDescent="0.45">
      <c r="I349" t="s">
        <v>198</v>
      </c>
      <c r="J349" t="s">
        <v>158</v>
      </c>
      <c r="K349">
        <v>1.608021481425858E-2</v>
      </c>
      <c r="L349" t="s">
        <v>153</v>
      </c>
      <c r="N349" t="s">
        <v>241</v>
      </c>
      <c r="O349" t="s">
        <v>158</v>
      </c>
      <c r="P349">
        <v>4.2074684487990489E-2</v>
      </c>
      <c r="Q349" t="s">
        <v>153</v>
      </c>
    </row>
    <row r="350" spans="9:17" x14ac:dyDescent="0.45">
      <c r="I350" t="s">
        <v>198</v>
      </c>
      <c r="J350" t="s">
        <v>159</v>
      </c>
      <c r="K350">
        <v>4.7254900887167446E-3</v>
      </c>
      <c r="L350" t="s">
        <v>153</v>
      </c>
      <c r="N350" t="s">
        <v>241</v>
      </c>
      <c r="O350" t="s">
        <v>159</v>
      </c>
      <c r="P350">
        <v>5.4933994439185965E-2</v>
      </c>
      <c r="Q350" t="s">
        <v>153</v>
      </c>
    </row>
    <row r="351" spans="9:17" x14ac:dyDescent="0.45">
      <c r="I351" t="s">
        <v>198</v>
      </c>
      <c r="J351" t="s">
        <v>160</v>
      </c>
      <c r="K351">
        <v>0.34894608034730884</v>
      </c>
      <c r="L351" t="s">
        <v>153</v>
      </c>
      <c r="N351" t="s">
        <v>241</v>
      </c>
      <c r="O351" t="s">
        <v>160</v>
      </c>
      <c r="P351">
        <v>0.16298136667270907</v>
      </c>
      <c r="Q351" t="s">
        <v>153</v>
      </c>
    </row>
    <row r="352" spans="9:17" x14ac:dyDescent="0.45">
      <c r="I352" t="s">
        <v>198</v>
      </c>
      <c r="J352" t="s">
        <v>161</v>
      </c>
      <c r="K352">
        <v>5.0285779841100407E-2</v>
      </c>
      <c r="L352" t="s">
        <v>153</v>
      </c>
      <c r="N352" t="s">
        <v>241</v>
      </c>
      <c r="O352" t="s">
        <v>161</v>
      </c>
      <c r="P352">
        <v>0.13967767516436375</v>
      </c>
      <c r="Q352" t="s">
        <v>153</v>
      </c>
    </row>
    <row r="353" spans="9:17" x14ac:dyDescent="0.45">
      <c r="I353" t="s">
        <v>199</v>
      </c>
      <c r="J353" t="s">
        <v>152</v>
      </c>
      <c r="K353">
        <v>3.6707207970829224E-5</v>
      </c>
      <c r="L353" t="s">
        <v>153</v>
      </c>
      <c r="N353" t="s">
        <v>242</v>
      </c>
      <c r="O353" t="s">
        <v>152</v>
      </c>
      <c r="P353">
        <v>0.14632967412678816</v>
      </c>
      <c r="Q353" t="s">
        <v>153</v>
      </c>
    </row>
    <row r="354" spans="9:17" x14ac:dyDescent="0.45">
      <c r="I354" t="s">
        <v>199</v>
      </c>
      <c r="J354" t="s">
        <v>154</v>
      </c>
      <c r="K354">
        <v>0.39991255627933181</v>
      </c>
      <c r="L354" t="s">
        <v>153</v>
      </c>
      <c r="N354" t="s">
        <v>242</v>
      </c>
      <c r="O354" t="s">
        <v>154</v>
      </c>
      <c r="P354">
        <v>0.16003093270403243</v>
      </c>
      <c r="Q354" t="s">
        <v>153</v>
      </c>
    </row>
    <row r="355" spans="9:17" x14ac:dyDescent="0.45">
      <c r="I355" t="s">
        <v>199</v>
      </c>
      <c r="J355" t="s">
        <v>155</v>
      </c>
      <c r="K355">
        <v>6.1878002055776225E-2</v>
      </c>
      <c r="L355" t="s">
        <v>153</v>
      </c>
      <c r="N355" t="s">
        <v>242</v>
      </c>
      <c r="O355" t="s">
        <v>155</v>
      </c>
      <c r="P355">
        <v>0.16051773038280256</v>
      </c>
      <c r="Q355" t="s">
        <v>153</v>
      </c>
    </row>
    <row r="356" spans="9:17" x14ac:dyDescent="0.45">
      <c r="I356" t="s">
        <v>199</v>
      </c>
      <c r="J356" t="s">
        <v>156</v>
      </c>
      <c r="K356">
        <v>0</v>
      </c>
      <c r="L356" t="s">
        <v>153</v>
      </c>
      <c r="N356" t="s">
        <v>242</v>
      </c>
      <c r="O356" t="s">
        <v>156</v>
      </c>
      <c r="P356">
        <v>4.6734906122472906E-2</v>
      </c>
      <c r="Q356" t="s">
        <v>153</v>
      </c>
    </row>
    <row r="357" spans="9:17" x14ac:dyDescent="0.45">
      <c r="I357" t="s">
        <v>199</v>
      </c>
      <c r="J357" t="s">
        <v>157</v>
      </c>
      <c r="K357">
        <v>0.12099539110684422</v>
      </c>
      <c r="L357" t="s">
        <v>153</v>
      </c>
      <c r="N357" t="s">
        <v>242</v>
      </c>
      <c r="O357" t="s">
        <v>157</v>
      </c>
      <c r="P357">
        <v>7.1675528252985787E-2</v>
      </c>
      <c r="Q357" t="s">
        <v>153</v>
      </c>
    </row>
    <row r="358" spans="9:17" x14ac:dyDescent="0.45">
      <c r="I358" t="s">
        <v>199</v>
      </c>
      <c r="J358" t="s">
        <v>158</v>
      </c>
      <c r="K358">
        <v>1.4630978326618301E-2</v>
      </c>
      <c r="L358" t="s">
        <v>153</v>
      </c>
      <c r="N358" t="s">
        <v>242</v>
      </c>
      <c r="O358" t="s">
        <v>158</v>
      </c>
      <c r="P358">
        <v>5.0736398078732731E-2</v>
      </c>
      <c r="Q358" t="s">
        <v>153</v>
      </c>
    </row>
    <row r="359" spans="9:17" x14ac:dyDescent="0.45">
      <c r="I359" t="s">
        <v>199</v>
      </c>
      <c r="J359" t="s">
        <v>159</v>
      </c>
      <c r="K359">
        <v>5.690357675972842E-3</v>
      </c>
      <c r="L359" t="s">
        <v>153</v>
      </c>
      <c r="N359" t="s">
        <v>242</v>
      </c>
      <c r="O359" t="s">
        <v>159</v>
      </c>
      <c r="P359">
        <v>0.10706791141766225</v>
      </c>
      <c r="Q359" t="s">
        <v>153</v>
      </c>
    </row>
    <row r="360" spans="9:17" x14ac:dyDescent="0.45">
      <c r="I360" t="s">
        <v>199</v>
      </c>
      <c r="J360" t="s">
        <v>160</v>
      </c>
      <c r="K360">
        <v>0.34784001178224894</v>
      </c>
      <c r="L360" t="s">
        <v>153</v>
      </c>
      <c r="N360" t="s">
        <v>242</v>
      </c>
      <c r="O360" t="s">
        <v>160</v>
      </c>
      <c r="P360">
        <v>0.12744322535968558</v>
      </c>
      <c r="Q360" t="s">
        <v>153</v>
      </c>
    </row>
    <row r="361" spans="9:17" x14ac:dyDescent="0.45">
      <c r="I361" t="s">
        <v>199</v>
      </c>
      <c r="J361" t="s">
        <v>161</v>
      </c>
      <c r="K361">
        <v>4.9015995565236094E-2</v>
      </c>
      <c r="L361" t="s">
        <v>153</v>
      </c>
      <c r="N361" t="s">
        <v>242</v>
      </c>
      <c r="O361" t="s">
        <v>161</v>
      </c>
      <c r="P361">
        <v>0.12946369355483742</v>
      </c>
      <c r="Q361" t="s">
        <v>153</v>
      </c>
    </row>
    <row r="362" spans="9:17" x14ac:dyDescent="0.45">
      <c r="I362" t="s">
        <v>200</v>
      </c>
      <c r="J362" t="s">
        <v>152</v>
      </c>
      <c r="K362">
        <v>6.8871002931559643E-4</v>
      </c>
      <c r="L362" t="s">
        <v>153</v>
      </c>
      <c r="N362" t="s">
        <v>243</v>
      </c>
      <c r="O362" t="s">
        <v>152</v>
      </c>
      <c r="P362">
        <v>0.13740559360468213</v>
      </c>
      <c r="Q362" t="s">
        <v>153</v>
      </c>
    </row>
    <row r="363" spans="9:17" x14ac:dyDescent="0.45">
      <c r="I363" t="s">
        <v>200</v>
      </c>
      <c r="J363" t="s">
        <v>154</v>
      </c>
      <c r="K363">
        <v>0.40268813495608019</v>
      </c>
      <c r="L363" t="s">
        <v>153</v>
      </c>
      <c r="N363" t="s">
        <v>243</v>
      </c>
      <c r="O363" t="s">
        <v>154</v>
      </c>
      <c r="P363">
        <v>0.15562358910571419</v>
      </c>
      <c r="Q363" t="s">
        <v>153</v>
      </c>
    </row>
    <row r="364" spans="9:17" x14ac:dyDescent="0.45">
      <c r="I364" t="s">
        <v>200</v>
      </c>
      <c r="J364" t="s">
        <v>155</v>
      </c>
      <c r="K364">
        <v>5.7796159479950364E-2</v>
      </c>
      <c r="L364" t="s">
        <v>153</v>
      </c>
      <c r="N364" t="s">
        <v>243</v>
      </c>
      <c r="O364" t="s">
        <v>155</v>
      </c>
      <c r="P364">
        <v>0.15257790108888766</v>
      </c>
      <c r="Q364" t="s">
        <v>153</v>
      </c>
    </row>
    <row r="365" spans="9:17" x14ac:dyDescent="0.45">
      <c r="I365" t="s">
        <v>200</v>
      </c>
      <c r="J365" t="s">
        <v>156</v>
      </c>
      <c r="K365">
        <v>0</v>
      </c>
      <c r="L365" t="s">
        <v>153</v>
      </c>
      <c r="N365" t="s">
        <v>243</v>
      </c>
      <c r="O365" t="s">
        <v>156</v>
      </c>
      <c r="P365">
        <v>4.823209269903523E-2</v>
      </c>
      <c r="Q365" t="s">
        <v>153</v>
      </c>
    </row>
    <row r="366" spans="9:17" x14ac:dyDescent="0.45">
      <c r="I366" t="s">
        <v>200</v>
      </c>
      <c r="J366" t="s">
        <v>157</v>
      </c>
      <c r="K366">
        <v>0.12133946663348109</v>
      </c>
      <c r="L366" t="s">
        <v>153</v>
      </c>
      <c r="N366" t="s">
        <v>243</v>
      </c>
      <c r="O366" t="s">
        <v>157</v>
      </c>
      <c r="P366">
        <v>6.8114089972392391E-2</v>
      </c>
      <c r="Q366" t="s">
        <v>153</v>
      </c>
    </row>
    <row r="367" spans="9:17" x14ac:dyDescent="0.45">
      <c r="I367" t="s">
        <v>200</v>
      </c>
      <c r="J367" t="s">
        <v>158</v>
      </c>
      <c r="K367">
        <v>1.369755688294421E-2</v>
      </c>
      <c r="L367" t="s">
        <v>153</v>
      </c>
      <c r="N367" t="s">
        <v>243</v>
      </c>
      <c r="O367" t="s">
        <v>158</v>
      </c>
      <c r="P367">
        <v>5.3679263843564411E-2</v>
      </c>
      <c r="Q367" t="s">
        <v>153</v>
      </c>
    </row>
    <row r="368" spans="9:17" x14ac:dyDescent="0.45">
      <c r="I368" t="s">
        <v>200</v>
      </c>
      <c r="J368" t="s">
        <v>159</v>
      </c>
      <c r="K368">
        <v>6.2226497310911844E-3</v>
      </c>
      <c r="L368" t="s">
        <v>153</v>
      </c>
      <c r="N368" t="s">
        <v>243</v>
      </c>
      <c r="O368" t="s">
        <v>159</v>
      </c>
      <c r="P368">
        <v>0.10377921892156999</v>
      </c>
      <c r="Q368" t="s">
        <v>153</v>
      </c>
    </row>
    <row r="369" spans="9:17" x14ac:dyDescent="0.45">
      <c r="I369" t="s">
        <v>200</v>
      </c>
      <c r="J369" t="s">
        <v>160</v>
      </c>
      <c r="K369">
        <v>0.35087829834814244</v>
      </c>
      <c r="L369" t="s">
        <v>153</v>
      </c>
      <c r="N369" t="s">
        <v>243</v>
      </c>
      <c r="O369" t="s">
        <v>160</v>
      </c>
      <c r="P369">
        <v>0.13969854709300755</v>
      </c>
      <c r="Q369" t="s">
        <v>153</v>
      </c>
    </row>
    <row r="370" spans="9:17" x14ac:dyDescent="0.45">
      <c r="I370" t="s">
        <v>200</v>
      </c>
      <c r="J370" t="s">
        <v>161</v>
      </c>
      <c r="K370">
        <v>4.6689023938995572E-2</v>
      </c>
      <c r="L370" t="s">
        <v>153</v>
      </c>
      <c r="N370" t="s">
        <v>243</v>
      </c>
      <c r="O370" t="s">
        <v>161</v>
      </c>
      <c r="P370">
        <v>0.14088970367114734</v>
      </c>
      <c r="Q370" t="s">
        <v>153</v>
      </c>
    </row>
    <row r="371" spans="9:17" x14ac:dyDescent="0.45">
      <c r="I371" t="s">
        <v>201</v>
      </c>
      <c r="J371" t="s">
        <v>152</v>
      </c>
      <c r="K371">
        <v>8.2135283114381525E-4</v>
      </c>
      <c r="L371" t="s">
        <v>153</v>
      </c>
      <c r="N371" t="s">
        <v>244</v>
      </c>
      <c r="O371" t="s">
        <v>152</v>
      </c>
      <c r="P371">
        <v>0.16783042718946453</v>
      </c>
      <c r="Q371" t="s">
        <v>153</v>
      </c>
    </row>
    <row r="372" spans="9:17" x14ac:dyDescent="0.45">
      <c r="I372" t="s">
        <v>201</v>
      </c>
      <c r="J372" t="s">
        <v>154</v>
      </c>
      <c r="K372">
        <v>0.38317743236192547</v>
      </c>
      <c r="L372" t="s">
        <v>153</v>
      </c>
      <c r="N372" t="s">
        <v>244</v>
      </c>
      <c r="O372" t="s">
        <v>154</v>
      </c>
      <c r="P372">
        <v>0.14795593590239797</v>
      </c>
      <c r="Q372" t="s">
        <v>153</v>
      </c>
    </row>
    <row r="373" spans="9:17" x14ac:dyDescent="0.45">
      <c r="I373" t="s">
        <v>201</v>
      </c>
      <c r="J373" t="s">
        <v>155</v>
      </c>
      <c r="K373">
        <v>6.4186010044361114E-2</v>
      </c>
      <c r="L373" t="s">
        <v>153</v>
      </c>
      <c r="N373" t="s">
        <v>244</v>
      </c>
      <c r="O373" t="s">
        <v>155</v>
      </c>
      <c r="P373">
        <v>0.15226237844980084</v>
      </c>
      <c r="Q373" t="s">
        <v>153</v>
      </c>
    </row>
    <row r="374" spans="9:17" x14ac:dyDescent="0.45">
      <c r="I374" t="s">
        <v>201</v>
      </c>
      <c r="J374" t="s">
        <v>156</v>
      </c>
      <c r="K374">
        <v>0</v>
      </c>
      <c r="L374" t="s">
        <v>153</v>
      </c>
      <c r="N374" t="s">
        <v>244</v>
      </c>
      <c r="O374" t="s">
        <v>156</v>
      </c>
      <c r="P374">
        <v>5.4364211285334779E-2</v>
      </c>
      <c r="Q374" t="s">
        <v>153</v>
      </c>
    </row>
    <row r="375" spans="9:17" x14ac:dyDescent="0.45">
      <c r="I375" t="s">
        <v>201</v>
      </c>
      <c r="J375" t="s">
        <v>157</v>
      </c>
      <c r="K375">
        <v>0.1097220642957584</v>
      </c>
      <c r="L375" t="s">
        <v>153</v>
      </c>
      <c r="N375" t="s">
        <v>244</v>
      </c>
      <c r="O375" t="s">
        <v>157</v>
      </c>
      <c r="P375">
        <v>6.6060653465977323E-2</v>
      </c>
      <c r="Q375" t="s">
        <v>153</v>
      </c>
    </row>
    <row r="376" spans="9:17" x14ac:dyDescent="0.45">
      <c r="I376" t="s">
        <v>201</v>
      </c>
      <c r="J376" t="s">
        <v>158</v>
      </c>
      <c r="K376">
        <v>1.4425470626588863E-2</v>
      </c>
      <c r="L376" t="s">
        <v>153</v>
      </c>
      <c r="N376" t="s">
        <v>244</v>
      </c>
      <c r="O376" t="s">
        <v>158</v>
      </c>
      <c r="P376">
        <v>5.2295045669884396E-2</v>
      </c>
      <c r="Q376" t="s">
        <v>153</v>
      </c>
    </row>
    <row r="377" spans="9:17" x14ac:dyDescent="0.45">
      <c r="I377" t="s">
        <v>201</v>
      </c>
      <c r="J377" t="s">
        <v>159</v>
      </c>
      <c r="K377">
        <v>7.2449066384092124E-3</v>
      </c>
      <c r="L377" t="s">
        <v>153</v>
      </c>
      <c r="N377" t="s">
        <v>244</v>
      </c>
      <c r="O377" t="s">
        <v>159</v>
      </c>
      <c r="P377">
        <v>0.1250565892449878</v>
      </c>
      <c r="Q377" t="s">
        <v>153</v>
      </c>
    </row>
    <row r="378" spans="9:17" x14ac:dyDescent="0.45">
      <c r="I378" t="s">
        <v>201</v>
      </c>
      <c r="J378" t="s">
        <v>160</v>
      </c>
      <c r="K378">
        <v>0.36107203636162932</v>
      </c>
      <c r="L378" t="s">
        <v>153</v>
      </c>
      <c r="N378" t="s">
        <v>244</v>
      </c>
      <c r="O378" t="s">
        <v>160</v>
      </c>
      <c r="P378">
        <v>0.1058995698739285</v>
      </c>
      <c r="Q378" t="s">
        <v>153</v>
      </c>
    </row>
    <row r="379" spans="9:17" x14ac:dyDescent="0.45">
      <c r="I379" t="s">
        <v>201</v>
      </c>
      <c r="J379" t="s">
        <v>161</v>
      </c>
      <c r="K379">
        <v>5.9350726840183325E-2</v>
      </c>
      <c r="L379" t="s">
        <v>153</v>
      </c>
      <c r="N379" t="s">
        <v>244</v>
      </c>
      <c r="O379" t="s">
        <v>161</v>
      </c>
      <c r="P379">
        <v>0.12827518891822193</v>
      </c>
      <c r="Q379" t="s">
        <v>153</v>
      </c>
    </row>
    <row r="380" spans="9:17" x14ac:dyDescent="0.45">
      <c r="I380" t="s">
        <v>202</v>
      </c>
      <c r="J380" t="s">
        <v>152</v>
      </c>
      <c r="K380">
        <v>1.9779311763277124E-4</v>
      </c>
      <c r="L380" t="s">
        <v>153</v>
      </c>
      <c r="N380" t="s">
        <v>245</v>
      </c>
      <c r="O380" t="s">
        <v>152</v>
      </c>
      <c r="P380">
        <v>0.18276651878066952</v>
      </c>
      <c r="Q380" t="s">
        <v>153</v>
      </c>
    </row>
    <row r="381" spans="9:17" x14ac:dyDescent="0.45">
      <c r="I381" t="s">
        <v>202</v>
      </c>
      <c r="J381" t="s">
        <v>154</v>
      </c>
      <c r="K381">
        <v>0.38994285232822662</v>
      </c>
      <c r="L381" t="s">
        <v>153</v>
      </c>
      <c r="N381" t="s">
        <v>245</v>
      </c>
      <c r="O381" t="s">
        <v>154</v>
      </c>
      <c r="P381">
        <v>0.12943282644228538</v>
      </c>
      <c r="Q381" t="s">
        <v>153</v>
      </c>
    </row>
    <row r="382" spans="9:17" x14ac:dyDescent="0.45">
      <c r="I382" t="s">
        <v>202</v>
      </c>
      <c r="J382" t="s">
        <v>155</v>
      </c>
      <c r="K382">
        <v>6.3304524317362873E-2</v>
      </c>
      <c r="L382" t="s">
        <v>153</v>
      </c>
      <c r="N382" t="s">
        <v>245</v>
      </c>
      <c r="O382" t="s">
        <v>155</v>
      </c>
      <c r="P382">
        <v>0.13800728350296021</v>
      </c>
      <c r="Q382" t="s">
        <v>153</v>
      </c>
    </row>
    <row r="383" spans="9:17" x14ac:dyDescent="0.45">
      <c r="I383" t="s">
        <v>202</v>
      </c>
      <c r="J383" t="s">
        <v>156</v>
      </c>
      <c r="K383">
        <v>0</v>
      </c>
      <c r="L383" t="s">
        <v>153</v>
      </c>
      <c r="N383" t="s">
        <v>245</v>
      </c>
      <c r="O383" t="s">
        <v>156</v>
      </c>
      <c r="P383">
        <v>6.7347055926039956E-2</v>
      </c>
      <c r="Q383" t="s">
        <v>153</v>
      </c>
    </row>
    <row r="384" spans="9:17" x14ac:dyDescent="0.45">
      <c r="I384" t="s">
        <v>202</v>
      </c>
      <c r="J384" t="s">
        <v>157</v>
      </c>
      <c r="K384">
        <v>0.11746355473617202</v>
      </c>
      <c r="L384" t="s">
        <v>153</v>
      </c>
      <c r="N384" t="s">
        <v>245</v>
      </c>
      <c r="O384" t="s">
        <v>157</v>
      </c>
      <c r="P384">
        <v>5.7727258077246865E-2</v>
      </c>
      <c r="Q384" t="s">
        <v>153</v>
      </c>
    </row>
    <row r="385" spans="9:17" x14ac:dyDescent="0.45">
      <c r="I385" t="s">
        <v>202</v>
      </c>
      <c r="J385" t="s">
        <v>158</v>
      </c>
      <c r="K385">
        <v>1.5560941191036189E-2</v>
      </c>
      <c r="L385" t="s">
        <v>153</v>
      </c>
      <c r="N385" t="s">
        <v>245</v>
      </c>
      <c r="O385" t="s">
        <v>158</v>
      </c>
      <c r="P385">
        <v>5.6005115447878048E-2</v>
      </c>
      <c r="Q385" t="s">
        <v>153</v>
      </c>
    </row>
    <row r="386" spans="9:17" x14ac:dyDescent="0.45">
      <c r="I386" t="s">
        <v>202</v>
      </c>
      <c r="J386" t="s">
        <v>159</v>
      </c>
      <c r="K386">
        <v>5.4692502948818682E-3</v>
      </c>
      <c r="L386" t="s">
        <v>153</v>
      </c>
      <c r="N386" t="s">
        <v>245</v>
      </c>
      <c r="O386" t="s">
        <v>159</v>
      </c>
      <c r="P386">
        <v>0.1456178280139164</v>
      </c>
      <c r="Q386" t="s">
        <v>153</v>
      </c>
    </row>
    <row r="387" spans="9:17" x14ac:dyDescent="0.45">
      <c r="I387" t="s">
        <v>202</v>
      </c>
      <c r="J387" t="s">
        <v>160</v>
      </c>
      <c r="K387">
        <v>0.35494846361166105</v>
      </c>
      <c r="L387" t="s">
        <v>153</v>
      </c>
      <c r="N387" t="s">
        <v>245</v>
      </c>
      <c r="O387" t="s">
        <v>160</v>
      </c>
      <c r="P387">
        <v>9.5020848758247067E-2</v>
      </c>
      <c r="Q387" t="s">
        <v>153</v>
      </c>
    </row>
    <row r="388" spans="9:17" x14ac:dyDescent="0.45">
      <c r="I388" t="s">
        <v>202</v>
      </c>
      <c r="J388" t="s">
        <v>161</v>
      </c>
      <c r="K388">
        <v>5.3112620403027215E-2</v>
      </c>
      <c r="L388" t="s">
        <v>153</v>
      </c>
      <c r="N388" t="s">
        <v>245</v>
      </c>
      <c r="O388" t="s">
        <v>161</v>
      </c>
      <c r="P388">
        <v>0.12807526505075839</v>
      </c>
      <c r="Q388" t="s">
        <v>153</v>
      </c>
    </row>
    <row r="389" spans="9:17" x14ac:dyDescent="0.45">
      <c r="I389" t="s">
        <v>203</v>
      </c>
      <c r="J389" t="s">
        <v>152</v>
      </c>
      <c r="K389">
        <v>9.6179490234716951E-4</v>
      </c>
      <c r="L389" t="s">
        <v>153</v>
      </c>
    </row>
    <row r="390" spans="9:17" x14ac:dyDescent="0.45">
      <c r="I390" t="s">
        <v>203</v>
      </c>
      <c r="J390" t="s">
        <v>154</v>
      </c>
      <c r="K390">
        <v>0.39255478006313105</v>
      </c>
      <c r="L390" t="s">
        <v>153</v>
      </c>
    </row>
    <row r="391" spans="9:17" x14ac:dyDescent="0.45">
      <c r="I391" t="s">
        <v>203</v>
      </c>
      <c r="J391" t="s">
        <v>155</v>
      </c>
      <c r="K391">
        <v>5.9329596211878645E-2</v>
      </c>
      <c r="L391" t="s">
        <v>153</v>
      </c>
    </row>
    <row r="392" spans="9:17" x14ac:dyDescent="0.45">
      <c r="I392" t="s">
        <v>203</v>
      </c>
      <c r="J392" t="s">
        <v>156</v>
      </c>
      <c r="K392">
        <v>0</v>
      </c>
      <c r="L392" t="s">
        <v>153</v>
      </c>
    </row>
    <row r="393" spans="9:17" x14ac:dyDescent="0.45">
      <c r="I393" t="s">
        <v>203</v>
      </c>
      <c r="J393" t="s">
        <v>157</v>
      </c>
      <c r="K393">
        <v>0.11997018477851853</v>
      </c>
      <c r="L393" t="s">
        <v>153</v>
      </c>
    </row>
    <row r="394" spans="9:17" x14ac:dyDescent="0.45">
      <c r="I394" t="s">
        <v>203</v>
      </c>
      <c r="J394" t="s">
        <v>158</v>
      </c>
      <c r="K394">
        <v>1.411849245223764E-2</v>
      </c>
      <c r="L394" t="s">
        <v>153</v>
      </c>
    </row>
    <row r="395" spans="9:17" x14ac:dyDescent="0.45">
      <c r="I395" t="s">
        <v>203</v>
      </c>
      <c r="J395" t="s">
        <v>159</v>
      </c>
      <c r="K395">
        <v>5.1458659082343448E-3</v>
      </c>
      <c r="L395" t="s">
        <v>153</v>
      </c>
    </row>
    <row r="396" spans="9:17" x14ac:dyDescent="0.45">
      <c r="I396" t="s">
        <v>203</v>
      </c>
      <c r="J396" t="s">
        <v>160</v>
      </c>
      <c r="K396">
        <v>0.35652291130686664</v>
      </c>
      <c r="L396" t="s">
        <v>153</v>
      </c>
    </row>
    <row r="397" spans="9:17" x14ac:dyDescent="0.45">
      <c r="I397" t="s">
        <v>203</v>
      </c>
      <c r="J397" t="s">
        <v>161</v>
      </c>
      <c r="K397">
        <v>5.1396374376786784E-2</v>
      </c>
      <c r="L397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8038D-8C04-4787-9983-AE70979F48E1}">
  <dimension ref="A9:AN78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279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266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272</v>
      </c>
      <c r="AK10" t="s">
        <v>47</v>
      </c>
      <c r="AL10" t="s">
        <v>115</v>
      </c>
      <c r="AM10" t="s">
        <v>273</v>
      </c>
      <c r="AN10" t="s">
        <v>274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145</v>
      </c>
      <c r="G11" t="s">
        <v>143</v>
      </c>
      <c r="I11" t="s">
        <v>151</v>
      </c>
      <c r="J11" t="s">
        <v>152</v>
      </c>
      <c r="K11">
        <v>1.1541312584932259E-2</v>
      </c>
      <c r="L11" t="s">
        <v>153</v>
      </c>
      <c r="N11" t="s">
        <v>204</v>
      </c>
      <c r="O11" t="s">
        <v>152</v>
      </c>
      <c r="P11">
        <v>9.4917082829870214E-2</v>
      </c>
      <c r="Q11" t="s">
        <v>153</v>
      </c>
      <c r="S11" t="s">
        <v>246</v>
      </c>
      <c r="T11" t="s">
        <v>152</v>
      </c>
      <c r="U11">
        <v>0.14189169097646159</v>
      </c>
      <c r="V11" t="s">
        <v>153</v>
      </c>
      <c r="X11">
        <v>0.13504566210045663</v>
      </c>
      <c r="Y11">
        <v>5.3332007392122266E-2</v>
      </c>
      <c r="Z11" t="s">
        <v>152</v>
      </c>
      <c r="AA11" t="s">
        <v>25</v>
      </c>
      <c r="AC11" t="s">
        <v>22</v>
      </c>
      <c r="AD11" t="s">
        <v>152</v>
      </c>
      <c r="AE11">
        <v>9.6063648791185188E-2</v>
      </c>
      <c r="AG11" t="s">
        <v>96</v>
      </c>
      <c r="AH11" t="s">
        <v>152</v>
      </c>
      <c r="AI11">
        <v>0.1678492137077876</v>
      </c>
      <c r="AK11">
        <v>2020</v>
      </c>
      <c r="AL11" t="s">
        <v>142</v>
      </c>
      <c r="AM11">
        <v>0.12520000000000001</v>
      </c>
      <c r="AN11" t="s">
        <v>275</v>
      </c>
    </row>
    <row r="12" spans="1:40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3.284791507246769E-2</v>
      </c>
      <c r="L12" t="s">
        <v>153</v>
      </c>
      <c r="N12" t="s">
        <v>204</v>
      </c>
      <c r="O12" t="s">
        <v>154</v>
      </c>
      <c r="P12">
        <v>1.5250939341702435E-2</v>
      </c>
      <c r="Q12" t="s">
        <v>153</v>
      </c>
      <c r="S12" t="s">
        <v>246</v>
      </c>
      <c r="T12" t="s">
        <v>154</v>
      </c>
      <c r="U12">
        <v>1.8251976636014904E-2</v>
      </c>
      <c r="V12" t="s">
        <v>153</v>
      </c>
      <c r="X12">
        <v>1.9292237442922376E-2</v>
      </c>
      <c r="Y12">
        <v>3.2212084296712497E-2</v>
      </c>
      <c r="Z12" t="s">
        <v>154</v>
      </c>
      <c r="AA12" t="s">
        <v>25</v>
      </c>
      <c r="AC12" t="s">
        <v>22</v>
      </c>
      <c r="AD12" t="s">
        <v>154</v>
      </c>
      <c r="AE12">
        <v>1.6427935967393927E-2</v>
      </c>
      <c r="AG12" t="s">
        <v>96</v>
      </c>
      <c r="AH12" t="s">
        <v>154</v>
      </c>
      <c r="AI12">
        <v>0.15589029355316919</v>
      </c>
      <c r="AK12">
        <v>2020</v>
      </c>
      <c r="AL12" t="s">
        <v>146</v>
      </c>
      <c r="AM12">
        <v>7.8466666666666671E-2</v>
      </c>
      <c r="AN12" t="s">
        <v>275</v>
      </c>
    </row>
    <row r="13" spans="1:40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0.37681219207977185</v>
      </c>
      <c r="L13" t="s">
        <v>153</v>
      </c>
      <c r="N13" t="s">
        <v>204</v>
      </c>
      <c r="O13" t="s">
        <v>155</v>
      </c>
      <c r="P13">
        <v>0.18902347902539579</v>
      </c>
      <c r="Q13" t="s">
        <v>153</v>
      </c>
      <c r="S13" t="s">
        <v>246</v>
      </c>
      <c r="T13" t="s">
        <v>155</v>
      </c>
      <c r="U13">
        <v>0.15920147310901167</v>
      </c>
      <c r="V13" t="s">
        <v>153</v>
      </c>
      <c r="X13">
        <v>0.17363013698630136</v>
      </c>
      <c r="Y13">
        <v>0.23797727668249516</v>
      </c>
      <c r="Z13" t="s">
        <v>155</v>
      </c>
      <c r="AA13" t="s">
        <v>25</v>
      </c>
      <c r="AC13" t="s">
        <v>22</v>
      </c>
      <c r="AD13" t="s">
        <v>155</v>
      </c>
      <c r="AE13">
        <v>0.19488805325392861</v>
      </c>
      <c r="AG13" t="s">
        <v>96</v>
      </c>
      <c r="AH13" t="s">
        <v>155</v>
      </c>
      <c r="AI13">
        <v>0.17254290499093394</v>
      </c>
      <c r="AK13">
        <v>2020</v>
      </c>
      <c r="AL13" t="s">
        <v>148</v>
      </c>
      <c r="AM13">
        <v>0.10894</v>
      </c>
      <c r="AN13" t="s">
        <v>275</v>
      </c>
    </row>
    <row r="14" spans="1:40" x14ac:dyDescent="0.45">
      <c r="E14" t="s">
        <v>276</v>
      </c>
      <c r="G14" t="s">
        <v>143</v>
      </c>
      <c r="I14" t="s">
        <v>151</v>
      </c>
      <c r="J14" t="s">
        <v>280</v>
      </c>
      <c r="K14">
        <v>2.6871008542551311E-2</v>
      </c>
      <c r="L14" t="s">
        <v>153</v>
      </c>
      <c r="N14" t="s">
        <v>204</v>
      </c>
      <c r="O14" t="s">
        <v>280</v>
      </c>
      <c r="P14">
        <v>2.2439720234887713E-2</v>
      </c>
      <c r="Q14" t="s">
        <v>153</v>
      </c>
      <c r="S14" t="s">
        <v>246</v>
      </c>
      <c r="T14" t="s">
        <v>280</v>
      </c>
      <c r="U14">
        <v>2.0679217989999693E-2</v>
      </c>
      <c r="V14" t="s">
        <v>153</v>
      </c>
      <c r="X14">
        <v>1.9292237442922376E-2</v>
      </c>
      <c r="Y14">
        <v>3.7534080832691087E-2</v>
      </c>
      <c r="Z14" t="s">
        <v>280</v>
      </c>
      <c r="AA14" t="s">
        <v>25</v>
      </c>
      <c r="AC14" t="s">
        <v>22</v>
      </c>
      <c r="AD14" t="s">
        <v>280</v>
      </c>
      <c r="AE14">
        <v>2.2022741036163068E-2</v>
      </c>
      <c r="AG14" t="s">
        <v>96</v>
      </c>
      <c r="AH14" t="s">
        <v>280</v>
      </c>
      <c r="AI14">
        <v>0.17143873587690717</v>
      </c>
      <c r="AK14">
        <v>2021</v>
      </c>
      <c r="AL14" t="s">
        <v>142</v>
      </c>
      <c r="AM14">
        <v>0.30280000000000001</v>
      </c>
      <c r="AN14" t="s">
        <v>275</v>
      </c>
    </row>
    <row r="15" spans="1:40" x14ac:dyDescent="0.45">
      <c r="E15" t="s">
        <v>277</v>
      </c>
      <c r="G15" t="s">
        <v>143</v>
      </c>
      <c r="I15" t="s">
        <v>151</v>
      </c>
      <c r="J15" t="s">
        <v>281</v>
      </c>
      <c r="K15">
        <v>1.0365428690079793E-2</v>
      </c>
      <c r="L15" t="s">
        <v>153</v>
      </c>
      <c r="N15" t="s">
        <v>204</v>
      </c>
      <c r="O15" t="s">
        <v>281</v>
      </c>
      <c r="P15">
        <v>2.1812481304669968E-2</v>
      </c>
      <c r="Q15" t="s">
        <v>153</v>
      </c>
      <c r="S15" t="s">
        <v>246</v>
      </c>
      <c r="T15" t="s">
        <v>281</v>
      </c>
      <c r="U15">
        <v>2.1004028306243826E-2</v>
      </c>
      <c r="V15" t="s">
        <v>153</v>
      </c>
      <c r="X15">
        <v>1.9292237442922376E-2</v>
      </c>
      <c r="Y15">
        <v>2.9130928407461735E-2</v>
      </c>
      <c r="Z15" t="s">
        <v>281</v>
      </c>
      <c r="AA15" t="s">
        <v>25</v>
      </c>
      <c r="AC15" t="s">
        <v>22</v>
      </c>
      <c r="AD15" t="s">
        <v>281</v>
      </c>
      <c r="AE15">
        <v>2.2481032934331284E-2</v>
      </c>
      <c r="AG15" t="s">
        <v>96</v>
      </c>
      <c r="AH15" t="s">
        <v>281</v>
      </c>
      <c r="AI15">
        <v>0.16499956552513217</v>
      </c>
      <c r="AK15">
        <v>2021</v>
      </c>
      <c r="AL15" t="s">
        <v>146</v>
      </c>
      <c r="AM15">
        <v>6.6333333333333341E-2</v>
      </c>
      <c r="AN15" t="s">
        <v>275</v>
      </c>
    </row>
    <row r="16" spans="1:40" x14ac:dyDescent="0.45">
      <c r="E16" t="s">
        <v>278</v>
      </c>
      <c r="G16" t="s">
        <v>143</v>
      </c>
      <c r="I16" t="s">
        <v>151</v>
      </c>
      <c r="J16" t="s">
        <v>282</v>
      </c>
      <c r="K16">
        <v>0</v>
      </c>
      <c r="L16" t="s">
        <v>153</v>
      </c>
      <c r="N16" t="s">
        <v>204</v>
      </c>
      <c r="O16" t="s">
        <v>282</v>
      </c>
      <c r="P16">
        <v>8.0116320043934139E-2</v>
      </c>
      <c r="Q16" t="s">
        <v>153</v>
      </c>
      <c r="S16" t="s">
        <v>246</v>
      </c>
      <c r="T16" t="s">
        <v>282</v>
      </c>
      <c r="U16">
        <v>0.10672544801856133</v>
      </c>
      <c r="V16" t="s">
        <v>153</v>
      </c>
      <c r="X16">
        <v>9.6461187214611874E-2</v>
      </c>
      <c r="Y16">
        <v>7.2827321018654342E-2</v>
      </c>
      <c r="Z16" t="s">
        <v>282</v>
      </c>
      <c r="AA16" t="s">
        <v>25</v>
      </c>
      <c r="AC16" t="s">
        <v>22</v>
      </c>
      <c r="AD16" t="s">
        <v>282</v>
      </c>
      <c r="AE16">
        <v>0.10821849365081045</v>
      </c>
      <c r="AG16" t="s">
        <v>96</v>
      </c>
      <c r="AH16" t="s">
        <v>282</v>
      </c>
      <c r="AI16">
        <v>0.22616621742081766</v>
      </c>
      <c r="AK16">
        <v>2021</v>
      </c>
      <c r="AL16" t="s">
        <v>148</v>
      </c>
      <c r="AM16">
        <v>0.20571999999999999</v>
      </c>
      <c r="AN16" t="s">
        <v>275</v>
      </c>
    </row>
    <row r="17" spans="9:40" x14ac:dyDescent="0.45">
      <c r="I17" t="s">
        <v>151</v>
      </c>
      <c r="J17" t="s">
        <v>156</v>
      </c>
      <c r="K17">
        <v>0</v>
      </c>
      <c r="L17" t="s">
        <v>153</v>
      </c>
      <c r="N17" t="s">
        <v>204</v>
      </c>
      <c r="O17" t="s">
        <v>156</v>
      </c>
      <c r="P17">
        <v>6.7012789607080972E-2</v>
      </c>
      <c r="Q17" t="s">
        <v>153</v>
      </c>
      <c r="S17" t="s">
        <v>246</v>
      </c>
      <c r="T17" t="s">
        <v>156</v>
      </c>
      <c r="U17">
        <v>4.8064228334497507E-2</v>
      </c>
      <c r="V17" t="s">
        <v>153</v>
      </c>
      <c r="X17">
        <v>5.1141552511415528E-2</v>
      </c>
      <c r="Y17">
        <v>2.0196736527194229E-2</v>
      </c>
      <c r="Z17" t="s">
        <v>156</v>
      </c>
      <c r="AA17" t="s">
        <v>25</v>
      </c>
      <c r="AC17" t="s">
        <v>22</v>
      </c>
      <c r="AD17" t="s">
        <v>156</v>
      </c>
      <c r="AE17">
        <v>3.805302255968683E-2</v>
      </c>
      <c r="AG17" t="s">
        <v>96</v>
      </c>
      <c r="AH17" t="s">
        <v>156</v>
      </c>
      <c r="AI17">
        <v>0.13593048417283571</v>
      </c>
      <c r="AK17">
        <v>2022</v>
      </c>
      <c r="AL17" t="s">
        <v>142</v>
      </c>
      <c r="AM17">
        <v>0.6472</v>
      </c>
      <c r="AN17" t="s">
        <v>275</v>
      </c>
    </row>
    <row r="18" spans="9:40" x14ac:dyDescent="0.45">
      <c r="I18" t="s">
        <v>151</v>
      </c>
      <c r="J18" t="s">
        <v>157</v>
      </c>
      <c r="K18">
        <v>8.1433990760786234E-3</v>
      </c>
      <c r="L18" t="s">
        <v>153</v>
      </c>
      <c r="N18" t="s">
        <v>204</v>
      </c>
      <c r="O18" t="s">
        <v>157</v>
      </c>
      <c r="P18">
        <v>1.0363416724967139E-2</v>
      </c>
      <c r="Q18" t="s">
        <v>153</v>
      </c>
      <c r="S18" t="s">
        <v>246</v>
      </c>
      <c r="T18" t="s">
        <v>157</v>
      </c>
      <c r="U18">
        <v>6.7235627401199321E-3</v>
      </c>
      <c r="V18" t="s">
        <v>153</v>
      </c>
      <c r="X18">
        <v>7.3059360730593605E-3</v>
      </c>
      <c r="Y18">
        <v>1.2198659141950296E-2</v>
      </c>
      <c r="Z18" t="s">
        <v>157</v>
      </c>
      <c r="AA18" t="s">
        <v>25</v>
      </c>
      <c r="AC18" t="s">
        <v>22</v>
      </c>
      <c r="AD18" t="s">
        <v>157</v>
      </c>
      <c r="AE18">
        <v>7.1060790931548271E-3</v>
      </c>
      <c r="AG18" t="s">
        <v>96</v>
      </c>
      <c r="AH18" t="s">
        <v>157</v>
      </c>
      <c r="AI18">
        <v>7.3113452340992646E-2</v>
      </c>
      <c r="AK18">
        <v>2022</v>
      </c>
      <c r="AL18" t="s">
        <v>146</v>
      </c>
      <c r="AM18">
        <v>0.1762</v>
      </c>
      <c r="AN18" t="s">
        <v>275</v>
      </c>
    </row>
    <row r="19" spans="9:40" x14ac:dyDescent="0.45">
      <c r="I19" t="s">
        <v>151</v>
      </c>
      <c r="J19" t="s">
        <v>158</v>
      </c>
      <c r="K19">
        <v>0.11516770984422713</v>
      </c>
      <c r="L19" t="s">
        <v>153</v>
      </c>
      <c r="N19" t="s">
        <v>204</v>
      </c>
      <c r="O19" t="s">
        <v>158</v>
      </c>
      <c r="P19">
        <v>0.11592648651629141</v>
      </c>
      <c r="Q19" t="s">
        <v>153</v>
      </c>
      <c r="S19" t="s">
        <v>246</v>
      </c>
      <c r="T19" t="s">
        <v>158</v>
      </c>
      <c r="U19">
        <v>5.6342864152273298E-2</v>
      </c>
      <c r="V19" t="s">
        <v>153</v>
      </c>
      <c r="X19">
        <v>6.575342465753424E-2</v>
      </c>
      <c r="Y19">
        <v>9.0121572234791072E-2</v>
      </c>
      <c r="Z19" t="s">
        <v>158</v>
      </c>
      <c r="AA19" t="s">
        <v>25</v>
      </c>
      <c r="AC19" t="s">
        <v>22</v>
      </c>
      <c r="AD19" t="s">
        <v>158</v>
      </c>
      <c r="AE19">
        <v>7.8121522179941214E-2</v>
      </c>
      <c r="AG19" t="s">
        <v>96</v>
      </c>
      <c r="AH19" t="s">
        <v>158</v>
      </c>
      <c r="AI19">
        <v>0.1143644375123869</v>
      </c>
      <c r="AK19">
        <v>2022</v>
      </c>
      <c r="AL19" t="s">
        <v>148</v>
      </c>
      <c r="AM19">
        <v>0.34526000000000001</v>
      </c>
      <c r="AN19" t="s">
        <v>275</v>
      </c>
    </row>
    <row r="20" spans="9:40" x14ac:dyDescent="0.45">
      <c r="I20" t="s">
        <v>151</v>
      </c>
      <c r="J20" t="s">
        <v>283</v>
      </c>
      <c r="K20">
        <v>7.2028954301483509E-3</v>
      </c>
      <c r="L20" t="s">
        <v>153</v>
      </c>
      <c r="N20" t="s">
        <v>204</v>
      </c>
      <c r="O20" t="s">
        <v>283</v>
      </c>
      <c r="P20">
        <v>9.885825331348937E-3</v>
      </c>
      <c r="Q20" t="s">
        <v>153</v>
      </c>
      <c r="S20" t="s">
        <v>246</v>
      </c>
      <c r="T20" t="s">
        <v>283</v>
      </c>
      <c r="U20">
        <v>6.2522343078363187E-3</v>
      </c>
      <c r="V20" t="s">
        <v>153</v>
      </c>
      <c r="X20">
        <v>7.3059360730593605E-3</v>
      </c>
      <c r="Y20">
        <v>1.4214089782794257E-2</v>
      </c>
      <c r="Z20" t="s">
        <v>283</v>
      </c>
      <c r="AA20" t="s">
        <v>25</v>
      </c>
      <c r="AC20" t="s">
        <v>22</v>
      </c>
      <c r="AD20" t="s">
        <v>283</v>
      </c>
      <c r="AE20">
        <v>9.3028330274877256E-3</v>
      </c>
      <c r="AG20" t="s">
        <v>96</v>
      </c>
      <c r="AH20" t="s">
        <v>283</v>
      </c>
      <c r="AI20">
        <v>0.10042749362821257</v>
      </c>
      <c r="AK20">
        <v>2025</v>
      </c>
      <c r="AL20" t="s">
        <v>142</v>
      </c>
      <c r="AM20">
        <v>0.37473333333333336</v>
      </c>
      <c r="AN20" t="s">
        <v>275</v>
      </c>
    </row>
    <row r="21" spans="9:40" x14ac:dyDescent="0.45">
      <c r="I21" t="s">
        <v>151</v>
      </c>
      <c r="J21" t="s">
        <v>284</v>
      </c>
      <c r="K21">
        <v>0</v>
      </c>
      <c r="L21" t="s">
        <v>153</v>
      </c>
      <c r="N21" t="s">
        <v>204</v>
      </c>
      <c r="O21" t="s">
        <v>284</v>
      </c>
      <c r="P21">
        <v>8.6571098088672836E-3</v>
      </c>
      <c r="Q21" t="s">
        <v>153</v>
      </c>
      <c r="S21" t="s">
        <v>246</v>
      </c>
      <c r="T21" t="s">
        <v>284</v>
      </c>
      <c r="U21">
        <v>6.2984987700706353E-3</v>
      </c>
      <c r="V21" t="s">
        <v>153</v>
      </c>
      <c r="X21">
        <v>7.3059360730593605E-3</v>
      </c>
      <c r="Y21">
        <v>1.103183087619853E-2</v>
      </c>
      <c r="Z21" t="s">
        <v>284</v>
      </c>
      <c r="AA21" t="s">
        <v>25</v>
      </c>
      <c r="AC21" t="s">
        <v>22</v>
      </c>
      <c r="AD21" t="s">
        <v>284</v>
      </c>
      <c r="AE21">
        <v>9.7177768363772721E-3</v>
      </c>
      <c r="AG21" t="s">
        <v>96</v>
      </c>
      <c r="AH21" t="s">
        <v>284</v>
      </c>
      <c r="AI21">
        <v>9.1700151539952257E-2</v>
      </c>
      <c r="AK21">
        <v>2025</v>
      </c>
      <c r="AL21" t="s">
        <v>146</v>
      </c>
      <c r="AM21">
        <v>0.17863333333333334</v>
      </c>
      <c r="AN21" t="s">
        <v>275</v>
      </c>
    </row>
    <row r="22" spans="9:40" x14ac:dyDescent="0.45">
      <c r="I22" t="s">
        <v>151</v>
      </c>
      <c r="J22" t="s">
        <v>285</v>
      </c>
      <c r="K22">
        <v>0</v>
      </c>
      <c r="L22" t="s">
        <v>153</v>
      </c>
      <c r="N22" t="s">
        <v>204</v>
      </c>
      <c r="O22" t="s">
        <v>285</v>
      </c>
      <c r="P22">
        <v>3.9030044429397781E-2</v>
      </c>
      <c r="Q22" t="s">
        <v>153</v>
      </c>
      <c r="S22" t="s">
        <v>246</v>
      </c>
      <c r="T22" t="s">
        <v>285</v>
      </c>
      <c r="U22">
        <v>3.2510935093621296E-2</v>
      </c>
      <c r="V22" t="s">
        <v>153</v>
      </c>
      <c r="X22">
        <v>3.6529680365296802E-2</v>
      </c>
      <c r="Y22">
        <v>2.7579577190496318E-2</v>
      </c>
      <c r="Z22" t="s">
        <v>285</v>
      </c>
      <c r="AA22" t="s">
        <v>25</v>
      </c>
      <c r="AC22" t="s">
        <v>22</v>
      </c>
      <c r="AD22" t="s">
        <v>285</v>
      </c>
      <c r="AE22">
        <v>4.6470587113864724E-2</v>
      </c>
      <c r="AG22" t="s">
        <v>96</v>
      </c>
      <c r="AH22" t="s">
        <v>285</v>
      </c>
      <c r="AI22">
        <v>0.14293842059740491</v>
      </c>
      <c r="AK22">
        <v>2025</v>
      </c>
      <c r="AL22" t="s">
        <v>148</v>
      </c>
      <c r="AM22">
        <v>0.10224</v>
      </c>
      <c r="AN22" t="s">
        <v>275</v>
      </c>
    </row>
    <row r="23" spans="9:40" x14ac:dyDescent="0.45">
      <c r="I23" t="s">
        <v>151</v>
      </c>
      <c r="J23" t="s">
        <v>159</v>
      </c>
      <c r="K23">
        <v>1.8673103059871365E-2</v>
      </c>
      <c r="L23" t="s">
        <v>153</v>
      </c>
      <c r="N23" t="s">
        <v>204</v>
      </c>
      <c r="O23" t="s">
        <v>159</v>
      </c>
      <c r="P23">
        <v>5.9005430494534689E-2</v>
      </c>
      <c r="Q23" t="s">
        <v>153</v>
      </c>
      <c r="S23" t="s">
        <v>246</v>
      </c>
      <c r="T23" t="s">
        <v>159</v>
      </c>
      <c r="U23">
        <v>0.10856213482366767</v>
      </c>
      <c r="V23" t="s">
        <v>153</v>
      </c>
      <c r="X23">
        <v>0.10547945205479452</v>
      </c>
      <c r="Y23">
        <v>4.1655769087338104E-2</v>
      </c>
      <c r="Z23" t="s">
        <v>159</v>
      </c>
      <c r="AA23" t="s">
        <v>25</v>
      </c>
      <c r="AC23" t="s">
        <v>22</v>
      </c>
      <c r="AD23" t="s">
        <v>159</v>
      </c>
      <c r="AE23">
        <v>7.2929594686831953E-2</v>
      </c>
      <c r="AG23" t="s">
        <v>96</v>
      </c>
      <c r="AH23" t="s">
        <v>159</v>
      </c>
      <c r="AI23">
        <v>0.12643214833681915</v>
      </c>
      <c r="AK23">
        <v>2026</v>
      </c>
      <c r="AL23" t="s">
        <v>142</v>
      </c>
      <c r="AM23">
        <v>0.34346666666666664</v>
      </c>
      <c r="AN23" t="s">
        <v>275</v>
      </c>
    </row>
    <row r="24" spans="9:40" x14ac:dyDescent="0.45">
      <c r="I24" t="s">
        <v>151</v>
      </c>
      <c r="J24" t="s">
        <v>160</v>
      </c>
      <c r="K24">
        <v>3.0326126580310597E-2</v>
      </c>
      <c r="L24" t="s">
        <v>153</v>
      </c>
      <c r="N24" t="s">
        <v>204</v>
      </c>
      <c r="O24" t="s">
        <v>160</v>
      </c>
      <c r="P24">
        <v>9.3600416046077609E-3</v>
      </c>
      <c r="Q24" t="s">
        <v>153</v>
      </c>
      <c r="S24" t="s">
        <v>246</v>
      </c>
      <c r="T24" t="s">
        <v>160</v>
      </c>
      <c r="U24">
        <v>1.4505880150545622E-2</v>
      </c>
      <c r="V24" t="s">
        <v>153</v>
      </c>
      <c r="X24">
        <v>1.5068493150684932E-2</v>
      </c>
      <c r="Y24">
        <v>2.5159734480272485E-2</v>
      </c>
      <c r="Z24" t="s">
        <v>160</v>
      </c>
      <c r="AA24" t="s">
        <v>25</v>
      </c>
      <c r="AC24" t="s">
        <v>22</v>
      </c>
      <c r="AD24" t="s">
        <v>160</v>
      </c>
      <c r="AE24">
        <v>1.2235882130593994E-2</v>
      </c>
      <c r="AG24" t="s">
        <v>96</v>
      </c>
      <c r="AH24" t="s">
        <v>160</v>
      </c>
      <c r="AI24">
        <v>0.11372024642001932</v>
      </c>
      <c r="AK24">
        <v>2026</v>
      </c>
      <c r="AL24" t="s">
        <v>146</v>
      </c>
      <c r="AM24">
        <v>0.19226666666666667</v>
      </c>
      <c r="AN24" t="s">
        <v>275</v>
      </c>
    </row>
    <row r="25" spans="9:40" x14ac:dyDescent="0.45">
      <c r="I25" t="s">
        <v>151</v>
      </c>
      <c r="J25" t="s">
        <v>161</v>
      </c>
      <c r="K25">
        <v>0.333487901472028</v>
      </c>
      <c r="L25" t="s">
        <v>153</v>
      </c>
      <c r="N25" t="s">
        <v>204</v>
      </c>
      <c r="O25" t="s">
        <v>161</v>
      </c>
      <c r="P25">
        <v>0.15847977863809851</v>
      </c>
      <c r="Q25" t="s">
        <v>153</v>
      </c>
      <c r="S25" t="s">
        <v>246</v>
      </c>
      <c r="T25" t="s">
        <v>161</v>
      </c>
      <c r="U25">
        <v>0.13272647720813335</v>
      </c>
      <c r="V25" t="s">
        <v>153</v>
      </c>
      <c r="X25">
        <v>0.13561643835616438</v>
      </c>
      <c r="Y25">
        <v>0.18587574273425658</v>
      </c>
      <c r="Z25" t="s">
        <v>161</v>
      </c>
      <c r="AA25" t="s">
        <v>25</v>
      </c>
      <c r="AC25" t="s">
        <v>22</v>
      </c>
      <c r="AD25" t="s">
        <v>161</v>
      </c>
      <c r="AE25">
        <v>0.14904026028026798</v>
      </c>
      <c r="AG25" t="s">
        <v>96</v>
      </c>
      <c r="AH25" t="s">
        <v>161</v>
      </c>
      <c r="AI25">
        <v>0.14202991214813365</v>
      </c>
      <c r="AK25">
        <v>2026</v>
      </c>
      <c r="AL25" t="s">
        <v>148</v>
      </c>
      <c r="AM25">
        <v>0.20543999999999998</v>
      </c>
      <c r="AN25" t="s">
        <v>275</v>
      </c>
    </row>
    <row r="26" spans="9:40" x14ac:dyDescent="0.45">
      <c r="I26" t="s">
        <v>151</v>
      </c>
      <c r="J26" t="s">
        <v>286</v>
      </c>
      <c r="K26">
        <v>2.238076972086641E-2</v>
      </c>
      <c r="L26" t="s">
        <v>153</v>
      </c>
      <c r="N26" t="s">
        <v>204</v>
      </c>
      <c r="O26" t="s">
        <v>286</v>
      </c>
      <c r="P26">
        <v>2.2514515243712032E-2</v>
      </c>
      <c r="Q26" t="s">
        <v>153</v>
      </c>
      <c r="S26" t="s">
        <v>246</v>
      </c>
      <c r="T26" t="s">
        <v>286</v>
      </c>
      <c r="U26">
        <v>1.7248161046332106E-2</v>
      </c>
      <c r="V26" t="s">
        <v>153</v>
      </c>
      <c r="X26">
        <v>1.5068493150684932E-2</v>
      </c>
      <c r="Y26">
        <v>2.9316560177013153E-2</v>
      </c>
      <c r="Z26" t="s">
        <v>286</v>
      </c>
      <c r="AA26" t="s">
        <v>25</v>
      </c>
      <c r="AC26" t="s">
        <v>22</v>
      </c>
      <c r="AD26" t="s">
        <v>286</v>
      </c>
      <c r="AE26">
        <v>1.690528925504254E-2</v>
      </c>
      <c r="AG26" t="s">
        <v>96</v>
      </c>
      <c r="AH26" t="s">
        <v>286</v>
      </c>
      <c r="AI26">
        <v>0.13654052486588375</v>
      </c>
      <c r="AK26">
        <v>2027</v>
      </c>
      <c r="AL26" t="s">
        <v>142</v>
      </c>
      <c r="AM26">
        <v>0.25593333333333329</v>
      </c>
      <c r="AN26" t="s">
        <v>275</v>
      </c>
    </row>
    <row r="27" spans="9:40" x14ac:dyDescent="0.45">
      <c r="I27" t="s">
        <v>151</v>
      </c>
      <c r="J27" t="s">
        <v>287</v>
      </c>
      <c r="K27">
        <v>6.18023784666763E-3</v>
      </c>
      <c r="L27" t="s">
        <v>153</v>
      </c>
      <c r="N27" t="s">
        <v>204</v>
      </c>
      <c r="O27" t="s">
        <v>287</v>
      </c>
      <c r="P27">
        <v>2.0466814426268715E-2</v>
      </c>
      <c r="Q27" t="s">
        <v>153</v>
      </c>
      <c r="S27" t="s">
        <v>246</v>
      </c>
      <c r="T27" t="s">
        <v>287</v>
      </c>
      <c r="U27">
        <v>1.754942373639368E-2</v>
      </c>
      <c r="V27" t="s">
        <v>153</v>
      </c>
      <c r="X27">
        <v>1.5068493150684932E-2</v>
      </c>
      <c r="Y27">
        <v>2.2753151182159464E-2</v>
      </c>
      <c r="Z27" t="s">
        <v>287</v>
      </c>
      <c r="AA27" t="s">
        <v>25</v>
      </c>
      <c r="AC27" t="s">
        <v>22</v>
      </c>
      <c r="AD27" t="s">
        <v>287</v>
      </c>
      <c r="AE27">
        <v>1.720787183832519E-2</v>
      </c>
      <c r="AG27" t="s">
        <v>96</v>
      </c>
      <c r="AH27" t="s">
        <v>287</v>
      </c>
      <c r="AI27">
        <v>0.17174139883156569</v>
      </c>
      <c r="AK27">
        <v>2027</v>
      </c>
      <c r="AL27" t="s">
        <v>146</v>
      </c>
      <c r="AM27">
        <v>0.11793333333333333</v>
      </c>
      <c r="AN27" t="s">
        <v>275</v>
      </c>
    </row>
    <row r="28" spans="9:40" x14ac:dyDescent="0.45">
      <c r="I28" t="s">
        <v>151</v>
      </c>
      <c r="J28" t="s">
        <v>288</v>
      </c>
      <c r="K28">
        <v>0</v>
      </c>
      <c r="L28" t="s">
        <v>153</v>
      </c>
      <c r="N28" t="s">
        <v>204</v>
      </c>
      <c r="O28" t="s">
        <v>288</v>
      </c>
      <c r="P28">
        <v>5.5737724394366021E-2</v>
      </c>
      <c r="Q28" t="s">
        <v>153</v>
      </c>
      <c r="S28" t="s">
        <v>246</v>
      </c>
      <c r="T28" t="s">
        <v>288</v>
      </c>
      <c r="U28">
        <v>8.5461764600218482E-2</v>
      </c>
      <c r="V28" t="s">
        <v>153</v>
      </c>
      <c r="X28">
        <v>7.5342465753424653E-2</v>
      </c>
      <c r="Y28">
        <v>5.6882877955398661E-2</v>
      </c>
      <c r="Z28" t="s">
        <v>288</v>
      </c>
      <c r="AA28" t="s">
        <v>25</v>
      </c>
      <c r="AC28" t="s">
        <v>22</v>
      </c>
      <c r="AD28" t="s">
        <v>288</v>
      </c>
      <c r="AE28">
        <v>8.2807375364613189E-2</v>
      </c>
      <c r="AG28" t="s">
        <v>96</v>
      </c>
      <c r="AH28" t="s">
        <v>288</v>
      </c>
      <c r="AI28">
        <v>0.20962742621423458</v>
      </c>
      <c r="AK28">
        <v>2027</v>
      </c>
      <c r="AL28" t="s">
        <v>148</v>
      </c>
      <c r="AM28">
        <v>8.0099999999999991E-2</v>
      </c>
      <c r="AN28" t="s">
        <v>275</v>
      </c>
    </row>
    <row r="29" spans="9:40" x14ac:dyDescent="0.45">
      <c r="I29" t="s">
        <v>162</v>
      </c>
      <c r="J29" t="s">
        <v>152</v>
      </c>
      <c r="K29">
        <v>1.0913438867105928E-2</v>
      </c>
      <c r="L29" t="s">
        <v>153</v>
      </c>
      <c r="N29" t="s">
        <v>205</v>
      </c>
      <c r="O29" t="s">
        <v>152</v>
      </c>
      <c r="P29">
        <v>9.5496888032173807E-2</v>
      </c>
      <c r="Q29" t="s">
        <v>153</v>
      </c>
      <c r="S29" t="s">
        <v>247</v>
      </c>
      <c r="T29" t="s">
        <v>152</v>
      </c>
      <c r="U29">
        <v>0.1433209088312408</v>
      </c>
      <c r="V29" t="s">
        <v>153</v>
      </c>
      <c r="AC29" t="s">
        <v>19</v>
      </c>
      <c r="AD29" t="s">
        <v>152</v>
      </c>
      <c r="AE29">
        <v>0.13308094338400844</v>
      </c>
      <c r="AK29">
        <v>2028</v>
      </c>
      <c r="AL29" t="s">
        <v>142</v>
      </c>
      <c r="AM29">
        <v>0.30959999999999999</v>
      </c>
      <c r="AN29" t="s">
        <v>275</v>
      </c>
    </row>
    <row r="30" spans="9:40" x14ac:dyDescent="0.45">
      <c r="I30" t="s">
        <v>162</v>
      </c>
      <c r="J30" t="s">
        <v>154</v>
      </c>
      <c r="K30">
        <v>3.2782420625446063E-2</v>
      </c>
      <c r="L30" t="s">
        <v>153</v>
      </c>
      <c r="N30" t="s">
        <v>205</v>
      </c>
      <c r="O30" t="s">
        <v>154</v>
      </c>
      <c r="P30">
        <v>1.3983556769641402E-2</v>
      </c>
      <c r="Q30" t="s">
        <v>153</v>
      </c>
      <c r="S30" t="s">
        <v>247</v>
      </c>
      <c r="T30" t="s">
        <v>154</v>
      </c>
      <c r="U30">
        <v>1.7858475023950958E-2</v>
      </c>
      <c r="V30" t="s">
        <v>153</v>
      </c>
      <c r="AC30" t="s">
        <v>19</v>
      </c>
      <c r="AD30" t="s">
        <v>154</v>
      </c>
      <c r="AE30">
        <v>1.915068242173374E-2</v>
      </c>
      <c r="AK30">
        <v>2028</v>
      </c>
      <c r="AL30" t="s">
        <v>146</v>
      </c>
      <c r="AM30">
        <v>0.1346</v>
      </c>
      <c r="AN30" t="s">
        <v>275</v>
      </c>
    </row>
    <row r="31" spans="9:40" x14ac:dyDescent="0.45">
      <c r="I31" t="s">
        <v>162</v>
      </c>
      <c r="J31" t="s">
        <v>155</v>
      </c>
      <c r="K31">
        <v>0.36998858124076861</v>
      </c>
      <c r="L31" t="s">
        <v>153</v>
      </c>
      <c r="N31" t="s">
        <v>205</v>
      </c>
      <c r="O31" t="s">
        <v>155</v>
      </c>
      <c r="P31">
        <v>0.18783354097893612</v>
      </c>
      <c r="Q31" t="s">
        <v>153</v>
      </c>
      <c r="S31" t="s">
        <v>247</v>
      </c>
      <c r="T31" t="s">
        <v>155</v>
      </c>
      <c r="U31">
        <v>0.15894024712154728</v>
      </c>
      <c r="V31" t="s">
        <v>153</v>
      </c>
      <c r="AC31" t="s">
        <v>19</v>
      </c>
      <c r="AD31" t="s">
        <v>155</v>
      </c>
      <c r="AE31">
        <v>0.17477564758072392</v>
      </c>
      <c r="AK31">
        <v>2028</v>
      </c>
      <c r="AL31" t="s">
        <v>148</v>
      </c>
      <c r="AM31">
        <v>0.14775999999999997</v>
      </c>
      <c r="AN31" t="s">
        <v>275</v>
      </c>
    </row>
    <row r="32" spans="9:40" x14ac:dyDescent="0.45">
      <c r="I32" t="s">
        <v>162</v>
      </c>
      <c r="J32" t="s">
        <v>280</v>
      </c>
      <c r="K32">
        <v>2.791212078887954E-2</v>
      </c>
      <c r="L32" t="s">
        <v>153</v>
      </c>
      <c r="N32" t="s">
        <v>205</v>
      </c>
      <c r="O32" t="s">
        <v>280</v>
      </c>
      <c r="P32">
        <v>2.2045525672125359E-2</v>
      </c>
      <c r="Q32" t="s">
        <v>153</v>
      </c>
      <c r="S32" t="s">
        <v>247</v>
      </c>
      <c r="T32" t="s">
        <v>280</v>
      </c>
      <c r="U32">
        <v>2.2465372903560592E-2</v>
      </c>
      <c r="V32" t="s">
        <v>153</v>
      </c>
      <c r="AC32" t="s">
        <v>19</v>
      </c>
      <c r="AD32" t="s">
        <v>280</v>
      </c>
      <c r="AE32">
        <v>1.9438472243427294E-2</v>
      </c>
      <c r="AK32">
        <v>2029</v>
      </c>
      <c r="AL32" t="s">
        <v>142</v>
      </c>
      <c r="AM32">
        <v>0.25398333333333339</v>
      </c>
      <c r="AN32" t="s">
        <v>275</v>
      </c>
    </row>
    <row r="33" spans="9:40" x14ac:dyDescent="0.45">
      <c r="I33" t="s">
        <v>162</v>
      </c>
      <c r="J33" t="s">
        <v>281</v>
      </c>
      <c r="K33">
        <v>1.2195352215872878E-2</v>
      </c>
      <c r="L33" t="s">
        <v>153</v>
      </c>
      <c r="N33" t="s">
        <v>205</v>
      </c>
      <c r="O33" t="s">
        <v>281</v>
      </c>
      <c r="P33">
        <v>2.2578377100409931E-2</v>
      </c>
      <c r="Q33" t="s">
        <v>153</v>
      </c>
      <c r="S33" t="s">
        <v>247</v>
      </c>
      <c r="T33" t="s">
        <v>281</v>
      </c>
      <c r="U33">
        <v>2.3217513823536734E-2</v>
      </c>
      <c r="V33" t="s">
        <v>153</v>
      </c>
      <c r="AC33" t="s">
        <v>19</v>
      </c>
      <c r="AD33" t="s">
        <v>281</v>
      </c>
      <c r="AE33">
        <v>1.9462046209282453E-2</v>
      </c>
      <c r="AK33">
        <v>2029</v>
      </c>
      <c r="AL33" t="s">
        <v>146</v>
      </c>
      <c r="AM33">
        <v>0.11596666666666666</v>
      </c>
      <c r="AN33" t="s">
        <v>275</v>
      </c>
    </row>
    <row r="34" spans="9:40" x14ac:dyDescent="0.45">
      <c r="I34" t="s">
        <v>162</v>
      </c>
      <c r="J34" t="s">
        <v>282</v>
      </c>
      <c r="K34">
        <v>0</v>
      </c>
      <c r="L34" t="s">
        <v>153</v>
      </c>
      <c r="N34" t="s">
        <v>205</v>
      </c>
      <c r="O34" t="s">
        <v>282</v>
      </c>
      <c r="P34">
        <v>9.5121495352185656E-2</v>
      </c>
      <c r="Q34" t="s">
        <v>153</v>
      </c>
      <c r="S34" t="s">
        <v>247</v>
      </c>
      <c r="T34" t="s">
        <v>282</v>
      </c>
      <c r="U34">
        <v>0.11551774685167351</v>
      </c>
      <c r="V34" t="s">
        <v>153</v>
      </c>
      <c r="AC34" t="s">
        <v>19</v>
      </c>
      <c r="AD34" t="s">
        <v>282</v>
      </c>
      <c r="AE34">
        <v>9.7094873890663499E-2</v>
      </c>
      <c r="AK34">
        <v>2029</v>
      </c>
      <c r="AL34" t="s">
        <v>148</v>
      </c>
      <c r="AM34">
        <v>0.20441999999999999</v>
      </c>
      <c r="AN34" t="s">
        <v>275</v>
      </c>
    </row>
    <row r="35" spans="9:40" x14ac:dyDescent="0.45">
      <c r="I35" t="s">
        <v>162</v>
      </c>
      <c r="J35" t="s">
        <v>156</v>
      </c>
      <c r="K35">
        <v>0</v>
      </c>
      <c r="L35" t="s">
        <v>153</v>
      </c>
      <c r="N35" t="s">
        <v>205</v>
      </c>
      <c r="O35" t="s">
        <v>156</v>
      </c>
      <c r="P35">
        <v>5.6072227812690813E-2</v>
      </c>
      <c r="Q35" t="s">
        <v>153</v>
      </c>
      <c r="S35" t="s">
        <v>247</v>
      </c>
      <c r="T35" t="s">
        <v>156</v>
      </c>
      <c r="U35">
        <v>4.2678434825421288E-2</v>
      </c>
      <c r="V35" t="s">
        <v>153</v>
      </c>
      <c r="AC35" t="s">
        <v>19</v>
      </c>
      <c r="AD35" t="s">
        <v>156</v>
      </c>
      <c r="AE35">
        <v>5.0287740175593641E-2</v>
      </c>
      <c r="AK35">
        <v>2030</v>
      </c>
      <c r="AL35" t="s">
        <v>142</v>
      </c>
      <c r="AM35">
        <v>0.28353333333333336</v>
      </c>
      <c r="AN35" t="s">
        <v>275</v>
      </c>
    </row>
    <row r="36" spans="9:40" x14ac:dyDescent="0.45">
      <c r="I36" t="s">
        <v>162</v>
      </c>
      <c r="J36" t="s">
        <v>157</v>
      </c>
      <c r="K36">
        <v>8.3861728084580617E-3</v>
      </c>
      <c r="L36" t="s">
        <v>153</v>
      </c>
      <c r="N36" t="s">
        <v>205</v>
      </c>
      <c r="O36" t="s">
        <v>157</v>
      </c>
      <c r="P36">
        <v>8.3146195486293178E-3</v>
      </c>
      <c r="Q36" t="s">
        <v>153</v>
      </c>
      <c r="S36" t="s">
        <v>247</v>
      </c>
      <c r="T36" t="s">
        <v>157</v>
      </c>
      <c r="U36">
        <v>5.9962467107919507E-3</v>
      </c>
      <c r="V36" t="s">
        <v>153</v>
      </c>
      <c r="AC36" t="s">
        <v>19</v>
      </c>
      <c r="AD36" t="s">
        <v>157</v>
      </c>
      <c r="AE36">
        <v>7.2698621616845271E-3</v>
      </c>
      <c r="AK36">
        <v>2030</v>
      </c>
      <c r="AL36" t="s">
        <v>146</v>
      </c>
      <c r="AM36">
        <v>6.9066666666666665E-2</v>
      </c>
      <c r="AN36" t="s">
        <v>275</v>
      </c>
    </row>
    <row r="37" spans="9:40" x14ac:dyDescent="0.45">
      <c r="I37" t="s">
        <v>162</v>
      </c>
      <c r="J37" t="s">
        <v>158</v>
      </c>
      <c r="K37">
        <v>0.11037351841678808</v>
      </c>
      <c r="L37" t="s">
        <v>153</v>
      </c>
      <c r="N37" t="s">
        <v>205</v>
      </c>
      <c r="O37" t="s">
        <v>158</v>
      </c>
      <c r="P37">
        <v>9.9221067146883737E-2</v>
      </c>
      <c r="Q37" t="s">
        <v>153</v>
      </c>
      <c r="S37" t="s">
        <v>247</v>
      </c>
      <c r="T37" t="s">
        <v>158</v>
      </c>
      <c r="U37">
        <v>5.158371580508346E-2</v>
      </c>
      <c r="V37" t="s">
        <v>153</v>
      </c>
      <c r="AC37" t="s">
        <v>19</v>
      </c>
      <c r="AD37" t="s">
        <v>158</v>
      </c>
      <c r="AE37">
        <v>6.6157482578137639E-2</v>
      </c>
      <c r="AK37">
        <v>2030</v>
      </c>
      <c r="AL37" t="s">
        <v>148</v>
      </c>
      <c r="AM37">
        <v>0.22373999999999999</v>
      </c>
      <c r="AN37" t="s">
        <v>275</v>
      </c>
    </row>
    <row r="38" spans="9:40" x14ac:dyDescent="0.45">
      <c r="I38" t="s">
        <v>162</v>
      </c>
      <c r="J38" t="s">
        <v>283</v>
      </c>
      <c r="K38">
        <v>7.6346439039932934E-3</v>
      </c>
      <c r="L38" t="s">
        <v>153</v>
      </c>
      <c r="N38" t="s">
        <v>205</v>
      </c>
      <c r="O38" t="s">
        <v>283</v>
      </c>
      <c r="P38">
        <v>9.5104784666673412E-3</v>
      </c>
      <c r="Q38" t="s">
        <v>153</v>
      </c>
      <c r="S38" t="s">
        <v>247</v>
      </c>
      <c r="T38" t="s">
        <v>283</v>
      </c>
      <c r="U38">
        <v>5.8931369325189139E-3</v>
      </c>
      <c r="V38" t="s">
        <v>153</v>
      </c>
      <c r="AC38" t="s">
        <v>19</v>
      </c>
      <c r="AD38" t="s">
        <v>283</v>
      </c>
      <c r="AE38">
        <v>7.3828604547967061E-3</v>
      </c>
      <c r="AK38">
        <v>2031</v>
      </c>
      <c r="AL38" t="s">
        <v>142</v>
      </c>
      <c r="AM38">
        <v>0.25950000000000001</v>
      </c>
      <c r="AN38" t="s">
        <v>275</v>
      </c>
    </row>
    <row r="39" spans="9:40" x14ac:dyDescent="0.45">
      <c r="I39" t="s">
        <v>162</v>
      </c>
      <c r="J39" t="s">
        <v>284</v>
      </c>
      <c r="K39">
        <v>0</v>
      </c>
      <c r="L39" t="s">
        <v>153</v>
      </c>
      <c r="N39" t="s">
        <v>205</v>
      </c>
      <c r="O39" t="s">
        <v>284</v>
      </c>
      <c r="P39">
        <v>8.7476815592449925E-3</v>
      </c>
      <c r="Q39" t="s">
        <v>153</v>
      </c>
      <c r="S39" t="s">
        <v>247</v>
      </c>
      <c r="T39" t="s">
        <v>284</v>
      </c>
      <c r="U39">
        <v>5.9392783370772742E-3</v>
      </c>
      <c r="V39" t="s">
        <v>153</v>
      </c>
      <c r="AC39" t="s">
        <v>19</v>
      </c>
      <c r="AD39" t="s">
        <v>284</v>
      </c>
      <c r="AE39">
        <v>7.4042046487954845E-3</v>
      </c>
      <c r="AK39">
        <v>2031</v>
      </c>
      <c r="AL39" t="s">
        <v>146</v>
      </c>
      <c r="AM39">
        <v>7.9899999999999985E-2</v>
      </c>
      <c r="AN39" t="s">
        <v>275</v>
      </c>
    </row>
    <row r="40" spans="9:40" x14ac:dyDescent="0.45">
      <c r="I40" t="s">
        <v>162</v>
      </c>
      <c r="J40" t="s">
        <v>285</v>
      </c>
      <c r="K40">
        <v>0</v>
      </c>
      <c r="L40" t="s">
        <v>153</v>
      </c>
      <c r="N40" t="s">
        <v>205</v>
      </c>
      <c r="O40" t="s">
        <v>285</v>
      </c>
      <c r="P40">
        <v>3.9586261951013932E-2</v>
      </c>
      <c r="Q40" t="s">
        <v>153</v>
      </c>
      <c r="S40" t="s">
        <v>247</v>
      </c>
      <c r="T40" t="s">
        <v>285</v>
      </c>
      <c r="U40">
        <v>3.0199332815932008E-2</v>
      </c>
      <c r="V40" t="s">
        <v>153</v>
      </c>
      <c r="AC40" t="s">
        <v>19</v>
      </c>
      <c r="AD40" t="s">
        <v>285</v>
      </c>
      <c r="AE40">
        <v>3.6912060674592677E-2</v>
      </c>
      <c r="AK40">
        <v>2031</v>
      </c>
      <c r="AL40" t="s">
        <v>148</v>
      </c>
      <c r="AM40">
        <v>0.22068000000000004</v>
      </c>
      <c r="AN40" t="s">
        <v>275</v>
      </c>
    </row>
    <row r="41" spans="9:40" x14ac:dyDescent="0.45">
      <c r="I41" t="s">
        <v>162</v>
      </c>
      <c r="J41" t="s">
        <v>159</v>
      </c>
      <c r="K41">
        <v>1.9318814583759232E-2</v>
      </c>
      <c r="L41" t="s">
        <v>153</v>
      </c>
      <c r="N41" t="s">
        <v>205</v>
      </c>
      <c r="O41" t="s">
        <v>159</v>
      </c>
      <c r="P41">
        <v>6.5080105631475663E-2</v>
      </c>
      <c r="Q41" t="s">
        <v>153</v>
      </c>
      <c r="S41" t="s">
        <v>247</v>
      </c>
      <c r="T41" t="s">
        <v>159</v>
      </c>
      <c r="U41">
        <v>0.10765832237118178</v>
      </c>
      <c r="V41" t="s">
        <v>153</v>
      </c>
      <c r="AC41" t="s">
        <v>19</v>
      </c>
      <c r="AD41" t="s">
        <v>159</v>
      </c>
      <c r="AE41">
        <v>0.10394521483197547</v>
      </c>
      <c r="AK41">
        <v>2032</v>
      </c>
      <c r="AL41" t="s">
        <v>142</v>
      </c>
      <c r="AM41">
        <v>0.36911666666666676</v>
      </c>
      <c r="AN41" t="s">
        <v>275</v>
      </c>
    </row>
    <row r="42" spans="9:40" x14ac:dyDescent="0.45">
      <c r="I42" t="s">
        <v>162</v>
      </c>
      <c r="J42" t="s">
        <v>160</v>
      </c>
      <c r="K42">
        <v>3.1243481502878818E-2</v>
      </c>
      <c r="L42" t="s">
        <v>153</v>
      </c>
      <c r="N42" t="s">
        <v>205</v>
      </c>
      <c r="O42" t="s">
        <v>160</v>
      </c>
      <c r="P42">
        <v>9.7917308551040607E-3</v>
      </c>
      <c r="Q42" t="s">
        <v>153</v>
      </c>
      <c r="S42" t="s">
        <v>247</v>
      </c>
      <c r="T42" t="s">
        <v>160</v>
      </c>
      <c r="U42">
        <v>1.3637601301533818E-2</v>
      </c>
      <c r="V42" t="s">
        <v>153</v>
      </c>
      <c r="AC42" t="s">
        <v>19</v>
      </c>
      <c r="AD42" t="s">
        <v>160</v>
      </c>
      <c r="AE42">
        <v>1.49427995876351E-2</v>
      </c>
      <c r="AK42">
        <v>2032</v>
      </c>
      <c r="AL42" t="s">
        <v>146</v>
      </c>
      <c r="AM42">
        <v>5.000000000000001E-2</v>
      </c>
      <c r="AN42" t="s">
        <v>275</v>
      </c>
    </row>
    <row r="43" spans="9:40" x14ac:dyDescent="0.45">
      <c r="I43" t="s">
        <v>162</v>
      </c>
      <c r="J43" t="s">
        <v>161</v>
      </c>
      <c r="K43">
        <v>0.33565064064902222</v>
      </c>
      <c r="L43" t="s">
        <v>153</v>
      </c>
      <c r="N43" t="s">
        <v>205</v>
      </c>
      <c r="O43" t="s">
        <v>161</v>
      </c>
      <c r="P43">
        <v>0.15592324373854716</v>
      </c>
      <c r="Q43" t="s">
        <v>153</v>
      </c>
      <c r="S43" t="s">
        <v>247</v>
      </c>
      <c r="T43" t="s">
        <v>161</v>
      </c>
      <c r="U43">
        <v>0.13022501713581278</v>
      </c>
      <c r="V43" t="s">
        <v>153</v>
      </c>
      <c r="AC43" t="s">
        <v>19</v>
      </c>
      <c r="AD43" t="s">
        <v>161</v>
      </c>
      <c r="AE43">
        <v>0.1364870549350691</v>
      </c>
      <c r="AK43">
        <v>2032</v>
      </c>
      <c r="AL43" t="s">
        <v>148</v>
      </c>
      <c r="AM43">
        <v>0.14548</v>
      </c>
      <c r="AN43" t="s">
        <v>275</v>
      </c>
    </row>
    <row r="44" spans="9:40" x14ac:dyDescent="0.45">
      <c r="I44" t="s">
        <v>162</v>
      </c>
      <c r="J44" t="s">
        <v>286</v>
      </c>
      <c r="K44">
        <v>2.4802215359930307E-2</v>
      </c>
      <c r="L44" t="s">
        <v>153</v>
      </c>
      <c r="N44" t="s">
        <v>205</v>
      </c>
      <c r="O44" t="s">
        <v>286</v>
      </c>
      <c r="P44">
        <v>1.9990247338193729E-2</v>
      </c>
      <c r="Q44" t="s">
        <v>153</v>
      </c>
      <c r="S44" t="s">
        <v>247</v>
      </c>
      <c r="T44" t="s">
        <v>286</v>
      </c>
      <c r="U44">
        <v>1.815569013549409E-2</v>
      </c>
      <c r="V44" t="s">
        <v>153</v>
      </c>
      <c r="AC44" t="s">
        <v>19</v>
      </c>
      <c r="AD44" t="s">
        <v>286</v>
      </c>
      <c r="AE44">
        <v>1.518298808879682E-2</v>
      </c>
      <c r="AK44">
        <v>2033</v>
      </c>
      <c r="AL44" t="s">
        <v>142</v>
      </c>
      <c r="AM44">
        <v>0.44756666666666667</v>
      </c>
      <c r="AN44" t="s">
        <v>275</v>
      </c>
    </row>
    <row r="45" spans="9:40" x14ac:dyDescent="0.45">
      <c r="I45" t="s">
        <v>162</v>
      </c>
      <c r="J45" t="s">
        <v>287</v>
      </c>
      <c r="K45">
        <v>8.7985990370971247E-3</v>
      </c>
      <c r="L45" t="s">
        <v>153</v>
      </c>
      <c r="N45" t="s">
        <v>205</v>
      </c>
      <c r="O45" t="s">
        <v>287</v>
      </c>
      <c r="P45">
        <v>1.9293922506379714E-2</v>
      </c>
      <c r="Q45" t="s">
        <v>153</v>
      </c>
      <c r="S45" t="s">
        <v>247</v>
      </c>
      <c r="T45" t="s">
        <v>287</v>
      </c>
      <c r="U45">
        <v>1.8403060537718615E-2</v>
      </c>
      <c r="V45" t="s">
        <v>153</v>
      </c>
      <c r="AC45" t="s">
        <v>19</v>
      </c>
      <c r="AD45" t="s">
        <v>287</v>
      </c>
      <c r="AE45">
        <v>1.5198552560949135E-2</v>
      </c>
      <c r="AK45">
        <v>2033</v>
      </c>
      <c r="AL45" t="s">
        <v>146</v>
      </c>
      <c r="AM45">
        <v>0.26600000000000001</v>
      </c>
      <c r="AN45" t="s">
        <v>275</v>
      </c>
    </row>
    <row r="46" spans="9:40" x14ac:dyDescent="0.45">
      <c r="I46" t="s">
        <v>162</v>
      </c>
      <c r="J46" t="s">
        <v>288</v>
      </c>
      <c r="K46">
        <v>0</v>
      </c>
      <c r="L46" t="s">
        <v>153</v>
      </c>
      <c r="N46" t="s">
        <v>205</v>
      </c>
      <c r="O46" t="s">
        <v>288</v>
      </c>
      <c r="P46">
        <v>7.1409029539697313E-2</v>
      </c>
      <c r="Q46" t="s">
        <v>153</v>
      </c>
      <c r="S46" t="s">
        <v>247</v>
      </c>
      <c r="T46" t="s">
        <v>288</v>
      </c>
      <c r="U46">
        <v>8.8309898535927009E-2</v>
      </c>
      <c r="V46" t="s">
        <v>153</v>
      </c>
      <c r="AC46" t="s">
        <v>19</v>
      </c>
      <c r="AD46" t="s">
        <v>288</v>
      </c>
      <c r="AE46">
        <v>7.5826513572134407E-2</v>
      </c>
      <c r="AK46">
        <v>2033</v>
      </c>
      <c r="AL46" t="s">
        <v>148</v>
      </c>
      <c r="AM46">
        <v>0.29630000000000001</v>
      </c>
      <c r="AN46" t="s">
        <v>275</v>
      </c>
    </row>
    <row r="47" spans="9:40" x14ac:dyDescent="0.45">
      <c r="I47" t="s">
        <v>163</v>
      </c>
      <c r="J47" t="s">
        <v>152</v>
      </c>
      <c r="K47">
        <v>1.2346697995919561E-2</v>
      </c>
      <c r="L47" t="s">
        <v>153</v>
      </c>
      <c r="N47" t="s">
        <v>206</v>
      </c>
      <c r="O47" t="s">
        <v>152</v>
      </c>
      <c r="P47">
        <v>0.10234343213468322</v>
      </c>
      <c r="Q47" t="s">
        <v>153</v>
      </c>
      <c r="S47" t="s">
        <v>248</v>
      </c>
      <c r="T47" t="s">
        <v>152</v>
      </c>
      <c r="U47">
        <v>0.11985597614347041</v>
      </c>
      <c r="V47" t="s">
        <v>153</v>
      </c>
      <c r="AK47">
        <v>2034</v>
      </c>
      <c r="AL47" t="s">
        <v>142</v>
      </c>
      <c r="AM47">
        <v>0.36313333333333331</v>
      </c>
      <c r="AN47" t="s">
        <v>275</v>
      </c>
    </row>
    <row r="48" spans="9:40" x14ac:dyDescent="0.45">
      <c r="I48" t="s">
        <v>163</v>
      </c>
      <c r="J48" t="s">
        <v>154</v>
      </c>
      <c r="K48">
        <v>3.2273783151247452E-2</v>
      </c>
      <c r="L48" t="s">
        <v>153</v>
      </c>
      <c r="N48" t="s">
        <v>206</v>
      </c>
      <c r="O48" t="s">
        <v>154</v>
      </c>
      <c r="P48">
        <v>1.1315861445349296E-2</v>
      </c>
      <c r="Q48" t="s">
        <v>153</v>
      </c>
      <c r="S48" t="s">
        <v>248</v>
      </c>
      <c r="T48" t="s">
        <v>154</v>
      </c>
      <c r="U48">
        <v>1.4269062396207087E-2</v>
      </c>
      <c r="V48" t="s">
        <v>153</v>
      </c>
      <c r="AK48">
        <v>2034</v>
      </c>
      <c r="AL48" t="s">
        <v>146</v>
      </c>
      <c r="AM48">
        <v>0.26450000000000001</v>
      </c>
      <c r="AN48" t="s">
        <v>275</v>
      </c>
    </row>
    <row r="49" spans="9:40" x14ac:dyDescent="0.45">
      <c r="I49" t="s">
        <v>163</v>
      </c>
      <c r="J49" t="s">
        <v>155</v>
      </c>
      <c r="K49">
        <v>0.36941642405055991</v>
      </c>
      <c r="L49" t="s">
        <v>153</v>
      </c>
      <c r="N49" t="s">
        <v>206</v>
      </c>
      <c r="O49" t="s">
        <v>155</v>
      </c>
      <c r="P49">
        <v>0.16494125201215529</v>
      </c>
      <c r="Q49" t="s">
        <v>153</v>
      </c>
      <c r="S49" t="s">
        <v>248</v>
      </c>
      <c r="T49" t="s">
        <v>155</v>
      </c>
      <c r="U49">
        <v>0.16690555574051669</v>
      </c>
      <c r="V49" t="s">
        <v>153</v>
      </c>
      <c r="AK49">
        <v>2034</v>
      </c>
      <c r="AL49" t="s">
        <v>148</v>
      </c>
      <c r="AM49">
        <v>0.19137999999999997</v>
      </c>
      <c r="AN49" t="s">
        <v>275</v>
      </c>
    </row>
    <row r="50" spans="9:40" x14ac:dyDescent="0.45">
      <c r="I50" t="s">
        <v>163</v>
      </c>
      <c r="J50" t="s">
        <v>280</v>
      </c>
      <c r="K50">
        <v>2.7184443758730754E-2</v>
      </c>
      <c r="L50" t="s">
        <v>153</v>
      </c>
      <c r="N50" t="s">
        <v>206</v>
      </c>
      <c r="O50" t="s">
        <v>280</v>
      </c>
      <c r="P50">
        <v>2.817551059413376E-2</v>
      </c>
      <c r="Q50" t="s">
        <v>153</v>
      </c>
      <c r="S50" t="s">
        <v>248</v>
      </c>
      <c r="T50" t="s">
        <v>280</v>
      </c>
      <c r="U50">
        <v>2.7402449770087878E-2</v>
      </c>
      <c r="V50" t="s">
        <v>153</v>
      </c>
      <c r="AK50">
        <v>2035</v>
      </c>
      <c r="AL50" t="s">
        <v>142</v>
      </c>
      <c r="AM50">
        <v>0.37864999999999999</v>
      </c>
      <c r="AN50" t="s">
        <v>275</v>
      </c>
    </row>
    <row r="51" spans="9:40" x14ac:dyDescent="0.45">
      <c r="I51" t="s">
        <v>163</v>
      </c>
      <c r="J51" t="s">
        <v>281</v>
      </c>
      <c r="K51">
        <v>1.3827900235546524E-2</v>
      </c>
      <c r="L51" t="s">
        <v>153</v>
      </c>
      <c r="N51" t="s">
        <v>206</v>
      </c>
      <c r="O51" t="s">
        <v>281</v>
      </c>
      <c r="P51">
        <v>2.8258286492762647E-2</v>
      </c>
      <c r="Q51" t="s">
        <v>153</v>
      </c>
      <c r="S51" t="s">
        <v>248</v>
      </c>
      <c r="T51" t="s">
        <v>281</v>
      </c>
      <c r="U51">
        <v>2.7603719448234934E-2</v>
      </c>
      <c r="V51" t="s">
        <v>153</v>
      </c>
      <c r="AK51">
        <v>2035</v>
      </c>
      <c r="AL51" t="s">
        <v>146</v>
      </c>
      <c r="AM51">
        <v>0.22930000000000003</v>
      </c>
      <c r="AN51" t="s">
        <v>275</v>
      </c>
    </row>
    <row r="52" spans="9:40" x14ac:dyDescent="0.45">
      <c r="I52" t="s">
        <v>163</v>
      </c>
      <c r="J52" t="s">
        <v>282</v>
      </c>
      <c r="K52">
        <v>2.1109702662603328E-5</v>
      </c>
      <c r="L52" t="s">
        <v>153</v>
      </c>
      <c r="N52" t="s">
        <v>206</v>
      </c>
      <c r="O52" t="s">
        <v>282</v>
      </c>
      <c r="P52">
        <v>0.11837206227748066</v>
      </c>
      <c r="Q52" t="s">
        <v>153</v>
      </c>
      <c r="S52" t="s">
        <v>248</v>
      </c>
      <c r="T52" t="s">
        <v>282</v>
      </c>
      <c r="U52">
        <v>0.12185262105027732</v>
      </c>
      <c r="V52" t="s">
        <v>153</v>
      </c>
      <c r="AK52">
        <v>2035</v>
      </c>
      <c r="AL52" t="s">
        <v>148</v>
      </c>
      <c r="AM52">
        <v>0.20916000000000001</v>
      </c>
      <c r="AN52" t="s">
        <v>275</v>
      </c>
    </row>
    <row r="53" spans="9:40" x14ac:dyDescent="0.45">
      <c r="I53" t="s">
        <v>163</v>
      </c>
      <c r="J53" t="s">
        <v>156</v>
      </c>
      <c r="K53">
        <v>0</v>
      </c>
      <c r="L53" t="s">
        <v>153</v>
      </c>
      <c r="N53" t="s">
        <v>206</v>
      </c>
      <c r="O53" t="s">
        <v>156</v>
      </c>
      <c r="P53">
        <v>4.1052094341787755E-2</v>
      </c>
      <c r="Q53" t="s">
        <v>153</v>
      </c>
      <c r="S53" t="s">
        <v>248</v>
      </c>
      <c r="T53" t="s">
        <v>156</v>
      </c>
      <c r="U53">
        <v>4.0582604011727468E-2</v>
      </c>
      <c r="V53" t="s">
        <v>153</v>
      </c>
      <c r="AK53">
        <v>2036</v>
      </c>
      <c r="AL53" t="s">
        <v>142</v>
      </c>
      <c r="AM53">
        <v>0.35434999999999994</v>
      </c>
      <c r="AN53" t="s">
        <v>275</v>
      </c>
    </row>
    <row r="54" spans="9:40" x14ac:dyDescent="0.45">
      <c r="I54" t="s">
        <v>163</v>
      </c>
      <c r="J54" t="s">
        <v>157</v>
      </c>
      <c r="K54">
        <v>4.9623287344637262E-3</v>
      </c>
      <c r="L54" t="s">
        <v>153</v>
      </c>
      <c r="N54" t="s">
        <v>206</v>
      </c>
      <c r="O54" t="s">
        <v>157</v>
      </c>
      <c r="P54">
        <v>5.9395216550687229E-3</v>
      </c>
      <c r="Q54" t="s">
        <v>153</v>
      </c>
      <c r="S54" t="s">
        <v>248</v>
      </c>
      <c r="T54" t="s">
        <v>157</v>
      </c>
      <c r="U54">
        <v>5.7564051161966877E-3</v>
      </c>
      <c r="V54" t="s">
        <v>153</v>
      </c>
      <c r="AK54">
        <v>2036</v>
      </c>
      <c r="AL54" t="s">
        <v>146</v>
      </c>
      <c r="AM54">
        <v>5.000000000000001E-2</v>
      </c>
      <c r="AN54" t="s">
        <v>275</v>
      </c>
    </row>
    <row r="55" spans="9:40" x14ac:dyDescent="0.45">
      <c r="I55" t="s">
        <v>163</v>
      </c>
      <c r="J55" t="s">
        <v>158</v>
      </c>
      <c r="K55">
        <v>0.10128670104839101</v>
      </c>
      <c r="L55" t="s">
        <v>153</v>
      </c>
      <c r="N55" t="s">
        <v>206</v>
      </c>
      <c r="O55" t="s">
        <v>158</v>
      </c>
      <c r="P55">
        <v>8.0140637719306199E-2</v>
      </c>
      <c r="Q55" t="s">
        <v>153</v>
      </c>
      <c r="S55" t="s">
        <v>248</v>
      </c>
      <c r="T55" t="s">
        <v>158</v>
      </c>
      <c r="U55">
        <v>5.0623111399147692E-2</v>
      </c>
      <c r="V55" t="s">
        <v>153</v>
      </c>
      <c r="AK55">
        <v>2036</v>
      </c>
      <c r="AL55" t="s">
        <v>148</v>
      </c>
      <c r="AM55">
        <v>0.11658000000000002</v>
      </c>
      <c r="AN55" t="s">
        <v>275</v>
      </c>
    </row>
    <row r="56" spans="9:40" x14ac:dyDescent="0.45">
      <c r="I56" t="s">
        <v>163</v>
      </c>
      <c r="J56" t="s">
        <v>283</v>
      </c>
      <c r="K56">
        <v>6.1801441852621219E-3</v>
      </c>
      <c r="L56" t="s">
        <v>153</v>
      </c>
      <c r="N56" t="s">
        <v>206</v>
      </c>
      <c r="O56" t="s">
        <v>283</v>
      </c>
      <c r="P56">
        <v>8.0910376005676517E-3</v>
      </c>
      <c r="Q56" t="s">
        <v>153</v>
      </c>
      <c r="S56" t="s">
        <v>248</v>
      </c>
      <c r="T56" t="s">
        <v>283</v>
      </c>
      <c r="U56">
        <v>6.3967619415165357E-3</v>
      </c>
      <c r="V56" t="s">
        <v>153</v>
      </c>
      <c r="AK56">
        <v>2037</v>
      </c>
      <c r="AL56" t="s">
        <v>142</v>
      </c>
      <c r="AM56">
        <v>0.27431666666666665</v>
      </c>
      <c r="AN56" t="s">
        <v>275</v>
      </c>
    </row>
    <row r="57" spans="9:40" x14ac:dyDescent="0.45">
      <c r="I57" t="s">
        <v>163</v>
      </c>
      <c r="J57" t="s">
        <v>284</v>
      </c>
      <c r="K57">
        <v>0</v>
      </c>
      <c r="L57" t="s">
        <v>153</v>
      </c>
      <c r="N57" t="s">
        <v>206</v>
      </c>
      <c r="O57" t="s">
        <v>284</v>
      </c>
      <c r="P57">
        <v>7.1694303296047836E-3</v>
      </c>
      <c r="Q57" t="s">
        <v>153</v>
      </c>
      <c r="S57" t="s">
        <v>248</v>
      </c>
      <c r="T57" t="s">
        <v>284</v>
      </c>
      <c r="U57">
        <v>6.5031987318958998E-3</v>
      </c>
      <c r="V57" t="s">
        <v>153</v>
      </c>
      <c r="AK57">
        <v>2037</v>
      </c>
      <c r="AL57" t="s">
        <v>146</v>
      </c>
      <c r="AM57">
        <v>0.16340000000000002</v>
      </c>
      <c r="AN57" t="s">
        <v>275</v>
      </c>
    </row>
    <row r="58" spans="9:40" x14ac:dyDescent="0.45">
      <c r="I58" t="s">
        <v>163</v>
      </c>
      <c r="J58" t="s">
        <v>285</v>
      </c>
      <c r="K58">
        <v>0</v>
      </c>
      <c r="L58" t="s">
        <v>153</v>
      </c>
      <c r="N58" t="s">
        <v>206</v>
      </c>
      <c r="O58" t="s">
        <v>285</v>
      </c>
      <c r="P58">
        <v>3.1626104222045932E-2</v>
      </c>
      <c r="Q58" t="s">
        <v>153</v>
      </c>
      <c r="S58" t="s">
        <v>248</v>
      </c>
      <c r="T58" t="s">
        <v>285</v>
      </c>
      <c r="U58">
        <v>3.1343109936264678E-2</v>
      </c>
      <c r="V58" t="s">
        <v>153</v>
      </c>
      <c r="AK58">
        <v>2037</v>
      </c>
      <c r="AL58" t="s">
        <v>148</v>
      </c>
      <c r="AM58">
        <v>0.16541999999999998</v>
      </c>
      <c r="AN58" t="s">
        <v>275</v>
      </c>
    </row>
    <row r="59" spans="9:40" x14ac:dyDescent="0.45">
      <c r="I59" t="s">
        <v>163</v>
      </c>
      <c r="J59" t="s">
        <v>159</v>
      </c>
      <c r="K59">
        <v>2.4381175838036635E-2</v>
      </c>
      <c r="L59" t="s">
        <v>153</v>
      </c>
      <c r="N59" t="s">
        <v>206</v>
      </c>
      <c r="O59" t="s">
        <v>159</v>
      </c>
      <c r="P59">
        <v>8.2460120505011725E-2</v>
      </c>
      <c r="Q59" t="s">
        <v>153</v>
      </c>
      <c r="S59" t="s">
        <v>248</v>
      </c>
      <c r="T59" t="s">
        <v>159</v>
      </c>
      <c r="U59">
        <v>9.2307511581522866E-2</v>
      </c>
      <c r="V59" t="s">
        <v>153</v>
      </c>
      <c r="AK59">
        <v>2038</v>
      </c>
      <c r="AL59" t="s">
        <v>142</v>
      </c>
      <c r="AM59">
        <v>0.27021666666666666</v>
      </c>
      <c r="AN59" t="s">
        <v>275</v>
      </c>
    </row>
    <row r="60" spans="9:40" x14ac:dyDescent="0.45">
      <c r="I60" t="s">
        <v>163</v>
      </c>
      <c r="J60" t="s">
        <v>160</v>
      </c>
      <c r="K60">
        <v>3.2089516912145878E-2</v>
      </c>
      <c r="L60" t="s">
        <v>153</v>
      </c>
      <c r="N60" t="s">
        <v>206</v>
      </c>
      <c r="O60" t="s">
        <v>160</v>
      </c>
      <c r="P60">
        <v>9.7658660921488647E-3</v>
      </c>
      <c r="Q60" t="s">
        <v>153</v>
      </c>
      <c r="S60" t="s">
        <v>248</v>
      </c>
      <c r="T60" t="s">
        <v>160</v>
      </c>
      <c r="U60">
        <v>1.0431595337683218E-2</v>
      </c>
      <c r="V60" t="s">
        <v>153</v>
      </c>
      <c r="AK60">
        <v>2038</v>
      </c>
      <c r="AL60" t="s">
        <v>146</v>
      </c>
      <c r="AM60">
        <v>5.000000000000001E-2</v>
      </c>
      <c r="AN60" t="s">
        <v>275</v>
      </c>
    </row>
    <row r="61" spans="9:40" x14ac:dyDescent="0.45">
      <c r="I61" t="s">
        <v>163</v>
      </c>
      <c r="J61" t="s">
        <v>161</v>
      </c>
      <c r="K61">
        <v>0.3391434566548987</v>
      </c>
      <c r="L61" t="s">
        <v>153</v>
      </c>
      <c r="N61" t="s">
        <v>206</v>
      </c>
      <c r="O61" t="s">
        <v>161</v>
      </c>
      <c r="P61">
        <v>0.14193733774406944</v>
      </c>
      <c r="Q61" t="s">
        <v>153</v>
      </c>
      <c r="S61" t="s">
        <v>248</v>
      </c>
      <c r="T61" t="s">
        <v>161</v>
      </c>
      <c r="U61">
        <v>0.13835327557953944</v>
      </c>
      <c r="V61" t="s">
        <v>153</v>
      </c>
      <c r="AK61">
        <v>2038</v>
      </c>
      <c r="AL61" t="s">
        <v>148</v>
      </c>
      <c r="AM61">
        <v>0.13204000000000002</v>
      </c>
      <c r="AN61" t="s">
        <v>275</v>
      </c>
    </row>
    <row r="62" spans="9:40" x14ac:dyDescent="0.45">
      <c r="I62" t="s">
        <v>163</v>
      </c>
      <c r="J62" t="s">
        <v>286</v>
      </c>
      <c r="K62">
        <v>2.6318999657201345E-2</v>
      </c>
      <c r="L62" t="s">
        <v>153</v>
      </c>
      <c r="N62" t="s">
        <v>206</v>
      </c>
      <c r="O62" t="s">
        <v>286</v>
      </c>
      <c r="P62">
        <v>2.3009029850415627E-2</v>
      </c>
      <c r="Q62" t="s">
        <v>153</v>
      </c>
      <c r="S62" t="s">
        <v>248</v>
      </c>
      <c r="T62" t="s">
        <v>286</v>
      </c>
      <c r="U62">
        <v>2.3037496143326241E-2</v>
      </c>
      <c r="V62" t="s">
        <v>153</v>
      </c>
      <c r="AK62">
        <v>2039</v>
      </c>
      <c r="AL62" t="s">
        <v>142</v>
      </c>
      <c r="AM62">
        <v>0.33373333333333338</v>
      </c>
      <c r="AN62" t="s">
        <v>275</v>
      </c>
    </row>
    <row r="63" spans="9:40" x14ac:dyDescent="0.45">
      <c r="I63" t="s">
        <v>163</v>
      </c>
      <c r="J63" t="s">
        <v>287</v>
      </c>
      <c r="K63">
        <v>1.0566540485475954E-2</v>
      </c>
      <c r="L63" t="s">
        <v>153</v>
      </c>
      <c r="N63" t="s">
        <v>206</v>
      </c>
      <c r="O63" t="s">
        <v>287</v>
      </c>
      <c r="P63">
        <v>2.2402514854181644E-2</v>
      </c>
      <c r="Q63" t="s">
        <v>153</v>
      </c>
      <c r="S63" t="s">
        <v>248</v>
      </c>
      <c r="T63" t="s">
        <v>287</v>
      </c>
      <c r="U63">
        <v>2.2460208193396218E-2</v>
      </c>
      <c r="V63" t="s">
        <v>153</v>
      </c>
      <c r="AK63">
        <v>2039</v>
      </c>
      <c r="AL63" t="s">
        <v>146</v>
      </c>
      <c r="AM63">
        <v>0.11126666666666667</v>
      </c>
      <c r="AN63" t="s">
        <v>275</v>
      </c>
    </row>
    <row r="64" spans="9:40" x14ac:dyDescent="0.45">
      <c r="I64" t="s">
        <v>163</v>
      </c>
      <c r="J64" t="s">
        <v>288</v>
      </c>
      <c r="K64">
        <v>7.7758945899088917E-7</v>
      </c>
      <c r="L64" t="s">
        <v>153</v>
      </c>
      <c r="N64" t="s">
        <v>206</v>
      </c>
      <c r="O64" t="s">
        <v>288</v>
      </c>
      <c r="P64">
        <v>9.2999900129227167E-2</v>
      </c>
      <c r="Q64" t="s">
        <v>153</v>
      </c>
      <c r="S64" t="s">
        <v>248</v>
      </c>
      <c r="T64" t="s">
        <v>288</v>
      </c>
      <c r="U64">
        <v>9.4315337478987182E-2</v>
      </c>
      <c r="V64" t="s">
        <v>153</v>
      </c>
      <c r="AK64">
        <v>2039</v>
      </c>
      <c r="AL64" t="s">
        <v>148</v>
      </c>
      <c r="AM64">
        <v>9.6359999999999987E-2</v>
      </c>
      <c r="AN64" t="s">
        <v>275</v>
      </c>
    </row>
    <row r="65" spans="9:40" x14ac:dyDescent="0.45">
      <c r="I65" t="s">
        <v>164</v>
      </c>
      <c r="J65" t="s">
        <v>152</v>
      </c>
      <c r="K65">
        <v>1.4192965630004318E-2</v>
      </c>
      <c r="L65" t="s">
        <v>153</v>
      </c>
      <c r="N65" t="s">
        <v>207</v>
      </c>
      <c r="O65" t="s">
        <v>152</v>
      </c>
      <c r="P65">
        <v>7.5488060681246763E-2</v>
      </c>
      <c r="Q65" t="s">
        <v>153</v>
      </c>
      <c r="S65" t="s">
        <v>249</v>
      </c>
      <c r="T65" t="s">
        <v>152</v>
      </c>
      <c r="U65">
        <v>0.14137385707328026</v>
      </c>
      <c r="V65" t="s">
        <v>153</v>
      </c>
      <c r="AK65">
        <v>2040</v>
      </c>
      <c r="AL65" t="s">
        <v>142</v>
      </c>
      <c r="AM65">
        <v>0.36720000000000003</v>
      </c>
      <c r="AN65" t="s">
        <v>275</v>
      </c>
    </row>
    <row r="66" spans="9:40" x14ac:dyDescent="0.45">
      <c r="I66" t="s">
        <v>164</v>
      </c>
      <c r="J66" t="s">
        <v>154</v>
      </c>
      <c r="K66">
        <v>3.3374492466721306E-2</v>
      </c>
      <c r="L66" t="s">
        <v>153</v>
      </c>
      <c r="N66" t="s">
        <v>207</v>
      </c>
      <c r="O66" t="s">
        <v>154</v>
      </c>
      <c r="P66">
        <v>1.0620416673946989E-2</v>
      </c>
      <c r="Q66" t="s">
        <v>153</v>
      </c>
      <c r="S66" t="s">
        <v>249</v>
      </c>
      <c r="T66" t="s">
        <v>154</v>
      </c>
      <c r="U66">
        <v>1.8882744799444962E-2</v>
      </c>
      <c r="V66" t="s">
        <v>153</v>
      </c>
      <c r="AK66">
        <v>2040</v>
      </c>
      <c r="AL66" t="s">
        <v>146</v>
      </c>
      <c r="AM66">
        <v>0.1704</v>
      </c>
      <c r="AN66" t="s">
        <v>275</v>
      </c>
    </row>
    <row r="67" spans="9:40" x14ac:dyDescent="0.45">
      <c r="I67" t="s">
        <v>164</v>
      </c>
      <c r="J67" t="s">
        <v>155</v>
      </c>
      <c r="K67">
        <v>0.36689167338037931</v>
      </c>
      <c r="L67" t="s">
        <v>153</v>
      </c>
      <c r="N67" t="s">
        <v>207</v>
      </c>
      <c r="O67" t="s">
        <v>155</v>
      </c>
      <c r="P67">
        <v>0.18850230626624637</v>
      </c>
      <c r="Q67" t="s">
        <v>153</v>
      </c>
      <c r="S67" t="s">
        <v>249</v>
      </c>
      <c r="T67" t="s">
        <v>155</v>
      </c>
      <c r="U67">
        <v>0.17036980359691067</v>
      </c>
      <c r="V67" t="s">
        <v>153</v>
      </c>
      <c r="AK67">
        <v>2040</v>
      </c>
      <c r="AL67" t="s">
        <v>148</v>
      </c>
      <c r="AM67">
        <v>0.21082000000000001</v>
      </c>
      <c r="AN67" t="s">
        <v>275</v>
      </c>
    </row>
    <row r="68" spans="9:40" x14ac:dyDescent="0.45">
      <c r="I68" t="s">
        <v>164</v>
      </c>
      <c r="J68" t="s">
        <v>280</v>
      </c>
      <c r="K68">
        <v>2.382808345891271E-2</v>
      </c>
      <c r="L68" t="s">
        <v>153</v>
      </c>
      <c r="N68" t="s">
        <v>207</v>
      </c>
      <c r="O68" t="s">
        <v>280</v>
      </c>
      <c r="P68">
        <v>3.1211164177406794E-2</v>
      </c>
      <c r="Q68" t="s">
        <v>153</v>
      </c>
      <c r="S68" t="s">
        <v>249</v>
      </c>
      <c r="T68" t="s">
        <v>280</v>
      </c>
      <c r="U68">
        <v>2.2569987848754657E-2</v>
      </c>
      <c r="V68" t="s">
        <v>153</v>
      </c>
      <c r="AK68">
        <v>2041</v>
      </c>
      <c r="AL68" t="s">
        <v>142</v>
      </c>
      <c r="AM68">
        <v>0.28056666666666669</v>
      </c>
      <c r="AN68" t="s">
        <v>275</v>
      </c>
    </row>
    <row r="69" spans="9:40" x14ac:dyDescent="0.45">
      <c r="I69" t="s">
        <v>164</v>
      </c>
      <c r="J69" t="s">
        <v>281</v>
      </c>
      <c r="K69">
        <v>1.1539615944117338E-2</v>
      </c>
      <c r="L69" t="s">
        <v>153</v>
      </c>
      <c r="N69" t="s">
        <v>207</v>
      </c>
      <c r="O69" t="s">
        <v>281</v>
      </c>
      <c r="P69">
        <v>2.7348806318076239E-2</v>
      </c>
      <c r="Q69" t="s">
        <v>153</v>
      </c>
      <c r="S69" t="s">
        <v>249</v>
      </c>
      <c r="T69" t="s">
        <v>281</v>
      </c>
      <c r="U69">
        <v>2.3033017326380325E-2</v>
      </c>
      <c r="V69" t="s">
        <v>153</v>
      </c>
      <c r="AK69">
        <v>2041</v>
      </c>
      <c r="AL69" t="s">
        <v>146</v>
      </c>
      <c r="AM69">
        <v>0.1245</v>
      </c>
      <c r="AN69" t="s">
        <v>275</v>
      </c>
    </row>
    <row r="70" spans="9:40" x14ac:dyDescent="0.45">
      <c r="I70" t="s">
        <v>164</v>
      </c>
      <c r="J70" t="s">
        <v>282</v>
      </c>
      <c r="K70">
        <v>0</v>
      </c>
      <c r="L70" t="s">
        <v>153</v>
      </c>
      <c r="N70" t="s">
        <v>207</v>
      </c>
      <c r="O70" t="s">
        <v>282</v>
      </c>
      <c r="P70">
        <v>7.716089252268879E-2</v>
      </c>
      <c r="Q70" t="s">
        <v>153</v>
      </c>
      <c r="S70" t="s">
        <v>249</v>
      </c>
      <c r="T70" t="s">
        <v>282</v>
      </c>
      <c r="U70">
        <v>0.11274880966911073</v>
      </c>
      <c r="V70" t="s">
        <v>153</v>
      </c>
      <c r="AK70">
        <v>2041</v>
      </c>
      <c r="AL70" t="s">
        <v>148</v>
      </c>
      <c r="AM70">
        <v>0.21038000000000001</v>
      </c>
      <c r="AN70" t="s">
        <v>275</v>
      </c>
    </row>
    <row r="71" spans="9:40" x14ac:dyDescent="0.45">
      <c r="I71" t="s">
        <v>164</v>
      </c>
      <c r="J71" t="s">
        <v>156</v>
      </c>
      <c r="K71">
        <v>0</v>
      </c>
      <c r="L71" t="s">
        <v>153</v>
      </c>
      <c r="N71" t="s">
        <v>207</v>
      </c>
      <c r="O71" t="s">
        <v>156</v>
      </c>
      <c r="P71">
        <v>5.0048102588184186E-2</v>
      </c>
      <c r="Q71" t="s">
        <v>153</v>
      </c>
      <c r="S71" t="s">
        <v>249</v>
      </c>
      <c r="T71" t="s">
        <v>156</v>
      </c>
      <c r="U71">
        <v>3.941888229180094E-2</v>
      </c>
      <c r="V71" t="s">
        <v>153</v>
      </c>
      <c r="AK71">
        <v>2042</v>
      </c>
      <c r="AL71" t="s">
        <v>142</v>
      </c>
      <c r="AM71">
        <v>0.24938333333333332</v>
      </c>
      <c r="AN71" t="s">
        <v>275</v>
      </c>
    </row>
    <row r="72" spans="9:40" x14ac:dyDescent="0.45">
      <c r="I72" t="s">
        <v>164</v>
      </c>
      <c r="J72" t="s">
        <v>157</v>
      </c>
      <c r="K72">
        <v>8.4977927583309836E-3</v>
      </c>
      <c r="L72" t="s">
        <v>153</v>
      </c>
      <c r="N72" t="s">
        <v>207</v>
      </c>
      <c r="O72" t="s">
        <v>157</v>
      </c>
      <c r="P72">
        <v>7.1509564904167853E-3</v>
      </c>
      <c r="Q72" t="s">
        <v>153</v>
      </c>
      <c r="S72" t="s">
        <v>249</v>
      </c>
      <c r="T72" t="s">
        <v>157</v>
      </c>
      <c r="U72">
        <v>5.5119135387227056E-3</v>
      </c>
      <c r="V72" t="s">
        <v>153</v>
      </c>
      <c r="AK72">
        <v>2042</v>
      </c>
      <c r="AL72" t="s">
        <v>146</v>
      </c>
      <c r="AM72">
        <v>8.4766666666666657E-2</v>
      </c>
      <c r="AN72" t="s">
        <v>275</v>
      </c>
    </row>
    <row r="73" spans="9:40" x14ac:dyDescent="0.45">
      <c r="I73" t="s">
        <v>164</v>
      </c>
      <c r="J73" t="s">
        <v>158</v>
      </c>
      <c r="K73">
        <v>0.10450139021889647</v>
      </c>
      <c r="L73" t="s">
        <v>153</v>
      </c>
      <c r="N73" t="s">
        <v>207</v>
      </c>
      <c r="O73" t="s">
        <v>158</v>
      </c>
      <c r="P73">
        <v>0.10152546531770858</v>
      </c>
      <c r="Q73" t="s">
        <v>153</v>
      </c>
      <c r="S73" t="s">
        <v>249</v>
      </c>
      <c r="T73" t="s">
        <v>158</v>
      </c>
      <c r="U73">
        <v>4.7777735927838939E-2</v>
      </c>
      <c r="V73" t="s">
        <v>153</v>
      </c>
      <c r="AK73">
        <v>2042</v>
      </c>
      <c r="AL73" t="s">
        <v>148</v>
      </c>
      <c r="AM73">
        <v>0.22286</v>
      </c>
      <c r="AN73" t="s">
        <v>275</v>
      </c>
    </row>
    <row r="74" spans="9:40" x14ac:dyDescent="0.45">
      <c r="I74" t="s">
        <v>164</v>
      </c>
      <c r="J74" t="s">
        <v>283</v>
      </c>
      <c r="K74">
        <v>4.712020139347811E-3</v>
      </c>
      <c r="L74" t="s">
        <v>153</v>
      </c>
      <c r="N74" t="s">
        <v>207</v>
      </c>
      <c r="O74" t="s">
        <v>283</v>
      </c>
      <c r="P74">
        <v>1.0147639404036193E-2</v>
      </c>
      <c r="Q74" t="s">
        <v>153</v>
      </c>
      <c r="S74" t="s">
        <v>249</v>
      </c>
      <c r="T74" t="s">
        <v>283</v>
      </c>
      <c r="U74">
        <v>5.7914683830778448E-3</v>
      </c>
      <c r="V74" t="s">
        <v>153</v>
      </c>
      <c r="AK74">
        <v>2043</v>
      </c>
      <c r="AL74" t="s">
        <v>142</v>
      </c>
      <c r="AM74">
        <v>0.37969999999999998</v>
      </c>
      <c r="AN74" t="s">
        <v>275</v>
      </c>
    </row>
    <row r="75" spans="9:40" x14ac:dyDescent="0.45">
      <c r="I75" t="s">
        <v>164</v>
      </c>
      <c r="J75" t="s">
        <v>284</v>
      </c>
      <c r="K75">
        <v>0</v>
      </c>
      <c r="L75" t="s">
        <v>153</v>
      </c>
      <c r="N75" t="s">
        <v>207</v>
      </c>
      <c r="O75" t="s">
        <v>284</v>
      </c>
      <c r="P75">
        <v>8.9265276373862185E-3</v>
      </c>
      <c r="Q75" t="s">
        <v>153</v>
      </c>
      <c r="S75" t="s">
        <v>249</v>
      </c>
      <c r="T75" t="s">
        <v>284</v>
      </c>
      <c r="U75">
        <v>5.9421489514189726E-3</v>
      </c>
      <c r="V75" t="s">
        <v>153</v>
      </c>
      <c r="AK75">
        <v>2043</v>
      </c>
      <c r="AL75" t="s">
        <v>146</v>
      </c>
      <c r="AM75">
        <v>0.10610000000000001</v>
      </c>
      <c r="AN75" t="s">
        <v>275</v>
      </c>
    </row>
    <row r="76" spans="9:40" x14ac:dyDescent="0.45">
      <c r="I76" t="s">
        <v>164</v>
      </c>
      <c r="J76" t="s">
        <v>285</v>
      </c>
      <c r="K76">
        <v>0</v>
      </c>
      <c r="L76" t="s">
        <v>153</v>
      </c>
      <c r="N76" t="s">
        <v>207</v>
      </c>
      <c r="O76" t="s">
        <v>285</v>
      </c>
      <c r="P76">
        <v>3.749950317712597E-2</v>
      </c>
      <c r="Q76" t="s">
        <v>153</v>
      </c>
      <c r="S76" t="s">
        <v>249</v>
      </c>
      <c r="T76" t="s">
        <v>285</v>
      </c>
      <c r="U76">
        <v>2.93689768314041E-2</v>
      </c>
      <c r="V76" t="s">
        <v>153</v>
      </c>
      <c r="AK76">
        <v>2043</v>
      </c>
      <c r="AL76" t="s">
        <v>148</v>
      </c>
      <c r="AM76">
        <v>0.11500000000000002</v>
      </c>
      <c r="AN76" t="s">
        <v>275</v>
      </c>
    </row>
    <row r="77" spans="9:40" x14ac:dyDescent="0.45">
      <c r="I77" t="s">
        <v>164</v>
      </c>
      <c r="J77" t="s">
        <v>159</v>
      </c>
      <c r="K77">
        <v>2.7258432438521687E-2</v>
      </c>
      <c r="L77" t="s">
        <v>153</v>
      </c>
      <c r="N77" t="s">
        <v>207</v>
      </c>
      <c r="O77" t="s">
        <v>159</v>
      </c>
      <c r="P77">
        <v>6.3820888703498918E-2</v>
      </c>
      <c r="Q77" t="s">
        <v>153</v>
      </c>
      <c r="S77" t="s">
        <v>249</v>
      </c>
      <c r="T77" t="s">
        <v>159</v>
      </c>
      <c r="U77">
        <v>0.10785923108289534</v>
      </c>
      <c r="V77" t="s">
        <v>153</v>
      </c>
      <c r="AK77">
        <v>2044</v>
      </c>
      <c r="AL77" t="s">
        <v>142</v>
      </c>
      <c r="AM77">
        <v>0.24704999999999999</v>
      </c>
      <c r="AN77" t="s">
        <v>275</v>
      </c>
    </row>
    <row r="78" spans="9:40" x14ac:dyDescent="0.45">
      <c r="I78" t="s">
        <v>164</v>
      </c>
      <c r="J78" t="s">
        <v>160</v>
      </c>
      <c r="K78">
        <v>3.1831602324112918E-2</v>
      </c>
      <c r="L78" t="s">
        <v>153</v>
      </c>
      <c r="N78" t="s">
        <v>207</v>
      </c>
      <c r="O78" t="s">
        <v>160</v>
      </c>
      <c r="P78">
        <v>9.8841635987848633E-3</v>
      </c>
      <c r="Q78" t="s">
        <v>153</v>
      </c>
      <c r="S78" t="s">
        <v>249</v>
      </c>
      <c r="T78" t="s">
        <v>160</v>
      </c>
      <c r="U78">
        <v>1.4402134060929257E-2</v>
      </c>
      <c r="V78" t="s">
        <v>153</v>
      </c>
      <c r="AK78">
        <v>2044</v>
      </c>
      <c r="AL78" t="s">
        <v>146</v>
      </c>
      <c r="AM78">
        <v>0.20493333333333333</v>
      </c>
      <c r="AN78" t="s">
        <v>275</v>
      </c>
    </row>
    <row r="79" spans="9:40" x14ac:dyDescent="0.45">
      <c r="I79" t="s">
        <v>164</v>
      </c>
      <c r="J79" t="s">
        <v>161</v>
      </c>
      <c r="K79">
        <v>0.33976429110217954</v>
      </c>
      <c r="L79" t="s">
        <v>153</v>
      </c>
      <c r="N79" t="s">
        <v>207</v>
      </c>
      <c r="O79" t="s">
        <v>161</v>
      </c>
      <c r="P79">
        <v>0.18611790591240598</v>
      </c>
      <c r="Q79" t="s">
        <v>153</v>
      </c>
      <c r="S79" t="s">
        <v>249</v>
      </c>
      <c r="T79" t="s">
        <v>161</v>
      </c>
      <c r="U79">
        <v>0.13424081784785397</v>
      </c>
      <c r="V79" t="s">
        <v>153</v>
      </c>
      <c r="AK79">
        <v>2044</v>
      </c>
      <c r="AL79" t="s">
        <v>148</v>
      </c>
      <c r="AM79">
        <v>0.17626</v>
      </c>
      <c r="AN79" t="s">
        <v>275</v>
      </c>
    </row>
    <row r="80" spans="9:40" x14ac:dyDescent="0.45">
      <c r="I80" t="s">
        <v>164</v>
      </c>
      <c r="J80" t="s">
        <v>286</v>
      </c>
      <c r="K80">
        <v>2.5018381704574412E-2</v>
      </c>
      <c r="L80" t="s">
        <v>153</v>
      </c>
      <c r="N80" t="s">
        <v>207</v>
      </c>
      <c r="O80" t="s">
        <v>286</v>
      </c>
      <c r="P80">
        <v>2.7980219383806924E-2</v>
      </c>
      <c r="Q80" t="s">
        <v>153</v>
      </c>
      <c r="S80" t="s">
        <v>249</v>
      </c>
      <c r="T80" t="s">
        <v>286</v>
      </c>
      <c r="U80">
        <v>1.7850701602087279E-2</v>
      </c>
      <c r="V80" t="s">
        <v>153</v>
      </c>
      <c r="AK80">
        <v>2045</v>
      </c>
      <c r="AL80" t="s">
        <v>142</v>
      </c>
      <c r="AM80">
        <v>0.30990000000000001</v>
      </c>
      <c r="AN80" t="s">
        <v>275</v>
      </c>
    </row>
    <row r="81" spans="9:40" x14ac:dyDescent="0.45">
      <c r="I81" t="s">
        <v>164</v>
      </c>
      <c r="J81" t="s">
        <v>287</v>
      </c>
      <c r="K81">
        <v>8.5892584338992019E-3</v>
      </c>
      <c r="L81" t="s">
        <v>153</v>
      </c>
      <c r="N81" t="s">
        <v>207</v>
      </c>
      <c r="O81" t="s">
        <v>287</v>
      </c>
      <c r="P81">
        <v>2.3316048966285422E-2</v>
      </c>
      <c r="Q81" t="s">
        <v>153</v>
      </c>
      <c r="S81" t="s">
        <v>249</v>
      </c>
      <c r="T81" t="s">
        <v>287</v>
      </c>
      <c r="U81">
        <v>1.7983433881699422E-2</v>
      </c>
      <c r="V81" t="s">
        <v>153</v>
      </c>
      <c r="AK81">
        <v>2045</v>
      </c>
      <c r="AL81" t="s">
        <v>146</v>
      </c>
      <c r="AM81">
        <v>0.24406666666666665</v>
      </c>
      <c r="AN81" t="s">
        <v>275</v>
      </c>
    </row>
    <row r="82" spans="9:40" x14ac:dyDescent="0.45">
      <c r="I82" t="s">
        <v>164</v>
      </c>
      <c r="J82" t="s">
        <v>288</v>
      </c>
      <c r="K82">
        <v>0</v>
      </c>
      <c r="L82" t="s">
        <v>153</v>
      </c>
      <c r="N82" t="s">
        <v>207</v>
      </c>
      <c r="O82" t="s">
        <v>288</v>
      </c>
      <c r="P82">
        <v>6.3250932180749134E-2</v>
      </c>
      <c r="Q82" t="s">
        <v>153</v>
      </c>
      <c r="S82" t="s">
        <v>249</v>
      </c>
      <c r="T82" t="s">
        <v>288</v>
      </c>
      <c r="U82">
        <v>8.4874335286388686E-2</v>
      </c>
      <c r="V82" t="s">
        <v>153</v>
      </c>
      <c r="AK82">
        <v>2045</v>
      </c>
      <c r="AL82" t="s">
        <v>148</v>
      </c>
      <c r="AM82">
        <v>0.24424000000000001</v>
      </c>
      <c r="AN82" t="s">
        <v>275</v>
      </c>
    </row>
    <row r="83" spans="9:40" x14ac:dyDescent="0.45">
      <c r="I83" t="s">
        <v>165</v>
      </c>
      <c r="J83" t="s">
        <v>152</v>
      </c>
      <c r="K83">
        <v>1.3659233229312919E-2</v>
      </c>
      <c r="L83" t="s">
        <v>153</v>
      </c>
      <c r="N83" t="s">
        <v>208</v>
      </c>
      <c r="O83" t="s">
        <v>152</v>
      </c>
      <c r="P83">
        <v>8.1897427339851517E-2</v>
      </c>
      <c r="Q83" t="s">
        <v>153</v>
      </c>
      <c r="S83" t="s">
        <v>250</v>
      </c>
      <c r="T83" t="s">
        <v>152</v>
      </c>
      <c r="U83">
        <v>0.12039309893659529</v>
      </c>
      <c r="V83" t="s">
        <v>153</v>
      </c>
      <c r="AK83">
        <v>2046</v>
      </c>
      <c r="AL83" t="s">
        <v>142</v>
      </c>
      <c r="AM83">
        <v>0.38053333333333339</v>
      </c>
      <c r="AN83" t="s">
        <v>275</v>
      </c>
    </row>
    <row r="84" spans="9:40" x14ac:dyDescent="0.45">
      <c r="I84" t="s">
        <v>165</v>
      </c>
      <c r="J84" t="s">
        <v>154</v>
      </c>
      <c r="K84">
        <v>3.363188117390447E-2</v>
      </c>
      <c r="L84" t="s">
        <v>153</v>
      </c>
      <c r="N84" t="s">
        <v>208</v>
      </c>
      <c r="O84" t="s">
        <v>154</v>
      </c>
      <c r="P84">
        <v>1.2951083046186727E-2</v>
      </c>
      <c r="Q84" t="s">
        <v>153</v>
      </c>
      <c r="S84" t="s">
        <v>250</v>
      </c>
      <c r="T84" t="s">
        <v>154</v>
      </c>
      <c r="U84">
        <v>1.5203827514430753E-2</v>
      </c>
      <c r="V84" t="s">
        <v>153</v>
      </c>
      <c r="AK84">
        <v>2046</v>
      </c>
      <c r="AL84" t="s">
        <v>146</v>
      </c>
      <c r="AM84">
        <v>5.000000000000001E-2</v>
      </c>
      <c r="AN84" t="s">
        <v>275</v>
      </c>
    </row>
    <row r="85" spans="9:40" x14ac:dyDescent="0.45">
      <c r="I85" t="s">
        <v>165</v>
      </c>
      <c r="J85" t="s">
        <v>155</v>
      </c>
      <c r="K85">
        <v>0.36948048688942342</v>
      </c>
      <c r="L85" t="s">
        <v>153</v>
      </c>
      <c r="N85" t="s">
        <v>208</v>
      </c>
      <c r="O85" t="s">
        <v>155</v>
      </c>
      <c r="P85">
        <v>0.17434836763936878</v>
      </c>
      <c r="Q85" t="s">
        <v>153</v>
      </c>
      <c r="S85" t="s">
        <v>250</v>
      </c>
      <c r="T85" t="s">
        <v>155</v>
      </c>
      <c r="U85">
        <v>0.17620378417602711</v>
      </c>
      <c r="V85" t="s">
        <v>153</v>
      </c>
      <c r="AK85">
        <v>2046</v>
      </c>
      <c r="AL85" t="s">
        <v>148</v>
      </c>
      <c r="AM85">
        <v>0.14858000000000002</v>
      </c>
      <c r="AN85" t="s">
        <v>275</v>
      </c>
    </row>
    <row r="86" spans="9:40" x14ac:dyDescent="0.45">
      <c r="I86" t="s">
        <v>165</v>
      </c>
      <c r="J86" t="s">
        <v>280</v>
      </c>
      <c r="K86">
        <v>2.2871376925041698E-2</v>
      </c>
      <c r="L86" t="s">
        <v>153</v>
      </c>
      <c r="N86" t="s">
        <v>208</v>
      </c>
      <c r="O86" t="s">
        <v>280</v>
      </c>
      <c r="P86">
        <v>2.9770091177218176E-2</v>
      </c>
      <c r="Q86" t="s">
        <v>153</v>
      </c>
      <c r="S86" t="s">
        <v>250</v>
      </c>
      <c r="T86" t="s">
        <v>280</v>
      </c>
      <c r="U86">
        <v>2.7082107458999537E-2</v>
      </c>
      <c r="V86" t="s">
        <v>153</v>
      </c>
      <c r="AK86">
        <v>2047</v>
      </c>
      <c r="AL86" t="s">
        <v>142</v>
      </c>
      <c r="AM86">
        <v>0.40940000000000004</v>
      </c>
      <c r="AN86" t="s">
        <v>275</v>
      </c>
    </row>
    <row r="87" spans="9:40" x14ac:dyDescent="0.45">
      <c r="I87" t="s">
        <v>165</v>
      </c>
      <c r="J87" t="s">
        <v>281</v>
      </c>
      <c r="K87">
        <v>1.0219633297402941E-2</v>
      </c>
      <c r="L87" t="s">
        <v>153</v>
      </c>
      <c r="N87" t="s">
        <v>208</v>
      </c>
      <c r="O87" t="s">
        <v>281</v>
      </c>
      <c r="P87">
        <v>3.182039150844615E-2</v>
      </c>
      <c r="Q87" t="s">
        <v>153</v>
      </c>
      <c r="S87" t="s">
        <v>250</v>
      </c>
      <c r="T87" t="s">
        <v>281</v>
      </c>
      <c r="U87">
        <v>2.6398008135535736E-2</v>
      </c>
      <c r="V87" t="s">
        <v>153</v>
      </c>
      <c r="AK87">
        <v>2047</v>
      </c>
      <c r="AL87" t="s">
        <v>146</v>
      </c>
      <c r="AM87">
        <v>0.16533333333333333</v>
      </c>
      <c r="AN87" t="s">
        <v>275</v>
      </c>
    </row>
    <row r="88" spans="9:40" x14ac:dyDescent="0.45">
      <c r="I88" t="s">
        <v>165</v>
      </c>
      <c r="J88" t="s">
        <v>282</v>
      </c>
      <c r="K88">
        <v>0</v>
      </c>
      <c r="L88" t="s">
        <v>153</v>
      </c>
      <c r="N88" t="s">
        <v>208</v>
      </c>
      <c r="O88" t="s">
        <v>282</v>
      </c>
      <c r="P88">
        <v>9.9484643710153378E-2</v>
      </c>
      <c r="Q88" t="s">
        <v>153</v>
      </c>
      <c r="S88" t="s">
        <v>250</v>
      </c>
      <c r="T88" t="s">
        <v>282</v>
      </c>
      <c r="U88">
        <v>0.11283242141955437</v>
      </c>
      <c r="V88" t="s">
        <v>153</v>
      </c>
      <c r="AK88">
        <v>2047</v>
      </c>
      <c r="AL88" t="s">
        <v>148</v>
      </c>
      <c r="AM88">
        <v>0.28315999999999997</v>
      </c>
      <c r="AN88" t="s">
        <v>275</v>
      </c>
    </row>
    <row r="89" spans="9:40" x14ac:dyDescent="0.45">
      <c r="I89" t="s">
        <v>165</v>
      </c>
      <c r="J89" t="s">
        <v>156</v>
      </c>
      <c r="K89">
        <v>0</v>
      </c>
      <c r="L89" t="s">
        <v>153</v>
      </c>
      <c r="N89" t="s">
        <v>208</v>
      </c>
      <c r="O89" t="s">
        <v>156</v>
      </c>
      <c r="P89">
        <v>5.8774691465837255E-2</v>
      </c>
      <c r="Q89" t="s">
        <v>153</v>
      </c>
      <c r="S89" t="s">
        <v>250</v>
      </c>
      <c r="T89" t="s">
        <v>156</v>
      </c>
      <c r="U89">
        <v>3.6553918172212305E-2</v>
      </c>
      <c r="V89" t="s">
        <v>153</v>
      </c>
      <c r="AK89">
        <v>2048</v>
      </c>
      <c r="AL89" t="s">
        <v>142</v>
      </c>
      <c r="AM89">
        <v>0.35516666666666669</v>
      </c>
      <c r="AN89" t="s">
        <v>275</v>
      </c>
    </row>
    <row r="90" spans="9:40" x14ac:dyDescent="0.45">
      <c r="I90" t="s">
        <v>165</v>
      </c>
      <c r="J90" t="s">
        <v>157</v>
      </c>
      <c r="K90">
        <v>8.641589280492112E-3</v>
      </c>
      <c r="L90" t="s">
        <v>153</v>
      </c>
      <c r="N90" t="s">
        <v>208</v>
      </c>
      <c r="O90" t="s">
        <v>157</v>
      </c>
      <c r="P90">
        <v>9.1431574357597831E-3</v>
      </c>
      <c r="Q90" t="s">
        <v>153</v>
      </c>
      <c r="S90" t="s">
        <v>250</v>
      </c>
      <c r="T90" t="s">
        <v>157</v>
      </c>
      <c r="U90">
        <v>5.1593554322430357E-3</v>
      </c>
      <c r="V90" t="s">
        <v>153</v>
      </c>
      <c r="AK90">
        <v>2048</v>
      </c>
      <c r="AL90" t="s">
        <v>146</v>
      </c>
      <c r="AM90">
        <v>0.29363333333333336</v>
      </c>
      <c r="AN90" t="s">
        <v>275</v>
      </c>
    </row>
    <row r="91" spans="9:40" x14ac:dyDescent="0.45">
      <c r="I91" t="s">
        <v>165</v>
      </c>
      <c r="J91" t="s">
        <v>158</v>
      </c>
      <c r="K91">
        <v>0.11017799432249673</v>
      </c>
      <c r="L91" t="s">
        <v>153</v>
      </c>
      <c r="N91" t="s">
        <v>208</v>
      </c>
      <c r="O91" t="s">
        <v>158</v>
      </c>
      <c r="P91">
        <v>0.10322787169033251</v>
      </c>
      <c r="Q91" t="s">
        <v>153</v>
      </c>
      <c r="S91" t="s">
        <v>250</v>
      </c>
      <c r="T91" t="s">
        <v>158</v>
      </c>
      <c r="U91">
        <v>4.6748797935759333E-2</v>
      </c>
      <c r="V91" t="s">
        <v>153</v>
      </c>
      <c r="AK91">
        <v>2048</v>
      </c>
      <c r="AL91" t="s">
        <v>148</v>
      </c>
      <c r="AM91">
        <v>0.14809999999999998</v>
      </c>
      <c r="AN91" t="s">
        <v>275</v>
      </c>
    </row>
    <row r="92" spans="9:40" x14ac:dyDescent="0.45">
      <c r="I92" t="s">
        <v>165</v>
      </c>
      <c r="J92" t="s">
        <v>283</v>
      </c>
      <c r="K92">
        <v>5.4931372745535174E-3</v>
      </c>
      <c r="L92" t="s">
        <v>153</v>
      </c>
      <c r="N92" t="s">
        <v>208</v>
      </c>
      <c r="O92" t="s">
        <v>283</v>
      </c>
      <c r="P92">
        <v>9.6737072535508332E-3</v>
      </c>
      <c r="Q92" t="s">
        <v>153</v>
      </c>
      <c r="S92" t="s">
        <v>250</v>
      </c>
      <c r="T92" t="s">
        <v>283</v>
      </c>
      <c r="U92">
        <v>6.6753018508023138E-3</v>
      </c>
      <c r="V92" t="s">
        <v>153</v>
      </c>
      <c r="AK92">
        <v>2049</v>
      </c>
      <c r="AL92" t="s">
        <v>142</v>
      </c>
      <c r="AM92">
        <v>0.21319999999999997</v>
      </c>
      <c r="AN92" t="s">
        <v>275</v>
      </c>
    </row>
    <row r="93" spans="9:40" x14ac:dyDescent="0.45">
      <c r="I93" t="s">
        <v>165</v>
      </c>
      <c r="J93" t="s">
        <v>284</v>
      </c>
      <c r="K93">
        <v>0</v>
      </c>
      <c r="L93" t="s">
        <v>153</v>
      </c>
      <c r="N93" t="s">
        <v>208</v>
      </c>
      <c r="O93" t="s">
        <v>284</v>
      </c>
      <c r="P93">
        <v>9.163247185884427E-3</v>
      </c>
      <c r="Q93" t="s">
        <v>153</v>
      </c>
      <c r="S93" t="s">
        <v>250</v>
      </c>
      <c r="T93" t="s">
        <v>284</v>
      </c>
      <c r="U93">
        <v>6.6371991788273183E-3</v>
      </c>
      <c r="V93" t="s">
        <v>153</v>
      </c>
      <c r="AK93">
        <v>2049</v>
      </c>
      <c r="AL93" t="s">
        <v>146</v>
      </c>
      <c r="AM93">
        <v>9.8300000000000012E-2</v>
      </c>
      <c r="AN93" t="s">
        <v>275</v>
      </c>
    </row>
    <row r="94" spans="9:40" x14ac:dyDescent="0.45">
      <c r="I94" t="s">
        <v>165</v>
      </c>
      <c r="J94" t="s">
        <v>285</v>
      </c>
      <c r="K94">
        <v>0</v>
      </c>
      <c r="L94" t="s">
        <v>153</v>
      </c>
      <c r="N94" t="s">
        <v>208</v>
      </c>
      <c r="O94" t="s">
        <v>285</v>
      </c>
      <c r="P94">
        <v>4.2777368843699974E-2</v>
      </c>
      <c r="Q94" t="s">
        <v>153</v>
      </c>
      <c r="S94" t="s">
        <v>250</v>
      </c>
      <c r="T94" t="s">
        <v>285</v>
      </c>
      <c r="U94">
        <v>3.0077957191426568E-2</v>
      </c>
      <c r="V94" t="s">
        <v>153</v>
      </c>
      <c r="AK94">
        <v>2049</v>
      </c>
      <c r="AL94" t="s">
        <v>148</v>
      </c>
      <c r="AM94">
        <v>0.10868</v>
      </c>
      <c r="AN94" t="s">
        <v>275</v>
      </c>
    </row>
    <row r="95" spans="9:40" x14ac:dyDescent="0.45">
      <c r="I95" t="s">
        <v>165</v>
      </c>
      <c r="J95" t="s">
        <v>159</v>
      </c>
      <c r="K95">
        <v>2.6018679280274386E-2</v>
      </c>
      <c r="L95" t="s">
        <v>153</v>
      </c>
      <c r="N95" t="s">
        <v>208</v>
      </c>
      <c r="O95" t="s">
        <v>159</v>
      </c>
      <c r="P95">
        <v>5.332728186955981E-2</v>
      </c>
      <c r="Q95" t="s">
        <v>153</v>
      </c>
      <c r="S95" t="s">
        <v>250</v>
      </c>
      <c r="T95" t="s">
        <v>159</v>
      </c>
      <c r="U95">
        <v>9.1337676902908935E-2</v>
      </c>
      <c r="V95" t="s">
        <v>153</v>
      </c>
      <c r="AK95">
        <v>2050</v>
      </c>
      <c r="AL95" t="s">
        <v>142</v>
      </c>
      <c r="AM95">
        <v>0.32679999999999998</v>
      </c>
      <c r="AN95" t="s">
        <v>275</v>
      </c>
    </row>
    <row r="96" spans="9:40" x14ac:dyDescent="0.45">
      <c r="I96" t="s">
        <v>165</v>
      </c>
      <c r="J96" t="s">
        <v>160</v>
      </c>
      <c r="K96">
        <v>3.2210461803243134E-2</v>
      </c>
      <c r="L96" t="s">
        <v>153</v>
      </c>
      <c r="N96" t="s">
        <v>208</v>
      </c>
      <c r="O96" t="s">
        <v>160</v>
      </c>
      <c r="P96">
        <v>8.6772349537441191E-3</v>
      </c>
      <c r="Q96" t="s">
        <v>153</v>
      </c>
      <c r="S96" t="s">
        <v>250</v>
      </c>
      <c r="T96" t="s">
        <v>160</v>
      </c>
      <c r="U96">
        <v>1.0995359864695286E-2</v>
      </c>
      <c r="V96" t="s">
        <v>153</v>
      </c>
      <c r="AK96">
        <v>2050</v>
      </c>
      <c r="AL96" t="s">
        <v>146</v>
      </c>
      <c r="AM96">
        <v>0.23246666666666668</v>
      </c>
      <c r="AN96" t="s">
        <v>275</v>
      </c>
    </row>
    <row r="97" spans="9:40" x14ac:dyDescent="0.45">
      <c r="I97" t="s">
        <v>165</v>
      </c>
      <c r="J97" t="s">
        <v>161</v>
      </c>
      <c r="K97">
        <v>0.33721093816782854</v>
      </c>
      <c r="L97" t="s">
        <v>153</v>
      </c>
      <c r="N97" t="s">
        <v>208</v>
      </c>
      <c r="O97" t="s">
        <v>161</v>
      </c>
      <c r="P97">
        <v>0.14650459909005148</v>
      </c>
      <c r="Q97" t="s">
        <v>153</v>
      </c>
      <c r="S97" t="s">
        <v>250</v>
      </c>
      <c r="T97" t="s">
        <v>161</v>
      </c>
      <c r="U97">
        <v>0.15051067146268304</v>
      </c>
      <c r="V97" t="s">
        <v>153</v>
      </c>
      <c r="AK97">
        <v>2050</v>
      </c>
      <c r="AL97" t="s">
        <v>148</v>
      </c>
      <c r="AM97">
        <v>0.13135999999999998</v>
      </c>
      <c r="AN97" t="s">
        <v>275</v>
      </c>
    </row>
    <row r="98" spans="9:40" x14ac:dyDescent="0.45">
      <c r="I98" t="s">
        <v>165</v>
      </c>
      <c r="J98" t="s">
        <v>286</v>
      </c>
      <c r="K98">
        <v>2.3244363747681598E-2</v>
      </c>
      <c r="L98" t="s">
        <v>153</v>
      </c>
      <c r="N98" t="s">
        <v>208</v>
      </c>
      <c r="O98" t="s">
        <v>286</v>
      </c>
      <c r="P98">
        <v>2.6957743561185316E-2</v>
      </c>
      <c r="Q98" t="s">
        <v>153</v>
      </c>
      <c r="S98" t="s">
        <v>250</v>
      </c>
      <c r="T98" t="s">
        <v>286</v>
      </c>
      <c r="U98">
        <v>2.3016718628232031E-2</v>
      </c>
      <c r="V98" t="s">
        <v>153</v>
      </c>
    </row>
    <row r="99" spans="9:40" x14ac:dyDescent="0.45">
      <c r="I99" t="s">
        <v>165</v>
      </c>
      <c r="J99" t="s">
        <v>287</v>
      </c>
      <c r="K99">
        <v>7.1402246083424265E-3</v>
      </c>
      <c r="L99" t="s">
        <v>153</v>
      </c>
      <c r="N99" t="s">
        <v>208</v>
      </c>
      <c r="O99" t="s">
        <v>287</v>
      </c>
      <c r="P99">
        <v>2.736206776881981E-2</v>
      </c>
      <c r="Q99" t="s">
        <v>153</v>
      </c>
      <c r="S99" t="s">
        <v>250</v>
      </c>
      <c r="T99" t="s">
        <v>287</v>
      </c>
      <c r="U99">
        <v>2.2171431372136976E-2</v>
      </c>
      <c r="V99" t="s">
        <v>153</v>
      </c>
    </row>
    <row r="100" spans="9:40" x14ac:dyDescent="0.45">
      <c r="I100" t="s">
        <v>165</v>
      </c>
      <c r="J100" t="s">
        <v>288</v>
      </c>
      <c r="K100">
        <v>0</v>
      </c>
      <c r="L100" t="s">
        <v>153</v>
      </c>
      <c r="N100" t="s">
        <v>208</v>
      </c>
      <c r="O100" t="s">
        <v>288</v>
      </c>
      <c r="P100">
        <v>7.4139024460349187E-2</v>
      </c>
      <c r="Q100" t="s">
        <v>153</v>
      </c>
      <c r="S100" t="s">
        <v>250</v>
      </c>
      <c r="T100" t="s">
        <v>288</v>
      </c>
      <c r="U100">
        <v>9.2002364366932418E-2</v>
      </c>
      <c r="V100" t="s">
        <v>153</v>
      </c>
    </row>
    <row r="101" spans="9:40" x14ac:dyDescent="0.45">
      <c r="I101" t="s">
        <v>166</v>
      </c>
      <c r="J101" t="s">
        <v>152</v>
      </c>
      <c r="K101">
        <v>7.446714139793217E-3</v>
      </c>
      <c r="L101" t="s">
        <v>153</v>
      </c>
      <c r="N101" t="s">
        <v>209</v>
      </c>
      <c r="O101" t="s">
        <v>152</v>
      </c>
      <c r="P101">
        <v>0.10255489839009981</v>
      </c>
      <c r="Q101" t="s">
        <v>153</v>
      </c>
      <c r="S101" t="s">
        <v>251</v>
      </c>
      <c r="T101" t="s">
        <v>152</v>
      </c>
      <c r="U101">
        <v>0.13824149464571978</v>
      </c>
      <c r="V101" t="s">
        <v>153</v>
      </c>
    </row>
    <row r="102" spans="9:40" x14ac:dyDescent="0.45">
      <c r="I102" t="s">
        <v>166</v>
      </c>
      <c r="J102" t="s">
        <v>154</v>
      </c>
      <c r="K102">
        <v>2.7413525945185622E-2</v>
      </c>
      <c r="L102" t="s">
        <v>153</v>
      </c>
      <c r="N102" t="s">
        <v>209</v>
      </c>
      <c r="O102" t="s">
        <v>154</v>
      </c>
      <c r="P102">
        <v>1.2826294268300082E-2</v>
      </c>
      <c r="Q102" t="s">
        <v>153</v>
      </c>
      <c r="S102" t="s">
        <v>251</v>
      </c>
      <c r="T102" t="s">
        <v>154</v>
      </c>
      <c r="U102">
        <v>1.7862912931598151E-2</v>
      </c>
      <c r="V102" t="s">
        <v>153</v>
      </c>
    </row>
    <row r="103" spans="9:40" x14ac:dyDescent="0.45">
      <c r="I103" t="s">
        <v>166</v>
      </c>
      <c r="J103" t="s">
        <v>155</v>
      </c>
      <c r="K103">
        <v>0.37261849818093074</v>
      </c>
      <c r="L103" t="s">
        <v>153</v>
      </c>
      <c r="N103" t="s">
        <v>209</v>
      </c>
      <c r="O103" t="s">
        <v>155</v>
      </c>
      <c r="P103">
        <v>0.1620045412394498</v>
      </c>
      <c r="Q103" t="s">
        <v>153</v>
      </c>
      <c r="S103" t="s">
        <v>251</v>
      </c>
      <c r="T103" t="s">
        <v>155</v>
      </c>
      <c r="U103">
        <v>0.17211805061785462</v>
      </c>
      <c r="V103" t="s">
        <v>153</v>
      </c>
    </row>
    <row r="104" spans="9:40" x14ac:dyDescent="0.45">
      <c r="I104" t="s">
        <v>166</v>
      </c>
      <c r="J104" t="s">
        <v>280</v>
      </c>
      <c r="K104">
        <v>3.2947893493069182E-2</v>
      </c>
      <c r="L104" t="s">
        <v>153</v>
      </c>
      <c r="N104" t="s">
        <v>209</v>
      </c>
      <c r="O104" t="s">
        <v>280</v>
      </c>
      <c r="P104">
        <v>2.3515678571248772E-2</v>
      </c>
      <c r="Q104" t="s">
        <v>153</v>
      </c>
      <c r="S104" t="s">
        <v>251</v>
      </c>
      <c r="T104" t="s">
        <v>280</v>
      </c>
      <c r="U104">
        <v>2.3636405272696556E-2</v>
      </c>
      <c r="V104" t="s">
        <v>153</v>
      </c>
    </row>
    <row r="105" spans="9:40" x14ac:dyDescent="0.45">
      <c r="I105" t="s">
        <v>166</v>
      </c>
      <c r="J105" t="s">
        <v>281</v>
      </c>
      <c r="K105">
        <v>1.7039233597011802E-2</v>
      </c>
      <c r="L105" t="s">
        <v>153</v>
      </c>
      <c r="N105" t="s">
        <v>209</v>
      </c>
      <c r="O105" t="s">
        <v>281</v>
      </c>
      <c r="P105">
        <v>2.5531120201462053E-2</v>
      </c>
      <c r="Q105" t="s">
        <v>153</v>
      </c>
      <c r="S105" t="s">
        <v>251</v>
      </c>
      <c r="T105" t="s">
        <v>281</v>
      </c>
      <c r="U105">
        <v>2.3648736976957081E-2</v>
      </c>
      <c r="V105" t="s">
        <v>153</v>
      </c>
    </row>
    <row r="106" spans="9:40" x14ac:dyDescent="0.45">
      <c r="I106" t="s">
        <v>166</v>
      </c>
      <c r="J106" t="s">
        <v>282</v>
      </c>
      <c r="K106">
        <v>4.7992601708210635E-3</v>
      </c>
      <c r="L106" t="s">
        <v>153</v>
      </c>
      <c r="N106" t="s">
        <v>209</v>
      </c>
      <c r="O106" t="s">
        <v>282</v>
      </c>
      <c r="P106">
        <v>0.11697668836435238</v>
      </c>
      <c r="Q106" t="s">
        <v>153</v>
      </c>
      <c r="S106" t="s">
        <v>251</v>
      </c>
      <c r="T106" t="s">
        <v>282</v>
      </c>
      <c r="U106">
        <v>0.11100375553842057</v>
      </c>
      <c r="V106" t="s">
        <v>153</v>
      </c>
    </row>
    <row r="107" spans="9:40" x14ac:dyDescent="0.45">
      <c r="I107" t="s">
        <v>166</v>
      </c>
      <c r="J107" t="s">
        <v>156</v>
      </c>
      <c r="K107">
        <v>0</v>
      </c>
      <c r="L107" t="s">
        <v>153</v>
      </c>
      <c r="N107" t="s">
        <v>209</v>
      </c>
      <c r="O107" t="s">
        <v>156</v>
      </c>
      <c r="P107">
        <v>5.4136930987582522E-2</v>
      </c>
      <c r="Q107" t="s">
        <v>153</v>
      </c>
      <c r="S107" t="s">
        <v>251</v>
      </c>
      <c r="T107" t="s">
        <v>156</v>
      </c>
      <c r="U107">
        <v>3.757278607330107E-2</v>
      </c>
      <c r="V107" t="s">
        <v>153</v>
      </c>
    </row>
    <row r="108" spans="9:40" x14ac:dyDescent="0.45">
      <c r="I108" t="s">
        <v>166</v>
      </c>
      <c r="J108" t="s">
        <v>157</v>
      </c>
      <c r="K108">
        <v>1.6422227028177407E-3</v>
      </c>
      <c r="L108" t="s">
        <v>153</v>
      </c>
      <c r="N108" t="s">
        <v>209</v>
      </c>
      <c r="O108" t="s">
        <v>157</v>
      </c>
      <c r="P108">
        <v>7.6926434201663643E-3</v>
      </c>
      <c r="Q108" t="s">
        <v>153</v>
      </c>
      <c r="S108" t="s">
        <v>251</v>
      </c>
      <c r="T108" t="s">
        <v>157</v>
      </c>
      <c r="U108">
        <v>5.1872324930597813E-3</v>
      </c>
      <c r="V108" t="s">
        <v>153</v>
      </c>
    </row>
    <row r="109" spans="9:40" x14ac:dyDescent="0.45">
      <c r="I109" t="s">
        <v>166</v>
      </c>
      <c r="J109" t="s">
        <v>158</v>
      </c>
      <c r="K109">
        <v>9.8641576392383634E-2</v>
      </c>
      <c r="L109" t="s">
        <v>153</v>
      </c>
      <c r="N109" t="s">
        <v>209</v>
      </c>
      <c r="O109" t="s">
        <v>158</v>
      </c>
      <c r="P109">
        <v>8.6778309829955144E-2</v>
      </c>
      <c r="Q109" t="s">
        <v>153</v>
      </c>
      <c r="S109" t="s">
        <v>251</v>
      </c>
      <c r="T109" t="s">
        <v>158</v>
      </c>
      <c r="U109">
        <v>4.5415430684905896E-2</v>
      </c>
      <c r="V109" t="s">
        <v>153</v>
      </c>
    </row>
    <row r="110" spans="9:40" x14ac:dyDescent="0.45">
      <c r="I110" t="s">
        <v>166</v>
      </c>
      <c r="J110" t="s">
        <v>283</v>
      </c>
      <c r="K110">
        <v>7.5380403628430778E-3</v>
      </c>
      <c r="L110" t="s">
        <v>153</v>
      </c>
      <c r="N110" t="s">
        <v>209</v>
      </c>
      <c r="O110" t="s">
        <v>283</v>
      </c>
      <c r="P110">
        <v>9.2547956418261249E-3</v>
      </c>
      <c r="Q110" t="s">
        <v>153</v>
      </c>
      <c r="S110" t="s">
        <v>251</v>
      </c>
      <c r="T110" t="s">
        <v>283</v>
      </c>
      <c r="U110">
        <v>6.1251462623150175E-3</v>
      </c>
      <c r="V110" t="s">
        <v>153</v>
      </c>
    </row>
    <row r="111" spans="9:40" x14ac:dyDescent="0.45">
      <c r="I111" t="s">
        <v>166</v>
      </c>
      <c r="J111" t="s">
        <v>284</v>
      </c>
      <c r="K111">
        <v>0</v>
      </c>
      <c r="L111" t="s">
        <v>153</v>
      </c>
      <c r="N111" t="s">
        <v>209</v>
      </c>
      <c r="O111" t="s">
        <v>284</v>
      </c>
      <c r="P111">
        <v>8.8154862842858197E-3</v>
      </c>
      <c r="Q111" t="s">
        <v>153</v>
      </c>
      <c r="S111" t="s">
        <v>251</v>
      </c>
      <c r="T111" t="s">
        <v>284</v>
      </c>
      <c r="U111">
        <v>6.2181322915701069E-3</v>
      </c>
      <c r="V111" t="s">
        <v>153</v>
      </c>
    </row>
    <row r="112" spans="9:40" x14ac:dyDescent="0.45">
      <c r="I112" t="s">
        <v>166</v>
      </c>
      <c r="J112" t="s">
        <v>285</v>
      </c>
      <c r="K112">
        <v>0</v>
      </c>
      <c r="L112" t="s">
        <v>153</v>
      </c>
      <c r="N112" t="s">
        <v>209</v>
      </c>
      <c r="O112" t="s">
        <v>285</v>
      </c>
      <c r="P112">
        <v>4.0820749596964287E-2</v>
      </c>
      <c r="Q112" t="s">
        <v>153</v>
      </c>
      <c r="S112" t="s">
        <v>251</v>
      </c>
      <c r="T112" t="s">
        <v>285</v>
      </c>
      <c r="U112">
        <v>2.934869853495168E-2</v>
      </c>
      <c r="V112" t="s">
        <v>153</v>
      </c>
    </row>
    <row r="113" spans="9:22" x14ac:dyDescent="0.45">
      <c r="I113" t="s">
        <v>166</v>
      </c>
      <c r="J113" t="s">
        <v>159</v>
      </c>
      <c r="K113">
        <v>1.5762726423899427E-2</v>
      </c>
      <c r="L113" t="s">
        <v>153</v>
      </c>
      <c r="N113" t="s">
        <v>209</v>
      </c>
      <c r="O113" t="s">
        <v>159</v>
      </c>
      <c r="P113">
        <v>7.4862893633369135E-2</v>
      </c>
      <c r="Q113" t="s">
        <v>153</v>
      </c>
      <c r="S113" t="s">
        <v>251</v>
      </c>
      <c r="T113" t="s">
        <v>159</v>
      </c>
      <c r="U113">
        <v>0.10528202724903415</v>
      </c>
      <c r="V113" t="s">
        <v>153</v>
      </c>
    </row>
    <row r="114" spans="9:22" x14ac:dyDescent="0.45">
      <c r="I114" t="s">
        <v>166</v>
      </c>
      <c r="J114" t="s">
        <v>160</v>
      </c>
      <c r="K114">
        <v>2.9552500549282105E-2</v>
      </c>
      <c r="L114" t="s">
        <v>153</v>
      </c>
      <c r="N114" t="s">
        <v>209</v>
      </c>
      <c r="O114" t="s">
        <v>160</v>
      </c>
      <c r="P114">
        <v>9.6322891851896176E-3</v>
      </c>
      <c r="Q114" t="s">
        <v>153</v>
      </c>
      <c r="S114" t="s">
        <v>251</v>
      </c>
      <c r="T114" t="s">
        <v>160</v>
      </c>
      <c r="U114">
        <v>1.3912009267578705E-2</v>
      </c>
      <c r="V114" t="s">
        <v>153</v>
      </c>
    </row>
    <row r="115" spans="9:22" x14ac:dyDescent="0.45">
      <c r="I115" t="s">
        <v>166</v>
      </c>
      <c r="J115" t="s">
        <v>161</v>
      </c>
      <c r="K115">
        <v>0.33770207499019184</v>
      </c>
      <c r="L115" t="s">
        <v>153</v>
      </c>
      <c r="N115" t="s">
        <v>209</v>
      </c>
      <c r="O115" t="s">
        <v>161</v>
      </c>
      <c r="P115">
        <v>0.13178268716088737</v>
      </c>
      <c r="Q115" t="s">
        <v>153</v>
      </c>
      <c r="S115" t="s">
        <v>251</v>
      </c>
      <c r="T115" t="s">
        <v>161</v>
      </c>
      <c r="U115">
        <v>0.14037485405505365</v>
      </c>
      <c r="V115" t="s">
        <v>153</v>
      </c>
    </row>
    <row r="116" spans="9:22" x14ac:dyDescent="0.45">
      <c r="I116" t="s">
        <v>166</v>
      </c>
      <c r="J116" t="s">
        <v>286</v>
      </c>
      <c r="K116">
        <v>2.9052873995654954E-2</v>
      </c>
      <c r="L116" t="s">
        <v>153</v>
      </c>
      <c r="N116" t="s">
        <v>209</v>
      </c>
      <c r="O116" t="s">
        <v>286</v>
      </c>
      <c r="P116">
        <v>2.0405089882849871E-2</v>
      </c>
      <c r="Q116" t="s">
        <v>153</v>
      </c>
      <c r="S116" t="s">
        <v>251</v>
      </c>
      <c r="T116" t="s">
        <v>286</v>
      </c>
      <c r="U116">
        <v>1.9207770172020796E-2</v>
      </c>
      <c r="V116" t="s">
        <v>153</v>
      </c>
    </row>
    <row r="117" spans="9:22" x14ac:dyDescent="0.45">
      <c r="I117" t="s">
        <v>166</v>
      </c>
      <c r="J117" t="s">
        <v>287</v>
      </c>
      <c r="K117">
        <v>1.616308725958689E-2</v>
      </c>
      <c r="L117" t="s">
        <v>153</v>
      </c>
      <c r="N117" t="s">
        <v>209</v>
      </c>
      <c r="O117" t="s">
        <v>287</v>
      </c>
      <c r="P117">
        <v>2.1751351807820857E-2</v>
      </c>
      <c r="Q117" t="s">
        <v>153</v>
      </c>
      <c r="S117" t="s">
        <v>251</v>
      </c>
      <c r="T117" t="s">
        <v>287</v>
      </c>
      <c r="U117">
        <v>1.9051118493800333E-2</v>
      </c>
      <c r="V117" t="s">
        <v>153</v>
      </c>
    </row>
    <row r="118" spans="9:22" x14ac:dyDescent="0.45">
      <c r="I118" t="s">
        <v>166</v>
      </c>
      <c r="J118" t="s">
        <v>288</v>
      </c>
      <c r="K118">
        <v>1.6797717965306848E-3</v>
      </c>
      <c r="L118" t="s">
        <v>153</v>
      </c>
      <c r="N118" t="s">
        <v>209</v>
      </c>
      <c r="O118" t="s">
        <v>288</v>
      </c>
      <c r="P118">
        <v>9.0657551534193151E-2</v>
      </c>
      <c r="Q118" t="s">
        <v>153</v>
      </c>
      <c r="S118" t="s">
        <v>251</v>
      </c>
      <c r="T118" t="s">
        <v>288</v>
      </c>
      <c r="U118">
        <v>8.5793438439162317E-2</v>
      </c>
      <c r="V118" t="s">
        <v>153</v>
      </c>
    </row>
    <row r="119" spans="9:22" x14ac:dyDescent="0.45">
      <c r="I119" t="s">
        <v>167</v>
      </c>
      <c r="J119" t="s">
        <v>152</v>
      </c>
      <c r="K119">
        <v>9.7249917357243865E-3</v>
      </c>
      <c r="L119" t="s">
        <v>153</v>
      </c>
      <c r="N119" t="s">
        <v>210</v>
      </c>
      <c r="O119" t="s">
        <v>152</v>
      </c>
      <c r="P119">
        <v>6.7841334766118713E-2</v>
      </c>
      <c r="Q119" t="s">
        <v>153</v>
      </c>
      <c r="S119" t="s">
        <v>252</v>
      </c>
      <c r="T119" t="s">
        <v>152</v>
      </c>
      <c r="U119">
        <v>0.11812141556994629</v>
      </c>
      <c r="V119" t="s">
        <v>153</v>
      </c>
    </row>
    <row r="120" spans="9:22" x14ac:dyDescent="0.45">
      <c r="I120" t="s">
        <v>167</v>
      </c>
      <c r="J120" t="s">
        <v>154</v>
      </c>
      <c r="K120">
        <v>2.9514981991541175E-2</v>
      </c>
      <c r="L120" t="s">
        <v>153</v>
      </c>
      <c r="N120" t="s">
        <v>210</v>
      </c>
      <c r="O120" t="s">
        <v>154</v>
      </c>
      <c r="P120">
        <v>9.8752801216870252E-3</v>
      </c>
      <c r="Q120" t="s">
        <v>153</v>
      </c>
      <c r="S120" t="s">
        <v>252</v>
      </c>
      <c r="T120" t="s">
        <v>154</v>
      </c>
      <c r="U120">
        <v>1.6591397003064078E-2</v>
      </c>
      <c r="V120" t="s">
        <v>153</v>
      </c>
    </row>
    <row r="121" spans="9:22" x14ac:dyDescent="0.45">
      <c r="I121" t="s">
        <v>167</v>
      </c>
      <c r="J121" t="s">
        <v>155</v>
      </c>
      <c r="K121">
        <v>0.37273849632887934</v>
      </c>
      <c r="L121" t="s">
        <v>153</v>
      </c>
      <c r="N121" t="s">
        <v>210</v>
      </c>
      <c r="O121" t="s">
        <v>155</v>
      </c>
      <c r="P121">
        <v>0.18089458606055681</v>
      </c>
      <c r="Q121" t="s">
        <v>153</v>
      </c>
      <c r="S121" t="s">
        <v>252</v>
      </c>
      <c r="T121" t="s">
        <v>155</v>
      </c>
      <c r="U121">
        <v>0.16500331568710472</v>
      </c>
      <c r="V121" t="s">
        <v>153</v>
      </c>
    </row>
    <row r="122" spans="9:22" x14ac:dyDescent="0.45">
      <c r="I122" t="s">
        <v>167</v>
      </c>
      <c r="J122" t="s">
        <v>280</v>
      </c>
      <c r="K122">
        <v>3.2127511515312047E-2</v>
      </c>
      <c r="L122" t="s">
        <v>153</v>
      </c>
      <c r="N122" t="s">
        <v>210</v>
      </c>
      <c r="O122" t="s">
        <v>280</v>
      </c>
      <c r="P122">
        <v>1.7464768662853798E-2</v>
      </c>
      <c r="Q122" t="s">
        <v>153</v>
      </c>
      <c r="S122" t="s">
        <v>252</v>
      </c>
      <c r="T122" t="s">
        <v>280</v>
      </c>
      <c r="U122">
        <v>2.0864871028943417E-2</v>
      </c>
      <c r="V122" t="s">
        <v>153</v>
      </c>
    </row>
    <row r="123" spans="9:22" x14ac:dyDescent="0.45">
      <c r="I123" t="s">
        <v>167</v>
      </c>
      <c r="J123" t="s">
        <v>281</v>
      </c>
      <c r="K123">
        <v>1.6887347001260145E-2</v>
      </c>
      <c r="L123" t="s">
        <v>153</v>
      </c>
      <c r="N123" t="s">
        <v>210</v>
      </c>
      <c r="O123" t="s">
        <v>281</v>
      </c>
      <c r="P123">
        <v>1.3543357933402585E-2</v>
      </c>
      <c r="Q123" t="s">
        <v>153</v>
      </c>
      <c r="S123" t="s">
        <v>252</v>
      </c>
      <c r="T123" t="s">
        <v>281</v>
      </c>
      <c r="U123">
        <v>2.054923924449821E-2</v>
      </c>
      <c r="V123" t="s">
        <v>153</v>
      </c>
    </row>
    <row r="124" spans="9:22" x14ac:dyDescent="0.45">
      <c r="I124" t="s">
        <v>167</v>
      </c>
      <c r="J124" t="s">
        <v>282</v>
      </c>
      <c r="K124">
        <v>4.0614946563306605E-3</v>
      </c>
      <c r="L124" t="s">
        <v>153</v>
      </c>
      <c r="N124" t="s">
        <v>210</v>
      </c>
      <c r="O124" t="s">
        <v>282</v>
      </c>
      <c r="P124">
        <v>5.2709659665367566E-2</v>
      </c>
      <c r="Q124" t="s">
        <v>153</v>
      </c>
      <c r="S124" t="s">
        <v>252</v>
      </c>
      <c r="T124" t="s">
        <v>282</v>
      </c>
      <c r="U124">
        <v>9.3603441746969454E-2</v>
      </c>
      <c r="V124" t="s">
        <v>153</v>
      </c>
    </row>
    <row r="125" spans="9:22" x14ac:dyDescent="0.45">
      <c r="I125" t="s">
        <v>167</v>
      </c>
      <c r="J125" t="s">
        <v>156</v>
      </c>
      <c r="K125">
        <v>0</v>
      </c>
      <c r="L125" t="s">
        <v>153</v>
      </c>
      <c r="N125" t="s">
        <v>210</v>
      </c>
      <c r="O125" t="s">
        <v>156</v>
      </c>
      <c r="P125">
        <v>5.4634143443743274E-2</v>
      </c>
      <c r="Q125" t="s">
        <v>153</v>
      </c>
      <c r="S125" t="s">
        <v>252</v>
      </c>
      <c r="T125" t="s">
        <v>156</v>
      </c>
      <c r="U125">
        <v>5.582565531689513E-2</v>
      </c>
      <c r="V125" t="s">
        <v>153</v>
      </c>
    </row>
    <row r="126" spans="9:22" x14ac:dyDescent="0.45">
      <c r="I126" t="s">
        <v>167</v>
      </c>
      <c r="J126" t="s">
        <v>157</v>
      </c>
      <c r="K126">
        <v>2.0671119961976955E-3</v>
      </c>
      <c r="L126" t="s">
        <v>153</v>
      </c>
      <c r="N126" t="s">
        <v>210</v>
      </c>
      <c r="O126" t="s">
        <v>157</v>
      </c>
      <c r="P126">
        <v>6.9985541132956859E-3</v>
      </c>
      <c r="Q126" t="s">
        <v>153</v>
      </c>
      <c r="S126" t="s">
        <v>252</v>
      </c>
      <c r="T126" t="s">
        <v>157</v>
      </c>
      <c r="U126">
        <v>7.9793468955026217E-3</v>
      </c>
      <c r="V126" t="s">
        <v>153</v>
      </c>
    </row>
    <row r="127" spans="9:22" x14ac:dyDescent="0.45">
      <c r="I127" t="s">
        <v>167</v>
      </c>
      <c r="J127" t="s">
        <v>158</v>
      </c>
      <c r="K127">
        <v>9.3084084361185024E-2</v>
      </c>
      <c r="L127" t="s">
        <v>153</v>
      </c>
      <c r="N127" t="s">
        <v>210</v>
      </c>
      <c r="O127" t="s">
        <v>158</v>
      </c>
      <c r="P127">
        <v>0.11547357124464083</v>
      </c>
      <c r="Q127" t="s">
        <v>153</v>
      </c>
      <c r="S127" t="s">
        <v>252</v>
      </c>
      <c r="T127" t="s">
        <v>158</v>
      </c>
      <c r="U127">
        <v>6.4518495733505016E-2</v>
      </c>
      <c r="V127" t="s">
        <v>153</v>
      </c>
    </row>
    <row r="128" spans="9:22" x14ac:dyDescent="0.45">
      <c r="I128" t="s">
        <v>167</v>
      </c>
      <c r="J128" t="s">
        <v>283</v>
      </c>
      <c r="K128">
        <v>7.2439528171806935E-3</v>
      </c>
      <c r="L128" t="s">
        <v>153</v>
      </c>
      <c r="N128" t="s">
        <v>210</v>
      </c>
      <c r="O128" t="s">
        <v>283</v>
      </c>
      <c r="P128">
        <v>9.8337972025361858E-3</v>
      </c>
      <c r="Q128" t="s">
        <v>153</v>
      </c>
      <c r="S128" t="s">
        <v>252</v>
      </c>
      <c r="T128" t="s">
        <v>283</v>
      </c>
      <c r="U128">
        <v>7.994567403712417E-3</v>
      </c>
      <c r="V128" t="s">
        <v>153</v>
      </c>
    </row>
    <row r="129" spans="9:22" x14ac:dyDescent="0.45">
      <c r="I129" t="s">
        <v>167</v>
      </c>
      <c r="J129" t="s">
        <v>284</v>
      </c>
      <c r="K129">
        <v>0</v>
      </c>
      <c r="L129" t="s">
        <v>153</v>
      </c>
      <c r="N129" t="s">
        <v>210</v>
      </c>
      <c r="O129" t="s">
        <v>284</v>
      </c>
      <c r="P129">
        <v>7.8647209298619222E-3</v>
      </c>
      <c r="Q129" t="s">
        <v>153</v>
      </c>
      <c r="S129" t="s">
        <v>252</v>
      </c>
      <c r="T129" t="s">
        <v>284</v>
      </c>
      <c r="U129">
        <v>8.0793774928606538E-3</v>
      </c>
      <c r="V129" t="s">
        <v>153</v>
      </c>
    </row>
    <row r="130" spans="9:22" x14ac:dyDescent="0.45">
      <c r="I130" t="s">
        <v>167</v>
      </c>
      <c r="J130" t="s">
        <v>285</v>
      </c>
      <c r="K130">
        <v>0</v>
      </c>
      <c r="L130" t="s">
        <v>153</v>
      </c>
      <c r="N130" t="s">
        <v>210</v>
      </c>
      <c r="O130" t="s">
        <v>285</v>
      </c>
      <c r="P130">
        <v>3.1800159453118905E-2</v>
      </c>
      <c r="Q130" t="s">
        <v>153</v>
      </c>
      <c r="S130" t="s">
        <v>252</v>
      </c>
      <c r="T130" t="s">
        <v>285</v>
      </c>
      <c r="U130">
        <v>3.9539774098160133E-2</v>
      </c>
      <c r="V130" t="s">
        <v>153</v>
      </c>
    </row>
    <row r="131" spans="9:22" x14ac:dyDescent="0.45">
      <c r="I131" t="s">
        <v>167</v>
      </c>
      <c r="J131" t="s">
        <v>159</v>
      </c>
      <c r="K131">
        <v>1.7920503666076122E-2</v>
      </c>
      <c r="L131" t="s">
        <v>153</v>
      </c>
      <c r="N131" t="s">
        <v>210</v>
      </c>
      <c r="O131" t="s">
        <v>159</v>
      </c>
      <c r="P131">
        <v>6.8868803315182109E-2</v>
      </c>
      <c r="Q131" t="s">
        <v>153</v>
      </c>
      <c r="S131" t="s">
        <v>252</v>
      </c>
      <c r="T131" t="s">
        <v>159</v>
      </c>
      <c r="U131">
        <v>0.10246978259928283</v>
      </c>
      <c r="V131" t="s">
        <v>153</v>
      </c>
    </row>
    <row r="132" spans="9:22" x14ac:dyDescent="0.45">
      <c r="I132" t="s">
        <v>167</v>
      </c>
      <c r="J132" t="s">
        <v>160</v>
      </c>
      <c r="K132">
        <v>3.0895906442430926E-2</v>
      </c>
      <c r="L132" t="s">
        <v>153</v>
      </c>
      <c r="N132" t="s">
        <v>210</v>
      </c>
      <c r="O132" t="s">
        <v>160</v>
      </c>
      <c r="P132">
        <v>9.1349740062098388E-3</v>
      </c>
      <c r="Q132" t="s">
        <v>153</v>
      </c>
      <c r="S132" t="s">
        <v>252</v>
      </c>
      <c r="T132" t="s">
        <v>160</v>
      </c>
      <c r="U132">
        <v>1.5186639430168878E-2</v>
      </c>
      <c r="V132" t="s">
        <v>153</v>
      </c>
    </row>
    <row r="133" spans="9:22" x14ac:dyDescent="0.45">
      <c r="I133" t="s">
        <v>167</v>
      </c>
      <c r="J133" t="s">
        <v>161</v>
      </c>
      <c r="K133">
        <v>0.33935940753870242</v>
      </c>
      <c r="L133" t="s">
        <v>153</v>
      </c>
      <c r="N133" t="s">
        <v>210</v>
      </c>
      <c r="O133" t="s">
        <v>161</v>
      </c>
      <c r="P133">
        <v>0.26309482233440112</v>
      </c>
      <c r="Q133" t="s">
        <v>153</v>
      </c>
      <c r="S133" t="s">
        <v>252</v>
      </c>
      <c r="T133" t="s">
        <v>161</v>
      </c>
      <c r="U133">
        <v>0.15182342210194122</v>
      </c>
      <c r="V133" t="s">
        <v>153</v>
      </c>
    </row>
    <row r="134" spans="9:22" x14ac:dyDescent="0.45">
      <c r="I134" t="s">
        <v>167</v>
      </c>
      <c r="J134" t="s">
        <v>286</v>
      </c>
      <c r="K134">
        <v>2.8585390036633088E-2</v>
      </c>
      <c r="L134" t="s">
        <v>153</v>
      </c>
      <c r="N134" t="s">
        <v>210</v>
      </c>
      <c r="O134" t="s">
        <v>286</v>
      </c>
      <c r="P134">
        <v>2.4649028650043554E-2</v>
      </c>
      <c r="Q134" t="s">
        <v>153</v>
      </c>
      <c r="S134" t="s">
        <v>252</v>
      </c>
      <c r="T134" t="s">
        <v>286</v>
      </c>
      <c r="U134">
        <v>1.7981562548972881E-2</v>
      </c>
      <c r="V134" t="s">
        <v>153</v>
      </c>
    </row>
    <row r="135" spans="9:22" x14ac:dyDescent="0.45">
      <c r="I135" t="s">
        <v>167</v>
      </c>
      <c r="J135" t="s">
        <v>287</v>
      </c>
      <c r="K135">
        <v>1.4440147013194416E-2</v>
      </c>
      <c r="L135" t="s">
        <v>153</v>
      </c>
      <c r="N135" t="s">
        <v>210</v>
      </c>
      <c r="O135" t="s">
        <v>287</v>
      </c>
      <c r="P135">
        <v>1.6477558144759114E-2</v>
      </c>
      <c r="Q135" t="s">
        <v>153</v>
      </c>
      <c r="S135" t="s">
        <v>252</v>
      </c>
      <c r="T135" t="s">
        <v>287</v>
      </c>
      <c r="U135">
        <v>1.732234080745507E-2</v>
      </c>
      <c r="V135" t="s">
        <v>153</v>
      </c>
    </row>
    <row r="136" spans="9:22" x14ac:dyDescent="0.45">
      <c r="I136" t="s">
        <v>167</v>
      </c>
      <c r="J136" t="s">
        <v>288</v>
      </c>
      <c r="K136">
        <v>1.3486728993521724E-3</v>
      </c>
      <c r="L136" t="s">
        <v>153</v>
      </c>
      <c r="N136" t="s">
        <v>210</v>
      </c>
      <c r="O136" t="s">
        <v>288</v>
      </c>
      <c r="P136">
        <v>4.8840879952221139E-2</v>
      </c>
      <c r="Q136" t="s">
        <v>153</v>
      </c>
      <c r="S136" t="s">
        <v>252</v>
      </c>
      <c r="T136" t="s">
        <v>288</v>
      </c>
      <c r="U136">
        <v>7.6545355291013251E-2</v>
      </c>
      <c r="V136" t="s">
        <v>153</v>
      </c>
    </row>
    <row r="137" spans="9:22" x14ac:dyDescent="0.45">
      <c r="I137" t="s">
        <v>168</v>
      </c>
      <c r="J137" t="s">
        <v>152</v>
      </c>
      <c r="K137">
        <v>6.5459936133221673E-3</v>
      </c>
      <c r="L137" t="s">
        <v>153</v>
      </c>
      <c r="N137" t="s">
        <v>211</v>
      </c>
      <c r="O137" t="s">
        <v>152</v>
      </c>
      <c r="P137">
        <v>9.6390271146245002E-2</v>
      </c>
      <c r="Q137" t="s">
        <v>153</v>
      </c>
      <c r="S137" t="s">
        <v>253</v>
      </c>
      <c r="T137" t="s">
        <v>152</v>
      </c>
      <c r="U137">
        <v>0.12581804394454421</v>
      </c>
      <c r="V137" t="s">
        <v>153</v>
      </c>
    </row>
    <row r="138" spans="9:22" x14ac:dyDescent="0.45">
      <c r="I138" t="s">
        <v>168</v>
      </c>
      <c r="J138" t="s">
        <v>154</v>
      </c>
      <c r="K138">
        <v>2.9958278039873339E-2</v>
      </c>
      <c r="L138" t="s">
        <v>153</v>
      </c>
      <c r="N138" t="s">
        <v>211</v>
      </c>
      <c r="O138" t="s">
        <v>154</v>
      </c>
      <c r="P138">
        <v>1.1668820339255983E-2</v>
      </c>
      <c r="Q138" t="s">
        <v>153</v>
      </c>
      <c r="S138" t="s">
        <v>253</v>
      </c>
      <c r="T138" t="s">
        <v>154</v>
      </c>
      <c r="U138">
        <v>1.6580661019530873E-2</v>
      </c>
      <c r="V138" t="s">
        <v>153</v>
      </c>
    </row>
    <row r="139" spans="9:22" x14ac:dyDescent="0.45">
      <c r="I139" t="s">
        <v>168</v>
      </c>
      <c r="J139" t="s">
        <v>155</v>
      </c>
      <c r="K139">
        <v>0.37700985026395656</v>
      </c>
      <c r="L139" t="s">
        <v>153</v>
      </c>
      <c r="N139" t="s">
        <v>211</v>
      </c>
      <c r="O139" t="s">
        <v>155</v>
      </c>
      <c r="P139">
        <v>0.12005522665642059</v>
      </c>
      <c r="Q139" t="s">
        <v>153</v>
      </c>
      <c r="S139" t="s">
        <v>253</v>
      </c>
      <c r="T139" t="s">
        <v>155</v>
      </c>
      <c r="U139">
        <v>0.16351222255240624</v>
      </c>
      <c r="V139" t="s">
        <v>153</v>
      </c>
    </row>
    <row r="140" spans="9:22" x14ac:dyDescent="0.45">
      <c r="I140" t="s">
        <v>168</v>
      </c>
      <c r="J140" t="s">
        <v>280</v>
      </c>
      <c r="K140">
        <v>3.1433160465456307E-2</v>
      </c>
      <c r="L140" t="s">
        <v>153</v>
      </c>
      <c r="N140" t="s">
        <v>211</v>
      </c>
      <c r="O140" t="s">
        <v>280</v>
      </c>
      <c r="P140">
        <v>1.5512162481132808E-2</v>
      </c>
      <c r="Q140" t="s">
        <v>153</v>
      </c>
      <c r="S140" t="s">
        <v>253</v>
      </c>
      <c r="T140" t="s">
        <v>280</v>
      </c>
      <c r="U140">
        <v>2.1794200239951326E-2</v>
      </c>
      <c r="V140" t="s">
        <v>153</v>
      </c>
    </row>
    <row r="141" spans="9:22" x14ac:dyDescent="0.45">
      <c r="I141" t="s">
        <v>168</v>
      </c>
      <c r="J141" t="s">
        <v>281</v>
      </c>
      <c r="K141">
        <v>1.4489032664878788E-2</v>
      </c>
      <c r="L141" t="s">
        <v>153</v>
      </c>
      <c r="N141" t="s">
        <v>211</v>
      </c>
      <c r="O141" t="s">
        <v>281</v>
      </c>
      <c r="P141">
        <v>1.6783422862701434E-2</v>
      </c>
      <c r="Q141" t="s">
        <v>153</v>
      </c>
      <c r="S141" t="s">
        <v>253</v>
      </c>
      <c r="T141" t="s">
        <v>281</v>
      </c>
      <c r="U141">
        <v>2.1607976386331704E-2</v>
      </c>
      <c r="V141" t="s">
        <v>153</v>
      </c>
    </row>
    <row r="142" spans="9:22" x14ac:dyDescent="0.45">
      <c r="I142" t="s">
        <v>168</v>
      </c>
      <c r="J142" t="s">
        <v>282</v>
      </c>
      <c r="K142">
        <v>0</v>
      </c>
      <c r="L142" t="s">
        <v>153</v>
      </c>
      <c r="N142" t="s">
        <v>211</v>
      </c>
      <c r="O142" t="s">
        <v>282</v>
      </c>
      <c r="P142">
        <v>9.6614208488552636E-2</v>
      </c>
      <c r="Q142" t="s">
        <v>153</v>
      </c>
      <c r="S142" t="s">
        <v>253</v>
      </c>
      <c r="T142" t="s">
        <v>282</v>
      </c>
      <c r="U142">
        <v>0.10374115824078327</v>
      </c>
      <c r="V142" t="s">
        <v>153</v>
      </c>
    </row>
    <row r="143" spans="9:22" x14ac:dyDescent="0.45">
      <c r="I143" t="s">
        <v>168</v>
      </c>
      <c r="J143" t="s">
        <v>156</v>
      </c>
      <c r="K143">
        <v>0</v>
      </c>
      <c r="L143" t="s">
        <v>153</v>
      </c>
      <c r="N143" t="s">
        <v>211</v>
      </c>
      <c r="O143" t="s">
        <v>156</v>
      </c>
      <c r="P143">
        <v>6.5404022234969064E-2</v>
      </c>
      <c r="Q143" t="s">
        <v>153</v>
      </c>
      <c r="S143" t="s">
        <v>253</v>
      </c>
      <c r="T143" t="s">
        <v>156</v>
      </c>
      <c r="U143">
        <v>3.6778298665367623E-2</v>
      </c>
      <c r="V143" t="s">
        <v>153</v>
      </c>
    </row>
    <row r="144" spans="9:22" x14ac:dyDescent="0.45">
      <c r="I144" t="s">
        <v>168</v>
      </c>
      <c r="J144" t="s">
        <v>157</v>
      </c>
      <c r="K144">
        <v>4.0727539941591171E-3</v>
      </c>
      <c r="L144" t="s">
        <v>153</v>
      </c>
      <c r="N144" t="s">
        <v>211</v>
      </c>
      <c r="O144" t="s">
        <v>157</v>
      </c>
      <c r="P144">
        <v>7.704205566797428E-3</v>
      </c>
      <c r="Q144" t="s">
        <v>153</v>
      </c>
      <c r="S144" t="s">
        <v>253</v>
      </c>
      <c r="T144" t="s">
        <v>157</v>
      </c>
      <c r="U144">
        <v>5.2800089382240793E-3</v>
      </c>
      <c r="V144" t="s">
        <v>153</v>
      </c>
    </row>
    <row r="145" spans="9:22" x14ac:dyDescent="0.45">
      <c r="I145" t="s">
        <v>168</v>
      </c>
      <c r="J145" t="s">
        <v>158</v>
      </c>
      <c r="K145">
        <v>0.11231279190210762</v>
      </c>
      <c r="L145" t="s">
        <v>153</v>
      </c>
      <c r="N145" t="s">
        <v>211</v>
      </c>
      <c r="O145" t="s">
        <v>158</v>
      </c>
      <c r="P145">
        <v>8.0729039007095327E-2</v>
      </c>
      <c r="Q145" t="s">
        <v>153</v>
      </c>
      <c r="S145" t="s">
        <v>253</v>
      </c>
      <c r="T145" t="s">
        <v>158</v>
      </c>
      <c r="U145">
        <v>6.0302583309215473E-2</v>
      </c>
      <c r="V145" t="s">
        <v>153</v>
      </c>
    </row>
    <row r="146" spans="9:22" x14ac:dyDescent="0.45">
      <c r="I146" t="s">
        <v>168</v>
      </c>
      <c r="J146" t="s">
        <v>283</v>
      </c>
      <c r="K146">
        <v>8.3753362130951359E-3</v>
      </c>
      <c r="L146" t="s">
        <v>153</v>
      </c>
      <c r="N146" t="s">
        <v>211</v>
      </c>
      <c r="O146" t="s">
        <v>283</v>
      </c>
      <c r="P146">
        <v>8.1947202403230262E-3</v>
      </c>
      <c r="Q146" t="s">
        <v>153</v>
      </c>
      <c r="S146" t="s">
        <v>253</v>
      </c>
      <c r="T146" t="s">
        <v>283</v>
      </c>
      <c r="U146">
        <v>8.2319512818804595E-3</v>
      </c>
      <c r="V146" t="s">
        <v>153</v>
      </c>
    </row>
    <row r="147" spans="9:22" x14ac:dyDescent="0.45">
      <c r="I147" t="s">
        <v>168</v>
      </c>
      <c r="J147" t="s">
        <v>284</v>
      </c>
      <c r="K147">
        <v>0</v>
      </c>
      <c r="L147" t="s">
        <v>153</v>
      </c>
      <c r="N147" t="s">
        <v>211</v>
      </c>
      <c r="O147" t="s">
        <v>284</v>
      </c>
      <c r="P147">
        <v>8.3556325186156521E-3</v>
      </c>
      <c r="Q147" t="s">
        <v>153</v>
      </c>
      <c r="S147" t="s">
        <v>253</v>
      </c>
      <c r="T147" t="s">
        <v>284</v>
      </c>
      <c r="U147">
        <v>8.0546672126603873E-3</v>
      </c>
      <c r="V147" t="s">
        <v>153</v>
      </c>
    </row>
    <row r="148" spans="9:22" x14ac:dyDescent="0.45">
      <c r="I148" t="s">
        <v>168</v>
      </c>
      <c r="J148" t="s">
        <v>285</v>
      </c>
      <c r="K148">
        <v>0</v>
      </c>
      <c r="L148" t="s">
        <v>153</v>
      </c>
      <c r="N148" t="s">
        <v>211</v>
      </c>
      <c r="O148" t="s">
        <v>285</v>
      </c>
      <c r="P148">
        <v>4.7831924507695751E-2</v>
      </c>
      <c r="Q148" t="s">
        <v>153</v>
      </c>
      <c r="S148" t="s">
        <v>253</v>
      </c>
      <c r="T148" t="s">
        <v>285</v>
      </c>
      <c r="U148">
        <v>3.7066421778658244E-2</v>
      </c>
      <c r="V148" t="s">
        <v>153</v>
      </c>
    </row>
    <row r="149" spans="9:22" x14ac:dyDescent="0.45">
      <c r="I149" t="s">
        <v>168</v>
      </c>
      <c r="J149" t="s">
        <v>159</v>
      </c>
      <c r="K149">
        <v>1.4233468146752613E-2</v>
      </c>
      <c r="L149" t="s">
        <v>153</v>
      </c>
      <c r="N149" t="s">
        <v>211</v>
      </c>
      <c r="O149" t="s">
        <v>159</v>
      </c>
      <c r="P149">
        <v>0.10898992556777982</v>
      </c>
      <c r="Q149" t="s">
        <v>153</v>
      </c>
      <c r="S149" t="s">
        <v>253</v>
      </c>
      <c r="T149" t="s">
        <v>159</v>
      </c>
      <c r="U149">
        <v>0.10345881501746999</v>
      </c>
      <c r="V149" t="s">
        <v>153</v>
      </c>
    </row>
    <row r="150" spans="9:22" x14ac:dyDescent="0.45">
      <c r="I150" t="s">
        <v>168</v>
      </c>
      <c r="J150" t="s">
        <v>160</v>
      </c>
      <c r="K150">
        <v>2.8860696443940338E-2</v>
      </c>
      <c r="L150" t="s">
        <v>153</v>
      </c>
      <c r="N150" t="s">
        <v>211</v>
      </c>
      <c r="O150" t="s">
        <v>160</v>
      </c>
      <c r="P150">
        <v>1.1216336713610406E-2</v>
      </c>
      <c r="Q150" t="s">
        <v>153</v>
      </c>
      <c r="S150" t="s">
        <v>253</v>
      </c>
      <c r="T150" t="s">
        <v>160</v>
      </c>
      <c r="U150">
        <v>1.3627832963144003E-2</v>
      </c>
      <c r="V150" t="s">
        <v>153</v>
      </c>
    </row>
    <row r="151" spans="9:22" x14ac:dyDescent="0.45">
      <c r="I151" t="s">
        <v>168</v>
      </c>
      <c r="J151" t="s">
        <v>161</v>
      </c>
      <c r="K151">
        <v>0.3342579135500815</v>
      </c>
      <c r="L151" t="s">
        <v>153</v>
      </c>
      <c r="N151" t="s">
        <v>211</v>
      </c>
      <c r="O151" t="s">
        <v>161</v>
      </c>
      <c r="P151">
        <v>0.16855962455320028</v>
      </c>
      <c r="Q151" t="s">
        <v>153</v>
      </c>
      <c r="S151" t="s">
        <v>253</v>
      </c>
      <c r="T151" t="s">
        <v>161</v>
      </c>
      <c r="U151">
        <v>0.14506323771071769</v>
      </c>
      <c r="V151" t="s">
        <v>153</v>
      </c>
    </row>
    <row r="152" spans="9:22" x14ac:dyDescent="0.45">
      <c r="I152" t="s">
        <v>168</v>
      </c>
      <c r="J152" t="s">
        <v>286</v>
      </c>
      <c r="K152">
        <v>2.6149905541450448E-2</v>
      </c>
      <c r="L152" t="s">
        <v>153</v>
      </c>
      <c r="N152" t="s">
        <v>211</v>
      </c>
      <c r="O152" t="s">
        <v>286</v>
      </c>
      <c r="P152">
        <v>2.0644752657633055E-2</v>
      </c>
      <c r="Q152" t="s">
        <v>153</v>
      </c>
      <c r="S152" t="s">
        <v>253</v>
      </c>
      <c r="T152" t="s">
        <v>286</v>
      </c>
      <c r="U152">
        <v>1.9348700769436074E-2</v>
      </c>
      <c r="V152" t="s">
        <v>153</v>
      </c>
    </row>
    <row r="153" spans="9:22" x14ac:dyDescent="0.45">
      <c r="I153" t="s">
        <v>168</v>
      </c>
      <c r="J153" t="s">
        <v>287</v>
      </c>
      <c r="K153">
        <v>1.2300819160929783E-2</v>
      </c>
      <c r="L153" t="s">
        <v>153</v>
      </c>
      <c r="N153" t="s">
        <v>211</v>
      </c>
      <c r="O153" t="s">
        <v>287</v>
      </c>
      <c r="P153">
        <v>1.8511758373050136E-2</v>
      </c>
      <c r="Q153" t="s">
        <v>153</v>
      </c>
      <c r="S153" t="s">
        <v>253</v>
      </c>
      <c r="T153" t="s">
        <v>287</v>
      </c>
      <c r="U153">
        <v>1.9196990370009333E-2</v>
      </c>
      <c r="V153" t="s">
        <v>153</v>
      </c>
    </row>
    <row r="154" spans="9:22" x14ac:dyDescent="0.45">
      <c r="I154" t="s">
        <v>168</v>
      </c>
      <c r="J154" t="s">
        <v>288</v>
      </c>
      <c r="K154">
        <v>0</v>
      </c>
      <c r="L154" t="s">
        <v>153</v>
      </c>
      <c r="N154" t="s">
        <v>211</v>
      </c>
      <c r="O154" t="s">
        <v>288</v>
      </c>
      <c r="P154">
        <v>9.6833946084924502E-2</v>
      </c>
      <c r="Q154" t="s">
        <v>153</v>
      </c>
      <c r="S154" t="s">
        <v>253</v>
      </c>
      <c r="T154" t="s">
        <v>288</v>
      </c>
      <c r="U154">
        <v>9.0536229599667686E-2</v>
      </c>
      <c r="V154" t="s">
        <v>153</v>
      </c>
    </row>
    <row r="155" spans="9:22" x14ac:dyDescent="0.45">
      <c r="I155" t="s">
        <v>169</v>
      </c>
      <c r="J155" t="s">
        <v>152</v>
      </c>
      <c r="K155">
        <v>8.8278524864373511E-3</v>
      </c>
      <c r="L155" t="s">
        <v>153</v>
      </c>
      <c r="N155" t="s">
        <v>212</v>
      </c>
      <c r="O155" t="s">
        <v>152</v>
      </c>
      <c r="P155">
        <v>0.11324451683154771</v>
      </c>
      <c r="Q155" t="s">
        <v>153</v>
      </c>
      <c r="S155" t="s">
        <v>254</v>
      </c>
      <c r="T155" t="s">
        <v>152</v>
      </c>
      <c r="U155">
        <v>0.12003104999324483</v>
      </c>
      <c r="V155" t="s">
        <v>153</v>
      </c>
    </row>
    <row r="156" spans="9:22" x14ac:dyDescent="0.45">
      <c r="I156" t="s">
        <v>169</v>
      </c>
      <c r="J156" t="s">
        <v>154</v>
      </c>
      <c r="K156">
        <v>3.0462005412309517E-2</v>
      </c>
      <c r="L156" t="s">
        <v>153</v>
      </c>
      <c r="N156" t="s">
        <v>212</v>
      </c>
      <c r="O156" t="s">
        <v>154</v>
      </c>
      <c r="P156">
        <v>1.3762433386944708E-2</v>
      </c>
      <c r="Q156" t="s">
        <v>153</v>
      </c>
      <c r="S156" t="s">
        <v>254</v>
      </c>
      <c r="T156" t="s">
        <v>154</v>
      </c>
      <c r="U156">
        <v>1.6030210529414009E-2</v>
      </c>
      <c r="V156" t="s">
        <v>153</v>
      </c>
    </row>
    <row r="157" spans="9:22" x14ac:dyDescent="0.45">
      <c r="I157" t="s">
        <v>169</v>
      </c>
      <c r="J157" t="s">
        <v>155</v>
      </c>
      <c r="K157">
        <v>0.37285704386134294</v>
      </c>
      <c r="L157" t="s">
        <v>153</v>
      </c>
      <c r="N157" t="s">
        <v>212</v>
      </c>
      <c r="O157" t="s">
        <v>155</v>
      </c>
      <c r="P157">
        <v>0.10274773308029596</v>
      </c>
      <c r="Q157" t="s">
        <v>153</v>
      </c>
      <c r="S157" t="s">
        <v>254</v>
      </c>
      <c r="T157" t="s">
        <v>155</v>
      </c>
      <c r="U157">
        <v>0.16163766743024086</v>
      </c>
      <c r="V157" t="s">
        <v>153</v>
      </c>
    </row>
    <row r="158" spans="9:22" x14ac:dyDescent="0.45">
      <c r="I158" t="s">
        <v>169</v>
      </c>
      <c r="J158" t="s">
        <v>280</v>
      </c>
      <c r="K158">
        <v>3.1245541210079959E-2</v>
      </c>
      <c r="L158" t="s">
        <v>153</v>
      </c>
      <c r="N158" t="s">
        <v>212</v>
      </c>
      <c r="O158" t="s">
        <v>280</v>
      </c>
      <c r="P158">
        <v>1.2785192354424154E-2</v>
      </c>
      <c r="Q158" t="s">
        <v>153</v>
      </c>
      <c r="S158" t="s">
        <v>254</v>
      </c>
      <c r="T158" t="s">
        <v>280</v>
      </c>
      <c r="U158">
        <v>2.1418929865014088E-2</v>
      </c>
      <c r="V158" t="s">
        <v>153</v>
      </c>
    </row>
    <row r="159" spans="9:22" x14ac:dyDescent="0.45">
      <c r="I159" t="s">
        <v>169</v>
      </c>
      <c r="J159" t="s">
        <v>281</v>
      </c>
      <c r="K159">
        <v>1.4856330659418028E-2</v>
      </c>
      <c r="L159" t="s">
        <v>153</v>
      </c>
      <c r="N159" t="s">
        <v>212</v>
      </c>
      <c r="O159" t="s">
        <v>281</v>
      </c>
      <c r="P159">
        <v>1.5338603998371522E-2</v>
      </c>
      <c r="Q159" t="s">
        <v>153</v>
      </c>
      <c r="S159" t="s">
        <v>254</v>
      </c>
      <c r="T159" t="s">
        <v>281</v>
      </c>
      <c r="U159">
        <v>2.1322614413875819E-2</v>
      </c>
      <c r="V159" t="s">
        <v>153</v>
      </c>
    </row>
    <row r="160" spans="9:22" x14ac:dyDescent="0.45">
      <c r="I160" t="s">
        <v>169</v>
      </c>
      <c r="J160" t="s">
        <v>282</v>
      </c>
      <c r="K160">
        <v>5.6875701763644127E-4</v>
      </c>
      <c r="L160" t="s">
        <v>153</v>
      </c>
      <c r="N160" t="s">
        <v>212</v>
      </c>
      <c r="O160" t="s">
        <v>282</v>
      </c>
      <c r="P160">
        <v>0.10671934569322107</v>
      </c>
      <c r="Q160" t="s">
        <v>153</v>
      </c>
      <c r="S160" t="s">
        <v>254</v>
      </c>
      <c r="T160" t="s">
        <v>282</v>
      </c>
      <c r="U160">
        <v>0.10100217867422127</v>
      </c>
      <c r="V160" t="s">
        <v>153</v>
      </c>
    </row>
    <row r="161" spans="9:22" x14ac:dyDescent="0.45">
      <c r="I161" t="s">
        <v>169</v>
      </c>
      <c r="J161" t="s">
        <v>156</v>
      </c>
      <c r="K161">
        <v>0</v>
      </c>
      <c r="L161" t="s">
        <v>153</v>
      </c>
      <c r="N161" t="s">
        <v>212</v>
      </c>
      <c r="O161" t="s">
        <v>156</v>
      </c>
      <c r="P161">
        <v>6.7009862097583708E-2</v>
      </c>
      <c r="Q161" t="s">
        <v>153</v>
      </c>
      <c r="S161" t="s">
        <v>254</v>
      </c>
      <c r="T161" t="s">
        <v>156</v>
      </c>
      <c r="U161">
        <v>4.3138375544515078E-2</v>
      </c>
      <c r="V161" t="s">
        <v>153</v>
      </c>
    </row>
    <row r="162" spans="9:22" x14ac:dyDescent="0.45">
      <c r="I162" t="s">
        <v>169</v>
      </c>
      <c r="J162" t="s">
        <v>157</v>
      </c>
      <c r="K162">
        <v>3.7745480434329681E-3</v>
      </c>
      <c r="L162" t="s">
        <v>153</v>
      </c>
      <c r="N162" t="s">
        <v>212</v>
      </c>
      <c r="O162" t="s">
        <v>157</v>
      </c>
      <c r="P162">
        <v>7.9011069628963301E-3</v>
      </c>
      <c r="Q162" t="s">
        <v>153</v>
      </c>
      <c r="S162" t="s">
        <v>254</v>
      </c>
      <c r="T162" t="s">
        <v>157</v>
      </c>
      <c r="U162">
        <v>6.7660708367009168E-3</v>
      </c>
      <c r="V162" t="s">
        <v>153</v>
      </c>
    </row>
    <row r="163" spans="9:22" x14ac:dyDescent="0.45">
      <c r="I163" t="s">
        <v>169</v>
      </c>
      <c r="J163" t="s">
        <v>158</v>
      </c>
      <c r="K163">
        <v>0.10663215884022749</v>
      </c>
      <c r="L163" t="s">
        <v>153</v>
      </c>
      <c r="N163" t="s">
        <v>212</v>
      </c>
      <c r="O163" t="s">
        <v>158</v>
      </c>
      <c r="P163">
        <v>5.9515395858744366E-2</v>
      </c>
      <c r="Q163" t="s">
        <v>153</v>
      </c>
      <c r="S163" t="s">
        <v>254</v>
      </c>
      <c r="T163" t="s">
        <v>158</v>
      </c>
      <c r="U163">
        <v>6.3900841307530612E-2</v>
      </c>
      <c r="V163" t="s">
        <v>153</v>
      </c>
    </row>
    <row r="164" spans="9:22" x14ac:dyDescent="0.45">
      <c r="I164" t="s">
        <v>169</v>
      </c>
      <c r="J164" t="s">
        <v>283</v>
      </c>
      <c r="K164">
        <v>8.1283067808335888E-3</v>
      </c>
      <c r="L164" t="s">
        <v>153</v>
      </c>
      <c r="N164" t="s">
        <v>212</v>
      </c>
      <c r="O164" t="s">
        <v>283</v>
      </c>
      <c r="P164">
        <v>6.0506975431278932E-3</v>
      </c>
      <c r="Q164" t="s">
        <v>153</v>
      </c>
      <c r="S164" t="s">
        <v>254</v>
      </c>
      <c r="T164" t="s">
        <v>283</v>
      </c>
      <c r="U164">
        <v>8.2360995269678047E-3</v>
      </c>
      <c r="V164" t="s">
        <v>153</v>
      </c>
    </row>
    <row r="165" spans="9:22" x14ac:dyDescent="0.45">
      <c r="I165" t="s">
        <v>169</v>
      </c>
      <c r="J165" t="s">
        <v>284</v>
      </c>
      <c r="K165">
        <v>0</v>
      </c>
      <c r="L165" t="s">
        <v>153</v>
      </c>
      <c r="N165" t="s">
        <v>212</v>
      </c>
      <c r="O165" t="s">
        <v>284</v>
      </c>
      <c r="P165">
        <v>7.4097835679420706E-3</v>
      </c>
      <c r="Q165" t="s">
        <v>153</v>
      </c>
      <c r="S165" t="s">
        <v>254</v>
      </c>
      <c r="T165" t="s">
        <v>284</v>
      </c>
      <c r="U165">
        <v>7.9794016294285185E-3</v>
      </c>
      <c r="V165" t="s">
        <v>153</v>
      </c>
    </row>
    <row r="166" spans="9:22" x14ac:dyDescent="0.45">
      <c r="I166" t="s">
        <v>169</v>
      </c>
      <c r="J166" t="s">
        <v>285</v>
      </c>
      <c r="K166">
        <v>0</v>
      </c>
      <c r="L166" t="s">
        <v>153</v>
      </c>
      <c r="N166" t="s">
        <v>212</v>
      </c>
      <c r="O166" t="s">
        <v>285</v>
      </c>
      <c r="P166">
        <v>5.0114190789886832E-2</v>
      </c>
      <c r="Q166" t="s">
        <v>153</v>
      </c>
      <c r="S166" t="s">
        <v>254</v>
      </c>
      <c r="T166" t="s">
        <v>285</v>
      </c>
      <c r="U166">
        <v>3.6168956833852746E-2</v>
      </c>
      <c r="V166" t="s">
        <v>153</v>
      </c>
    </row>
    <row r="167" spans="9:22" x14ac:dyDescent="0.45">
      <c r="I167" t="s">
        <v>169</v>
      </c>
      <c r="J167" t="s">
        <v>159</v>
      </c>
      <c r="K167">
        <v>1.679972686111009E-2</v>
      </c>
      <c r="L167" t="s">
        <v>153</v>
      </c>
      <c r="N167" t="s">
        <v>212</v>
      </c>
      <c r="O167" t="s">
        <v>159</v>
      </c>
      <c r="P167">
        <v>0.13582710876861365</v>
      </c>
      <c r="Q167" t="s">
        <v>153</v>
      </c>
      <c r="S167" t="s">
        <v>254</v>
      </c>
      <c r="T167" t="s">
        <v>159</v>
      </c>
      <c r="U167">
        <v>9.9955683180343785E-2</v>
      </c>
      <c r="V167" t="s">
        <v>153</v>
      </c>
    </row>
    <row r="168" spans="9:22" x14ac:dyDescent="0.45">
      <c r="I168" t="s">
        <v>169</v>
      </c>
      <c r="J168" t="s">
        <v>160</v>
      </c>
      <c r="K168">
        <v>3.0428881129829537E-2</v>
      </c>
      <c r="L168" t="s">
        <v>153</v>
      </c>
      <c r="N168" t="s">
        <v>212</v>
      </c>
      <c r="O168" t="s">
        <v>160</v>
      </c>
      <c r="P168">
        <v>1.3927271442601624E-2</v>
      </c>
      <c r="Q168" t="s">
        <v>153</v>
      </c>
      <c r="S168" t="s">
        <v>254</v>
      </c>
      <c r="T168" t="s">
        <v>160</v>
      </c>
      <c r="U168">
        <v>1.4423234950280013E-2</v>
      </c>
      <c r="V168" t="s">
        <v>153</v>
      </c>
    </row>
    <row r="169" spans="9:22" x14ac:dyDescent="0.45">
      <c r="I169" t="s">
        <v>169</v>
      </c>
      <c r="J169" t="s">
        <v>161</v>
      </c>
      <c r="K169">
        <v>0.33617518283558856</v>
      </c>
      <c r="L169" t="s">
        <v>153</v>
      </c>
      <c r="N169" t="s">
        <v>212</v>
      </c>
      <c r="O169" t="s">
        <v>161</v>
      </c>
      <c r="P169">
        <v>0.14193236751706731</v>
      </c>
      <c r="Q169" t="s">
        <v>153</v>
      </c>
      <c r="S169" t="s">
        <v>254</v>
      </c>
      <c r="T169" t="s">
        <v>161</v>
      </c>
      <c r="U169">
        <v>0.15861913080567319</v>
      </c>
      <c r="V169" t="s">
        <v>153</v>
      </c>
    </row>
    <row r="170" spans="9:22" x14ac:dyDescent="0.45">
      <c r="I170" t="s">
        <v>169</v>
      </c>
      <c r="J170" t="s">
        <v>286</v>
      </c>
      <c r="K170">
        <v>2.6824313326163887E-2</v>
      </c>
      <c r="L170" t="s">
        <v>153</v>
      </c>
      <c r="N170" t="s">
        <v>212</v>
      </c>
      <c r="O170" t="s">
        <v>286</v>
      </c>
      <c r="P170">
        <v>1.7319849794949438E-2</v>
      </c>
      <c r="Q170" t="s">
        <v>153</v>
      </c>
      <c r="S170" t="s">
        <v>254</v>
      </c>
      <c r="T170" t="s">
        <v>286</v>
      </c>
      <c r="U170">
        <v>1.9601055380083481E-2</v>
      </c>
      <c r="V170" t="s">
        <v>153</v>
      </c>
    </row>
    <row r="171" spans="9:22" x14ac:dyDescent="0.45">
      <c r="I171" t="s">
        <v>169</v>
      </c>
      <c r="J171" t="s">
        <v>287</v>
      </c>
      <c r="K171">
        <v>1.2364510973320121E-2</v>
      </c>
      <c r="L171" t="s">
        <v>153</v>
      </c>
      <c r="N171" t="s">
        <v>212</v>
      </c>
      <c r="O171" t="s">
        <v>287</v>
      </c>
      <c r="P171">
        <v>1.7129404887928683E-2</v>
      </c>
      <c r="Q171" t="s">
        <v>153</v>
      </c>
      <c r="S171" t="s">
        <v>254</v>
      </c>
      <c r="T171" t="s">
        <v>287</v>
      </c>
      <c r="U171">
        <v>1.8577351274002812E-2</v>
      </c>
      <c r="V171" t="s">
        <v>153</v>
      </c>
    </row>
    <row r="172" spans="9:22" x14ac:dyDescent="0.45">
      <c r="I172" t="s">
        <v>169</v>
      </c>
      <c r="J172" t="s">
        <v>288</v>
      </c>
      <c r="K172">
        <v>5.4840562270108406E-5</v>
      </c>
      <c r="L172" t="s">
        <v>153</v>
      </c>
      <c r="N172" t="s">
        <v>212</v>
      </c>
      <c r="O172" t="s">
        <v>288</v>
      </c>
      <c r="P172">
        <v>0.11126513542384685</v>
      </c>
      <c r="Q172" t="s">
        <v>153</v>
      </c>
      <c r="S172" t="s">
        <v>254</v>
      </c>
      <c r="T172" t="s">
        <v>288</v>
      </c>
      <c r="U172">
        <v>8.1191147824606999E-2</v>
      </c>
      <c r="V172" t="s">
        <v>153</v>
      </c>
    </row>
    <row r="173" spans="9:22" x14ac:dyDescent="0.45">
      <c r="I173" t="s">
        <v>170</v>
      </c>
      <c r="J173" t="s">
        <v>152</v>
      </c>
      <c r="K173">
        <v>7.2097730118541913E-3</v>
      </c>
      <c r="L173" t="s">
        <v>153</v>
      </c>
      <c r="N173" t="s">
        <v>213</v>
      </c>
      <c r="O173" t="s">
        <v>152</v>
      </c>
      <c r="P173">
        <v>7.8317194319514533E-2</v>
      </c>
      <c r="Q173" t="s">
        <v>153</v>
      </c>
      <c r="S173" t="s">
        <v>255</v>
      </c>
      <c r="T173" t="s">
        <v>152</v>
      </c>
      <c r="U173">
        <v>0.11633470947145454</v>
      </c>
      <c r="V173" t="s">
        <v>153</v>
      </c>
    </row>
    <row r="174" spans="9:22" x14ac:dyDescent="0.45">
      <c r="I174" t="s">
        <v>170</v>
      </c>
      <c r="J174" t="s">
        <v>154</v>
      </c>
      <c r="K174">
        <v>2.3221723256321439E-2</v>
      </c>
      <c r="L174" t="s">
        <v>153</v>
      </c>
      <c r="N174" t="s">
        <v>213</v>
      </c>
      <c r="O174" t="s">
        <v>154</v>
      </c>
      <c r="P174">
        <v>9.3994955918659338E-3</v>
      </c>
      <c r="Q174" t="s">
        <v>153</v>
      </c>
      <c r="S174" t="s">
        <v>255</v>
      </c>
      <c r="T174" t="s">
        <v>154</v>
      </c>
      <c r="U174">
        <v>1.6006657669516602E-2</v>
      </c>
      <c r="V174" t="s">
        <v>153</v>
      </c>
    </row>
    <row r="175" spans="9:22" x14ac:dyDescent="0.45">
      <c r="I175" t="s">
        <v>170</v>
      </c>
      <c r="J175" t="s">
        <v>155</v>
      </c>
      <c r="K175">
        <v>0.37249008101297904</v>
      </c>
      <c r="L175" t="s">
        <v>153</v>
      </c>
      <c r="N175" t="s">
        <v>213</v>
      </c>
      <c r="O175" t="s">
        <v>155</v>
      </c>
      <c r="P175">
        <v>0.14097242598314494</v>
      </c>
      <c r="Q175" t="s">
        <v>153</v>
      </c>
      <c r="S175" t="s">
        <v>255</v>
      </c>
      <c r="T175" t="s">
        <v>155</v>
      </c>
      <c r="U175">
        <v>0.1522471254384421</v>
      </c>
      <c r="V175" t="s">
        <v>153</v>
      </c>
    </row>
    <row r="176" spans="9:22" x14ac:dyDescent="0.45">
      <c r="I176" t="s">
        <v>170</v>
      </c>
      <c r="J176" t="s">
        <v>280</v>
      </c>
      <c r="K176">
        <v>3.5986347800085486E-2</v>
      </c>
      <c r="L176" t="s">
        <v>153</v>
      </c>
      <c r="N176" t="s">
        <v>213</v>
      </c>
      <c r="O176" t="s">
        <v>280</v>
      </c>
      <c r="P176">
        <v>2.8528324761367501E-2</v>
      </c>
      <c r="Q176" t="s">
        <v>153</v>
      </c>
      <c r="S176" t="s">
        <v>255</v>
      </c>
      <c r="T176" t="s">
        <v>280</v>
      </c>
      <c r="U176">
        <v>2.0613564558335407E-2</v>
      </c>
      <c r="V176" t="s">
        <v>153</v>
      </c>
    </row>
    <row r="177" spans="9:22" x14ac:dyDescent="0.45">
      <c r="I177" t="s">
        <v>170</v>
      </c>
      <c r="J177" t="s">
        <v>281</v>
      </c>
      <c r="K177">
        <v>2.0710353575563029E-2</v>
      </c>
      <c r="L177" t="s">
        <v>153</v>
      </c>
      <c r="N177" t="s">
        <v>213</v>
      </c>
      <c r="O177" t="s">
        <v>281</v>
      </c>
      <c r="P177">
        <v>2.8007438026234621E-2</v>
      </c>
      <c r="Q177" t="s">
        <v>153</v>
      </c>
      <c r="S177" t="s">
        <v>255</v>
      </c>
      <c r="T177" t="s">
        <v>281</v>
      </c>
      <c r="U177">
        <v>2.141355545106086E-2</v>
      </c>
      <c r="V177" t="s">
        <v>153</v>
      </c>
    </row>
    <row r="178" spans="9:22" x14ac:dyDescent="0.45">
      <c r="I178" t="s">
        <v>170</v>
      </c>
      <c r="J178" t="s">
        <v>282</v>
      </c>
      <c r="K178">
        <v>7.8873871656973769E-3</v>
      </c>
      <c r="L178" t="s">
        <v>153</v>
      </c>
      <c r="N178" t="s">
        <v>213</v>
      </c>
      <c r="O178" t="s">
        <v>282</v>
      </c>
      <c r="P178">
        <v>9.521768850369576E-2</v>
      </c>
      <c r="Q178" t="s">
        <v>153</v>
      </c>
      <c r="S178" t="s">
        <v>255</v>
      </c>
      <c r="T178" t="s">
        <v>282</v>
      </c>
      <c r="U178">
        <v>0.10443540685755308</v>
      </c>
      <c r="V178" t="s">
        <v>153</v>
      </c>
    </row>
    <row r="179" spans="9:22" x14ac:dyDescent="0.45">
      <c r="I179" t="s">
        <v>170</v>
      </c>
      <c r="J179" t="s">
        <v>156</v>
      </c>
      <c r="K179">
        <v>0</v>
      </c>
      <c r="L179" t="s">
        <v>153</v>
      </c>
      <c r="N179" t="s">
        <v>213</v>
      </c>
      <c r="O179" t="s">
        <v>156</v>
      </c>
      <c r="P179">
        <v>4.9945134847874627E-2</v>
      </c>
      <c r="Q179" t="s">
        <v>153</v>
      </c>
      <c r="S179" t="s">
        <v>255</v>
      </c>
      <c r="T179" t="s">
        <v>156</v>
      </c>
      <c r="U179">
        <v>4.4603768932123915E-2</v>
      </c>
      <c r="V179" t="s">
        <v>153</v>
      </c>
    </row>
    <row r="180" spans="9:22" x14ac:dyDescent="0.45">
      <c r="I180" t="s">
        <v>170</v>
      </c>
      <c r="J180" t="s">
        <v>157</v>
      </c>
      <c r="K180">
        <v>3.8399041985056243E-4</v>
      </c>
      <c r="L180" t="s">
        <v>153</v>
      </c>
      <c r="N180" t="s">
        <v>213</v>
      </c>
      <c r="O180" t="s">
        <v>157</v>
      </c>
      <c r="P180">
        <v>5.6645283300195744E-3</v>
      </c>
      <c r="Q180" t="s">
        <v>153</v>
      </c>
      <c r="S180" t="s">
        <v>255</v>
      </c>
      <c r="T180" t="s">
        <v>157</v>
      </c>
      <c r="U180">
        <v>6.1966516877318759E-3</v>
      </c>
      <c r="V180" t="s">
        <v>153</v>
      </c>
    </row>
    <row r="181" spans="9:22" x14ac:dyDescent="0.45">
      <c r="I181" t="s">
        <v>170</v>
      </c>
      <c r="J181" t="s">
        <v>158</v>
      </c>
      <c r="K181">
        <v>8.388966779922509E-2</v>
      </c>
      <c r="L181" t="s">
        <v>153</v>
      </c>
      <c r="N181" t="s">
        <v>213</v>
      </c>
      <c r="O181" t="s">
        <v>158</v>
      </c>
      <c r="P181">
        <v>4.796493037711607E-2</v>
      </c>
      <c r="Q181" t="s">
        <v>153</v>
      </c>
      <c r="S181" t="s">
        <v>255</v>
      </c>
      <c r="T181" t="s">
        <v>158</v>
      </c>
      <c r="U181">
        <v>5.5707716569573122E-2</v>
      </c>
      <c r="V181" t="s">
        <v>153</v>
      </c>
    </row>
    <row r="182" spans="9:22" x14ac:dyDescent="0.45">
      <c r="I182" t="s">
        <v>170</v>
      </c>
      <c r="J182" t="s">
        <v>283</v>
      </c>
      <c r="K182">
        <v>7.1399367752862011E-3</v>
      </c>
      <c r="L182" t="s">
        <v>153</v>
      </c>
      <c r="N182" t="s">
        <v>213</v>
      </c>
      <c r="O182" t="s">
        <v>283</v>
      </c>
      <c r="P182">
        <v>8.8104972248211118E-3</v>
      </c>
      <c r="Q182" t="s">
        <v>153</v>
      </c>
      <c r="S182" t="s">
        <v>255</v>
      </c>
      <c r="T182" t="s">
        <v>283</v>
      </c>
      <c r="U182">
        <v>7.5571731619499564E-3</v>
      </c>
      <c r="V182" t="s">
        <v>153</v>
      </c>
    </row>
    <row r="183" spans="9:22" x14ac:dyDescent="0.45">
      <c r="I183" t="s">
        <v>170</v>
      </c>
      <c r="J183" t="s">
        <v>284</v>
      </c>
      <c r="K183">
        <v>0</v>
      </c>
      <c r="L183" t="s">
        <v>153</v>
      </c>
      <c r="N183" t="s">
        <v>213</v>
      </c>
      <c r="O183" t="s">
        <v>284</v>
      </c>
      <c r="P183">
        <v>8.8559783773457489E-3</v>
      </c>
      <c r="Q183" t="s">
        <v>153</v>
      </c>
      <c r="S183" t="s">
        <v>255</v>
      </c>
      <c r="T183" t="s">
        <v>284</v>
      </c>
      <c r="U183">
        <v>7.7817959786973916E-3</v>
      </c>
      <c r="V183" t="s">
        <v>153</v>
      </c>
    </row>
    <row r="184" spans="9:22" x14ac:dyDescent="0.45">
      <c r="I184" t="s">
        <v>170</v>
      </c>
      <c r="J184" t="s">
        <v>285</v>
      </c>
      <c r="K184">
        <v>0</v>
      </c>
      <c r="L184" t="s">
        <v>153</v>
      </c>
      <c r="N184" t="s">
        <v>213</v>
      </c>
      <c r="O184" t="s">
        <v>285</v>
      </c>
      <c r="P184">
        <v>3.8312812138631427E-2</v>
      </c>
      <c r="Q184" t="s">
        <v>153</v>
      </c>
      <c r="S184" t="s">
        <v>255</v>
      </c>
      <c r="T184" t="s">
        <v>285</v>
      </c>
      <c r="U184">
        <v>3.7725322831856194E-2</v>
      </c>
      <c r="V184" t="s">
        <v>153</v>
      </c>
    </row>
    <row r="185" spans="9:22" x14ac:dyDescent="0.45">
      <c r="I185" t="s">
        <v>170</v>
      </c>
      <c r="J185" t="s">
        <v>159</v>
      </c>
      <c r="K185">
        <v>1.5063952113756178E-2</v>
      </c>
      <c r="L185" t="s">
        <v>153</v>
      </c>
      <c r="N185" t="s">
        <v>213</v>
      </c>
      <c r="O185" t="s">
        <v>159</v>
      </c>
      <c r="P185">
        <v>8.1153714890643228E-2</v>
      </c>
      <c r="Q185" t="s">
        <v>153</v>
      </c>
      <c r="S185" t="s">
        <v>255</v>
      </c>
      <c r="T185" t="s">
        <v>159</v>
      </c>
      <c r="U185">
        <v>0.11485949813738838</v>
      </c>
      <c r="V185" t="s">
        <v>153</v>
      </c>
    </row>
    <row r="186" spans="9:22" x14ac:dyDescent="0.45">
      <c r="I186" t="s">
        <v>170</v>
      </c>
      <c r="J186" t="s">
        <v>160</v>
      </c>
      <c r="K186">
        <v>2.7284476747396053E-2</v>
      </c>
      <c r="L186" t="s">
        <v>153</v>
      </c>
      <c r="N186" t="s">
        <v>213</v>
      </c>
      <c r="O186" t="s">
        <v>160</v>
      </c>
      <c r="P186">
        <v>1.0839676714537429E-2</v>
      </c>
      <c r="Q186" t="s">
        <v>153</v>
      </c>
      <c r="S186" t="s">
        <v>255</v>
      </c>
      <c r="T186" t="s">
        <v>160</v>
      </c>
      <c r="U186">
        <v>1.5921920193105676E-2</v>
      </c>
      <c r="V186" t="s">
        <v>153</v>
      </c>
    </row>
    <row r="187" spans="9:22" x14ac:dyDescent="0.45">
      <c r="I187" t="s">
        <v>170</v>
      </c>
      <c r="J187" t="s">
        <v>161</v>
      </c>
      <c r="K187">
        <v>0.3424527281713472</v>
      </c>
      <c r="L187" t="s">
        <v>153</v>
      </c>
      <c r="N187" t="s">
        <v>213</v>
      </c>
      <c r="O187" t="s">
        <v>161</v>
      </c>
      <c r="P187">
        <v>0.18916277583544172</v>
      </c>
      <c r="Q187" t="s">
        <v>153</v>
      </c>
      <c r="S187" t="s">
        <v>255</v>
      </c>
      <c r="T187" t="s">
        <v>161</v>
      </c>
      <c r="U187">
        <v>0.14617269167808494</v>
      </c>
      <c r="V187" t="s">
        <v>153</v>
      </c>
    </row>
    <row r="188" spans="9:22" x14ac:dyDescent="0.45">
      <c r="I188" t="s">
        <v>170</v>
      </c>
      <c r="J188" t="s">
        <v>286</v>
      </c>
      <c r="K188">
        <v>3.1562483975652131E-2</v>
      </c>
      <c r="L188" t="s">
        <v>153</v>
      </c>
      <c r="N188" t="s">
        <v>213</v>
      </c>
      <c r="O188" t="s">
        <v>286</v>
      </c>
      <c r="P188">
        <v>3.4900085566151484E-2</v>
      </c>
      <c r="Q188" t="s">
        <v>153</v>
      </c>
      <c r="S188" t="s">
        <v>255</v>
      </c>
      <c r="T188" t="s">
        <v>286</v>
      </c>
      <c r="U188">
        <v>1.8880028524052413E-2</v>
      </c>
      <c r="V188" t="s">
        <v>153</v>
      </c>
    </row>
    <row r="189" spans="9:22" x14ac:dyDescent="0.45">
      <c r="I189" t="s">
        <v>170</v>
      </c>
      <c r="J189" t="s">
        <v>287</v>
      </c>
      <c r="K189">
        <v>2.028873585735028E-2</v>
      </c>
      <c r="L189" t="s">
        <v>153</v>
      </c>
      <c r="N189" t="s">
        <v>213</v>
      </c>
      <c r="O189" t="s">
        <v>287</v>
      </c>
      <c r="P189">
        <v>3.4961551840345571E-2</v>
      </c>
      <c r="Q189" t="s">
        <v>153</v>
      </c>
      <c r="S189" t="s">
        <v>255</v>
      </c>
      <c r="T189" t="s">
        <v>287</v>
      </c>
      <c r="U189">
        <v>1.9309485802992032E-2</v>
      </c>
      <c r="V189" t="s">
        <v>153</v>
      </c>
    </row>
    <row r="190" spans="9:22" x14ac:dyDescent="0.45">
      <c r="I190" t="s">
        <v>170</v>
      </c>
      <c r="J190" t="s">
        <v>288</v>
      </c>
      <c r="K190">
        <v>4.4283623176352835E-3</v>
      </c>
      <c r="L190" t="s">
        <v>153</v>
      </c>
      <c r="N190" t="s">
        <v>213</v>
      </c>
      <c r="O190" t="s">
        <v>288</v>
      </c>
      <c r="P190">
        <v>0.10898574667125092</v>
      </c>
      <c r="Q190" t="s">
        <v>153</v>
      </c>
      <c r="S190" t="s">
        <v>255</v>
      </c>
      <c r="T190" t="s">
        <v>288</v>
      </c>
      <c r="U190">
        <v>9.4232927056077387E-2</v>
      </c>
      <c r="V190" t="s">
        <v>153</v>
      </c>
    </row>
    <row r="191" spans="9:22" x14ac:dyDescent="0.45">
      <c r="I191" t="s">
        <v>171</v>
      </c>
      <c r="J191" t="s">
        <v>152</v>
      </c>
      <c r="K191">
        <v>9.0892139921714236E-3</v>
      </c>
      <c r="L191" t="s">
        <v>153</v>
      </c>
      <c r="N191" t="s">
        <v>214</v>
      </c>
      <c r="O191" t="s">
        <v>152</v>
      </c>
      <c r="P191">
        <v>9.2724059656491636E-2</v>
      </c>
      <c r="Q191" t="s">
        <v>153</v>
      </c>
      <c r="S191" t="s">
        <v>256</v>
      </c>
      <c r="T191" t="s">
        <v>152</v>
      </c>
      <c r="U191">
        <v>0.1206872060411267</v>
      </c>
      <c r="V191" t="s">
        <v>153</v>
      </c>
    </row>
    <row r="192" spans="9:22" x14ac:dyDescent="0.45">
      <c r="I192" t="s">
        <v>171</v>
      </c>
      <c r="J192" t="s">
        <v>154</v>
      </c>
      <c r="K192">
        <v>2.7219566253791721E-2</v>
      </c>
      <c r="L192" t="s">
        <v>153</v>
      </c>
      <c r="N192" t="s">
        <v>214</v>
      </c>
      <c r="O192" t="s">
        <v>154</v>
      </c>
      <c r="P192">
        <v>1.2515840508006987E-2</v>
      </c>
      <c r="Q192" t="s">
        <v>153</v>
      </c>
      <c r="S192" t="s">
        <v>256</v>
      </c>
      <c r="T192" t="s">
        <v>154</v>
      </c>
      <c r="U192">
        <v>1.6981003479897679E-2</v>
      </c>
      <c r="V192" t="s">
        <v>153</v>
      </c>
    </row>
    <row r="193" spans="9:22" x14ac:dyDescent="0.45">
      <c r="I193" t="s">
        <v>171</v>
      </c>
      <c r="J193" t="s">
        <v>155</v>
      </c>
      <c r="K193">
        <v>0.3715071558916514</v>
      </c>
      <c r="L193" t="s">
        <v>153</v>
      </c>
      <c r="N193" t="s">
        <v>214</v>
      </c>
      <c r="O193" t="s">
        <v>155</v>
      </c>
      <c r="P193">
        <v>0.11144689630703067</v>
      </c>
      <c r="Q193" t="s">
        <v>153</v>
      </c>
      <c r="S193" t="s">
        <v>256</v>
      </c>
      <c r="T193" t="s">
        <v>155</v>
      </c>
      <c r="U193">
        <v>0.16307540302074142</v>
      </c>
      <c r="V193" t="s">
        <v>153</v>
      </c>
    </row>
    <row r="194" spans="9:22" x14ac:dyDescent="0.45">
      <c r="I194" t="s">
        <v>171</v>
      </c>
      <c r="J194" t="s">
        <v>280</v>
      </c>
      <c r="K194">
        <v>3.4382879406051871E-2</v>
      </c>
      <c r="L194" t="s">
        <v>153</v>
      </c>
      <c r="N194" t="s">
        <v>214</v>
      </c>
      <c r="O194" t="s">
        <v>280</v>
      </c>
      <c r="P194">
        <v>1.7586340542126187E-2</v>
      </c>
      <c r="Q194" t="s">
        <v>153</v>
      </c>
      <c r="S194" t="s">
        <v>256</v>
      </c>
      <c r="T194" t="s">
        <v>280</v>
      </c>
      <c r="U194">
        <v>2.1284460139335892E-2</v>
      </c>
      <c r="V194" t="s">
        <v>153</v>
      </c>
    </row>
    <row r="195" spans="9:22" x14ac:dyDescent="0.45">
      <c r="I195" t="s">
        <v>171</v>
      </c>
      <c r="J195" t="s">
        <v>281</v>
      </c>
      <c r="K195">
        <v>1.8786586355302844E-2</v>
      </c>
      <c r="L195" t="s">
        <v>153</v>
      </c>
      <c r="N195" t="s">
        <v>214</v>
      </c>
      <c r="O195" t="s">
        <v>281</v>
      </c>
      <c r="P195">
        <v>2.0186558807750637E-2</v>
      </c>
      <c r="Q195" t="s">
        <v>153</v>
      </c>
      <c r="S195" t="s">
        <v>256</v>
      </c>
      <c r="T195" t="s">
        <v>281</v>
      </c>
      <c r="U195">
        <v>2.1478195779568391E-2</v>
      </c>
      <c r="V195" t="s">
        <v>153</v>
      </c>
    </row>
    <row r="196" spans="9:22" x14ac:dyDescent="0.45">
      <c r="I196" t="s">
        <v>171</v>
      </c>
      <c r="J196" t="s">
        <v>282</v>
      </c>
      <c r="K196">
        <v>6.2553884596811974E-3</v>
      </c>
      <c r="L196" t="s">
        <v>153</v>
      </c>
      <c r="N196" t="s">
        <v>214</v>
      </c>
      <c r="O196" t="s">
        <v>282</v>
      </c>
      <c r="P196">
        <v>9.0953625303946017E-2</v>
      </c>
      <c r="Q196" t="s">
        <v>153</v>
      </c>
      <c r="S196" t="s">
        <v>256</v>
      </c>
      <c r="T196" t="s">
        <v>282</v>
      </c>
      <c r="U196">
        <v>0.10000692574386877</v>
      </c>
      <c r="V196" t="s">
        <v>153</v>
      </c>
    </row>
    <row r="197" spans="9:22" x14ac:dyDescent="0.45">
      <c r="I197" t="s">
        <v>171</v>
      </c>
      <c r="J197" t="s">
        <v>156</v>
      </c>
      <c r="K197">
        <v>0</v>
      </c>
      <c r="L197" t="s">
        <v>153</v>
      </c>
      <c r="N197" t="s">
        <v>214</v>
      </c>
      <c r="O197" t="s">
        <v>156</v>
      </c>
      <c r="P197">
        <v>7.9335942569762966E-2</v>
      </c>
      <c r="Q197" t="s">
        <v>153</v>
      </c>
      <c r="S197" t="s">
        <v>256</v>
      </c>
      <c r="T197" t="s">
        <v>156</v>
      </c>
      <c r="U197">
        <v>4.3663626401278306E-2</v>
      </c>
      <c r="V197" t="s">
        <v>153</v>
      </c>
    </row>
    <row r="198" spans="9:22" x14ac:dyDescent="0.45">
      <c r="I198" t="s">
        <v>171</v>
      </c>
      <c r="J198" t="s">
        <v>157</v>
      </c>
      <c r="K198">
        <v>7.7193152871038158E-4</v>
      </c>
      <c r="L198" t="s">
        <v>153</v>
      </c>
      <c r="N198" t="s">
        <v>214</v>
      </c>
      <c r="O198" t="s">
        <v>157</v>
      </c>
      <c r="P198">
        <v>1.0993141937450324E-2</v>
      </c>
      <c r="Q198" t="s">
        <v>153</v>
      </c>
      <c r="S198" t="s">
        <v>256</v>
      </c>
      <c r="T198" t="s">
        <v>157</v>
      </c>
      <c r="U198">
        <v>6.16353247817751E-3</v>
      </c>
      <c r="V198" t="s">
        <v>153</v>
      </c>
    </row>
    <row r="199" spans="9:22" x14ac:dyDescent="0.45">
      <c r="I199" t="s">
        <v>171</v>
      </c>
      <c r="J199" t="s">
        <v>158</v>
      </c>
      <c r="K199">
        <v>8.4219465982539862E-2</v>
      </c>
      <c r="L199" t="s">
        <v>153</v>
      </c>
      <c r="N199" t="s">
        <v>214</v>
      </c>
      <c r="O199" t="s">
        <v>158</v>
      </c>
      <c r="P199">
        <v>7.4426268199186699E-2</v>
      </c>
      <c r="Q199" t="s">
        <v>153</v>
      </c>
      <c r="S199" t="s">
        <v>256</v>
      </c>
      <c r="T199" t="s">
        <v>158</v>
      </c>
      <c r="U199">
        <v>5.9143217808574261E-2</v>
      </c>
      <c r="V199" t="s">
        <v>153</v>
      </c>
    </row>
    <row r="200" spans="9:22" x14ac:dyDescent="0.45">
      <c r="I200" t="s">
        <v>171</v>
      </c>
      <c r="J200" t="s">
        <v>283</v>
      </c>
      <c r="K200">
        <v>7.2085436884927034E-3</v>
      </c>
      <c r="L200" t="s">
        <v>153</v>
      </c>
      <c r="N200" t="s">
        <v>214</v>
      </c>
      <c r="O200" t="s">
        <v>283</v>
      </c>
      <c r="P200">
        <v>7.4841094906323733E-3</v>
      </c>
      <c r="Q200" t="s">
        <v>153</v>
      </c>
      <c r="S200" t="s">
        <v>256</v>
      </c>
      <c r="T200" t="s">
        <v>283</v>
      </c>
      <c r="U200">
        <v>7.550333650419158E-3</v>
      </c>
      <c r="V200" t="s">
        <v>153</v>
      </c>
    </row>
    <row r="201" spans="9:22" x14ac:dyDescent="0.45">
      <c r="I201" t="s">
        <v>171</v>
      </c>
      <c r="J201" t="s">
        <v>284</v>
      </c>
      <c r="K201">
        <v>0</v>
      </c>
      <c r="L201" t="s">
        <v>153</v>
      </c>
      <c r="N201" t="s">
        <v>214</v>
      </c>
      <c r="O201" t="s">
        <v>284</v>
      </c>
      <c r="P201">
        <v>9.1427597948908531E-3</v>
      </c>
      <c r="Q201" t="s">
        <v>153</v>
      </c>
      <c r="S201" t="s">
        <v>256</v>
      </c>
      <c r="T201" t="s">
        <v>284</v>
      </c>
      <c r="U201">
        <v>7.7238944461034669E-3</v>
      </c>
      <c r="V201" t="s">
        <v>153</v>
      </c>
    </row>
    <row r="202" spans="9:22" x14ac:dyDescent="0.45">
      <c r="I202" t="s">
        <v>171</v>
      </c>
      <c r="J202" t="s">
        <v>285</v>
      </c>
      <c r="K202">
        <v>0</v>
      </c>
      <c r="L202" t="s">
        <v>153</v>
      </c>
      <c r="N202" t="s">
        <v>214</v>
      </c>
      <c r="O202" t="s">
        <v>285</v>
      </c>
      <c r="P202">
        <v>5.0238730639010659E-2</v>
      </c>
      <c r="Q202" t="s">
        <v>153</v>
      </c>
      <c r="S202" t="s">
        <v>256</v>
      </c>
      <c r="T202" t="s">
        <v>285</v>
      </c>
      <c r="U202">
        <v>3.7803319569650613E-2</v>
      </c>
      <c r="V202" t="s">
        <v>153</v>
      </c>
    </row>
    <row r="203" spans="9:22" x14ac:dyDescent="0.45">
      <c r="I203" t="s">
        <v>171</v>
      </c>
      <c r="J203" t="s">
        <v>159</v>
      </c>
      <c r="K203">
        <v>1.6907441356695051E-2</v>
      </c>
      <c r="L203" t="s">
        <v>153</v>
      </c>
      <c r="N203" t="s">
        <v>214</v>
      </c>
      <c r="O203" t="s">
        <v>159</v>
      </c>
      <c r="P203">
        <v>0.10140686925212668</v>
      </c>
      <c r="Q203" t="s">
        <v>153</v>
      </c>
      <c r="S203" t="s">
        <v>256</v>
      </c>
      <c r="T203" t="s">
        <v>159</v>
      </c>
      <c r="U203">
        <v>0.10988716405682811</v>
      </c>
      <c r="V203" t="s">
        <v>153</v>
      </c>
    </row>
    <row r="204" spans="9:22" x14ac:dyDescent="0.45">
      <c r="I204" t="s">
        <v>171</v>
      </c>
      <c r="J204" t="s">
        <v>160</v>
      </c>
      <c r="K204">
        <v>2.9526241344862068E-2</v>
      </c>
      <c r="L204" t="s">
        <v>153</v>
      </c>
      <c r="N204" t="s">
        <v>214</v>
      </c>
      <c r="O204" t="s">
        <v>160</v>
      </c>
      <c r="P204">
        <v>1.2700624640406138E-2</v>
      </c>
      <c r="Q204" t="s">
        <v>153</v>
      </c>
      <c r="S204" t="s">
        <v>256</v>
      </c>
      <c r="T204" t="s">
        <v>160</v>
      </c>
      <c r="U204">
        <v>1.5252472134061243E-2</v>
      </c>
      <c r="V204" t="s">
        <v>153</v>
      </c>
    </row>
    <row r="205" spans="9:22" x14ac:dyDescent="0.45">
      <c r="I205" t="s">
        <v>171</v>
      </c>
      <c r="J205" t="s">
        <v>161</v>
      </c>
      <c r="K205">
        <v>0.34314283907637205</v>
      </c>
      <c r="L205" t="s">
        <v>153</v>
      </c>
      <c r="N205" t="s">
        <v>214</v>
      </c>
      <c r="O205" t="s">
        <v>161</v>
      </c>
      <c r="P205">
        <v>0.15310710409020925</v>
      </c>
      <c r="Q205" t="s">
        <v>153</v>
      </c>
      <c r="S205" t="s">
        <v>256</v>
      </c>
      <c r="T205" t="s">
        <v>161</v>
      </c>
      <c r="U205">
        <v>0.14507489019434477</v>
      </c>
      <c r="V205" t="s">
        <v>153</v>
      </c>
    </row>
    <row r="206" spans="9:22" x14ac:dyDescent="0.45">
      <c r="I206" t="s">
        <v>171</v>
      </c>
      <c r="J206" t="s">
        <v>286</v>
      </c>
      <c r="K206">
        <v>3.0079855637480047E-2</v>
      </c>
      <c r="L206" t="s">
        <v>153</v>
      </c>
      <c r="N206" t="s">
        <v>214</v>
      </c>
      <c r="O206" t="s">
        <v>286</v>
      </c>
      <c r="P206">
        <v>2.3595285228586237E-2</v>
      </c>
      <c r="Q206" t="s">
        <v>153</v>
      </c>
      <c r="S206" t="s">
        <v>256</v>
      </c>
      <c r="T206" t="s">
        <v>286</v>
      </c>
      <c r="U206">
        <v>1.8237698283704903E-2</v>
      </c>
      <c r="V206" t="s">
        <v>153</v>
      </c>
    </row>
    <row r="207" spans="9:22" x14ac:dyDescent="0.45">
      <c r="I207" t="s">
        <v>171</v>
      </c>
      <c r="J207" t="s">
        <v>287</v>
      </c>
      <c r="K207">
        <v>1.7612482821433954E-2</v>
      </c>
      <c r="L207" t="s">
        <v>153</v>
      </c>
      <c r="N207" t="s">
        <v>214</v>
      </c>
      <c r="O207" t="s">
        <v>287</v>
      </c>
      <c r="P207">
        <v>2.6149321345894771E-2</v>
      </c>
      <c r="Q207" t="s">
        <v>153</v>
      </c>
      <c r="S207" t="s">
        <v>256</v>
      </c>
      <c r="T207" t="s">
        <v>287</v>
      </c>
      <c r="U207">
        <v>1.8467905211987632E-2</v>
      </c>
      <c r="V207" t="s">
        <v>153</v>
      </c>
    </row>
    <row r="208" spans="9:22" x14ac:dyDescent="0.45">
      <c r="I208" t="s">
        <v>171</v>
      </c>
      <c r="J208" t="s">
        <v>288</v>
      </c>
      <c r="K208">
        <v>3.2904082047633967E-3</v>
      </c>
      <c r="L208" t="s">
        <v>153</v>
      </c>
      <c r="N208" t="s">
        <v>214</v>
      </c>
      <c r="O208" t="s">
        <v>288</v>
      </c>
      <c r="P208">
        <v>0.10600652168649277</v>
      </c>
      <c r="Q208" t="s">
        <v>153</v>
      </c>
      <c r="S208" t="s">
        <v>256</v>
      </c>
      <c r="T208" t="s">
        <v>288</v>
      </c>
      <c r="U208">
        <v>8.7518751560331565E-2</v>
      </c>
      <c r="V208" t="s">
        <v>153</v>
      </c>
    </row>
    <row r="209" spans="9:22" x14ac:dyDescent="0.45">
      <c r="I209" t="s">
        <v>172</v>
      </c>
      <c r="J209" t="s">
        <v>152</v>
      </c>
      <c r="K209">
        <v>5.906106435818282E-3</v>
      </c>
      <c r="L209" t="s">
        <v>153</v>
      </c>
      <c r="N209" t="s">
        <v>215</v>
      </c>
      <c r="O209" t="s">
        <v>152</v>
      </c>
      <c r="P209">
        <v>0.10815575888411398</v>
      </c>
      <c r="Q209" t="s">
        <v>153</v>
      </c>
      <c r="S209" t="s">
        <v>257</v>
      </c>
      <c r="T209" t="s">
        <v>152</v>
      </c>
      <c r="U209">
        <v>0.12833467342761806</v>
      </c>
      <c r="V209" t="s">
        <v>153</v>
      </c>
    </row>
    <row r="210" spans="9:22" x14ac:dyDescent="0.45">
      <c r="I210" t="s">
        <v>172</v>
      </c>
      <c r="J210" t="s">
        <v>154</v>
      </c>
      <c r="K210">
        <v>2.2309510441255415E-2</v>
      </c>
      <c r="L210" t="s">
        <v>153</v>
      </c>
      <c r="N210" t="s">
        <v>215</v>
      </c>
      <c r="O210" t="s">
        <v>154</v>
      </c>
      <c r="P210">
        <v>1.6133832749471867E-2</v>
      </c>
      <c r="Q210" t="s">
        <v>153</v>
      </c>
      <c r="S210" t="s">
        <v>257</v>
      </c>
      <c r="T210" t="s">
        <v>154</v>
      </c>
      <c r="U210">
        <v>1.7707940586862706E-2</v>
      </c>
      <c r="V210" t="s">
        <v>153</v>
      </c>
    </row>
    <row r="211" spans="9:22" x14ac:dyDescent="0.45">
      <c r="I211" t="s">
        <v>172</v>
      </c>
      <c r="J211" t="s">
        <v>155</v>
      </c>
      <c r="K211">
        <v>0.37102177518997737</v>
      </c>
      <c r="L211" t="s">
        <v>153</v>
      </c>
      <c r="N211" t="s">
        <v>215</v>
      </c>
      <c r="O211" t="s">
        <v>155</v>
      </c>
      <c r="P211">
        <v>0.17283523903725237</v>
      </c>
      <c r="Q211" t="s">
        <v>153</v>
      </c>
      <c r="S211" t="s">
        <v>257</v>
      </c>
      <c r="T211" t="s">
        <v>155</v>
      </c>
      <c r="U211">
        <v>0.16477101496394911</v>
      </c>
      <c r="V211" t="s">
        <v>153</v>
      </c>
    </row>
    <row r="212" spans="9:22" x14ac:dyDescent="0.45">
      <c r="I212" t="s">
        <v>172</v>
      </c>
      <c r="J212" t="s">
        <v>280</v>
      </c>
      <c r="K212">
        <v>3.581020798877501E-2</v>
      </c>
      <c r="L212" t="s">
        <v>153</v>
      </c>
      <c r="N212" t="s">
        <v>215</v>
      </c>
      <c r="O212" t="s">
        <v>280</v>
      </c>
      <c r="P212">
        <v>2.428576108594007E-2</v>
      </c>
      <c r="Q212" t="s">
        <v>153</v>
      </c>
      <c r="S212" t="s">
        <v>257</v>
      </c>
      <c r="T212" t="s">
        <v>280</v>
      </c>
      <c r="U212">
        <v>2.049989556529944E-2</v>
      </c>
      <c r="V212" t="s">
        <v>153</v>
      </c>
    </row>
    <row r="213" spans="9:22" x14ac:dyDescent="0.45">
      <c r="I213" t="s">
        <v>172</v>
      </c>
      <c r="J213" t="s">
        <v>281</v>
      </c>
      <c r="K213">
        <v>2.0377651058609871E-2</v>
      </c>
      <c r="L213" t="s">
        <v>153</v>
      </c>
      <c r="N213" t="s">
        <v>215</v>
      </c>
      <c r="O213" t="s">
        <v>281</v>
      </c>
      <c r="P213">
        <v>2.3587688790238974E-2</v>
      </c>
      <c r="Q213" t="s">
        <v>153</v>
      </c>
      <c r="S213" t="s">
        <v>257</v>
      </c>
      <c r="T213" t="s">
        <v>281</v>
      </c>
      <c r="U213">
        <v>2.0776283267004373E-2</v>
      </c>
      <c r="V213" t="s">
        <v>153</v>
      </c>
    </row>
    <row r="214" spans="9:22" x14ac:dyDescent="0.45">
      <c r="I214" t="s">
        <v>172</v>
      </c>
      <c r="J214" t="s">
        <v>282</v>
      </c>
      <c r="K214">
        <v>7.1902114523459942E-3</v>
      </c>
      <c r="L214" t="s">
        <v>153</v>
      </c>
      <c r="N214" t="s">
        <v>215</v>
      </c>
      <c r="O214" t="s">
        <v>282</v>
      </c>
      <c r="P214">
        <v>8.8697605515063407E-2</v>
      </c>
      <c r="Q214" t="s">
        <v>153</v>
      </c>
      <c r="S214" t="s">
        <v>257</v>
      </c>
      <c r="T214" t="s">
        <v>282</v>
      </c>
      <c r="U214">
        <v>0.10085280120094053</v>
      </c>
      <c r="V214" t="s">
        <v>153</v>
      </c>
    </row>
    <row r="215" spans="9:22" x14ac:dyDescent="0.45">
      <c r="I215" t="s">
        <v>172</v>
      </c>
      <c r="J215" t="s">
        <v>156</v>
      </c>
      <c r="K215">
        <v>0</v>
      </c>
      <c r="L215" t="s">
        <v>153</v>
      </c>
      <c r="N215" t="s">
        <v>215</v>
      </c>
      <c r="O215" t="s">
        <v>156</v>
      </c>
      <c r="P215">
        <v>6.1020871194659349E-2</v>
      </c>
      <c r="Q215" t="s">
        <v>153</v>
      </c>
      <c r="S215" t="s">
        <v>257</v>
      </c>
      <c r="T215" t="s">
        <v>156</v>
      </c>
      <c r="U215">
        <v>4.4360017224323034E-2</v>
      </c>
      <c r="V215" t="s">
        <v>153</v>
      </c>
    </row>
    <row r="216" spans="9:22" x14ac:dyDescent="0.45">
      <c r="I216" t="s">
        <v>172</v>
      </c>
      <c r="J216" t="s">
        <v>157</v>
      </c>
      <c r="K216">
        <v>5.9806611483514038E-4</v>
      </c>
      <c r="L216" t="s">
        <v>153</v>
      </c>
      <c r="N216" t="s">
        <v>215</v>
      </c>
      <c r="O216" t="s">
        <v>157</v>
      </c>
      <c r="P216">
        <v>9.4284077770138558E-3</v>
      </c>
      <c r="Q216" t="s">
        <v>153</v>
      </c>
      <c r="S216" t="s">
        <v>257</v>
      </c>
      <c r="T216" t="s">
        <v>157</v>
      </c>
      <c r="U216">
        <v>6.0587070443577145E-3</v>
      </c>
      <c r="V216" t="s">
        <v>153</v>
      </c>
    </row>
    <row r="217" spans="9:22" x14ac:dyDescent="0.45">
      <c r="I217" t="s">
        <v>172</v>
      </c>
      <c r="J217" t="s">
        <v>158</v>
      </c>
      <c r="K217">
        <v>8.8313804678491079E-2</v>
      </c>
      <c r="L217" t="s">
        <v>153</v>
      </c>
      <c r="N217" t="s">
        <v>215</v>
      </c>
      <c r="O217" t="s">
        <v>158</v>
      </c>
      <c r="P217">
        <v>8.010808008995994E-2</v>
      </c>
      <c r="Q217" t="s">
        <v>153</v>
      </c>
      <c r="S217" t="s">
        <v>257</v>
      </c>
      <c r="T217" t="s">
        <v>158</v>
      </c>
      <c r="U217">
        <v>5.8272281957792889E-2</v>
      </c>
      <c r="V217" t="s">
        <v>153</v>
      </c>
    </row>
    <row r="218" spans="9:22" x14ac:dyDescent="0.45">
      <c r="I218" t="s">
        <v>172</v>
      </c>
      <c r="J218" t="s">
        <v>283</v>
      </c>
      <c r="K218">
        <v>7.5194916731752314E-3</v>
      </c>
      <c r="L218" t="s">
        <v>153</v>
      </c>
      <c r="N218" t="s">
        <v>215</v>
      </c>
      <c r="O218" t="s">
        <v>283</v>
      </c>
      <c r="P218">
        <v>8.2702674088778461E-3</v>
      </c>
      <c r="Q218" t="s">
        <v>153</v>
      </c>
      <c r="S218" t="s">
        <v>257</v>
      </c>
      <c r="T218" t="s">
        <v>283</v>
      </c>
      <c r="U218">
        <v>7.96325347071105E-3</v>
      </c>
      <c r="V218" t="s">
        <v>153</v>
      </c>
    </row>
    <row r="219" spans="9:22" x14ac:dyDescent="0.45">
      <c r="I219" t="s">
        <v>172</v>
      </c>
      <c r="J219" t="s">
        <v>284</v>
      </c>
      <c r="K219">
        <v>0</v>
      </c>
      <c r="L219" t="s">
        <v>153</v>
      </c>
      <c r="N219" t="s">
        <v>215</v>
      </c>
      <c r="O219" t="s">
        <v>284</v>
      </c>
      <c r="P219">
        <v>8.0172834061121856E-3</v>
      </c>
      <c r="Q219" t="s">
        <v>153</v>
      </c>
      <c r="S219" t="s">
        <v>257</v>
      </c>
      <c r="T219" t="s">
        <v>284</v>
      </c>
      <c r="U219">
        <v>8.0770186402334947E-3</v>
      </c>
      <c r="V219" t="s">
        <v>153</v>
      </c>
    </row>
    <row r="220" spans="9:22" x14ac:dyDescent="0.45">
      <c r="I220" t="s">
        <v>172</v>
      </c>
      <c r="J220" t="s">
        <v>285</v>
      </c>
      <c r="K220">
        <v>0</v>
      </c>
      <c r="L220" t="s">
        <v>153</v>
      </c>
      <c r="N220" t="s">
        <v>215</v>
      </c>
      <c r="O220" t="s">
        <v>285</v>
      </c>
      <c r="P220">
        <v>3.7698936093625575E-2</v>
      </c>
      <c r="Q220" t="s">
        <v>153</v>
      </c>
      <c r="S220" t="s">
        <v>257</v>
      </c>
      <c r="T220" t="s">
        <v>285</v>
      </c>
      <c r="U220">
        <v>3.8565977831019213E-2</v>
      </c>
      <c r="V220" t="s">
        <v>153</v>
      </c>
    </row>
    <row r="221" spans="9:22" x14ac:dyDescent="0.45">
      <c r="I221" t="s">
        <v>172</v>
      </c>
      <c r="J221" t="s">
        <v>159</v>
      </c>
      <c r="K221">
        <v>1.3210638692414537E-2</v>
      </c>
      <c r="L221" t="s">
        <v>153</v>
      </c>
      <c r="N221" t="s">
        <v>215</v>
      </c>
      <c r="O221" t="s">
        <v>159</v>
      </c>
      <c r="P221">
        <v>8.307748783968498E-2</v>
      </c>
      <c r="Q221" t="s">
        <v>153</v>
      </c>
      <c r="S221" t="s">
        <v>257</v>
      </c>
      <c r="T221" t="s">
        <v>159</v>
      </c>
      <c r="U221">
        <v>0.1092704914944293</v>
      </c>
      <c r="V221" t="s">
        <v>153</v>
      </c>
    </row>
    <row r="222" spans="9:22" x14ac:dyDescent="0.45">
      <c r="I222" t="s">
        <v>172</v>
      </c>
      <c r="J222" t="s">
        <v>160</v>
      </c>
      <c r="K222">
        <v>2.5950891958417883E-2</v>
      </c>
      <c r="L222" t="s">
        <v>153</v>
      </c>
      <c r="N222" t="s">
        <v>215</v>
      </c>
      <c r="O222" t="s">
        <v>160</v>
      </c>
      <c r="P222">
        <v>1.2016209736262632E-2</v>
      </c>
      <c r="Q222" t="s">
        <v>153</v>
      </c>
      <c r="S222" t="s">
        <v>257</v>
      </c>
      <c r="T222" t="s">
        <v>160</v>
      </c>
      <c r="U222">
        <v>1.4763657665270508E-2</v>
      </c>
      <c r="V222" t="s">
        <v>153</v>
      </c>
    </row>
    <row r="223" spans="9:22" x14ac:dyDescent="0.45">
      <c r="I223" t="s">
        <v>172</v>
      </c>
      <c r="J223" t="s">
        <v>161</v>
      </c>
      <c r="K223">
        <v>0.34507854610903754</v>
      </c>
      <c r="L223" t="s">
        <v>153</v>
      </c>
      <c r="N223" t="s">
        <v>215</v>
      </c>
      <c r="O223" t="s">
        <v>161</v>
      </c>
      <c r="P223">
        <v>0.15187223585434201</v>
      </c>
      <c r="Q223" t="s">
        <v>153</v>
      </c>
      <c r="S223" t="s">
        <v>257</v>
      </c>
      <c r="T223" t="s">
        <v>161</v>
      </c>
      <c r="U223">
        <v>0.1367782901156937</v>
      </c>
      <c r="V223" t="s">
        <v>153</v>
      </c>
    </row>
    <row r="224" spans="9:22" x14ac:dyDescent="0.45">
      <c r="I224" t="s">
        <v>172</v>
      </c>
      <c r="J224" t="s">
        <v>286</v>
      </c>
      <c r="K224">
        <v>3.2129249318746417E-2</v>
      </c>
      <c r="L224" t="s">
        <v>153</v>
      </c>
      <c r="N224" t="s">
        <v>215</v>
      </c>
      <c r="O224" t="s">
        <v>286</v>
      </c>
      <c r="P224">
        <v>2.2628682899728837E-2</v>
      </c>
      <c r="Q224" t="s">
        <v>153</v>
      </c>
      <c r="S224" t="s">
        <v>257</v>
      </c>
      <c r="T224" t="s">
        <v>286</v>
      </c>
      <c r="U224">
        <v>1.7538138563731133E-2</v>
      </c>
      <c r="V224" t="s">
        <v>153</v>
      </c>
    </row>
    <row r="225" spans="9:22" x14ac:dyDescent="0.45">
      <c r="I225" t="s">
        <v>172</v>
      </c>
      <c r="J225" t="s">
        <v>287</v>
      </c>
      <c r="K225">
        <v>2.0687197261007612E-2</v>
      </c>
      <c r="L225" t="s">
        <v>153</v>
      </c>
      <c r="N225" t="s">
        <v>215</v>
      </c>
      <c r="O225" t="s">
        <v>287</v>
      </c>
      <c r="P225">
        <v>2.0926158508156434E-2</v>
      </c>
      <c r="Q225" t="s">
        <v>153</v>
      </c>
      <c r="S225" t="s">
        <v>257</v>
      </c>
      <c r="T225" t="s">
        <v>287</v>
      </c>
      <c r="U225">
        <v>1.7778217700840593E-2</v>
      </c>
      <c r="V225" t="s">
        <v>153</v>
      </c>
    </row>
    <row r="226" spans="9:22" x14ac:dyDescent="0.45">
      <c r="I226" t="s">
        <v>172</v>
      </c>
      <c r="J226" t="s">
        <v>288</v>
      </c>
      <c r="K226">
        <v>3.896651627092588E-3</v>
      </c>
      <c r="L226" t="s">
        <v>153</v>
      </c>
      <c r="N226" t="s">
        <v>215</v>
      </c>
      <c r="O226" t="s">
        <v>288</v>
      </c>
      <c r="P226">
        <v>7.1239493129498177E-2</v>
      </c>
      <c r="Q226" t="s">
        <v>153</v>
      </c>
      <c r="S226" t="s">
        <v>257</v>
      </c>
      <c r="T226" t="s">
        <v>288</v>
      </c>
      <c r="U226">
        <v>8.7631339279927362E-2</v>
      </c>
      <c r="V226" t="s">
        <v>153</v>
      </c>
    </row>
    <row r="227" spans="9:22" x14ac:dyDescent="0.45">
      <c r="I227" t="s">
        <v>173</v>
      </c>
      <c r="J227" t="s">
        <v>152</v>
      </c>
      <c r="K227">
        <v>7.8588576603606831E-3</v>
      </c>
      <c r="L227" t="s">
        <v>153</v>
      </c>
      <c r="N227" t="s">
        <v>216</v>
      </c>
      <c r="O227" t="s">
        <v>152</v>
      </c>
      <c r="P227">
        <v>9.9004648259581371E-2</v>
      </c>
      <c r="Q227" t="s">
        <v>153</v>
      </c>
      <c r="S227" t="s">
        <v>258</v>
      </c>
      <c r="T227" t="s">
        <v>152</v>
      </c>
      <c r="U227">
        <v>0.12289182748367163</v>
      </c>
      <c r="V227" t="s">
        <v>153</v>
      </c>
    </row>
    <row r="228" spans="9:22" x14ac:dyDescent="0.45">
      <c r="I228" t="s">
        <v>173</v>
      </c>
      <c r="J228" t="s">
        <v>154</v>
      </c>
      <c r="K228">
        <v>2.6940136997395565E-2</v>
      </c>
      <c r="L228" t="s">
        <v>153</v>
      </c>
      <c r="N228" t="s">
        <v>216</v>
      </c>
      <c r="O228" t="s">
        <v>154</v>
      </c>
      <c r="P228">
        <v>1.3802626355315206E-2</v>
      </c>
      <c r="Q228" t="s">
        <v>153</v>
      </c>
      <c r="S228" t="s">
        <v>258</v>
      </c>
      <c r="T228" t="s">
        <v>154</v>
      </c>
      <c r="U228">
        <v>1.708403903496902E-2</v>
      </c>
      <c r="V228" t="s">
        <v>153</v>
      </c>
    </row>
    <row r="229" spans="9:22" x14ac:dyDescent="0.45">
      <c r="I229" t="s">
        <v>173</v>
      </c>
      <c r="J229" t="s">
        <v>155</v>
      </c>
      <c r="K229">
        <v>0.37275455682049169</v>
      </c>
      <c r="L229" t="s">
        <v>153</v>
      </c>
      <c r="N229" t="s">
        <v>216</v>
      </c>
      <c r="O229" t="s">
        <v>155</v>
      </c>
      <c r="P229">
        <v>0.17629350969830548</v>
      </c>
      <c r="Q229" t="s">
        <v>153</v>
      </c>
      <c r="S229" t="s">
        <v>258</v>
      </c>
      <c r="T229" t="s">
        <v>155</v>
      </c>
      <c r="U229">
        <v>0.15024546668924366</v>
      </c>
      <c r="V229" t="s">
        <v>153</v>
      </c>
    </row>
    <row r="230" spans="9:22" x14ac:dyDescent="0.45">
      <c r="I230" t="s">
        <v>173</v>
      </c>
      <c r="J230" t="s">
        <v>280</v>
      </c>
      <c r="K230">
        <v>3.4504750732847131E-2</v>
      </c>
      <c r="L230" t="s">
        <v>153</v>
      </c>
      <c r="N230" t="s">
        <v>216</v>
      </c>
      <c r="O230" t="s">
        <v>280</v>
      </c>
      <c r="P230">
        <v>2.6463667965210307E-2</v>
      </c>
      <c r="Q230" t="s">
        <v>153</v>
      </c>
      <c r="S230" t="s">
        <v>258</v>
      </c>
      <c r="T230" t="s">
        <v>280</v>
      </c>
      <c r="U230">
        <v>1.7537586354900599E-2</v>
      </c>
      <c r="V230" t="s">
        <v>153</v>
      </c>
    </row>
    <row r="231" spans="9:22" x14ac:dyDescent="0.45">
      <c r="I231" t="s">
        <v>173</v>
      </c>
      <c r="J231" t="s">
        <v>281</v>
      </c>
      <c r="K231">
        <v>1.9035604173444968E-2</v>
      </c>
      <c r="L231" t="s">
        <v>153</v>
      </c>
      <c r="N231" t="s">
        <v>216</v>
      </c>
      <c r="O231" t="s">
        <v>281</v>
      </c>
      <c r="P231">
        <v>2.3663597528395398E-2</v>
      </c>
      <c r="Q231" t="s">
        <v>153</v>
      </c>
      <c r="S231" t="s">
        <v>258</v>
      </c>
      <c r="T231" t="s">
        <v>281</v>
      </c>
      <c r="U231">
        <v>1.7597298342030526E-2</v>
      </c>
      <c r="V231" t="s">
        <v>153</v>
      </c>
    </row>
    <row r="232" spans="9:22" x14ac:dyDescent="0.45">
      <c r="I232" t="s">
        <v>173</v>
      </c>
      <c r="J232" t="s">
        <v>282</v>
      </c>
      <c r="K232">
        <v>6.0915547171952241E-3</v>
      </c>
      <c r="L232" t="s">
        <v>153</v>
      </c>
      <c r="N232" t="s">
        <v>216</v>
      </c>
      <c r="O232" t="s">
        <v>282</v>
      </c>
      <c r="P232">
        <v>8.5940954571455425E-2</v>
      </c>
      <c r="Q232" t="s">
        <v>153</v>
      </c>
      <c r="S232" t="s">
        <v>258</v>
      </c>
      <c r="T232" t="s">
        <v>282</v>
      </c>
      <c r="U232">
        <v>8.5826220920372537E-2</v>
      </c>
      <c r="V232" t="s">
        <v>153</v>
      </c>
    </row>
    <row r="233" spans="9:22" x14ac:dyDescent="0.45">
      <c r="I233" t="s">
        <v>173</v>
      </c>
      <c r="J233" t="s">
        <v>156</v>
      </c>
      <c r="K233">
        <v>0</v>
      </c>
      <c r="L233" t="s">
        <v>153</v>
      </c>
      <c r="N233" t="s">
        <v>216</v>
      </c>
      <c r="O233" t="s">
        <v>156</v>
      </c>
      <c r="P233">
        <v>4.7214993603078306E-2</v>
      </c>
      <c r="Q233" t="s">
        <v>153</v>
      </c>
      <c r="S233" t="s">
        <v>258</v>
      </c>
      <c r="T233" t="s">
        <v>156</v>
      </c>
      <c r="U233">
        <v>6.0805897524811227E-2</v>
      </c>
      <c r="V233" t="s">
        <v>153</v>
      </c>
    </row>
    <row r="234" spans="9:22" x14ac:dyDescent="0.45">
      <c r="I234" t="s">
        <v>173</v>
      </c>
      <c r="J234" t="s">
        <v>157</v>
      </c>
      <c r="K234">
        <v>1.0168215580179652E-3</v>
      </c>
      <c r="L234" t="s">
        <v>153</v>
      </c>
      <c r="N234" t="s">
        <v>216</v>
      </c>
      <c r="O234" t="s">
        <v>157</v>
      </c>
      <c r="P234">
        <v>6.9434647758041031E-3</v>
      </c>
      <c r="Q234" t="s">
        <v>153</v>
      </c>
      <c r="S234" t="s">
        <v>258</v>
      </c>
      <c r="T234" t="s">
        <v>157</v>
      </c>
      <c r="U234">
        <v>8.4334626080726661E-3</v>
      </c>
      <c r="V234" t="s">
        <v>153</v>
      </c>
    </row>
    <row r="235" spans="9:22" x14ac:dyDescent="0.45">
      <c r="I235" t="s">
        <v>173</v>
      </c>
      <c r="J235" t="s">
        <v>158</v>
      </c>
      <c r="K235">
        <v>8.8366259743193717E-2</v>
      </c>
      <c r="L235" t="s">
        <v>153</v>
      </c>
      <c r="N235" t="s">
        <v>216</v>
      </c>
      <c r="O235" t="s">
        <v>158</v>
      </c>
      <c r="P235">
        <v>7.4245485666209698E-2</v>
      </c>
      <c r="Q235" t="s">
        <v>153</v>
      </c>
      <c r="S235" t="s">
        <v>258</v>
      </c>
      <c r="T235" t="s">
        <v>158</v>
      </c>
      <c r="U235">
        <v>7.5147762958585676E-2</v>
      </c>
      <c r="V235" t="s">
        <v>153</v>
      </c>
    </row>
    <row r="236" spans="9:22" x14ac:dyDescent="0.45">
      <c r="I236" t="s">
        <v>173</v>
      </c>
      <c r="J236" t="s">
        <v>283</v>
      </c>
      <c r="K236">
        <v>7.310578143554289E-3</v>
      </c>
      <c r="L236" t="s">
        <v>153</v>
      </c>
      <c r="N236" t="s">
        <v>216</v>
      </c>
      <c r="O236" t="s">
        <v>283</v>
      </c>
      <c r="P236">
        <v>9.000684454154766E-3</v>
      </c>
      <c r="Q236" t="s">
        <v>153</v>
      </c>
      <c r="S236" t="s">
        <v>258</v>
      </c>
      <c r="T236" t="s">
        <v>283</v>
      </c>
      <c r="U236">
        <v>7.9183946926510117E-3</v>
      </c>
      <c r="V236" t="s">
        <v>153</v>
      </c>
    </row>
    <row r="237" spans="9:22" x14ac:dyDescent="0.45">
      <c r="I237" t="s">
        <v>173</v>
      </c>
      <c r="J237" t="s">
        <v>284</v>
      </c>
      <c r="K237">
        <v>0</v>
      </c>
      <c r="L237" t="s">
        <v>153</v>
      </c>
      <c r="N237" t="s">
        <v>216</v>
      </c>
      <c r="O237" t="s">
        <v>284</v>
      </c>
      <c r="P237">
        <v>8.6710314627957401E-3</v>
      </c>
      <c r="Q237" t="s">
        <v>153</v>
      </c>
      <c r="S237" t="s">
        <v>258</v>
      </c>
      <c r="T237" t="s">
        <v>284</v>
      </c>
      <c r="U237">
        <v>7.9523030930367233E-3</v>
      </c>
      <c r="V237" t="s">
        <v>153</v>
      </c>
    </row>
    <row r="238" spans="9:22" x14ac:dyDescent="0.45">
      <c r="I238" t="s">
        <v>173</v>
      </c>
      <c r="J238" t="s">
        <v>285</v>
      </c>
      <c r="K238">
        <v>0</v>
      </c>
      <c r="L238" t="s">
        <v>153</v>
      </c>
      <c r="N238" t="s">
        <v>216</v>
      </c>
      <c r="O238" t="s">
        <v>285</v>
      </c>
      <c r="P238">
        <v>3.8171947661262286E-2</v>
      </c>
      <c r="Q238" t="s">
        <v>153</v>
      </c>
      <c r="S238" t="s">
        <v>258</v>
      </c>
      <c r="T238" t="s">
        <v>285</v>
      </c>
      <c r="U238">
        <v>4.1178954401211922E-2</v>
      </c>
      <c r="V238" t="s">
        <v>153</v>
      </c>
    </row>
    <row r="239" spans="9:22" x14ac:dyDescent="0.45">
      <c r="I239" t="s">
        <v>173</v>
      </c>
      <c r="J239" t="s">
        <v>159</v>
      </c>
      <c r="K239">
        <v>1.60168183133329E-2</v>
      </c>
      <c r="L239" t="s">
        <v>153</v>
      </c>
      <c r="N239" t="s">
        <v>216</v>
      </c>
      <c r="O239" t="s">
        <v>159</v>
      </c>
      <c r="P239">
        <v>8.6734921874662654E-2</v>
      </c>
      <c r="Q239" t="s">
        <v>153</v>
      </c>
      <c r="S239" t="s">
        <v>258</v>
      </c>
      <c r="T239" t="s">
        <v>159</v>
      </c>
      <c r="U239">
        <v>0.11241028011367013</v>
      </c>
      <c r="V239" t="s">
        <v>153</v>
      </c>
    </row>
    <row r="240" spans="9:22" x14ac:dyDescent="0.45">
      <c r="I240" t="s">
        <v>173</v>
      </c>
      <c r="J240" t="s">
        <v>160</v>
      </c>
      <c r="K240">
        <v>2.8524666174156096E-2</v>
      </c>
      <c r="L240" t="s">
        <v>153</v>
      </c>
      <c r="N240" t="s">
        <v>216</v>
      </c>
      <c r="O240" t="s">
        <v>160</v>
      </c>
      <c r="P240">
        <v>1.2592961141585314E-2</v>
      </c>
      <c r="Q240" t="s">
        <v>153</v>
      </c>
      <c r="S240" t="s">
        <v>258</v>
      </c>
      <c r="T240" t="s">
        <v>160</v>
      </c>
      <c r="U240">
        <v>1.5679365044430859E-2</v>
      </c>
      <c r="V240" t="s">
        <v>153</v>
      </c>
    </row>
    <row r="241" spans="9:22" x14ac:dyDescent="0.45">
      <c r="I241" t="s">
        <v>173</v>
      </c>
      <c r="J241" t="s">
        <v>161</v>
      </c>
      <c r="K241">
        <v>0.34064318245188013</v>
      </c>
      <c r="L241" t="s">
        <v>153</v>
      </c>
      <c r="N241" t="s">
        <v>216</v>
      </c>
      <c r="O241" t="s">
        <v>161</v>
      </c>
      <c r="P241">
        <v>0.17118579609029344</v>
      </c>
      <c r="Q241" t="s">
        <v>153</v>
      </c>
      <c r="S241" t="s">
        <v>258</v>
      </c>
      <c r="T241" t="s">
        <v>161</v>
      </c>
      <c r="U241">
        <v>0.14273646484978611</v>
      </c>
      <c r="V241" t="s">
        <v>153</v>
      </c>
    </row>
    <row r="242" spans="9:22" x14ac:dyDescent="0.45">
      <c r="I242" t="s">
        <v>173</v>
      </c>
      <c r="J242" t="s">
        <v>286</v>
      </c>
      <c r="K242">
        <v>3.0116547449946667E-2</v>
      </c>
      <c r="L242" t="s">
        <v>153</v>
      </c>
      <c r="N242" t="s">
        <v>216</v>
      </c>
      <c r="O242" t="s">
        <v>286</v>
      </c>
      <c r="P242">
        <v>2.3462682243973607E-2</v>
      </c>
      <c r="Q242" t="s">
        <v>153</v>
      </c>
      <c r="S242" t="s">
        <v>258</v>
      </c>
      <c r="T242" t="s">
        <v>286</v>
      </c>
      <c r="U242">
        <v>1.7040922909846271E-2</v>
      </c>
      <c r="V242" t="s">
        <v>153</v>
      </c>
    </row>
    <row r="243" spans="9:22" x14ac:dyDescent="0.45">
      <c r="I243" t="s">
        <v>173</v>
      </c>
      <c r="J243" t="s">
        <v>287</v>
      </c>
      <c r="K243">
        <v>1.7911372210869168E-2</v>
      </c>
      <c r="L243" t="s">
        <v>153</v>
      </c>
      <c r="N243" t="s">
        <v>216</v>
      </c>
      <c r="O243" t="s">
        <v>287</v>
      </c>
      <c r="P243">
        <v>2.0705426098016608E-2</v>
      </c>
      <c r="Q243" t="s">
        <v>153</v>
      </c>
      <c r="S243" t="s">
        <v>258</v>
      </c>
      <c r="T243" t="s">
        <v>287</v>
      </c>
      <c r="U243">
        <v>1.7105267989837927E-2</v>
      </c>
      <c r="V243" t="s">
        <v>153</v>
      </c>
    </row>
    <row r="244" spans="9:22" x14ac:dyDescent="0.45">
      <c r="I244" t="s">
        <v>173</v>
      </c>
      <c r="J244" t="s">
        <v>288</v>
      </c>
      <c r="K244">
        <v>2.9082928533159542E-3</v>
      </c>
      <c r="L244" t="s">
        <v>153</v>
      </c>
      <c r="N244" t="s">
        <v>216</v>
      </c>
      <c r="O244" t="s">
        <v>288</v>
      </c>
      <c r="P244">
        <v>7.5901600549896239E-2</v>
      </c>
      <c r="Q244" t="s">
        <v>153</v>
      </c>
      <c r="S244" t="s">
        <v>258</v>
      </c>
      <c r="T244" t="s">
        <v>288</v>
      </c>
      <c r="U244">
        <v>8.2408484988872516E-2</v>
      </c>
      <c r="V244" t="s">
        <v>153</v>
      </c>
    </row>
    <row r="245" spans="9:22" x14ac:dyDescent="0.45">
      <c r="I245" t="s">
        <v>174</v>
      </c>
      <c r="J245" t="s">
        <v>152</v>
      </c>
      <c r="K245">
        <v>5.6377509847257033E-3</v>
      </c>
      <c r="L245" t="s">
        <v>153</v>
      </c>
      <c r="N245" t="s">
        <v>217</v>
      </c>
      <c r="O245" t="s">
        <v>152</v>
      </c>
      <c r="P245">
        <v>9.1715238158022891E-2</v>
      </c>
      <c r="Q245" t="s">
        <v>153</v>
      </c>
      <c r="S245" t="s">
        <v>259</v>
      </c>
      <c r="T245" t="s">
        <v>152</v>
      </c>
      <c r="U245">
        <v>0.11939793602416719</v>
      </c>
      <c r="V245" t="s">
        <v>153</v>
      </c>
    </row>
    <row r="246" spans="9:22" x14ac:dyDescent="0.45">
      <c r="I246" t="s">
        <v>174</v>
      </c>
      <c r="J246" t="s">
        <v>154</v>
      </c>
      <c r="K246">
        <v>2.4450866102746504E-2</v>
      </c>
      <c r="L246" t="s">
        <v>153</v>
      </c>
      <c r="N246" t="s">
        <v>217</v>
      </c>
      <c r="O246" t="s">
        <v>154</v>
      </c>
      <c r="P246">
        <v>1.422285788940298E-2</v>
      </c>
      <c r="Q246" t="s">
        <v>153</v>
      </c>
      <c r="S246" t="s">
        <v>259</v>
      </c>
      <c r="T246" t="s">
        <v>154</v>
      </c>
      <c r="U246">
        <v>1.6345713696088445E-2</v>
      </c>
      <c r="V246" t="s">
        <v>153</v>
      </c>
    </row>
    <row r="247" spans="9:22" x14ac:dyDescent="0.45">
      <c r="I247" t="s">
        <v>174</v>
      </c>
      <c r="J247" t="s">
        <v>155</v>
      </c>
      <c r="K247">
        <v>0.37233259875671337</v>
      </c>
      <c r="L247" t="s">
        <v>153</v>
      </c>
      <c r="N247" t="s">
        <v>217</v>
      </c>
      <c r="O247" t="s">
        <v>155</v>
      </c>
      <c r="P247">
        <v>0.19511390010634147</v>
      </c>
      <c r="Q247" t="s">
        <v>153</v>
      </c>
      <c r="S247" t="s">
        <v>259</v>
      </c>
      <c r="T247" t="s">
        <v>155</v>
      </c>
      <c r="U247">
        <v>0.15083075298641077</v>
      </c>
      <c r="V247" t="s">
        <v>153</v>
      </c>
    </row>
    <row r="248" spans="9:22" x14ac:dyDescent="0.45">
      <c r="I248" t="s">
        <v>174</v>
      </c>
      <c r="J248" t="s">
        <v>280</v>
      </c>
      <c r="K248">
        <v>3.5033308489171557E-2</v>
      </c>
      <c r="L248" t="s">
        <v>153</v>
      </c>
      <c r="N248" t="s">
        <v>217</v>
      </c>
      <c r="O248" t="s">
        <v>280</v>
      </c>
      <c r="P248">
        <v>2.4568421967652299E-2</v>
      </c>
      <c r="Q248" t="s">
        <v>153</v>
      </c>
      <c r="S248" t="s">
        <v>259</v>
      </c>
      <c r="T248" t="s">
        <v>280</v>
      </c>
      <c r="U248">
        <v>1.8738694608612775E-2</v>
      </c>
      <c r="V248" t="s">
        <v>153</v>
      </c>
    </row>
    <row r="249" spans="9:22" x14ac:dyDescent="0.45">
      <c r="I249" t="s">
        <v>174</v>
      </c>
      <c r="J249" t="s">
        <v>281</v>
      </c>
      <c r="K249">
        <v>1.9851103039850371E-2</v>
      </c>
      <c r="L249" t="s">
        <v>153</v>
      </c>
      <c r="N249" t="s">
        <v>217</v>
      </c>
      <c r="O249" t="s">
        <v>281</v>
      </c>
      <c r="P249">
        <v>2.1910781704269747E-2</v>
      </c>
      <c r="Q249" t="s">
        <v>153</v>
      </c>
      <c r="S249" t="s">
        <v>259</v>
      </c>
      <c r="T249" t="s">
        <v>281</v>
      </c>
      <c r="U249">
        <v>1.8619368423139399E-2</v>
      </c>
      <c r="V249" t="s">
        <v>153</v>
      </c>
    </row>
    <row r="250" spans="9:22" x14ac:dyDescent="0.45">
      <c r="I250" t="s">
        <v>174</v>
      </c>
      <c r="J250" t="s">
        <v>282</v>
      </c>
      <c r="K250">
        <v>6.7139451396375635E-3</v>
      </c>
      <c r="L250" t="s">
        <v>153</v>
      </c>
      <c r="N250" t="s">
        <v>217</v>
      </c>
      <c r="O250" t="s">
        <v>282</v>
      </c>
      <c r="P250">
        <v>8.0388023948547327E-2</v>
      </c>
      <c r="Q250" t="s">
        <v>153</v>
      </c>
      <c r="S250" t="s">
        <v>259</v>
      </c>
      <c r="T250" t="s">
        <v>282</v>
      </c>
      <c r="U250">
        <v>8.9434211871917441E-2</v>
      </c>
      <c r="V250" t="s">
        <v>153</v>
      </c>
    </row>
    <row r="251" spans="9:22" x14ac:dyDescent="0.45">
      <c r="I251" t="s">
        <v>174</v>
      </c>
      <c r="J251" t="s">
        <v>156</v>
      </c>
      <c r="K251">
        <v>0</v>
      </c>
      <c r="L251" t="s">
        <v>153</v>
      </c>
      <c r="N251" t="s">
        <v>217</v>
      </c>
      <c r="O251" t="s">
        <v>156</v>
      </c>
      <c r="P251">
        <v>5.6369050671403451E-2</v>
      </c>
      <c r="Q251" t="s">
        <v>153</v>
      </c>
      <c r="S251" t="s">
        <v>259</v>
      </c>
      <c r="T251" t="s">
        <v>156</v>
      </c>
      <c r="U251">
        <v>6.031868758745712E-2</v>
      </c>
      <c r="V251" t="s">
        <v>153</v>
      </c>
    </row>
    <row r="252" spans="9:22" x14ac:dyDescent="0.45">
      <c r="I252" t="s">
        <v>174</v>
      </c>
      <c r="J252" t="s">
        <v>157</v>
      </c>
      <c r="K252">
        <v>7.8548264019656178E-4</v>
      </c>
      <c r="L252" t="s">
        <v>153</v>
      </c>
      <c r="N252" t="s">
        <v>217</v>
      </c>
      <c r="O252" t="s">
        <v>157</v>
      </c>
      <c r="P252">
        <v>7.5257958638916128E-3</v>
      </c>
      <c r="Q252" t="s">
        <v>153</v>
      </c>
      <c r="S252" t="s">
        <v>259</v>
      </c>
      <c r="T252" t="s">
        <v>157</v>
      </c>
      <c r="U252">
        <v>8.4876067088108728E-3</v>
      </c>
      <c r="V252" t="s">
        <v>153</v>
      </c>
    </row>
    <row r="253" spans="9:22" x14ac:dyDescent="0.45">
      <c r="I253" t="s">
        <v>174</v>
      </c>
      <c r="J253" t="s">
        <v>158</v>
      </c>
      <c r="K253">
        <v>9.3260482109417481E-2</v>
      </c>
      <c r="L253" t="s">
        <v>153</v>
      </c>
      <c r="N253" t="s">
        <v>217</v>
      </c>
      <c r="O253" t="s">
        <v>158</v>
      </c>
      <c r="P253">
        <v>9.368325374467823E-2</v>
      </c>
      <c r="Q253" t="s">
        <v>153</v>
      </c>
      <c r="S253" t="s">
        <v>259</v>
      </c>
      <c r="T253" t="s">
        <v>158</v>
      </c>
      <c r="U253">
        <v>7.5386499592438455E-2</v>
      </c>
      <c r="V253" t="s">
        <v>153</v>
      </c>
    </row>
    <row r="254" spans="9:22" x14ac:dyDescent="0.45">
      <c r="I254" t="s">
        <v>174</v>
      </c>
      <c r="J254" t="s">
        <v>283</v>
      </c>
      <c r="K254">
        <v>7.6805402911067286E-3</v>
      </c>
      <c r="L254" t="s">
        <v>153</v>
      </c>
      <c r="N254" t="s">
        <v>217</v>
      </c>
      <c r="O254" t="s">
        <v>283</v>
      </c>
      <c r="P254">
        <v>9.0878601865297427E-3</v>
      </c>
      <c r="Q254" t="s">
        <v>153</v>
      </c>
      <c r="S254" t="s">
        <v>259</v>
      </c>
      <c r="T254" t="s">
        <v>283</v>
      </c>
      <c r="U254">
        <v>8.3185715651208463E-3</v>
      </c>
      <c r="V254" t="s">
        <v>153</v>
      </c>
    </row>
    <row r="255" spans="9:22" x14ac:dyDescent="0.45">
      <c r="I255" t="s">
        <v>174</v>
      </c>
      <c r="J255" t="s">
        <v>284</v>
      </c>
      <c r="K255">
        <v>0</v>
      </c>
      <c r="L255" t="s">
        <v>153</v>
      </c>
      <c r="N255" t="s">
        <v>217</v>
      </c>
      <c r="O255" t="s">
        <v>284</v>
      </c>
      <c r="P255">
        <v>8.7678668460252403E-3</v>
      </c>
      <c r="Q255" t="s">
        <v>153</v>
      </c>
      <c r="S255" t="s">
        <v>259</v>
      </c>
      <c r="T255" t="s">
        <v>284</v>
      </c>
      <c r="U255">
        <v>8.4284210286257582E-3</v>
      </c>
      <c r="V255" t="s">
        <v>153</v>
      </c>
    </row>
    <row r="256" spans="9:22" x14ac:dyDescent="0.45">
      <c r="I256" t="s">
        <v>174</v>
      </c>
      <c r="J256" t="s">
        <v>285</v>
      </c>
      <c r="K256">
        <v>0</v>
      </c>
      <c r="L256" t="s">
        <v>153</v>
      </c>
      <c r="N256" t="s">
        <v>217</v>
      </c>
      <c r="O256" t="s">
        <v>285</v>
      </c>
      <c r="P256">
        <v>4.4031648021300065E-2</v>
      </c>
      <c r="Q256" t="s">
        <v>153</v>
      </c>
      <c r="S256" t="s">
        <v>259</v>
      </c>
      <c r="T256" t="s">
        <v>285</v>
      </c>
      <c r="U256">
        <v>4.2297091465908675E-2</v>
      </c>
      <c r="V256" t="s">
        <v>153</v>
      </c>
    </row>
    <row r="257" spans="9:22" x14ac:dyDescent="0.45">
      <c r="I257" t="s">
        <v>174</v>
      </c>
      <c r="J257" t="s">
        <v>159</v>
      </c>
      <c r="K257">
        <v>1.3581174008126735E-2</v>
      </c>
      <c r="L257" t="s">
        <v>153</v>
      </c>
      <c r="N257" t="s">
        <v>217</v>
      </c>
      <c r="O257" t="s">
        <v>159</v>
      </c>
      <c r="P257">
        <v>6.8201447622813632E-2</v>
      </c>
      <c r="Q257" t="s">
        <v>153</v>
      </c>
      <c r="S257" t="s">
        <v>259</v>
      </c>
      <c r="T257" t="s">
        <v>159</v>
      </c>
      <c r="U257">
        <v>0.10757733552631574</v>
      </c>
      <c r="V257" t="s">
        <v>153</v>
      </c>
    </row>
    <row r="258" spans="9:22" x14ac:dyDescent="0.45">
      <c r="I258" t="s">
        <v>174</v>
      </c>
      <c r="J258" t="s">
        <v>160</v>
      </c>
      <c r="K258">
        <v>2.7417113443170816E-2</v>
      </c>
      <c r="L258" t="s">
        <v>153</v>
      </c>
      <c r="N258" t="s">
        <v>217</v>
      </c>
      <c r="O258" t="s">
        <v>160</v>
      </c>
      <c r="P258">
        <v>1.0596691866860514E-2</v>
      </c>
      <c r="Q258" t="s">
        <v>153</v>
      </c>
      <c r="S258" t="s">
        <v>259</v>
      </c>
      <c r="T258" t="s">
        <v>160</v>
      </c>
      <c r="U258">
        <v>1.5214605765860239E-2</v>
      </c>
      <c r="V258" t="s">
        <v>153</v>
      </c>
    </row>
    <row r="259" spans="9:22" x14ac:dyDescent="0.45">
      <c r="I259" t="s">
        <v>174</v>
      </c>
      <c r="J259" t="s">
        <v>161</v>
      </c>
      <c r="K259">
        <v>0.33892357359261271</v>
      </c>
      <c r="L259" t="s">
        <v>153</v>
      </c>
      <c r="N259" t="s">
        <v>217</v>
      </c>
      <c r="O259" t="s">
        <v>161</v>
      </c>
      <c r="P259">
        <v>0.17137710855510957</v>
      </c>
      <c r="Q259" t="s">
        <v>153</v>
      </c>
      <c r="S259" t="s">
        <v>259</v>
      </c>
      <c r="T259" t="s">
        <v>161</v>
      </c>
      <c r="U259">
        <v>0.14340513537066366</v>
      </c>
      <c r="V259" t="s">
        <v>153</v>
      </c>
    </row>
    <row r="260" spans="9:22" x14ac:dyDescent="0.45">
      <c r="I260" t="s">
        <v>174</v>
      </c>
      <c r="J260" t="s">
        <v>286</v>
      </c>
      <c r="K260">
        <v>3.0981945557466601E-2</v>
      </c>
      <c r="L260" t="s">
        <v>153</v>
      </c>
      <c r="N260" t="s">
        <v>217</v>
      </c>
      <c r="O260" t="s">
        <v>286</v>
      </c>
      <c r="P260">
        <v>2.0957688642072685E-2</v>
      </c>
      <c r="Q260" t="s">
        <v>153</v>
      </c>
      <c r="S260" t="s">
        <v>259</v>
      </c>
      <c r="T260" t="s">
        <v>286</v>
      </c>
      <c r="U260">
        <v>1.7496415496683994E-2</v>
      </c>
      <c r="V260" t="s">
        <v>153</v>
      </c>
    </row>
    <row r="261" spans="9:22" x14ac:dyDescent="0.45">
      <c r="I261" t="s">
        <v>174</v>
      </c>
      <c r="J261" t="s">
        <v>287</v>
      </c>
      <c r="K261">
        <v>2.0092572023258322E-2</v>
      </c>
      <c r="L261" t="s">
        <v>153</v>
      </c>
      <c r="N261" t="s">
        <v>217</v>
      </c>
      <c r="O261" t="s">
        <v>287</v>
      </c>
      <c r="P261">
        <v>1.8227528308318471E-2</v>
      </c>
      <c r="Q261" t="s">
        <v>153</v>
      </c>
      <c r="S261" t="s">
        <v>259</v>
      </c>
      <c r="T261" t="s">
        <v>287</v>
      </c>
      <c r="U261">
        <v>1.7445815257875745E-2</v>
      </c>
      <c r="V261" t="s">
        <v>153</v>
      </c>
    </row>
    <row r="262" spans="9:22" x14ac:dyDescent="0.45">
      <c r="I262" t="s">
        <v>174</v>
      </c>
      <c r="J262" t="s">
        <v>288</v>
      </c>
      <c r="K262">
        <v>3.2575438218020621E-3</v>
      </c>
      <c r="L262" t="s">
        <v>153</v>
      </c>
      <c r="N262" t="s">
        <v>217</v>
      </c>
      <c r="O262" t="s">
        <v>288</v>
      </c>
      <c r="P262">
        <v>6.3254835896762993E-2</v>
      </c>
      <c r="Q262" t="s">
        <v>153</v>
      </c>
      <c r="S262" t="s">
        <v>259</v>
      </c>
      <c r="T262" t="s">
        <v>288</v>
      </c>
      <c r="U262">
        <v>8.2257137023901E-2</v>
      </c>
      <c r="V262" t="s">
        <v>153</v>
      </c>
    </row>
    <row r="263" spans="9:22" x14ac:dyDescent="0.45">
      <c r="I263" t="s">
        <v>175</v>
      </c>
      <c r="J263" t="s">
        <v>152</v>
      </c>
      <c r="K263">
        <v>1.3455516231066496E-2</v>
      </c>
      <c r="L263" t="s">
        <v>153</v>
      </c>
      <c r="N263" t="s">
        <v>218</v>
      </c>
      <c r="O263" t="s">
        <v>152</v>
      </c>
      <c r="P263">
        <v>9.6924263787057152E-2</v>
      </c>
      <c r="Q263" t="s">
        <v>153</v>
      </c>
      <c r="S263" t="s">
        <v>260</v>
      </c>
      <c r="T263" t="s">
        <v>152</v>
      </c>
      <c r="U263">
        <v>0.10910350167561951</v>
      </c>
      <c r="V263" t="s">
        <v>153</v>
      </c>
    </row>
    <row r="264" spans="9:22" x14ac:dyDescent="0.45">
      <c r="I264" t="s">
        <v>175</v>
      </c>
      <c r="J264" t="s">
        <v>154</v>
      </c>
      <c r="K264">
        <v>2.9435220288847531E-2</v>
      </c>
      <c r="L264" t="s">
        <v>153</v>
      </c>
      <c r="N264" t="s">
        <v>218</v>
      </c>
      <c r="O264" t="s">
        <v>154</v>
      </c>
      <c r="P264">
        <v>1.3039645992555072E-2</v>
      </c>
      <c r="Q264" t="s">
        <v>153</v>
      </c>
      <c r="S264" t="s">
        <v>260</v>
      </c>
      <c r="T264" t="s">
        <v>154</v>
      </c>
      <c r="U264">
        <v>1.498252163141907E-2</v>
      </c>
      <c r="V264" t="s">
        <v>153</v>
      </c>
    </row>
    <row r="265" spans="9:22" x14ac:dyDescent="0.45">
      <c r="I265" t="s">
        <v>175</v>
      </c>
      <c r="J265" t="s">
        <v>155</v>
      </c>
      <c r="K265">
        <v>0.37537253887060401</v>
      </c>
      <c r="L265" t="s">
        <v>153</v>
      </c>
      <c r="N265" t="s">
        <v>218</v>
      </c>
      <c r="O265" t="s">
        <v>155</v>
      </c>
      <c r="P265">
        <v>0.13638035964143375</v>
      </c>
      <c r="Q265" t="s">
        <v>153</v>
      </c>
      <c r="S265" t="s">
        <v>260</v>
      </c>
      <c r="T265" t="s">
        <v>155</v>
      </c>
      <c r="U265">
        <v>0.16472898950394418</v>
      </c>
      <c r="V265" t="s">
        <v>153</v>
      </c>
    </row>
    <row r="266" spans="9:22" x14ac:dyDescent="0.45">
      <c r="I266" t="s">
        <v>175</v>
      </c>
      <c r="J266" t="s">
        <v>280</v>
      </c>
      <c r="K266">
        <v>2.5260394044721687E-2</v>
      </c>
      <c r="L266" t="s">
        <v>153</v>
      </c>
      <c r="N266" t="s">
        <v>218</v>
      </c>
      <c r="O266" t="s">
        <v>280</v>
      </c>
      <c r="P266">
        <v>2.5884354027172467E-2</v>
      </c>
      <c r="Q266" t="s">
        <v>153</v>
      </c>
      <c r="S266" t="s">
        <v>260</v>
      </c>
      <c r="T266" t="s">
        <v>280</v>
      </c>
      <c r="U266">
        <v>2.3370100634535238E-2</v>
      </c>
      <c r="V266" t="s">
        <v>153</v>
      </c>
    </row>
    <row r="267" spans="9:22" x14ac:dyDescent="0.45">
      <c r="I267" t="s">
        <v>175</v>
      </c>
      <c r="J267" t="s">
        <v>281</v>
      </c>
      <c r="K267">
        <v>1.3381775735245139E-2</v>
      </c>
      <c r="L267" t="s">
        <v>153</v>
      </c>
      <c r="N267" t="s">
        <v>218</v>
      </c>
      <c r="O267" t="s">
        <v>281</v>
      </c>
      <c r="P267">
        <v>2.6631228120579865E-2</v>
      </c>
      <c r="Q267" t="s">
        <v>153</v>
      </c>
      <c r="S267" t="s">
        <v>260</v>
      </c>
      <c r="T267" t="s">
        <v>281</v>
      </c>
      <c r="U267">
        <v>2.2023891688901641E-2</v>
      </c>
      <c r="V267" t="s">
        <v>153</v>
      </c>
    </row>
    <row r="268" spans="9:22" x14ac:dyDescent="0.45">
      <c r="I268" t="s">
        <v>175</v>
      </c>
      <c r="J268" t="s">
        <v>282</v>
      </c>
      <c r="K268">
        <v>3.01824199284108E-6</v>
      </c>
      <c r="L268" t="s">
        <v>153</v>
      </c>
      <c r="N268" t="s">
        <v>218</v>
      </c>
      <c r="O268" t="s">
        <v>282</v>
      </c>
      <c r="P268">
        <v>9.8691643757734898E-2</v>
      </c>
      <c r="Q268" t="s">
        <v>153</v>
      </c>
      <c r="S268" t="s">
        <v>260</v>
      </c>
      <c r="T268" t="s">
        <v>282</v>
      </c>
      <c r="U268">
        <v>8.9522848098290725E-2</v>
      </c>
      <c r="V268" t="s">
        <v>153</v>
      </c>
    </row>
    <row r="269" spans="9:22" x14ac:dyDescent="0.45">
      <c r="I269" t="s">
        <v>175</v>
      </c>
      <c r="J269" t="s">
        <v>156</v>
      </c>
      <c r="K269">
        <v>0</v>
      </c>
      <c r="L269" t="s">
        <v>153</v>
      </c>
      <c r="N269" t="s">
        <v>218</v>
      </c>
      <c r="O269" t="s">
        <v>156</v>
      </c>
      <c r="P269">
        <v>5.3890441277660538E-2</v>
      </c>
      <c r="Q269" t="s">
        <v>153</v>
      </c>
      <c r="S269" t="s">
        <v>260</v>
      </c>
      <c r="T269" t="s">
        <v>156</v>
      </c>
      <c r="U269">
        <v>4.9610821093188935E-2</v>
      </c>
      <c r="V269" t="s">
        <v>153</v>
      </c>
    </row>
    <row r="270" spans="9:22" x14ac:dyDescent="0.45">
      <c r="I270" t="s">
        <v>175</v>
      </c>
      <c r="J270" t="s">
        <v>157</v>
      </c>
      <c r="K270">
        <v>4.3357584633228474E-3</v>
      </c>
      <c r="L270" t="s">
        <v>153</v>
      </c>
      <c r="N270" t="s">
        <v>218</v>
      </c>
      <c r="O270" t="s">
        <v>157</v>
      </c>
      <c r="P270">
        <v>8.2569519510549659E-3</v>
      </c>
      <c r="Q270" t="s">
        <v>153</v>
      </c>
      <c r="S270" t="s">
        <v>260</v>
      </c>
      <c r="T270" t="s">
        <v>157</v>
      </c>
      <c r="U270">
        <v>7.3170691630702342E-3</v>
      </c>
      <c r="V270" t="s">
        <v>153</v>
      </c>
    </row>
    <row r="271" spans="9:22" x14ac:dyDescent="0.45">
      <c r="I271" t="s">
        <v>175</v>
      </c>
      <c r="J271" t="s">
        <v>158</v>
      </c>
      <c r="K271">
        <v>9.4006233470062109E-2</v>
      </c>
      <c r="L271" t="s">
        <v>153</v>
      </c>
      <c r="N271" t="s">
        <v>218</v>
      </c>
      <c r="O271" t="s">
        <v>158</v>
      </c>
      <c r="P271">
        <v>5.1285143430740691E-2</v>
      </c>
      <c r="Q271" t="s">
        <v>153</v>
      </c>
      <c r="S271" t="s">
        <v>260</v>
      </c>
      <c r="T271" t="s">
        <v>158</v>
      </c>
      <c r="U271">
        <v>7.1874818446447455E-2</v>
      </c>
      <c r="V271" t="s">
        <v>153</v>
      </c>
    </row>
    <row r="272" spans="9:22" x14ac:dyDescent="0.45">
      <c r="I272" t="s">
        <v>175</v>
      </c>
      <c r="J272" t="s">
        <v>283</v>
      </c>
      <c r="K272">
        <v>3.0882664564303693E-3</v>
      </c>
      <c r="L272" t="s">
        <v>153</v>
      </c>
      <c r="N272" t="s">
        <v>218</v>
      </c>
      <c r="O272" t="s">
        <v>283</v>
      </c>
      <c r="P272">
        <v>9.9088899836218478E-3</v>
      </c>
      <c r="Q272" t="s">
        <v>153</v>
      </c>
      <c r="S272" t="s">
        <v>260</v>
      </c>
      <c r="T272" t="s">
        <v>283</v>
      </c>
      <c r="U272">
        <v>8.6349311790809395E-3</v>
      </c>
      <c r="V272" t="s">
        <v>153</v>
      </c>
    </row>
    <row r="273" spans="9:22" x14ac:dyDescent="0.45">
      <c r="I273" t="s">
        <v>175</v>
      </c>
      <c r="J273" t="s">
        <v>284</v>
      </c>
      <c r="K273">
        <v>0</v>
      </c>
      <c r="L273" t="s">
        <v>153</v>
      </c>
      <c r="N273" t="s">
        <v>218</v>
      </c>
      <c r="O273" t="s">
        <v>284</v>
      </c>
      <c r="P273">
        <v>1.0739870853460318E-2</v>
      </c>
      <c r="Q273" t="s">
        <v>153</v>
      </c>
      <c r="S273" t="s">
        <v>260</v>
      </c>
      <c r="T273" t="s">
        <v>284</v>
      </c>
      <c r="U273">
        <v>8.5385995263001675E-3</v>
      </c>
      <c r="V273" t="s">
        <v>153</v>
      </c>
    </row>
    <row r="274" spans="9:22" x14ac:dyDescent="0.45">
      <c r="I274" t="s">
        <v>175</v>
      </c>
      <c r="J274" t="s">
        <v>285</v>
      </c>
      <c r="K274">
        <v>0</v>
      </c>
      <c r="L274" t="s">
        <v>153</v>
      </c>
      <c r="N274" t="s">
        <v>218</v>
      </c>
      <c r="O274" t="s">
        <v>285</v>
      </c>
      <c r="P274">
        <v>3.9804612210815785E-2</v>
      </c>
      <c r="Q274" t="s">
        <v>153</v>
      </c>
      <c r="S274" t="s">
        <v>260</v>
      </c>
      <c r="T274" t="s">
        <v>285</v>
      </c>
      <c r="U274">
        <v>3.8556887726270563E-2</v>
      </c>
      <c r="V274" t="s">
        <v>153</v>
      </c>
    </row>
    <row r="275" spans="9:22" x14ac:dyDescent="0.45">
      <c r="I275" t="s">
        <v>175</v>
      </c>
      <c r="J275" t="s">
        <v>159</v>
      </c>
      <c r="K275">
        <v>2.5122325597998502E-2</v>
      </c>
      <c r="L275" t="s">
        <v>153</v>
      </c>
      <c r="N275" t="s">
        <v>218</v>
      </c>
      <c r="O275" t="s">
        <v>159</v>
      </c>
      <c r="P275">
        <v>9.0182360308436099E-2</v>
      </c>
      <c r="Q275" t="s">
        <v>153</v>
      </c>
      <c r="S275" t="s">
        <v>260</v>
      </c>
      <c r="T275" t="s">
        <v>159</v>
      </c>
      <c r="U275">
        <v>9.7103533601547623E-2</v>
      </c>
      <c r="V275" t="s">
        <v>153</v>
      </c>
    </row>
    <row r="276" spans="9:22" x14ac:dyDescent="0.45">
      <c r="I276" t="s">
        <v>175</v>
      </c>
      <c r="J276" t="s">
        <v>160</v>
      </c>
      <c r="K276">
        <v>2.9842384177715078E-2</v>
      </c>
      <c r="L276" t="s">
        <v>153</v>
      </c>
      <c r="N276" t="s">
        <v>218</v>
      </c>
      <c r="O276" t="s">
        <v>160</v>
      </c>
      <c r="P276">
        <v>1.1206031715426171E-2</v>
      </c>
      <c r="Q276" t="s">
        <v>153</v>
      </c>
      <c r="S276" t="s">
        <v>260</v>
      </c>
      <c r="T276" t="s">
        <v>160</v>
      </c>
      <c r="U276">
        <v>1.3868429356322201E-2</v>
      </c>
      <c r="V276" t="s">
        <v>153</v>
      </c>
    </row>
    <row r="277" spans="9:22" x14ac:dyDescent="0.45">
      <c r="I277" t="s">
        <v>175</v>
      </c>
      <c r="J277" t="s">
        <v>161</v>
      </c>
      <c r="K277">
        <v>0.34979798110458915</v>
      </c>
      <c r="L277" t="s">
        <v>153</v>
      </c>
      <c r="N277" t="s">
        <v>218</v>
      </c>
      <c r="O277" t="s">
        <v>161</v>
      </c>
      <c r="P277">
        <v>0.14990026234476228</v>
      </c>
      <c r="Q277" t="s">
        <v>153</v>
      </c>
      <c r="S277" t="s">
        <v>260</v>
      </c>
      <c r="T277" t="s">
        <v>161</v>
      </c>
      <c r="U277">
        <v>0.15908340697590495</v>
      </c>
      <c r="V277" t="s">
        <v>153</v>
      </c>
    </row>
    <row r="278" spans="9:22" x14ac:dyDescent="0.45">
      <c r="I278" t="s">
        <v>175</v>
      </c>
      <c r="J278" t="s">
        <v>286</v>
      </c>
      <c r="K278">
        <v>2.6723366528308687E-2</v>
      </c>
      <c r="L278" t="s">
        <v>153</v>
      </c>
      <c r="N278" t="s">
        <v>218</v>
      </c>
      <c r="O278" t="s">
        <v>286</v>
      </c>
      <c r="P278">
        <v>2.9883782382581485E-2</v>
      </c>
      <c r="Q278" t="s">
        <v>153</v>
      </c>
      <c r="S278" t="s">
        <v>260</v>
      </c>
      <c r="T278" t="s">
        <v>286</v>
      </c>
      <c r="U278">
        <v>2.1024733305164973E-2</v>
      </c>
      <c r="V278" t="s">
        <v>153</v>
      </c>
    </row>
    <row r="279" spans="9:22" x14ac:dyDescent="0.45">
      <c r="I279" t="s">
        <v>175</v>
      </c>
      <c r="J279" t="s">
        <v>287</v>
      </c>
      <c r="K279">
        <v>1.0175220789097012E-2</v>
      </c>
      <c r="L279" t="s">
        <v>153</v>
      </c>
      <c r="N279" t="s">
        <v>218</v>
      </c>
      <c r="O279" t="s">
        <v>287</v>
      </c>
      <c r="P279">
        <v>3.1081236251610068E-2</v>
      </c>
      <c r="Q279" t="s">
        <v>153</v>
      </c>
      <c r="S279" t="s">
        <v>260</v>
      </c>
      <c r="T279" t="s">
        <v>287</v>
      </c>
      <c r="U279">
        <v>1.9821382503174431E-2</v>
      </c>
      <c r="V279" t="s">
        <v>153</v>
      </c>
    </row>
    <row r="280" spans="9:22" x14ac:dyDescent="0.45">
      <c r="I280" t="s">
        <v>175</v>
      </c>
      <c r="J280" t="s">
        <v>288</v>
      </c>
      <c r="K280">
        <v>0</v>
      </c>
      <c r="L280" t="s">
        <v>153</v>
      </c>
      <c r="N280" t="s">
        <v>218</v>
      </c>
      <c r="O280" t="s">
        <v>288</v>
      </c>
      <c r="P280">
        <v>0.11630892196329366</v>
      </c>
      <c r="Q280" t="s">
        <v>153</v>
      </c>
      <c r="S280" t="s">
        <v>260</v>
      </c>
      <c r="T280" t="s">
        <v>288</v>
      </c>
      <c r="U280">
        <v>8.083353389081406E-2</v>
      </c>
      <c r="V280" t="s">
        <v>153</v>
      </c>
    </row>
    <row r="281" spans="9:22" x14ac:dyDescent="0.45">
      <c r="I281" t="s">
        <v>176</v>
      </c>
      <c r="J281" t="s">
        <v>152</v>
      </c>
      <c r="K281">
        <v>1.3756721392282966E-2</v>
      </c>
      <c r="L281" t="s">
        <v>153</v>
      </c>
      <c r="N281" t="s">
        <v>219</v>
      </c>
      <c r="O281" t="s">
        <v>152</v>
      </c>
      <c r="P281">
        <v>0.11528163627900519</v>
      </c>
      <c r="Q281" t="s">
        <v>153</v>
      </c>
      <c r="S281" t="s">
        <v>261</v>
      </c>
      <c r="T281" t="s">
        <v>152</v>
      </c>
      <c r="U281">
        <v>0.12697933896130431</v>
      </c>
      <c r="V281" t="s">
        <v>153</v>
      </c>
    </row>
    <row r="282" spans="9:22" x14ac:dyDescent="0.45">
      <c r="I282" t="s">
        <v>176</v>
      </c>
      <c r="J282" t="s">
        <v>154</v>
      </c>
      <c r="K282">
        <v>3.1273712491385636E-2</v>
      </c>
      <c r="L282" t="s">
        <v>153</v>
      </c>
      <c r="N282" t="s">
        <v>219</v>
      </c>
      <c r="O282" t="s">
        <v>154</v>
      </c>
      <c r="P282">
        <v>1.559887371294142E-2</v>
      </c>
      <c r="Q282" t="s">
        <v>153</v>
      </c>
      <c r="S282" t="s">
        <v>261</v>
      </c>
      <c r="T282" t="s">
        <v>154</v>
      </c>
      <c r="U282">
        <v>1.699339894823201E-2</v>
      </c>
      <c r="V282" t="s">
        <v>153</v>
      </c>
    </row>
    <row r="283" spans="9:22" x14ac:dyDescent="0.45">
      <c r="I283" t="s">
        <v>176</v>
      </c>
      <c r="J283" t="s">
        <v>155</v>
      </c>
      <c r="K283">
        <v>0.36973737823204561</v>
      </c>
      <c r="L283" t="s">
        <v>153</v>
      </c>
      <c r="N283" t="s">
        <v>219</v>
      </c>
      <c r="O283" t="s">
        <v>155</v>
      </c>
      <c r="P283">
        <v>0.1575383218615394</v>
      </c>
      <c r="Q283" t="s">
        <v>153</v>
      </c>
      <c r="S283" t="s">
        <v>261</v>
      </c>
      <c r="T283" t="s">
        <v>155</v>
      </c>
      <c r="U283">
        <v>0.15784256097317553</v>
      </c>
      <c r="V283" t="s">
        <v>153</v>
      </c>
    </row>
    <row r="284" spans="9:22" x14ac:dyDescent="0.45">
      <c r="I284" t="s">
        <v>176</v>
      </c>
      <c r="J284" t="s">
        <v>280</v>
      </c>
      <c r="K284">
        <v>2.3585886586866597E-2</v>
      </c>
      <c r="L284" t="s">
        <v>153</v>
      </c>
      <c r="N284" t="s">
        <v>219</v>
      </c>
      <c r="O284" t="s">
        <v>280</v>
      </c>
      <c r="P284">
        <v>2.3099649340689084E-2</v>
      </c>
      <c r="Q284" t="s">
        <v>153</v>
      </c>
      <c r="S284" t="s">
        <v>261</v>
      </c>
      <c r="T284" t="s">
        <v>280</v>
      </c>
      <c r="U284">
        <v>2.0041047453831291E-2</v>
      </c>
      <c r="V284" t="s">
        <v>153</v>
      </c>
    </row>
    <row r="285" spans="9:22" x14ac:dyDescent="0.45">
      <c r="I285" t="s">
        <v>176</v>
      </c>
      <c r="J285" t="s">
        <v>281</v>
      </c>
      <c r="K285">
        <v>1.2082007492051015E-2</v>
      </c>
      <c r="L285" t="s">
        <v>153</v>
      </c>
      <c r="N285" t="s">
        <v>219</v>
      </c>
      <c r="O285" t="s">
        <v>281</v>
      </c>
      <c r="P285">
        <v>2.4031711182470959E-2</v>
      </c>
      <c r="Q285" t="s">
        <v>153</v>
      </c>
      <c r="S285" t="s">
        <v>261</v>
      </c>
      <c r="T285" t="s">
        <v>281</v>
      </c>
      <c r="U285">
        <v>1.9979892887860101E-2</v>
      </c>
      <c r="V285" t="s">
        <v>153</v>
      </c>
    </row>
    <row r="286" spans="9:22" x14ac:dyDescent="0.45">
      <c r="I286" t="s">
        <v>176</v>
      </c>
      <c r="J286" t="s">
        <v>282</v>
      </c>
      <c r="K286">
        <v>0</v>
      </c>
      <c r="L286" t="s">
        <v>153</v>
      </c>
      <c r="N286" t="s">
        <v>219</v>
      </c>
      <c r="O286" t="s">
        <v>282</v>
      </c>
      <c r="P286">
        <v>0.10396484799129824</v>
      </c>
      <c r="Q286" t="s">
        <v>153</v>
      </c>
      <c r="S286" t="s">
        <v>261</v>
      </c>
      <c r="T286" t="s">
        <v>282</v>
      </c>
      <c r="U286">
        <v>9.6728793826657181E-2</v>
      </c>
      <c r="V286" t="s">
        <v>153</v>
      </c>
    </row>
    <row r="287" spans="9:22" x14ac:dyDescent="0.45">
      <c r="I287" t="s">
        <v>176</v>
      </c>
      <c r="J287" t="s">
        <v>156</v>
      </c>
      <c r="K287">
        <v>0</v>
      </c>
      <c r="L287" t="s">
        <v>153</v>
      </c>
      <c r="N287" t="s">
        <v>219</v>
      </c>
      <c r="O287" t="s">
        <v>156</v>
      </c>
      <c r="P287">
        <v>4.1045394167584473E-2</v>
      </c>
      <c r="Q287" t="s">
        <v>153</v>
      </c>
      <c r="S287" t="s">
        <v>261</v>
      </c>
      <c r="T287" t="s">
        <v>156</v>
      </c>
      <c r="U287">
        <v>5.5531653910498906E-2</v>
      </c>
      <c r="V287" t="s">
        <v>153</v>
      </c>
    </row>
    <row r="288" spans="9:22" x14ac:dyDescent="0.45">
      <c r="I288" t="s">
        <v>176</v>
      </c>
      <c r="J288" t="s">
        <v>157</v>
      </c>
      <c r="K288">
        <v>7.6297469484627057E-3</v>
      </c>
      <c r="L288" t="s">
        <v>153</v>
      </c>
      <c r="N288" t="s">
        <v>219</v>
      </c>
      <c r="O288" t="s">
        <v>157</v>
      </c>
      <c r="P288">
        <v>5.5491543540858853E-3</v>
      </c>
      <c r="Q288" t="s">
        <v>153</v>
      </c>
      <c r="S288" t="s">
        <v>261</v>
      </c>
      <c r="T288" t="s">
        <v>157</v>
      </c>
      <c r="U288">
        <v>8.1023473285763981E-3</v>
      </c>
      <c r="V288" t="s">
        <v>153</v>
      </c>
    </row>
    <row r="289" spans="9:22" x14ac:dyDescent="0.45">
      <c r="I289" t="s">
        <v>176</v>
      </c>
      <c r="J289" t="s">
        <v>158</v>
      </c>
      <c r="K289">
        <v>0.10237729667361813</v>
      </c>
      <c r="L289" t="s">
        <v>153</v>
      </c>
      <c r="N289" t="s">
        <v>219</v>
      </c>
      <c r="O289" t="s">
        <v>158</v>
      </c>
      <c r="P289">
        <v>4.7692764965781682E-2</v>
      </c>
      <c r="Q289" t="s">
        <v>153</v>
      </c>
      <c r="S289" t="s">
        <v>261</v>
      </c>
      <c r="T289" t="s">
        <v>158</v>
      </c>
      <c r="U289">
        <v>6.8920373240174651E-2</v>
      </c>
      <c r="V289" t="s">
        <v>153</v>
      </c>
    </row>
    <row r="290" spans="9:22" x14ac:dyDescent="0.45">
      <c r="I290" t="s">
        <v>176</v>
      </c>
      <c r="J290" t="s">
        <v>283</v>
      </c>
      <c r="K290">
        <v>3.4509510915026798E-3</v>
      </c>
      <c r="L290" t="s">
        <v>153</v>
      </c>
      <c r="N290" t="s">
        <v>219</v>
      </c>
      <c r="O290" t="s">
        <v>283</v>
      </c>
      <c r="P290">
        <v>8.3294626513720285E-3</v>
      </c>
      <c r="Q290" t="s">
        <v>153</v>
      </c>
      <c r="S290" t="s">
        <v>261</v>
      </c>
      <c r="T290" t="s">
        <v>283</v>
      </c>
      <c r="U290">
        <v>7.5599085767415006E-3</v>
      </c>
      <c r="V290" t="s">
        <v>153</v>
      </c>
    </row>
    <row r="291" spans="9:22" x14ac:dyDescent="0.45">
      <c r="I291" t="s">
        <v>176</v>
      </c>
      <c r="J291" t="s">
        <v>284</v>
      </c>
      <c r="K291">
        <v>0</v>
      </c>
      <c r="L291" t="s">
        <v>153</v>
      </c>
      <c r="N291" t="s">
        <v>219</v>
      </c>
      <c r="O291" t="s">
        <v>284</v>
      </c>
      <c r="P291">
        <v>8.939271906279217E-3</v>
      </c>
      <c r="Q291" t="s">
        <v>153</v>
      </c>
      <c r="S291" t="s">
        <v>261</v>
      </c>
      <c r="T291" t="s">
        <v>284</v>
      </c>
      <c r="U291">
        <v>7.6093883644494749E-3</v>
      </c>
      <c r="V291" t="s">
        <v>153</v>
      </c>
    </row>
    <row r="292" spans="9:22" x14ac:dyDescent="0.45">
      <c r="I292" t="s">
        <v>176</v>
      </c>
      <c r="J292" t="s">
        <v>285</v>
      </c>
      <c r="K292">
        <v>0</v>
      </c>
      <c r="L292" t="s">
        <v>153</v>
      </c>
      <c r="N292" t="s">
        <v>219</v>
      </c>
      <c r="O292" t="s">
        <v>285</v>
      </c>
      <c r="P292">
        <v>3.8159782312174741E-2</v>
      </c>
      <c r="Q292" t="s">
        <v>153</v>
      </c>
      <c r="S292" t="s">
        <v>261</v>
      </c>
      <c r="T292" t="s">
        <v>285</v>
      </c>
      <c r="U292">
        <v>3.8734673580457686E-2</v>
      </c>
      <c r="V292" t="s">
        <v>153</v>
      </c>
    </row>
    <row r="293" spans="9:22" x14ac:dyDescent="0.45">
      <c r="I293" t="s">
        <v>176</v>
      </c>
      <c r="J293" t="s">
        <v>159</v>
      </c>
      <c r="K293">
        <v>2.6421551914685752E-2</v>
      </c>
      <c r="L293" t="s">
        <v>153</v>
      </c>
      <c r="N293" t="s">
        <v>219</v>
      </c>
      <c r="O293" t="s">
        <v>159</v>
      </c>
      <c r="P293">
        <v>0.10661326298865587</v>
      </c>
      <c r="Q293" t="s">
        <v>153</v>
      </c>
      <c r="S293" t="s">
        <v>261</v>
      </c>
      <c r="T293" t="s">
        <v>159</v>
      </c>
      <c r="U293">
        <v>0.10544380295731741</v>
      </c>
      <c r="V293" t="s">
        <v>153</v>
      </c>
    </row>
    <row r="294" spans="9:22" x14ac:dyDescent="0.45">
      <c r="I294" t="s">
        <v>176</v>
      </c>
      <c r="J294" t="s">
        <v>160</v>
      </c>
      <c r="K294">
        <v>3.0955535603672486E-2</v>
      </c>
      <c r="L294" t="s">
        <v>153</v>
      </c>
      <c r="N294" t="s">
        <v>219</v>
      </c>
      <c r="O294" t="s">
        <v>160</v>
      </c>
      <c r="P294">
        <v>1.3634208070098956E-2</v>
      </c>
      <c r="Q294" t="s">
        <v>153</v>
      </c>
      <c r="S294" t="s">
        <v>261</v>
      </c>
      <c r="T294" t="s">
        <v>160</v>
      </c>
      <c r="U294">
        <v>1.4939391532368694E-2</v>
      </c>
      <c r="V294" t="s">
        <v>153</v>
      </c>
    </row>
    <row r="295" spans="9:22" x14ac:dyDescent="0.45">
      <c r="I295" t="s">
        <v>176</v>
      </c>
      <c r="J295" t="s">
        <v>161</v>
      </c>
      <c r="K295">
        <v>0.34520145831738569</v>
      </c>
      <c r="L295" t="s">
        <v>153</v>
      </c>
      <c r="N295" t="s">
        <v>219</v>
      </c>
      <c r="O295" t="s">
        <v>161</v>
      </c>
      <c r="P295">
        <v>0.14643767435428623</v>
      </c>
      <c r="Q295" t="s">
        <v>153</v>
      </c>
      <c r="S295" t="s">
        <v>261</v>
      </c>
      <c r="T295" t="s">
        <v>161</v>
      </c>
      <c r="U295">
        <v>0.13873975718118309</v>
      </c>
      <c r="V295" t="s">
        <v>153</v>
      </c>
    </row>
    <row r="296" spans="9:22" x14ac:dyDescent="0.45">
      <c r="I296" t="s">
        <v>176</v>
      </c>
      <c r="J296" t="s">
        <v>286</v>
      </c>
      <c r="K296">
        <v>2.4794415101329841E-2</v>
      </c>
      <c r="L296" t="s">
        <v>153</v>
      </c>
      <c r="N296" t="s">
        <v>219</v>
      </c>
      <c r="O296" t="s">
        <v>286</v>
      </c>
      <c r="P296">
        <v>2.1910922527398919E-2</v>
      </c>
      <c r="Q296" t="s">
        <v>153</v>
      </c>
      <c r="S296" t="s">
        <v>261</v>
      </c>
      <c r="T296" t="s">
        <v>286</v>
      </c>
      <c r="U296">
        <v>1.7156598130819264E-2</v>
      </c>
      <c r="V296" t="s">
        <v>153</v>
      </c>
    </row>
    <row r="297" spans="9:22" x14ac:dyDescent="0.45">
      <c r="I297" t="s">
        <v>176</v>
      </c>
      <c r="J297" t="s">
        <v>287</v>
      </c>
      <c r="K297">
        <v>8.7333381547107427E-3</v>
      </c>
      <c r="L297" t="s">
        <v>153</v>
      </c>
      <c r="N297" t="s">
        <v>219</v>
      </c>
      <c r="O297" t="s">
        <v>287</v>
      </c>
      <c r="P297">
        <v>2.2651244667068783E-2</v>
      </c>
      <c r="Q297" t="s">
        <v>153</v>
      </c>
      <c r="S297" t="s">
        <v>261</v>
      </c>
      <c r="T297" t="s">
        <v>287</v>
      </c>
      <c r="U297">
        <v>1.7129721947915687E-2</v>
      </c>
      <c r="V297" t="s">
        <v>153</v>
      </c>
    </row>
    <row r="298" spans="9:22" x14ac:dyDescent="0.45">
      <c r="I298" t="s">
        <v>176</v>
      </c>
      <c r="J298" t="s">
        <v>288</v>
      </c>
      <c r="K298">
        <v>0</v>
      </c>
      <c r="L298" t="s">
        <v>153</v>
      </c>
      <c r="N298" t="s">
        <v>219</v>
      </c>
      <c r="O298" t="s">
        <v>288</v>
      </c>
      <c r="P298">
        <v>9.9521816667267726E-2</v>
      </c>
      <c r="Q298" t="s">
        <v>153</v>
      </c>
      <c r="S298" t="s">
        <v>261</v>
      </c>
      <c r="T298" t="s">
        <v>288</v>
      </c>
      <c r="U298">
        <v>8.1567350198434557E-2</v>
      </c>
      <c r="V298" t="s">
        <v>153</v>
      </c>
    </row>
    <row r="299" spans="9:22" x14ac:dyDescent="0.45">
      <c r="I299" t="s">
        <v>177</v>
      </c>
      <c r="J299" t="s">
        <v>152</v>
      </c>
      <c r="K299">
        <v>1.1805895668191284E-2</v>
      </c>
      <c r="L299" t="s">
        <v>153</v>
      </c>
      <c r="N299" t="s">
        <v>220</v>
      </c>
      <c r="O299" t="s">
        <v>152</v>
      </c>
      <c r="P299">
        <v>0.11418646181942277</v>
      </c>
      <c r="Q299" t="s">
        <v>153</v>
      </c>
      <c r="S299" t="s">
        <v>262</v>
      </c>
      <c r="T299" t="s">
        <v>152</v>
      </c>
      <c r="U299">
        <v>0.12494087553776227</v>
      </c>
      <c r="V299" t="s">
        <v>153</v>
      </c>
    </row>
    <row r="300" spans="9:22" x14ac:dyDescent="0.45">
      <c r="I300" t="s">
        <v>177</v>
      </c>
      <c r="J300" t="s">
        <v>154</v>
      </c>
      <c r="K300">
        <v>2.8968773428635606E-2</v>
      </c>
      <c r="L300" t="s">
        <v>153</v>
      </c>
      <c r="N300" t="s">
        <v>220</v>
      </c>
      <c r="O300" t="s">
        <v>154</v>
      </c>
      <c r="P300">
        <v>1.8033189177896841E-2</v>
      </c>
      <c r="Q300" t="s">
        <v>153</v>
      </c>
      <c r="S300" t="s">
        <v>262</v>
      </c>
      <c r="T300" t="s">
        <v>154</v>
      </c>
      <c r="U300">
        <v>1.7607568353012241E-2</v>
      </c>
      <c r="V300" t="s">
        <v>153</v>
      </c>
    </row>
    <row r="301" spans="9:22" x14ac:dyDescent="0.45">
      <c r="I301" t="s">
        <v>177</v>
      </c>
      <c r="J301" t="s">
        <v>155</v>
      </c>
      <c r="K301">
        <v>0.37244683385682986</v>
      </c>
      <c r="L301" t="s">
        <v>153</v>
      </c>
      <c r="N301" t="s">
        <v>220</v>
      </c>
      <c r="O301" t="s">
        <v>155</v>
      </c>
      <c r="P301">
        <v>0.17681078084242799</v>
      </c>
      <c r="Q301" t="s">
        <v>153</v>
      </c>
      <c r="S301" t="s">
        <v>262</v>
      </c>
      <c r="T301" t="s">
        <v>155</v>
      </c>
      <c r="U301">
        <v>0.1621586976360978</v>
      </c>
      <c r="V301" t="s">
        <v>153</v>
      </c>
    </row>
    <row r="302" spans="9:22" x14ac:dyDescent="0.45">
      <c r="I302" t="s">
        <v>177</v>
      </c>
      <c r="J302" t="s">
        <v>280</v>
      </c>
      <c r="K302">
        <v>2.6832166786692882E-2</v>
      </c>
      <c r="L302" t="s">
        <v>153</v>
      </c>
      <c r="N302" t="s">
        <v>220</v>
      </c>
      <c r="O302" t="s">
        <v>280</v>
      </c>
      <c r="P302">
        <v>2.5460495075131283E-2</v>
      </c>
      <c r="Q302" t="s">
        <v>153</v>
      </c>
      <c r="S302" t="s">
        <v>262</v>
      </c>
      <c r="T302" t="s">
        <v>280</v>
      </c>
      <c r="U302">
        <v>1.8549889239096153E-2</v>
      </c>
      <c r="V302" t="s">
        <v>153</v>
      </c>
    </row>
    <row r="303" spans="9:22" x14ac:dyDescent="0.45">
      <c r="I303" t="s">
        <v>177</v>
      </c>
      <c r="J303" t="s">
        <v>281</v>
      </c>
      <c r="K303">
        <v>1.4542044636619799E-2</v>
      </c>
      <c r="L303" t="s">
        <v>153</v>
      </c>
      <c r="N303" t="s">
        <v>220</v>
      </c>
      <c r="O303" t="s">
        <v>281</v>
      </c>
      <c r="P303">
        <v>2.2644358704145873E-2</v>
      </c>
      <c r="Q303" t="s">
        <v>153</v>
      </c>
      <c r="S303" t="s">
        <v>262</v>
      </c>
      <c r="T303" t="s">
        <v>281</v>
      </c>
      <c r="U303">
        <v>1.8320615902846459E-2</v>
      </c>
      <c r="V303" t="s">
        <v>153</v>
      </c>
    </row>
    <row r="304" spans="9:22" x14ac:dyDescent="0.45">
      <c r="I304" t="s">
        <v>177</v>
      </c>
      <c r="J304" t="s">
        <v>282</v>
      </c>
      <c r="K304">
        <v>1.256734194692893E-4</v>
      </c>
      <c r="L304" t="s">
        <v>153</v>
      </c>
      <c r="N304" t="s">
        <v>220</v>
      </c>
      <c r="O304" t="s">
        <v>282</v>
      </c>
      <c r="P304">
        <v>7.7227180701148701E-2</v>
      </c>
      <c r="Q304" t="s">
        <v>153</v>
      </c>
      <c r="S304" t="s">
        <v>262</v>
      </c>
      <c r="T304" t="s">
        <v>282</v>
      </c>
      <c r="U304">
        <v>9.0622355930441725E-2</v>
      </c>
      <c r="V304" t="s">
        <v>153</v>
      </c>
    </row>
    <row r="305" spans="9:22" x14ac:dyDescent="0.45">
      <c r="I305" t="s">
        <v>177</v>
      </c>
      <c r="J305" t="s">
        <v>156</v>
      </c>
      <c r="K305">
        <v>0</v>
      </c>
      <c r="L305" t="s">
        <v>153</v>
      </c>
      <c r="N305" t="s">
        <v>220</v>
      </c>
      <c r="O305" t="s">
        <v>156</v>
      </c>
      <c r="P305">
        <v>5.1906427810891033E-2</v>
      </c>
      <c r="Q305" t="s">
        <v>153</v>
      </c>
      <c r="S305" t="s">
        <v>262</v>
      </c>
      <c r="T305" t="s">
        <v>156</v>
      </c>
      <c r="U305">
        <v>5.7547600970171087E-2</v>
      </c>
      <c r="V305" t="s">
        <v>153</v>
      </c>
    </row>
    <row r="306" spans="9:22" x14ac:dyDescent="0.45">
      <c r="I306" t="s">
        <v>177</v>
      </c>
      <c r="J306" t="s">
        <v>157</v>
      </c>
      <c r="K306">
        <v>4.2411395733398674E-3</v>
      </c>
      <c r="L306" t="s">
        <v>153</v>
      </c>
      <c r="N306" t="s">
        <v>220</v>
      </c>
      <c r="O306" t="s">
        <v>157</v>
      </c>
      <c r="P306">
        <v>9.2301360870104526E-3</v>
      </c>
      <c r="Q306" t="s">
        <v>153</v>
      </c>
      <c r="S306" t="s">
        <v>262</v>
      </c>
      <c r="T306" t="s">
        <v>157</v>
      </c>
      <c r="U306">
        <v>8.2851668334557559E-3</v>
      </c>
      <c r="V306" t="s">
        <v>153</v>
      </c>
    </row>
    <row r="307" spans="9:22" x14ac:dyDescent="0.45">
      <c r="I307" t="s">
        <v>177</v>
      </c>
      <c r="J307" t="s">
        <v>158</v>
      </c>
      <c r="K307">
        <v>9.6854275144864402E-2</v>
      </c>
      <c r="L307" t="s">
        <v>153</v>
      </c>
      <c r="N307" t="s">
        <v>220</v>
      </c>
      <c r="O307" t="s">
        <v>158</v>
      </c>
      <c r="P307">
        <v>7.3644281702710354E-2</v>
      </c>
      <c r="Q307" t="s">
        <v>153</v>
      </c>
      <c r="S307" t="s">
        <v>262</v>
      </c>
      <c r="T307" t="s">
        <v>158</v>
      </c>
      <c r="U307">
        <v>6.9712080640688082E-2</v>
      </c>
      <c r="V307" t="s">
        <v>153</v>
      </c>
    </row>
    <row r="308" spans="9:22" x14ac:dyDescent="0.45">
      <c r="I308" t="s">
        <v>177</v>
      </c>
      <c r="J308" t="s">
        <v>283</v>
      </c>
      <c r="K308">
        <v>4.5703747749145148E-3</v>
      </c>
      <c r="L308" t="s">
        <v>153</v>
      </c>
      <c r="N308" t="s">
        <v>220</v>
      </c>
      <c r="O308" t="s">
        <v>283</v>
      </c>
      <c r="P308">
        <v>7.8220450327034768E-3</v>
      </c>
      <c r="Q308" t="s">
        <v>153</v>
      </c>
      <c r="S308" t="s">
        <v>262</v>
      </c>
      <c r="T308" t="s">
        <v>283</v>
      </c>
      <c r="U308">
        <v>7.3024240375997845E-3</v>
      </c>
      <c r="V308" t="s">
        <v>153</v>
      </c>
    </row>
    <row r="309" spans="9:22" x14ac:dyDescent="0.45">
      <c r="I309" t="s">
        <v>177</v>
      </c>
      <c r="J309" t="s">
        <v>284</v>
      </c>
      <c r="K309">
        <v>0</v>
      </c>
      <c r="L309" t="s">
        <v>153</v>
      </c>
      <c r="N309" t="s">
        <v>220</v>
      </c>
      <c r="O309" t="s">
        <v>284</v>
      </c>
      <c r="P309">
        <v>5.9074668328778857E-3</v>
      </c>
      <c r="Q309" t="s">
        <v>153</v>
      </c>
      <c r="S309" t="s">
        <v>262</v>
      </c>
      <c r="T309" t="s">
        <v>284</v>
      </c>
      <c r="U309">
        <v>7.5038648163340983E-3</v>
      </c>
      <c r="V309" t="s">
        <v>153</v>
      </c>
    </row>
    <row r="310" spans="9:22" x14ac:dyDescent="0.45">
      <c r="I310" t="s">
        <v>177</v>
      </c>
      <c r="J310" t="s">
        <v>285</v>
      </c>
      <c r="K310">
        <v>0</v>
      </c>
      <c r="L310" t="s">
        <v>153</v>
      </c>
      <c r="N310" t="s">
        <v>220</v>
      </c>
      <c r="O310" t="s">
        <v>285</v>
      </c>
      <c r="P310">
        <v>1.846830238981715E-2</v>
      </c>
      <c r="Q310" t="s">
        <v>153</v>
      </c>
      <c r="S310" t="s">
        <v>262</v>
      </c>
      <c r="T310" t="s">
        <v>285</v>
      </c>
      <c r="U310">
        <v>4.0324413552216581E-2</v>
      </c>
      <c r="V310" t="s">
        <v>153</v>
      </c>
    </row>
    <row r="311" spans="9:22" x14ac:dyDescent="0.45">
      <c r="I311" t="s">
        <v>177</v>
      </c>
      <c r="J311" t="s">
        <v>159</v>
      </c>
      <c r="K311">
        <v>2.3871176867468969E-2</v>
      </c>
      <c r="L311" t="s">
        <v>153</v>
      </c>
      <c r="N311" t="s">
        <v>220</v>
      </c>
      <c r="O311" t="s">
        <v>159</v>
      </c>
      <c r="P311">
        <v>8.0563863377852152E-2</v>
      </c>
      <c r="Q311" t="s">
        <v>153</v>
      </c>
      <c r="S311" t="s">
        <v>262</v>
      </c>
      <c r="T311" t="s">
        <v>159</v>
      </c>
      <c r="U311">
        <v>0.10966964330137871</v>
      </c>
      <c r="V311" t="s">
        <v>153</v>
      </c>
    </row>
    <row r="312" spans="9:22" x14ac:dyDescent="0.45">
      <c r="I312" t="s">
        <v>177</v>
      </c>
      <c r="J312" t="s">
        <v>160</v>
      </c>
      <c r="K312">
        <v>3.0250052668581086E-2</v>
      </c>
      <c r="L312" t="s">
        <v>153</v>
      </c>
      <c r="N312" t="s">
        <v>220</v>
      </c>
      <c r="O312" t="s">
        <v>160</v>
      </c>
      <c r="P312">
        <v>1.252045779820142E-2</v>
      </c>
      <c r="Q312" t="s">
        <v>153</v>
      </c>
      <c r="S312" t="s">
        <v>262</v>
      </c>
      <c r="T312" t="s">
        <v>160</v>
      </c>
      <c r="U312">
        <v>1.5283581060084166E-2</v>
      </c>
      <c r="V312" t="s">
        <v>153</v>
      </c>
    </row>
    <row r="313" spans="9:22" x14ac:dyDescent="0.45">
      <c r="I313" t="s">
        <v>177</v>
      </c>
      <c r="J313" t="s">
        <v>161</v>
      </c>
      <c r="K313">
        <v>0.34824879656735586</v>
      </c>
      <c r="L313" t="s">
        <v>153</v>
      </c>
      <c r="N313" t="s">
        <v>220</v>
      </c>
      <c r="O313" t="s">
        <v>161</v>
      </c>
      <c r="P313">
        <v>0.18382472699789423</v>
      </c>
      <c r="Q313" t="s">
        <v>153</v>
      </c>
      <c r="S313" t="s">
        <v>262</v>
      </c>
      <c r="T313" t="s">
        <v>161</v>
      </c>
      <c r="U313">
        <v>0.14215220936651449</v>
      </c>
      <c r="V313" t="s">
        <v>153</v>
      </c>
    </row>
    <row r="314" spans="9:22" x14ac:dyDescent="0.45">
      <c r="I314" t="s">
        <v>177</v>
      </c>
      <c r="J314" t="s">
        <v>286</v>
      </c>
      <c r="K314">
        <v>2.6599693560816397E-2</v>
      </c>
      <c r="L314" t="s">
        <v>153</v>
      </c>
      <c r="N314" t="s">
        <v>220</v>
      </c>
      <c r="O314" t="s">
        <v>286</v>
      </c>
      <c r="P314">
        <v>3.0524574498117397E-2</v>
      </c>
      <c r="Q314" t="s">
        <v>153</v>
      </c>
      <c r="S314" t="s">
        <v>262</v>
      </c>
      <c r="T314" t="s">
        <v>286</v>
      </c>
      <c r="U314">
        <v>1.6378618299758157E-2</v>
      </c>
      <c r="V314" t="s">
        <v>153</v>
      </c>
    </row>
    <row r="315" spans="9:22" x14ac:dyDescent="0.45">
      <c r="I315" t="s">
        <v>177</v>
      </c>
      <c r="J315" t="s">
        <v>287</v>
      </c>
      <c r="K315">
        <v>1.0643103046222169E-2</v>
      </c>
      <c r="L315" t="s">
        <v>153</v>
      </c>
      <c r="N315" t="s">
        <v>220</v>
      </c>
      <c r="O315" t="s">
        <v>287</v>
      </c>
      <c r="P315">
        <v>2.5237768788301612E-2</v>
      </c>
      <c r="Q315" t="s">
        <v>153</v>
      </c>
      <c r="S315" t="s">
        <v>262</v>
      </c>
      <c r="T315" t="s">
        <v>287</v>
      </c>
      <c r="U315">
        <v>1.6140088613385211E-2</v>
      </c>
      <c r="V315" t="s">
        <v>153</v>
      </c>
    </row>
    <row r="316" spans="9:22" x14ac:dyDescent="0.45">
      <c r="I316" t="s">
        <v>177</v>
      </c>
      <c r="J316" t="s">
        <v>288</v>
      </c>
      <c r="K316">
        <v>0</v>
      </c>
      <c r="L316" t="s">
        <v>153</v>
      </c>
      <c r="N316" t="s">
        <v>220</v>
      </c>
      <c r="O316" t="s">
        <v>288</v>
      </c>
      <c r="P316">
        <v>6.5987482363448854E-2</v>
      </c>
      <c r="Q316" t="s">
        <v>153</v>
      </c>
      <c r="S316" t="s">
        <v>262</v>
      </c>
      <c r="T316" t="s">
        <v>288</v>
      </c>
      <c r="U316">
        <v>7.7500305909158906E-2</v>
      </c>
      <c r="V316" t="s">
        <v>153</v>
      </c>
    </row>
    <row r="317" spans="9:22" x14ac:dyDescent="0.45">
      <c r="I317" t="s">
        <v>178</v>
      </c>
      <c r="J317" t="s">
        <v>152</v>
      </c>
      <c r="K317">
        <v>6.9971203820154244E-3</v>
      </c>
      <c r="L317" t="s">
        <v>153</v>
      </c>
      <c r="N317" t="s">
        <v>221</v>
      </c>
      <c r="O317" t="s">
        <v>152</v>
      </c>
      <c r="P317">
        <v>0.11687279038250931</v>
      </c>
      <c r="Q317" t="s">
        <v>153</v>
      </c>
      <c r="S317" t="s">
        <v>263</v>
      </c>
      <c r="T317" t="s">
        <v>152</v>
      </c>
      <c r="U317">
        <v>0.11891659653800633</v>
      </c>
      <c r="V317" t="s">
        <v>153</v>
      </c>
    </row>
    <row r="318" spans="9:22" x14ac:dyDescent="0.45">
      <c r="I318" t="s">
        <v>178</v>
      </c>
      <c r="J318" t="s">
        <v>154</v>
      </c>
      <c r="K318">
        <v>2.205821604030609E-2</v>
      </c>
      <c r="L318" t="s">
        <v>153</v>
      </c>
      <c r="N318" t="s">
        <v>221</v>
      </c>
      <c r="O318" t="s">
        <v>154</v>
      </c>
      <c r="P318">
        <v>1.5919714906298024E-2</v>
      </c>
      <c r="Q318" t="s">
        <v>153</v>
      </c>
      <c r="S318" t="s">
        <v>263</v>
      </c>
      <c r="T318" t="s">
        <v>154</v>
      </c>
      <c r="U318">
        <v>1.6815385465173523E-2</v>
      </c>
      <c r="V318" t="s">
        <v>153</v>
      </c>
    </row>
    <row r="319" spans="9:22" x14ac:dyDescent="0.45">
      <c r="I319" t="s">
        <v>178</v>
      </c>
      <c r="J319" t="s">
        <v>155</v>
      </c>
      <c r="K319">
        <v>0.37344410440021253</v>
      </c>
      <c r="L319" t="s">
        <v>153</v>
      </c>
      <c r="N319" t="s">
        <v>221</v>
      </c>
      <c r="O319" t="s">
        <v>155</v>
      </c>
      <c r="P319">
        <v>0.16812242787362805</v>
      </c>
      <c r="Q319" t="s">
        <v>153</v>
      </c>
      <c r="S319" t="s">
        <v>263</v>
      </c>
      <c r="T319" t="s">
        <v>155</v>
      </c>
      <c r="U319">
        <v>0.16601673603860517</v>
      </c>
      <c r="V319" t="s">
        <v>153</v>
      </c>
    </row>
    <row r="320" spans="9:22" x14ac:dyDescent="0.45">
      <c r="I320" t="s">
        <v>178</v>
      </c>
      <c r="J320" t="s">
        <v>280</v>
      </c>
      <c r="K320">
        <v>3.2857332007494945E-2</v>
      </c>
      <c r="L320" t="s">
        <v>153</v>
      </c>
      <c r="N320" t="s">
        <v>221</v>
      </c>
      <c r="O320" t="s">
        <v>280</v>
      </c>
      <c r="P320">
        <v>2.3048043413853653E-2</v>
      </c>
      <c r="Q320" t="s">
        <v>153</v>
      </c>
      <c r="S320" t="s">
        <v>263</v>
      </c>
      <c r="T320" t="s">
        <v>280</v>
      </c>
      <c r="U320">
        <v>2.0375828781427786E-2</v>
      </c>
      <c r="V320" t="s">
        <v>153</v>
      </c>
    </row>
    <row r="321" spans="9:22" x14ac:dyDescent="0.45">
      <c r="I321" t="s">
        <v>178</v>
      </c>
      <c r="J321" t="s">
        <v>281</v>
      </c>
      <c r="K321">
        <v>1.8198174302930862E-2</v>
      </c>
      <c r="L321" t="s">
        <v>153</v>
      </c>
      <c r="N321" t="s">
        <v>221</v>
      </c>
      <c r="O321" t="s">
        <v>281</v>
      </c>
      <c r="P321">
        <v>2.2474161879587409E-2</v>
      </c>
      <c r="Q321" t="s">
        <v>153</v>
      </c>
      <c r="S321" t="s">
        <v>263</v>
      </c>
      <c r="T321" t="s">
        <v>281</v>
      </c>
      <c r="U321">
        <v>1.9827409845809101E-2</v>
      </c>
      <c r="V321" t="s">
        <v>153</v>
      </c>
    </row>
    <row r="322" spans="9:22" x14ac:dyDescent="0.45">
      <c r="I322" t="s">
        <v>178</v>
      </c>
      <c r="J322" t="s">
        <v>282</v>
      </c>
      <c r="K322">
        <v>5.9300699404713922E-3</v>
      </c>
      <c r="L322" t="s">
        <v>153</v>
      </c>
      <c r="N322" t="s">
        <v>221</v>
      </c>
      <c r="O322" t="s">
        <v>282</v>
      </c>
      <c r="P322">
        <v>0.10113838619451176</v>
      </c>
      <c r="Q322" t="s">
        <v>153</v>
      </c>
      <c r="S322" t="s">
        <v>263</v>
      </c>
      <c r="T322" t="s">
        <v>282</v>
      </c>
      <c r="U322">
        <v>8.9874984181077658E-2</v>
      </c>
      <c r="V322" t="s">
        <v>153</v>
      </c>
    </row>
    <row r="323" spans="9:22" x14ac:dyDescent="0.45">
      <c r="I323" t="s">
        <v>178</v>
      </c>
      <c r="J323" t="s">
        <v>156</v>
      </c>
      <c r="K323">
        <v>0</v>
      </c>
      <c r="L323" t="s">
        <v>153</v>
      </c>
      <c r="N323" t="s">
        <v>221</v>
      </c>
      <c r="O323" t="s">
        <v>156</v>
      </c>
      <c r="P323">
        <v>3.9527318233314804E-2</v>
      </c>
      <c r="Q323" t="s">
        <v>153</v>
      </c>
      <c r="S323" t="s">
        <v>263</v>
      </c>
      <c r="T323" t="s">
        <v>156</v>
      </c>
      <c r="U323">
        <v>5.8686028507687643E-2</v>
      </c>
      <c r="V323" t="s">
        <v>153</v>
      </c>
    </row>
    <row r="324" spans="9:22" x14ac:dyDescent="0.45">
      <c r="I324" t="s">
        <v>178</v>
      </c>
      <c r="J324" t="s">
        <v>157</v>
      </c>
      <c r="K324">
        <v>9.259320652001765E-4</v>
      </c>
      <c r="L324" t="s">
        <v>153</v>
      </c>
      <c r="N324" t="s">
        <v>221</v>
      </c>
      <c r="O324" t="s">
        <v>157</v>
      </c>
      <c r="P324">
        <v>6.4943595190346641E-3</v>
      </c>
      <c r="Q324" t="s">
        <v>153</v>
      </c>
      <c r="S324" t="s">
        <v>263</v>
      </c>
      <c r="T324" t="s">
        <v>157</v>
      </c>
      <c r="U324">
        <v>8.1966412157458077E-3</v>
      </c>
      <c r="V324" t="s">
        <v>153</v>
      </c>
    </row>
    <row r="325" spans="9:22" x14ac:dyDescent="0.45">
      <c r="I325" t="s">
        <v>178</v>
      </c>
      <c r="J325" t="s">
        <v>158</v>
      </c>
      <c r="K325">
        <v>8.7465781666554304E-2</v>
      </c>
      <c r="L325" t="s">
        <v>153</v>
      </c>
      <c r="N325" t="s">
        <v>221</v>
      </c>
      <c r="O325" t="s">
        <v>158</v>
      </c>
      <c r="P325">
        <v>6.0682413990436383E-2</v>
      </c>
      <c r="Q325" t="s">
        <v>153</v>
      </c>
      <c r="S325" t="s">
        <v>263</v>
      </c>
      <c r="T325" t="s">
        <v>158</v>
      </c>
      <c r="U325">
        <v>6.7157044996291645E-2</v>
      </c>
      <c r="V325" t="s">
        <v>153</v>
      </c>
    </row>
    <row r="326" spans="9:22" x14ac:dyDescent="0.45">
      <c r="I326" t="s">
        <v>178</v>
      </c>
      <c r="J326" t="s">
        <v>283</v>
      </c>
      <c r="K326">
        <v>6.8125143895632649E-3</v>
      </c>
      <c r="L326" t="s">
        <v>153</v>
      </c>
      <c r="N326" t="s">
        <v>221</v>
      </c>
      <c r="O326" t="s">
        <v>283</v>
      </c>
      <c r="P326">
        <v>8.0493924418498144E-3</v>
      </c>
      <c r="Q326" t="s">
        <v>153</v>
      </c>
      <c r="S326" t="s">
        <v>263</v>
      </c>
      <c r="T326" t="s">
        <v>283</v>
      </c>
      <c r="U326">
        <v>7.5751218676286779E-3</v>
      </c>
      <c r="V326" t="s">
        <v>153</v>
      </c>
    </row>
    <row r="327" spans="9:22" x14ac:dyDescent="0.45">
      <c r="I327" t="s">
        <v>178</v>
      </c>
      <c r="J327" t="s">
        <v>284</v>
      </c>
      <c r="K327">
        <v>0</v>
      </c>
      <c r="L327" t="s">
        <v>153</v>
      </c>
      <c r="N327" t="s">
        <v>221</v>
      </c>
      <c r="O327" t="s">
        <v>284</v>
      </c>
      <c r="P327">
        <v>7.5706994980834098E-3</v>
      </c>
      <c r="Q327" t="s">
        <v>153</v>
      </c>
      <c r="S327" t="s">
        <v>263</v>
      </c>
      <c r="T327" t="s">
        <v>284</v>
      </c>
      <c r="U327">
        <v>7.8449849318625205E-3</v>
      </c>
      <c r="V327" t="s">
        <v>153</v>
      </c>
    </row>
    <row r="328" spans="9:22" x14ac:dyDescent="0.45">
      <c r="I328" t="s">
        <v>178</v>
      </c>
      <c r="J328" t="s">
        <v>285</v>
      </c>
      <c r="K328">
        <v>0</v>
      </c>
      <c r="L328" t="s">
        <v>153</v>
      </c>
      <c r="N328" t="s">
        <v>221</v>
      </c>
      <c r="O328" t="s">
        <v>285</v>
      </c>
      <c r="P328">
        <v>3.2318932341756652E-2</v>
      </c>
      <c r="Q328" t="s">
        <v>153</v>
      </c>
      <c r="S328" t="s">
        <v>263</v>
      </c>
      <c r="T328" t="s">
        <v>285</v>
      </c>
      <c r="U328">
        <v>4.1865890152592768E-2</v>
      </c>
      <c r="V328" t="s">
        <v>153</v>
      </c>
    </row>
    <row r="329" spans="9:22" x14ac:dyDescent="0.45">
      <c r="I329" t="s">
        <v>178</v>
      </c>
      <c r="J329" t="s">
        <v>159</v>
      </c>
      <c r="K329">
        <v>1.4649311660669467E-2</v>
      </c>
      <c r="L329" t="s">
        <v>153</v>
      </c>
      <c r="N329" t="s">
        <v>221</v>
      </c>
      <c r="O329" t="s">
        <v>159</v>
      </c>
      <c r="P329">
        <v>9.5354530808251736E-2</v>
      </c>
      <c r="Q329" t="s">
        <v>153</v>
      </c>
      <c r="S329" t="s">
        <v>263</v>
      </c>
      <c r="T329" t="s">
        <v>159</v>
      </c>
      <c r="U329">
        <v>0.10511914871195982</v>
      </c>
      <c r="V329" t="s">
        <v>153</v>
      </c>
    </row>
    <row r="330" spans="9:22" x14ac:dyDescent="0.45">
      <c r="I330" t="s">
        <v>178</v>
      </c>
      <c r="J330" t="s">
        <v>160</v>
      </c>
      <c r="K330">
        <v>2.6585526799853439E-2</v>
      </c>
      <c r="L330" t="s">
        <v>153</v>
      </c>
      <c r="N330" t="s">
        <v>221</v>
      </c>
      <c r="O330" t="s">
        <v>160</v>
      </c>
      <c r="P330">
        <v>1.370675827556664E-2</v>
      </c>
      <c r="Q330" t="s">
        <v>153</v>
      </c>
      <c r="S330" t="s">
        <v>263</v>
      </c>
      <c r="T330" t="s">
        <v>160</v>
      </c>
      <c r="U330">
        <v>1.4562788420824355E-2</v>
      </c>
      <c r="V330" t="s">
        <v>153</v>
      </c>
    </row>
    <row r="331" spans="9:22" x14ac:dyDescent="0.45">
      <c r="I331" t="s">
        <v>178</v>
      </c>
      <c r="J331" t="s">
        <v>161</v>
      </c>
      <c r="K331">
        <v>0.3521182701551952</v>
      </c>
      <c r="L331" t="s">
        <v>153</v>
      </c>
      <c r="N331" t="s">
        <v>221</v>
      </c>
      <c r="O331" t="s">
        <v>161</v>
      </c>
      <c r="P331">
        <v>0.16354964701582489</v>
      </c>
      <c r="Q331" t="s">
        <v>153</v>
      </c>
      <c r="S331" t="s">
        <v>263</v>
      </c>
      <c r="T331" t="s">
        <v>161</v>
      </c>
      <c r="U331">
        <v>0.1460879229155474</v>
      </c>
      <c r="V331" t="s">
        <v>153</v>
      </c>
    </row>
    <row r="332" spans="9:22" x14ac:dyDescent="0.45">
      <c r="I332" t="s">
        <v>178</v>
      </c>
      <c r="J332" t="s">
        <v>286</v>
      </c>
      <c r="K332">
        <v>3.068924341460447E-2</v>
      </c>
      <c r="L332" t="s">
        <v>153</v>
      </c>
      <c r="N332" t="s">
        <v>221</v>
      </c>
      <c r="O332" t="s">
        <v>286</v>
      </c>
      <c r="P332">
        <v>2.1400408773203029E-2</v>
      </c>
      <c r="Q332" t="s">
        <v>153</v>
      </c>
      <c r="S332" t="s">
        <v>263</v>
      </c>
      <c r="T332" t="s">
        <v>286</v>
      </c>
      <c r="U332">
        <v>1.7717603582869817E-2</v>
      </c>
      <c r="V332" t="s">
        <v>153</v>
      </c>
    </row>
    <row r="333" spans="9:22" x14ac:dyDescent="0.45">
      <c r="I333" t="s">
        <v>178</v>
      </c>
      <c r="J333" t="s">
        <v>287</v>
      </c>
      <c r="K333">
        <v>1.76120429129667E-2</v>
      </c>
      <c r="L333" t="s">
        <v>153</v>
      </c>
      <c r="N333" t="s">
        <v>221</v>
      </c>
      <c r="O333" t="s">
        <v>287</v>
      </c>
      <c r="P333">
        <v>2.0034141724797495E-2</v>
      </c>
      <c r="Q333" t="s">
        <v>153</v>
      </c>
      <c r="S333" t="s">
        <v>263</v>
      </c>
      <c r="T333" t="s">
        <v>287</v>
      </c>
      <c r="U333">
        <v>1.6970572633171269E-2</v>
      </c>
      <c r="V333" t="s">
        <v>153</v>
      </c>
    </row>
    <row r="334" spans="9:22" x14ac:dyDescent="0.45">
      <c r="I334" t="s">
        <v>178</v>
      </c>
      <c r="J334" t="s">
        <v>288</v>
      </c>
      <c r="K334">
        <v>3.6563598619591985E-3</v>
      </c>
      <c r="L334" t="s">
        <v>153</v>
      </c>
      <c r="N334" t="s">
        <v>221</v>
      </c>
      <c r="O334" t="s">
        <v>288</v>
      </c>
      <c r="P334">
        <v>8.3735872727497801E-2</v>
      </c>
      <c r="Q334" t="s">
        <v>153</v>
      </c>
      <c r="S334" t="s">
        <v>263</v>
      </c>
      <c r="T334" t="s">
        <v>288</v>
      </c>
      <c r="U334">
        <v>7.6389311213720903E-2</v>
      </c>
      <c r="V334" t="s">
        <v>153</v>
      </c>
    </row>
    <row r="335" spans="9:22" x14ac:dyDescent="0.45">
      <c r="I335" t="s">
        <v>179</v>
      </c>
      <c r="J335" t="s">
        <v>152</v>
      </c>
      <c r="K335">
        <v>9.0557003876813955E-3</v>
      </c>
      <c r="L335" t="s">
        <v>153</v>
      </c>
      <c r="N335" t="s">
        <v>222</v>
      </c>
      <c r="O335" t="s">
        <v>152</v>
      </c>
      <c r="P335">
        <v>0.10464693992765287</v>
      </c>
      <c r="Q335" t="s">
        <v>153</v>
      </c>
      <c r="S335" t="s">
        <v>264</v>
      </c>
      <c r="T335" t="s">
        <v>152</v>
      </c>
      <c r="U335">
        <v>0.12113273183567523</v>
      </c>
      <c r="V335" t="s">
        <v>153</v>
      </c>
    </row>
    <row r="336" spans="9:22" x14ac:dyDescent="0.45">
      <c r="I336" t="s">
        <v>179</v>
      </c>
      <c r="J336" t="s">
        <v>154</v>
      </c>
      <c r="K336">
        <v>2.5269219294055612E-2</v>
      </c>
      <c r="L336" t="s">
        <v>153</v>
      </c>
      <c r="N336" t="s">
        <v>222</v>
      </c>
      <c r="O336" t="s">
        <v>154</v>
      </c>
      <c r="P336">
        <v>1.4407007186615533E-2</v>
      </c>
      <c r="Q336" t="s">
        <v>153</v>
      </c>
      <c r="S336" t="s">
        <v>264</v>
      </c>
      <c r="T336" t="s">
        <v>154</v>
      </c>
      <c r="U336">
        <v>1.6859796753932135E-2</v>
      </c>
      <c r="V336" t="s">
        <v>153</v>
      </c>
    </row>
    <row r="337" spans="9:22" x14ac:dyDescent="0.45">
      <c r="I337" t="s">
        <v>179</v>
      </c>
      <c r="J337" t="s">
        <v>155</v>
      </c>
      <c r="K337">
        <v>0.37110807318786493</v>
      </c>
      <c r="L337" t="s">
        <v>153</v>
      </c>
      <c r="N337" t="s">
        <v>222</v>
      </c>
      <c r="O337" t="s">
        <v>155</v>
      </c>
      <c r="P337">
        <v>0.1743095273503518</v>
      </c>
      <c r="Q337" t="s">
        <v>153</v>
      </c>
      <c r="S337" t="s">
        <v>264</v>
      </c>
      <c r="T337" t="s">
        <v>155</v>
      </c>
      <c r="U337">
        <v>0.15477277599524478</v>
      </c>
      <c r="V337" t="s">
        <v>153</v>
      </c>
    </row>
    <row r="338" spans="9:22" x14ac:dyDescent="0.45">
      <c r="I338" t="s">
        <v>179</v>
      </c>
      <c r="J338" t="s">
        <v>280</v>
      </c>
      <c r="K338">
        <v>3.0578130111228865E-2</v>
      </c>
      <c r="L338" t="s">
        <v>153</v>
      </c>
      <c r="N338" t="s">
        <v>222</v>
      </c>
      <c r="O338" t="s">
        <v>280</v>
      </c>
      <c r="P338">
        <v>2.7114748538464604E-2</v>
      </c>
      <c r="Q338" t="s">
        <v>153</v>
      </c>
      <c r="S338" t="s">
        <v>264</v>
      </c>
      <c r="T338" t="s">
        <v>280</v>
      </c>
      <c r="U338">
        <v>1.8851401791817608E-2</v>
      </c>
      <c r="V338" t="s">
        <v>153</v>
      </c>
    </row>
    <row r="339" spans="9:22" x14ac:dyDescent="0.45">
      <c r="I339" t="s">
        <v>179</v>
      </c>
      <c r="J339" t="s">
        <v>281</v>
      </c>
      <c r="K339">
        <v>1.736957750217644E-2</v>
      </c>
      <c r="L339" t="s">
        <v>153</v>
      </c>
      <c r="N339" t="s">
        <v>222</v>
      </c>
      <c r="O339" t="s">
        <v>281</v>
      </c>
      <c r="P339">
        <v>2.4745473531315558E-2</v>
      </c>
      <c r="Q339" t="s">
        <v>153</v>
      </c>
      <c r="S339" t="s">
        <v>264</v>
      </c>
      <c r="T339" t="s">
        <v>281</v>
      </c>
      <c r="U339">
        <v>1.8595284054606847E-2</v>
      </c>
      <c r="V339" t="s">
        <v>153</v>
      </c>
    </row>
    <row r="340" spans="9:22" x14ac:dyDescent="0.45">
      <c r="I340" t="s">
        <v>179</v>
      </c>
      <c r="J340" t="s">
        <v>282</v>
      </c>
      <c r="K340">
        <v>5.1806009877482006E-3</v>
      </c>
      <c r="L340" t="s">
        <v>153</v>
      </c>
      <c r="N340" t="s">
        <v>222</v>
      </c>
      <c r="O340" t="s">
        <v>282</v>
      </c>
      <c r="P340">
        <v>9.7991982469910477E-2</v>
      </c>
      <c r="Q340" t="s">
        <v>153</v>
      </c>
      <c r="S340" t="s">
        <v>264</v>
      </c>
      <c r="T340" t="s">
        <v>282</v>
      </c>
      <c r="U340">
        <v>8.8082543042984601E-2</v>
      </c>
      <c r="V340" t="s">
        <v>153</v>
      </c>
    </row>
    <row r="341" spans="9:22" x14ac:dyDescent="0.45">
      <c r="I341" t="s">
        <v>179</v>
      </c>
      <c r="J341" t="s">
        <v>156</v>
      </c>
      <c r="K341">
        <v>0</v>
      </c>
      <c r="L341" t="s">
        <v>153</v>
      </c>
      <c r="N341" t="s">
        <v>222</v>
      </c>
      <c r="O341" t="s">
        <v>156</v>
      </c>
      <c r="P341">
        <v>3.130051845573583E-2</v>
      </c>
      <c r="Q341" t="s">
        <v>153</v>
      </c>
      <c r="S341" t="s">
        <v>264</v>
      </c>
      <c r="T341" t="s">
        <v>156</v>
      </c>
      <c r="U341">
        <v>5.780266857811963E-2</v>
      </c>
      <c r="V341" t="s">
        <v>153</v>
      </c>
    </row>
    <row r="342" spans="9:22" x14ac:dyDescent="0.45">
      <c r="I342" t="s">
        <v>179</v>
      </c>
      <c r="J342" t="s">
        <v>157</v>
      </c>
      <c r="K342">
        <v>1.4649191722468464E-3</v>
      </c>
      <c r="L342" t="s">
        <v>153</v>
      </c>
      <c r="N342" t="s">
        <v>222</v>
      </c>
      <c r="O342" t="s">
        <v>157</v>
      </c>
      <c r="P342">
        <v>5.3041034462571607E-3</v>
      </c>
      <c r="Q342" t="s">
        <v>153</v>
      </c>
      <c r="S342" t="s">
        <v>264</v>
      </c>
      <c r="T342" t="s">
        <v>157</v>
      </c>
      <c r="U342">
        <v>8.2908280215312248E-3</v>
      </c>
      <c r="V342" t="s">
        <v>153</v>
      </c>
    </row>
    <row r="343" spans="9:22" x14ac:dyDescent="0.45">
      <c r="I343" t="s">
        <v>179</v>
      </c>
      <c r="J343" t="s">
        <v>158</v>
      </c>
      <c r="K343">
        <v>8.8554348178175077E-2</v>
      </c>
      <c r="L343" t="s">
        <v>153</v>
      </c>
      <c r="N343" t="s">
        <v>222</v>
      </c>
      <c r="O343" t="s">
        <v>158</v>
      </c>
      <c r="P343">
        <v>5.6754672625221048E-2</v>
      </c>
      <c r="Q343" t="s">
        <v>153</v>
      </c>
      <c r="S343" t="s">
        <v>264</v>
      </c>
      <c r="T343" t="s">
        <v>158</v>
      </c>
      <c r="U343">
        <v>7.0586647982910616E-2</v>
      </c>
      <c r="V343" t="s">
        <v>153</v>
      </c>
    </row>
    <row r="344" spans="9:22" x14ac:dyDescent="0.45">
      <c r="I344" t="s">
        <v>179</v>
      </c>
      <c r="J344" t="s">
        <v>283</v>
      </c>
      <c r="K344">
        <v>5.8140544704099366E-3</v>
      </c>
      <c r="L344" t="s">
        <v>153</v>
      </c>
      <c r="N344" t="s">
        <v>222</v>
      </c>
      <c r="O344" t="s">
        <v>283</v>
      </c>
      <c r="P344">
        <v>8.5802551102672955E-3</v>
      </c>
      <c r="Q344" t="s">
        <v>153</v>
      </c>
      <c r="S344" t="s">
        <v>264</v>
      </c>
      <c r="T344" t="s">
        <v>283</v>
      </c>
      <c r="U344">
        <v>7.724536216835302E-3</v>
      </c>
      <c r="V344" t="s">
        <v>153</v>
      </c>
    </row>
    <row r="345" spans="9:22" x14ac:dyDescent="0.45">
      <c r="I345" t="s">
        <v>179</v>
      </c>
      <c r="J345" t="s">
        <v>284</v>
      </c>
      <c r="K345">
        <v>0</v>
      </c>
      <c r="L345" t="s">
        <v>153</v>
      </c>
      <c r="N345" t="s">
        <v>222</v>
      </c>
      <c r="O345" t="s">
        <v>284</v>
      </c>
      <c r="P345">
        <v>7.2555519907114259E-3</v>
      </c>
      <c r="Q345" t="s">
        <v>153</v>
      </c>
      <c r="S345" t="s">
        <v>264</v>
      </c>
      <c r="T345" t="s">
        <v>284</v>
      </c>
      <c r="U345">
        <v>7.7698411980902946E-3</v>
      </c>
      <c r="V345" t="s">
        <v>153</v>
      </c>
    </row>
    <row r="346" spans="9:22" x14ac:dyDescent="0.45">
      <c r="I346" t="s">
        <v>179</v>
      </c>
      <c r="J346" t="s">
        <v>285</v>
      </c>
      <c r="K346">
        <v>0</v>
      </c>
      <c r="L346" t="s">
        <v>153</v>
      </c>
      <c r="N346" t="s">
        <v>222</v>
      </c>
      <c r="O346" t="s">
        <v>285</v>
      </c>
      <c r="P346">
        <v>2.6411391190588683E-2</v>
      </c>
      <c r="Q346" t="s">
        <v>153</v>
      </c>
      <c r="S346" t="s">
        <v>264</v>
      </c>
      <c r="T346" t="s">
        <v>285</v>
      </c>
      <c r="U346">
        <v>3.9495487677941733E-2</v>
      </c>
      <c r="V346" t="s">
        <v>153</v>
      </c>
    </row>
    <row r="347" spans="9:22" x14ac:dyDescent="0.45">
      <c r="I347" t="s">
        <v>179</v>
      </c>
      <c r="J347" t="s">
        <v>159</v>
      </c>
      <c r="K347">
        <v>1.8285542892569097E-2</v>
      </c>
      <c r="L347" t="s">
        <v>153</v>
      </c>
      <c r="N347" t="s">
        <v>222</v>
      </c>
      <c r="O347" t="s">
        <v>159</v>
      </c>
      <c r="P347">
        <v>9.0407774606098279E-2</v>
      </c>
      <c r="Q347" t="s">
        <v>153</v>
      </c>
      <c r="S347" t="s">
        <v>264</v>
      </c>
      <c r="T347" t="s">
        <v>159</v>
      </c>
      <c r="U347">
        <v>0.11012095022709482</v>
      </c>
      <c r="V347" t="s">
        <v>153</v>
      </c>
    </row>
    <row r="348" spans="9:22" x14ac:dyDescent="0.45">
      <c r="I348" t="s">
        <v>179</v>
      </c>
      <c r="J348" t="s">
        <v>160</v>
      </c>
      <c r="K348">
        <v>2.8433827427197415E-2</v>
      </c>
      <c r="L348" t="s">
        <v>153</v>
      </c>
      <c r="N348" t="s">
        <v>222</v>
      </c>
      <c r="O348" t="s">
        <v>160</v>
      </c>
      <c r="P348">
        <v>1.2829322018119409E-2</v>
      </c>
      <c r="Q348" t="s">
        <v>153</v>
      </c>
      <c r="S348" t="s">
        <v>264</v>
      </c>
      <c r="T348" t="s">
        <v>160</v>
      </c>
      <c r="U348">
        <v>1.4898206322783337E-2</v>
      </c>
      <c r="V348" t="s">
        <v>153</v>
      </c>
    </row>
    <row r="349" spans="9:22" x14ac:dyDescent="0.45">
      <c r="I349" t="s">
        <v>179</v>
      </c>
      <c r="J349" t="s">
        <v>161</v>
      </c>
      <c r="K349">
        <v>0.35080388657365547</v>
      </c>
      <c r="L349" t="s">
        <v>153</v>
      </c>
      <c r="N349" t="s">
        <v>222</v>
      </c>
      <c r="O349" t="s">
        <v>161</v>
      </c>
      <c r="P349">
        <v>0.17918768536144403</v>
      </c>
      <c r="Q349" t="s">
        <v>153</v>
      </c>
      <c r="S349" t="s">
        <v>264</v>
      </c>
      <c r="T349" t="s">
        <v>161</v>
      </c>
      <c r="U349">
        <v>0.14684502736646918</v>
      </c>
      <c r="V349" t="s">
        <v>153</v>
      </c>
    </row>
    <row r="350" spans="9:22" x14ac:dyDescent="0.45">
      <c r="I350" t="s">
        <v>179</v>
      </c>
      <c r="J350" t="s">
        <v>286</v>
      </c>
      <c r="K350">
        <v>2.9647941177155628E-2</v>
      </c>
      <c r="L350" t="s">
        <v>153</v>
      </c>
      <c r="N350" t="s">
        <v>222</v>
      </c>
      <c r="O350" t="s">
        <v>286</v>
      </c>
      <c r="P350">
        <v>2.7172415390940844E-2</v>
      </c>
      <c r="Q350" t="s">
        <v>153</v>
      </c>
      <c r="S350" t="s">
        <v>264</v>
      </c>
      <c r="T350" t="s">
        <v>286</v>
      </c>
      <c r="U350">
        <v>1.776024247434679E-2</v>
      </c>
      <c r="V350" t="s">
        <v>153</v>
      </c>
    </row>
    <row r="351" spans="9:22" x14ac:dyDescent="0.45">
      <c r="I351" t="s">
        <v>179</v>
      </c>
      <c r="J351" t="s">
        <v>287</v>
      </c>
      <c r="K351">
        <v>1.5601110235835542E-2</v>
      </c>
      <c r="L351" t="s">
        <v>153</v>
      </c>
      <c r="N351" t="s">
        <v>222</v>
      </c>
      <c r="O351" t="s">
        <v>287</v>
      </c>
      <c r="P351">
        <v>2.3834002957133511E-2</v>
      </c>
      <c r="Q351" t="s">
        <v>153</v>
      </c>
      <c r="S351" t="s">
        <v>264</v>
      </c>
      <c r="T351" t="s">
        <v>287</v>
      </c>
      <c r="U351">
        <v>1.7450117678454696E-2</v>
      </c>
      <c r="V351" t="s">
        <v>153</v>
      </c>
    </row>
    <row r="352" spans="9:22" x14ac:dyDescent="0.45">
      <c r="I352" t="s">
        <v>179</v>
      </c>
      <c r="J352" t="s">
        <v>288</v>
      </c>
      <c r="K352">
        <v>2.8330684019977769E-3</v>
      </c>
      <c r="L352" t="s">
        <v>153</v>
      </c>
      <c r="N352" t="s">
        <v>222</v>
      </c>
      <c r="O352" t="s">
        <v>288</v>
      </c>
      <c r="P352">
        <v>8.7746627843174899E-2</v>
      </c>
      <c r="Q352" t="s">
        <v>153</v>
      </c>
      <c r="S352" t="s">
        <v>264</v>
      </c>
      <c r="T352" t="s">
        <v>288</v>
      </c>
      <c r="U352">
        <v>8.2960912781163756E-2</v>
      </c>
      <c r="V352" t="s">
        <v>153</v>
      </c>
    </row>
    <row r="353" spans="9:22" x14ac:dyDescent="0.45">
      <c r="I353" t="s">
        <v>180</v>
      </c>
      <c r="J353" t="s">
        <v>152</v>
      </c>
      <c r="K353">
        <v>1.1168170552760264E-2</v>
      </c>
      <c r="L353" t="s">
        <v>153</v>
      </c>
      <c r="N353" t="s">
        <v>223</v>
      </c>
      <c r="O353" t="s">
        <v>152</v>
      </c>
      <c r="P353">
        <v>0.13531897066885124</v>
      </c>
      <c r="Q353" t="s">
        <v>153</v>
      </c>
      <c r="S353" t="s">
        <v>265</v>
      </c>
      <c r="T353" t="s">
        <v>152</v>
      </c>
      <c r="U353">
        <v>0.11211265400066105</v>
      </c>
      <c r="V353" t="s">
        <v>153</v>
      </c>
    </row>
    <row r="354" spans="9:22" x14ac:dyDescent="0.45">
      <c r="I354" t="s">
        <v>180</v>
      </c>
      <c r="J354" t="s">
        <v>154</v>
      </c>
      <c r="K354">
        <v>2.7127471550447257E-2</v>
      </c>
      <c r="L354" t="s">
        <v>153</v>
      </c>
      <c r="N354" t="s">
        <v>223</v>
      </c>
      <c r="O354" t="s">
        <v>154</v>
      </c>
      <c r="P354">
        <v>1.5936975129809915E-2</v>
      </c>
      <c r="Q354" t="s">
        <v>153</v>
      </c>
      <c r="S354" t="s">
        <v>265</v>
      </c>
      <c r="T354" t="s">
        <v>154</v>
      </c>
      <c r="U354">
        <v>1.5920879560161385E-2</v>
      </c>
      <c r="V354" t="s">
        <v>153</v>
      </c>
    </row>
    <row r="355" spans="9:22" x14ac:dyDescent="0.45">
      <c r="I355" t="s">
        <v>180</v>
      </c>
      <c r="J355" t="s">
        <v>155</v>
      </c>
      <c r="K355">
        <v>0.37090939248799459</v>
      </c>
      <c r="L355" t="s">
        <v>153</v>
      </c>
      <c r="N355" t="s">
        <v>223</v>
      </c>
      <c r="O355" t="s">
        <v>155</v>
      </c>
      <c r="P355">
        <v>0.12397859374395222</v>
      </c>
      <c r="Q355" t="s">
        <v>153</v>
      </c>
      <c r="S355" t="s">
        <v>265</v>
      </c>
      <c r="T355" t="s">
        <v>155</v>
      </c>
      <c r="U355">
        <v>0.1700256627159685</v>
      </c>
      <c r="V355" t="s">
        <v>153</v>
      </c>
    </row>
    <row r="356" spans="9:22" x14ac:dyDescent="0.45">
      <c r="I356" t="s">
        <v>180</v>
      </c>
      <c r="J356" t="s">
        <v>280</v>
      </c>
      <c r="K356">
        <v>2.8034133828378383E-2</v>
      </c>
      <c r="L356" t="s">
        <v>153</v>
      </c>
      <c r="N356" t="s">
        <v>223</v>
      </c>
      <c r="O356" t="s">
        <v>280</v>
      </c>
      <c r="P356">
        <v>1.5419557326019094E-2</v>
      </c>
      <c r="Q356" t="s">
        <v>153</v>
      </c>
      <c r="S356" t="s">
        <v>265</v>
      </c>
      <c r="T356" t="s">
        <v>280</v>
      </c>
      <c r="U356">
        <v>1.9943809932668349E-2</v>
      </c>
      <c r="V356" t="s">
        <v>153</v>
      </c>
    </row>
    <row r="357" spans="9:22" x14ac:dyDescent="0.45">
      <c r="I357" t="s">
        <v>180</v>
      </c>
      <c r="J357" t="s">
        <v>281</v>
      </c>
      <c r="K357">
        <v>1.5855555271432883E-2</v>
      </c>
      <c r="L357" t="s">
        <v>153</v>
      </c>
      <c r="N357" t="s">
        <v>223</v>
      </c>
      <c r="O357" t="s">
        <v>281</v>
      </c>
      <c r="P357">
        <v>1.8600437699306086E-2</v>
      </c>
      <c r="Q357" t="s">
        <v>153</v>
      </c>
      <c r="S357" t="s">
        <v>265</v>
      </c>
      <c r="T357" t="s">
        <v>281</v>
      </c>
      <c r="U357">
        <v>1.8949224803921503E-2</v>
      </c>
      <c r="V357" t="s">
        <v>153</v>
      </c>
    </row>
    <row r="358" spans="9:22" x14ac:dyDescent="0.45">
      <c r="I358" t="s">
        <v>180</v>
      </c>
      <c r="J358" t="s">
        <v>282</v>
      </c>
      <c r="K358">
        <v>2.9483284661616215E-3</v>
      </c>
      <c r="L358" t="s">
        <v>153</v>
      </c>
      <c r="N358" t="s">
        <v>223</v>
      </c>
      <c r="O358" t="s">
        <v>282</v>
      </c>
      <c r="P358">
        <v>0.11951296606336927</v>
      </c>
      <c r="Q358" t="s">
        <v>153</v>
      </c>
      <c r="S358" t="s">
        <v>265</v>
      </c>
      <c r="T358" t="s">
        <v>282</v>
      </c>
      <c r="U358">
        <v>8.8134125464571736E-2</v>
      </c>
      <c r="V358" t="s">
        <v>153</v>
      </c>
    </row>
    <row r="359" spans="9:22" x14ac:dyDescent="0.45">
      <c r="I359" t="s">
        <v>180</v>
      </c>
      <c r="J359" t="s">
        <v>156</v>
      </c>
      <c r="K359">
        <v>0</v>
      </c>
      <c r="L359" t="s">
        <v>153</v>
      </c>
      <c r="N359" t="s">
        <v>223</v>
      </c>
      <c r="O359" t="s">
        <v>156</v>
      </c>
      <c r="P359">
        <v>3.9271689966872282E-2</v>
      </c>
      <c r="Q359" t="s">
        <v>153</v>
      </c>
      <c r="S359" t="s">
        <v>265</v>
      </c>
      <c r="T359" t="s">
        <v>156</v>
      </c>
      <c r="U359">
        <v>5.657507953012568E-2</v>
      </c>
      <c r="V359" t="s">
        <v>153</v>
      </c>
    </row>
    <row r="360" spans="9:22" x14ac:dyDescent="0.45">
      <c r="I360" t="s">
        <v>180</v>
      </c>
      <c r="J360" t="s">
        <v>157</v>
      </c>
      <c r="K360">
        <v>2.7440104711901115E-3</v>
      </c>
      <c r="L360" t="s">
        <v>153</v>
      </c>
      <c r="N360" t="s">
        <v>223</v>
      </c>
      <c r="O360" t="s">
        <v>157</v>
      </c>
      <c r="P360">
        <v>5.4328072668777391E-3</v>
      </c>
      <c r="Q360" t="s">
        <v>153</v>
      </c>
      <c r="S360" t="s">
        <v>265</v>
      </c>
      <c r="T360" t="s">
        <v>157</v>
      </c>
      <c r="U360">
        <v>7.6779611292684099E-3</v>
      </c>
      <c r="V360" t="s">
        <v>153</v>
      </c>
    </row>
    <row r="361" spans="9:22" x14ac:dyDescent="0.45">
      <c r="I361" t="s">
        <v>180</v>
      </c>
      <c r="J361" t="s">
        <v>158</v>
      </c>
      <c r="K361">
        <v>9.0682036873100988E-2</v>
      </c>
      <c r="L361" t="s">
        <v>153</v>
      </c>
      <c r="N361" t="s">
        <v>223</v>
      </c>
      <c r="O361" t="s">
        <v>158</v>
      </c>
      <c r="P361">
        <v>4.3496304687777466E-2</v>
      </c>
      <c r="Q361" t="s">
        <v>153</v>
      </c>
      <c r="S361" t="s">
        <v>265</v>
      </c>
      <c r="T361" t="s">
        <v>158</v>
      </c>
      <c r="U361">
        <v>7.1759309991825573E-2</v>
      </c>
      <c r="V361" t="s">
        <v>153</v>
      </c>
    </row>
    <row r="362" spans="9:22" x14ac:dyDescent="0.45">
      <c r="I362" t="s">
        <v>180</v>
      </c>
      <c r="J362" t="s">
        <v>283</v>
      </c>
      <c r="K362">
        <v>4.4400038149331458E-3</v>
      </c>
      <c r="L362" t="s">
        <v>153</v>
      </c>
      <c r="N362" t="s">
        <v>223</v>
      </c>
      <c r="O362" t="s">
        <v>283</v>
      </c>
      <c r="P362">
        <v>4.49778487445689E-3</v>
      </c>
      <c r="Q362" t="s">
        <v>153</v>
      </c>
      <c r="S362" t="s">
        <v>265</v>
      </c>
      <c r="T362" t="s">
        <v>283</v>
      </c>
      <c r="U362">
        <v>8.0569475923424182E-3</v>
      </c>
      <c r="V362" t="s">
        <v>153</v>
      </c>
    </row>
    <row r="363" spans="9:22" x14ac:dyDescent="0.45">
      <c r="I363" t="s">
        <v>180</v>
      </c>
      <c r="J363" t="s">
        <v>284</v>
      </c>
      <c r="K363">
        <v>0</v>
      </c>
      <c r="L363" t="s">
        <v>153</v>
      </c>
      <c r="N363" t="s">
        <v>223</v>
      </c>
      <c r="O363" t="s">
        <v>284</v>
      </c>
      <c r="P363">
        <v>5.6301821757933071E-3</v>
      </c>
      <c r="Q363" t="s">
        <v>153</v>
      </c>
      <c r="S363" t="s">
        <v>265</v>
      </c>
      <c r="T363" t="s">
        <v>284</v>
      </c>
      <c r="U363">
        <v>8.0080519674690567E-3</v>
      </c>
      <c r="V363" t="s">
        <v>153</v>
      </c>
    </row>
    <row r="364" spans="9:22" x14ac:dyDescent="0.45">
      <c r="I364" t="s">
        <v>180</v>
      </c>
      <c r="J364" t="s">
        <v>285</v>
      </c>
      <c r="K364">
        <v>0</v>
      </c>
      <c r="L364" t="s">
        <v>153</v>
      </c>
      <c r="N364" t="s">
        <v>223</v>
      </c>
      <c r="O364" t="s">
        <v>285</v>
      </c>
      <c r="P364">
        <v>3.1822023503884335E-2</v>
      </c>
      <c r="Q364" t="s">
        <v>153</v>
      </c>
      <c r="S364" t="s">
        <v>265</v>
      </c>
      <c r="T364" t="s">
        <v>285</v>
      </c>
      <c r="U364">
        <v>4.2115792484773942E-2</v>
      </c>
      <c r="V364" t="s">
        <v>153</v>
      </c>
    </row>
    <row r="365" spans="9:22" x14ac:dyDescent="0.45">
      <c r="I365" t="s">
        <v>180</v>
      </c>
      <c r="J365" t="s">
        <v>159</v>
      </c>
      <c r="K365">
        <v>2.3196904590310864E-2</v>
      </c>
      <c r="L365" t="s">
        <v>153</v>
      </c>
      <c r="N365" t="s">
        <v>223</v>
      </c>
      <c r="O365" t="s">
        <v>159</v>
      </c>
      <c r="P365">
        <v>0.12908935846576466</v>
      </c>
      <c r="Q365" t="s">
        <v>153</v>
      </c>
      <c r="S365" t="s">
        <v>265</v>
      </c>
      <c r="T365" t="s">
        <v>159</v>
      </c>
      <c r="U365">
        <v>9.9937291216527516E-2</v>
      </c>
      <c r="V365" t="s">
        <v>153</v>
      </c>
    </row>
    <row r="366" spans="9:22" x14ac:dyDescent="0.45">
      <c r="I366" t="s">
        <v>180</v>
      </c>
      <c r="J366" t="s">
        <v>160</v>
      </c>
      <c r="K366">
        <v>2.9825615021667386E-2</v>
      </c>
      <c r="L366" t="s">
        <v>153</v>
      </c>
      <c r="N366" t="s">
        <v>223</v>
      </c>
      <c r="O366" t="s">
        <v>160</v>
      </c>
      <c r="P366">
        <v>1.6879227227056256E-2</v>
      </c>
      <c r="Q366" t="s">
        <v>153</v>
      </c>
      <c r="S366" t="s">
        <v>265</v>
      </c>
      <c r="T366" t="s">
        <v>160</v>
      </c>
      <c r="U366">
        <v>1.3557279409289857E-2</v>
      </c>
      <c r="V366" t="s">
        <v>153</v>
      </c>
    </row>
    <row r="367" spans="9:22" x14ac:dyDescent="0.45">
      <c r="I367" t="s">
        <v>180</v>
      </c>
      <c r="J367" t="s">
        <v>161</v>
      </c>
      <c r="K367">
        <v>0.35171166723095493</v>
      </c>
      <c r="L367" t="s">
        <v>153</v>
      </c>
      <c r="N367" t="s">
        <v>223</v>
      </c>
      <c r="O367" t="s">
        <v>161</v>
      </c>
      <c r="P367">
        <v>0.12894527428256852</v>
      </c>
      <c r="Q367" t="s">
        <v>153</v>
      </c>
      <c r="S367" t="s">
        <v>265</v>
      </c>
      <c r="T367" t="s">
        <v>161</v>
      </c>
      <c r="U367">
        <v>0.15369915778964843</v>
      </c>
      <c r="V367" t="s">
        <v>153</v>
      </c>
    </row>
    <row r="368" spans="9:22" x14ac:dyDescent="0.45">
      <c r="I368" t="s">
        <v>180</v>
      </c>
      <c r="J368" t="s">
        <v>286</v>
      </c>
      <c r="K368">
        <v>2.7947069727361194E-2</v>
      </c>
      <c r="L368" t="s">
        <v>153</v>
      </c>
      <c r="N368" t="s">
        <v>223</v>
      </c>
      <c r="O368" t="s">
        <v>286</v>
      </c>
      <c r="P368">
        <v>1.729778783164259E-2</v>
      </c>
      <c r="Q368" t="s">
        <v>153</v>
      </c>
      <c r="S368" t="s">
        <v>265</v>
      </c>
      <c r="T368" t="s">
        <v>286</v>
      </c>
      <c r="U368">
        <v>1.8040113725059769E-2</v>
      </c>
      <c r="V368" t="s">
        <v>153</v>
      </c>
    </row>
    <row r="369" spans="9:22" x14ac:dyDescent="0.45">
      <c r="I369" t="s">
        <v>180</v>
      </c>
      <c r="J369" t="s">
        <v>287</v>
      </c>
      <c r="K369">
        <v>1.2682048608719841E-2</v>
      </c>
      <c r="L369" t="s">
        <v>153</v>
      </c>
      <c r="N369" t="s">
        <v>223</v>
      </c>
      <c r="O369" t="s">
        <v>287</v>
      </c>
      <c r="P369">
        <v>2.0770204744963692E-2</v>
      </c>
      <c r="Q369" t="s">
        <v>153</v>
      </c>
      <c r="S369" t="s">
        <v>265</v>
      </c>
      <c r="T369" t="s">
        <v>287</v>
      </c>
      <c r="U369">
        <v>1.7014355105437858E-2</v>
      </c>
      <c r="V369" t="s">
        <v>153</v>
      </c>
    </row>
    <row r="370" spans="9:22" x14ac:dyDescent="0.45">
      <c r="I370" t="s">
        <v>180</v>
      </c>
      <c r="J370" t="s">
        <v>288</v>
      </c>
      <c r="K370">
        <v>7.2759150458614758E-4</v>
      </c>
      <c r="L370" t="s">
        <v>153</v>
      </c>
      <c r="N370" t="s">
        <v>223</v>
      </c>
      <c r="O370" t="s">
        <v>288</v>
      </c>
      <c r="P370">
        <v>0.12809985434103632</v>
      </c>
      <c r="Q370" t="s">
        <v>153</v>
      </c>
      <c r="S370" t="s">
        <v>265</v>
      </c>
      <c r="T370" t="s">
        <v>288</v>
      </c>
      <c r="U370">
        <v>7.8472303580281455E-2</v>
      </c>
      <c r="V370" t="s">
        <v>153</v>
      </c>
    </row>
    <row r="371" spans="9:22" x14ac:dyDescent="0.45">
      <c r="I371" t="s">
        <v>181</v>
      </c>
      <c r="J371" t="s">
        <v>152</v>
      </c>
      <c r="K371">
        <v>1.018004918464714E-2</v>
      </c>
      <c r="L371" t="s">
        <v>153</v>
      </c>
      <c r="N371" t="s">
        <v>224</v>
      </c>
      <c r="O371" t="s">
        <v>152</v>
      </c>
      <c r="P371">
        <v>0.13287963873918407</v>
      </c>
      <c r="Q371" t="s">
        <v>153</v>
      </c>
    </row>
    <row r="372" spans="9:22" x14ac:dyDescent="0.45">
      <c r="I372" t="s">
        <v>181</v>
      </c>
      <c r="J372" t="s">
        <v>154</v>
      </c>
      <c r="K372">
        <v>2.7609233499891365E-2</v>
      </c>
      <c r="L372" t="s">
        <v>153</v>
      </c>
      <c r="N372" t="s">
        <v>224</v>
      </c>
      <c r="O372" t="s">
        <v>154</v>
      </c>
      <c r="P372">
        <v>1.6250987377148998E-2</v>
      </c>
      <c r="Q372" t="s">
        <v>153</v>
      </c>
    </row>
    <row r="373" spans="9:22" x14ac:dyDescent="0.45">
      <c r="I373" t="s">
        <v>181</v>
      </c>
      <c r="J373" t="s">
        <v>155</v>
      </c>
      <c r="K373">
        <v>0.37020846699182158</v>
      </c>
      <c r="L373" t="s">
        <v>153</v>
      </c>
      <c r="N373" t="s">
        <v>224</v>
      </c>
      <c r="O373" t="s">
        <v>155</v>
      </c>
      <c r="P373">
        <v>0.13032967975014165</v>
      </c>
      <c r="Q373" t="s">
        <v>153</v>
      </c>
    </row>
    <row r="374" spans="9:22" x14ac:dyDescent="0.45">
      <c r="I374" t="s">
        <v>181</v>
      </c>
      <c r="J374" t="s">
        <v>280</v>
      </c>
      <c r="K374">
        <v>2.9629042948502698E-2</v>
      </c>
      <c r="L374" t="s">
        <v>153</v>
      </c>
      <c r="N374" t="s">
        <v>224</v>
      </c>
      <c r="O374" t="s">
        <v>280</v>
      </c>
      <c r="P374">
        <v>1.8129065440935874E-2</v>
      </c>
      <c r="Q374" t="s">
        <v>153</v>
      </c>
    </row>
    <row r="375" spans="9:22" x14ac:dyDescent="0.45">
      <c r="I375" t="s">
        <v>181</v>
      </c>
      <c r="J375" t="s">
        <v>281</v>
      </c>
      <c r="K375">
        <v>1.6808649694848202E-2</v>
      </c>
      <c r="L375" t="s">
        <v>153</v>
      </c>
      <c r="N375" t="s">
        <v>224</v>
      </c>
      <c r="O375" t="s">
        <v>281</v>
      </c>
      <c r="P375">
        <v>2.1803284378895779E-2</v>
      </c>
      <c r="Q375" t="s">
        <v>153</v>
      </c>
    </row>
    <row r="376" spans="9:22" x14ac:dyDescent="0.45">
      <c r="I376" t="s">
        <v>181</v>
      </c>
      <c r="J376" t="s">
        <v>282</v>
      </c>
      <c r="K376">
        <v>4.2445442524568864E-3</v>
      </c>
      <c r="L376" t="s">
        <v>153</v>
      </c>
      <c r="N376" t="s">
        <v>224</v>
      </c>
      <c r="O376" t="s">
        <v>282</v>
      </c>
      <c r="P376">
        <v>0.12753276594402807</v>
      </c>
      <c r="Q376" t="s">
        <v>153</v>
      </c>
    </row>
    <row r="377" spans="9:22" x14ac:dyDescent="0.45">
      <c r="I377" t="s">
        <v>181</v>
      </c>
      <c r="J377" t="s">
        <v>156</v>
      </c>
      <c r="K377">
        <v>0</v>
      </c>
      <c r="L377" t="s">
        <v>153</v>
      </c>
      <c r="N377" t="s">
        <v>224</v>
      </c>
      <c r="O377" t="s">
        <v>156</v>
      </c>
      <c r="P377">
        <v>4.9069742684906548E-2</v>
      </c>
      <c r="Q377" t="s">
        <v>153</v>
      </c>
    </row>
    <row r="378" spans="9:22" x14ac:dyDescent="0.45">
      <c r="I378" t="s">
        <v>181</v>
      </c>
      <c r="J378" t="s">
        <v>157</v>
      </c>
      <c r="K378">
        <v>2.2023845651979682E-3</v>
      </c>
      <c r="L378" t="s">
        <v>153</v>
      </c>
      <c r="N378" t="s">
        <v>224</v>
      </c>
      <c r="O378" t="s">
        <v>157</v>
      </c>
      <c r="P378">
        <v>6.1668805608020147E-3</v>
      </c>
      <c r="Q378" t="s">
        <v>153</v>
      </c>
    </row>
    <row r="379" spans="9:22" x14ac:dyDescent="0.45">
      <c r="I379" t="s">
        <v>181</v>
      </c>
      <c r="J379" t="s">
        <v>158</v>
      </c>
      <c r="K379">
        <v>9.173546931367553E-2</v>
      </c>
      <c r="L379" t="s">
        <v>153</v>
      </c>
      <c r="N379" t="s">
        <v>224</v>
      </c>
      <c r="O379" t="s">
        <v>158</v>
      </c>
      <c r="P379">
        <v>3.6434623700714555E-2</v>
      </c>
      <c r="Q379" t="s">
        <v>153</v>
      </c>
    </row>
    <row r="380" spans="9:22" x14ac:dyDescent="0.45">
      <c r="I380" t="s">
        <v>181</v>
      </c>
      <c r="J380" t="s">
        <v>283</v>
      </c>
      <c r="K380">
        <v>5.8351808204569113E-3</v>
      </c>
      <c r="L380" t="s">
        <v>153</v>
      </c>
      <c r="N380" t="s">
        <v>224</v>
      </c>
      <c r="O380" t="s">
        <v>283</v>
      </c>
      <c r="P380">
        <v>5.2336388895944568E-3</v>
      </c>
      <c r="Q380" t="s">
        <v>153</v>
      </c>
    </row>
    <row r="381" spans="9:22" x14ac:dyDescent="0.45">
      <c r="I381" t="s">
        <v>181</v>
      </c>
      <c r="J381" t="s">
        <v>284</v>
      </c>
      <c r="K381">
        <v>0</v>
      </c>
      <c r="L381" t="s">
        <v>153</v>
      </c>
      <c r="N381" t="s">
        <v>224</v>
      </c>
      <c r="O381" t="s">
        <v>284</v>
      </c>
      <c r="P381">
        <v>7.4273443859089556E-3</v>
      </c>
      <c r="Q381" t="s">
        <v>153</v>
      </c>
    </row>
    <row r="382" spans="9:22" x14ac:dyDescent="0.45">
      <c r="I382" t="s">
        <v>181</v>
      </c>
      <c r="J382" t="s">
        <v>285</v>
      </c>
      <c r="K382">
        <v>0</v>
      </c>
      <c r="L382" t="s">
        <v>153</v>
      </c>
      <c r="N382" t="s">
        <v>224</v>
      </c>
      <c r="O382" t="s">
        <v>285</v>
      </c>
      <c r="P382">
        <v>4.4238799752684972E-2</v>
      </c>
      <c r="Q382" t="s">
        <v>153</v>
      </c>
    </row>
    <row r="383" spans="9:22" x14ac:dyDescent="0.45">
      <c r="I383" t="s">
        <v>181</v>
      </c>
      <c r="J383" t="s">
        <v>159</v>
      </c>
      <c r="K383">
        <v>2.0275804881571522E-2</v>
      </c>
      <c r="L383" t="s">
        <v>153</v>
      </c>
      <c r="N383" t="s">
        <v>224</v>
      </c>
      <c r="O383" t="s">
        <v>159</v>
      </c>
      <c r="P383">
        <v>0.11749185057865262</v>
      </c>
      <c r="Q383" t="s">
        <v>153</v>
      </c>
    </row>
    <row r="384" spans="9:22" x14ac:dyDescent="0.45">
      <c r="I384" t="s">
        <v>181</v>
      </c>
      <c r="J384" t="s">
        <v>160</v>
      </c>
      <c r="K384">
        <v>2.9976972697878225E-2</v>
      </c>
      <c r="L384" t="s">
        <v>153</v>
      </c>
      <c r="N384" t="s">
        <v>224</v>
      </c>
      <c r="O384" t="s">
        <v>160</v>
      </c>
      <c r="P384">
        <v>1.5162049795508635E-2</v>
      </c>
      <c r="Q384" t="s">
        <v>153</v>
      </c>
    </row>
    <row r="385" spans="9:17" x14ac:dyDescent="0.45">
      <c r="I385" t="s">
        <v>181</v>
      </c>
      <c r="J385" t="s">
        <v>161</v>
      </c>
      <c r="K385">
        <v>0.34713116390824755</v>
      </c>
      <c r="L385" t="s">
        <v>153</v>
      </c>
      <c r="N385" t="s">
        <v>224</v>
      </c>
      <c r="O385" t="s">
        <v>161</v>
      </c>
      <c r="P385">
        <v>0.11878865352904226</v>
      </c>
      <c r="Q385" t="s">
        <v>153</v>
      </c>
    </row>
    <row r="386" spans="9:17" x14ac:dyDescent="0.45">
      <c r="I386" t="s">
        <v>181</v>
      </c>
      <c r="J386" t="s">
        <v>286</v>
      </c>
      <c r="K386">
        <v>2.8563850713678764E-2</v>
      </c>
      <c r="L386" t="s">
        <v>153</v>
      </c>
      <c r="N386" t="s">
        <v>224</v>
      </c>
      <c r="O386" t="s">
        <v>286</v>
      </c>
      <c r="P386">
        <v>1.5582585031544027E-2</v>
      </c>
      <c r="Q386" t="s">
        <v>153</v>
      </c>
    </row>
    <row r="387" spans="9:17" x14ac:dyDescent="0.45">
      <c r="I387" t="s">
        <v>181</v>
      </c>
      <c r="J387" t="s">
        <v>287</v>
      </c>
      <c r="K387">
        <v>1.3936305125418078E-2</v>
      </c>
      <c r="L387" t="s">
        <v>153</v>
      </c>
      <c r="N387" t="s">
        <v>224</v>
      </c>
      <c r="O387" t="s">
        <v>287</v>
      </c>
      <c r="P387">
        <v>1.9953311689193138E-2</v>
      </c>
      <c r="Q387" t="s">
        <v>153</v>
      </c>
    </row>
    <row r="388" spans="9:17" x14ac:dyDescent="0.45">
      <c r="I388" t="s">
        <v>181</v>
      </c>
      <c r="J388" t="s">
        <v>288</v>
      </c>
      <c r="K388">
        <v>1.6628814017086936E-3</v>
      </c>
      <c r="L388" t="s">
        <v>153</v>
      </c>
      <c r="N388" t="s">
        <v>224</v>
      </c>
      <c r="O388" t="s">
        <v>288</v>
      </c>
      <c r="P388">
        <v>0.11752509777111769</v>
      </c>
      <c r="Q388" t="s">
        <v>153</v>
      </c>
    </row>
    <row r="389" spans="9:17" x14ac:dyDescent="0.45">
      <c r="I389" t="s">
        <v>182</v>
      </c>
      <c r="J389" t="s">
        <v>152</v>
      </c>
      <c r="K389">
        <v>1.3517533850442322E-3</v>
      </c>
      <c r="L389" t="s">
        <v>153</v>
      </c>
      <c r="N389" t="s">
        <v>225</v>
      </c>
      <c r="O389" t="s">
        <v>152</v>
      </c>
      <c r="P389">
        <v>9.4002235178128751E-2</v>
      </c>
      <c r="Q389" t="s">
        <v>153</v>
      </c>
    </row>
    <row r="390" spans="9:17" x14ac:dyDescent="0.45">
      <c r="I390" t="s">
        <v>182</v>
      </c>
      <c r="J390" t="s">
        <v>154</v>
      </c>
      <c r="K390">
        <v>1.9668478833817289E-2</v>
      </c>
      <c r="L390" t="s">
        <v>153</v>
      </c>
      <c r="N390" t="s">
        <v>225</v>
      </c>
      <c r="O390" t="s">
        <v>154</v>
      </c>
      <c r="P390">
        <v>8.2305773845748418E-3</v>
      </c>
      <c r="Q390" t="s">
        <v>153</v>
      </c>
    </row>
    <row r="391" spans="9:17" x14ac:dyDescent="0.45">
      <c r="I391" t="s">
        <v>182</v>
      </c>
      <c r="J391" t="s">
        <v>155</v>
      </c>
      <c r="K391">
        <v>0.39825087667244735</v>
      </c>
      <c r="L391" t="s">
        <v>153</v>
      </c>
      <c r="N391" t="s">
        <v>225</v>
      </c>
      <c r="O391" t="s">
        <v>155</v>
      </c>
      <c r="P391">
        <v>9.2413107131458061E-2</v>
      </c>
      <c r="Q391" t="s">
        <v>153</v>
      </c>
    </row>
    <row r="392" spans="9:17" x14ac:dyDescent="0.45">
      <c r="I392" t="s">
        <v>182</v>
      </c>
      <c r="J392" t="s">
        <v>280</v>
      </c>
      <c r="K392">
        <v>3.361013986921977E-2</v>
      </c>
      <c r="L392" t="s">
        <v>153</v>
      </c>
      <c r="N392" t="s">
        <v>225</v>
      </c>
      <c r="O392" t="s">
        <v>280</v>
      </c>
      <c r="P392">
        <v>1.4324048393922898E-2</v>
      </c>
      <c r="Q392" t="s">
        <v>153</v>
      </c>
    </row>
    <row r="393" spans="9:17" x14ac:dyDescent="0.45">
      <c r="I393" t="s">
        <v>182</v>
      </c>
      <c r="J393" t="s">
        <v>281</v>
      </c>
      <c r="K393">
        <v>1.7399035179753861E-2</v>
      </c>
      <c r="L393" t="s">
        <v>153</v>
      </c>
      <c r="N393" t="s">
        <v>225</v>
      </c>
      <c r="O393" t="s">
        <v>281</v>
      </c>
      <c r="P393">
        <v>1.9650874615541998E-2</v>
      </c>
      <c r="Q393" t="s">
        <v>153</v>
      </c>
    </row>
    <row r="394" spans="9:17" x14ac:dyDescent="0.45">
      <c r="I394" t="s">
        <v>182</v>
      </c>
      <c r="J394" t="s">
        <v>282</v>
      </c>
      <c r="K394">
        <v>4.2793371909277686E-3</v>
      </c>
      <c r="L394" t="s">
        <v>153</v>
      </c>
      <c r="N394" t="s">
        <v>225</v>
      </c>
      <c r="O394" t="s">
        <v>282</v>
      </c>
      <c r="P394">
        <v>0.14133894172456324</v>
      </c>
      <c r="Q394" t="s">
        <v>153</v>
      </c>
    </row>
    <row r="395" spans="9:17" x14ac:dyDescent="0.45">
      <c r="I395" t="s">
        <v>182</v>
      </c>
      <c r="J395" t="s">
        <v>156</v>
      </c>
      <c r="K395">
        <v>0</v>
      </c>
      <c r="L395" t="s">
        <v>153</v>
      </c>
      <c r="N395" t="s">
        <v>225</v>
      </c>
      <c r="O395" t="s">
        <v>156</v>
      </c>
      <c r="P395">
        <v>3.1797340466157779E-2</v>
      </c>
      <c r="Q395" t="s">
        <v>153</v>
      </c>
    </row>
    <row r="396" spans="9:17" x14ac:dyDescent="0.45">
      <c r="I396" t="s">
        <v>182</v>
      </c>
      <c r="J396" t="s">
        <v>157</v>
      </c>
      <c r="K396">
        <v>1.1412835105934619E-3</v>
      </c>
      <c r="L396" t="s">
        <v>153</v>
      </c>
      <c r="N396" t="s">
        <v>225</v>
      </c>
      <c r="O396" t="s">
        <v>157</v>
      </c>
      <c r="P396">
        <v>2.4361004436224565E-3</v>
      </c>
      <c r="Q396" t="s">
        <v>153</v>
      </c>
    </row>
    <row r="397" spans="9:17" x14ac:dyDescent="0.45">
      <c r="I397" t="s">
        <v>182</v>
      </c>
      <c r="J397" t="s">
        <v>158</v>
      </c>
      <c r="K397">
        <v>0.12171213087555675</v>
      </c>
      <c r="L397" t="s">
        <v>153</v>
      </c>
      <c r="N397" t="s">
        <v>225</v>
      </c>
      <c r="O397" t="s">
        <v>158</v>
      </c>
      <c r="P397">
        <v>3.7769886171714256E-2</v>
      </c>
      <c r="Q397" t="s">
        <v>153</v>
      </c>
    </row>
    <row r="398" spans="9:17" x14ac:dyDescent="0.45">
      <c r="I398" t="s">
        <v>182</v>
      </c>
      <c r="J398" t="s">
        <v>283</v>
      </c>
      <c r="K398">
        <v>9.3482580702686398E-3</v>
      </c>
      <c r="L398" t="s">
        <v>153</v>
      </c>
      <c r="N398" t="s">
        <v>225</v>
      </c>
      <c r="O398" t="s">
        <v>283</v>
      </c>
      <c r="P398">
        <v>5.6542677140471844E-3</v>
      </c>
      <c r="Q398" t="s">
        <v>153</v>
      </c>
    </row>
    <row r="399" spans="9:17" x14ac:dyDescent="0.45">
      <c r="I399" t="s">
        <v>182</v>
      </c>
      <c r="J399" t="s">
        <v>284</v>
      </c>
      <c r="K399">
        <v>4.2642887496115579E-4</v>
      </c>
      <c r="L399" t="s">
        <v>153</v>
      </c>
      <c r="N399" t="s">
        <v>225</v>
      </c>
      <c r="O399" t="s">
        <v>284</v>
      </c>
      <c r="P399">
        <v>8.1629819128198559E-3</v>
      </c>
      <c r="Q399" t="s">
        <v>153</v>
      </c>
    </row>
    <row r="400" spans="9:17" x14ac:dyDescent="0.45">
      <c r="I400" t="s">
        <v>182</v>
      </c>
      <c r="J400" t="s">
        <v>285</v>
      </c>
      <c r="K400">
        <v>0</v>
      </c>
      <c r="L400" t="s">
        <v>153</v>
      </c>
      <c r="N400" t="s">
        <v>225</v>
      </c>
      <c r="O400" t="s">
        <v>285</v>
      </c>
      <c r="P400">
        <v>4.60076601358499E-2</v>
      </c>
      <c r="Q400" t="s">
        <v>153</v>
      </c>
    </row>
    <row r="401" spans="9:17" x14ac:dyDescent="0.45">
      <c r="I401" t="s">
        <v>182</v>
      </c>
      <c r="J401" t="s">
        <v>159</v>
      </c>
      <c r="K401">
        <v>7.2126534137551875E-3</v>
      </c>
      <c r="L401" t="s">
        <v>153</v>
      </c>
      <c r="N401" t="s">
        <v>225</v>
      </c>
      <c r="O401" t="s">
        <v>159</v>
      </c>
      <c r="P401">
        <v>0.12064303315842098</v>
      </c>
      <c r="Q401" t="s">
        <v>153</v>
      </c>
    </row>
    <row r="402" spans="9:17" x14ac:dyDescent="0.45">
      <c r="I402" t="s">
        <v>182</v>
      </c>
      <c r="J402" t="s">
        <v>160</v>
      </c>
      <c r="K402">
        <v>2.1067980654646289E-2</v>
      </c>
      <c r="L402" t="s">
        <v>153</v>
      </c>
      <c r="N402" t="s">
        <v>225</v>
      </c>
      <c r="O402" t="s">
        <v>160</v>
      </c>
      <c r="P402">
        <v>1.2347490323103366E-2</v>
      </c>
      <c r="Q402" t="s">
        <v>153</v>
      </c>
    </row>
    <row r="403" spans="9:17" x14ac:dyDescent="0.45">
      <c r="I403" t="s">
        <v>182</v>
      </c>
      <c r="J403" t="s">
        <v>161</v>
      </c>
      <c r="K403">
        <v>0.32156680256079928</v>
      </c>
      <c r="L403" t="s">
        <v>153</v>
      </c>
      <c r="N403" t="s">
        <v>225</v>
      </c>
      <c r="O403" t="s">
        <v>161</v>
      </c>
      <c r="P403">
        <v>0.12907622441247946</v>
      </c>
      <c r="Q403" t="s">
        <v>153</v>
      </c>
    </row>
    <row r="404" spans="9:17" x14ac:dyDescent="0.45">
      <c r="I404" t="s">
        <v>182</v>
      </c>
      <c r="J404" t="s">
        <v>286</v>
      </c>
      <c r="K404">
        <v>2.4804887479860961E-2</v>
      </c>
      <c r="L404" t="s">
        <v>153</v>
      </c>
      <c r="N404" t="s">
        <v>225</v>
      </c>
      <c r="O404" t="s">
        <v>286</v>
      </c>
      <c r="P404">
        <v>2.0205623275760524E-2</v>
      </c>
      <c r="Q404" t="s">
        <v>153</v>
      </c>
    </row>
    <row r="405" spans="9:17" x14ac:dyDescent="0.45">
      <c r="I405" t="s">
        <v>182</v>
      </c>
      <c r="J405" t="s">
        <v>287</v>
      </c>
      <c r="K405">
        <v>1.657520532757379E-2</v>
      </c>
      <c r="L405" t="s">
        <v>153</v>
      </c>
      <c r="N405" t="s">
        <v>225</v>
      </c>
      <c r="O405" t="s">
        <v>287</v>
      </c>
      <c r="P405">
        <v>2.6599011603853018E-2</v>
      </c>
      <c r="Q405" t="s">
        <v>153</v>
      </c>
    </row>
    <row r="406" spans="9:17" x14ac:dyDescent="0.45">
      <c r="I406" t="s">
        <v>182</v>
      </c>
      <c r="J406" t="s">
        <v>288</v>
      </c>
      <c r="K406">
        <v>1.5847481007748988E-3</v>
      </c>
      <c r="L406" t="s">
        <v>153</v>
      </c>
      <c r="N406" t="s">
        <v>225</v>
      </c>
      <c r="O406" t="s">
        <v>288</v>
      </c>
      <c r="P406">
        <v>0.18934059595398131</v>
      </c>
      <c r="Q406" t="s">
        <v>153</v>
      </c>
    </row>
    <row r="407" spans="9:17" x14ac:dyDescent="0.45">
      <c r="I407" t="s">
        <v>183</v>
      </c>
      <c r="J407" t="s">
        <v>152</v>
      </c>
      <c r="K407">
        <v>1.4065991641940166E-3</v>
      </c>
      <c r="L407" t="s">
        <v>153</v>
      </c>
      <c r="N407" t="s">
        <v>226</v>
      </c>
      <c r="O407" t="s">
        <v>152</v>
      </c>
      <c r="P407">
        <v>0.13073325814690337</v>
      </c>
      <c r="Q407" t="s">
        <v>153</v>
      </c>
    </row>
    <row r="408" spans="9:17" x14ac:dyDescent="0.45">
      <c r="I408" t="s">
        <v>183</v>
      </c>
      <c r="J408" t="s">
        <v>154</v>
      </c>
      <c r="K408">
        <v>1.8233461239357419E-2</v>
      </c>
      <c r="L408" t="s">
        <v>153</v>
      </c>
      <c r="N408" t="s">
        <v>226</v>
      </c>
      <c r="O408" t="s">
        <v>154</v>
      </c>
      <c r="P408">
        <v>1.3036834626421799E-2</v>
      </c>
      <c r="Q408" t="s">
        <v>153</v>
      </c>
    </row>
    <row r="409" spans="9:17" x14ac:dyDescent="0.45">
      <c r="I409" t="s">
        <v>183</v>
      </c>
      <c r="J409" t="s">
        <v>155</v>
      </c>
      <c r="K409">
        <v>0.40392980065626699</v>
      </c>
      <c r="L409" t="s">
        <v>153</v>
      </c>
      <c r="N409" t="s">
        <v>226</v>
      </c>
      <c r="O409" t="s">
        <v>155</v>
      </c>
      <c r="P409">
        <v>9.5267927019134599E-2</v>
      </c>
      <c r="Q409" t="s">
        <v>153</v>
      </c>
    </row>
    <row r="410" spans="9:17" x14ac:dyDescent="0.45">
      <c r="I410" t="s">
        <v>183</v>
      </c>
      <c r="J410" t="s">
        <v>280</v>
      </c>
      <c r="K410">
        <v>3.3091524860674432E-2</v>
      </c>
      <c r="L410" t="s">
        <v>153</v>
      </c>
      <c r="N410" t="s">
        <v>226</v>
      </c>
      <c r="O410" t="s">
        <v>280</v>
      </c>
      <c r="P410">
        <v>1.0377530046178821E-2</v>
      </c>
      <c r="Q410" t="s">
        <v>153</v>
      </c>
    </row>
    <row r="411" spans="9:17" x14ac:dyDescent="0.45">
      <c r="I411" t="s">
        <v>183</v>
      </c>
      <c r="J411" t="s">
        <v>281</v>
      </c>
      <c r="K411">
        <v>1.6368945587613596E-2</v>
      </c>
      <c r="L411" t="s">
        <v>153</v>
      </c>
      <c r="N411" t="s">
        <v>226</v>
      </c>
      <c r="O411" t="s">
        <v>281</v>
      </c>
      <c r="P411">
        <v>1.3815385704084767E-2</v>
      </c>
      <c r="Q411" t="s">
        <v>153</v>
      </c>
    </row>
    <row r="412" spans="9:17" x14ac:dyDescent="0.45">
      <c r="I412" t="s">
        <v>183</v>
      </c>
      <c r="J412" t="s">
        <v>282</v>
      </c>
      <c r="K412">
        <v>3.9791805274585782E-3</v>
      </c>
      <c r="L412" t="s">
        <v>153</v>
      </c>
      <c r="N412" t="s">
        <v>226</v>
      </c>
      <c r="O412" t="s">
        <v>282</v>
      </c>
      <c r="P412">
        <v>0.12546349256434747</v>
      </c>
      <c r="Q412" t="s">
        <v>153</v>
      </c>
    </row>
    <row r="413" spans="9:17" x14ac:dyDescent="0.45">
      <c r="I413" t="s">
        <v>183</v>
      </c>
      <c r="J413" t="s">
        <v>156</v>
      </c>
      <c r="K413">
        <v>0</v>
      </c>
      <c r="L413" t="s">
        <v>153</v>
      </c>
      <c r="N413" t="s">
        <v>226</v>
      </c>
      <c r="O413" t="s">
        <v>156</v>
      </c>
      <c r="P413">
        <v>4.3673034077204166E-2</v>
      </c>
      <c r="Q413" t="s">
        <v>153</v>
      </c>
    </row>
    <row r="414" spans="9:17" x14ac:dyDescent="0.45">
      <c r="I414" t="s">
        <v>183</v>
      </c>
      <c r="J414" t="s">
        <v>157</v>
      </c>
      <c r="K414">
        <v>8.4107523799792599E-4</v>
      </c>
      <c r="L414" t="s">
        <v>153</v>
      </c>
      <c r="N414" t="s">
        <v>226</v>
      </c>
      <c r="O414" t="s">
        <v>157</v>
      </c>
      <c r="P414">
        <v>5.2040521313639733E-3</v>
      </c>
      <c r="Q414" t="s">
        <v>153</v>
      </c>
    </row>
    <row r="415" spans="9:17" x14ac:dyDescent="0.45">
      <c r="I415" t="s">
        <v>183</v>
      </c>
      <c r="J415" t="s">
        <v>158</v>
      </c>
      <c r="K415">
        <v>0.12280625342678289</v>
      </c>
      <c r="L415" t="s">
        <v>153</v>
      </c>
      <c r="N415" t="s">
        <v>226</v>
      </c>
      <c r="O415" t="s">
        <v>158</v>
      </c>
      <c r="P415">
        <v>3.6094038216864292E-2</v>
      </c>
      <c r="Q415" t="s">
        <v>153</v>
      </c>
    </row>
    <row r="416" spans="9:17" x14ac:dyDescent="0.45">
      <c r="I416" t="s">
        <v>183</v>
      </c>
      <c r="J416" t="s">
        <v>283</v>
      </c>
      <c r="K416">
        <v>9.8272032563699128E-3</v>
      </c>
      <c r="L416" t="s">
        <v>153</v>
      </c>
      <c r="N416" t="s">
        <v>226</v>
      </c>
      <c r="O416" t="s">
        <v>283</v>
      </c>
      <c r="P416">
        <v>4.0315250594210794E-3</v>
      </c>
      <c r="Q416" t="s">
        <v>153</v>
      </c>
    </row>
    <row r="417" spans="9:17" x14ac:dyDescent="0.45">
      <c r="I417" t="s">
        <v>183</v>
      </c>
      <c r="J417" t="s">
        <v>284</v>
      </c>
      <c r="K417">
        <v>2.9941742216291759E-4</v>
      </c>
      <c r="L417" t="s">
        <v>153</v>
      </c>
      <c r="N417" t="s">
        <v>226</v>
      </c>
      <c r="O417" t="s">
        <v>284</v>
      </c>
      <c r="P417">
        <v>5.6000026835733938E-3</v>
      </c>
      <c r="Q417" t="s">
        <v>153</v>
      </c>
    </row>
    <row r="418" spans="9:17" x14ac:dyDescent="0.45">
      <c r="I418" t="s">
        <v>183</v>
      </c>
      <c r="J418" t="s">
        <v>285</v>
      </c>
      <c r="K418">
        <v>0</v>
      </c>
      <c r="L418" t="s">
        <v>153</v>
      </c>
      <c r="N418" t="s">
        <v>226</v>
      </c>
      <c r="O418" t="s">
        <v>285</v>
      </c>
      <c r="P418">
        <v>4.047417614808696E-2</v>
      </c>
      <c r="Q418" t="s">
        <v>153</v>
      </c>
    </row>
    <row r="419" spans="9:17" x14ac:dyDescent="0.45">
      <c r="I419" t="s">
        <v>183</v>
      </c>
      <c r="J419" t="s">
        <v>159</v>
      </c>
      <c r="K419">
        <v>6.3655093359630075E-3</v>
      </c>
      <c r="L419" t="s">
        <v>153</v>
      </c>
      <c r="N419" t="s">
        <v>226</v>
      </c>
      <c r="O419" t="s">
        <v>159</v>
      </c>
      <c r="P419">
        <v>0.14399059118809843</v>
      </c>
      <c r="Q419" t="s">
        <v>153</v>
      </c>
    </row>
    <row r="420" spans="9:17" x14ac:dyDescent="0.45">
      <c r="I420" t="s">
        <v>183</v>
      </c>
      <c r="J420" t="s">
        <v>160</v>
      </c>
      <c r="K420">
        <v>1.9964683875057083E-2</v>
      </c>
      <c r="L420" t="s">
        <v>153</v>
      </c>
      <c r="N420" t="s">
        <v>226</v>
      </c>
      <c r="O420" t="s">
        <v>160</v>
      </c>
      <c r="P420">
        <v>1.667412564121511E-2</v>
      </c>
      <c r="Q420" t="s">
        <v>153</v>
      </c>
    </row>
    <row r="421" spans="9:17" x14ac:dyDescent="0.45">
      <c r="I421" t="s">
        <v>183</v>
      </c>
      <c r="J421" t="s">
        <v>161</v>
      </c>
      <c r="K421">
        <v>0.3210090244515369</v>
      </c>
      <c r="L421" t="s">
        <v>153</v>
      </c>
      <c r="N421" t="s">
        <v>226</v>
      </c>
      <c r="O421" t="s">
        <v>161</v>
      </c>
      <c r="P421">
        <v>0.12757673031636441</v>
      </c>
      <c r="Q421" t="s">
        <v>153</v>
      </c>
    </row>
    <row r="422" spans="9:17" x14ac:dyDescent="0.45">
      <c r="I422" t="s">
        <v>183</v>
      </c>
      <c r="J422" t="s">
        <v>286</v>
      </c>
      <c r="K422">
        <v>2.4280891609939383E-2</v>
      </c>
      <c r="L422" t="s">
        <v>153</v>
      </c>
      <c r="N422" t="s">
        <v>226</v>
      </c>
      <c r="O422" t="s">
        <v>286</v>
      </c>
      <c r="P422">
        <v>1.5426997184316739E-2</v>
      </c>
      <c r="Q422" t="s">
        <v>153</v>
      </c>
    </row>
    <row r="423" spans="9:17" x14ac:dyDescent="0.45">
      <c r="I423" t="s">
        <v>183</v>
      </c>
      <c r="J423" t="s">
        <v>287</v>
      </c>
      <c r="K423">
        <v>1.6139985117492161E-2</v>
      </c>
      <c r="L423" t="s">
        <v>153</v>
      </c>
      <c r="N423" t="s">
        <v>226</v>
      </c>
      <c r="O423" t="s">
        <v>287</v>
      </c>
      <c r="P423">
        <v>1.9107447158206763E-2</v>
      </c>
      <c r="Q423" t="s">
        <v>153</v>
      </c>
    </row>
    <row r="424" spans="9:17" x14ac:dyDescent="0.45">
      <c r="I424" t="s">
        <v>183</v>
      </c>
      <c r="J424" t="s">
        <v>288</v>
      </c>
      <c r="K424">
        <v>1.4564442311333231E-3</v>
      </c>
      <c r="L424" t="s">
        <v>153</v>
      </c>
      <c r="N424" t="s">
        <v>226</v>
      </c>
      <c r="O424" t="s">
        <v>288</v>
      </c>
      <c r="P424">
        <v>0.15345285208821619</v>
      </c>
      <c r="Q424" t="s">
        <v>153</v>
      </c>
    </row>
    <row r="425" spans="9:17" x14ac:dyDescent="0.45">
      <c r="I425" t="s">
        <v>184</v>
      </c>
      <c r="J425" t="s">
        <v>152</v>
      </c>
      <c r="K425">
        <v>1.0711629177072254E-3</v>
      </c>
      <c r="L425" t="s">
        <v>153</v>
      </c>
      <c r="N425" t="s">
        <v>227</v>
      </c>
      <c r="O425" t="s">
        <v>152</v>
      </c>
      <c r="P425">
        <v>0.15369845604499446</v>
      </c>
      <c r="Q425" t="s">
        <v>153</v>
      </c>
    </row>
    <row r="426" spans="9:17" x14ac:dyDescent="0.45">
      <c r="I426" t="s">
        <v>184</v>
      </c>
      <c r="J426" t="s">
        <v>154</v>
      </c>
      <c r="K426">
        <v>2.0617175261140274E-2</v>
      </c>
      <c r="L426" t="s">
        <v>153</v>
      </c>
      <c r="N426" t="s">
        <v>227</v>
      </c>
      <c r="O426" t="s">
        <v>154</v>
      </c>
      <c r="P426">
        <v>1.607604125524047E-2</v>
      </c>
      <c r="Q426" t="s">
        <v>153</v>
      </c>
    </row>
    <row r="427" spans="9:17" x14ac:dyDescent="0.45">
      <c r="I427" t="s">
        <v>184</v>
      </c>
      <c r="J427" t="s">
        <v>155</v>
      </c>
      <c r="K427">
        <v>0.39232979280158187</v>
      </c>
      <c r="L427" t="s">
        <v>153</v>
      </c>
      <c r="N427" t="s">
        <v>227</v>
      </c>
      <c r="O427" t="s">
        <v>155</v>
      </c>
      <c r="P427">
        <v>9.0705009820122973E-2</v>
      </c>
      <c r="Q427" t="s">
        <v>153</v>
      </c>
    </row>
    <row r="428" spans="9:17" x14ac:dyDescent="0.45">
      <c r="I428" t="s">
        <v>184</v>
      </c>
      <c r="J428" t="s">
        <v>280</v>
      </c>
      <c r="K428">
        <v>3.4964888381396463E-2</v>
      </c>
      <c r="L428" t="s">
        <v>153</v>
      </c>
      <c r="N428" t="s">
        <v>227</v>
      </c>
      <c r="O428" t="s">
        <v>280</v>
      </c>
      <c r="P428">
        <v>7.1101527058775767E-3</v>
      </c>
      <c r="Q428" t="s">
        <v>153</v>
      </c>
    </row>
    <row r="429" spans="9:17" x14ac:dyDescent="0.45">
      <c r="I429" t="s">
        <v>184</v>
      </c>
      <c r="J429" t="s">
        <v>281</v>
      </c>
      <c r="K429">
        <v>1.9242241957683832E-2</v>
      </c>
      <c r="L429" t="s">
        <v>153</v>
      </c>
      <c r="N429" t="s">
        <v>227</v>
      </c>
      <c r="O429" t="s">
        <v>281</v>
      </c>
      <c r="P429">
        <v>8.780917950080399E-3</v>
      </c>
      <c r="Q429" t="s">
        <v>153</v>
      </c>
    </row>
    <row r="430" spans="9:17" x14ac:dyDescent="0.45">
      <c r="I430" t="s">
        <v>184</v>
      </c>
      <c r="J430" t="s">
        <v>282</v>
      </c>
      <c r="K430">
        <v>4.9224594282310493E-3</v>
      </c>
      <c r="L430" t="s">
        <v>153</v>
      </c>
      <c r="N430" t="s">
        <v>227</v>
      </c>
      <c r="O430" t="s">
        <v>282</v>
      </c>
      <c r="P430">
        <v>8.8593068983301007E-2</v>
      </c>
      <c r="Q430" t="s">
        <v>153</v>
      </c>
    </row>
    <row r="431" spans="9:17" x14ac:dyDescent="0.45">
      <c r="I431" t="s">
        <v>184</v>
      </c>
      <c r="J431" t="s">
        <v>156</v>
      </c>
      <c r="K431">
        <v>0</v>
      </c>
      <c r="L431" t="s">
        <v>153</v>
      </c>
      <c r="N431" t="s">
        <v>227</v>
      </c>
      <c r="O431" t="s">
        <v>156</v>
      </c>
      <c r="P431">
        <v>5.6750514576293612E-2</v>
      </c>
      <c r="Q431" t="s">
        <v>153</v>
      </c>
    </row>
    <row r="432" spans="9:17" x14ac:dyDescent="0.45">
      <c r="I432" t="s">
        <v>184</v>
      </c>
      <c r="J432" t="s">
        <v>157</v>
      </c>
      <c r="K432">
        <v>1.0757172085329016E-3</v>
      </c>
      <c r="L432" t="s">
        <v>153</v>
      </c>
      <c r="N432" t="s">
        <v>227</v>
      </c>
      <c r="O432" t="s">
        <v>157</v>
      </c>
      <c r="P432">
        <v>6.6216549997981751E-3</v>
      </c>
      <c r="Q432" t="s">
        <v>153</v>
      </c>
    </row>
    <row r="433" spans="9:17" x14ac:dyDescent="0.45">
      <c r="I433" t="s">
        <v>184</v>
      </c>
      <c r="J433" t="s">
        <v>158</v>
      </c>
      <c r="K433">
        <v>0.12120938063789323</v>
      </c>
      <c r="L433" t="s">
        <v>153</v>
      </c>
      <c r="N433" t="s">
        <v>227</v>
      </c>
      <c r="O433" t="s">
        <v>158</v>
      </c>
      <c r="P433">
        <v>3.6142661320846606E-2</v>
      </c>
      <c r="Q433" t="s">
        <v>153</v>
      </c>
    </row>
    <row r="434" spans="9:17" x14ac:dyDescent="0.45">
      <c r="I434" t="s">
        <v>184</v>
      </c>
      <c r="J434" t="s">
        <v>283</v>
      </c>
      <c r="K434">
        <v>9.2443785202593904E-3</v>
      </c>
      <c r="L434" t="s">
        <v>153</v>
      </c>
      <c r="N434" t="s">
        <v>227</v>
      </c>
      <c r="O434" t="s">
        <v>283</v>
      </c>
      <c r="P434">
        <v>3.3948822586414378E-3</v>
      </c>
      <c r="Q434" t="s">
        <v>153</v>
      </c>
    </row>
    <row r="435" spans="9:17" x14ac:dyDescent="0.45">
      <c r="I435" t="s">
        <v>184</v>
      </c>
      <c r="J435" t="s">
        <v>284</v>
      </c>
      <c r="K435">
        <v>1.171046682724855E-3</v>
      </c>
      <c r="L435" t="s">
        <v>153</v>
      </c>
      <c r="N435" t="s">
        <v>227</v>
      </c>
      <c r="O435" t="s">
        <v>284</v>
      </c>
      <c r="P435">
        <v>4.2930917599479333E-3</v>
      </c>
      <c r="Q435" t="s">
        <v>153</v>
      </c>
    </row>
    <row r="436" spans="9:17" x14ac:dyDescent="0.45">
      <c r="I436" t="s">
        <v>184</v>
      </c>
      <c r="J436" t="s">
        <v>285</v>
      </c>
      <c r="K436">
        <v>0</v>
      </c>
      <c r="L436" t="s">
        <v>153</v>
      </c>
      <c r="N436" t="s">
        <v>227</v>
      </c>
      <c r="O436" t="s">
        <v>285</v>
      </c>
      <c r="P436">
        <v>4.0256186086699494E-2</v>
      </c>
      <c r="Q436" t="s">
        <v>153</v>
      </c>
    </row>
    <row r="437" spans="9:17" x14ac:dyDescent="0.45">
      <c r="I437" t="s">
        <v>184</v>
      </c>
      <c r="J437" t="s">
        <v>159</v>
      </c>
      <c r="K437">
        <v>7.1068682093904075E-3</v>
      </c>
      <c r="L437" t="s">
        <v>153</v>
      </c>
      <c r="N437" t="s">
        <v>227</v>
      </c>
      <c r="O437" t="s">
        <v>159</v>
      </c>
      <c r="P437">
        <v>0.1813146366478384</v>
      </c>
      <c r="Q437" t="s">
        <v>153</v>
      </c>
    </row>
    <row r="438" spans="9:17" x14ac:dyDescent="0.45">
      <c r="I438" t="s">
        <v>184</v>
      </c>
      <c r="J438" t="s">
        <v>160</v>
      </c>
      <c r="K438">
        <v>2.1271136870018453E-2</v>
      </c>
      <c r="L438" t="s">
        <v>153</v>
      </c>
      <c r="N438" t="s">
        <v>227</v>
      </c>
      <c r="O438" t="s">
        <v>160</v>
      </c>
      <c r="P438">
        <v>2.0929344065294338E-2</v>
      </c>
      <c r="Q438" t="s">
        <v>153</v>
      </c>
    </row>
    <row r="439" spans="9:17" x14ac:dyDescent="0.45">
      <c r="I439" t="s">
        <v>184</v>
      </c>
      <c r="J439" t="s">
        <v>161</v>
      </c>
      <c r="K439">
        <v>0.32172565837082751</v>
      </c>
      <c r="L439" t="s">
        <v>153</v>
      </c>
      <c r="N439" t="s">
        <v>227</v>
      </c>
      <c r="O439" t="s">
        <v>161</v>
      </c>
      <c r="P439">
        <v>0.12930797098503918</v>
      </c>
      <c r="Q439" t="s">
        <v>153</v>
      </c>
    </row>
    <row r="440" spans="9:17" x14ac:dyDescent="0.45">
      <c r="I440" t="s">
        <v>184</v>
      </c>
      <c r="J440" t="s">
        <v>286</v>
      </c>
      <c r="K440">
        <v>2.5677957236732347E-2</v>
      </c>
      <c r="L440" t="s">
        <v>153</v>
      </c>
      <c r="N440" t="s">
        <v>227</v>
      </c>
      <c r="O440" t="s">
        <v>286</v>
      </c>
      <c r="P440">
        <v>1.1723268047420958E-2</v>
      </c>
      <c r="Q440" t="s">
        <v>153</v>
      </c>
    </row>
    <row r="441" spans="9:17" x14ac:dyDescent="0.45">
      <c r="I441" t="s">
        <v>184</v>
      </c>
      <c r="J441" t="s">
        <v>287</v>
      </c>
      <c r="K441">
        <v>1.696632697409196E-2</v>
      </c>
      <c r="L441" t="s">
        <v>153</v>
      </c>
      <c r="N441" t="s">
        <v>227</v>
      </c>
      <c r="O441" t="s">
        <v>287</v>
      </c>
      <c r="P441">
        <v>1.3030215600899593E-2</v>
      </c>
      <c r="Q441" t="s">
        <v>153</v>
      </c>
    </row>
    <row r="442" spans="9:17" x14ac:dyDescent="0.45">
      <c r="I442" t="s">
        <v>184</v>
      </c>
      <c r="J442" t="s">
        <v>288</v>
      </c>
      <c r="K442">
        <v>1.403808541790606E-3</v>
      </c>
      <c r="L442" t="s">
        <v>153</v>
      </c>
      <c r="N442" t="s">
        <v>227</v>
      </c>
      <c r="O442" t="s">
        <v>288</v>
      </c>
      <c r="P442">
        <v>0.13127192689166206</v>
      </c>
      <c r="Q442" t="s">
        <v>153</v>
      </c>
    </row>
    <row r="443" spans="9:17" x14ac:dyDescent="0.45">
      <c r="I443" t="s">
        <v>185</v>
      </c>
      <c r="J443" t="s">
        <v>152</v>
      </c>
      <c r="K443">
        <v>7.6507230475733004E-4</v>
      </c>
      <c r="L443" t="s">
        <v>153</v>
      </c>
      <c r="N443" t="s">
        <v>228</v>
      </c>
      <c r="O443" t="s">
        <v>152</v>
      </c>
      <c r="P443">
        <v>0.13458344698435792</v>
      </c>
      <c r="Q443" t="s">
        <v>153</v>
      </c>
    </row>
    <row r="444" spans="9:17" x14ac:dyDescent="0.45">
      <c r="I444" t="s">
        <v>185</v>
      </c>
      <c r="J444" t="s">
        <v>154</v>
      </c>
      <c r="K444">
        <v>1.8506940054430827E-2</v>
      </c>
      <c r="L444" t="s">
        <v>153</v>
      </c>
      <c r="N444" t="s">
        <v>228</v>
      </c>
      <c r="O444" t="s">
        <v>154</v>
      </c>
      <c r="P444">
        <v>1.3011249469723395E-2</v>
      </c>
      <c r="Q444" t="s">
        <v>153</v>
      </c>
    </row>
    <row r="445" spans="9:17" x14ac:dyDescent="0.45">
      <c r="I445" t="s">
        <v>185</v>
      </c>
      <c r="J445" t="s">
        <v>155</v>
      </c>
      <c r="K445">
        <v>0.39012252036975809</v>
      </c>
      <c r="L445" t="s">
        <v>153</v>
      </c>
      <c r="N445" t="s">
        <v>228</v>
      </c>
      <c r="O445" t="s">
        <v>155</v>
      </c>
      <c r="P445">
        <v>9.5881831218600153E-2</v>
      </c>
      <c r="Q445" t="s">
        <v>153</v>
      </c>
    </row>
    <row r="446" spans="9:17" x14ac:dyDescent="0.45">
      <c r="I446" t="s">
        <v>185</v>
      </c>
      <c r="J446" t="s">
        <v>280</v>
      </c>
      <c r="K446">
        <v>3.5854175704162369E-2</v>
      </c>
      <c r="L446" t="s">
        <v>153</v>
      </c>
      <c r="N446" t="s">
        <v>228</v>
      </c>
      <c r="O446" t="s">
        <v>280</v>
      </c>
      <c r="P446">
        <v>1.0776304049484074E-2</v>
      </c>
      <c r="Q446" t="s">
        <v>153</v>
      </c>
    </row>
    <row r="447" spans="9:17" x14ac:dyDescent="0.45">
      <c r="I447" t="s">
        <v>185</v>
      </c>
      <c r="J447" t="s">
        <v>281</v>
      </c>
      <c r="K447">
        <v>2.066958261703004E-2</v>
      </c>
      <c r="L447" t="s">
        <v>153</v>
      </c>
      <c r="N447" t="s">
        <v>228</v>
      </c>
      <c r="O447" t="s">
        <v>281</v>
      </c>
      <c r="P447">
        <v>1.2173002088772965E-2</v>
      </c>
      <c r="Q447" t="s">
        <v>153</v>
      </c>
    </row>
    <row r="448" spans="9:17" x14ac:dyDescent="0.45">
      <c r="I448" t="s">
        <v>185</v>
      </c>
      <c r="J448" t="s">
        <v>282</v>
      </c>
      <c r="K448">
        <v>6.0216118120442856E-3</v>
      </c>
      <c r="L448" t="s">
        <v>153</v>
      </c>
      <c r="N448" t="s">
        <v>228</v>
      </c>
      <c r="O448" t="s">
        <v>282</v>
      </c>
      <c r="P448">
        <v>8.8211333929436961E-2</v>
      </c>
      <c r="Q448" t="s">
        <v>153</v>
      </c>
    </row>
    <row r="449" spans="9:17" x14ac:dyDescent="0.45">
      <c r="I449" t="s">
        <v>185</v>
      </c>
      <c r="J449" t="s">
        <v>156</v>
      </c>
      <c r="K449">
        <v>0</v>
      </c>
      <c r="L449" t="s">
        <v>153</v>
      </c>
      <c r="N449" t="s">
        <v>228</v>
      </c>
      <c r="O449" t="s">
        <v>156</v>
      </c>
      <c r="P449">
        <v>6.2564127291363333E-2</v>
      </c>
      <c r="Q449" t="s">
        <v>153</v>
      </c>
    </row>
    <row r="450" spans="9:17" x14ac:dyDescent="0.45">
      <c r="I450" t="s">
        <v>185</v>
      </c>
      <c r="J450" t="s">
        <v>157</v>
      </c>
      <c r="K450">
        <v>3.5772625523346332E-4</v>
      </c>
      <c r="L450" t="s">
        <v>153</v>
      </c>
      <c r="N450" t="s">
        <v>228</v>
      </c>
      <c r="O450" t="s">
        <v>157</v>
      </c>
      <c r="P450">
        <v>6.5072935702042778E-3</v>
      </c>
      <c r="Q450" t="s">
        <v>153</v>
      </c>
    </row>
    <row r="451" spans="9:17" x14ac:dyDescent="0.45">
      <c r="I451" t="s">
        <v>185</v>
      </c>
      <c r="J451" t="s">
        <v>158</v>
      </c>
      <c r="K451">
        <v>0.1204860165527388</v>
      </c>
      <c r="L451" t="s">
        <v>153</v>
      </c>
      <c r="N451" t="s">
        <v>228</v>
      </c>
      <c r="O451" t="s">
        <v>158</v>
      </c>
      <c r="P451">
        <v>4.5519216482794042E-2</v>
      </c>
      <c r="Q451" t="s">
        <v>153</v>
      </c>
    </row>
    <row r="452" spans="9:17" x14ac:dyDescent="0.45">
      <c r="I452" t="s">
        <v>185</v>
      </c>
      <c r="J452" t="s">
        <v>283</v>
      </c>
      <c r="K452">
        <v>9.8057845315151285E-3</v>
      </c>
      <c r="L452" t="s">
        <v>153</v>
      </c>
      <c r="N452" t="s">
        <v>228</v>
      </c>
      <c r="O452" t="s">
        <v>283</v>
      </c>
      <c r="P452">
        <v>5.8850778338080329E-3</v>
      </c>
      <c r="Q452" t="s">
        <v>153</v>
      </c>
    </row>
    <row r="453" spans="9:17" x14ac:dyDescent="0.45">
      <c r="I453" t="s">
        <v>185</v>
      </c>
      <c r="J453" t="s">
        <v>284</v>
      </c>
      <c r="K453">
        <v>2.4058863635018977E-3</v>
      </c>
      <c r="L453" t="s">
        <v>153</v>
      </c>
      <c r="N453" t="s">
        <v>228</v>
      </c>
      <c r="O453" t="s">
        <v>284</v>
      </c>
      <c r="P453">
        <v>6.8104705347619247E-3</v>
      </c>
      <c r="Q453" t="s">
        <v>153</v>
      </c>
    </row>
    <row r="454" spans="9:17" x14ac:dyDescent="0.45">
      <c r="I454" t="s">
        <v>185</v>
      </c>
      <c r="J454" t="s">
        <v>285</v>
      </c>
      <c r="K454">
        <v>0</v>
      </c>
      <c r="L454" t="s">
        <v>153</v>
      </c>
      <c r="N454" t="s">
        <v>228</v>
      </c>
      <c r="O454" t="s">
        <v>285</v>
      </c>
      <c r="P454">
        <v>4.2525397802582195E-2</v>
      </c>
      <c r="Q454" t="s">
        <v>153</v>
      </c>
    </row>
    <row r="455" spans="9:17" x14ac:dyDescent="0.45">
      <c r="I455" t="s">
        <v>185</v>
      </c>
      <c r="J455" t="s">
        <v>159</v>
      </c>
      <c r="K455">
        <v>6.2621933774980433E-3</v>
      </c>
      <c r="L455" t="s">
        <v>153</v>
      </c>
      <c r="N455" t="s">
        <v>228</v>
      </c>
      <c r="O455" t="s">
        <v>159</v>
      </c>
      <c r="P455">
        <v>0.14698466807412572</v>
      </c>
      <c r="Q455" t="s">
        <v>153</v>
      </c>
    </row>
    <row r="456" spans="9:17" x14ac:dyDescent="0.45">
      <c r="I456" t="s">
        <v>185</v>
      </c>
      <c r="J456" t="s">
        <v>160</v>
      </c>
      <c r="K456">
        <v>2.0067678778290011E-2</v>
      </c>
      <c r="L456" t="s">
        <v>153</v>
      </c>
      <c r="N456" t="s">
        <v>228</v>
      </c>
      <c r="O456" t="s">
        <v>160</v>
      </c>
      <c r="P456">
        <v>1.492462356858521E-2</v>
      </c>
      <c r="Q456" t="s">
        <v>153</v>
      </c>
    </row>
    <row r="457" spans="9:17" x14ac:dyDescent="0.45">
      <c r="I457" t="s">
        <v>185</v>
      </c>
      <c r="J457" t="s">
        <v>161</v>
      </c>
      <c r="K457">
        <v>0.3219651162311658</v>
      </c>
      <c r="L457" t="s">
        <v>153</v>
      </c>
      <c r="N457" t="s">
        <v>228</v>
      </c>
      <c r="O457" t="s">
        <v>161</v>
      </c>
      <c r="P457">
        <v>0.16452903440267547</v>
      </c>
      <c r="Q457" t="s">
        <v>153</v>
      </c>
    </row>
    <row r="458" spans="9:17" x14ac:dyDescent="0.45">
      <c r="I458" t="s">
        <v>185</v>
      </c>
      <c r="J458" t="s">
        <v>286</v>
      </c>
      <c r="K458">
        <v>2.6932883913024338E-2</v>
      </c>
      <c r="L458" t="s">
        <v>153</v>
      </c>
      <c r="N458" t="s">
        <v>228</v>
      </c>
      <c r="O458" t="s">
        <v>286</v>
      </c>
      <c r="P458">
        <v>1.8509085543216428E-2</v>
      </c>
      <c r="Q458" t="s">
        <v>153</v>
      </c>
    </row>
    <row r="459" spans="9:17" x14ac:dyDescent="0.45">
      <c r="I459" t="s">
        <v>185</v>
      </c>
      <c r="J459" t="s">
        <v>287</v>
      </c>
      <c r="K459">
        <v>1.770093806646969E-2</v>
      </c>
      <c r="L459" t="s">
        <v>153</v>
      </c>
      <c r="N459" t="s">
        <v>228</v>
      </c>
      <c r="O459" t="s">
        <v>287</v>
      </c>
      <c r="P459">
        <v>1.6445355040870427E-2</v>
      </c>
      <c r="Q459" t="s">
        <v>153</v>
      </c>
    </row>
    <row r="460" spans="9:17" x14ac:dyDescent="0.45">
      <c r="I460" t="s">
        <v>185</v>
      </c>
      <c r="J460" t="s">
        <v>288</v>
      </c>
      <c r="K460">
        <v>2.07587306838215E-3</v>
      </c>
      <c r="L460" t="s">
        <v>153</v>
      </c>
      <c r="N460" t="s">
        <v>228</v>
      </c>
      <c r="O460" t="s">
        <v>288</v>
      </c>
      <c r="P460">
        <v>0.11415848211463812</v>
      </c>
      <c r="Q460" t="s">
        <v>153</v>
      </c>
    </row>
    <row r="461" spans="9:17" x14ac:dyDescent="0.45">
      <c r="I461" t="s">
        <v>186</v>
      </c>
      <c r="J461" t="s">
        <v>152</v>
      </c>
      <c r="K461">
        <v>1.124524664385998E-3</v>
      </c>
      <c r="L461" t="s">
        <v>153</v>
      </c>
      <c r="N461" t="s">
        <v>229</v>
      </c>
      <c r="O461" t="s">
        <v>152</v>
      </c>
      <c r="P461">
        <v>0.12387322183264518</v>
      </c>
      <c r="Q461" t="s">
        <v>153</v>
      </c>
    </row>
    <row r="462" spans="9:17" x14ac:dyDescent="0.45">
      <c r="I462" t="s">
        <v>186</v>
      </c>
      <c r="J462" t="s">
        <v>154</v>
      </c>
      <c r="K462">
        <v>1.3369446152804153E-2</v>
      </c>
      <c r="L462" t="s">
        <v>153</v>
      </c>
      <c r="N462" t="s">
        <v>229</v>
      </c>
      <c r="O462" t="s">
        <v>154</v>
      </c>
      <c r="P462">
        <v>1.0773475720064695E-2</v>
      </c>
      <c r="Q462" t="s">
        <v>153</v>
      </c>
    </row>
    <row r="463" spans="9:17" x14ac:dyDescent="0.45">
      <c r="I463" t="s">
        <v>186</v>
      </c>
      <c r="J463" t="s">
        <v>155</v>
      </c>
      <c r="K463">
        <v>0.38904426346848658</v>
      </c>
      <c r="L463" t="s">
        <v>153</v>
      </c>
      <c r="N463" t="s">
        <v>229</v>
      </c>
      <c r="O463" t="s">
        <v>155</v>
      </c>
      <c r="P463">
        <v>9.1232708622335235E-2</v>
      </c>
      <c r="Q463" t="s">
        <v>153</v>
      </c>
    </row>
    <row r="464" spans="9:17" x14ac:dyDescent="0.45">
      <c r="I464" t="s">
        <v>186</v>
      </c>
      <c r="J464" t="s">
        <v>280</v>
      </c>
      <c r="K464">
        <v>3.2612201823653424E-2</v>
      </c>
      <c r="L464" t="s">
        <v>153</v>
      </c>
      <c r="N464" t="s">
        <v>229</v>
      </c>
      <c r="O464" t="s">
        <v>280</v>
      </c>
      <c r="P464">
        <v>1.1237824843702147E-2</v>
      </c>
      <c r="Q464" t="s">
        <v>153</v>
      </c>
    </row>
    <row r="465" spans="9:17" x14ac:dyDescent="0.45">
      <c r="I465" t="s">
        <v>186</v>
      </c>
      <c r="J465" t="s">
        <v>281</v>
      </c>
      <c r="K465">
        <v>1.697164989512449E-2</v>
      </c>
      <c r="L465" t="s">
        <v>153</v>
      </c>
      <c r="N465" t="s">
        <v>229</v>
      </c>
      <c r="O465" t="s">
        <v>281</v>
      </c>
      <c r="P465">
        <v>1.3534401190091397E-2</v>
      </c>
      <c r="Q465" t="s">
        <v>153</v>
      </c>
    </row>
    <row r="466" spans="9:17" x14ac:dyDescent="0.45">
      <c r="I466" t="s">
        <v>186</v>
      </c>
      <c r="J466" t="s">
        <v>282</v>
      </c>
      <c r="K466">
        <v>5.8290746892347978E-3</v>
      </c>
      <c r="L466" t="s">
        <v>153</v>
      </c>
      <c r="N466" t="s">
        <v>229</v>
      </c>
      <c r="O466" t="s">
        <v>282</v>
      </c>
      <c r="P466">
        <v>0.11180387633224564</v>
      </c>
      <c r="Q466" t="s">
        <v>153</v>
      </c>
    </row>
    <row r="467" spans="9:17" x14ac:dyDescent="0.45">
      <c r="I467" t="s">
        <v>186</v>
      </c>
      <c r="J467" t="s">
        <v>156</v>
      </c>
      <c r="K467">
        <v>0</v>
      </c>
      <c r="L467" t="s">
        <v>153</v>
      </c>
      <c r="N467" t="s">
        <v>229</v>
      </c>
      <c r="O467" t="s">
        <v>156</v>
      </c>
      <c r="P467">
        <v>4.7729730863571733E-2</v>
      </c>
      <c r="Q467" t="s">
        <v>153</v>
      </c>
    </row>
    <row r="468" spans="9:17" x14ac:dyDescent="0.45">
      <c r="I468" t="s">
        <v>186</v>
      </c>
      <c r="J468" t="s">
        <v>157</v>
      </c>
      <c r="K468">
        <v>1.2686093852325556E-5</v>
      </c>
      <c r="L468" t="s">
        <v>153</v>
      </c>
      <c r="N468" t="s">
        <v>229</v>
      </c>
      <c r="O468" t="s">
        <v>157</v>
      </c>
      <c r="P468">
        <v>4.7424837116448876E-3</v>
      </c>
      <c r="Q468" t="s">
        <v>153</v>
      </c>
    </row>
    <row r="469" spans="9:17" x14ac:dyDescent="0.45">
      <c r="I469" t="s">
        <v>186</v>
      </c>
      <c r="J469" t="s">
        <v>158</v>
      </c>
      <c r="K469">
        <v>0.12491665050281753</v>
      </c>
      <c r="L469" t="s">
        <v>153</v>
      </c>
      <c r="N469" t="s">
        <v>229</v>
      </c>
      <c r="O469" t="s">
        <v>158</v>
      </c>
      <c r="P469">
        <v>3.8236496180410903E-2</v>
      </c>
      <c r="Q469" t="s">
        <v>153</v>
      </c>
    </row>
    <row r="470" spans="9:17" x14ac:dyDescent="0.45">
      <c r="I470" t="s">
        <v>186</v>
      </c>
      <c r="J470" t="s">
        <v>283</v>
      </c>
      <c r="K470">
        <v>1.1337454992936646E-2</v>
      </c>
      <c r="L470" t="s">
        <v>153</v>
      </c>
      <c r="N470" t="s">
        <v>229</v>
      </c>
      <c r="O470" t="s">
        <v>283</v>
      </c>
      <c r="P470">
        <v>4.5384072466538965E-3</v>
      </c>
      <c r="Q470" t="s">
        <v>153</v>
      </c>
    </row>
    <row r="471" spans="9:17" x14ac:dyDescent="0.45">
      <c r="I471" t="s">
        <v>186</v>
      </c>
      <c r="J471" t="s">
        <v>284</v>
      </c>
      <c r="K471">
        <v>2.2680096800737262E-3</v>
      </c>
      <c r="L471" t="s">
        <v>153</v>
      </c>
      <c r="N471" t="s">
        <v>229</v>
      </c>
      <c r="O471" t="s">
        <v>284</v>
      </c>
      <c r="P471">
        <v>6.394216017198708E-3</v>
      </c>
      <c r="Q471" t="s">
        <v>153</v>
      </c>
    </row>
    <row r="472" spans="9:17" x14ac:dyDescent="0.45">
      <c r="I472" t="s">
        <v>186</v>
      </c>
      <c r="J472" t="s">
        <v>285</v>
      </c>
      <c r="K472">
        <v>0</v>
      </c>
      <c r="L472" t="s">
        <v>153</v>
      </c>
      <c r="N472" t="s">
        <v>229</v>
      </c>
      <c r="O472" t="s">
        <v>285</v>
      </c>
      <c r="P472">
        <v>4.6544192395304648E-2</v>
      </c>
      <c r="Q472" t="s">
        <v>153</v>
      </c>
    </row>
    <row r="473" spans="9:17" x14ac:dyDescent="0.45">
      <c r="I473" t="s">
        <v>186</v>
      </c>
      <c r="J473" t="s">
        <v>159</v>
      </c>
      <c r="K473">
        <v>4.5171751296724013E-3</v>
      </c>
      <c r="L473" t="s">
        <v>153</v>
      </c>
      <c r="N473" t="s">
        <v>229</v>
      </c>
      <c r="O473" t="s">
        <v>159</v>
      </c>
      <c r="P473">
        <v>0.1507138953046307</v>
      </c>
      <c r="Q473" t="s">
        <v>153</v>
      </c>
    </row>
    <row r="474" spans="9:17" x14ac:dyDescent="0.45">
      <c r="I474" t="s">
        <v>186</v>
      </c>
      <c r="J474" t="s">
        <v>160</v>
      </c>
      <c r="K474">
        <v>1.8679336986409601E-2</v>
      </c>
      <c r="L474" t="s">
        <v>153</v>
      </c>
      <c r="N474" t="s">
        <v>229</v>
      </c>
      <c r="O474" t="s">
        <v>160</v>
      </c>
      <c r="P474">
        <v>1.3635179861727088E-2</v>
      </c>
      <c r="Q474" t="s">
        <v>153</v>
      </c>
    </row>
    <row r="475" spans="9:17" x14ac:dyDescent="0.45">
      <c r="I475" t="s">
        <v>186</v>
      </c>
      <c r="J475" t="s">
        <v>161</v>
      </c>
      <c r="K475">
        <v>0.33365963557544792</v>
      </c>
      <c r="L475" t="s">
        <v>153</v>
      </c>
      <c r="N475" t="s">
        <v>229</v>
      </c>
      <c r="O475" t="s">
        <v>161</v>
      </c>
      <c r="P475">
        <v>0.13216805919413793</v>
      </c>
      <c r="Q475" t="s">
        <v>153</v>
      </c>
    </row>
    <row r="476" spans="9:17" x14ac:dyDescent="0.45">
      <c r="I476" t="s">
        <v>186</v>
      </c>
      <c r="J476" t="s">
        <v>286</v>
      </c>
      <c r="K476">
        <v>2.6487533885461191E-2</v>
      </c>
      <c r="L476" t="s">
        <v>153</v>
      </c>
      <c r="N476" t="s">
        <v>229</v>
      </c>
      <c r="O476" t="s">
        <v>286</v>
      </c>
      <c r="P476">
        <v>1.5148506843200286E-2</v>
      </c>
      <c r="Q476" t="s">
        <v>153</v>
      </c>
    </row>
    <row r="477" spans="9:17" x14ac:dyDescent="0.45">
      <c r="I477" t="s">
        <v>186</v>
      </c>
      <c r="J477" t="s">
        <v>287</v>
      </c>
      <c r="K477">
        <v>1.6990611022683094E-2</v>
      </c>
      <c r="L477" t="s">
        <v>153</v>
      </c>
      <c r="N477" t="s">
        <v>229</v>
      </c>
      <c r="O477" t="s">
        <v>287</v>
      </c>
      <c r="P477">
        <v>1.7497686844200062E-2</v>
      </c>
      <c r="Q477" t="s">
        <v>153</v>
      </c>
    </row>
    <row r="478" spans="9:17" x14ac:dyDescent="0.45">
      <c r="I478" t="s">
        <v>186</v>
      </c>
      <c r="J478" t="s">
        <v>288</v>
      </c>
      <c r="K478">
        <v>2.1797454369569895E-3</v>
      </c>
      <c r="L478" t="s">
        <v>153</v>
      </c>
      <c r="N478" t="s">
        <v>229</v>
      </c>
      <c r="O478" t="s">
        <v>288</v>
      </c>
      <c r="P478">
        <v>0.16019563699623521</v>
      </c>
      <c r="Q478" t="s">
        <v>153</v>
      </c>
    </row>
    <row r="479" spans="9:17" x14ac:dyDescent="0.45">
      <c r="I479" t="s">
        <v>187</v>
      </c>
      <c r="J479" t="s">
        <v>152</v>
      </c>
      <c r="K479">
        <v>1.3030584013847789E-3</v>
      </c>
      <c r="L479" t="s">
        <v>153</v>
      </c>
      <c r="N479" t="s">
        <v>230</v>
      </c>
      <c r="O479" t="s">
        <v>152</v>
      </c>
      <c r="P479">
        <v>0.15459095098159312</v>
      </c>
      <c r="Q479" t="s">
        <v>153</v>
      </c>
    </row>
    <row r="480" spans="9:17" x14ac:dyDescent="0.45">
      <c r="I480" t="s">
        <v>187</v>
      </c>
      <c r="J480" t="s">
        <v>154</v>
      </c>
      <c r="K480">
        <v>1.3217015322860541E-2</v>
      </c>
      <c r="L480" t="s">
        <v>153</v>
      </c>
      <c r="N480" t="s">
        <v>230</v>
      </c>
      <c r="O480" t="s">
        <v>154</v>
      </c>
      <c r="P480">
        <v>1.5643804677314337E-2</v>
      </c>
      <c r="Q480" t="s">
        <v>153</v>
      </c>
    </row>
    <row r="481" spans="9:17" x14ac:dyDescent="0.45">
      <c r="I481" t="s">
        <v>187</v>
      </c>
      <c r="J481" t="s">
        <v>155</v>
      </c>
      <c r="K481">
        <v>0.38799930227589219</v>
      </c>
      <c r="L481" t="s">
        <v>153</v>
      </c>
      <c r="N481" t="s">
        <v>230</v>
      </c>
      <c r="O481" t="s">
        <v>155</v>
      </c>
      <c r="P481">
        <v>9.4480810969255008E-2</v>
      </c>
      <c r="Q481" t="s">
        <v>153</v>
      </c>
    </row>
    <row r="482" spans="9:17" x14ac:dyDescent="0.45">
      <c r="I482" t="s">
        <v>187</v>
      </c>
      <c r="J482" t="s">
        <v>280</v>
      </c>
      <c r="K482">
        <v>3.3230006383815701E-2</v>
      </c>
      <c r="L482" t="s">
        <v>153</v>
      </c>
      <c r="N482" t="s">
        <v>230</v>
      </c>
      <c r="O482" t="s">
        <v>280</v>
      </c>
      <c r="P482">
        <v>1.0098779609069731E-2</v>
      </c>
      <c r="Q482" t="s">
        <v>153</v>
      </c>
    </row>
    <row r="483" spans="9:17" x14ac:dyDescent="0.45">
      <c r="I483" t="s">
        <v>187</v>
      </c>
      <c r="J483" t="s">
        <v>281</v>
      </c>
      <c r="K483">
        <v>1.6341438318855487E-2</v>
      </c>
      <c r="L483" t="s">
        <v>153</v>
      </c>
      <c r="N483" t="s">
        <v>230</v>
      </c>
      <c r="O483" t="s">
        <v>281</v>
      </c>
      <c r="P483">
        <v>1.0618705325864706E-2</v>
      </c>
      <c r="Q483" t="s">
        <v>153</v>
      </c>
    </row>
    <row r="484" spans="9:17" x14ac:dyDescent="0.45">
      <c r="I484" t="s">
        <v>187</v>
      </c>
      <c r="J484" t="s">
        <v>282</v>
      </c>
      <c r="K484">
        <v>5.475359169648749E-3</v>
      </c>
      <c r="L484" t="s">
        <v>153</v>
      </c>
      <c r="N484" t="s">
        <v>230</v>
      </c>
      <c r="O484" t="s">
        <v>282</v>
      </c>
      <c r="P484">
        <v>9.7199991313647455E-2</v>
      </c>
      <c r="Q484" t="s">
        <v>153</v>
      </c>
    </row>
    <row r="485" spans="9:17" x14ac:dyDescent="0.45">
      <c r="I485" t="s">
        <v>187</v>
      </c>
      <c r="J485" t="s">
        <v>156</v>
      </c>
      <c r="K485">
        <v>0</v>
      </c>
      <c r="L485" t="s">
        <v>153</v>
      </c>
      <c r="N485" t="s">
        <v>230</v>
      </c>
      <c r="O485" t="s">
        <v>156</v>
      </c>
      <c r="P485">
        <v>6.3342172232516869E-2</v>
      </c>
      <c r="Q485" t="s">
        <v>153</v>
      </c>
    </row>
    <row r="486" spans="9:17" x14ac:dyDescent="0.45">
      <c r="I486" t="s">
        <v>187</v>
      </c>
      <c r="J486" t="s">
        <v>157</v>
      </c>
      <c r="K486">
        <v>0</v>
      </c>
      <c r="L486" t="s">
        <v>153</v>
      </c>
      <c r="N486" t="s">
        <v>230</v>
      </c>
      <c r="O486" t="s">
        <v>157</v>
      </c>
      <c r="P486">
        <v>6.6324595453038752E-3</v>
      </c>
      <c r="Q486" t="s">
        <v>153</v>
      </c>
    </row>
    <row r="487" spans="9:17" x14ac:dyDescent="0.45">
      <c r="I487" t="s">
        <v>187</v>
      </c>
      <c r="J487" t="s">
        <v>158</v>
      </c>
      <c r="K487">
        <v>0.12324296670937132</v>
      </c>
      <c r="L487" t="s">
        <v>153</v>
      </c>
      <c r="N487" t="s">
        <v>230</v>
      </c>
      <c r="O487" t="s">
        <v>158</v>
      </c>
      <c r="P487">
        <v>4.5927271167805428E-2</v>
      </c>
      <c r="Q487" t="s">
        <v>153</v>
      </c>
    </row>
    <row r="488" spans="9:17" x14ac:dyDescent="0.45">
      <c r="I488" t="s">
        <v>187</v>
      </c>
      <c r="J488" t="s">
        <v>283</v>
      </c>
      <c r="K488">
        <v>1.1370860184548293E-2</v>
      </c>
      <c r="L488" t="s">
        <v>153</v>
      </c>
      <c r="N488" t="s">
        <v>230</v>
      </c>
      <c r="O488" t="s">
        <v>283</v>
      </c>
      <c r="P488">
        <v>4.9986233355611758E-3</v>
      </c>
      <c r="Q488" t="s">
        <v>153</v>
      </c>
    </row>
    <row r="489" spans="9:17" x14ac:dyDescent="0.45">
      <c r="I489" t="s">
        <v>187</v>
      </c>
      <c r="J489" t="s">
        <v>284</v>
      </c>
      <c r="K489">
        <v>1.434568421100289E-3</v>
      </c>
      <c r="L489" t="s">
        <v>153</v>
      </c>
      <c r="N489" t="s">
        <v>230</v>
      </c>
      <c r="O489" t="s">
        <v>284</v>
      </c>
      <c r="P489">
        <v>5.2725179182982439E-3</v>
      </c>
      <c r="Q489" t="s">
        <v>153</v>
      </c>
    </row>
    <row r="490" spans="9:17" x14ac:dyDescent="0.45">
      <c r="I490" t="s">
        <v>187</v>
      </c>
      <c r="J490" t="s">
        <v>285</v>
      </c>
      <c r="K490">
        <v>0</v>
      </c>
      <c r="L490" t="s">
        <v>153</v>
      </c>
      <c r="N490" t="s">
        <v>230</v>
      </c>
      <c r="O490" t="s">
        <v>285</v>
      </c>
      <c r="P490">
        <v>3.5769140911862535E-2</v>
      </c>
      <c r="Q490" t="s">
        <v>153</v>
      </c>
    </row>
    <row r="491" spans="9:17" x14ac:dyDescent="0.45">
      <c r="I491" t="s">
        <v>187</v>
      </c>
      <c r="J491" t="s">
        <v>159</v>
      </c>
      <c r="K491">
        <v>4.6806489726058309E-3</v>
      </c>
      <c r="L491" t="s">
        <v>153</v>
      </c>
      <c r="N491" t="s">
        <v>230</v>
      </c>
      <c r="O491" t="s">
        <v>159</v>
      </c>
      <c r="P491">
        <v>0.16701566583489724</v>
      </c>
      <c r="Q491" t="s">
        <v>153</v>
      </c>
    </row>
    <row r="492" spans="9:17" x14ac:dyDescent="0.45">
      <c r="I492" t="s">
        <v>187</v>
      </c>
      <c r="J492" t="s">
        <v>160</v>
      </c>
      <c r="K492">
        <v>1.8371967605350679E-2</v>
      </c>
      <c r="L492" t="s">
        <v>153</v>
      </c>
      <c r="N492" t="s">
        <v>230</v>
      </c>
      <c r="O492" t="s">
        <v>160</v>
      </c>
      <c r="P492">
        <v>1.5888205428653778E-2</v>
      </c>
      <c r="Q492" t="s">
        <v>153</v>
      </c>
    </row>
    <row r="493" spans="9:17" x14ac:dyDescent="0.45">
      <c r="I493" t="s">
        <v>187</v>
      </c>
      <c r="J493" t="s">
        <v>161</v>
      </c>
      <c r="K493">
        <v>0.33666820034975214</v>
      </c>
      <c r="L493" t="s">
        <v>153</v>
      </c>
      <c r="N493" t="s">
        <v>230</v>
      </c>
      <c r="O493" t="s">
        <v>161</v>
      </c>
      <c r="P493">
        <v>0.13767127109137831</v>
      </c>
      <c r="Q493" t="s">
        <v>153</v>
      </c>
    </row>
    <row r="494" spans="9:17" x14ac:dyDescent="0.45">
      <c r="I494" t="s">
        <v>187</v>
      </c>
      <c r="J494" t="s">
        <v>286</v>
      </c>
      <c r="K494">
        <v>2.7076553328542124E-2</v>
      </c>
      <c r="L494" t="s">
        <v>153</v>
      </c>
      <c r="N494" t="s">
        <v>230</v>
      </c>
      <c r="O494" t="s">
        <v>286</v>
      </c>
      <c r="P494">
        <v>1.6881298012053698E-2</v>
      </c>
      <c r="Q494" t="s">
        <v>153</v>
      </c>
    </row>
    <row r="495" spans="9:17" x14ac:dyDescent="0.45">
      <c r="I495" t="s">
        <v>187</v>
      </c>
      <c r="J495" t="s">
        <v>287</v>
      </c>
      <c r="K495">
        <v>1.7387003534117561E-2</v>
      </c>
      <c r="L495" t="s">
        <v>153</v>
      </c>
      <c r="N495" t="s">
        <v>230</v>
      </c>
      <c r="O495" t="s">
        <v>287</v>
      </c>
      <c r="P495">
        <v>1.465683915509784E-2</v>
      </c>
      <c r="Q495" t="s">
        <v>153</v>
      </c>
    </row>
    <row r="496" spans="9:17" x14ac:dyDescent="0.45">
      <c r="I496" t="s">
        <v>187</v>
      </c>
      <c r="J496" t="s">
        <v>288</v>
      </c>
      <c r="K496">
        <v>2.2010510221567091E-3</v>
      </c>
      <c r="L496" t="s">
        <v>153</v>
      </c>
      <c r="N496" t="s">
        <v>230</v>
      </c>
      <c r="O496" t="s">
        <v>288</v>
      </c>
      <c r="P496">
        <v>0.10331149248982446</v>
      </c>
      <c r="Q496" t="s">
        <v>153</v>
      </c>
    </row>
    <row r="497" spans="9:17" x14ac:dyDescent="0.45">
      <c r="I497" t="s">
        <v>188</v>
      </c>
      <c r="J497" t="s">
        <v>152</v>
      </c>
      <c r="K497">
        <v>2.2647414870390578E-3</v>
      </c>
      <c r="L497" t="s">
        <v>153</v>
      </c>
      <c r="N497" t="s">
        <v>231</v>
      </c>
      <c r="O497" t="s">
        <v>152</v>
      </c>
      <c r="P497">
        <v>0.14630643367796065</v>
      </c>
      <c r="Q497" t="s">
        <v>153</v>
      </c>
    </row>
    <row r="498" spans="9:17" x14ac:dyDescent="0.45">
      <c r="I498" t="s">
        <v>188</v>
      </c>
      <c r="J498" t="s">
        <v>154</v>
      </c>
      <c r="K498">
        <v>1.7118216479668855E-2</v>
      </c>
      <c r="L498" t="s">
        <v>153</v>
      </c>
      <c r="N498" t="s">
        <v>231</v>
      </c>
      <c r="O498" t="s">
        <v>154</v>
      </c>
      <c r="P498">
        <v>1.8472454548448685E-2</v>
      </c>
      <c r="Q498" t="s">
        <v>153</v>
      </c>
    </row>
    <row r="499" spans="9:17" x14ac:dyDescent="0.45">
      <c r="I499" t="s">
        <v>188</v>
      </c>
      <c r="J499" t="s">
        <v>155</v>
      </c>
      <c r="K499">
        <v>0.39311635219363505</v>
      </c>
      <c r="L499" t="s">
        <v>153</v>
      </c>
      <c r="N499" t="s">
        <v>231</v>
      </c>
      <c r="O499" t="s">
        <v>155</v>
      </c>
      <c r="P499">
        <v>9.9366556867521064E-2</v>
      </c>
      <c r="Q499" t="s">
        <v>153</v>
      </c>
    </row>
    <row r="500" spans="9:17" x14ac:dyDescent="0.45">
      <c r="I500" t="s">
        <v>188</v>
      </c>
      <c r="J500" t="s">
        <v>280</v>
      </c>
      <c r="K500">
        <v>3.2189338618228057E-2</v>
      </c>
      <c r="L500" t="s">
        <v>153</v>
      </c>
      <c r="N500" t="s">
        <v>231</v>
      </c>
      <c r="O500" t="s">
        <v>280</v>
      </c>
      <c r="P500">
        <v>8.6041030374099901E-3</v>
      </c>
      <c r="Q500" t="s">
        <v>153</v>
      </c>
    </row>
    <row r="501" spans="9:17" x14ac:dyDescent="0.45">
      <c r="I501" t="s">
        <v>188</v>
      </c>
      <c r="J501" t="s">
        <v>281</v>
      </c>
      <c r="K501">
        <v>1.5383464184237168E-2</v>
      </c>
      <c r="L501" t="s">
        <v>153</v>
      </c>
      <c r="N501" t="s">
        <v>231</v>
      </c>
      <c r="O501" t="s">
        <v>281</v>
      </c>
      <c r="P501">
        <v>9.4319452866137299E-3</v>
      </c>
      <c r="Q501" t="s">
        <v>153</v>
      </c>
    </row>
    <row r="502" spans="9:17" x14ac:dyDescent="0.45">
      <c r="I502" t="s">
        <v>188</v>
      </c>
      <c r="J502" t="s">
        <v>282</v>
      </c>
      <c r="K502">
        <v>4.2890573314101638E-3</v>
      </c>
      <c r="L502" t="s">
        <v>153</v>
      </c>
      <c r="N502" t="s">
        <v>231</v>
      </c>
      <c r="O502" t="s">
        <v>282</v>
      </c>
      <c r="P502">
        <v>8.0912392858985549E-2</v>
      </c>
      <c r="Q502" t="s">
        <v>153</v>
      </c>
    </row>
    <row r="503" spans="9:17" x14ac:dyDescent="0.45">
      <c r="I503" t="s">
        <v>188</v>
      </c>
      <c r="J503" t="s">
        <v>156</v>
      </c>
      <c r="K503">
        <v>0</v>
      </c>
      <c r="L503" t="s">
        <v>153</v>
      </c>
      <c r="N503" t="s">
        <v>231</v>
      </c>
      <c r="O503" t="s">
        <v>156</v>
      </c>
      <c r="P503">
        <v>6.8183313308515292E-2</v>
      </c>
      <c r="Q503" t="s">
        <v>153</v>
      </c>
    </row>
    <row r="504" spans="9:17" x14ac:dyDescent="0.45">
      <c r="I504" t="s">
        <v>188</v>
      </c>
      <c r="J504" t="s">
        <v>157</v>
      </c>
      <c r="K504">
        <v>3.4757222413470622E-4</v>
      </c>
      <c r="L504" t="s">
        <v>153</v>
      </c>
      <c r="N504" t="s">
        <v>231</v>
      </c>
      <c r="O504" t="s">
        <v>157</v>
      </c>
      <c r="P504">
        <v>8.4310219186962444E-3</v>
      </c>
      <c r="Q504" t="s">
        <v>153</v>
      </c>
    </row>
    <row r="505" spans="9:17" x14ac:dyDescent="0.45">
      <c r="I505" t="s">
        <v>188</v>
      </c>
      <c r="J505" t="s">
        <v>158</v>
      </c>
      <c r="K505">
        <v>0.11989615430999023</v>
      </c>
      <c r="L505" t="s">
        <v>153</v>
      </c>
      <c r="N505" t="s">
        <v>231</v>
      </c>
      <c r="O505" t="s">
        <v>158</v>
      </c>
      <c r="P505">
        <v>5.2074837823099379E-2</v>
      </c>
      <c r="Q505" t="s">
        <v>153</v>
      </c>
    </row>
    <row r="506" spans="9:17" x14ac:dyDescent="0.45">
      <c r="I506" t="s">
        <v>188</v>
      </c>
      <c r="J506" t="s">
        <v>283</v>
      </c>
      <c r="K506">
        <v>9.620804614834215E-3</v>
      </c>
      <c r="L506" t="s">
        <v>153</v>
      </c>
      <c r="N506" t="s">
        <v>231</v>
      </c>
      <c r="O506" t="s">
        <v>283</v>
      </c>
      <c r="P506">
        <v>5.1221410432305877E-3</v>
      </c>
      <c r="Q506" t="s">
        <v>153</v>
      </c>
    </row>
    <row r="507" spans="9:17" x14ac:dyDescent="0.45">
      <c r="I507" t="s">
        <v>188</v>
      </c>
      <c r="J507" t="s">
        <v>284</v>
      </c>
      <c r="K507">
        <v>0</v>
      </c>
      <c r="L507" t="s">
        <v>153</v>
      </c>
      <c r="N507" t="s">
        <v>231</v>
      </c>
      <c r="O507" t="s">
        <v>284</v>
      </c>
      <c r="P507">
        <v>5.6886463601372866E-3</v>
      </c>
      <c r="Q507" t="s">
        <v>153</v>
      </c>
    </row>
    <row r="508" spans="9:17" x14ac:dyDescent="0.45">
      <c r="I508" t="s">
        <v>188</v>
      </c>
      <c r="J508" t="s">
        <v>285</v>
      </c>
      <c r="K508">
        <v>0</v>
      </c>
      <c r="L508" t="s">
        <v>153</v>
      </c>
      <c r="N508" t="s">
        <v>231</v>
      </c>
      <c r="O508" t="s">
        <v>285</v>
      </c>
      <c r="P508">
        <v>4.175541024913855E-2</v>
      </c>
      <c r="Q508" t="s">
        <v>153</v>
      </c>
    </row>
    <row r="509" spans="9:17" x14ac:dyDescent="0.45">
      <c r="I509" t="s">
        <v>188</v>
      </c>
      <c r="J509" t="s">
        <v>159</v>
      </c>
      <c r="K509">
        <v>7.2770549373447138E-3</v>
      </c>
      <c r="L509" t="s">
        <v>153</v>
      </c>
      <c r="N509" t="s">
        <v>231</v>
      </c>
      <c r="O509" t="s">
        <v>159</v>
      </c>
      <c r="P509">
        <v>0.1625432754159836</v>
      </c>
      <c r="Q509" t="s">
        <v>153</v>
      </c>
    </row>
    <row r="510" spans="9:17" x14ac:dyDescent="0.45">
      <c r="I510" t="s">
        <v>188</v>
      </c>
      <c r="J510" t="s">
        <v>160</v>
      </c>
      <c r="K510">
        <v>2.0631561753634481E-2</v>
      </c>
      <c r="L510" t="s">
        <v>153</v>
      </c>
      <c r="N510" t="s">
        <v>231</v>
      </c>
      <c r="O510" t="s">
        <v>160</v>
      </c>
      <c r="P510">
        <v>1.9531503644118455E-2</v>
      </c>
      <c r="Q510" t="s">
        <v>153</v>
      </c>
    </row>
    <row r="511" spans="9:17" x14ac:dyDescent="0.45">
      <c r="I511" t="s">
        <v>188</v>
      </c>
      <c r="J511" t="s">
        <v>161</v>
      </c>
      <c r="K511">
        <v>0.33620566500612997</v>
      </c>
      <c r="L511" t="s">
        <v>153</v>
      </c>
      <c r="N511" t="s">
        <v>231</v>
      </c>
      <c r="O511" t="s">
        <v>161</v>
      </c>
      <c r="P511">
        <v>0.14926700222103095</v>
      </c>
      <c r="Q511" t="s">
        <v>153</v>
      </c>
    </row>
    <row r="512" spans="9:17" x14ac:dyDescent="0.45">
      <c r="I512" t="s">
        <v>188</v>
      </c>
      <c r="J512" t="s">
        <v>286</v>
      </c>
      <c r="K512">
        <v>2.5055433119712003E-2</v>
      </c>
      <c r="L512" t="s">
        <v>153</v>
      </c>
      <c r="N512" t="s">
        <v>231</v>
      </c>
      <c r="O512" t="s">
        <v>286</v>
      </c>
      <c r="P512">
        <v>1.6137036414998529E-2</v>
      </c>
      <c r="Q512" t="s">
        <v>153</v>
      </c>
    </row>
    <row r="513" spans="9:17" x14ac:dyDescent="0.45">
      <c r="I513" t="s">
        <v>188</v>
      </c>
      <c r="J513" t="s">
        <v>287</v>
      </c>
      <c r="K513">
        <v>1.5017481433257672E-2</v>
      </c>
      <c r="L513" t="s">
        <v>153</v>
      </c>
      <c r="N513" t="s">
        <v>231</v>
      </c>
      <c r="O513" t="s">
        <v>287</v>
      </c>
      <c r="P513">
        <v>1.4455028484304914E-2</v>
      </c>
      <c r="Q513" t="s">
        <v>153</v>
      </c>
    </row>
    <row r="514" spans="9:17" x14ac:dyDescent="0.45">
      <c r="I514" t="s">
        <v>188</v>
      </c>
      <c r="J514" t="s">
        <v>288</v>
      </c>
      <c r="K514">
        <v>1.5871023067436192E-3</v>
      </c>
      <c r="L514" t="s">
        <v>153</v>
      </c>
      <c r="N514" t="s">
        <v>231</v>
      </c>
      <c r="O514" t="s">
        <v>288</v>
      </c>
      <c r="P514">
        <v>9.3716896839805774E-2</v>
      </c>
      <c r="Q514" t="s">
        <v>153</v>
      </c>
    </row>
    <row r="515" spans="9:17" x14ac:dyDescent="0.45">
      <c r="I515" t="s">
        <v>189</v>
      </c>
      <c r="J515" t="s">
        <v>152</v>
      </c>
      <c r="K515">
        <v>1.7663631331000763E-3</v>
      </c>
      <c r="L515" t="s">
        <v>153</v>
      </c>
      <c r="N515" t="s">
        <v>232</v>
      </c>
      <c r="O515" t="s">
        <v>152</v>
      </c>
      <c r="P515">
        <v>0.14953903795539703</v>
      </c>
      <c r="Q515" t="s">
        <v>153</v>
      </c>
    </row>
    <row r="516" spans="9:17" x14ac:dyDescent="0.45">
      <c r="I516" t="s">
        <v>189</v>
      </c>
      <c r="J516" t="s">
        <v>154</v>
      </c>
      <c r="K516">
        <v>1.4388216844465607E-2</v>
      </c>
      <c r="L516" t="s">
        <v>153</v>
      </c>
      <c r="N516" t="s">
        <v>232</v>
      </c>
      <c r="O516" t="s">
        <v>154</v>
      </c>
      <c r="P516">
        <v>1.5798849643525948E-2</v>
      </c>
      <c r="Q516" t="s">
        <v>153</v>
      </c>
    </row>
    <row r="517" spans="9:17" x14ac:dyDescent="0.45">
      <c r="I517" t="s">
        <v>189</v>
      </c>
      <c r="J517" t="s">
        <v>155</v>
      </c>
      <c r="K517">
        <v>0.3928899931701596</v>
      </c>
      <c r="L517" t="s">
        <v>153</v>
      </c>
      <c r="N517" t="s">
        <v>232</v>
      </c>
      <c r="O517" t="s">
        <v>155</v>
      </c>
      <c r="P517">
        <v>0.12320386510812242</v>
      </c>
      <c r="Q517" t="s">
        <v>153</v>
      </c>
    </row>
    <row r="518" spans="9:17" x14ac:dyDescent="0.45">
      <c r="I518" t="s">
        <v>189</v>
      </c>
      <c r="J518" t="s">
        <v>280</v>
      </c>
      <c r="K518">
        <v>3.2027332988529521E-2</v>
      </c>
      <c r="L518" t="s">
        <v>153</v>
      </c>
      <c r="N518" t="s">
        <v>232</v>
      </c>
      <c r="O518" t="s">
        <v>280</v>
      </c>
      <c r="P518">
        <v>1.3068389740356253E-2</v>
      </c>
      <c r="Q518" t="s">
        <v>153</v>
      </c>
    </row>
    <row r="519" spans="9:17" x14ac:dyDescent="0.45">
      <c r="I519" t="s">
        <v>189</v>
      </c>
      <c r="J519" t="s">
        <v>281</v>
      </c>
      <c r="K519">
        <v>1.5712769234813379E-2</v>
      </c>
      <c r="L519" t="s">
        <v>153</v>
      </c>
      <c r="N519" t="s">
        <v>232</v>
      </c>
      <c r="O519" t="s">
        <v>281</v>
      </c>
      <c r="P519">
        <v>1.4038448851485245E-2</v>
      </c>
      <c r="Q519" t="s">
        <v>153</v>
      </c>
    </row>
    <row r="520" spans="9:17" x14ac:dyDescent="0.45">
      <c r="I520" t="s">
        <v>189</v>
      </c>
      <c r="J520" t="s">
        <v>282</v>
      </c>
      <c r="K520">
        <v>4.6205870017330068E-3</v>
      </c>
      <c r="L520" t="s">
        <v>153</v>
      </c>
      <c r="N520" t="s">
        <v>232</v>
      </c>
      <c r="O520" t="s">
        <v>282</v>
      </c>
      <c r="P520">
        <v>0.10985596516504879</v>
      </c>
      <c r="Q520" t="s">
        <v>153</v>
      </c>
    </row>
    <row r="521" spans="9:17" x14ac:dyDescent="0.45">
      <c r="I521" t="s">
        <v>189</v>
      </c>
      <c r="J521" t="s">
        <v>156</v>
      </c>
      <c r="K521">
        <v>0</v>
      </c>
      <c r="L521" t="s">
        <v>153</v>
      </c>
      <c r="N521" t="s">
        <v>232</v>
      </c>
      <c r="O521" t="s">
        <v>156</v>
      </c>
      <c r="P521">
        <v>5.3008192591149438E-2</v>
      </c>
      <c r="Q521" t="s">
        <v>153</v>
      </c>
    </row>
    <row r="522" spans="9:17" x14ac:dyDescent="0.45">
      <c r="I522" t="s">
        <v>189</v>
      </c>
      <c r="J522" t="s">
        <v>157</v>
      </c>
      <c r="K522">
        <v>2.148285320049247E-5</v>
      </c>
      <c r="L522" t="s">
        <v>153</v>
      </c>
      <c r="N522" t="s">
        <v>232</v>
      </c>
      <c r="O522" t="s">
        <v>157</v>
      </c>
      <c r="P522">
        <v>7.1279579780503359E-3</v>
      </c>
      <c r="Q522" t="s">
        <v>153</v>
      </c>
    </row>
    <row r="523" spans="9:17" x14ac:dyDescent="0.45">
      <c r="I523" t="s">
        <v>189</v>
      </c>
      <c r="J523" t="s">
        <v>158</v>
      </c>
      <c r="K523">
        <v>0.12455497976622926</v>
      </c>
      <c r="L523" t="s">
        <v>153</v>
      </c>
      <c r="N523" t="s">
        <v>232</v>
      </c>
      <c r="O523" t="s">
        <v>158</v>
      </c>
      <c r="P523">
        <v>5.7557472801985983E-2</v>
      </c>
      <c r="Q523" t="s">
        <v>153</v>
      </c>
    </row>
    <row r="524" spans="9:17" x14ac:dyDescent="0.45">
      <c r="I524" t="s">
        <v>189</v>
      </c>
      <c r="J524" t="s">
        <v>283</v>
      </c>
      <c r="K524">
        <v>1.0994237158892037E-2</v>
      </c>
      <c r="L524" t="s">
        <v>153</v>
      </c>
      <c r="N524" t="s">
        <v>232</v>
      </c>
      <c r="O524" t="s">
        <v>283</v>
      </c>
      <c r="P524">
        <v>6.1785808213965536E-3</v>
      </c>
      <c r="Q524" t="s">
        <v>153</v>
      </c>
    </row>
    <row r="525" spans="9:17" x14ac:dyDescent="0.45">
      <c r="I525" t="s">
        <v>189</v>
      </c>
      <c r="J525" t="s">
        <v>284</v>
      </c>
      <c r="K525">
        <v>2.9824858036700547E-4</v>
      </c>
      <c r="L525" t="s">
        <v>153</v>
      </c>
      <c r="N525" t="s">
        <v>232</v>
      </c>
      <c r="O525" t="s">
        <v>284</v>
      </c>
      <c r="P525">
        <v>7.1775134087865549E-3</v>
      </c>
      <c r="Q525" t="s">
        <v>153</v>
      </c>
    </row>
    <row r="526" spans="9:17" x14ac:dyDescent="0.45">
      <c r="I526" t="s">
        <v>189</v>
      </c>
      <c r="J526" t="s">
        <v>285</v>
      </c>
      <c r="K526">
        <v>0</v>
      </c>
      <c r="L526" t="s">
        <v>153</v>
      </c>
      <c r="N526" t="s">
        <v>232</v>
      </c>
      <c r="O526" t="s">
        <v>285</v>
      </c>
      <c r="P526">
        <v>4.4195601171853852E-2</v>
      </c>
      <c r="Q526" t="s">
        <v>153</v>
      </c>
    </row>
    <row r="527" spans="9:17" x14ac:dyDescent="0.45">
      <c r="I527" t="s">
        <v>189</v>
      </c>
      <c r="J527" t="s">
        <v>159</v>
      </c>
      <c r="K527">
        <v>5.5099675987811663E-3</v>
      </c>
      <c r="L527" t="s">
        <v>153</v>
      </c>
      <c r="N527" t="s">
        <v>232</v>
      </c>
      <c r="O527" t="s">
        <v>159</v>
      </c>
      <c r="P527">
        <v>0.11679627422230505</v>
      </c>
      <c r="Q527" t="s">
        <v>153</v>
      </c>
    </row>
    <row r="528" spans="9:17" x14ac:dyDescent="0.45">
      <c r="I528" t="s">
        <v>189</v>
      </c>
      <c r="J528" t="s">
        <v>160</v>
      </c>
      <c r="K528">
        <v>1.9409511540857009E-2</v>
      </c>
      <c r="L528" t="s">
        <v>153</v>
      </c>
      <c r="N528" t="s">
        <v>232</v>
      </c>
      <c r="O528" t="s">
        <v>160</v>
      </c>
      <c r="P528">
        <v>1.159869164311338E-2</v>
      </c>
      <c r="Q528" t="s">
        <v>153</v>
      </c>
    </row>
    <row r="529" spans="9:17" x14ac:dyDescent="0.45">
      <c r="I529" t="s">
        <v>189</v>
      </c>
      <c r="J529" t="s">
        <v>161</v>
      </c>
      <c r="K529">
        <v>0.33438652512390388</v>
      </c>
      <c r="L529" t="s">
        <v>153</v>
      </c>
      <c r="N529" t="s">
        <v>232</v>
      </c>
      <c r="O529" t="s">
        <v>161</v>
      </c>
      <c r="P529">
        <v>0.13058980526057271</v>
      </c>
      <c r="Q529" t="s">
        <v>153</v>
      </c>
    </row>
    <row r="530" spans="9:17" x14ac:dyDescent="0.45">
      <c r="I530" t="s">
        <v>189</v>
      </c>
      <c r="J530" t="s">
        <v>286</v>
      </c>
      <c r="K530">
        <v>2.5138476117552079E-2</v>
      </c>
      <c r="L530" t="s">
        <v>153</v>
      </c>
      <c r="N530" t="s">
        <v>232</v>
      </c>
      <c r="O530" t="s">
        <v>286</v>
      </c>
      <c r="P530">
        <v>1.6540842298434503E-2</v>
      </c>
      <c r="Q530" t="s">
        <v>153</v>
      </c>
    </row>
    <row r="531" spans="9:17" x14ac:dyDescent="0.45">
      <c r="I531" t="s">
        <v>189</v>
      </c>
      <c r="J531" t="s">
        <v>287</v>
      </c>
      <c r="K531">
        <v>1.641407902478708E-2</v>
      </c>
      <c r="L531" t="s">
        <v>153</v>
      </c>
      <c r="N531" t="s">
        <v>232</v>
      </c>
      <c r="O531" t="s">
        <v>287</v>
      </c>
      <c r="P531">
        <v>1.6906646560538217E-2</v>
      </c>
      <c r="Q531" t="s">
        <v>153</v>
      </c>
    </row>
    <row r="532" spans="9:17" x14ac:dyDescent="0.45">
      <c r="I532" t="s">
        <v>189</v>
      </c>
      <c r="J532" t="s">
        <v>288</v>
      </c>
      <c r="K532">
        <v>1.8672298626285996E-3</v>
      </c>
      <c r="L532" t="s">
        <v>153</v>
      </c>
      <c r="N532" t="s">
        <v>232</v>
      </c>
      <c r="O532" t="s">
        <v>288</v>
      </c>
      <c r="P532">
        <v>0.10681786477787451</v>
      </c>
      <c r="Q532" t="s">
        <v>153</v>
      </c>
    </row>
    <row r="533" spans="9:17" x14ac:dyDescent="0.45">
      <c r="I533" t="s">
        <v>190</v>
      </c>
      <c r="J533" t="s">
        <v>152</v>
      </c>
      <c r="K533">
        <v>1.4315920231247768E-3</v>
      </c>
      <c r="L533" t="s">
        <v>153</v>
      </c>
      <c r="N533" t="s">
        <v>233</v>
      </c>
      <c r="O533" t="s">
        <v>152</v>
      </c>
      <c r="P533">
        <v>0.13259705884226344</v>
      </c>
      <c r="Q533" t="s">
        <v>153</v>
      </c>
    </row>
    <row r="534" spans="9:17" x14ac:dyDescent="0.45">
      <c r="I534" t="s">
        <v>190</v>
      </c>
      <c r="J534" t="s">
        <v>154</v>
      </c>
      <c r="K534">
        <v>1.4016746790117413E-2</v>
      </c>
      <c r="L534" t="s">
        <v>153</v>
      </c>
      <c r="N534" t="s">
        <v>233</v>
      </c>
      <c r="O534" t="s">
        <v>154</v>
      </c>
      <c r="P534">
        <v>1.7013318606685243E-2</v>
      </c>
      <c r="Q534" t="s">
        <v>153</v>
      </c>
    </row>
    <row r="535" spans="9:17" x14ac:dyDescent="0.45">
      <c r="I535" t="s">
        <v>190</v>
      </c>
      <c r="J535" t="s">
        <v>155</v>
      </c>
      <c r="K535">
        <v>0.39708873480617624</v>
      </c>
      <c r="L535" t="s">
        <v>153</v>
      </c>
      <c r="N535" t="s">
        <v>233</v>
      </c>
      <c r="O535" t="s">
        <v>155</v>
      </c>
      <c r="P535">
        <v>0.13142814461876742</v>
      </c>
      <c r="Q535" t="s">
        <v>153</v>
      </c>
    </row>
    <row r="536" spans="9:17" x14ac:dyDescent="0.45">
      <c r="I536" t="s">
        <v>190</v>
      </c>
      <c r="J536" t="s">
        <v>280</v>
      </c>
      <c r="K536">
        <v>3.2908863089941433E-2</v>
      </c>
      <c r="L536" t="s">
        <v>153</v>
      </c>
      <c r="N536" t="s">
        <v>233</v>
      </c>
      <c r="O536" t="s">
        <v>280</v>
      </c>
      <c r="P536">
        <v>1.3365569783372368E-2</v>
      </c>
      <c r="Q536" t="s">
        <v>153</v>
      </c>
    </row>
    <row r="537" spans="9:17" x14ac:dyDescent="0.45">
      <c r="I537" t="s">
        <v>190</v>
      </c>
      <c r="J537" t="s">
        <v>281</v>
      </c>
      <c r="K537">
        <v>1.6223544060965576E-2</v>
      </c>
      <c r="L537" t="s">
        <v>153</v>
      </c>
      <c r="N537" t="s">
        <v>233</v>
      </c>
      <c r="O537" t="s">
        <v>281</v>
      </c>
      <c r="P537">
        <v>1.3090803604471707E-2</v>
      </c>
      <c r="Q537" t="s">
        <v>153</v>
      </c>
    </row>
    <row r="538" spans="9:17" x14ac:dyDescent="0.45">
      <c r="I538" t="s">
        <v>190</v>
      </c>
      <c r="J538" t="s">
        <v>282</v>
      </c>
      <c r="K538">
        <v>4.3647444855149974E-3</v>
      </c>
      <c r="L538" t="s">
        <v>153</v>
      </c>
      <c r="N538" t="s">
        <v>233</v>
      </c>
      <c r="O538" t="s">
        <v>282</v>
      </c>
      <c r="P538">
        <v>9.1347541850504421E-2</v>
      </c>
      <c r="Q538" t="s">
        <v>153</v>
      </c>
    </row>
    <row r="539" spans="9:17" x14ac:dyDescent="0.45">
      <c r="I539" t="s">
        <v>190</v>
      </c>
      <c r="J539" t="s">
        <v>156</v>
      </c>
      <c r="K539">
        <v>0</v>
      </c>
      <c r="L539" t="s">
        <v>153</v>
      </c>
      <c r="N539" t="s">
        <v>233</v>
      </c>
      <c r="O539" t="s">
        <v>156</v>
      </c>
      <c r="P539">
        <v>5.4536305795383509E-2</v>
      </c>
      <c r="Q539" t="s">
        <v>153</v>
      </c>
    </row>
    <row r="540" spans="9:17" x14ac:dyDescent="0.45">
      <c r="I540" t="s">
        <v>190</v>
      </c>
      <c r="J540" t="s">
        <v>157</v>
      </c>
      <c r="K540">
        <v>1.5106694675928872E-4</v>
      </c>
      <c r="L540" t="s">
        <v>153</v>
      </c>
      <c r="N540" t="s">
        <v>233</v>
      </c>
      <c r="O540" t="s">
        <v>157</v>
      </c>
      <c r="P540">
        <v>7.882050610285787E-3</v>
      </c>
      <c r="Q540" t="s">
        <v>153</v>
      </c>
    </row>
    <row r="541" spans="9:17" x14ac:dyDescent="0.45">
      <c r="I541" t="s">
        <v>190</v>
      </c>
      <c r="J541" t="s">
        <v>158</v>
      </c>
      <c r="K541">
        <v>0.12704082703074887</v>
      </c>
      <c r="L541" t="s">
        <v>153</v>
      </c>
      <c r="N541" t="s">
        <v>233</v>
      </c>
      <c r="O541" t="s">
        <v>158</v>
      </c>
      <c r="P541">
        <v>6.2160237291558264E-2</v>
      </c>
      <c r="Q541" t="s">
        <v>153</v>
      </c>
    </row>
    <row r="542" spans="9:17" x14ac:dyDescent="0.45">
      <c r="I542" t="s">
        <v>190</v>
      </c>
      <c r="J542" t="s">
        <v>283</v>
      </c>
      <c r="K542">
        <v>1.0811939252943799E-2</v>
      </c>
      <c r="L542" t="s">
        <v>153</v>
      </c>
      <c r="N542" t="s">
        <v>233</v>
      </c>
      <c r="O542" t="s">
        <v>283</v>
      </c>
      <c r="P542">
        <v>6.8673448310958953E-3</v>
      </c>
      <c r="Q542" t="s">
        <v>153</v>
      </c>
    </row>
    <row r="543" spans="9:17" x14ac:dyDescent="0.45">
      <c r="I543" t="s">
        <v>190</v>
      </c>
      <c r="J543" t="s">
        <v>284</v>
      </c>
      <c r="K543">
        <v>2.9402452748982291E-4</v>
      </c>
      <c r="L543" t="s">
        <v>153</v>
      </c>
      <c r="N543" t="s">
        <v>233</v>
      </c>
      <c r="O543" t="s">
        <v>284</v>
      </c>
      <c r="P543">
        <v>6.3857376326245932E-3</v>
      </c>
      <c r="Q543" t="s">
        <v>153</v>
      </c>
    </row>
    <row r="544" spans="9:17" x14ac:dyDescent="0.45">
      <c r="I544" t="s">
        <v>190</v>
      </c>
      <c r="J544" t="s">
        <v>285</v>
      </c>
      <c r="K544">
        <v>0</v>
      </c>
      <c r="L544" t="s">
        <v>153</v>
      </c>
      <c r="N544" t="s">
        <v>233</v>
      </c>
      <c r="O544" t="s">
        <v>285</v>
      </c>
      <c r="P544">
        <v>4.0455054045174112E-2</v>
      </c>
      <c r="Q544" t="s">
        <v>153</v>
      </c>
    </row>
    <row r="545" spans="9:17" x14ac:dyDescent="0.45">
      <c r="I545" t="s">
        <v>190</v>
      </c>
      <c r="J545" t="s">
        <v>159</v>
      </c>
      <c r="K545">
        <v>4.7485494097060802E-3</v>
      </c>
      <c r="L545" t="s">
        <v>153</v>
      </c>
      <c r="N545" t="s">
        <v>233</v>
      </c>
      <c r="O545" t="s">
        <v>159</v>
      </c>
      <c r="P545">
        <v>0.12351340736192361</v>
      </c>
      <c r="Q545" t="s">
        <v>153</v>
      </c>
    </row>
    <row r="546" spans="9:17" x14ac:dyDescent="0.45">
      <c r="I546" t="s">
        <v>190</v>
      </c>
      <c r="J546" t="s">
        <v>160</v>
      </c>
      <c r="K546">
        <v>1.845399080844284E-2</v>
      </c>
      <c r="L546" t="s">
        <v>153</v>
      </c>
      <c r="N546" t="s">
        <v>233</v>
      </c>
      <c r="O546" t="s">
        <v>160</v>
      </c>
      <c r="P546">
        <v>1.4315982041637174E-2</v>
      </c>
      <c r="Q546" t="s">
        <v>153</v>
      </c>
    </row>
    <row r="547" spans="9:17" x14ac:dyDescent="0.45">
      <c r="I547" t="s">
        <v>190</v>
      </c>
      <c r="J547" t="s">
        <v>161</v>
      </c>
      <c r="K547">
        <v>0.3299010374930284</v>
      </c>
      <c r="L547" t="s">
        <v>153</v>
      </c>
      <c r="N547" t="s">
        <v>233</v>
      </c>
      <c r="O547" t="s">
        <v>161</v>
      </c>
      <c r="P547">
        <v>0.14629001812026948</v>
      </c>
      <c r="Q547" t="s">
        <v>153</v>
      </c>
    </row>
    <row r="548" spans="9:17" x14ac:dyDescent="0.45">
      <c r="I548" t="s">
        <v>190</v>
      </c>
      <c r="J548" t="s">
        <v>286</v>
      </c>
      <c r="K548">
        <v>2.4982709705520665E-2</v>
      </c>
      <c r="L548" t="s">
        <v>153</v>
      </c>
      <c r="N548" t="s">
        <v>233</v>
      </c>
      <c r="O548" t="s">
        <v>286</v>
      </c>
      <c r="P548">
        <v>1.9437415221374491E-2</v>
      </c>
      <c r="Q548" t="s">
        <v>153</v>
      </c>
    </row>
    <row r="549" spans="9:17" x14ac:dyDescent="0.45">
      <c r="I549" t="s">
        <v>190</v>
      </c>
      <c r="J549" t="s">
        <v>287</v>
      </c>
      <c r="K549">
        <v>1.5981165549412323E-2</v>
      </c>
      <c r="L549" t="s">
        <v>153</v>
      </c>
      <c r="N549" t="s">
        <v>233</v>
      </c>
      <c r="O549" t="s">
        <v>287</v>
      </c>
      <c r="P549">
        <v>1.7101140838632591E-2</v>
      </c>
      <c r="Q549" t="s">
        <v>153</v>
      </c>
    </row>
    <row r="550" spans="9:17" x14ac:dyDescent="0.45">
      <c r="I550" t="s">
        <v>190</v>
      </c>
      <c r="J550" t="s">
        <v>288</v>
      </c>
      <c r="K550">
        <v>1.6004640201076944E-3</v>
      </c>
      <c r="L550" t="s">
        <v>153</v>
      </c>
      <c r="N550" t="s">
        <v>233</v>
      </c>
      <c r="O550" t="s">
        <v>288</v>
      </c>
      <c r="P550">
        <v>0.10221286890397403</v>
      </c>
      <c r="Q550" t="s">
        <v>153</v>
      </c>
    </row>
    <row r="551" spans="9:17" x14ac:dyDescent="0.45">
      <c r="I551" t="s">
        <v>191</v>
      </c>
      <c r="J551" t="s">
        <v>152</v>
      </c>
      <c r="K551">
        <v>2.2722963971238712E-3</v>
      </c>
      <c r="L551" t="s">
        <v>153</v>
      </c>
      <c r="N551" t="s">
        <v>234</v>
      </c>
      <c r="O551" t="s">
        <v>152</v>
      </c>
      <c r="P551">
        <v>0.15568165598376196</v>
      </c>
      <c r="Q551" t="s">
        <v>153</v>
      </c>
    </row>
    <row r="552" spans="9:17" x14ac:dyDescent="0.45">
      <c r="I552" t="s">
        <v>191</v>
      </c>
      <c r="J552" t="s">
        <v>154</v>
      </c>
      <c r="K552">
        <v>1.7604057447741146E-2</v>
      </c>
      <c r="L552" t="s">
        <v>153</v>
      </c>
      <c r="N552" t="s">
        <v>234</v>
      </c>
      <c r="O552" t="s">
        <v>154</v>
      </c>
      <c r="P552">
        <v>1.8616099908940895E-2</v>
      </c>
      <c r="Q552" t="s">
        <v>153</v>
      </c>
    </row>
    <row r="553" spans="9:17" x14ac:dyDescent="0.45">
      <c r="I553" t="s">
        <v>191</v>
      </c>
      <c r="J553" t="s">
        <v>155</v>
      </c>
      <c r="K553">
        <v>0.40043016660477898</v>
      </c>
      <c r="L553" t="s">
        <v>153</v>
      </c>
      <c r="N553" t="s">
        <v>234</v>
      </c>
      <c r="O553" t="s">
        <v>155</v>
      </c>
      <c r="P553">
        <v>0.11452898073148855</v>
      </c>
      <c r="Q553" t="s">
        <v>153</v>
      </c>
    </row>
    <row r="554" spans="9:17" x14ac:dyDescent="0.45">
      <c r="I554" t="s">
        <v>191</v>
      </c>
      <c r="J554" t="s">
        <v>280</v>
      </c>
      <c r="K554">
        <v>3.2652782102586146E-2</v>
      </c>
      <c r="L554" t="s">
        <v>153</v>
      </c>
      <c r="N554" t="s">
        <v>234</v>
      </c>
      <c r="O554" t="s">
        <v>280</v>
      </c>
      <c r="P554">
        <v>8.9609533990615067E-3</v>
      </c>
      <c r="Q554" t="s">
        <v>153</v>
      </c>
    </row>
    <row r="555" spans="9:17" x14ac:dyDescent="0.45">
      <c r="I555" t="s">
        <v>191</v>
      </c>
      <c r="J555" t="s">
        <v>281</v>
      </c>
      <c r="K555">
        <v>1.60757138049064E-2</v>
      </c>
      <c r="L555" t="s">
        <v>153</v>
      </c>
      <c r="N555" t="s">
        <v>234</v>
      </c>
      <c r="O555" t="s">
        <v>281</v>
      </c>
      <c r="P555">
        <v>1.063791206916438E-2</v>
      </c>
      <c r="Q555" t="s">
        <v>153</v>
      </c>
    </row>
    <row r="556" spans="9:17" x14ac:dyDescent="0.45">
      <c r="I556" t="s">
        <v>191</v>
      </c>
      <c r="J556" t="s">
        <v>282</v>
      </c>
      <c r="K556">
        <v>4.2498311421146984E-3</v>
      </c>
      <c r="L556" t="s">
        <v>153</v>
      </c>
      <c r="N556" t="s">
        <v>234</v>
      </c>
      <c r="O556" t="s">
        <v>282</v>
      </c>
      <c r="P556">
        <v>9.3915365385629432E-2</v>
      </c>
      <c r="Q556" t="s">
        <v>153</v>
      </c>
    </row>
    <row r="557" spans="9:17" x14ac:dyDescent="0.45">
      <c r="I557" t="s">
        <v>191</v>
      </c>
      <c r="J557" t="s">
        <v>156</v>
      </c>
      <c r="K557">
        <v>0</v>
      </c>
      <c r="L557" t="s">
        <v>153</v>
      </c>
      <c r="N557" t="s">
        <v>234</v>
      </c>
      <c r="O557" t="s">
        <v>156</v>
      </c>
      <c r="P557">
        <v>6.5649354399426013E-2</v>
      </c>
      <c r="Q557" t="s">
        <v>153</v>
      </c>
    </row>
    <row r="558" spans="9:17" x14ac:dyDescent="0.45">
      <c r="I558" t="s">
        <v>191</v>
      </c>
      <c r="J558" t="s">
        <v>157</v>
      </c>
      <c r="K558">
        <v>8.9566769170607073E-4</v>
      </c>
      <c r="L558" t="s">
        <v>153</v>
      </c>
      <c r="N558" t="s">
        <v>234</v>
      </c>
      <c r="O558" t="s">
        <v>157</v>
      </c>
      <c r="P558">
        <v>9.3623242597569538E-3</v>
      </c>
      <c r="Q558" t="s">
        <v>153</v>
      </c>
    </row>
    <row r="559" spans="9:17" x14ac:dyDescent="0.45">
      <c r="I559" t="s">
        <v>191</v>
      </c>
      <c r="J559" t="s">
        <v>158</v>
      </c>
      <c r="K559">
        <v>0.12369203999713312</v>
      </c>
      <c r="L559" t="s">
        <v>153</v>
      </c>
      <c r="N559" t="s">
        <v>234</v>
      </c>
      <c r="O559" t="s">
        <v>158</v>
      </c>
      <c r="P559">
        <v>6.3051911598434235E-2</v>
      </c>
      <c r="Q559" t="s">
        <v>153</v>
      </c>
    </row>
    <row r="560" spans="9:17" x14ac:dyDescent="0.45">
      <c r="I560" t="s">
        <v>191</v>
      </c>
      <c r="J560" t="s">
        <v>283</v>
      </c>
      <c r="K560">
        <v>9.6882514258139884E-3</v>
      </c>
      <c r="L560" t="s">
        <v>153</v>
      </c>
      <c r="N560" t="s">
        <v>234</v>
      </c>
      <c r="O560" t="s">
        <v>283</v>
      </c>
      <c r="P560">
        <v>5.7483967098461266E-3</v>
      </c>
      <c r="Q560" t="s">
        <v>153</v>
      </c>
    </row>
    <row r="561" spans="9:17" x14ac:dyDescent="0.45">
      <c r="I561" t="s">
        <v>191</v>
      </c>
      <c r="J561" t="s">
        <v>284</v>
      </c>
      <c r="K561">
        <v>0</v>
      </c>
      <c r="L561" t="s">
        <v>153</v>
      </c>
      <c r="N561" t="s">
        <v>234</v>
      </c>
      <c r="O561" t="s">
        <v>284</v>
      </c>
      <c r="P561">
        <v>6.8552267806388121E-3</v>
      </c>
      <c r="Q561" t="s">
        <v>153</v>
      </c>
    </row>
    <row r="562" spans="9:17" x14ac:dyDescent="0.45">
      <c r="I562" t="s">
        <v>191</v>
      </c>
      <c r="J562" t="s">
        <v>285</v>
      </c>
      <c r="K562">
        <v>0</v>
      </c>
      <c r="L562" t="s">
        <v>153</v>
      </c>
      <c r="N562" t="s">
        <v>234</v>
      </c>
      <c r="O562" t="s">
        <v>285</v>
      </c>
      <c r="P562">
        <v>4.5158268343991288E-2</v>
      </c>
      <c r="Q562" t="s">
        <v>153</v>
      </c>
    </row>
    <row r="563" spans="9:17" x14ac:dyDescent="0.45">
      <c r="I563" t="s">
        <v>191</v>
      </c>
      <c r="J563" t="s">
        <v>159</v>
      </c>
      <c r="K563">
        <v>6.6633725213010144E-3</v>
      </c>
      <c r="L563" t="s">
        <v>153</v>
      </c>
      <c r="N563" t="s">
        <v>234</v>
      </c>
      <c r="O563" t="s">
        <v>159</v>
      </c>
      <c r="P563">
        <v>0.13364704377714409</v>
      </c>
      <c r="Q563" t="s">
        <v>153</v>
      </c>
    </row>
    <row r="564" spans="9:17" x14ac:dyDescent="0.45">
      <c r="I564" t="s">
        <v>191</v>
      </c>
      <c r="J564" t="s">
        <v>160</v>
      </c>
      <c r="K564">
        <v>1.9738231916704898E-2</v>
      </c>
      <c r="L564" t="s">
        <v>153</v>
      </c>
      <c r="N564" t="s">
        <v>234</v>
      </c>
      <c r="O564" t="s">
        <v>160</v>
      </c>
      <c r="P564">
        <v>1.4401526396944577E-2</v>
      </c>
      <c r="Q564" t="s">
        <v>153</v>
      </c>
    </row>
    <row r="565" spans="9:17" x14ac:dyDescent="0.45">
      <c r="I565" t="s">
        <v>191</v>
      </c>
      <c r="J565" t="s">
        <v>161</v>
      </c>
      <c r="K565">
        <v>0.32549098660163356</v>
      </c>
      <c r="L565" t="s">
        <v>153</v>
      </c>
      <c r="N565" t="s">
        <v>234</v>
      </c>
      <c r="O565" t="s">
        <v>161</v>
      </c>
      <c r="P565">
        <v>0.13138393668876355</v>
      </c>
      <c r="Q565" t="s">
        <v>153</v>
      </c>
    </row>
    <row r="566" spans="9:17" x14ac:dyDescent="0.45">
      <c r="I566" t="s">
        <v>191</v>
      </c>
      <c r="J566" t="s">
        <v>286</v>
      </c>
      <c r="K566">
        <v>2.418719328013182E-2</v>
      </c>
      <c r="L566" t="s">
        <v>153</v>
      </c>
      <c r="N566" t="s">
        <v>234</v>
      </c>
      <c r="O566" t="s">
        <v>286</v>
      </c>
      <c r="P566">
        <v>1.2950031079649506E-2</v>
      </c>
      <c r="Q566" t="s">
        <v>153</v>
      </c>
    </row>
    <row r="567" spans="9:17" x14ac:dyDescent="0.45">
      <c r="I567" t="s">
        <v>191</v>
      </c>
      <c r="J567" t="s">
        <v>287</v>
      </c>
      <c r="K567">
        <v>1.4693650898943396E-2</v>
      </c>
      <c r="L567" t="s">
        <v>153</v>
      </c>
      <c r="N567" t="s">
        <v>234</v>
      </c>
      <c r="O567" t="s">
        <v>287</v>
      </c>
      <c r="P567">
        <v>1.3906986396257587E-2</v>
      </c>
      <c r="Q567" t="s">
        <v>153</v>
      </c>
    </row>
    <row r="568" spans="9:17" x14ac:dyDescent="0.45">
      <c r="I568" t="s">
        <v>191</v>
      </c>
      <c r="J568" t="s">
        <v>288</v>
      </c>
      <c r="K568">
        <v>1.6657581673811797E-3</v>
      </c>
      <c r="L568" t="s">
        <v>153</v>
      </c>
      <c r="N568" t="s">
        <v>234</v>
      </c>
      <c r="O568" t="s">
        <v>288</v>
      </c>
      <c r="P568">
        <v>9.5544026091098466E-2</v>
      </c>
      <c r="Q568" t="s">
        <v>153</v>
      </c>
    </row>
    <row r="569" spans="9:17" x14ac:dyDescent="0.45">
      <c r="I569" t="s">
        <v>192</v>
      </c>
      <c r="J569" t="s">
        <v>152</v>
      </c>
      <c r="K569">
        <v>2.2517821771321526E-3</v>
      </c>
      <c r="L569" t="s">
        <v>153</v>
      </c>
      <c r="N569" t="s">
        <v>235</v>
      </c>
      <c r="O569" t="s">
        <v>152</v>
      </c>
      <c r="P569">
        <v>0.17272891970297963</v>
      </c>
      <c r="Q569" t="s">
        <v>153</v>
      </c>
    </row>
    <row r="570" spans="9:17" x14ac:dyDescent="0.45">
      <c r="I570" t="s">
        <v>192</v>
      </c>
      <c r="J570" t="s">
        <v>154</v>
      </c>
      <c r="K570">
        <v>1.4524057064465372E-2</v>
      </c>
      <c r="L570" t="s">
        <v>153</v>
      </c>
      <c r="N570" t="s">
        <v>235</v>
      </c>
      <c r="O570" t="s">
        <v>154</v>
      </c>
      <c r="P570">
        <v>1.9523134281523837E-2</v>
      </c>
      <c r="Q570" t="s">
        <v>153</v>
      </c>
    </row>
    <row r="571" spans="9:17" x14ac:dyDescent="0.45">
      <c r="I571" t="s">
        <v>192</v>
      </c>
      <c r="J571" t="s">
        <v>155</v>
      </c>
      <c r="K571">
        <v>0.38619595241418575</v>
      </c>
      <c r="L571" t="s">
        <v>153</v>
      </c>
      <c r="N571" t="s">
        <v>235</v>
      </c>
      <c r="O571" t="s">
        <v>155</v>
      </c>
      <c r="P571">
        <v>9.6360697205766357E-2</v>
      </c>
      <c r="Q571" t="s">
        <v>153</v>
      </c>
    </row>
    <row r="572" spans="9:17" x14ac:dyDescent="0.45">
      <c r="I572" t="s">
        <v>192</v>
      </c>
      <c r="J572" t="s">
        <v>280</v>
      </c>
      <c r="K572">
        <v>3.0972367754393767E-2</v>
      </c>
      <c r="L572" t="s">
        <v>153</v>
      </c>
      <c r="N572" t="s">
        <v>235</v>
      </c>
      <c r="O572" t="s">
        <v>280</v>
      </c>
      <c r="P572">
        <v>7.2516917804167098E-3</v>
      </c>
      <c r="Q572" t="s">
        <v>153</v>
      </c>
    </row>
    <row r="573" spans="9:17" x14ac:dyDescent="0.45">
      <c r="I573" t="s">
        <v>192</v>
      </c>
      <c r="J573" t="s">
        <v>281</v>
      </c>
      <c r="K573">
        <v>1.4397168273516781E-2</v>
      </c>
      <c r="L573" t="s">
        <v>153</v>
      </c>
      <c r="N573" t="s">
        <v>235</v>
      </c>
      <c r="O573" t="s">
        <v>281</v>
      </c>
      <c r="P573">
        <v>9.403293409518905E-3</v>
      </c>
      <c r="Q573" t="s">
        <v>153</v>
      </c>
    </row>
    <row r="574" spans="9:17" x14ac:dyDescent="0.45">
      <c r="I574" t="s">
        <v>192</v>
      </c>
      <c r="J574" t="s">
        <v>282</v>
      </c>
      <c r="K574">
        <v>4.3509630314676759E-3</v>
      </c>
      <c r="L574" t="s">
        <v>153</v>
      </c>
      <c r="N574" t="s">
        <v>235</v>
      </c>
      <c r="O574" t="s">
        <v>282</v>
      </c>
      <c r="P574">
        <v>9.9224751248843696E-2</v>
      </c>
      <c r="Q574" t="s">
        <v>153</v>
      </c>
    </row>
    <row r="575" spans="9:17" x14ac:dyDescent="0.45">
      <c r="I575" t="s">
        <v>192</v>
      </c>
      <c r="J575" t="s">
        <v>156</v>
      </c>
      <c r="K575">
        <v>0</v>
      </c>
      <c r="L575" t="s">
        <v>153</v>
      </c>
      <c r="N575" t="s">
        <v>235</v>
      </c>
      <c r="O575" t="s">
        <v>156</v>
      </c>
      <c r="P575">
        <v>7.3240838005941347E-2</v>
      </c>
      <c r="Q575" t="s">
        <v>153</v>
      </c>
    </row>
    <row r="576" spans="9:17" x14ac:dyDescent="0.45">
      <c r="I576" t="s">
        <v>192</v>
      </c>
      <c r="J576" t="s">
        <v>157</v>
      </c>
      <c r="K576">
        <v>0</v>
      </c>
      <c r="L576" t="s">
        <v>153</v>
      </c>
      <c r="N576" t="s">
        <v>235</v>
      </c>
      <c r="O576" t="s">
        <v>157</v>
      </c>
      <c r="P576">
        <v>9.8655819385166897E-3</v>
      </c>
      <c r="Q576" t="s">
        <v>153</v>
      </c>
    </row>
    <row r="577" spans="9:17" x14ac:dyDescent="0.45">
      <c r="I577" t="s">
        <v>192</v>
      </c>
      <c r="J577" t="s">
        <v>158</v>
      </c>
      <c r="K577">
        <v>0.11827404763417618</v>
      </c>
      <c r="L577" t="s">
        <v>153</v>
      </c>
      <c r="N577" t="s">
        <v>235</v>
      </c>
      <c r="O577" t="s">
        <v>158</v>
      </c>
      <c r="P577">
        <v>5.2824159289875015E-2</v>
      </c>
      <c r="Q577" t="s">
        <v>153</v>
      </c>
    </row>
    <row r="578" spans="9:17" x14ac:dyDescent="0.45">
      <c r="I578" t="s">
        <v>192</v>
      </c>
      <c r="J578" t="s">
        <v>283</v>
      </c>
      <c r="K578">
        <v>9.5883506874205032E-3</v>
      </c>
      <c r="L578" t="s">
        <v>153</v>
      </c>
      <c r="N578" t="s">
        <v>235</v>
      </c>
      <c r="O578" t="s">
        <v>283</v>
      </c>
      <c r="P578">
        <v>4.4037601511861275E-3</v>
      </c>
      <c r="Q578" t="s">
        <v>153</v>
      </c>
    </row>
    <row r="579" spans="9:17" x14ac:dyDescent="0.45">
      <c r="I579" t="s">
        <v>192</v>
      </c>
      <c r="J579" t="s">
        <v>284</v>
      </c>
      <c r="K579">
        <v>1.2193348972984583E-4</v>
      </c>
      <c r="L579" t="s">
        <v>153</v>
      </c>
      <c r="N579" t="s">
        <v>235</v>
      </c>
      <c r="O579" t="s">
        <v>284</v>
      </c>
      <c r="P579">
        <v>5.5998525338623898E-3</v>
      </c>
      <c r="Q579" t="s">
        <v>153</v>
      </c>
    </row>
    <row r="580" spans="9:17" x14ac:dyDescent="0.45">
      <c r="I580" t="s">
        <v>192</v>
      </c>
      <c r="J580" t="s">
        <v>285</v>
      </c>
      <c r="K580">
        <v>0</v>
      </c>
      <c r="L580" t="s">
        <v>153</v>
      </c>
      <c r="N580" t="s">
        <v>235</v>
      </c>
      <c r="O580" t="s">
        <v>285</v>
      </c>
      <c r="P580">
        <v>4.7244731301371752E-2</v>
      </c>
      <c r="Q580" t="s">
        <v>153</v>
      </c>
    </row>
    <row r="581" spans="9:17" x14ac:dyDescent="0.45">
      <c r="I581" t="s">
        <v>192</v>
      </c>
      <c r="J581" t="s">
        <v>159</v>
      </c>
      <c r="K581">
        <v>7.5269807846849706E-3</v>
      </c>
      <c r="L581" t="s">
        <v>153</v>
      </c>
      <c r="N581" t="s">
        <v>235</v>
      </c>
      <c r="O581" t="s">
        <v>159</v>
      </c>
      <c r="P581">
        <v>0.15147450488090838</v>
      </c>
      <c r="Q581" t="s">
        <v>153</v>
      </c>
    </row>
    <row r="582" spans="9:17" x14ac:dyDescent="0.45">
      <c r="I582" t="s">
        <v>192</v>
      </c>
      <c r="J582" t="s">
        <v>160</v>
      </c>
      <c r="K582">
        <v>2.1268861966336219E-2</v>
      </c>
      <c r="L582" t="s">
        <v>153</v>
      </c>
      <c r="N582" t="s">
        <v>235</v>
      </c>
      <c r="O582" t="s">
        <v>160</v>
      </c>
      <c r="P582">
        <v>1.5988764499102293E-2</v>
      </c>
      <c r="Q582" t="s">
        <v>153</v>
      </c>
    </row>
    <row r="583" spans="9:17" x14ac:dyDescent="0.45">
      <c r="I583" t="s">
        <v>192</v>
      </c>
      <c r="J583" t="s">
        <v>161</v>
      </c>
      <c r="K583">
        <v>0.3462857654782226</v>
      </c>
      <c r="L583" t="s">
        <v>153</v>
      </c>
      <c r="N583" t="s">
        <v>235</v>
      </c>
      <c r="O583" t="s">
        <v>161</v>
      </c>
      <c r="P583">
        <v>0.10993382104179034</v>
      </c>
      <c r="Q583" t="s">
        <v>153</v>
      </c>
    </row>
    <row r="584" spans="9:17" x14ac:dyDescent="0.45">
      <c r="I584" t="s">
        <v>192</v>
      </c>
      <c r="J584" t="s">
        <v>286</v>
      </c>
      <c r="K584">
        <v>2.5133445443939986E-2</v>
      </c>
      <c r="L584" t="s">
        <v>153</v>
      </c>
      <c r="N584" t="s">
        <v>235</v>
      </c>
      <c r="O584" t="s">
        <v>286</v>
      </c>
      <c r="P584">
        <v>1.1604506119449924E-2</v>
      </c>
      <c r="Q584" t="s">
        <v>153</v>
      </c>
    </row>
    <row r="585" spans="9:17" x14ac:dyDescent="0.45">
      <c r="I585" t="s">
        <v>192</v>
      </c>
      <c r="J585" t="s">
        <v>287</v>
      </c>
      <c r="K585">
        <v>1.6438611140436061E-2</v>
      </c>
      <c r="L585" t="s">
        <v>153</v>
      </c>
      <c r="N585" t="s">
        <v>235</v>
      </c>
      <c r="O585" t="s">
        <v>287</v>
      </c>
      <c r="P585">
        <v>1.34196025557284E-2</v>
      </c>
      <c r="Q585" t="s">
        <v>153</v>
      </c>
    </row>
    <row r="586" spans="9:17" x14ac:dyDescent="0.45">
      <c r="I586" t="s">
        <v>192</v>
      </c>
      <c r="J586" t="s">
        <v>288</v>
      </c>
      <c r="K586">
        <v>2.6697126598897495E-3</v>
      </c>
      <c r="L586" t="s">
        <v>153</v>
      </c>
      <c r="N586" t="s">
        <v>235</v>
      </c>
      <c r="O586" t="s">
        <v>288</v>
      </c>
      <c r="P586">
        <v>9.990739005321661E-2</v>
      </c>
      <c r="Q586" t="s">
        <v>153</v>
      </c>
    </row>
    <row r="587" spans="9:17" x14ac:dyDescent="0.45">
      <c r="I587" t="s">
        <v>193</v>
      </c>
      <c r="J587" t="s">
        <v>152</v>
      </c>
      <c r="K587">
        <v>1.7041629307088997E-3</v>
      </c>
      <c r="L587" t="s">
        <v>153</v>
      </c>
      <c r="N587" t="s">
        <v>236</v>
      </c>
      <c r="O587" t="s">
        <v>152</v>
      </c>
      <c r="P587">
        <v>0.17214354588611691</v>
      </c>
      <c r="Q587" t="s">
        <v>153</v>
      </c>
    </row>
    <row r="588" spans="9:17" x14ac:dyDescent="0.45">
      <c r="I588" t="s">
        <v>193</v>
      </c>
      <c r="J588" t="s">
        <v>154</v>
      </c>
      <c r="K588">
        <v>1.3630356283252059E-2</v>
      </c>
      <c r="L588" t="s">
        <v>153</v>
      </c>
      <c r="N588" t="s">
        <v>236</v>
      </c>
      <c r="O588" t="s">
        <v>154</v>
      </c>
      <c r="P588">
        <v>2.0661465903244768E-2</v>
      </c>
      <c r="Q588" t="s">
        <v>153</v>
      </c>
    </row>
    <row r="589" spans="9:17" x14ac:dyDescent="0.45">
      <c r="I589" t="s">
        <v>193</v>
      </c>
      <c r="J589" t="s">
        <v>155</v>
      </c>
      <c r="K589">
        <v>0.38127951069562893</v>
      </c>
      <c r="L589" t="s">
        <v>153</v>
      </c>
      <c r="N589" t="s">
        <v>236</v>
      </c>
      <c r="O589" t="s">
        <v>155</v>
      </c>
      <c r="P589">
        <v>0.12189751083871961</v>
      </c>
      <c r="Q589" t="s">
        <v>153</v>
      </c>
    </row>
    <row r="590" spans="9:17" x14ac:dyDescent="0.45">
      <c r="I590" t="s">
        <v>193</v>
      </c>
      <c r="J590" t="s">
        <v>280</v>
      </c>
      <c r="K590">
        <v>3.0987388262789132E-2</v>
      </c>
      <c r="L590" t="s">
        <v>153</v>
      </c>
      <c r="N590" t="s">
        <v>236</v>
      </c>
      <c r="O590" t="s">
        <v>280</v>
      </c>
      <c r="P590">
        <v>9.4497627569769729E-3</v>
      </c>
      <c r="Q590" t="s">
        <v>153</v>
      </c>
    </row>
    <row r="591" spans="9:17" x14ac:dyDescent="0.45">
      <c r="I591" t="s">
        <v>193</v>
      </c>
      <c r="J591" t="s">
        <v>281</v>
      </c>
      <c r="K591">
        <v>1.4958411619709372E-2</v>
      </c>
      <c r="L591" t="s">
        <v>153</v>
      </c>
      <c r="N591" t="s">
        <v>236</v>
      </c>
      <c r="O591" t="s">
        <v>281</v>
      </c>
      <c r="P591">
        <v>1.0891088974423608E-2</v>
      </c>
      <c r="Q591" t="s">
        <v>153</v>
      </c>
    </row>
    <row r="592" spans="9:17" x14ac:dyDescent="0.45">
      <c r="I592" t="s">
        <v>193</v>
      </c>
      <c r="J592" t="s">
        <v>282</v>
      </c>
      <c r="K592">
        <v>5.2199172121653696E-3</v>
      </c>
      <c r="L592" t="s">
        <v>153</v>
      </c>
      <c r="N592" t="s">
        <v>236</v>
      </c>
      <c r="O592" t="s">
        <v>282</v>
      </c>
      <c r="P592">
        <v>0.10072830171857607</v>
      </c>
      <c r="Q592" t="s">
        <v>153</v>
      </c>
    </row>
    <row r="593" spans="9:17" x14ac:dyDescent="0.45">
      <c r="I593" t="s">
        <v>193</v>
      </c>
      <c r="J593" t="s">
        <v>156</v>
      </c>
      <c r="K593">
        <v>0</v>
      </c>
      <c r="L593" t="s">
        <v>153</v>
      </c>
      <c r="N593" t="s">
        <v>236</v>
      </c>
      <c r="O593" t="s">
        <v>156</v>
      </c>
      <c r="P593">
        <v>6.7162879177899135E-2</v>
      </c>
      <c r="Q593" t="s">
        <v>153</v>
      </c>
    </row>
    <row r="594" spans="9:17" x14ac:dyDescent="0.45">
      <c r="I594" t="s">
        <v>193</v>
      </c>
      <c r="J594" t="s">
        <v>157</v>
      </c>
      <c r="K594">
        <v>0</v>
      </c>
      <c r="L594" t="s">
        <v>153</v>
      </c>
      <c r="N594" t="s">
        <v>236</v>
      </c>
      <c r="O594" t="s">
        <v>157</v>
      </c>
      <c r="P594">
        <v>9.7019037923936832E-3</v>
      </c>
      <c r="Q594" t="s">
        <v>153</v>
      </c>
    </row>
    <row r="595" spans="9:17" x14ac:dyDescent="0.45">
      <c r="I595" t="s">
        <v>193</v>
      </c>
      <c r="J595" t="s">
        <v>158</v>
      </c>
      <c r="K595">
        <v>0.12113587052398064</v>
      </c>
      <c r="L595" t="s">
        <v>153</v>
      </c>
      <c r="N595" t="s">
        <v>236</v>
      </c>
      <c r="O595" t="s">
        <v>158</v>
      </c>
      <c r="P595">
        <v>5.990144105281698E-2</v>
      </c>
      <c r="Q595" t="s">
        <v>153</v>
      </c>
    </row>
    <row r="596" spans="9:17" x14ac:dyDescent="0.45">
      <c r="I596" t="s">
        <v>193</v>
      </c>
      <c r="J596" t="s">
        <v>283</v>
      </c>
      <c r="K596">
        <v>1.11050592737058E-2</v>
      </c>
      <c r="L596" t="s">
        <v>153</v>
      </c>
      <c r="N596" t="s">
        <v>236</v>
      </c>
      <c r="O596" t="s">
        <v>283</v>
      </c>
      <c r="P596">
        <v>4.9110654673225384E-3</v>
      </c>
      <c r="Q596" t="s">
        <v>153</v>
      </c>
    </row>
    <row r="597" spans="9:17" x14ac:dyDescent="0.45">
      <c r="I597" t="s">
        <v>193</v>
      </c>
      <c r="J597" t="s">
        <v>284</v>
      </c>
      <c r="K597">
        <v>1.4558663218004193E-3</v>
      </c>
      <c r="L597" t="s">
        <v>153</v>
      </c>
      <c r="N597" t="s">
        <v>236</v>
      </c>
      <c r="O597" t="s">
        <v>284</v>
      </c>
      <c r="P597">
        <v>5.5314878575082136E-3</v>
      </c>
      <c r="Q597" t="s">
        <v>153</v>
      </c>
    </row>
    <row r="598" spans="9:17" x14ac:dyDescent="0.45">
      <c r="I598" t="s">
        <v>193</v>
      </c>
      <c r="J598" t="s">
        <v>285</v>
      </c>
      <c r="K598">
        <v>0</v>
      </c>
      <c r="L598" t="s">
        <v>153</v>
      </c>
      <c r="N598" t="s">
        <v>236</v>
      </c>
      <c r="O598" t="s">
        <v>285</v>
      </c>
      <c r="P598">
        <v>4.0287645190208103E-2</v>
      </c>
      <c r="Q598" t="s">
        <v>153</v>
      </c>
    </row>
    <row r="599" spans="9:17" x14ac:dyDescent="0.45">
      <c r="I599" t="s">
        <v>193</v>
      </c>
      <c r="J599" t="s">
        <v>159</v>
      </c>
      <c r="K599">
        <v>6.7613391243065424E-3</v>
      </c>
      <c r="L599" t="s">
        <v>153</v>
      </c>
      <c r="N599" t="s">
        <v>236</v>
      </c>
      <c r="O599" t="s">
        <v>159</v>
      </c>
      <c r="P599">
        <v>0.14077285164381315</v>
      </c>
      <c r="Q599" t="s">
        <v>153</v>
      </c>
    </row>
    <row r="600" spans="9:17" x14ac:dyDescent="0.45">
      <c r="I600" t="s">
        <v>193</v>
      </c>
      <c r="J600" t="s">
        <v>160</v>
      </c>
      <c r="K600">
        <v>2.1195857139478962E-2</v>
      </c>
      <c r="L600" t="s">
        <v>153</v>
      </c>
      <c r="N600" t="s">
        <v>236</v>
      </c>
      <c r="O600" t="s">
        <v>160</v>
      </c>
      <c r="P600">
        <v>1.3892381712180444E-2</v>
      </c>
      <c r="Q600" t="s">
        <v>153</v>
      </c>
    </row>
    <row r="601" spans="9:17" x14ac:dyDescent="0.45">
      <c r="I601" t="s">
        <v>193</v>
      </c>
      <c r="J601" t="s">
        <v>161</v>
      </c>
      <c r="K601">
        <v>0.34322632900413091</v>
      </c>
      <c r="L601" t="s">
        <v>153</v>
      </c>
      <c r="N601" t="s">
        <v>236</v>
      </c>
      <c r="O601" t="s">
        <v>161</v>
      </c>
      <c r="P601">
        <v>0.1038381851407124</v>
      </c>
      <c r="Q601" t="s">
        <v>153</v>
      </c>
    </row>
    <row r="602" spans="9:17" x14ac:dyDescent="0.45">
      <c r="I602" t="s">
        <v>193</v>
      </c>
      <c r="J602" t="s">
        <v>286</v>
      </c>
      <c r="K602">
        <v>2.6441929858087642E-2</v>
      </c>
      <c r="L602" t="s">
        <v>153</v>
      </c>
      <c r="N602" t="s">
        <v>236</v>
      </c>
      <c r="O602" t="s">
        <v>286</v>
      </c>
      <c r="P602">
        <v>1.2671617902309208E-2</v>
      </c>
      <c r="Q602" t="s">
        <v>153</v>
      </c>
    </row>
    <row r="603" spans="9:17" x14ac:dyDescent="0.45">
      <c r="I603" t="s">
        <v>193</v>
      </c>
      <c r="J603" t="s">
        <v>287</v>
      </c>
      <c r="K603">
        <v>1.8279589847898733E-2</v>
      </c>
      <c r="L603" t="s">
        <v>153</v>
      </c>
      <c r="N603" t="s">
        <v>236</v>
      </c>
      <c r="O603" t="s">
        <v>287</v>
      </c>
      <c r="P603">
        <v>1.3247837315488819E-2</v>
      </c>
      <c r="Q603" t="s">
        <v>153</v>
      </c>
    </row>
    <row r="604" spans="9:17" x14ac:dyDescent="0.45">
      <c r="I604" t="s">
        <v>193</v>
      </c>
      <c r="J604" t="s">
        <v>288</v>
      </c>
      <c r="K604">
        <v>2.6184119023584377E-3</v>
      </c>
      <c r="L604" t="s">
        <v>153</v>
      </c>
      <c r="N604" t="s">
        <v>236</v>
      </c>
      <c r="O604" t="s">
        <v>288</v>
      </c>
      <c r="P604">
        <v>9.2309027669286337E-2</v>
      </c>
      <c r="Q604" t="s">
        <v>153</v>
      </c>
    </row>
    <row r="605" spans="9:17" x14ac:dyDescent="0.45">
      <c r="I605" t="s">
        <v>194</v>
      </c>
      <c r="J605" t="s">
        <v>152</v>
      </c>
      <c r="K605">
        <v>1.5182137587739933E-3</v>
      </c>
      <c r="L605" t="s">
        <v>153</v>
      </c>
      <c r="N605" t="s">
        <v>237</v>
      </c>
      <c r="O605" t="s">
        <v>152</v>
      </c>
      <c r="P605">
        <v>0.15441569649266096</v>
      </c>
      <c r="Q605" t="s">
        <v>153</v>
      </c>
    </row>
    <row r="606" spans="9:17" x14ac:dyDescent="0.45">
      <c r="I606" t="s">
        <v>194</v>
      </c>
      <c r="J606" t="s">
        <v>154</v>
      </c>
      <c r="K606">
        <v>1.1142245730606579E-2</v>
      </c>
      <c r="L606" t="s">
        <v>153</v>
      </c>
      <c r="N606" t="s">
        <v>237</v>
      </c>
      <c r="O606" t="s">
        <v>154</v>
      </c>
      <c r="P606">
        <v>2.0154510213409884E-2</v>
      </c>
      <c r="Q606" t="s">
        <v>153</v>
      </c>
    </row>
    <row r="607" spans="9:17" x14ac:dyDescent="0.45">
      <c r="I607" t="s">
        <v>194</v>
      </c>
      <c r="J607" t="s">
        <v>155</v>
      </c>
      <c r="K607">
        <v>0.37263723200332882</v>
      </c>
      <c r="L607" t="s">
        <v>153</v>
      </c>
      <c r="N607" t="s">
        <v>237</v>
      </c>
      <c r="O607" t="s">
        <v>155</v>
      </c>
      <c r="P607">
        <v>0.15170555623015974</v>
      </c>
      <c r="Q607" t="s">
        <v>153</v>
      </c>
    </row>
    <row r="608" spans="9:17" x14ac:dyDescent="0.45">
      <c r="I608" t="s">
        <v>194</v>
      </c>
      <c r="J608" t="s">
        <v>280</v>
      </c>
      <c r="K608">
        <v>3.2432240964834685E-2</v>
      </c>
      <c r="L608" t="s">
        <v>153</v>
      </c>
      <c r="N608" t="s">
        <v>237</v>
      </c>
      <c r="O608" t="s">
        <v>280</v>
      </c>
      <c r="P608">
        <v>1.3476097700325464E-2</v>
      </c>
      <c r="Q608" t="s">
        <v>153</v>
      </c>
    </row>
    <row r="609" spans="9:17" x14ac:dyDescent="0.45">
      <c r="I609" t="s">
        <v>194</v>
      </c>
      <c r="J609" t="s">
        <v>281</v>
      </c>
      <c r="K609">
        <v>1.6616182568621352E-2</v>
      </c>
      <c r="L609" t="s">
        <v>153</v>
      </c>
      <c r="N609" t="s">
        <v>237</v>
      </c>
      <c r="O609" t="s">
        <v>281</v>
      </c>
      <c r="P609">
        <v>1.4018777403280927E-2</v>
      </c>
      <c r="Q609" t="s">
        <v>153</v>
      </c>
    </row>
    <row r="610" spans="9:17" x14ac:dyDescent="0.45">
      <c r="I610" t="s">
        <v>194</v>
      </c>
      <c r="J610" t="s">
        <v>282</v>
      </c>
      <c r="K610">
        <v>6.3871948544327612E-3</v>
      </c>
      <c r="L610" t="s">
        <v>153</v>
      </c>
      <c r="N610" t="s">
        <v>237</v>
      </c>
      <c r="O610" t="s">
        <v>282</v>
      </c>
      <c r="P610">
        <v>9.51193017519118E-2</v>
      </c>
      <c r="Q610" t="s">
        <v>153</v>
      </c>
    </row>
    <row r="611" spans="9:17" x14ac:dyDescent="0.45">
      <c r="I611" t="s">
        <v>194</v>
      </c>
      <c r="J611" t="s">
        <v>156</v>
      </c>
      <c r="K611">
        <v>0</v>
      </c>
      <c r="L611" t="s">
        <v>153</v>
      </c>
      <c r="N611" t="s">
        <v>237</v>
      </c>
      <c r="O611" t="s">
        <v>156</v>
      </c>
      <c r="P611">
        <v>5.9561001193443257E-2</v>
      </c>
      <c r="Q611" t="s">
        <v>153</v>
      </c>
    </row>
    <row r="612" spans="9:17" x14ac:dyDescent="0.45">
      <c r="I612" t="s">
        <v>194</v>
      </c>
      <c r="J612" t="s">
        <v>157</v>
      </c>
      <c r="K612">
        <v>0</v>
      </c>
      <c r="L612" t="s">
        <v>153</v>
      </c>
      <c r="N612" t="s">
        <v>237</v>
      </c>
      <c r="O612" t="s">
        <v>157</v>
      </c>
      <c r="P612">
        <v>8.8383185256320149E-3</v>
      </c>
      <c r="Q612" t="s">
        <v>153</v>
      </c>
    </row>
    <row r="613" spans="9:17" x14ac:dyDescent="0.45">
      <c r="I613" t="s">
        <v>194</v>
      </c>
      <c r="J613" t="s">
        <v>158</v>
      </c>
      <c r="K613">
        <v>0.11451456042764881</v>
      </c>
      <c r="L613" t="s">
        <v>153</v>
      </c>
      <c r="N613" t="s">
        <v>237</v>
      </c>
      <c r="O613" t="s">
        <v>158</v>
      </c>
      <c r="P613">
        <v>7.0357011419632853E-2</v>
      </c>
      <c r="Q613" t="s">
        <v>153</v>
      </c>
    </row>
    <row r="614" spans="9:17" x14ac:dyDescent="0.45">
      <c r="I614" t="s">
        <v>194</v>
      </c>
      <c r="J614" t="s">
        <v>283</v>
      </c>
      <c r="K614">
        <v>1.0303203270807084E-2</v>
      </c>
      <c r="L614" t="s">
        <v>153</v>
      </c>
      <c r="N614" t="s">
        <v>237</v>
      </c>
      <c r="O614" t="s">
        <v>283</v>
      </c>
      <c r="P614">
        <v>6.4854768850686906E-3</v>
      </c>
      <c r="Q614" t="s">
        <v>153</v>
      </c>
    </row>
    <row r="615" spans="9:17" x14ac:dyDescent="0.45">
      <c r="I615" t="s">
        <v>194</v>
      </c>
      <c r="J615" t="s">
        <v>284</v>
      </c>
      <c r="K615">
        <v>1.4441904935597804E-3</v>
      </c>
      <c r="L615" t="s">
        <v>153</v>
      </c>
      <c r="N615" t="s">
        <v>237</v>
      </c>
      <c r="O615" t="s">
        <v>284</v>
      </c>
      <c r="P615">
        <v>7.0305340193654049E-3</v>
      </c>
      <c r="Q615" t="s">
        <v>153</v>
      </c>
    </row>
    <row r="616" spans="9:17" x14ac:dyDescent="0.45">
      <c r="I616" t="s">
        <v>194</v>
      </c>
      <c r="J616" t="s">
        <v>285</v>
      </c>
      <c r="K616">
        <v>0</v>
      </c>
      <c r="L616" t="s">
        <v>153</v>
      </c>
      <c r="N616" t="s">
        <v>237</v>
      </c>
      <c r="O616" t="s">
        <v>285</v>
      </c>
      <c r="P616">
        <v>4.0373339913949181E-2</v>
      </c>
      <c r="Q616" t="s">
        <v>153</v>
      </c>
    </row>
    <row r="617" spans="9:17" x14ac:dyDescent="0.45">
      <c r="I617" t="s">
        <v>194</v>
      </c>
      <c r="J617" t="s">
        <v>159</v>
      </c>
      <c r="K617">
        <v>6.4849364465702818E-3</v>
      </c>
      <c r="L617" t="s">
        <v>153</v>
      </c>
      <c r="N617" t="s">
        <v>237</v>
      </c>
      <c r="O617" t="s">
        <v>159</v>
      </c>
      <c r="P617">
        <v>0.10712672002992502</v>
      </c>
      <c r="Q617" t="s">
        <v>153</v>
      </c>
    </row>
    <row r="618" spans="9:17" x14ac:dyDescent="0.45">
      <c r="I618" t="s">
        <v>194</v>
      </c>
      <c r="J618" t="s">
        <v>160</v>
      </c>
      <c r="K618">
        <v>1.9899328953976045E-2</v>
      </c>
      <c r="L618" t="s">
        <v>153</v>
      </c>
      <c r="N618" t="s">
        <v>237</v>
      </c>
      <c r="O618" t="s">
        <v>160</v>
      </c>
      <c r="P618">
        <v>1.161180145504315E-2</v>
      </c>
      <c r="Q618" t="s">
        <v>153</v>
      </c>
    </row>
    <row r="619" spans="9:17" x14ac:dyDescent="0.45">
      <c r="I619" t="s">
        <v>194</v>
      </c>
      <c r="J619" t="s">
        <v>161</v>
      </c>
      <c r="K619">
        <v>0.35284423287050454</v>
      </c>
      <c r="L619" t="s">
        <v>153</v>
      </c>
      <c r="N619" t="s">
        <v>237</v>
      </c>
      <c r="O619" t="s">
        <v>161</v>
      </c>
      <c r="P619">
        <v>0.12809460762538497</v>
      </c>
      <c r="Q619" t="s">
        <v>153</v>
      </c>
    </row>
    <row r="620" spans="9:17" x14ac:dyDescent="0.45">
      <c r="I620" t="s">
        <v>194</v>
      </c>
      <c r="J620" t="s">
        <v>286</v>
      </c>
      <c r="K620">
        <v>2.9088261127214719E-2</v>
      </c>
      <c r="L620" t="s">
        <v>153</v>
      </c>
      <c r="N620" t="s">
        <v>237</v>
      </c>
      <c r="O620" t="s">
        <v>286</v>
      </c>
      <c r="P620">
        <v>1.5325980484812591E-2</v>
      </c>
      <c r="Q620" t="s">
        <v>153</v>
      </c>
    </row>
    <row r="621" spans="9:17" x14ac:dyDescent="0.45">
      <c r="I621" t="s">
        <v>194</v>
      </c>
      <c r="J621" t="s">
        <v>287</v>
      </c>
      <c r="K621">
        <v>2.0337166184188068E-2</v>
      </c>
      <c r="L621" t="s">
        <v>153</v>
      </c>
      <c r="N621" t="s">
        <v>237</v>
      </c>
      <c r="O621" t="s">
        <v>287</v>
      </c>
      <c r="P621">
        <v>1.4698541933089868E-2</v>
      </c>
      <c r="Q621" t="s">
        <v>153</v>
      </c>
    </row>
    <row r="622" spans="9:17" x14ac:dyDescent="0.45">
      <c r="I622" t="s">
        <v>194</v>
      </c>
      <c r="J622" t="s">
        <v>288</v>
      </c>
      <c r="K622">
        <v>4.3508103449333545E-3</v>
      </c>
      <c r="L622" t="s">
        <v>153</v>
      </c>
      <c r="N622" t="s">
        <v>237</v>
      </c>
      <c r="O622" t="s">
        <v>288</v>
      </c>
      <c r="P622">
        <v>8.1606726722905976E-2</v>
      </c>
      <c r="Q622" t="s">
        <v>153</v>
      </c>
    </row>
    <row r="623" spans="9:17" x14ac:dyDescent="0.45">
      <c r="I623" t="s">
        <v>195</v>
      </c>
      <c r="J623" t="s">
        <v>152</v>
      </c>
      <c r="K623">
        <v>1.2924826034233872E-3</v>
      </c>
      <c r="L623" t="s">
        <v>153</v>
      </c>
      <c r="N623" t="s">
        <v>238</v>
      </c>
      <c r="O623" t="s">
        <v>152</v>
      </c>
      <c r="P623">
        <v>0.11484874160065965</v>
      </c>
      <c r="Q623" t="s">
        <v>153</v>
      </c>
    </row>
    <row r="624" spans="9:17" x14ac:dyDescent="0.45">
      <c r="I624" t="s">
        <v>195</v>
      </c>
      <c r="J624" t="s">
        <v>154</v>
      </c>
      <c r="K624">
        <v>1.2982478118559071E-2</v>
      </c>
      <c r="L624" t="s">
        <v>153</v>
      </c>
      <c r="N624" t="s">
        <v>238</v>
      </c>
      <c r="O624" t="s">
        <v>154</v>
      </c>
      <c r="P624">
        <v>1.4034375496572632E-2</v>
      </c>
      <c r="Q624" t="s">
        <v>153</v>
      </c>
    </row>
    <row r="625" spans="9:17" x14ac:dyDescent="0.45">
      <c r="I625" t="s">
        <v>195</v>
      </c>
      <c r="J625" t="s">
        <v>155</v>
      </c>
      <c r="K625">
        <v>0.36764234826267606</v>
      </c>
      <c r="L625" t="s">
        <v>153</v>
      </c>
      <c r="N625" t="s">
        <v>238</v>
      </c>
      <c r="O625" t="s">
        <v>155</v>
      </c>
      <c r="P625">
        <v>0.1698680676335946</v>
      </c>
      <c r="Q625" t="s">
        <v>153</v>
      </c>
    </row>
    <row r="626" spans="9:17" x14ac:dyDescent="0.45">
      <c r="I626" t="s">
        <v>195</v>
      </c>
      <c r="J626" t="s">
        <v>280</v>
      </c>
      <c r="K626">
        <v>3.4170827951677564E-2</v>
      </c>
      <c r="L626" t="s">
        <v>153</v>
      </c>
      <c r="N626" t="s">
        <v>238</v>
      </c>
      <c r="O626" t="s">
        <v>280</v>
      </c>
      <c r="P626">
        <v>2.7907977923110013E-2</v>
      </c>
      <c r="Q626" t="s">
        <v>153</v>
      </c>
    </row>
    <row r="627" spans="9:17" x14ac:dyDescent="0.45">
      <c r="I627" t="s">
        <v>195</v>
      </c>
      <c r="J627" t="s">
        <v>281</v>
      </c>
      <c r="K627">
        <v>2.0842529742047779E-2</v>
      </c>
      <c r="L627" t="s">
        <v>153</v>
      </c>
      <c r="N627" t="s">
        <v>238</v>
      </c>
      <c r="O627" t="s">
        <v>281</v>
      </c>
      <c r="P627">
        <v>2.727836554722881E-2</v>
      </c>
      <c r="Q627" t="s">
        <v>153</v>
      </c>
    </row>
    <row r="628" spans="9:17" x14ac:dyDescent="0.45">
      <c r="I628" t="s">
        <v>195</v>
      </c>
      <c r="J628" t="s">
        <v>282</v>
      </c>
      <c r="K628">
        <v>9.72010916832689E-3</v>
      </c>
      <c r="L628" t="s">
        <v>153</v>
      </c>
      <c r="N628" t="s">
        <v>238</v>
      </c>
      <c r="O628" t="s">
        <v>282</v>
      </c>
      <c r="P628">
        <v>0.11416306643136033</v>
      </c>
      <c r="Q628" t="s">
        <v>153</v>
      </c>
    </row>
    <row r="629" spans="9:17" x14ac:dyDescent="0.45">
      <c r="I629" t="s">
        <v>195</v>
      </c>
      <c r="J629" t="s">
        <v>156</v>
      </c>
      <c r="K629">
        <v>0</v>
      </c>
      <c r="L629" t="s">
        <v>153</v>
      </c>
      <c r="N629" t="s">
        <v>238</v>
      </c>
      <c r="O629" t="s">
        <v>156</v>
      </c>
      <c r="P629">
        <v>4.3110217325657049E-2</v>
      </c>
      <c r="Q629" t="s">
        <v>153</v>
      </c>
    </row>
    <row r="630" spans="9:17" x14ac:dyDescent="0.45">
      <c r="I630" t="s">
        <v>195</v>
      </c>
      <c r="J630" t="s">
        <v>157</v>
      </c>
      <c r="K630">
        <v>0</v>
      </c>
      <c r="L630" t="s">
        <v>153</v>
      </c>
      <c r="N630" t="s">
        <v>238</v>
      </c>
      <c r="O630" t="s">
        <v>157</v>
      </c>
      <c r="P630">
        <v>6.3032345086388381E-3</v>
      </c>
      <c r="Q630" t="s">
        <v>153</v>
      </c>
    </row>
    <row r="631" spans="9:17" x14ac:dyDescent="0.45">
      <c r="I631" t="s">
        <v>195</v>
      </c>
      <c r="J631" t="s">
        <v>158</v>
      </c>
      <c r="K631">
        <v>0.10688734688884222</v>
      </c>
      <c r="L631" t="s">
        <v>153</v>
      </c>
      <c r="N631" t="s">
        <v>238</v>
      </c>
      <c r="O631" t="s">
        <v>158</v>
      </c>
      <c r="P631">
        <v>5.5287883172498394E-2</v>
      </c>
      <c r="Q631" t="s">
        <v>153</v>
      </c>
    </row>
    <row r="632" spans="9:17" x14ac:dyDescent="0.45">
      <c r="I632" t="s">
        <v>195</v>
      </c>
      <c r="J632" t="s">
        <v>283</v>
      </c>
      <c r="K632">
        <v>1.040441342587934E-2</v>
      </c>
      <c r="L632" t="s">
        <v>153</v>
      </c>
      <c r="N632" t="s">
        <v>238</v>
      </c>
      <c r="O632" t="s">
        <v>283</v>
      </c>
      <c r="P632">
        <v>6.97320682757785E-3</v>
      </c>
      <c r="Q632" t="s">
        <v>153</v>
      </c>
    </row>
    <row r="633" spans="9:17" x14ac:dyDescent="0.45">
      <c r="I633" t="s">
        <v>195</v>
      </c>
      <c r="J633" t="s">
        <v>284</v>
      </c>
      <c r="K633">
        <v>2.9906560782969947E-3</v>
      </c>
      <c r="L633" t="s">
        <v>153</v>
      </c>
      <c r="N633" t="s">
        <v>238</v>
      </c>
      <c r="O633" t="s">
        <v>284</v>
      </c>
      <c r="P633">
        <v>6.9374875401232335E-3</v>
      </c>
      <c r="Q633" t="s">
        <v>153</v>
      </c>
    </row>
    <row r="634" spans="9:17" x14ac:dyDescent="0.45">
      <c r="I634" t="s">
        <v>195</v>
      </c>
      <c r="J634" t="s">
        <v>285</v>
      </c>
      <c r="K634">
        <v>0</v>
      </c>
      <c r="L634" t="s">
        <v>153</v>
      </c>
      <c r="N634" t="s">
        <v>238</v>
      </c>
      <c r="O634" t="s">
        <v>285</v>
      </c>
      <c r="P634">
        <v>3.1375693494685865E-2</v>
      </c>
      <c r="Q634" t="s">
        <v>153</v>
      </c>
    </row>
    <row r="635" spans="9:17" x14ac:dyDescent="0.45">
      <c r="I635" t="s">
        <v>195</v>
      </c>
      <c r="J635" t="s">
        <v>159</v>
      </c>
      <c r="K635">
        <v>6.802931630702733E-3</v>
      </c>
      <c r="L635" t="s">
        <v>153</v>
      </c>
      <c r="N635" t="s">
        <v>238</v>
      </c>
      <c r="O635" t="s">
        <v>159</v>
      </c>
      <c r="P635">
        <v>8.9937183246888167E-2</v>
      </c>
      <c r="Q635" t="s">
        <v>153</v>
      </c>
    </row>
    <row r="636" spans="9:17" x14ac:dyDescent="0.45">
      <c r="I636" t="s">
        <v>195</v>
      </c>
      <c r="J636" t="s">
        <v>160</v>
      </c>
      <c r="K636">
        <v>1.9705004384800981E-2</v>
      </c>
      <c r="L636" t="s">
        <v>153</v>
      </c>
      <c r="N636" t="s">
        <v>238</v>
      </c>
      <c r="O636" t="s">
        <v>160</v>
      </c>
      <c r="P636">
        <v>1.0235656775700614E-2</v>
      </c>
      <c r="Q636" t="s">
        <v>153</v>
      </c>
    </row>
    <row r="637" spans="9:17" x14ac:dyDescent="0.45">
      <c r="I637" t="s">
        <v>195</v>
      </c>
      <c r="J637" t="s">
        <v>161</v>
      </c>
      <c r="K637">
        <v>0.34540496398464454</v>
      </c>
      <c r="L637" t="s">
        <v>153</v>
      </c>
      <c r="N637" t="s">
        <v>238</v>
      </c>
      <c r="O637" t="s">
        <v>161</v>
      </c>
      <c r="P637">
        <v>0.14538410200018997</v>
      </c>
      <c r="Q637" t="s">
        <v>153</v>
      </c>
    </row>
    <row r="638" spans="9:17" x14ac:dyDescent="0.45">
      <c r="I638" t="s">
        <v>195</v>
      </c>
      <c r="J638" t="s">
        <v>286</v>
      </c>
      <c r="K638">
        <v>3.1129173772907345E-2</v>
      </c>
      <c r="L638" t="s">
        <v>153</v>
      </c>
      <c r="N638" t="s">
        <v>238</v>
      </c>
      <c r="O638" t="s">
        <v>286</v>
      </c>
      <c r="P638">
        <v>2.3220855861076261E-2</v>
      </c>
      <c r="Q638" t="s">
        <v>153</v>
      </c>
    </row>
    <row r="639" spans="9:17" x14ac:dyDescent="0.45">
      <c r="I639" t="s">
        <v>195</v>
      </c>
      <c r="J639" t="s">
        <v>287</v>
      </c>
      <c r="K639">
        <v>2.3160249514783626E-2</v>
      </c>
      <c r="L639" t="s">
        <v>153</v>
      </c>
      <c r="N639" t="s">
        <v>238</v>
      </c>
      <c r="O639" t="s">
        <v>287</v>
      </c>
      <c r="P639">
        <v>2.2301936579488375E-2</v>
      </c>
      <c r="Q639" t="s">
        <v>153</v>
      </c>
    </row>
    <row r="640" spans="9:17" x14ac:dyDescent="0.45">
      <c r="I640" t="s">
        <v>195</v>
      </c>
      <c r="J640" t="s">
        <v>288</v>
      </c>
      <c r="K640">
        <v>6.8644844724319587E-3</v>
      </c>
      <c r="L640" t="s">
        <v>153</v>
      </c>
      <c r="N640" t="s">
        <v>238</v>
      </c>
      <c r="O640" t="s">
        <v>288</v>
      </c>
      <c r="P640">
        <v>9.0831948034949192E-2</v>
      </c>
      <c r="Q640" t="s">
        <v>153</v>
      </c>
    </row>
    <row r="641" spans="9:17" x14ac:dyDescent="0.45">
      <c r="I641" t="s">
        <v>196</v>
      </c>
      <c r="J641" t="s">
        <v>152</v>
      </c>
      <c r="K641">
        <v>1.4694727231107229E-3</v>
      </c>
      <c r="L641" t="s">
        <v>153</v>
      </c>
      <c r="N641" t="s">
        <v>239</v>
      </c>
      <c r="O641" t="s">
        <v>152</v>
      </c>
      <c r="P641">
        <v>0.13989794046293899</v>
      </c>
      <c r="Q641" t="s">
        <v>153</v>
      </c>
    </row>
    <row r="642" spans="9:17" x14ac:dyDescent="0.45">
      <c r="I642" t="s">
        <v>196</v>
      </c>
      <c r="J642" t="s">
        <v>154</v>
      </c>
      <c r="K642">
        <v>1.2481993044436134E-2</v>
      </c>
      <c r="L642" t="s">
        <v>153</v>
      </c>
      <c r="N642" t="s">
        <v>239</v>
      </c>
      <c r="O642" t="s">
        <v>154</v>
      </c>
      <c r="P642">
        <v>1.7371812956833523E-2</v>
      </c>
      <c r="Q642" t="s">
        <v>153</v>
      </c>
    </row>
    <row r="643" spans="9:17" x14ac:dyDescent="0.45">
      <c r="I643" t="s">
        <v>196</v>
      </c>
      <c r="J643" t="s">
        <v>155</v>
      </c>
      <c r="K643">
        <v>0.36567083221527924</v>
      </c>
      <c r="L643" t="s">
        <v>153</v>
      </c>
      <c r="N643" t="s">
        <v>239</v>
      </c>
      <c r="O643" t="s">
        <v>155</v>
      </c>
      <c r="P643">
        <v>0.14319058684993052</v>
      </c>
      <c r="Q643" t="s">
        <v>153</v>
      </c>
    </row>
    <row r="644" spans="9:17" x14ac:dyDescent="0.45">
      <c r="I644" t="s">
        <v>196</v>
      </c>
      <c r="J644" t="s">
        <v>280</v>
      </c>
      <c r="K644">
        <v>3.3840269875736163E-2</v>
      </c>
      <c r="L644" t="s">
        <v>153</v>
      </c>
      <c r="N644" t="s">
        <v>239</v>
      </c>
      <c r="O644" t="s">
        <v>280</v>
      </c>
      <c r="P644">
        <v>2.2771944512169819E-2</v>
      </c>
      <c r="Q644" t="s">
        <v>153</v>
      </c>
    </row>
    <row r="645" spans="9:17" x14ac:dyDescent="0.45">
      <c r="I645" t="s">
        <v>196</v>
      </c>
      <c r="J645" t="s">
        <v>281</v>
      </c>
      <c r="K645">
        <v>2.0712858847236001E-2</v>
      </c>
      <c r="L645" t="s">
        <v>153</v>
      </c>
      <c r="N645" t="s">
        <v>239</v>
      </c>
      <c r="O645" t="s">
        <v>281</v>
      </c>
      <c r="P645">
        <v>2.6574494476260899E-2</v>
      </c>
      <c r="Q645" t="s">
        <v>153</v>
      </c>
    </row>
    <row r="646" spans="9:17" x14ac:dyDescent="0.45">
      <c r="I646" t="s">
        <v>196</v>
      </c>
      <c r="J646" t="s">
        <v>282</v>
      </c>
      <c r="K646">
        <v>9.5026321577055678E-3</v>
      </c>
      <c r="L646" t="s">
        <v>153</v>
      </c>
      <c r="N646" t="s">
        <v>239</v>
      </c>
      <c r="O646" t="s">
        <v>282</v>
      </c>
      <c r="P646">
        <v>0.13352365319201684</v>
      </c>
      <c r="Q646" t="s">
        <v>153</v>
      </c>
    </row>
    <row r="647" spans="9:17" x14ac:dyDescent="0.45">
      <c r="I647" t="s">
        <v>196</v>
      </c>
      <c r="J647" t="s">
        <v>156</v>
      </c>
      <c r="K647">
        <v>0</v>
      </c>
      <c r="L647" t="s">
        <v>153</v>
      </c>
      <c r="N647" t="s">
        <v>239</v>
      </c>
      <c r="O647" t="s">
        <v>156</v>
      </c>
      <c r="P647">
        <v>4.6462477422427442E-2</v>
      </c>
      <c r="Q647" t="s">
        <v>153</v>
      </c>
    </row>
    <row r="648" spans="9:17" x14ac:dyDescent="0.45">
      <c r="I648" t="s">
        <v>196</v>
      </c>
      <c r="J648" t="s">
        <v>157</v>
      </c>
      <c r="K648">
        <v>0</v>
      </c>
      <c r="L648" t="s">
        <v>153</v>
      </c>
      <c r="N648" t="s">
        <v>239</v>
      </c>
      <c r="O648" t="s">
        <v>157</v>
      </c>
      <c r="P648">
        <v>6.8951246726908664E-3</v>
      </c>
      <c r="Q648" t="s">
        <v>153</v>
      </c>
    </row>
    <row r="649" spans="9:17" x14ac:dyDescent="0.45">
      <c r="I649" t="s">
        <v>196</v>
      </c>
      <c r="J649" t="s">
        <v>158</v>
      </c>
      <c r="K649">
        <v>0.10435977352662801</v>
      </c>
      <c r="L649" t="s">
        <v>153</v>
      </c>
      <c r="N649" t="s">
        <v>239</v>
      </c>
      <c r="O649" t="s">
        <v>158</v>
      </c>
      <c r="P649">
        <v>6.5133636389686222E-2</v>
      </c>
      <c r="Q649" t="s">
        <v>153</v>
      </c>
    </row>
    <row r="650" spans="9:17" x14ac:dyDescent="0.45">
      <c r="I650" t="s">
        <v>196</v>
      </c>
      <c r="J650" t="s">
        <v>283</v>
      </c>
      <c r="K650">
        <v>9.5838645198332278E-3</v>
      </c>
      <c r="L650" t="s">
        <v>153</v>
      </c>
      <c r="N650" t="s">
        <v>239</v>
      </c>
      <c r="O650" t="s">
        <v>283</v>
      </c>
      <c r="P650">
        <v>6.8844063560342655E-3</v>
      </c>
      <c r="Q650" t="s">
        <v>153</v>
      </c>
    </row>
    <row r="651" spans="9:17" x14ac:dyDescent="0.45">
      <c r="I651" t="s">
        <v>196</v>
      </c>
      <c r="J651" t="s">
        <v>284</v>
      </c>
      <c r="K651">
        <v>2.0435872593604614E-3</v>
      </c>
      <c r="L651" t="s">
        <v>153</v>
      </c>
      <c r="N651" t="s">
        <v>239</v>
      </c>
      <c r="O651" t="s">
        <v>284</v>
      </c>
      <c r="P651">
        <v>6.9480650315020438E-3</v>
      </c>
      <c r="Q651" t="s">
        <v>153</v>
      </c>
    </row>
    <row r="652" spans="9:17" x14ac:dyDescent="0.45">
      <c r="I652" t="s">
        <v>196</v>
      </c>
      <c r="J652" t="s">
        <v>285</v>
      </c>
      <c r="K652">
        <v>0</v>
      </c>
      <c r="L652" t="s">
        <v>153</v>
      </c>
      <c r="N652" t="s">
        <v>239</v>
      </c>
      <c r="O652" t="s">
        <v>285</v>
      </c>
      <c r="P652">
        <v>3.474267980951723E-2</v>
      </c>
      <c r="Q652" t="s">
        <v>153</v>
      </c>
    </row>
    <row r="653" spans="9:17" x14ac:dyDescent="0.45">
      <c r="I653" t="s">
        <v>196</v>
      </c>
      <c r="J653" t="s">
        <v>159</v>
      </c>
      <c r="K653">
        <v>6.9289536351308106E-3</v>
      </c>
      <c r="L653" t="s">
        <v>153</v>
      </c>
      <c r="N653" t="s">
        <v>239</v>
      </c>
      <c r="O653" t="s">
        <v>159</v>
      </c>
      <c r="P653">
        <v>9.293619662337986E-2</v>
      </c>
      <c r="Q653" t="s">
        <v>153</v>
      </c>
    </row>
    <row r="654" spans="9:17" x14ac:dyDescent="0.45">
      <c r="I654" t="s">
        <v>196</v>
      </c>
      <c r="J654" t="s">
        <v>160</v>
      </c>
      <c r="K654">
        <v>1.991422296441377E-2</v>
      </c>
      <c r="L654" t="s">
        <v>153</v>
      </c>
      <c r="N654" t="s">
        <v>239</v>
      </c>
      <c r="O654" t="s">
        <v>160</v>
      </c>
      <c r="P654">
        <v>1.0856757617434942E-2</v>
      </c>
      <c r="Q654" t="s">
        <v>153</v>
      </c>
    </row>
    <row r="655" spans="9:17" x14ac:dyDescent="0.45">
      <c r="I655" t="s">
        <v>196</v>
      </c>
      <c r="J655" t="s">
        <v>161</v>
      </c>
      <c r="K655">
        <v>0.35089360236963257</v>
      </c>
      <c r="L655" t="s">
        <v>153</v>
      </c>
      <c r="N655" t="s">
        <v>239</v>
      </c>
      <c r="O655" t="s">
        <v>161</v>
      </c>
      <c r="P655">
        <v>0.10066949947729438</v>
      </c>
      <c r="Q655" t="s">
        <v>153</v>
      </c>
    </row>
    <row r="656" spans="9:17" x14ac:dyDescent="0.45">
      <c r="I656" t="s">
        <v>196</v>
      </c>
      <c r="J656" t="s">
        <v>286</v>
      </c>
      <c r="K656">
        <v>3.1683844309538557E-2</v>
      </c>
      <c r="L656" t="s">
        <v>153</v>
      </c>
      <c r="N656" t="s">
        <v>239</v>
      </c>
      <c r="O656" t="s">
        <v>286</v>
      </c>
      <c r="P656">
        <v>1.9086393285733607E-2</v>
      </c>
      <c r="Q656" t="s">
        <v>153</v>
      </c>
    </row>
    <row r="657" spans="9:17" x14ac:dyDescent="0.45">
      <c r="I657" t="s">
        <v>196</v>
      </c>
      <c r="J657" t="s">
        <v>287</v>
      </c>
      <c r="K657">
        <v>2.3459477209581178E-2</v>
      </c>
      <c r="L657" t="s">
        <v>153</v>
      </c>
      <c r="N657" t="s">
        <v>239</v>
      </c>
      <c r="O657" t="s">
        <v>287</v>
      </c>
      <c r="P657">
        <v>2.2449790111264096E-2</v>
      </c>
      <c r="Q657" t="s">
        <v>153</v>
      </c>
    </row>
    <row r="658" spans="9:17" x14ac:dyDescent="0.45">
      <c r="I658" t="s">
        <v>196</v>
      </c>
      <c r="J658" t="s">
        <v>288</v>
      </c>
      <c r="K658">
        <v>7.4546153423774662E-3</v>
      </c>
      <c r="L658" t="s">
        <v>153</v>
      </c>
      <c r="N658" t="s">
        <v>239</v>
      </c>
      <c r="O658" t="s">
        <v>288</v>
      </c>
      <c r="P658">
        <v>0.10360454075288311</v>
      </c>
      <c r="Q658" t="s">
        <v>153</v>
      </c>
    </row>
    <row r="659" spans="9:17" x14ac:dyDescent="0.45">
      <c r="I659" t="s">
        <v>197</v>
      </c>
      <c r="J659" t="s">
        <v>152</v>
      </c>
      <c r="K659">
        <v>0</v>
      </c>
      <c r="L659" t="s">
        <v>153</v>
      </c>
      <c r="N659" t="s">
        <v>240</v>
      </c>
      <c r="O659" t="s">
        <v>152</v>
      </c>
      <c r="P659">
        <v>0.10945327168045482</v>
      </c>
      <c r="Q659" t="s">
        <v>153</v>
      </c>
    </row>
    <row r="660" spans="9:17" x14ac:dyDescent="0.45">
      <c r="I660" t="s">
        <v>197</v>
      </c>
      <c r="J660" t="s">
        <v>154</v>
      </c>
      <c r="K660">
        <v>1.52465668660319E-2</v>
      </c>
      <c r="L660" t="s">
        <v>153</v>
      </c>
      <c r="N660" t="s">
        <v>240</v>
      </c>
      <c r="O660" t="s">
        <v>154</v>
      </c>
      <c r="P660">
        <v>1.6753273030288743E-2</v>
      </c>
      <c r="Q660" t="s">
        <v>153</v>
      </c>
    </row>
    <row r="661" spans="9:17" x14ac:dyDescent="0.45">
      <c r="I661" t="s">
        <v>197</v>
      </c>
      <c r="J661" t="s">
        <v>155</v>
      </c>
      <c r="K661">
        <v>0.38034129068324901</v>
      </c>
      <c r="L661" t="s">
        <v>153</v>
      </c>
      <c r="N661" t="s">
        <v>240</v>
      </c>
      <c r="O661" t="s">
        <v>155</v>
      </c>
      <c r="P661">
        <v>0.18594840222408754</v>
      </c>
      <c r="Q661" t="s">
        <v>153</v>
      </c>
    </row>
    <row r="662" spans="9:17" x14ac:dyDescent="0.45">
      <c r="I662" t="s">
        <v>197</v>
      </c>
      <c r="J662" t="s">
        <v>280</v>
      </c>
      <c r="K662">
        <v>3.4131386407089744E-2</v>
      </c>
      <c r="L662" t="s">
        <v>153</v>
      </c>
      <c r="N662" t="s">
        <v>240</v>
      </c>
      <c r="O662" t="s">
        <v>280</v>
      </c>
      <c r="P662">
        <v>3.2627510528659955E-2</v>
      </c>
      <c r="Q662" t="s">
        <v>153</v>
      </c>
    </row>
    <row r="663" spans="9:17" x14ac:dyDescent="0.45">
      <c r="I663" t="s">
        <v>197</v>
      </c>
      <c r="J663" t="s">
        <v>281</v>
      </c>
      <c r="K663">
        <v>2.2073116897463062E-2</v>
      </c>
      <c r="L663" t="s">
        <v>153</v>
      </c>
      <c r="N663" t="s">
        <v>240</v>
      </c>
      <c r="O663" t="s">
        <v>281</v>
      </c>
      <c r="P663">
        <v>3.1787830250054307E-2</v>
      </c>
      <c r="Q663" t="s">
        <v>153</v>
      </c>
    </row>
    <row r="664" spans="9:17" x14ac:dyDescent="0.45">
      <c r="I664" t="s">
        <v>197</v>
      </c>
      <c r="J664" t="s">
        <v>282</v>
      </c>
      <c r="K664">
        <v>7.5559631602881479E-3</v>
      </c>
      <c r="L664" t="s">
        <v>153</v>
      </c>
      <c r="N664" t="s">
        <v>240</v>
      </c>
      <c r="O664" t="s">
        <v>282</v>
      </c>
      <c r="P664">
        <v>9.7388696549148959E-2</v>
      </c>
      <c r="Q664" t="s">
        <v>153</v>
      </c>
    </row>
    <row r="665" spans="9:17" x14ac:dyDescent="0.45">
      <c r="I665" t="s">
        <v>197</v>
      </c>
      <c r="J665" t="s">
        <v>156</v>
      </c>
      <c r="K665">
        <v>0</v>
      </c>
      <c r="L665" t="s">
        <v>153</v>
      </c>
      <c r="N665" t="s">
        <v>240</v>
      </c>
      <c r="O665" t="s">
        <v>156</v>
      </c>
      <c r="P665">
        <v>5.1019973140952857E-2</v>
      </c>
      <c r="Q665" t="s">
        <v>153</v>
      </c>
    </row>
    <row r="666" spans="9:17" x14ac:dyDescent="0.45">
      <c r="I666" t="s">
        <v>197</v>
      </c>
      <c r="J666" t="s">
        <v>157</v>
      </c>
      <c r="K666">
        <v>0</v>
      </c>
      <c r="L666" t="s">
        <v>153</v>
      </c>
      <c r="N666" t="s">
        <v>240</v>
      </c>
      <c r="O666" t="s">
        <v>157</v>
      </c>
      <c r="P666">
        <v>8.2928641482127186E-3</v>
      </c>
      <c r="Q666" t="s">
        <v>153</v>
      </c>
    </row>
    <row r="667" spans="9:17" x14ac:dyDescent="0.45">
      <c r="I667" t="s">
        <v>197</v>
      </c>
      <c r="J667" t="s">
        <v>158</v>
      </c>
      <c r="K667">
        <v>0.12175657438702447</v>
      </c>
      <c r="L667" t="s">
        <v>153</v>
      </c>
      <c r="N667" t="s">
        <v>240</v>
      </c>
      <c r="O667" t="s">
        <v>158</v>
      </c>
      <c r="P667">
        <v>7.8759085104784299E-2</v>
      </c>
      <c r="Q667" t="s">
        <v>153</v>
      </c>
    </row>
    <row r="668" spans="9:17" x14ac:dyDescent="0.45">
      <c r="I668" t="s">
        <v>197</v>
      </c>
      <c r="J668" t="s">
        <v>283</v>
      </c>
      <c r="K668">
        <v>1.0947923761169478E-2</v>
      </c>
      <c r="L668" t="s">
        <v>153</v>
      </c>
      <c r="N668" t="s">
        <v>240</v>
      </c>
      <c r="O668" t="s">
        <v>283</v>
      </c>
      <c r="P668">
        <v>7.6724736515731071E-3</v>
      </c>
      <c r="Q668" t="s">
        <v>153</v>
      </c>
    </row>
    <row r="669" spans="9:17" x14ac:dyDescent="0.45">
      <c r="I669" t="s">
        <v>197</v>
      </c>
      <c r="J669" t="s">
        <v>284</v>
      </c>
      <c r="K669">
        <v>5.4750082419807288E-3</v>
      </c>
      <c r="L669" t="s">
        <v>153</v>
      </c>
      <c r="N669" t="s">
        <v>240</v>
      </c>
      <c r="O669" t="s">
        <v>284</v>
      </c>
      <c r="P669">
        <v>7.0276101385196611E-3</v>
      </c>
      <c r="Q669" t="s">
        <v>153</v>
      </c>
    </row>
    <row r="670" spans="9:17" x14ac:dyDescent="0.45">
      <c r="I670" t="s">
        <v>197</v>
      </c>
      <c r="J670" t="s">
        <v>285</v>
      </c>
      <c r="K670">
        <v>0</v>
      </c>
      <c r="L670" t="s">
        <v>153</v>
      </c>
      <c r="N670" t="s">
        <v>240</v>
      </c>
      <c r="O670" t="s">
        <v>285</v>
      </c>
      <c r="P670">
        <v>3.2032480930278953E-2</v>
      </c>
      <c r="Q670" t="s">
        <v>153</v>
      </c>
    </row>
    <row r="671" spans="9:17" x14ac:dyDescent="0.45">
      <c r="I671" t="s">
        <v>197</v>
      </c>
      <c r="J671" t="s">
        <v>159</v>
      </c>
      <c r="K671">
        <v>4.3443284908322253E-3</v>
      </c>
      <c r="L671" t="s">
        <v>153</v>
      </c>
      <c r="N671" t="s">
        <v>240</v>
      </c>
      <c r="O671" t="s">
        <v>159</v>
      </c>
      <c r="P671">
        <v>6.7762612235069061E-2</v>
      </c>
      <c r="Q671" t="s">
        <v>153</v>
      </c>
    </row>
    <row r="672" spans="9:17" x14ac:dyDescent="0.45">
      <c r="I672" t="s">
        <v>197</v>
      </c>
      <c r="J672" t="s">
        <v>160</v>
      </c>
      <c r="K672">
        <v>1.9073462494277615E-2</v>
      </c>
      <c r="L672" t="s">
        <v>153</v>
      </c>
      <c r="N672" t="s">
        <v>240</v>
      </c>
      <c r="O672" t="s">
        <v>160</v>
      </c>
      <c r="P672">
        <v>1.0376228352071502E-2</v>
      </c>
      <c r="Q672" t="s">
        <v>153</v>
      </c>
    </row>
    <row r="673" spans="9:17" x14ac:dyDescent="0.45">
      <c r="I673" t="s">
        <v>197</v>
      </c>
      <c r="J673" t="s">
        <v>161</v>
      </c>
      <c r="K673">
        <v>0.32939456246240917</v>
      </c>
      <c r="L673" t="s">
        <v>153</v>
      </c>
      <c r="N673" t="s">
        <v>240</v>
      </c>
      <c r="O673" t="s">
        <v>161</v>
      </c>
      <c r="P673">
        <v>0.14183701065700136</v>
      </c>
      <c r="Q673" t="s">
        <v>153</v>
      </c>
    </row>
    <row r="674" spans="9:17" x14ac:dyDescent="0.45">
      <c r="I674" t="s">
        <v>197</v>
      </c>
      <c r="J674" t="s">
        <v>286</v>
      </c>
      <c r="K674">
        <v>2.8122133379260766E-2</v>
      </c>
      <c r="L674" t="s">
        <v>153</v>
      </c>
      <c r="N674" t="s">
        <v>240</v>
      </c>
      <c r="O674" t="s">
        <v>286</v>
      </c>
      <c r="P674">
        <v>2.758904293939617E-2</v>
      </c>
      <c r="Q674" t="s">
        <v>153</v>
      </c>
    </row>
    <row r="675" spans="9:17" x14ac:dyDescent="0.45">
      <c r="I675" t="s">
        <v>197</v>
      </c>
      <c r="J675" t="s">
        <v>287</v>
      </c>
      <c r="K675">
        <v>1.853278319657754E-2</v>
      </c>
      <c r="L675" t="s">
        <v>153</v>
      </c>
      <c r="N675" t="s">
        <v>240</v>
      </c>
      <c r="O675" t="s">
        <v>287</v>
      </c>
      <c r="P675">
        <v>2.5965012570820234E-2</v>
      </c>
      <c r="Q675" t="s">
        <v>153</v>
      </c>
    </row>
    <row r="676" spans="9:17" x14ac:dyDescent="0.45">
      <c r="I676" t="s">
        <v>197</v>
      </c>
      <c r="J676" t="s">
        <v>288</v>
      </c>
      <c r="K676">
        <v>3.0048995723481013E-3</v>
      </c>
      <c r="L676" t="s">
        <v>153</v>
      </c>
      <c r="N676" t="s">
        <v>240</v>
      </c>
      <c r="O676" t="s">
        <v>288</v>
      </c>
      <c r="P676">
        <v>6.7706621868627442E-2</v>
      </c>
      <c r="Q676" t="s">
        <v>153</v>
      </c>
    </row>
    <row r="677" spans="9:17" x14ac:dyDescent="0.45">
      <c r="I677" t="s">
        <v>198</v>
      </c>
      <c r="J677" t="s">
        <v>152</v>
      </c>
      <c r="K677">
        <v>9.7829594070460442E-5</v>
      </c>
      <c r="L677" t="s">
        <v>153</v>
      </c>
      <c r="N677" t="s">
        <v>241</v>
      </c>
      <c r="O677" t="s">
        <v>152</v>
      </c>
      <c r="P677">
        <v>9.3383197744066296E-2</v>
      </c>
      <c r="Q677" t="s">
        <v>153</v>
      </c>
    </row>
    <row r="678" spans="9:17" x14ac:dyDescent="0.45">
      <c r="I678" t="s">
        <v>198</v>
      </c>
      <c r="J678" t="s">
        <v>154</v>
      </c>
      <c r="K678">
        <v>1.4477702692937387E-2</v>
      </c>
      <c r="L678" t="s">
        <v>153</v>
      </c>
      <c r="N678" t="s">
        <v>241</v>
      </c>
      <c r="O678" t="s">
        <v>154</v>
      </c>
      <c r="P678">
        <v>1.3995720472477829E-2</v>
      </c>
      <c r="Q678" t="s">
        <v>153</v>
      </c>
    </row>
    <row r="679" spans="9:17" x14ac:dyDescent="0.45">
      <c r="I679" t="s">
        <v>198</v>
      </c>
      <c r="J679" t="s">
        <v>155</v>
      </c>
      <c r="K679">
        <v>0.37994651998162743</v>
      </c>
      <c r="L679" t="s">
        <v>153</v>
      </c>
      <c r="N679" t="s">
        <v>241</v>
      </c>
      <c r="O679" t="s">
        <v>155</v>
      </c>
      <c r="P679">
        <v>0.20118637902337022</v>
      </c>
      <c r="Q679" t="s">
        <v>153</v>
      </c>
    </row>
    <row r="680" spans="9:17" x14ac:dyDescent="0.45">
      <c r="I680" t="s">
        <v>198</v>
      </c>
      <c r="J680" t="s">
        <v>280</v>
      </c>
      <c r="K680">
        <v>3.4667682642726953E-2</v>
      </c>
      <c r="L680" t="s">
        <v>153</v>
      </c>
      <c r="N680" t="s">
        <v>241</v>
      </c>
      <c r="O680" t="s">
        <v>280</v>
      </c>
      <c r="P680">
        <v>3.6460255382808324E-2</v>
      </c>
      <c r="Q680" t="s">
        <v>153</v>
      </c>
    </row>
    <row r="681" spans="9:17" x14ac:dyDescent="0.45">
      <c r="I681" t="s">
        <v>198</v>
      </c>
      <c r="J681" t="s">
        <v>281</v>
      </c>
      <c r="K681">
        <v>2.2345411636602853E-2</v>
      </c>
      <c r="L681" t="s">
        <v>153</v>
      </c>
      <c r="N681" t="s">
        <v>241</v>
      </c>
      <c r="O681" t="s">
        <v>281</v>
      </c>
      <c r="P681">
        <v>3.3136690328175109E-2</v>
      </c>
      <c r="Q681" t="s">
        <v>153</v>
      </c>
    </row>
    <row r="682" spans="9:17" x14ac:dyDescent="0.45">
      <c r="I682" t="s">
        <v>198</v>
      </c>
      <c r="J682" t="s">
        <v>282</v>
      </c>
      <c r="K682">
        <v>8.0618166993953518E-3</v>
      </c>
      <c r="L682" t="s">
        <v>153</v>
      </c>
      <c r="N682" t="s">
        <v>241</v>
      </c>
      <c r="O682" t="s">
        <v>282</v>
      </c>
      <c r="P682">
        <v>0.10356149109739592</v>
      </c>
      <c r="Q682" t="s">
        <v>153</v>
      </c>
    </row>
    <row r="683" spans="9:17" x14ac:dyDescent="0.45">
      <c r="I683" t="s">
        <v>198</v>
      </c>
      <c r="J683" t="s">
        <v>156</v>
      </c>
      <c r="K683">
        <v>0</v>
      </c>
      <c r="L683" t="s">
        <v>153</v>
      </c>
      <c r="N683" t="s">
        <v>241</v>
      </c>
      <c r="O683" t="s">
        <v>156</v>
      </c>
      <c r="P683">
        <v>4.4446119404640147E-2</v>
      </c>
      <c r="Q683" t="s">
        <v>153</v>
      </c>
    </row>
    <row r="684" spans="9:17" x14ac:dyDescent="0.45">
      <c r="I684" t="s">
        <v>198</v>
      </c>
      <c r="J684" t="s">
        <v>157</v>
      </c>
      <c r="K684">
        <v>0</v>
      </c>
      <c r="L684" t="s">
        <v>153</v>
      </c>
      <c r="N684" t="s">
        <v>241</v>
      </c>
      <c r="O684" t="s">
        <v>157</v>
      </c>
      <c r="P684">
        <v>7.2005141346898408E-3</v>
      </c>
      <c r="Q684" t="s">
        <v>153</v>
      </c>
    </row>
    <row r="685" spans="9:17" x14ac:dyDescent="0.45">
      <c r="I685" t="s">
        <v>198</v>
      </c>
      <c r="J685" t="s">
        <v>158</v>
      </c>
      <c r="K685">
        <v>0.12036547166125321</v>
      </c>
      <c r="L685" t="s">
        <v>153</v>
      </c>
      <c r="N685" t="s">
        <v>241</v>
      </c>
      <c r="O685" t="s">
        <v>158</v>
      </c>
      <c r="P685">
        <v>6.696191164812762E-2</v>
      </c>
      <c r="Q685" t="s">
        <v>153</v>
      </c>
    </row>
    <row r="686" spans="9:17" x14ac:dyDescent="0.45">
      <c r="I686" t="s">
        <v>198</v>
      </c>
      <c r="J686" t="s">
        <v>283</v>
      </c>
      <c r="K686">
        <v>1.099060126290872E-2</v>
      </c>
      <c r="L686" t="s">
        <v>153</v>
      </c>
      <c r="N686" t="s">
        <v>241</v>
      </c>
      <c r="O686" t="s">
        <v>283</v>
      </c>
      <c r="P686">
        <v>6.9124154842061586E-3</v>
      </c>
      <c r="Q686" t="s">
        <v>153</v>
      </c>
    </row>
    <row r="687" spans="9:17" x14ac:dyDescent="0.45">
      <c r="I687" t="s">
        <v>198</v>
      </c>
      <c r="J687" t="s">
        <v>284</v>
      </c>
      <c r="K687">
        <v>5.0896135513498614E-3</v>
      </c>
      <c r="L687" t="s">
        <v>153</v>
      </c>
      <c r="N687" t="s">
        <v>241</v>
      </c>
      <c r="O687" t="s">
        <v>284</v>
      </c>
      <c r="P687">
        <v>6.5428676500900078E-3</v>
      </c>
      <c r="Q687" t="s">
        <v>153</v>
      </c>
    </row>
    <row r="688" spans="9:17" x14ac:dyDescent="0.45">
      <c r="I688" t="s">
        <v>198</v>
      </c>
      <c r="J688" t="s">
        <v>285</v>
      </c>
      <c r="K688">
        <v>0</v>
      </c>
      <c r="L688" t="s">
        <v>153</v>
      </c>
      <c r="N688" t="s">
        <v>241</v>
      </c>
      <c r="O688" t="s">
        <v>285</v>
      </c>
      <c r="P688">
        <v>2.8619401353694323E-2</v>
      </c>
      <c r="Q688" t="s">
        <v>153</v>
      </c>
    </row>
    <row r="689" spans="9:17" x14ac:dyDescent="0.45">
      <c r="I689" t="s">
        <v>198</v>
      </c>
      <c r="J689" t="s">
        <v>159</v>
      </c>
      <c r="K689">
        <v>4.7254900887167446E-3</v>
      </c>
      <c r="L689" t="s">
        <v>153</v>
      </c>
      <c r="N689" t="s">
        <v>241</v>
      </c>
      <c r="O689" t="s">
        <v>159</v>
      </c>
      <c r="P689">
        <v>5.4933994439185965E-2</v>
      </c>
      <c r="Q689" t="s">
        <v>153</v>
      </c>
    </row>
    <row r="690" spans="9:17" x14ac:dyDescent="0.45">
      <c r="I690" t="s">
        <v>198</v>
      </c>
      <c r="J690" t="s">
        <v>160</v>
      </c>
      <c r="K690">
        <v>1.9497327816264891E-2</v>
      </c>
      <c r="L690" t="s">
        <v>153</v>
      </c>
      <c r="N690" t="s">
        <v>241</v>
      </c>
      <c r="O690" t="s">
        <v>160</v>
      </c>
      <c r="P690">
        <v>6.7664753151361881E-3</v>
      </c>
      <c r="Q690" t="s">
        <v>153</v>
      </c>
    </row>
    <row r="691" spans="9:17" x14ac:dyDescent="0.45">
      <c r="I691" t="s">
        <v>198</v>
      </c>
      <c r="J691" t="s">
        <v>161</v>
      </c>
      <c r="K691">
        <v>0.32944875253104394</v>
      </c>
      <c r="L691" t="s">
        <v>153</v>
      </c>
      <c r="N691" t="s">
        <v>241</v>
      </c>
      <c r="O691" t="s">
        <v>161</v>
      </c>
      <c r="P691">
        <v>0.15621489135757288</v>
      </c>
      <c r="Q691" t="s">
        <v>153</v>
      </c>
    </row>
    <row r="692" spans="9:17" x14ac:dyDescent="0.45">
      <c r="I692" t="s">
        <v>198</v>
      </c>
      <c r="J692" t="s">
        <v>286</v>
      </c>
      <c r="K692">
        <v>2.8185294899927178E-2</v>
      </c>
      <c r="L692" t="s">
        <v>153</v>
      </c>
      <c r="N692" t="s">
        <v>241</v>
      </c>
      <c r="O692" t="s">
        <v>286</v>
      </c>
      <c r="P692">
        <v>3.2190462851437687E-2</v>
      </c>
      <c r="Q692" t="s">
        <v>153</v>
      </c>
    </row>
    <row r="693" spans="9:17" x14ac:dyDescent="0.45">
      <c r="I693" t="s">
        <v>198</v>
      </c>
      <c r="J693" t="s">
        <v>287</v>
      </c>
      <c r="K693">
        <v>1.8942179843677243E-2</v>
      </c>
      <c r="L693" t="s">
        <v>153</v>
      </c>
      <c r="N693" t="s">
        <v>241</v>
      </c>
      <c r="O693" t="s">
        <v>287</v>
      </c>
      <c r="P693">
        <v>2.829059101819727E-2</v>
      </c>
      <c r="Q693" t="s">
        <v>153</v>
      </c>
    </row>
    <row r="694" spans="9:17" x14ac:dyDescent="0.45">
      <c r="I694" t="s">
        <v>198</v>
      </c>
      <c r="J694" t="s">
        <v>288</v>
      </c>
      <c r="K694">
        <v>3.1583050974959863E-3</v>
      </c>
      <c r="L694" t="s">
        <v>153</v>
      </c>
      <c r="N694" t="s">
        <v>241</v>
      </c>
      <c r="O694" t="s">
        <v>288</v>
      </c>
      <c r="P694">
        <v>7.9196621294728778E-2</v>
      </c>
      <c r="Q694" t="s">
        <v>153</v>
      </c>
    </row>
    <row r="695" spans="9:17" x14ac:dyDescent="0.45">
      <c r="I695" t="s">
        <v>199</v>
      </c>
      <c r="J695" t="s">
        <v>152</v>
      </c>
      <c r="K695">
        <v>3.6707207970829224E-5</v>
      </c>
      <c r="L695" t="s">
        <v>153</v>
      </c>
      <c r="N695" t="s">
        <v>242</v>
      </c>
      <c r="O695" t="s">
        <v>152</v>
      </c>
      <c r="P695">
        <v>0.14632967412678816</v>
      </c>
      <c r="Q695" t="s">
        <v>153</v>
      </c>
    </row>
    <row r="696" spans="9:17" x14ac:dyDescent="0.45">
      <c r="I696" t="s">
        <v>199</v>
      </c>
      <c r="J696" t="s">
        <v>154</v>
      </c>
      <c r="K696">
        <v>1.7342689731977629E-2</v>
      </c>
      <c r="L696" t="s">
        <v>153</v>
      </c>
      <c r="N696" t="s">
        <v>242</v>
      </c>
      <c r="O696" t="s">
        <v>154</v>
      </c>
      <c r="P696">
        <v>1.6714822769126093E-2</v>
      </c>
      <c r="Q696" t="s">
        <v>153</v>
      </c>
    </row>
    <row r="697" spans="9:17" x14ac:dyDescent="0.45">
      <c r="I697" t="s">
        <v>199</v>
      </c>
      <c r="J697" t="s">
        <v>155</v>
      </c>
      <c r="K697">
        <v>0.3825698665473542</v>
      </c>
      <c r="L697" t="s">
        <v>153</v>
      </c>
      <c r="N697" t="s">
        <v>242</v>
      </c>
      <c r="O697" t="s">
        <v>155</v>
      </c>
      <c r="P697">
        <v>0.14331610993490634</v>
      </c>
      <c r="Q697" t="s">
        <v>153</v>
      </c>
    </row>
    <row r="698" spans="9:17" x14ac:dyDescent="0.45">
      <c r="I698" t="s">
        <v>199</v>
      </c>
      <c r="J698" t="s">
        <v>280</v>
      </c>
      <c r="K698">
        <v>3.4276138917107957E-2</v>
      </c>
      <c r="L698" t="s">
        <v>153</v>
      </c>
      <c r="N698" t="s">
        <v>242</v>
      </c>
      <c r="O698" t="s">
        <v>280</v>
      </c>
      <c r="P698">
        <v>1.8510069704659148E-2</v>
      </c>
      <c r="Q698" t="s">
        <v>153</v>
      </c>
    </row>
    <row r="699" spans="9:17" x14ac:dyDescent="0.45">
      <c r="I699" t="s">
        <v>199</v>
      </c>
      <c r="J699" t="s">
        <v>281</v>
      </c>
      <c r="K699">
        <v>2.1079490614843717E-2</v>
      </c>
      <c r="L699" t="s">
        <v>153</v>
      </c>
      <c r="N699" t="s">
        <v>242</v>
      </c>
      <c r="O699" t="s">
        <v>281</v>
      </c>
      <c r="P699">
        <v>1.9974187300199512E-2</v>
      </c>
      <c r="Q699" t="s">
        <v>153</v>
      </c>
    </row>
    <row r="700" spans="9:17" x14ac:dyDescent="0.45">
      <c r="I700" t="s">
        <v>199</v>
      </c>
      <c r="J700" t="s">
        <v>282</v>
      </c>
      <c r="K700">
        <v>6.522372523824556E-3</v>
      </c>
      <c r="L700" t="s">
        <v>153</v>
      </c>
      <c r="N700" t="s">
        <v>242</v>
      </c>
      <c r="O700" t="s">
        <v>282</v>
      </c>
      <c r="P700">
        <v>0.12203347337794392</v>
      </c>
      <c r="Q700" t="s">
        <v>153</v>
      </c>
    </row>
    <row r="701" spans="9:17" x14ac:dyDescent="0.45">
      <c r="I701" t="s">
        <v>199</v>
      </c>
      <c r="J701" t="s">
        <v>156</v>
      </c>
      <c r="K701">
        <v>0</v>
      </c>
      <c r="L701" t="s">
        <v>153</v>
      </c>
      <c r="N701" t="s">
        <v>242</v>
      </c>
      <c r="O701" t="s">
        <v>156</v>
      </c>
      <c r="P701">
        <v>4.6734906122472906E-2</v>
      </c>
      <c r="Q701" t="s">
        <v>153</v>
      </c>
    </row>
    <row r="702" spans="9:17" x14ac:dyDescent="0.45">
      <c r="I702" t="s">
        <v>199</v>
      </c>
      <c r="J702" t="s">
        <v>157</v>
      </c>
      <c r="K702">
        <v>2.3318434005712366E-6</v>
      </c>
      <c r="L702" t="s">
        <v>153</v>
      </c>
      <c r="N702" t="s">
        <v>242</v>
      </c>
      <c r="O702" t="s">
        <v>157</v>
      </c>
      <c r="P702">
        <v>6.4280454305722908E-3</v>
      </c>
      <c r="Q702" t="s">
        <v>153</v>
      </c>
    </row>
    <row r="703" spans="9:17" x14ac:dyDescent="0.45">
      <c r="I703" t="s">
        <v>199</v>
      </c>
      <c r="J703" t="s">
        <v>158</v>
      </c>
      <c r="K703">
        <v>0.12099305926344366</v>
      </c>
      <c r="L703" t="s">
        <v>153</v>
      </c>
      <c r="N703" t="s">
        <v>242</v>
      </c>
      <c r="O703" t="s">
        <v>158</v>
      </c>
      <c r="P703">
        <v>6.5247482822413508E-2</v>
      </c>
      <c r="Q703" t="s">
        <v>153</v>
      </c>
    </row>
    <row r="704" spans="9:17" x14ac:dyDescent="0.45">
      <c r="I704" t="s">
        <v>199</v>
      </c>
      <c r="J704" t="s">
        <v>283</v>
      </c>
      <c r="K704">
        <v>1.0330164401479072E-2</v>
      </c>
      <c r="L704" t="s">
        <v>153</v>
      </c>
      <c r="N704" t="s">
        <v>242</v>
      </c>
      <c r="O704" t="s">
        <v>283</v>
      </c>
      <c r="P704">
        <v>7.2978210966893435E-3</v>
      </c>
      <c r="Q704" t="s">
        <v>153</v>
      </c>
    </row>
    <row r="705" spans="9:17" x14ac:dyDescent="0.45">
      <c r="I705" t="s">
        <v>199</v>
      </c>
      <c r="J705" t="s">
        <v>284</v>
      </c>
      <c r="K705">
        <v>4.3008139251392297E-3</v>
      </c>
      <c r="L705" t="s">
        <v>153</v>
      </c>
      <c r="N705" t="s">
        <v>242</v>
      </c>
      <c r="O705" t="s">
        <v>284</v>
      </c>
      <c r="P705">
        <v>7.2730585059788758E-3</v>
      </c>
      <c r="Q705" t="s">
        <v>153</v>
      </c>
    </row>
    <row r="706" spans="9:17" x14ac:dyDescent="0.45">
      <c r="I706" t="s">
        <v>199</v>
      </c>
      <c r="J706" t="s">
        <v>285</v>
      </c>
      <c r="K706">
        <v>0</v>
      </c>
      <c r="L706" t="s">
        <v>153</v>
      </c>
      <c r="N706" t="s">
        <v>242</v>
      </c>
      <c r="O706" t="s">
        <v>285</v>
      </c>
      <c r="P706">
        <v>3.6165518476064515E-2</v>
      </c>
      <c r="Q706" t="s">
        <v>153</v>
      </c>
    </row>
    <row r="707" spans="9:17" x14ac:dyDescent="0.45">
      <c r="I707" t="s">
        <v>199</v>
      </c>
      <c r="J707" t="s">
        <v>159</v>
      </c>
      <c r="K707">
        <v>5.690357675972842E-3</v>
      </c>
      <c r="L707" t="s">
        <v>153</v>
      </c>
      <c r="N707" t="s">
        <v>242</v>
      </c>
      <c r="O707" t="s">
        <v>159</v>
      </c>
      <c r="P707">
        <v>0.10706791141766225</v>
      </c>
      <c r="Q707" t="s">
        <v>153</v>
      </c>
    </row>
    <row r="708" spans="9:17" x14ac:dyDescent="0.45">
      <c r="I708" t="s">
        <v>199</v>
      </c>
      <c r="J708" t="s">
        <v>160</v>
      </c>
      <c r="K708">
        <v>1.9893819255489324E-2</v>
      </c>
      <c r="L708" t="s">
        <v>153</v>
      </c>
      <c r="N708" t="s">
        <v>242</v>
      </c>
      <c r="O708" t="s">
        <v>160</v>
      </c>
      <c r="P708">
        <v>1.1964778462518888E-2</v>
      </c>
      <c r="Q708" t="s">
        <v>153</v>
      </c>
    </row>
    <row r="709" spans="9:17" x14ac:dyDescent="0.45">
      <c r="I709" t="s">
        <v>199</v>
      </c>
      <c r="J709" t="s">
        <v>161</v>
      </c>
      <c r="K709">
        <v>0.32794619252675961</v>
      </c>
      <c r="L709" t="s">
        <v>153</v>
      </c>
      <c r="N709" t="s">
        <v>242</v>
      </c>
      <c r="O709" t="s">
        <v>161</v>
      </c>
      <c r="P709">
        <v>0.1154784468971667</v>
      </c>
      <c r="Q709" t="s">
        <v>153</v>
      </c>
    </row>
    <row r="710" spans="9:17" x14ac:dyDescent="0.45">
      <c r="I710" t="s">
        <v>199</v>
      </c>
      <c r="J710" t="s">
        <v>286</v>
      </c>
      <c r="K710">
        <v>2.8230707202113393E-2</v>
      </c>
      <c r="L710" t="s">
        <v>153</v>
      </c>
      <c r="N710" t="s">
        <v>242</v>
      </c>
      <c r="O710" t="s">
        <v>286</v>
      </c>
      <c r="P710">
        <v>1.580431743909921E-2</v>
      </c>
      <c r="Q710" t="s">
        <v>153</v>
      </c>
    </row>
    <row r="711" spans="9:17" x14ac:dyDescent="0.45">
      <c r="I711" t="s">
        <v>199</v>
      </c>
      <c r="J711" t="s">
        <v>287</v>
      </c>
      <c r="K711">
        <v>1.8074292112332465E-2</v>
      </c>
      <c r="L711" t="s">
        <v>153</v>
      </c>
      <c r="N711" t="s">
        <v>242</v>
      </c>
      <c r="O711" t="s">
        <v>287</v>
      </c>
      <c r="P711">
        <v>1.663526541451666E-2</v>
      </c>
      <c r="Q711" t="s">
        <v>153</v>
      </c>
    </row>
    <row r="712" spans="9:17" x14ac:dyDescent="0.45">
      <c r="I712" t="s">
        <v>199</v>
      </c>
      <c r="J712" t="s">
        <v>288</v>
      </c>
      <c r="K712">
        <v>2.7109962507902365E-3</v>
      </c>
      <c r="L712" t="s">
        <v>153</v>
      </c>
      <c r="N712" t="s">
        <v>242</v>
      </c>
      <c r="O712" t="s">
        <v>288</v>
      </c>
      <c r="P712">
        <v>9.702411070122155E-2</v>
      </c>
      <c r="Q712" t="s">
        <v>153</v>
      </c>
    </row>
    <row r="713" spans="9:17" x14ac:dyDescent="0.45">
      <c r="I713" t="s">
        <v>200</v>
      </c>
      <c r="J713" t="s">
        <v>152</v>
      </c>
      <c r="K713">
        <v>6.8871002931559643E-4</v>
      </c>
      <c r="L713" t="s">
        <v>153</v>
      </c>
      <c r="N713" t="s">
        <v>243</v>
      </c>
      <c r="O713" t="s">
        <v>152</v>
      </c>
      <c r="P713">
        <v>0.13740559360468213</v>
      </c>
      <c r="Q713" t="s">
        <v>153</v>
      </c>
    </row>
    <row r="714" spans="9:17" x14ac:dyDescent="0.45">
      <c r="I714" t="s">
        <v>200</v>
      </c>
      <c r="J714" t="s">
        <v>154</v>
      </c>
      <c r="K714">
        <v>1.727380968137204E-2</v>
      </c>
      <c r="L714" t="s">
        <v>153</v>
      </c>
      <c r="N714" t="s">
        <v>243</v>
      </c>
      <c r="O714" t="s">
        <v>154</v>
      </c>
      <c r="P714">
        <v>1.5023670341841327E-2</v>
      </c>
      <c r="Q714" t="s">
        <v>153</v>
      </c>
    </row>
    <row r="715" spans="9:17" x14ac:dyDescent="0.45">
      <c r="I715" t="s">
        <v>200</v>
      </c>
      <c r="J715" t="s">
        <v>155</v>
      </c>
      <c r="K715">
        <v>0.38541432527470815</v>
      </c>
      <c r="L715" t="s">
        <v>153</v>
      </c>
      <c r="N715" t="s">
        <v>243</v>
      </c>
      <c r="O715" t="s">
        <v>155</v>
      </c>
      <c r="P715">
        <v>0.14059991876387287</v>
      </c>
      <c r="Q715" t="s">
        <v>153</v>
      </c>
    </row>
    <row r="716" spans="9:17" x14ac:dyDescent="0.45">
      <c r="I716" t="s">
        <v>200</v>
      </c>
      <c r="J716" t="s">
        <v>280</v>
      </c>
      <c r="K716">
        <v>3.3223306493760867E-2</v>
      </c>
      <c r="L716" t="s">
        <v>153</v>
      </c>
      <c r="N716" t="s">
        <v>243</v>
      </c>
      <c r="O716" t="s">
        <v>280</v>
      </c>
      <c r="P716">
        <v>1.6885153473806105E-2</v>
      </c>
      <c r="Q716" t="s">
        <v>153</v>
      </c>
    </row>
    <row r="717" spans="9:17" x14ac:dyDescent="0.45">
      <c r="I717" t="s">
        <v>200</v>
      </c>
      <c r="J717" t="s">
        <v>281</v>
      </c>
      <c r="K717">
        <v>1.8661603560412698E-2</v>
      </c>
      <c r="L717" t="s">
        <v>153</v>
      </c>
      <c r="N717" t="s">
        <v>243</v>
      </c>
      <c r="O717" t="s">
        <v>281</v>
      </c>
      <c r="P717">
        <v>1.7792134639349221E-2</v>
      </c>
      <c r="Q717" t="s">
        <v>153</v>
      </c>
    </row>
    <row r="718" spans="9:17" x14ac:dyDescent="0.45">
      <c r="I718" t="s">
        <v>200</v>
      </c>
      <c r="J718" t="s">
        <v>282</v>
      </c>
      <c r="K718">
        <v>5.911249425776797E-3</v>
      </c>
      <c r="L718" t="s">
        <v>153</v>
      </c>
      <c r="N718" t="s">
        <v>243</v>
      </c>
      <c r="O718" t="s">
        <v>282</v>
      </c>
      <c r="P718">
        <v>0.11790061297573233</v>
      </c>
      <c r="Q718" t="s">
        <v>153</v>
      </c>
    </row>
    <row r="719" spans="9:17" x14ac:dyDescent="0.45">
      <c r="I719" t="s">
        <v>200</v>
      </c>
      <c r="J719" t="s">
        <v>156</v>
      </c>
      <c r="K719">
        <v>0</v>
      </c>
      <c r="L719" t="s">
        <v>153</v>
      </c>
      <c r="N719" t="s">
        <v>243</v>
      </c>
      <c r="O719" t="s">
        <v>156</v>
      </c>
      <c r="P719">
        <v>4.823209269903523E-2</v>
      </c>
      <c r="Q719" t="s">
        <v>153</v>
      </c>
    </row>
    <row r="720" spans="9:17" x14ac:dyDescent="0.45">
      <c r="I720" t="s">
        <v>200</v>
      </c>
      <c r="J720" t="s">
        <v>157</v>
      </c>
      <c r="K720">
        <v>1.7023873181879333E-5</v>
      </c>
      <c r="L720" t="s">
        <v>153</v>
      </c>
      <c r="N720" t="s">
        <v>243</v>
      </c>
      <c r="O720" t="s">
        <v>157</v>
      </c>
      <c r="P720">
        <v>6.0754900356543634E-3</v>
      </c>
      <c r="Q720" t="s">
        <v>153</v>
      </c>
    </row>
    <row r="721" spans="9:17" x14ac:dyDescent="0.45">
      <c r="I721" t="s">
        <v>200</v>
      </c>
      <c r="J721" t="s">
        <v>158</v>
      </c>
      <c r="K721">
        <v>0.12132244276029922</v>
      </c>
      <c r="L721" t="s">
        <v>153</v>
      </c>
      <c r="N721" t="s">
        <v>243</v>
      </c>
      <c r="O721" t="s">
        <v>158</v>
      </c>
      <c r="P721">
        <v>6.2038599936738034E-2</v>
      </c>
      <c r="Q721" t="s">
        <v>153</v>
      </c>
    </row>
    <row r="722" spans="9:17" x14ac:dyDescent="0.45">
      <c r="I722" t="s">
        <v>200</v>
      </c>
      <c r="J722" t="s">
        <v>283</v>
      </c>
      <c r="K722">
        <v>1.0495042364052262E-2</v>
      </c>
      <c r="L722" t="s">
        <v>153</v>
      </c>
      <c r="N722" t="s">
        <v>243</v>
      </c>
      <c r="O722" t="s">
        <v>283</v>
      </c>
      <c r="P722">
        <v>6.9953019432472813E-3</v>
      </c>
      <c r="Q722" t="s">
        <v>153</v>
      </c>
    </row>
    <row r="723" spans="9:17" x14ac:dyDescent="0.45">
      <c r="I723" t="s">
        <v>200</v>
      </c>
      <c r="J723" t="s">
        <v>284</v>
      </c>
      <c r="K723">
        <v>3.2025145188919477E-3</v>
      </c>
      <c r="L723" t="s">
        <v>153</v>
      </c>
      <c r="N723" t="s">
        <v>243</v>
      </c>
      <c r="O723" t="s">
        <v>284</v>
      </c>
      <c r="P723">
        <v>7.1832006262931769E-3</v>
      </c>
      <c r="Q723" t="s">
        <v>153</v>
      </c>
    </row>
    <row r="724" spans="9:17" x14ac:dyDescent="0.45">
      <c r="I724" t="s">
        <v>200</v>
      </c>
      <c r="J724" t="s">
        <v>285</v>
      </c>
      <c r="K724">
        <v>0</v>
      </c>
      <c r="L724" t="s">
        <v>153</v>
      </c>
      <c r="N724" t="s">
        <v>243</v>
      </c>
      <c r="O724" t="s">
        <v>285</v>
      </c>
      <c r="P724">
        <v>3.9500761274023952E-2</v>
      </c>
      <c r="Q724" t="s">
        <v>153</v>
      </c>
    </row>
    <row r="725" spans="9:17" x14ac:dyDescent="0.45">
      <c r="I725" t="s">
        <v>200</v>
      </c>
      <c r="J725" t="s">
        <v>159</v>
      </c>
      <c r="K725">
        <v>6.2226497310911844E-3</v>
      </c>
      <c r="L725" t="s">
        <v>153</v>
      </c>
      <c r="N725" t="s">
        <v>243</v>
      </c>
      <c r="O725" t="s">
        <v>159</v>
      </c>
      <c r="P725">
        <v>0.10377921892156999</v>
      </c>
      <c r="Q725" t="s">
        <v>153</v>
      </c>
    </row>
    <row r="726" spans="9:17" x14ac:dyDescent="0.45">
      <c r="I726" t="s">
        <v>200</v>
      </c>
      <c r="J726" t="s">
        <v>160</v>
      </c>
      <c r="K726">
        <v>2.1506304957553259E-2</v>
      </c>
      <c r="L726" t="s">
        <v>153</v>
      </c>
      <c r="N726" t="s">
        <v>243</v>
      </c>
      <c r="O726" t="s">
        <v>160</v>
      </c>
      <c r="P726">
        <v>1.0727936997893815E-2</v>
      </c>
      <c r="Q726" t="s">
        <v>153</v>
      </c>
    </row>
    <row r="727" spans="9:17" x14ac:dyDescent="0.45">
      <c r="I727" t="s">
        <v>200</v>
      </c>
      <c r="J727" t="s">
        <v>161</v>
      </c>
      <c r="K727">
        <v>0.3293719933905892</v>
      </c>
      <c r="L727" t="s">
        <v>153</v>
      </c>
      <c r="N727" t="s">
        <v>243</v>
      </c>
      <c r="O727" t="s">
        <v>161</v>
      </c>
      <c r="P727">
        <v>0.12897061009511374</v>
      </c>
      <c r="Q727" t="s">
        <v>153</v>
      </c>
    </row>
    <row r="728" spans="9:17" x14ac:dyDescent="0.45">
      <c r="I728" t="s">
        <v>200</v>
      </c>
      <c r="J728" t="s">
        <v>286</v>
      </c>
      <c r="K728">
        <v>2.6712863793660405E-2</v>
      </c>
      <c r="L728" t="s">
        <v>153</v>
      </c>
      <c r="N728" t="s">
        <v>243</v>
      </c>
      <c r="O728" t="s">
        <v>286</v>
      </c>
      <c r="P728">
        <v>1.7632431874941214E-2</v>
      </c>
      <c r="Q728" t="s">
        <v>153</v>
      </c>
    </row>
    <row r="729" spans="9:17" x14ac:dyDescent="0.45">
      <c r="I729" t="s">
        <v>200</v>
      </c>
      <c r="J729" t="s">
        <v>287</v>
      </c>
      <c r="K729">
        <v>1.7527853168973765E-2</v>
      </c>
      <c r="L729" t="s">
        <v>153</v>
      </c>
      <c r="N729" t="s">
        <v>243</v>
      </c>
      <c r="O729" t="s">
        <v>287</v>
      </c>
      <c r="P729">
        <v>1.7763158209844029E-2</v>
      </c>
      <c r="Q729" t="s">
        <v>153</v>
      </c>
    </row>
    <row r="730" spans="9:17" x14ac:dyDescent="0.45">
      <c r="I730" t="s">
        <v>200</v>
      </c>
      <c r="J730" t="s">
        <v>288</v>
      </c>
      <c r="K730">
        <v>2.4483069763614018E-3</v>
      </c>
      <c r="L730" t="s">
        <v>153</v>
      </c>
      <c r="N730" t="s">
        <v>243</v>
      </c>
      <c r="O730" t="s">
        <v>288</v>
      </c>
      <c r="P730">
        <v>0.10549411358636208</v>
      </c>
      <c r="Q730" t="s">
        <v>153</v>
      </c>
    </row>
    <row r="731" spans="9:17" x14ac:dyDescent="0.45">
      <c r="I731" t="s">
        <v>201</v>
      </c>
      <c r="J731" t="s">
        <v>152</v>
      </c>
      <c r="K731">
        <v>8.2135283114381525E-4</v>
      </c>
      <c r="L731" t="s">
        <v>153</v>
      </c>
      <c r="N731" t="s">
        <v>244</v>
      </c>
      <c r="O731" t="s">
        <v>152</v>
      </c>
      <c r="P731">
        <v>0.16783042718946453</v>
      </c>
      <c r="Q731" t="s">
        <v>153</v>
      </c>
    </row>
    <row r="732" spans="9:17" x14ac:dyDescent="0.45">
      <c r="I732" t="s">
        <v>201</v>
      </c>
      <c r="J732" t="s">
        <v>154</v>
      </c>
      <c r="K732">
        <v>1.504260385952E-2</v>
      </c>
      <c r="L732" t="s">
        <v>153</v>
      </c>
      <c r="N732" t="s">
        <v>244</v>
      </c>
      <c r="O732" t="s">
        <v>154</v>
      </c>
      <c r="P732">
        <v>1.9053108322874771E-2</v>
      </c>
      <c r="Q732" t="s">
        <v>153</v>
      </c>
    </row>
    <row r="733" spans="9:17" x14ac:dyDescent="0.45">
      <c r="I733" t="s">
        <v>201</v>
      </c>
      <c r="J733" t="s">
        <v>155</v>
      </c>
      <c r="K733">
        <v>0.36813482850240548</v>
      </c>
      <c r="L733" t="s">
        <v>153</v>
      </c>
      <c r="N733" t="s">
        <v>244</v>
      </c>
      <c r="O733" t="s">
        <v>155</v>
      </c>
      <c r="P733">
        <v>0.1289028275795232</v>
      </c>
      <c r="Q733" t="s">
        <v>153</v>
      </c>
    </row>
    <row r="734" spans="9:17" x14ac:dyDescent="0.45">
      <c r="I734" t="s">
        <v>201</v>
      </c>
      <c r="J734" t="s">
        <v>280</v>
      </c>
      <c r="K734">
        <v>3.3934688580777313E-2</v>
      </c>
      <c r="L734" t="s">
        <v>153</v>
      </c>
      <c r="N734" t="s">
        <v>244</v>
      </c>
      <c r="O734" t="s">
        <v>280</v>
      </c>
      <c r="P734">
        <v>1.4728831178537028E-2</v>
      </c>
      <c r="Q734" t="s">
        <v>153</v>
      </c>
    </row>
    <row r="735" spans="9:17" x14ac:dyDescent="0.45">
      <c r="I735" t="s">
        <v>201</v>
      </c>
      <c r="J735" t="s">
        <v>281</v>
      </c>
      <c r="K735">
        <v>2.1227947896320699E-2</v>
      </c>
      <c r="L735" t="s">
        <v>153</v>
      </c>
      <c r="N735" t="s">
        <v>244</v>
      </c>
      <c r="O735" t="s">
        <v>281</v>
      </c>
      <c r="P735">
        <v>1.6523500127381921E-2</v>
      </c>
      <c r="Q735" t="s">
        <v>153</v>
      </c>
    </row>
    <row r="736" spans="9:17" x14ac:dyDescent="0.45">
      <c r="I736" t="s">
        <v>201</v>
      </c>
      <c r="J736" t="s">
        <v>282</v>
      </c>
      <c r="K736">
        <v>9.023373567263104E-3</v>
      </c>
      <c r="L736" t="s">
        <v>153</v>
      </c>
      <c r="N736" t="s">
        <v>244</v>
      </c>
      <c r="O736" t="s">
        <v>282</v>
      </c>
      <c r="P736">
        <v>0.1210100471438819</v>
      </c>
      <c r="Q736" t="s">
        <v>153</v>
      </c>
    </row>
    <row r="737" spans="9:17" x14ac:dyDescent="0.45">
      <c r="I737" t="s">
        <v>201</v>
      </c>
      <c r="J737" t="s">
        <v>156</v>
      </c>
      <c r="K737">
        <v>0</v>
      </c>
      <c r="L737" t="s">
        <v>153</v>
      </c>
      <c r="N737" t="s">
        <v>244</v>
      </c>
      <c r="O737" t="s">
        <v>156</v>
      </c>
      <c r="P737">
        <v>5.4364211285334779E-2</v>
      </c>
      <c r="Q737" t="s">
        <v>153</v>
      </c>
    </row>
    <row r="738" spans="9:17" x14ac:dyDescent="0.45">
      <c r="I738" t="s">
        <v>201</v>
      </c>
      <c r="J738" t="s">
        <v>157</v>
      </c>
      <c r="K738">
        <v>0</v>
      </c>
      <c r="L738" t="s">
        <v>153</v>
      </c>
      <c r="N738" t="s">
        <v>244</v>
      </c>
      <c r="O738" t="s">
        <v>157</v>
      </c>
      <c r="P738">
        <v>7.6437731551542275E-3</v>
      </c>
      <c r="Q738" t="s">
        <v>153</v>
      </c>
    </row>
    <row r="739" spans="9:17" x14ac:dyDescent="0.45">
      <c r="I739" t="s">
        <v>201</v>
      </c>
      <c r="J739" t="s">
        <v>158</v>
      </c>
      <c r="K739">
        <v>0.1097220642957584</v>
      </c>
      <c r="L739" t="s">
        <v>153</v>
      </c>
      <c r="N739" t="s">
        <v>244</v>
      </c>
      <c r="O739" t="s">
        <v>158</v>
      </c>
      <c r="P739">
        <v>5.8416880310823094E-2</v>
      </c>
      <c r="Q739" t="s">
        <v>153</v>
      </c>
    </row>
    <row r="740" spans="9:17" x14ac:dyDescent="0.45">
      <c r="I740" t="s">
        <v>201</v>
      </c>
      <c r="J740" t="s">
        <v>283</v>
      </c>
      <c r="K740">
        <v>1.0504806855689584E-2</v>
      </c>
      <c r="L740" t="s">
        <v>153</v>
      </c>
      <c r="N740" t="s">
        <v>244</v>
      </c>
      <c r="O740" t="s">
        <v>283</v>
      </c>
      <c r="P740">
        <v>6.0921981673441438E-3</v>
      </c>
      <c r="Q740" t="s">
        <v>153</v>
      </c>
    </row>
    <row r="741" spans="9:17" x14ac:dyDescent="0.45">
      <c r="I741" t="s">
        <v>201</v>
      </c>
      <c r="J741" t="s">
        <v>284</v>
      </c>
      <c r="K741">
        <v>3.9206637708992798E-3</v>
      </c>
      <c r="L741" t="s">
        <v>153</v>
      </c>
      <c r="N741" t="s">
        <v>244</v>
      </c>
      <c r="O741" t="s">
        <v>284</v>
      </c>
      <c r="P741">
        <v>6.6174990054233464E-3</v>
      </c>
      <c r="Q741" t="s">
        <v>153</v>
      </c>
    </row>
    <row r="742" spans="9:17" x14ac:dyDescent="0.45">
      <c r="I742" t="s">
        <v>201</v>
      </c>
      <c r="J742" t="s">
        <v>285</v>
      </c>
      <c r="K742">
        <v>0</v>
      </c>
      <c r="L742" t="s">
        <v>153</v>
      </c>
      <c r="N742" t="s">
        <v>244</v>
      </c>
      <c r="O742" t="s">
        <v>285</v>
      </c>
      <c r="P742">
        <v>3.958534849711691E-2</v>
      </c>
      <c r="Q742" t="s">
        <v>153</v>
      </c>
    </row>
    <row r="743" spans="9:17" x14ac:dyDescent="0.45">
      <c r="I743" t="s">
        <v>201</v>
      </c>
      <c r="J743" t="s">
        <v>159</v>
      </c>
      <c r="K743">
        <v>7.2449066384092124E-3</v>
      </c>
      <c r="L743" t="s">
        <v>153</v>
      </c>
      <c r="N743" t="s">
        <v>244</v>
      </c>
      <c r="O743" t="s">
        <v>159</v>
      </c>
      <c r="P743">
        <v>0.1250565892449878</v>
      </c>
      <c r="Q743" t="s">
        <v>153</v>
      </c>
    </row>
    <row r="744" spans="9:17" x14ac:dyDescent="0.45">
      <c r="I744" t="s">
        <v>201</v>
      </c>
      <c r="J744" t="s">
        <v>160</v>
      </c>
      <c r="K744">
        <v>2.141706496211792E-2</v>
      </c>
      <c r="L744" t="s">
        <v>153</v>
      </c>
      <c r="N744" t="s">
        <v>244</v>
      </c>
      <c r="O744" t="s">
        <v>160</v>
      </c>
      <c r="P744">
        <v>1.194189198794293E-2</v>
      </c>
      <c r="Q744" t="s">
        <v>153</v>
      </c>
    </row>
    <row r="745" spans="9:17" x14ac:dyDescent="0.45">
      <c r="I745" t="s">
        <v>201</v>
      </c>
      <c r="J745" t="s">
        <v>161</v>
      </c>
      <c r="K745">
        <v>0.3396549713995114</v>
      </c>
      <c r="L745" t="s">
        <v>153</v>
      </c>
      <c r="N745" t="s">
        <v>244</v>
      </c>
      <c r="O745" t="s">
        <v>161</v>
      </c>
      <c r="P745">
        <v>9.3957677885985566E-2</v>
      </c>
      <c r="Q745" t="s">
        <v>153</v>
      </c>
    </row>
    <row r="746" spans="9:17" x14ac:dyDescent="0.45">
      <c r="I746" t="s">
        <v>201</v>
      </c>
      <c r="J746" t="s">
        <v>286</v>
      </c>
      <c r="K746">
        <v>3.0765055720545255E-2</v>
      </c>
      <c r="L746" t="s">
        <v>153</v>
      </c>
      <c r="N746" t="s">
        <v>244</v>
      </c>
      <c r="O746" t="s">
        <v>286</v>
      </c>
      <c r="P746">
        <v>1.3501876483699557E-2</v>
      </c>
      <c r="Q746" t="s">
        <v>153</v>
      </c>
    </row>
    <row r="747" spans="9:17" x14ac:dyDescent="0.45">
      <c r="I747" t="s">
        <v>201</v>
      </c>
      <c r="J747" t="s">
        <v>287</v>
      </c>
      <c r="K747">
        <v>2.255337480435237E-2</v>
      </c>
      <c r="L747" t="s">
        <v>153</v>
      </c>
      <c r="N747" t="s">
        <v>244</v>
      </c>
      <c r="O747" t="s">
        <v>287</v>
      </c>
      <c r="P747">
        <v>1.4460945496960295E-2</v>
      </c>
      <c r="Q747" t="s">
        <v>153</v>
      </c>
    </row>
    <row r="748" spans="9:17" x14ac:dyDescent="0.45">
      <c r="I748" t="s">
        <v>201</v>
      </c>
      <c r="J748" t="s">
        <v>288</v>
      </c>
      <c r="K748">
        <v>6.0322963152856989E-3</v>
      </c>
      <c r="L748" t="s">
        <v>153</v>
      </c>
      <c r="N748" t="s">
        <v>244</v>
      </c>
      <c r="O748" t="s">
        <v>288</v>
      </c>
      <c r="P748">
        <v>0.10031236693756208</v>
      </c>
      <c r="Q748" t="s">
        <v>153</v>
      </c>
    </row>
    <row r="749" spans="9:17" x14ac:dyDescent="0.45">
      <c r="I749" t="s">
        <v>202</v>
      </c>
      <c r="J749" t="s">
        <v>152</v>
      </c>
      <c r="K749">
        <v>1.9779311763277124E-4</v>
      </c>
      <c r="L749" t="s">
        <v>153</v>
      </c>
      <c r="N749" t="s">
        <v>245</v>
      </c>
      <c r="O749" t="s">
        <v>152</v>
      </c>
      <c r="P749">
        <v>0.18276651878066952</v>
      </c>
      <c r="Q749" t="s">
        <v>153</v>
      </c>
    </row>
    <row r="750" spans="9:17" x14ac:dyDescent="0.45">
      <c r="I750" t="s">
        <v>202</v>
      </c>
      <c r="J750" t="s">
        <v>154</v>
      </c>
      <c r="K750">
        <v>1.4563584595975341E-2</v>
      </c>
      <c r="L750" t="s">
        <v>153</v>
      </c>
      <c r="N750" t="s">
        <v>245</v>
      </c>
      <c r="O750" t="s">
        <v>154</v>
      </c>
      <c r="P750">
        <v>2.0209742242961262E-2</v>
      </c>
      <c r="Q750" t="s">
        <v>153</v>
      </c>
    </row>
    <row r="751" spans="9:17" x14ac:dyDescent="0.45">
      <c r="I751" t="s">
        <v>202</v>
      </c>
      <c r="J751" t="s">
        <v>155</v>
      </c>
      <c r="K751">
        <v>0.37537926773225128</v>
      </c>
      <c r="L751" t="s">
        <v>153</v>
      </c>
      <c r="N751" t="s">
        <v>245</v>
      </c>
      <c r="O751" t="s">
        <v>155</v>
      </c>
      <c r="P751">
        <v>0.10922308419932412</v>
      </c>
      <c r="Q751" t="s">
        <v>153</v>
      </c>
    </row>
    <row r="752" spans="9:17" x14ac:dyDescent="0.45">
      <c r="I752" t="s">
        <v>202</v>
      </c>
      <c r="J752" t="s">
        <v>280</v>
      </c>
      <c r="K752">
        <v>3.4278279977224255E-2</v>
      </c>
      <c r="L752" t="s">
        <v>153</v>
      </c>
      <c r="N752" t="s">
        <v>245</v>
      </c>
      <c r="O752" t="s">
        <v>280</v>
      </c>
      <c r="P752">
        <v>9.2713476926135907E-3</v>
      </c>
      <c r="Q752" t="s">
        <v>153</v>
      </c>
    </row>
    <row r="753" spans="9:17" x14ac:dyDescent="0.45">
      <c r="I753" t="s">
        <v>202</v>
      </c>
      <c r="J753" t="s">
        <v>281</v>
      </c>
      <c r="K753">
        <v>2.122777551358257E-2</v>
      </c>
      <c r="L753" t="s">
        <v>153</v>
      </c>
      <c r="N753" t="s">
        <v>245</v>
      </c>
      <c r="O753" t="s">
        <v>281</v>
      </c>
      <c r="P753">
        <v>1.1920564410267374E-2</v>
      </c>
      <c r="Q753" t="s">
        <v>153</v>
      </c>
    </row>
    <row r="754" spans="9:17" x14ac:dyDescent="0.45">
      <c r="I754" t="s">
        <v>202</v>
      </c>
      <c r="J754" t="s">
        <v>282</v>
      </c>
      <c r="K754">
        <v>7.798468826556053E-3</v>
      </c>
      <c r="L754" t="s">
        <v>153</v>
      </c>
      <c r="N754" t="s">
        <v>245</v>
      </c>
      <c r="O754" t="s">
        <v>282</v>
      </c>
      <c r="P754">
        <v>0.11681537140007925</v>
      </c>
      <c r="Q754" t="s">
        <v>153</v>
      </c>
    </row>
    <row r="755" spans="9:17" x14ac:dyDescent="0.45">
      <c r="I755" t="s">
        <v>202</v>
      </c>
      <c r="J755" t="s">
        <v>156</v>
      </c>
      <c r="K755">
        <v>0</v>
      </c>
      <c r="L755" t="s">
        <v>153</v>
      </c>
      <c r="N755" t="s">
        <v>245</v>
      </c>
      <c r="O755" t="s">
        <v>156</v>
      </c>
      <c r="P755">
        <v>6.7347055926039956E-2</v>
      </c>
      <c r="Q755" t="s">
        <v>153</v>
      </c>
    </row>
    <row r="756" spans="9:17" x14ac:dyDescent="0.45">
      <c r="I756" t="s">
        <v>202</v>
      </c>
      <c r="J756" t="s">
        <v>157</v>
      </c>
      <c r="K756">
        <v>0</v>
      </c>
      <c r="L756" t="s">
        <v>153</v>
      </c>
      <c r="N756" t="s">
        <v>245</v>
      </c>
      <c r="O756" t="s">
        <v>157</v>
      </c>
      <c r="P756">
        <v>8.883782441191989E-3</v>
      </c>
      <c r="Q756" t="s">
        <v>153</v>
      </c>
    </row>
    <row r="757" spans="9:17" x14ac:dyDescent="0.45">
      <c r="I757" t="s">
        <v>202</v>
      </c>
      <c r="J757" t="s">
        <v>158</v>
      </c>
      <c r="K757">
        <v>0.11746355473617202</v>
      </c>
      <c r="L757" t="s">
        <v>153</v>
      </c>
      <c r="N757" t="s">
        <v>245</v>
      </c>
      <c r="O757" t="s">
        <v>158</v>
      </c>
      <c r="P757">
        <v>4.8843475636054873E-2</v>
      </c>
      <c r="Q757" t="s">
        <v>153</v>
      </c>
    </row>
    <row r="758" spans="9:17" x14ac:dyDescent="0.45">
      <c r="I758" t="s">
        <v>202</v>
      </c>
      <c r="J758" t="s">
        <v>283</v>
      </c>
      <c r="K758">
        <v>1.1040386512709808E-2</v>
      </c>
      <c r="L758" t="s">
        <v>153</v>
      </c>
      <c r="N758" t="s">
        <v>245</v>
      </c>
      <c r="O758" t="s">
        <v>283</v>
      </c>
      <c r="P758">
        <v>4.2422585100515692E-3</v>
      </c>
      <c r="Q758" t="s">
        <v>153</v>
      </c>
    </row>
    <row r="759" spans="9:17" x14ac:dyDescent="0.45">
      <c r="I759" t="s">
        <v>202</v>
      </c>
      <c r="J759" t="s">
        <v>284</v>
      </c>
      <c r="K759">
        <v>4.5205546783263816E-3</v>
      </c>
      <c r="L759" t="s">
        <v>153</v>
      </c>
      <c r="N759" t="s">
        <v>245</v>
      </c>
      <c r="O759" t="s">
        <v>284</v>
      </c>
      <c r="P759">
        <v>5.6205349087396078E-3</v>
      </c>
      <c r="Q759" t="s">
        <v>153</v>
      </c>
    </row>
    <row r="760" spans="9:17" x14ac:dyDescent="0.45">
      <c r="I760" t="s">
        <v>202</v>
      </c>
      <c r="J760" t="s">
        <v>285</v>
      </c>
      <c r="K760">
        <v>0</v>
      </c>
      <c r="L760" t="s">
        <v>153</v>
      </c>
      <c r="N760" t="s">
        <v>245</v>
      </c>
      <c r="O760" t="s">
        <v>285</v>
      </c>
      <c r="P760">
        <v>4.6142322029086871E-2</v>
      </c>
      <c r="Q760" t="s">
        <v>153</v>
      </c>
    </row>
    <row r="761" spans="9:17" x14ac:dyDescent="0.45">
      <c r="I761" t="s">
        <v>202</v>
      </c>
      <c r="J761" t="s">
        <v>159</v>
      </c>
      <c r="K761">
        <v>5.4692502948818682E-3</v>
      </c>
      <c r="L761" t="s">
        <v>153</v>
      </c>
      <c r="N761" t="s">
        <v>245</v>
      </c>
      <c r="O761" t="s">
        <v>159</v>
      </c>
      <c r="P761">
        <v>0.1456178280139164</v>
      </c>
      <c r="Q761" t="s">
        <v>153</v>
      </c>
    </row>
    <row r="762" spans="9:17" x14ac:dyDescent="0.45">
      <c r="I762" t="s">
        <v>202</v>
      </c>
      <c r="J762" t="s">
        <v>160</v>
      </c>
      <c r="K762">
        <v>1.9956193217465539E-2</v>
      </c>
      <c r="L762" t="s">
        <v>153</v>
      </c>
      <c r="N762" t="s">
        <v>245</v>
      </c>
      <c r="O762" t="s">
        <v>160</v>
      </c>
      <c r="P762">
        <v>1.2328917574505318E-2</v>
      </c>
      <c r="Q762" t="s">
        <v>153</v>
      </c>
    </row>
    <row r="763" spans="9:17" x14ac:dyDescent="0.45">
      <c r="I763" t="s">
        <v>202</v>
      </c>
      <c r="J763" t="s">
        <v>161</v>
      </c>
      <c r="K763">
        <v>0.33499227039419549</v>
      </c>
      <c r="L763" t="s">
        <v>153</v>
      </c>
      <c r="N763" t="s">
        <v>245</v>
      </c>
      <c r="O763" t="s">
        <v>161</v>
      </c>
      <c r="P763">
        <v>8.2691931183741754E-2</v>
      </c>
      <c r="Q763" t="s">
        <v>153</v>
      </c>
    </row>
    <row r="764" spans="9:17" x14ac:dyDescent="0.45">
      <c r="I764" t="s">
        <v>202</v>
      </c>
      <c r="J764" t="s">
        <v>286</v>
      </c>
      <c r="K764">
        <v>2.8913419425658584E-2</v>
      </c>
      <c r="L764" t="s">
        <v>153</v>
      </c>
      <c r="N764" t="s">
        <v>245</v>
      </c>
      <c r="O764" t="s">
        <v>286</v>
      </c>
      <c r="P764">
        <v>1.0237259949235187E-2</v>
      </c>
      <c r="Q764" t="s">
        <v>153</v>
      </c>
    </row>
    <row r="765" spans="9:17" x14ac:dyDescent="0.45">
      <c r="I765" t="s">
        <v>202</v>
      </c>
      <c r="J765" t="s">
        <v>287</v>
      </c>
      <c r="K765">
        <v>2.0229730252060638E-2</v>
      </c>
      <c r="L765" t="s">
        <v>153</v>
      </c>
      <c r="N765" t="s">
        <v>245</v>
      </c>
      <c r="O765" t="s">
        <v>287</v>
      </c>
      <c r="P765">
        <v>1.1730341892770431E-2</v>
      </c>
      <c r="Q765" t="s">
        <v>153</v>
      </c>
    </row>
    <row r="766" spans="9:17" x14ac:dyDescent="0.45">
      <c r="I766" t="s">
        <v>202</v>
      </c>
      <c r="J766" t="s">
        <v>288</v>
      </c>
      <c r="K766">
        <v>3.9694707253079891E-3</v>
      </c>
      <c r="L766" t="s">
        <v>153</v>
      </c>
      <c r="N766" t="s">
        <v>245</v>
      </c>
      <c r="O766" t="s">
        <v>288</v>
      </c>
      <c r="P766">
        <v>0.10610766320875276</v>
      </c>
      <c r="Q766" t="s">
        <v>153</v>
      </c>
    </row>
    <row r="767" spans="9:17" x14ac:dyDescent="0.45">
      <c r="I767" t="s">
        <v>203</v>
      </c>
      <c r="J767" t="s">
        <v>152</v>
      </c>
      <c r="K767">
        <v>9.6179490234716951E-4</v>
      </c>
      <c r="L767" t="s">
        <v>153</v>
      </c>
    </row>
    <row r="768" spans="9:17" x14ac:dyDescent="0.45">
      <c r="I768" t="s">
        <v>203</v>
      </c>
      <c r="J768" t="s">
        <v>154</v>
      </c>
      <c r="K768">
        <v>1.3905352702180141E-2</v>
      </c>
      <c r="L768" t="s">
        <v>153</v>
      </c>
    </row>
    <row r="769" spans="9:12" x14ac:dyDescent="0.45">
      <c r="I769" t="s">
        <v>203</v>
      </c>
      <c r="J769" t="s">
        <v>155</v>
      </c>
      <c r="K769">
        <v>0.37864942736095092</v>
      </c>
      <c r="L769" t="s">
        <v>153</v>
      </c>
    </row>
    <row r="770" spans="9:12" x14ac:dyDescent="0.45">
      <c r="I770" t="s">
        <v>203</v>
      </c>
      <c r="J770" t="s">
        <v>280</v>
      </c>
      <c r="K770">
        <v>3.3881281442656327E-2</v>
      </c>
      <c r="L770" t="s">
        <v>153</v>
      </c>
    </row>
    <row r="771" spans="9:12" x14ac:dyDescent="0.45">
      <c r="I771" t="s">
        <v>203</v>
      </c>
      <c r="J771" t="s">
        <v>281</v>
      </c>
      <c r="K771">
        <v>1.8624682453770018E-2</v>
      </c>
      <c r="L771" t="s">
        <v>153</v>
      </c>
    </row>
    <row r="772" spans="9:12" x14ac:dyDescent="0.45">
      <c r="I772" t="s">
        <v>203</v>
      </c>
      <c r="J772" t="s">
        <v>282</v>
      </c>
      <c r="K772">
        <v>6.8236323154522976E-3</v>
      </c>
      <c r="L772" t="s">
        <v>153</v>
      </c>
    </row>
    <row r="773" spans="9:12" x14ac:dyDescent="0.45">
      <c r="I773" t="s">
        <v>203</v>
      </c>
      <c r="J773" t="s">
        <v>156</v>
      </c>
      <c r="K773">
        <v>0</v>
      </c>
      <c r="L773" t="s">
        <v>153</v>
      </c>
    </row>
    <row r="774" spans="9:12" x14ac:dyDescent="0.45">
      <c r="I774" t="s">
        <v>203</v>
      </c>
      <c r="J774" t="s">
        <v>157</v>
      </c>
      <c r="K774">
        <v>0</v>
      </c>
      <c r="L774" t="s">
        <v>153</v>
      </c>
    </row>
    <row r="775" spans="9:12" x14ac:dyDescent="0.45">
      <c r="I775" t="s">
        <v>203</v>
      </c>
      <c r="J775" t="s">
        <v>158</v>
      </c>
      <c r="K775">
        <v>0.11997018477851853</v>
      </c>
      <c r="L775" t="s">
        <v>153</v>
      </c>
    </row>
    <row r="776" spans="9:12" x14ac:dyDescent="0.45">
      <c r="I776" t="s">
        <v>203</v>
      </c>
      <c r="J776" t="s">
        <v>283</v>
      </c>
      <c r="K776">
        <v>1.1312531729321075E-2</v>
      </c>
      <c r="L776" t="s">
        <v>153</v>
      </c>
    </row>
    <row r="777" spans="9:12" x14ac:dyDescent="0.45">
      <c r="I777" t="s">
        <v>203</v>
      </c>
      <c r="J777" t="s">
        <v>284</v>
      </c>
      <c r="K777">
        <v>2.805960722916564E-3</v>
      </c>
      <c r="L777" t="s">
        <v>153</v>
      </c>
    </row>
    <row r="778" spans="9:12" x14ac:dyDescent="0.45">
      <c r="I778" t="s">
        <v>203</v>
      </c>
      <c r="J778" t="s">
        <v>285</v>
      </c>
      <c r="K778">
        <v>0</v>
      </c>
      <c r="L778" t="s">
        <v>153</v>
      </c>
    </row>
    <row r="779" spans="9:12" x14ac:dyDescent="0.45">
      <c r="I779" t="s">
        <v>203</v>
      </c>
      <c r="J779" t="s">
        <v>159</v>
      </c>
      <c r="K779">
        <v>5.1458659082343448E-3</v>
      </c>
      <c r="L779" t="s">
        <v>153</v>
      </c>
    </row>
    <row r="780" spans="9:12" x14ac:dyDescent="0.45">
      <c r="I780" t="s">
        <v>203</v>
      </c>
      <c r="J780" t="s">
        <v>160</v>
      </c>
      <c r="K780">
        <v>1.8758325917270485E-2</v>
      </c>
      <c r="L780" t="s">
        <v>153</v>
      </c>
    </row>
    <row r="781" spans="9:12" x14ac:dyDescent="0.45">
      <c r="I781" t="s">
        <v>203</v>
      </c>
      <c r="J781" t="s">
        <v>161</v>
      </c>
      <c r="K781">
        <v>0.33776458538959614</v>
      </c>
      <c r="L781" t="s">
        <v>153</v>
      </c>
    </row>
    <row r="782" spans="9:12" x14ac:dyDescent="0.45">
      <c r="I782" t="s">
        <v>203</v>
      </c>
      <c r="J782" t="s">
        <v>286</v>
      </c>
      <c r="K782">
        <v>2.8789452375501626E-2</v>
      </c>
      <c r="L782" t="s">
        <v>153</v>
      </c>
    </row>
    <row r="783" spans="9:12" x14ac:dyDescent="0.45">
      <c r="I783" t="s">
        <v>203</v>
      </c>
      <c r="J783" t="s">
        <v>287</v>
      </c>
      <c r="K783">
        <v>1.9409130595670301E-2</v>
      </c>
      <c r="L783" t="s">
        <v>153</v>
      </c>
    </row>
    <row r="784" spans="9:12" x14ac:dyDescent="0.45">
      <c r="I784" t="s">
        <v>203</v>
      </c>
      <c r="J784" t="s">
        <v>288</v>
      </c>
      <c r="K784">
        <v>3.1977914056148596E-3</v>
      </c>
      <c r="L784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6B092-FD2A-4A06-972F-73CB1A8B39BC}">
  <dimension ref="A9:AN1042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293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266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272</v>
      </c>
      <c r="AK10" t="s">
        <v>47</v>
      </c>
      <c r="AL10" t="s">
        <v>115</v>
      </c>
      <c r="AM10" t="s">
        <v>273</v>
      </c>
      <c r="AN10" t="s">
        <v>274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291</v>
      </c>
      <c r="G11" t="s">
        <v>143</v>
      </c>
      <c r="I11" t="s">
        <v>151</v>
      </c>
      <c r="J11" t="s">
        <v>152</v>
      </c>
      <c r="K11">
        <v>1.1541312584932259E-2</v>
      </c>
      <c r="L11" t="s">
        <v>153</v>
      </c>
      <c r="N11" t="s">
        <v>204</v>
      </c>
      <c r="O11" t="s">
        <v>152</v>
      </c>
      <c r="P11">
        <v>9.4917082829870214E-2</v>
      </c>
      <c r="Q11" t="s">
        <v>153</v>
      </c>
      <c r="S11" t="s">
        <v>246</v>
      </c>
      <c r="T11" t="s">
        <v>152</v>
      </c>
      <c r="U11">
        <v>0.14189169097646159</v>
      </c>
      <c r="V11" t="s">
        <v>153</v>
      </c>
      <c r="X11">
        <v>0.13504566210045663</v>
      </c>
      <c r="Y11">
        <v>5.3332007392122266E-2</v>
      </c>
      <c r="Z11" t="s">
        <v>152</v>
      </c>
      <c r="AA11" t="s">
        <v>25</v>
      </c>
      <c r="AC11" t="s">
        <v>22</v>
      </c>
      <c r="AD11" t="s">
        <v>152</v>
      </c>
      <c r="AE11">
        <v>9.6063648791185188E-2</v>
      </c>
      <c r="AG11" t="s">
        <v>96</v>
      </c>
      <c r="AH11" t="s">
        <v>152</v>
      </c>
      <c r="AI11">
        <v>0.1678492137077876</v>
      </c>
      <c r="AK11">
        <v>2020</v>
      </c>
      <c r="AL11" t="s">
        <v>142</v>
      </c>
      <c r="AM11">
        <v>0.12520000000000001</v>
      </c>
      <c r="AN11" t="s">
        <v>275</v>
      </c>
    </row>
    <row r="12" spans="1:40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3.284791507246769E-2</v>
      </c>
      <c r="L12" t="s">
        <v>153</v>
      </c>
      <c r="N12" t="s">
        <v>204</v>
      </c>
      <c r="O12" t="s">
        <v>154</v>
      </c>
      <c r="P12">
        <v>1.5250939341702435E-2</v>
      </c>
      <c r="Q12" t="s">
        <v>153</v>
      </c>
      <c r="S12" t="s">
        <v>246</v>
      </c>
      <c r="T12" t="s">
        <v>154</v>
      </c>
      <c r="U12">
        <v>1.8251976636014904E-2</v>
      </c>
      <c r="V12" t="s">
        <v>153</v>
      </c>
      <c r="X12">
        <v>1.9292237442922376E-2</v>
      </c>
      <c r="Y12">
        <v>3.2212084296712497E-2</v>
      </c>
      <c r="Z12" t="s">
        <v>154</v>
      </c>
      <c r="AA12" t="s">
        <v>25</v>
      </c>
      <c r="AC12" t="s">
        <v>22</v>
      </c>
      <c r="AD12" t="s">
        <v>154</v>
      </c>
      <c r="AE12">
        <v>1.6427935967393927E-2</v>
      </c>
      <c r="AG12" t="s">
        <v>96</v>
      </c>
      <c r="AH12" t="s">
        <v>154</v>
      </c>
      <c r="AI12">
        <v>0.15589029355316919</v>
      </c>
      <c r="AK12">
        <v>2020</v>
      </c>
      <c r="AL12" t="s">
        <v>146</v>
      </c>
      <c r="AM12">
        <v>7.8466666666666671E-2</v>
      </c>
      <c r="AN12" t="s">
        <v>275</v>
      </c>
    </row>
    <row r="13" spans="1:40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0.37681219207977185</v>
      </c>
      <c r="L13" t="s">
        <v>153</v>
      </c>
      <c r="N13" t="s">
        <v>204</v>
      </c>
      <c r="O13" t="s">
        <v>155</v>
      </c>
      <c r="P13">
        <v>0.18902347902539579</v>
      </c>
      <c r="Q13" t="s">
        <v>153</v>
      </c>
      <c r="S13" t="s">
        <v>246</v>
      </c>
      <c r="T13" t="s">
        <v>155</v>
      </c>
      <c r="U13">
        <v>0.15920147310901167</v>
      </c>
      <c r="V13" t="s">
        <v>153</v>
      </c>
      <c r="X13">
        <v>0.17363013698630136</v>
      </c>
      <c r="Y13">
        <v>0.23797727668249516</v>
      </c>
      <c r="Z13" t="s">
        <v>155</v>
      </c>
      <c r="AA13" t="s">
        <v>25</v>
      </c>
      <c r="AC13" t="s">
        <v>22</v>
      </c>
      <c r="AD13" t="s">
        <v>155</v>
      </c>
      <c r="AE13">
        <v>0.19488805325392861</v>
      </c>
      <c r="AG13" t="s">
        <v>96</v>
      </c>
      <c r="AH13" t="s">
        <v>155</v>
      </c>
      <c r="AI13">
        <v>0.17254290499093394</v>
      </c>
      <c r="AK13">
        <v>2020</v>
      </c>
      <c r="AL13" t="s">
        <v>148</v>
      </c>
      <c r="AM13">
        <v>0.10894000000000001</v>
      </c>
      <c r="AN13" t="s">
        <v>275</v>
      </c>
    </row>
    <row r="14" spans="1:40" x14ac:dyDescent="0.45">
      <c r="C14" t="s">
        <v>292</v>
      </c>
      <c r="E14" t="s">
        <v>276</v>
      </c>
      <c r="G14" t="s">
        <v>143</v>
      </c>
      <c r="I14" t="s">
        <v>151</v>
      </c>
      <c r="J14" t="s">
        <v>280</v>
      </c>
      <c r="K14">
        <v>2.6871008542551311E-2</v>
      </c>
      <c r="L14" t="s">
        <v>153</v>
      </c>
      <c r="N14" t="s">
        <v>204</v>
      </c>
      <c r="O14" t="s">
        <v>280</v>
      </c>
      <c r="P14">
        <v>2.2439720234887713E-2</v>
      </c>
      <c r="Q14" t="s">
        <v>153</v>
      </c>
      <c r="S14" t="s">
        <v>246</v>
      </c>
      <c r="T14" t="s">
        <v>280</v>
      </c>
      <c r="U14">
        <v>2.0679217989999693E-2</v>
      </c>
      <c r="V14" t="s">
        <v>153</v>
      </c>
      <c r="X14">
        <v>1.9292237442922376E-2</v>
      </c>
      <c r="Y14">
        <v>3.7534080832691087E-2</v>
      </c>
      <c r="Z14" t="s">
        <v>280</v>
      </c>
      <c r="AA14" t="s">
        <v>25</v>
      </c>
      <c r="AC14" t="s">
        <v>22</v>
      </c>
      <c r="AD14" t="s">
        <v>280</v>
      </c>
      <c r="AE14">
        <v>2.2022741036163068E-2</v>
      </c>
      <c r="AG14" t="s">
        <v>96</v>
      </c>
      <c r="AH14" t="s">
        <v>280</v>
      </c>
      <c r="AI14">
        <v>0.17143873587690717</v>
      </c>
      <c r="AK14">
        <v>2020</v>
      </c>
      <c r="AL14" t="s">
        <v>292</v>
      </c>
      <c r="AM14">
        <v>0.1075</v>
      </c>
      <c r="AN14" t="s">
        <v>275</v>
      </c>
    </row>
    <row r="15" spans="1:40" x14ac:dyDescent="0.45">
      <c r="E15" t="s">
        <v>277</v>
      </c>
      <c r="G15" t="s">
        <v>143</v>
      </c>
      <c r="I15" t="s">
        <v>151</v>
      </c>
      <c r="J15" t="s">
        <v>281</v>
      </c>
      <c r="K15">
        <v>1.0365428690079793E-2</v>
      </c>
      <c r="L15" t="s">
        <v>153</v>
      </c>
      <c r="N15" t="s">
        <v>204</v>
      </c>
      <c r="O15" t="s">
        <v>281</v>
      </c>
      <c r="P15">
        <v>2.1812481304669968E-2</v>
      </c>
      <c r="Q15" t="s">
        <v>153</v>
      </c>
      <c r="S15" t="s">
        <v>246</v>
      </c>
      <c r="T15" t="s">
        <v>281</v>
      </c>
      <c r="U15">
        <v>2.1004028306243826E-2</v>
      </c>
      <c r="V15" t="s">
        <v>153</v>
      </c>
      <c r="X15">
        <v>1.9292237442922376E-2</v>
      </c>
      <c r="Y15">
        <v>2.9130928407461735E-2</v>
      </c>
      <c r="Z15" t="s">
        <v>281</v>
      </c>
      <c r="AA15" t="s">
        <v>25</v>
      </c>
      <c r="AC15" t="s">
        <v>22</v>
      </c>
      <c r="AD15" t="s">
        <v>281</v>
      </c>
      <c r="AE15">
        <v>2.2481032934331284E-2</v>
      </c>
      <c r="AG15" t="s">
        <v>96</v>
      </c>
      <c r="AH15" t="s">
        <v>281</v>
      </c>
      <c r="AI15">
        <v>0.16499956552513217</v>
      </c>
      <c r="AK15">
        <v>2021</v>
      </c>
      <c r="AL15" t="s">
        <v>142</v>
      </c>
      <c r="AM15">
        <v>0.30280000000000001</v>
      </c>
      <c r="AN15" t="s">
        <v>275</v>
      </c>
    </row>
    <row r="16" spans="1:40" x14ac:dyDescent="0.45">
      <c r="E16" t="s">
        <v>278</v>
      </c>
      <c r="G16" t="s">
        <v>143</v>
      </c>
      <c r="I16" t="s">
        <v>151</v>
      </c>
      <c r="J16" t="s">
        <v>282</v>
      </c>
      <c r="K16">
        <v>0</v>
      </c>
      <c r="L16" t="s">
        <v>153</v>
      </c>
      <c r="N16" t="s">
        <v>204</v>
      </c>
      <c r="O16" t="s">
        <v>282</v>
      </c>
      <c r="P16">
        <v>8.0116320043934139E-2</v>
      </c>
      <c r="Q16" t="s">
        <v>153</v>
      </c>
      <c r="S16" t="s">
        <v>246</v>
      </c>
      <c r="T16" t="s">
        <v>282</v>
      </c>
      <c r="U16">
        <v>0.10672544801856133</v>
      </c>
      <c r="V16" t="s">
        <v>153</v>
      </c>
      <c r="X16">
        <v>9.6461187214611874E-2</v>
      </c>
      <c r="Y16">
        <v>7.2827321018654342E-2</v>
      </c>
      <c r="Z16" t="s">
        <v>282</v>
      </c>
      <c r="AA16" t="s">
        <v>25</v>
      </c>
      <c r="AC16" t="s">
        <v>22</v>
      </c>
      <c r="AD16" t="s">
        <v>282</v>
      </c>
      <c r="AE16">
        <v>0.10821849365081045</v>
      </c>
      <c r="AG16" t="s">
        <v>96</v>
      </c>
      <c r="AH16" t="s">
        <v>282</v>
      </c>
      <c r="AI16">
        <v>0.22616621742081766</v>
      </c>
      <c r="AK16">
        <v>2021</v>
      </c>
      <c r="AL16" t="s">
        <v>146</v>
      </c>
      <c r="AM16">
        <v>6.6333333333333341E-2</v>
      </c>
      <c r="AN16" t="s">
        <v>275</v>
      </c>
    </row>
    <row r="17" spans="9:40" x14ac:dyDescent="0.45">
      <c r="I17" t="s">
        <v>151</v>
      </c>
      <c r="J17" t="s">
        <v>156</v>
      </c>
      <c r="K17">
        <v>0</v>
      </c>
      <c r="L17" t="s">
        <v>153</v>
      </c>
      <c r="N17" t="s">
        <v>204</v>
      </c>
      <c r="O17" t="s">
        <v>156</v>
      </c>
      <c r="P17">
        <v>6.7012789607080972E-2</v>
      </c>
      <c r="Q17" t="s">
        <v>153</v>
      </c>
      <c r="S17" t="s">
        <v>246</v>
      </c>
      <c r="T17" t="s">
        <v>156</v>
      </c>
      <c r="U17">
        <v>4.8064228334497507E-2</v>
      </c>
      <c r="V17" t="s">
        <v>153</v>
      </c>
      <c r="X17">
        <v>5.1141552511415528E-2</v>
      </c>
      <c r="Y17">
        <v>2.0196736527194229E-2</v>
      </c>
      <c r="Z17" t="s">
        <v>156</v>
      </c>
      <c r="AA17" t="s">
        <v>25</v>
      </c>
      <c r="AC17" t="s">
        <v>22</v>
      </c>
      <c r="AD17" t="s">
        <v>156</v>
      </c>
      <c r="AE17">
        <v>3.805302255968683E-2</v>
      </c>
      <c r="AG17" t="s">
        <v>96</v>
      </c>
      <c r="AH17" t="s">
        <v>156</v>
      </c>
      <c r="AI17">
        <v>0.13593048417283571</v>
      </c>
      <c r="AK17">
        <v>2021</v>
      </c>
      <c r="AL17" t="s">
        <v>148</v>
      </c>
      <c r="AM17">
        <v>0.20571999999999999</v>
      </c>
      <c r="AN17" t="s">
        <v>275</v>
      </c>
    </row>
    <row r="18" spans="9:40" x14ac:dyDescent="0.45">
      <c r="I18" t="s">
        <v>151</v>
      </c>
      <c r="J18" t="s">
        <v>157</v>
      </c>
      <c r="K18">
        <v>8.1433990760786234E-3</v>
      </c>
      <c r="L18" t="s">
        <v>153</v>
      </c>
      <c r="N18" t="s">
        <v>204</v>
      </c>
      <c r="O18" t="s">
        <v>157</v>
      </c>
      <c r="P18">
        <v>1.0363416724967139E-2</v>
      </c>
      <c r="Q18" t="s">
        <v>153</v>
      </c>
      <c r="S18" t="s">
        <v>246</v>
      </c>
      <c r="T18" t="s">
        <v>157</v>
      </c>
      <c r="U18">
        <v>6.7235627401199321E-3</v>
      </c>
      <c r="V18" t="s">
        <v>153</v>
      </c>
      <c r="X18">
        <v>7.3059360730593605E-3</v>
      </c>
      <c r="Y18">
        <v>1.2198659141950296E-2</v>
      </c>
      <c r="Z18" t="s">
        <v>157</v>
      </c>
      <c r="AA18" t="s">
        <v>25</v>
      </c>
      <c r="AC18" t="s">
        <v>22</v>
      </c>
      <c r="AD18" t="s">
        <v>157</v>
      </c>
      <c r="AE18">
        <v>7.1060790931548271E-3</v>
      </c>
      <c r="AG18" t="s">
        <v>96</v>
      </c>
      <c r="AH18" t="s">
        <v>157</v>
      </c>
      <c r="AI18">
        <v>7.3113452340992646E-2</v>
      </c>
      <c r="AK18">
        <v>2021</v>
      </c>
      <c r="AL18" t="s">
        <v>292</v>
      </c>
      <c r="AM18">
        <v>0.60929999999999995</v>
      </c>
      <c r="AN18" t="s">
        <v>275</v>
      </c>
    </row>
    <row r="19" spans="9:40" x14ac:dyDescent="0.45">
      <c r="I19" t="s">
        <v>151</v>
      </c>
      <c r="J19" t="s">
        <v>158</v>
      </c>
      <c r="K19">
        <v>0.11516770984422713</v>
      </c>
      <c r="L19" t="s">
        <v>153</v>
      </c>
      <c r="N19" t="s">
        <v>204</v>
      </c>
      <c r="O19" t="s">
        <v>158</v>
      </c>
      <c r="P19">
        <v>0.11592648651629141</v>
      </c>
      <c r="Q19" t="s">
        <v>153</v>
      </c>
      <c r="S19" t="s">
        <v>246</v>
      </c>
      <c r="T19" t="s">
        <v>158</v>
      </c>
      <c r="U19">
        <v>5.6342864152273298E-2</v>
      </c>
      <c r="V19" t="s">
        <v>153</v>
      </c>
      <c r="X19">
        <v>6.575342465753424E-2</v>
      </c>
      <c r="Y19">
        <v>9.0121572234791072E-2</v>
      </c>
      <c r="Z19" t="s">
        <v>158</v>
      </c>
      <c r="AA19" t="s">
        <v>25</v>
      </c>
      <c r="AC19" t="s">
        <v>22</v>
      </c>
      <c r="AD19" t="s">
        <v>158</v>
      </c>
      <c r="AE19">
        <v>7.8121522179941214E-2</v>
      </c>
      <c r="AG19" t="s">
        <v>96</v>
      </c>
      <c r="AH19" t="s">
        <v>158</v>
      </c>
      <c r="AI19">
        <v>0.1143644375123869</v>
      </c>
      <c r="AK19">
        <v>2022</v>
      </c>
      <c r="AL19" t="s">
        <v>142</v>
      </c>
      <c r="AM19">
        <v>0.6472</v>
      </c>
      <c r="AN19" t="s">
        <v>275</v>
      </c>
    </row>
    <row r="20" spans="9:40" x14ac:dyDescent="0.45">
      <c r="I20" t="s">
        <v>151</v>
      </c>
      <c r="J20" t="s">
        <v>283</v>
      </c>
      <c r="K20">
        <v>7.2028954301483509E-3</v>
      </c>
      <c r="L20" t="s">
        <v>153</v>
      </c>
      <c r="N20" t="s">
        <v>204</v>
      </c>
      <c r="O20" t="s">
        <v>283</v>
      </c>
      <c r="P20">
        <v>9.885825331348937E-3</v>
      </c>
      <c r="Q20" t="s">
        <v>153</v>
      </c>
      <c r="S20" t="s">
        <v>246</v>
      </c>
      <c r="T20" t="s">
        <v>283</v>
      </c>
      <c r="U20">
        <v>6.2522343078363187E-3</v>
      </c>
      <c r="V20" t="s">
        <v>153</v>
      </c>
      <c r="X20">
        <v>7.3059360730593605E-3</v>
      </c>
      <c r="Y20">
        <v>1.4214089782794257E-2</v>
      </c>
      <c r="Z20" t="s">
        <v>283</v>
      </c>
      <c r="AA20" t="s">
        <v>25</v>
      </c>
      <c r="AC20" t="s">
        <v>22</v>
      </c>
      <c r="AD20" t="s">
        <v>283</v>
      </c>
      <c r="AE20">
        <v>9.3028330274877256E-3</v>
      </c>
      <c r="AG20" t="s">
        <v>96</v>
      </c>
      <c r="AH20" t="s">
        <v>283</v>
      </c>
      <c r="AI20">
        <v>0.10042749362821257</v>
      </c>
      <c r="AK20">
        <v>2022</v>
      </c>
      <c r="AL20" t="s">
        <v>146</v>
      </c>
      <c r="AM20">
        <v>0.1762</v>
      </c>
      <c r="AN20" t="s">
        <v>275</v>
      </c>
    </row>
    <row r="21" spans="9:40" x14ac:dyDescent="0.45">
      <c r="I21" t="s">
        <v>151</v>
      </c>
      <c r="J21" t="s">
        <v>284</v>
      </c>
      <c r="K21">
        <v>0</v>
      </c>
      <c r="L21" t="s">
        <v>153</v>
      </c>
      <c r="N21" t="s">
        <v>204</v>
      </c>
      <c r="O21" t="s">
        <v>284</v>
      </c>
      <c r="P21">
        <v>8.6571098088672836E-3</v>
      </c>
      <c r="Q21" t="s">
        <v>153</v>
      </c>
      <c r="S21" t="s">
        <v>246</v>
      </c>
      <c r="T21" t="s">
        <v>284</v>
      </c>
      <c r="U21">
        <v>6.2984987700706353E-3</v>
      </c>
      <c r="V21" t="s">
        <v>153</v>
      </c>
      <c r="X21">
        <v>7.3059360730593605E-3</v>
      </c>
      <c r="Y21">
        <v>1.103183087619853E-2</v>
      </c>
      <c r="Z21" t="s">
        <v>284</v>
      </c>
      <c r="AA21" t="s">
        <v>25</v>
      </c>
      <c r="AC21" t="s">
        <v>22</v>
      </c>
      <c r="AD21" t="s">
        <v>284</v>
      </c>
      <c r="AE21">
        <v>9.7177768363772721E-3</v>
      </c>
      <c r="AG21" t="s">
        <v>96</v>
      </c>
      <c r="AH21" t="s">
        <v>284</v>
      </c>
      <c r="AI21">
        <v>9.1700151539952257E-2</v>
      </c>
      <c r="AK21">
        <v>2022</v>
      </c>
      <c r="AL21" t="s">
        <v>148</v>
      </c>
      <c r="AM21">
        <v>0.34526000000000001</v>
      </c>
      <c r="AN21" t="s">
        <v>275</v>
      </c>
    </row>
    <row r="22" spans="9:40" x14ac:dyDescent="0.45">
      <c r="I22" t="s">
        <v>151</v>
      </c>
      <c r="J22" t="s">
        <v>285</v>
      </c>
      <c r="K22">
        <v>0</v>
      </c>
      <c r="L22" t="s">
        <v>153</v>
      </c>
      <c r="N22" t="s">
        <v>204</v>
      </c>
      <c r="O22" t="s">
        <v>285</v>
      </c>
      <c r="P22">
        <v>3.9030044429397781E-2</v>
      </c>
      <c r="Q22" t="s">
        <v>153</v>
      </c>
      <c r="S22" t="s">
        <v>246</v>
      </c>
      <c r="T22" t="s">
        <v>285</v>
      </c>
      <c r="U22">
        <v>3.2510935093621296E-2</v>
      </c>
      <c r="V22" t="s">
        <v>153</v>
      </c>
      <c r="X22">
        <v>3.6529680365296802E-2</v>
      </c>
      <c r="Y22">
        <v>2.7579577190496318E-2</v>
      </c>
      <c r="Z22" t="s">
        <v>285</v>
      </c>
      <c r="AA22" t="s">
        <v>25</v>
      </c>
      <c r="AC22" t="s">
        <v>22</v>
      </c>
      <c r="AD22" t="s">
        <v>285</v>
      </c>
      <c r="AE22">
        <v>4.6470587113864724E-2</v>
      </c>
      <c r="AG22" t="s">
        <v>96</v>
      </c>
      <c r="AH22" t="s">
        <v>285</v>
      </c>
      <c r="AI22">
        <v>0.14293842059740491</v>
      </c>
      <c r="AK22">
        <v>2022</v>
      </c>
      <c r="AL22" t="s">
        <v>292</v>
      </c>
      <c r="AM22">
        <v>0.73480000000000001</v>
      </c>
      <c r="AN22" t="s">
        <v>275</v>
      </c>
    </row>
    <row r="23" spans="9:40" x14ac:dyDescent="0.45">
      <c r="I23" t="s">
        <v>151</v>
      </c>
      <c r="J23" t="s">
        <v>159</v>
      </c>
      <c r="K23">
        <v>1.3734649423947334E-2</v>
      </c>
      <c r="L23" t="s">
        <v>153</v>
      </c>
      <c r="N23" t="s">
        <v>204</v>
      </c>
      <c r="O23" t="s">
        <v>159</v>
      </c>
      <c r="P23">
        <v>5.5385863246236663E-2</v>
      </c>
      <c r="Q23" t="s">
        <v>153</v>
      </c>
      <c r="S23" t="s">
        <v>246</v>
      </c>
      <c r="T23" t="s">
        <v>159</v>
      </c>
      <c r="U23">
        <v>7.9498356643877666E-2</v>
      </c>
      <c r="V23" t="s">
        <v>153</v>
      </c>
      <c r="X23">
        <v>8.230593607305936E-2</v>
      </c>
      <c r="Y23">
        <v>3.2504122848453207E-2</v>
      </c>
      <c r="Z23" t="s">
        <v>159</v>
      </c>
      <c r="AA23" t="s">
        <v>25</v>
      </c>
      <c r="AC23" t="s">
        <v>22</v>
      </c>
      <c r="AD23" t="s">
        <v>159</v>
      </c>
      <c r="AE23">
        <v>5.6561900545695862E-2</v>
      </c>
      <c r="AG23" t="s">
        <v>96</v>
      </c>
      <c r="AH23" t="s">
        <v>159</v>
      </c>
      <c r="AI23">
        <v>0.12929371020341884</v>
      </c>
      <c r="AK23">
        <v>2025</v>
      </c>
      <c r="AL23" t="s">
        <v>142</v>
      </c>
      <c r="AM23">
        <v>0.37473333333333336</v>
      </c>
      <c r="AN23" t="s">
        <v>275</v>
      </c>
    </row>
    <row r="24" spans="9:40" x14ac:dyDescent="0.45">
      <c r="I24" t="s">
        <v>151</v>
      </c>
      <c r="J24" t="s">
        <v>160</v>
      </c>
      <c r="K24">
        <v>2.3847793733088467E-2</v>
      </c>
      <c r="L24" t="s">
        <v>153</v>
      </c>
      <c r="N24" t="s">
        <v>204</v>
      </c>
      <c r="O24" t="s">
        <v>160</v>
      </c>
      <c r="P24">
        <v>8.9331097598561084E-3</v>
      </c>
      <c r="Q24" t="s">
        <v>153</v>
      </c>
      <c r="S24" t="s">
        <v>246</v>
      </c>
      <c r="T24" t="s">
        <v>160</v>
      </c>
      <c r="U24">
        <v>1.0557740110323835E-2</v>
      </c>
      <c r="V24" t="s">
        <v>153</v>
      </c>
      <c r="X24">
        <v>1.1757990867579908E-2</v>
      </c>
      <c r="Y24">
        <v>1.9632217056576251E-2</v>
      </c>
      <c r="Z24" t="s">
        <v>160</v>
      </c>
      <c r="AA24" t="s">
        <v>25</v>
      </c>
      <c r="AC24" t="s">
        <v>22</v>
      </c>
      <c r="AD24" t="s">
        <v>160</v>
      </c>
      <c r="AE24">
        <v>9.5172873353657397E-3</v>
      </c>
      <c r="AG24" t="s">
        <v>96</v>
      </c>
      <c r="AH24" t="s">
        <v>160</v>
      </c>
      <c r="AI24">
        <v>0.11533137682387995</v>
      </c>
      <c r="AK24">
        <v>2025</v>
      </c>
      <c r="AL24" t="s">
        <v>146</v>
      </c>
      <c r="AM24">
        <v>0.17863333333333334</v>
      </c>
      <c r="AN24" t="s">
        <v>275</v>
      </c>
    </row>
    <row r="25" spans="9:40" x14ac:dyDescent="0.45">
      <c r="I25" t="s">
        <v>151</v>
      </c>
      <c r="J25" t="s">
        <v>161</v>
      </c>
      <c r="K25">
        <v>0.26322801881178842</v>
      </c>
      <c r="L25" t="s">
        <v>153</v>
      </c>
      <c r="N25" t="s">
        <v>204</v>
      </c>
      <c r="O25" t="s">
        <v>161</v>
      </c>
      <c r="P25">
        <v>0.14290978364430654</v>
      </c>
      <c r="Q25" t="s">
        <v>153</v>
      </c>
      <c r="S25" t="s">
        <v>246</v>
      </c>
      <c r="T25" t="s">
        <v>161</v>
      </c>
      <c r="U25">
        <v>9.7195526267927435E-2</v>
      </c>
      <c r="V25" t="s">
        <v>153</v>
      </c>
      <c r="X25">
        <v>0.10582191780821917</v>
      </c>
      <c r="Y25">
        <v>0.14503940531536685</v>
      </c>
      <c r="Z25" t="s">
        <v>161</v>
      </c>
      <c r="AA25" t="s">
        <v>25</v>
      </c>
      <c r="AC25" t="s">
        <v>22</v>
      </c>
      <c r="AD25" t="s">
        <v>161</v>
      </c>
      <c r="AE25">
        <v>0.11591908903833853</v>
      </c>
      <c r="AG25" t="s">
        <v>96</v>
      </c>
      <c r="AH25" t="s">
        <v>161</v>
      </c>
      <c r="AI25">
        <v>0.14399938593466421</v>
      </c>
      <c r="AK25">
        <v>2025</v>
      </c>
      <c r="AL25" t="s">
        <v>148</v>
      </c>
      <c r="AM25">
        <v>0.10224</v>
      </c>
      <c r="AN25" t="s">
        <v>275</v>
      </c>
    </row>
    <row r="26" spans="9:40" x14ac:dyDescent="0.45">
      <c r="I26" t="s">
        <v>151</v>
      </c>
      <c r="J26" t="s">
        <v>286</v>
      </c>
      <c r="K26">
        <v>1.730014818821549E-2</v>
      </c>
      <c r="L26" t="s">
        <v>153</v>
      </c>
      <c r="N26" t="s">
        <v>204</v>
      </c>
      <c r="O26" t="s">
        <v>286</v>
      </c>
      <c r="P26">
        <v>1.856325026926944E-2</v>
      </c>
      <c r="Q26" t="s">
        <v>153</v>
      </c>
      <c r="S26" t="s">
        <v>246</v>
      </c>
      <c r="T26" t="s">
        <v>286</v>
      </c>
      <c r="U26">
        <v>1.2560320521008868E-2</v>
      </c>
      <c r="V26" t="s">
        <v>153</v>
      </c>
      <c r="X26">
        <v>1.1757990867579908E-2</v>
      </c>
      <c r="Y26">
        <v>2.2875800744184507E-2</v>
      </c>
      <c r="Z26" t="s">
        <v>286</v>
      </c>
      <c r="AA26" t="s">
        <v>25</v>
      </c>
      <c r="AC26" t="s">
        <v>22</v>
      </c>
      <c r="AD26" t="s">
        <v>286</v>
      </c>
      <c r="AE26">
        <v>1.3203446141736718E-2</v>
      </c>
      <c r="AG26" t="s">
        <v>96</v>
      </c>
      <c r="AH26" t="s">
        <v>286</v>
      </c>
      <c r="AI26">
        <v>0.13594433841766618</v>
      </c>
      <c r="AK26">
        <v>2025</v>
      </c>
      <c r="AL26" t="s">
        <v>292</v>
      </c>
      <c r="AM26">
        <v>0.13009999999999999</v>
      </c>
      <c r="AN26" t="s">
        <v>275</v>
      </c>
    </row>
    <row r="27" spans="9:40" x14ac:dyDescent="0.45">
      <c r="I27" t="s">
        <v>151</v>
      </c>
      <c r="J27" t="s">
        <v>287</v>
      </c>
      <c r="K27">
        <v>3.0017264855958401E-3</v>
      </c>
      <c r="L27" t="s">
        <v>153</v>
      </c>
      <c r="N27" t="s">
        <v>204</v>
      </c>
      <c r="O27" t="s">
        <v>287</v>
      </c>
      <c r="P27">
        <v>1.6672499280293931E-2</v>
      </c>
      <c r="Q27" t="s">
        <v>153</v>
      </c>
      <c r="S27" t="s">
        <v>246</v>
      </c>
      <c r="T27" t="s">
        <v>287</v>
      </c>
      <c r="U27">
        <v>1.2774062524479069E-2</v>
      </c>
      <c r="V27" t="s">
        <v>153</v>
      </c>
      <c r="X27">
        <v>1.1757990867579908E-2</v>
      </c>
      <c r="Y27">
        <v>1.7754352816381998E-2</v>
      </c>
      <c r="Z27" t="s">
        <v>287</v>
      </c>
      <c r="AA27" t="s">
        <v>25</v>
      </c>
      <c r="AC27" t="s">
        <v>22</v>
      </c>
      <c r="AD27" t="s">
        <v>287</v>
      </c>
      <c r="AE27">
        <v>1.3445911856066467E-2</v>
      </c>
      <c r="AG27" t="s">
        <v>96</v>
      </c>
      <c r="AH27" t="s">
        <v>287</v>
      </c>
      <c r="AI27">
        <v>0.17082943001134732</v>
      </c>
      <c r="AK27">
        <v>2026</v>
      </c>
      <c r="AL27" t="s">
        <v>142</v>
      </c>
      <c r="AM27">
        <v>0.34346666666666664</v>
      </c>
      <c r="AN27" t="s">
        <v>275</v>
      </c>
    </row>
    <row r="28" spans="9:40" x14ac:dyDescent="0.45">
      <c r="I28" t="s">
        <v>151</v>
      </c>
      <c r="J28" t="s">
        <v>288</v>
      </c>
      <c r="K28">
        <v>0</v>
      </c>
      <c r="L28" t="s">
        <v>153</v>
      </c>
      <c r="N28" t="s">
        <v>204</v>
      </c>
      <c r="O28" t="s">
        <v>288</v>
      </c>
      <c r="P28">
        <v>4.6087685766183113E-2</v>
      </c>
      <c r="Q28" t="s">
        <v>153</v>
      </c>
      <c r="S28" t="s">
        <v>246</v>
      </c>
      <c r="T28" t="s">
        <v>288</v>
      </c>
      <c r="U28">
        <v>6.1390256804073694E-2</v>
      </c>
      <c r="V28" t="s">
        <v>153</v>
      </c>
      <c r="X28">
        <v>5.878995433789954E-2</v>
      </c>
      <c r="Y28">
        <v>4.4385882040955012E-2</v>
      </c>
      <c r="Z28" t="s">
        <v>288</v>
      </c>
      <c r="AA28" t="s">
        <v>25</v>
      </c>
      <c r="AC28" t="s">
        <v>22</v>
      </c>
      <c r="AD28" t="s">
        <v>288</v>
      </c>
      <c r="AE28">
        <v>6.4715638358847333E-2</v>
      </c>
      <c r="AG28" t="s">
        <v>96</v>
      </c>
      <c r="AH28" t="s">
        <v>288</v>
      </c>
      <c r="AI28">
        <v>0.20858579514891051</v>
      </c>
      <c r="AK28">
        <v>2026</v>
      </c>
      <c r="AL28" t="s">
        <v>146</v>
      </c>
      <c r="AM28">
        <v>0.19226666666666667</v>
      </c>
      <c r="AN28" t="s">
        <v>275</v>
      </c>
    </row>
    <row r="29" spans="9:40" x14ac:dyDescent="0.45">
      <c r="I29" t="s">
        <v>151</v>
      </c>
      <c r="J29" t="s">
        <v>294</v>
      </c>
      <c r="K29">
        <v>4.9384536359240328E-3</v>
      </c>
      <c r="L29" t="s">
        <v>153</v>
      </c>
      <c r="N29" t="s">
        <v>204</v>
      </c>
      <c r="O29" t="s">
        <v>294</v>
      </c>
      <c r="P29">
        <v>3.6195672482980273E-3</v>
      </c>
      <c r="Q29" t="s">
        <v>153</v>
      </c>
      <c r="S29" t="s">
        <v>246</v>
      </c>
      <c r="T29" t="s">
        <v>294</v>
      </c>
      <c r="U29">
        <v>2.9063778179790001E-2</v>
      </c>
      <c r="V29" t="s">
        <v>153</v>
      </c>
      <c r="X29">
        <v>2.3173515981735161E-2</v>
      </c>
      <c r="Y29">
        <v>9.151646238884887E-3</v>
      </c>
      <c r="Z29" t="s">
        <v>294</v>
      </c>
      <c r="AA29" t="s">
        <v>25</v>
      </c>
      <c r="AC29" t="s">
        <v>22</v>
      </c>
      <c r="AD29" t="s">
        <v>294</v>
      </c>
      <c r="AE29">
        <v>1.6367694141136088E-2</v>
      </c>
      <c r="AG29" t="s">
        <v>96</v>
      </c>
      <c r="AH29" t="s">
        <v>294</v>
      </c>
      <c r="AI29">
        <v>9.8613290388788188E-2</v>
      </c>
      <c r="AK29">
        <v>2026</v>
      </c>
      <c r="AL29" t="s">
        <v>148</v>
      </c>
      <c r="AM29">
        <v>0.20543999999999998</v>
      </c>
      <c r="AN29" t="s">
        <v>275</v>
      </c>
    </row>
    <row r="30" spans="9:40" x14ac:dyDescent="0.45">
      <c r="I30" t="s">
        <v>151</v>
      </c>
      <c r="J30" t="s">
        <v>295</v>
      </c>
      <c r="K30">
        <v>6.4783328472221317E-3</v>
      </c>
      <c r="L30" t="s">
        <v>153</v>
      </c>
      <c r="N30" t="s">
        <v>204</v>
      </c>
      <c r="O30" t="s">
        <v>295</v>
      </c>
      <c r="P30">
        <v>4.2693184475165282E-4</v>
      </c>
      <c r="Q30" t="s">
        <v>153</v>
      </c>
      <c r="S30" t="s">
        <v>246</v>
      </c>
      <c r="T30" t="s">
        <v>295</v>
      </c>
      <c r="U30">
        <v>3.9481400402217861E-3</v>
      </c>
      <c r="V30" t="s">
        <v>153</v>
      </c>
      <c r="X30">
        <v>3.3105022831050228E-3</v>
      </c>
      <c r="Y30">
        <v>5.5275174236962274E-3</v>
      </c>
      <c r="Z30" t="s">
        <v>295</v>
      </c>
      <c r="AA30" t="s">
        <v>25</v>
      </c>
      <c r="AC30" t="s">
        <v>22</v>
      </c>
      <c r="AD30" t="s">
        <v>295</v>
      </c>
      <c r="AE30">
        <v>2.7185947952282547E-3</v>
      </c>
      <c r="AG30" t="s">
        <v>96</v>
      </c>
      <c r="AH30" t="s">
        <v>295</v>
      </c>
      <c r="AI30">
        <v>3.9509432195852678E-2</v>
      </c>
      <c r="AK30">
        <v>2026</v>
      </c>
      <c r="AL30" t="s">
        <v>292</v>
      </c>
      <c r="AM30">
        <v>0.1323</v>
      </c>
      <c r="AN30" t="s">
        <v>275</v>
      </c>
    </row>
    <row r="31" spans="9:40" x14ac:dyDescent="0.45">
      <c r="I31" t="s">
        <v>151</v>
      </c>
      <c r="J31" t="s">
        <v>296</v>
      </c>
      <c r="K31">
        <v>7.0259882660239553E-2</v>
      </c>
      <c r="L31" t="s">
        <v>153</v>
      </c>
      <c r="N31" t="s">
        <v>204</v>
      </c>
      <c r="O31" t="s">
        <v>296</v>
      </c>
      <c r="P31">
        <v>1.5569994993791959E-2</v>
      </c>
      <c r="Q31" t="s">
        <v>153</v>
      </c>
      <c r="S31" t="s">
        <v>246</v>
      </c>
      <c r="T31" t="s">
        <v>296</v>
      </c>
      <c r="U31">
        <v>3.5530950940205912E-2</v>
      </c>
      <c r="V31" t="s">
        <v>153</v>
      </c>
      <c r="X31">
        <v>2.9794520547945205E-2</v>
      </c>
      <c r="Y31">
        <v>4.0836337418889694E-2</v>
      </c>
      <c r="Z31" t="s">
        <v>296</v>
      </c>
      <c r="AA31" t="s">
        <v>25</v>
      </c>
      <c r="AC31" t="s">
        <v>22</v>
      </c>
      <c r="AD31" t="s">
        <v>296</v>
      </c>
      <c r="AE31">
        <v>3.312117124192946E-2</v>
      </c>
      <c r="AG31" t="s">
        <v>96</v>
      </c>
      <c r="AH31" t="s">
        <v>296</v>
      </c>
      <c r="AI31">
        <v>0.12636920782300343</v>
      </c>
      <c r="AK31">
        <v>2027</v>
      </c>
      <c r="AL31" t="s">
        <v>142</v>
      </c>
      <c r="AM31">
        <v>0.25593333333333335</v>
      </c>
      <c r="AN31" t="s">
        <v>275</v>
      </c>
    </row>
    <row r="32" spans="9:40" x14ac:dyDescent="0.45">
      <c r="I32" t="s">
        <v>151</v>
      </c>
      <c r="J32" t="s">
        <v>297</v>
      </c>
      <c r="K32">
        <v>5.0806215326509195E-3</v>
      </c>
      <c r="L32" t="s">
        <v>153</v>
      </c>
      <c r="N32" t="s">
        <v>204</v>
      </c>
      <c r="O32" t="s">
        <v>297</v>
      </c>
      <c r="P32">
        <v>3.9512649744425938E-3</v>
      </c>
      <c r="Q32" t="s">
        <v>153</v>
      </c>
      <c r="S32" t="s">
        <v>246</v>
      </c>
      <c r="T32" t="s">
        <v>297</v>
      </c>
      <c r="U32">
        <v>4.6878405253232384E-3</v>
      </c>
      <c r="V32" t="s">
        <v>153</v>
      </c>
      <c r="X32">
        <v>3.3105022831050228E-3</v>
      </c>
      <c r="Y32">
        <v>6.4407594328286487E-3</v>
      </c>
      <c r="Z32" t="s">
        <v>297</v>
      </c>
      <c r="AA32" t="s">
        <v>25</v>
      </c>
      <c r="AC32" t="s">
        <v>22</v>
      </c>
      <c r="AD32" t="s">
        <v>297</v>
      </c>
      <c r="AE32">
        <v>3.7018431133058229E-3</v>
      </c>
      <c r="AG32" t="s">
        <v>96</v>
      </c>
      <c r="AH32" t="s">
        <v>297</v>
      </c>
      <c r="AI32">
        <v>4.0698825326527466E-2</v>
      </c>
      <c r="AK32">
        <v>2027</v>
      </c>
      <c r="AL32" t="s">
        <v>146</v>
      </c>
      <c r="AM32">
        <v>0.11793333333333333</v>
      </c>
      <c r="AN32" t="s">
        <v>275</v>
      </c>
    </row>
    <row r="33" spans="9:40" x14ac:dyDescent="0.45">
      <c r="I33" t="s">
        <v>151</v>
      </c>
      <c r="J33" t="s">
        <v>298</v>
      </c>
      <c r="K33">
        <v>3.1785113610717898E-3</v>
      </c>
      <c r="L33" t="s">
        <v>153</v>
      </c>
      <c r="N33" t="s">
        <v>204</v>
      </c>
      <c r="O33" t="s">
        <v>298</v>
      </c>
      <c r="P33">
        <v>3.7943151459747864E-3</v>
      </c>
      <c r="Q33" t="s">
        <v>153</v>
      </c>
      <c r="S33" t="s">
        <v>246</v>
      </c>
      <c r="T33" t="s">
        <v>298</v>
      </c>
      <c r="U33">
        <v>4.7753612119146105E-3</v>
      </c>
      <c r="V33" t="s">
        <v>153</v>
      </c>
      <c r="X33">
        <v>3.3105022831050228E-3</v>
      </c>
      <c r="Y33">
        <v>4.9987983657774574E-3</v>
      </c>
      <c r="Z33" t="s">
        <v>298</v>
      </c>
      <c r="AA33" t="s">
        <v>25</v>
      </c>
      <c r="AC33" t="s">
        <v>22</v>
      </c>
      <c r="AD33" t="s">
        <v>298</v>
      </c>
      <c r="AE33">
        <v>3.7619599822587223E-3</v>
      </c>
      <c r="AG33" t="s">
        <v>96</v>
      </c>
      <c r="AH33" t="s">
        <v>298</v>
      </c>
      <c r="AI33">
        <v>4.0374758089887441E-2</v>
      </c>
      <c r="AK33">
        <v>2027</v>
      </c>
      <c r="AL33" t="s">
        <v>148</v>
      </c>
      <c r="AM33">
        <v>8.0100000000000005E-2</v>
      </c>
      <c r="AN33" t="s">
        <v>275</v>
      </c>
    </row>
    <row r="34" spans="9:40" x14ac:dyDescent="0.45">
      <c r="I34" t="s">
        <v>151</v>
      </c>
      <c r="J34" t="s">
        <v>299</v>
      </c>
      <c r="K34">
        <v>0</v>
      </c>
      <c r="L34" t="s">
        <v>153</v>
      </c>
      <c r="N34" t="s">
        <v>204</v>
      </c>
      <c r="O34" t="s">
        <v>299</v>
      </c>
      <c r="P34">
        <v>9.6500386281829064E-3</v>
      </c>
      <c r="Q34" t="s">
        <v>153</v>
      </c>
      <c r="S34" t="s">
        <v>246</v>
      </c>
      <c r="T34" t="s">
        <v>299</v>
      </c>
      <c r="U34">
        <v>2.4071507796144781E-2</v>
      </c>
      <c r="V34" t="s">
        <v>153</v>
      </c>
      <c r="X34">
        <v>1.6552511415525113E-2</v>
      </c>
      <c r="Y34">
        <v>1.2496995914443643E-2</v>
      </c>
      <c r="Z34" t="s">
        <v>299</v>
      </c>
      <c r="AA34" t="s">
        <v>25</v>
      </c>
      <c r="AC34" t="s">
        <v>22</v>
      </c>
      <c r="AD34" t="s">
        <v>299</v>
      </c>
      <c r="AE34">
        <v>1.809173700576586E-2</v>
      </c>
      <c r="AG34" t="s">
        <v>96</v>
      </c>
      <c r="AH34" t="s">
        <v>299</v>
      </c>
      <c r="AI34">
        <v>6.0353285307354287E-2</v>
      </c>
      <c r="AK34">
        <v>2027</v>
      </c>
      <c r="AL34" t="s">
        <v>292</v>
      </c>
      <c r="AM34">
        <v>0.15820000000000001</v>
      </c>
      <c r="AN34" t="s">
        <v>275</v>
      </c>
    </row>
    <row r="35" spans="9:40" x14ac:dyDescent="0.45">
      <c r="I35" t="s">
        <v>162</v>
      </c>
      <c r="J35" t="s">
        <v>152</v>
      </c>
      <c r="K35">
        <v>1.0913438867105928E-2</v>
      </c>
      <c r="L35" t="s">
        <v>153</v>
      </c>
      <c r="N35" t="s">
        <v>205</v>
      </c>
      <c r="O35" t="s">
        <v>152</v>
      </c>
      <c r="P35">
        <v>9.5496888032173807E-2</v>
      </c>
      <c r="Q35" t="s">
        <v>153</v>
      </c>
      <c r="S35" t="s">
        <v>247</v>
      </c>
      <c r="T35" t="s">
        <v>152</v>
      </c>
      <c r="U35">
        <v>0.1433209088312408</v>
      </c>
      <c r="V35" t="s">
        <v>153</v>
      </c>
      <c r="AC35" t="s">
        <v>19</v>
      </c>
      <c r="AD35" t="s">
        <v>152</v>
      </c>
      <c r="AE35">
        <v>0.13308094338400844</v>
      </c>
      <c r="AK35">
        <v>2028</v>
      </c>
      <c r="AL35" t="s">
        <v>142</v>
      </c>
      <c r="AM35">
        <v>0.30960000000000004</v>
      </c>
      <c r="AN35" t="s">
        <v>275</v>
      </c>
    </row>
    <row r="36" spans="9:40" x14ac:dyDescent="0.45">
      <c r="I36" t="s">
        <v>162</v>
      </c>
      <c r="J36" t="s">
        <v>154</v>
      </c>
      <c r="K36">
        <v>3.2782420625446063E-2</v>
      </c>
      <c r="L36" t="s">
        <v>153</v>
      </c>
      <c r="N36" t="s">
        <v>205</v>
      </c>
      <c r="O36" t="s">
        <v>154</v>
      </c>
      <c r="P36">
        <v>1.3983556769641402E-2</v>
      </c>
      <c r="Q36" t="s">
        <v>153</v>
      </c>
      <c r="S36" t="s">
        <v>247</v>
      </c>
      <c r="T36" t="s">
        <v>154</v>
      </c>
      <c r="U36">
        <v>1.7858475023950958E-2</v>
      </c>
      <c r="V36" t="s">
        <v>153</v>
      </c>
      <c r="AC36" t="s">
        <v>19</v>
      </c>
      <c r="AD36" t="s">
        <v>154</v>
      </c>
      <c r="AE36">
        <v>1.915068242173374E-2</v>
      </c>
      <c r="AK36">
        <v>2028</v>
      </c>
      <c r="AL36" t="s">
        <v>146</v>
      </c>
      <c r="AM36">
        <v>0.13460000000000003</v>
      </c>
      <c r="AN36" t="s">
        <v>275</v>
      </c>
    </row>
    <row r="37" spans="9:40" x14ac:dyDescent="0.45">
      <c r="I37" t="s">
        <v>162</v>
      </c>
      <c r="J37" t="s">
        <v>155</v>
      </c>
      <c r="K37">
        <v>0.36998858124076861</v>
      </c>
      <c r="L37" t="s">
        <v>153</v>
      </c>
      <c r="N37" t="s">
        <v>205</v>
      </c>
      <c r="O37" t="s">
        <v>155</v>
      </c>
      <c r="P37">
        <v>0.18783354097893612</v>
      </c>
      <c r="Q37" t="s">
        <v>153</v>
      </c>
      <c r="S37" t="s">
        <v>247</v>
      </c>
      <c r="T37" t="s">
        <v>155</v>
      </c>
      <c r="U37">
        <v>0.15894024712154728</v>
      </c>
      <c r="V37" t="s">
        <v>153</v>
      </c>
      <c r="AC37" t="s">
        <v>19</v>
      </c>
      <c r="AD37" t="s">
        <v>155</v>
      </c>
      <c r="AE37">
        <v>0.17477564758072392</v>
      </c>
      <c r="AK37">
        <v>2028</v>
      </c>
      <c r="AL37" t="s">
        <v>148</v>
      </c>
      <c r="AM37">
        <v>0.14776000000000003</v>
      </c>
      <c r="AN37" t="s">
        <v>275</v>
      </c>
    </row>
    <row r="38" spans="9:40" x14ac:dyDescent="0.45">
      <c r="I38" t="s">
        <v>162</v>
      </c>
      <c r="J38" t="s">
        <v>280</v>
      </c>
      <c r="K38">
        <v>2.791212078887954E-2</v>
      </c>
      <c r="L38" t="s">
        <v>153</v>
      </c>
      <c r="N38" t="s">
        <v>205</v>
      </c>
      <c r="O38" t="s">
        <v>280</v>
      </c>
      <c r="P38">
        <v>2.2045525672125359E-2</v>
      </c>
      <c r="Q38" t="s">
        <v>153</v>
      </c>
      <c r="S38" t="s">
        <v>247</v>
      </c>
      <c r="T38" t="s">
        <v>280</v>
      </c>
      <c r="U38">
        <v>2.2465372903560592E-2</v>
      </c>
      <c r="V38" t="s">
        <v>153</v>
      </c>
      <c r="AC38" t="s">
        <v>19</v>
      </c>
      <c r="AD38" t="s">
        <v>280</v>
      </c>
      <c r="AE38">
        <v>1.9438472243427294E-2</v>
      </c>
      <c r="AK38">
        <v>2028</v>
      </c>
      <c r="AL38" t="s">
        <v>292</v>
      </c>
      <c r="AM38">
        <v>0.1353</v>
      </c>
      <c r="AN38" t="s">
        <v>275</v>
      </c>
    </row>
    <row r="39" spans="9:40" x14ac:dyDescent="0.45">
      <c r="I39" t="s">
        <v>162</v>
      </c>
      <c r="J39" t="s">
        <v>281</v>
      </c>
      <c r="K39">
        <v>1.2195352215872878E-2</v>
      </c>
      <c r="L39" t="s">
        <v>153</v>
      </c>
      <c r="N39" t="s">
        <v>205</v>
      </c>
      <c r="O39" t="s">
        <v>281</v>
      </c>
      <c r="P39">
        <v>2.2578377100409931E-2</v>
      </c>
      <c r="Q39" t="s">
        <v>153</v>
      </c>
      <c r="S39" t="s">
        <v>247</v>
      </c>
      <c r="T39" t="s">
        <v>281</v>
      </c>
      <c r="U39">
        <v>2.3217513823536734E-2</v>
      </c>
      <c r="V39" t="s">
        <v>153</v>
      </c>
      <c r="AC39" t="s">
        <v>19</v>
      </c>
      <c r="AD39" t="s">
        <v>281</v>
      </c>
      <c r="AE39">
        <v>1.9462046209282453E-2</v>
      </c>
      <c r="AK39">
        <v>2029</v>
      </c>
      <c r="AL39" t="s">
        <v>142</v>
      </c>
      <c r="AM39">
        <v>0.25398333333333334</v>
      </c>
      <c r="AN39" t="s">
        <v>275</v>
      </c>
    </row>
    <row r="40" spans="9:40" x14ac:dyDescent="0.45">
      <c r="I40" t="s">
        <v>162</v>
      </c>
      <c r="J40" t="s">
        <v>282</v>
      </c>
      <c r="K40">
        <v>0</v>
      </c>
      <c r="L40" t="s">
        <v>153</v>
      </c>
      <c r="N40" t="s">
        <v>205</v>
      </c>
      <c r="O40" t="s">
        <v>282</v>
      </c>
      <c r="P40">
        <v>9.5121495352185656E-2</v>
      </c>
      <c r="Q40" t="s">
        <v>153</v>
      </c>
      <c r="S40" t="s">
        <v>247</v>
      </c>
      <c r="T40" t="s">
        <v>282</v>
      </c>
      <c r="U40">
        <v>0.11551774685167351</v>
      </c>
      <c r="V40" t="s">
        <v>153</v>
      </c>
      <c r="AC40" t="s">
        <v>19</v>
      </c>
      <c r="AD40" t="s">
        <v>282</v>
      </c>
      <c r="AE40">
        <v>9.7094873890663499E-2</v>
      </c>
      <c r="AK40">
        <v>2029</v>
      </c>
      <c r="AL40" t="s">
        <v>146</v>
      </c>
      <c r="AM40">
        <v>0.11596666666666666</v>
      </c>
      <c r="AN40" t="s">
        <v>275</v>
      </c>
    </row>
    <row r="41" spans="9:40" x14ac:dyDescent="0.45">
      <c r="I41" t="s">
        <v>162</v>
      </c>
      <c r="J41" t="s">
        <v>156</v>
      </c>
      <c r="K41">
        <v>0</v>
      </c>
      <c r="L41" t="s">
        <v>153</v>
      </c>
      <c r="N41" t="s">
        <v>205</v>
      </c>
      <c r="O41" t="s">
        <v>156</v>
      </c>
      <c r="P41">
        <v>5.6072227812690813E-2</v>
      </c>
      <c r="Q41" t="s">
        <v>153</v>
      </c>
      <c r="S41" t="s">
        <v>247</v>
      </c>
      <c r="T41" t="s">
        <v>156</v>
      </c>
      <c r="U41">
        <v>4.2678434825421288E-2</v>
      </c>
      <c r="V41" t="s">
        <v>153</v>
      </c>
      <c r="AC41" t="s">
        <v>19</v>
      </c>
      <c r="AD41" t="s">
        <v>156</v>
      </c>
      <c r="AE41">
        <v>5.0287740175593641E-2</v>
      </c>
      <c r="AK41">
        <v>2029</v>
      </c>
      <c r="AL41" t="s">
        <v>148</v>
      </c>
      <c r="AM41">
        <v>0.20441999999999999</v>
      </c>
      <c r="AN41" t="s">
        <v>275</v>
      </c>
    </row>
    <row r="42" spans="9:40" x14ac:dyDescent="0.45">
      <c r="I42" t="s">
        <v>162</v>
      </c>
      <c r="J42" t="s">
        <v>157</v>
      </c>
      <c r="K42">
        <v>8.3861728084580617E-3</v>
      </c>
      <c r="L42" t="s">
        <v>153</v>
      </c>
      <c r="N42" t="s">
        <v>205</v>
      </c>
      <c r="O42" t="s">
        <v>157</v>
      </c>
      <c r="P42">
        <v>8.3146195486293178E-3</v>
      </c>
      <c r="Q42" t="s">
        <v>153</v>
      </c>
      <c r="S42" t="s">
        <v>247</v>
      </c>
      <c r="T42" t="s">
        <v>157</v>
      </c>
      <c r="U42">
        <v>5.9962467107919507E-3</v>
      </c>
      <c r="V42" t="s">
        <v>153</v>
      </c>
      <c r="AC42" t="s">
        <v>19</v>
      </c>
      <c r="AD42" t="s">
        <v>157</v>
      </c>
      <c r="AE42">
        <v>7.2698621616845271E-3</v>
      </c>
      <c r="AK42">
        <v>2029</v>
      </c>
      <c r="AL42" t="s">
        <v>292</v>
      </c>
      <c r="AM42">
        <v>0.36499999999999999</v>
      </c>
      <c r="AN42" t="s">
        <v>275</v>
      </c>
    </row>
    <row r="43" spans="9:40" x14ac:dyDescent="0.45">
      <c r="I43" t="s">
        <v>162</v>
      </c>
      <c r="J43" t="s">
        <v>158</v>
      </c>
      <c r="K43">
        <v>0.11037351841678808</v>
      </c>
      <c r="L43" t="s">
        <v>153</v>
      </c>
      <c r="N43" t="s">
        <v>205</v>
      </c>
      <c r="O43" t="s">
        <v>158</v>
      </c>
      <c r="P43">
        <v>9.9221067146883737E-2</v>
      </c>
      <c r="Q43" t="s">
        <v>153</v>
      </c>
      <c r="S43" t="s">
        <v>247</v>
      </c>
      <c r="T43" t="s">
        <v>158</v>
      </c>
      <c r="U43">
        <v>5.158371580508346E-2</v>
      </c>
      <c r="V43" t="s">
        <v>153</v>
      </c>
      <c r="AC43" t="s">
        <v>19</v>
      </c>
      <c r="AD43" t="s">
        <v>158</v>
      </c>
      <c r="AE43">
        <v>6.6157482578137639E-2</v>
      </c>
      <c r="AK43">
        <v>2030</v>
      </c>
      <c r="AL43" t="s">
        <v>142</v>
      </c>
      <c r="AM43">
        <v>0.28353333333333336</v>
      </c>
      <c r="AN43" t="s">
        <v>275</v>
      </c>
    </row>
    <row r="44" spans="9:40" x14ac:dyDescent="0.45">
      <c r="I44" t="s">
        <v>162</v>
      </c>
      <c r="J44" t="s">
        <v>283</v>
      </c>
      <c r="K44">
        <v>7.6346439039932934E-3</v>
      </c>
      <c r="L44" t="s">
        <v>153</v>
      </c>
      <c r="N44" t="s">
        <v>205</v>
      </c>
      <c r="O44" t="s">
        <v>283</v>
      </c>
      <c r="P44">
        <v>9.5104784666673412E-3</v>
      </c>
      <c r="Q44" t="s">
        <v>153</v>
      </c>
      <c r="S44" t="s">
        <v>247</v>
      </c>
      <c r="T44" t="s">
        <v>283</v>
      </c>
      <c r="U44">
        <v>5.8931369325189139E-3</v>
      </c>
      <c r="V44" t="s">
        <v>153</v>
      </c>
      <c r="AC44" t="s">
        <v>19</v>
      </c>
      <c r="AD44" t="s">
        <v>283</v>
      </c>
      <c r="AE44">
        <v>7.3828604547967061E-3</v>
      </c>
      <c r="AK44">
        <v>2030</v>
      </c>
      <c r="AL44" t="s">
        <v>146</v>
      </c>
      <c r="AM44">
        <v>6.9066666666666665E-2</v>
      </c>
      <c r="AN44" t="s">
        <v>275</v>
      </c>
    </row>
    <row r="45" spans="9:40" x14ac:dyDescent="0.45">
      <c r="I45" t="s">
        <v>162</v>
      </c>
      <c r="J45" t="s">
        <v>284</v>
      </c>
      <c r="K45">
        <v>0</v>
      </c>
      <c r="L45" t="s">
        <v>153</v>
      </c>
      <c r="N45" t="s">
        <v>205</v>
      </c>
      <c r="O45" t="s">
        <v>284</v>
      </c>
      <c r="P45">
        <v>8.7476815592449925E-3</v>
      </c>
      <c r="Q45" t="s">
        <v>153</v>
      </c>
      <c r="S45" t="s">
        <v>247</v>
      </c>
      <c r="T45" t="s">
        <v>284</v>
      </c>
      <c r="U45">
        <v>5.9392783370772742E-3</v>
      </c>
      <c r="V45" t="s">
        <v>153</v>
      </c>
      <c r="AC45" t="s">
        <v>19</v>
      </c>
      <c r="AD45" t="s">
        <v>284</v>
      </c>
      <c r="AE45">
        <v>7.4042046487954845E-3</v>
      </c>
      <c r="AK45">
        <v>2030</v>
      </c>
      <c r="AL45" t="s">
        <v>148</v>
      </c>
      <c r="AM45">
        <v>0.22373999999999999</v>
      </c>
      <c r="AN45" t="s">
        <v>275</v>
      </c>
    </row>
    <row r="46" spans="9:40" x14ac:dyDescent="0.45">
      <c r="I46" t="s">
        <v>162</v>
      </c>
      <c r="J46" t="s">
        <v>285</v>
      </c>
      <c r="K46">
        <v>0</v>
      </c>
      <c r="L46" t="s">
        <v>153</v>
      </c>
      <c r="N46" t="s">
        <v>205</v>
      </c>
      <c r="O46" t="s">
        <v>285</v>
      </c>
      <c r="P46">
        <v>3.9586261951013932E-2</v>
      </c>
      <c r="Q46" t="s">
        <v>153</v>
      </c>
      <c r="S46" t="s">
        <v>247</v>
      </c>
      <c r="T46" t="s">
        <v>285</v>
      </c>
      <c r="U46">
        <v>3.0199332815932008E-2</v>
      </c>
      <c r="V46" t="s">
        <v>153</v>
      </c>
      <c r="AC46" t="s">
        <v>19</v>
      </c>
      <c r="AD46" t="s">
        <v>285</v>
      </c>
      <c r="AE46">
        <v>3.6912060674592677E-2</v>
      </c>
      <c r="AK46">
        <v>2030</v>
      </c>
      <c r="AL46" t="s">
        <v>292</v>
      </c>
      <c r="AM46">
        <v>0.40920000000000001</v>
      </c>
      <c r="AN46" t="s">
        <v>275</v>
      </c>
    </row>
    <row r="47" spans="9:40" x14ac:dyDescent="0.45">
      <c r="I47" t="s">
        <v>162</v>
      </c>
      <c r="J47" t="s">
        <v>159</v>
      </c>
      <c r="K47">
        <v>1.3875079926459758E-2</v>
      </c>
      <c r="L47" t="s">
        <v>153</v>
      </c>
      <c r="N47" t="s">
        <v>205</v>
      </c>
      <c r="O47" t="s">
        <v>159</v>
      </c>
      <c r="P47">
        <v>5.8450690391540806E-2</v>
      </c>
      <c r="Q47" t="s">
        <v>153</v>
      </c>
      <c r="S47" t="s">
        <v>247</v>
      </c>
      <c r="T47" t="s">
        <v>159</v>
      </c>
      <c r="U47">
        <v>8.1334651063747168E-2</v>
      </c>
      <c r="V47" t="s">
        <v>153</v>
      </c>
      <c r="AC47" t="s">
        <v>19</v>
      </c>
      <c r="AD47" t="s">
        <v>159</v>
      </c>
      <c r="AE47">
        <v>8.1094940635054777E-2</v>
      </c>
      <c r="AK47">
        <v>2031</v>
      </c>
      <c r="AL47" t="s">
        <v>142</v>
      </c>
      <c r="AM47">
        <v>0.25950000000000001</v>
      </c>
      <c r="AN47" t="s">
        <v>275</v>
      </c>
    </row>
    <row r="48" spans="9:40" x14ac:dyDescent="0.45">
      <c r="I48" t="s">
        <v>162</v>
      </c>
      <c r="J48" t="s">
        <v>160</v>
      </c>
      <c r="K48">
        <v>2.4143577379333325E-2</v>
      </c>
      <c r="L48" t="s">
        <v>153</v>
      </c>
      <c r="N48" t="s">
        <v>205</v>
      </c>
      <c r="O48" t="s">
        <v>160</v>
      </c>
      <c r="P48">
        <v>8.8954478882206783E-3</v>
      </c>
      <c r="Q48" t="s">
        <v>153</v>
      </c>
      <c r="S48" t="s">
        <v>247</v>
      </c>
      <c r="T48" t="s">
        <v>160</v>
      </c>
      <c r="U48">
        <v>1.0315463079009777E-2</v>
      </c>
      <c r="V48" t="s">
        <v>153</v>
      </c>
      <c r="AC48" t="s">
        <v>19</v>
      </c>
      <c r="AD48" t="s">
        <v>160</v>
      </c>
      <c r="AE48">
        <v>1.1658909828165562E-2</v>
      </c>
      <c r="AK48">
        <v>2031</v>
      </c>
      <c r="AL48" t="s">
        <v>146</v>
      </c>
      <c r="AM48">
        <v>7.9899999999999999E-2</v>
      </c>
      <c r="AN48" t="s">
        <v>275</v>
      </c>
    </row>
    <row r="49" spans="9:40" x14ac:dyDescent="0.45">
      <c r="I49" t="s">
        <v>162</v>
      </c>
      <c r="J49" t="s">
        <v>161</v>
      </c>
      <c r="K49">
        <v>0.26157042530008601</v>
      </c>
      <c r="L49" t="s">
        <v>153</v>
      </c>
      <c r="N49" t="s">
        <v>205</v>
      </c>
      <c r="O49" t="s">
        <v>161</v>
      </c>
      <c r="P49">
        <v>0.13997221570168758</v>
      </c>
      <c r="Q49" t="s">
        <v>153</v>
      </c>
      <c r="S49" t="s">
        <v>247</v>
      </c>
      <c r="T49" t="s">
        <v>161</v>
      </c>
      <c r="U49">
        <v>9.7910522711722431E-2</v>
      </c>
      <c r="V49" t="s">
        <v>153</v>
      </c>
      <c r="AC49" t="s">
        <v>19</v>
      </c>
      <c r="AD49" t="s">
        <v>161</v>
      </c>
      <c r="AE49">
        <v>0.10648690544915075</v>
      </c>
      <c r="AK49">
        <v>2031</v>
      </c>
      <c r="AL49" t="s">
        <v>148</v>
      </c>
      <c r="AM49">
        <v>0.22068000000000004</v>
      </c>
      <c r="AN49" t="s">
        <v>275</v>
      </c>
    </row>
    <row r="50" spans="9:40" x14ac:dyDescent="0.45">
      <c r="I50" t="s">
        <v>162</v>
      </c>
      <c r="J50" t="s">
        <v>286</v>
      </c>
      <c r="K50">
        <v>1.9160199153639448E-2</v>
      </c>
      <c r="L50" t="s">
        <v>153</v>
      </c>
      <c r="N50" t="s">
        <v>205</v>
      </c>
      <c r="O50" t="s">
        <v>286</v>
      </c>
      <c r="P50">
        <v>1.6383635418503528E-2</v>
      </c>
      <c r="Q50" t="s">
        <v>153</v>
      </c>
      <c r="S50" t="s">
        <v>247</v>
      </c>
      <c r="T50" t="s">
        <v>286</v>
      </c>
      <c r="U50">
        <v>1.340020748916408E-2</v>
      </c>
      <c r="V50" t="s">
        <v>153</v>
      </c>
      <c r="AC50" t="s">
        <v>19</v>
      </c>
      <c r="AD50" t="s">
        <v>286</v>
      </c>
      <c r="AE50">
        <v>1.1848521257443295E-2</v>
      </c>
      <c r="AK50">
        <v>2031</v>
      </c>
      <c r="AL50" t="s">
        <v>292</v>
      </c>
      <c r="AM50">
        <v>0.31140000000000001</v>
      </c>
      <c r="AN50" t="s">
        <v>275</v>
      </c>
    </row>
    <row r="51" spans="9:40" x14ac:dyDescent="0.45">
      <c r="I51" t="s">
        <v>162</v>
      </c>
      <c r="J51" t="s">
        <v>287</v>
      </c>
      <c r="K51">
        <v>5.1908647559499518E-3</v>
      </c>
      <c r="L51" t="s">
        <v>153</v>
      </c>
      <c r="N51" t="s">
        <v>205</v>
      </c>
      <c r="O51" t="s">
        <v>287</v>
      </c>
      <c r="P51">
        <v>1.5174220515506411E-2</v>
      </c>
      <c r="Q51" t="s">
        <v>153</v>
      </c>
      <c r="S51" t="s">
        <v>247</v>
      </c>
      <c r="T51" t="s">
        <v>287</v>
      </c>
      <c r="U51">
        <v>1.3562944472062671E-2</v>
      </c>
      <c r="V51" t="s">
        <v>153</v>
      </c>
      <c r="AC51" t="s">
        <v>19</v>
      </c>
      <c r="AD51" t="s">
        <v>287</v>
      </c>
      <c r="AE51">
        <v>1.1860993392546496E-2</v>
      </c>
      <c r="AK51">
        <v>2032</v>
      </c>
      <c r="AL51" t="s">
        <v>142</v>
      </c>
      <c r="AM51">
        <v>0.3691166666666667</v>
      </c>
      <c r="AN51" t="s">
        <v>275</v>
      </c>
    </row>
    <row r="52" spans="9:40" x14ac:dyDescent="0.45">
      <c r="I52" t="s">
        <v>162</v>
      </c>
      <c r="J52" t="s">
        <v>288</v>
      </c>
      <c r="K52">
        <v>0</v>
      </c>
      <c r="L52" t="s">
        <v>153</v>
      </c>
      <c r="N52" t="s">
        <v>205</v>
      </c>
      <c r="O52" t="s">
        <v>288</v>
      </c>
      <c r="P52">
        <v>5.6000044233615417E-2</v>
      </c>
      <c r="Q52" t="s">
        <v>153</v>
      </c>
      <c r="S52" t="s">
        <v>247</v>
      </c>
      <c r="T52" t="s">
        <v>288</v>
      </c>
      <c r="U52">
        <v>6.4769413671771511E-2</v>
      </c>
      <c r="V52" t="s">
        <v>153</v>
      </c>
      <c r="AC52" t="s">
        <v>19</v>
      </c>
      <c r="AD52" t="s">
        <v>288</v>
      </c>
      <c r="AE52">
        <v>5.9175653993852752E-2</v>
      </c>
      <c r="AK52">
        <v>2032</v>
      </c>
      <c r="AL52" t="s">
        <v>146</v>
      </c>
      <c r="AM52">
        <v>5.000000000000001E-2</v>
      </c>
      <c r="AN52" t="s">
        <v>275</v>
      </c>
    </row>
    <row r="53" spans="9:40" x14ac:dyDescent="0.45">
      <c r="I53" t="s">
        <v>162</v>
      </c>
      <c r="J53" t="s">
        <v>294</v>
      </c>
      <c r="K53">
        <v>5.4437346572994748E-3</v>
      </c>
      <c r="L53" t="s">
        <v>153</v>
      </c>
      <c r="N53" t="s">
        <v>205</v>
      </c>
      <c r="O53" t="s">
        <v>294</v>
      </c>
      <c r="P53">
        <v>6.6294152399348494E-3</v>
      </c>
      <c r="Q53" t="s">
        <v>153</v>
      </c>
      <c r="S53" t="s">
        <v>247</v>
      </c>
      <c r="T53" t="s">
        <v>294</v>
      </c>
      <c r="U53">
        <v>2.6323671307434609E-2</v>
      </c>
      <c r="V53" t="s">
        <v>153</v>
      </c>
      <c r="AC53" t="s">
        <v>19</v>
      </c>
      <c r="AD53" t="s">
        <v>294</v>
      </c>
      <c r="AE53">
        <v>2.2850274196920681E-2</v>
      </c>
      <c r="AK53">
        <v>2032</v>
      </c>
      <c r="AL53" t="s">
        <v>148</v>
      </c>
      <c r="AM53">
        <v>0.14548</v>
      </c>
      <c r="AN53" t="s">
        <v>275</v>
      </c>
    </row>
    <row r="54" spans="9:40" x14ac:dyDescent="0.45">
      <c r="I54" t="s">
        <v>162</v>
      </c>
      <c r="J54" t="s">
        <v>295</v>
      </c>
      <c r="K54">
        <v>7.0999041235454904E-3</v>
      </c>
      <c r="L54" t="s">
        <v>153</v>
      </c>
      <c r="N54" t="s">
        <v>205</v>
      </c>
      <c r="O54" t="s">
        <v>295</v>
      </c>
      <c r="P54">
        <v>8.9628296688338378E-4</v>
      </c>
      <c r="Q54" t="s">
        <v>153</v>
      </c>
      <c r="S54" t="s">
        <v>247</v>
      </c>
      <c r="T54" t="s">
        <v>295</v>
      </c>
      <c r="U54">
        <v>3.3221382225240418E-3</v>
      </c>
      <c r="V54" t="s">
        <v>153</v>
      </c>
      <c r="AC54" t="s">
        <v>19</v>
      </c>
      <c r="AD54" t="s">
        <v>295</v>
      </c>
      <c r="AE54">
        <v>3.2838897594695375E-3</v>
      </c>
      <c r="AK54">
        <v>2032</v>
      </c>
      <c r="AL54" t="s">
        <v>292</v>
      </c>
      <c r="AM54">
        <v>0.28720000000000001</v>
      </c>
      <c r="AN54" t="s">
        <v>275</v>
      </c>
    </row>
    <row r="55" spans="9:40" x14ac:dyDescent="0.45">
      <c r="I55" t="s">
        <v>162</v>
      </c>
      <c r="J55" t="s">
        <v>296</v>
      </c>
      <c r="K55">
        <v>7.4080215348936218E-2</v>
      </c>
      <c r="L55" t="s">
        <v>153</v>
      </c>
      <c r="N55" t="s">
        <v>205</v>
      </c>
      <c r="O55" t="s">
        <v>296</v>
      </c>
      <c r="P55">
        <v>1.595102803685956E-2</v>
      </c>
      <c r="Q55" t="s">
        <v>153</v>
      </c>
      <c r="S55" t="s">
        <v>247</v>
      </c>
      <c r="T55" t="s">
        <v>296</v>
      </c>
      <c r="U55">
        <v>3.2314494424090345E-2</v>
      </c>
      <c r="V55" t="s">
        <v>153</v>
      </c>
      <c r="AC55" t="s">
        <v>19</v>
      </c>
      <c r="AD55" t="s">
        <v>296</v>
      </c>
      <c r="AE55">
        <v>3.0000149485918341E-2</v>
      </c>
      <c r="AK55">
        <v>2033</v>
      </c>
      <c r="AL55" t="s">
        <v>142</v>
      </c>
      <c r="AM55">
        <v>0.44756666666666672</v>
      </c>
      <c r="AN55" t="s">
        <v>275</v>
      </c>
    </row>
    <row r="56" spans="9:40" x14ac:dyDescent="0.45">
      <c r="I56" t="s">
        <v>162</v>
      </c>
      <c r="J56" t="s">
        <v>297</v>
      </c>
      <c r="K56">
        <v>5.6420162062908574E-3</v>
      </c>
      <c r="L56" t="s">
        <v>153</v>
      </c>
      <c r="N56" t="s">
        <v>205</v>
      </c>
      <c r="O56" t="s">
        <v>297</v>
      </c>
      <c r="P56">
        <v>3.6066119196902012E-3</v>
      </c>
      <c r="Q56" t="s">
        <v>153</v>
      </c>
      <c r="S56" t="s">
        <v>247</v>
      </c>
      <c r="T56" t="s">
        <v>297</v>
      </c>
      <c r="U56">
        <v>4.7554826463300105E-3</v>
      </c>
      <c r="V56" t="s">
        <v>153</v>
      </c>
      <c r="AC56" t="s">
        <v>19</v>
      </c>
      <c r="AD56" t="s">
        <v>297</v>
      </c>
      <c r="AE56">
        <v>3.3344668313535241E-3</v>
      </c>
      <c r="AK56">
        <v>2033</v>
      </c>
      <c r="AL56" t="s">
        <v>146</v>
      </c>
      <c r="AM56">
        <v>0.26600000000000001</v>
      </c>
      <c r="AN56" t="s">
        <v>275</v>
      </c>
    </row>
    <row r="57" spans="9:40" x14ac:dyDescent="0.45">
      <c r="I57" t="s">
        <v>162</v>
      </c>
      <c r="J57" t="s">
        <v>298</v>
      </c>
      <c r="K57">
        <v>3.6077342811471724E-3</v>
      </c>
      <c r="L57" t="s">
        <v>153</v>
      </c>
      <c r="N57" t="s">
        <v>205</v>
      </c>
      <c r="O57" t="s">
        <v>298</v>
      </c>
      <c r="P57">
        <v>4.1197019908733026E-3</v>
      </c>
      <c r="Q57" t="s">
        <v>153</v>
      </c>
      <c r="S57" t="s">
        <v>247</v>
      </c>
      <c r="T57" t="s">
        <v>298</v>
      </c>
      <c r="U57">
        <v>4.8401160656559444E-3</v>
      </c>
      <c r="V57" t="s">
        <v>153</v>
      </c>
      <c r="AC57" t="s">
        <v>19</v>
      </c>
      <c r="AD57" t="s">
        <v>298</v>
      </c>
      <c r="AE57">
        <v>3.337559168402639E-3</v>
      </c>
      <c r="AK57">
        <v>2033</v>
      </c>
      <c r="AL57" t="s">
        <v>148</v>
      </c>
      <c r="AM57">
        <v>0.29630000000000001</v>
      </c>
      <c r="AN57" t="s">
        <v>275</v>
      </c>
    </row>
    <row r="58" spans="9:40" x14ac:dyDescent="0.45">
      <c r="I58" t="s">
        <v>162</v>
      </c>
      <c r="J58" t="s">
        <v>299</v>
      </c>
      <c r="K58">
        <v>0</v>
      </c>
      <c r="L58" t="s">
        <v>153</v>
      </c>
      <c r="N58" t="s">
        <v>205</v>
      </c>
      <c r="O58" t="s">
        <v>299</v>
      </c>
      <c r="P58">
        <v>1.5408985306081898E-2</v>
      </c>
      <c r="Q58" t="s">
        <v>153</v>
      </c>
      <c r="S58" t="s">
        <v>247</v>
      </c>
      <c r="T58" t="s">
        <v>299</v>
      </c>
      <c r="U58">
        <v>2.3540484864155505E-2</v>
      </c>
      <c r="V58" t="s">
        <v>153</v>
      </c>
      <c r="AC58" t="s">
        <v>19</v>
      </c>
      <c r="AD58" t="s">
        <v>299</v>
      </c>
      <c r="AE58">
        <v>1.6650859578281659E-2</v>
      </c>
      <c r="AK58">
        <v>2033</v>
      </c>
      <c r="AL58" t="s">
        <v>292</v>
      </c>
      <c r="AM58">
        <v>0.38369999999999999</v>
      </c>
      <c r="AN58" t="s">
        <v>275</v>
      </c>
    </row>
    <row r="59" spans="9:40" x14ac:dyDescent="0.45">
      <c r="I59" t="s">
        <v>163</v>
      </c>
      <c r="J59" t="s">
        <v>152</v>
      </c>
      <c r="K59">
        <v>1.2346697995919561E-2</v>
      </c>
      <c r="L59" t="s">
        <v>153</v>
      </c>
      <c r="N59" t="s">
        <v>206</v>
      </c>
      <c r="O59" t="s">
        <v>152</v>
      </c>
      <c r="P59">
        <v>0.10234343213468322</v>
      </c>
      <c r="Q59" t="s">
        <v>153</v>
      </c>
      <c r="S59" t="s">
        <v>248</v>
      </c>
      <c r="T59" t="s">
        <v>152</v>
      </c>
      <c r="U59">
        <v>0.11985597614347041</v>
      </c>
      <c r="V59" t="s">
        <v>153</v>
      </c>
      <c r="AK59">
        <v>2034</v>
      </c>
      <c r="AL59" t="s">
        <v>142</v>
      </c>
      <c r="AM59">
        <v>0.36313333333333336</v>
      </c>
      <c r="AN59" t="s">
        <v>275</v>
      </c>
    </row>
    <row r="60" spans="9:40" x14ac:dyDescent="0.45">
      <c r="I60" t="s">
        <v>163</v>
      </c>
      <c r="J60" t="s">
        <v>154</v>
      </c>
      <c r="K60">
        <v>3.2273783151247452E-2</v>
      </c>
      <c r="L60" t="s">
        <v>153</v>
      </c>
      <c r="N60" t="s">
        <v>206</v>
      </c>
      <c r="O60" t="s">
        <v>154</v>
      </c>
      <c r="P60">
        <v>1.1315861445349296E-2</v>
      </c>
      <c r="Q60" t="s">
        <v>153</v>
      </c>
      <c r="S60" t="s">
        <v>248</v>
      </c>
      <c r="T60" t="s">
        <v>154</v>
      </c>
      <c r="U60">
        <v>1.4269062396207087E-2</v>
      </c>
      <c r="V60" t="s">
        <v>153</v>
      </c>
      <c r="AK60">
        <v>2034</v>
      </c>
      <c r="AL60" t="s">
        <v>146</v>
      </c>
      <c r="AM60">
        <v>0.26450000000000001</v>
      </c>
      <c r="AN60" t="s">
        <v>275</v>
      </c>
    </row>
    <row r="61" spans="9:40" x14ac:dyDescent="0.45">
      <c r="I61" t="s">
        <v>163</v>
      </c>
      <c r="J61" t="s">
        <v>155</v>
      </c>
      <c r="K61">
        <v>0.36941642405055991</v>
      </c>
      <c r="L61" t="s">
        <v>153</v>
      </c>
      <c r="N61" t="s">
        <v>206</v>
      </c>
      <c r="O61" t="s">
        <v>155</v>
      </c>
      <c r="P61">
        <v>0.16494125201215529</v>
      </c>
      <c r="Q61" t="s">
        <v>153</v>
      </c>
      <c r="S61" t="s">
        <v>248</v>
      </c>
      <c r="T61" t="s">
        <v>155</v>
      </c>
      <c r="U61">
        <v>0.16690555574051669</v>
      </c>
      <c r="V61" t="s">
        <v>153</v>
      </c>
      <c r="AK61">
        <v>2034</v>
      </c>
      <c r="AL61" t="s">
        <v>148</v>
      </c>
      <c r="AM61">
        <v>0.19137999999999999</v>
      </c>
      <c r="AN61" t="s">
        <v>275</v>
      </c>
    </row>
    <row r="62" spans="9:40" x14ac:dyDescent="0.45">
      <c r="I62" t="s">
        <v>163</v>
      </c>
      <c r="J62" t="s">
        <v>280</v>
      </c>
      <c r="K62">
        <v>2.7184443758730754E-2</v>
      </c>
      <c r="L62" t="s">
        <v>153</v>
      </c>
      <c r="N62" t="s">
        <v>206</v>
      </c>
      <c r="O62" t="s">
        <v>280</v>
      </c>
      <c r="P62">
        <v>2.817551059413376E-2</v>
      </c>
      <c r="Q62" t="s">
        <v>153</v>
      </c>
      <c r="S62" t="s">
        <v>248</v>
      </c>
      <c r="T62" t="s">
        <v>280</v>
      </c>
      <c r="U62">
        <v>2.7402449770087878E-2</v>
      </c>
      <c r="V62" t="s">
        <v>153</v>
      </c>
      <c r="AK62">
        <v>2034</v>
      </c>
      <c r="AL62" t="s">
        <v>292</v>
      </c>
      <c r="AM62">
        <v>0.185</v>
      </c>
      <c r="AN62" t="s">
        <v>275</v>
      </c>
    </row>
    <row r="63" spans="9:40" x14ac:dyDescent="0.45">
      <c r="I63" t="s">
        <v>163</v>
      </c>
      <c r="J63" t="s">
        <v>281</v>
      </c>
      <c r="K63">
        <v>1.3827900235546524E-2</v>
      </c>
      <c r="L63" t="s">
        <v>153</v>
      </c>
      <c r="N63" t="s">
        <v>206</v>
      </c>
      <c r="O63" t="s">
        <v>281</v>
      </c>
      <c r="P63">
        <v>2.8258286492762647E-2</v>
      </c>
      <c r="Q63" t="s">
        <v>153</v>
      </c>
      <c r="S63" t="s">
        <v>248</v>
      </c>
      <c r="T63" t="s">
        <v>281</v>
      </c>
      <c r="U63">
        <v>2.7603719448234934E-2</v>
      </c>
      <c r="V63" t="s">
        <v>153</v>
      </c>
      <c r="AK63">
        <v>2035</v>
      </c>
      <c r="AL63" t="s">
        <v>142</v>
      </c>
      <c r="AM63">
        <v>0.37864999999999993</v>
      </c>
      <c r="AN63" t="s">
        <v>275</v>
      </c>
    </row>
    <row r="64" spans="9:40" x14ac:dyDescent="0.45">
      <c r="I64" t="s">
        <v>163</v>
      </c>
      <c r="J64" t="s">
        <v>282</v>
      </c>
      <c r="K64">
        <v>2.1109702662603328E-5</v>
      </c>
      <c r="L64" t="s">
        <v>153</v>
      </c>
      <c r="N64" t="s">
        <v>206</v>
      </c>
      <c r="O64" t="s">
        <v>282</v>
      </c>
      <c r="P64">
        <v>0.11837206227748066</v>
      </c>
      <c r="Q64" t="s">
        <v>153</v>
      </c>
      <c r="S64" t="s">
        <v>248</v>
      </c>
      <c r="T64" t="s">
        <v>282</v>
      </c>
      <c r="U64">
        <v>0.12185262105027732</v>
      </c>
      <c r="V64" t="s">
        <v>153</v>
      </c>
      <c r="AK64">
        <v>2035</v>
      </c>
      <c r="AL64" t="s">
        <v>146</v>
      </c>
      <c r="AM64">
        <v>0.22930000000000003</v>
      </c>
      <c r="AN64" t="s">
        <v>275</v>
      </c>
    </row>
    <row r="65" spans="9:40" x14ac:dyDescent="0.45">
      <c r="I65" t="s">
        <v>163</v>
      </c>
      <c r="J65" t="s">
        <v>156</v>
      </c>
      <c r="K65">
        <v>0</v>
      </c>
      <c r="L65" t="s">
        <v>153</v>
      </c>
      <c r="N65" t="s">
        <v>206</v>
      </c>
      <c r="O65" t="s">
        <v>156</v>
      </c>
      <c r="P65">
        <v>4.1052094341787755E-2</v>
      </c>
      <c r="Q65" t="s">
        <v>153</v>
      </c>
      <c r="S65" t="s">
        <v>248</v>
      </c>
      <c r="T65" t="s">
        <v>156</v>
      </c>
      <c r="U65">
        <v>4.0582604011727468E-2</v>
      </c>
      <c r="V65" t="s">
        <v>153</v>
      </c>
      <c r="AK65">
        <v>2035</v>
      </c>
      <c r="AL65" t="s">
        <v>148</v>
      </c>
      <c r="AM65">
        <v>0.20916000000000001</v>
      </c>
      <c r="AN65" t="s">
        <v>275</v>
      </c>
    </row>
    <row r="66" spans="9:40" x14ac:dyDescent="0.45">
      <c r="I66" t="s">
        <v>163</v>
      </c>
      <c r="J66" t="s">
        <v>157</v>
      </c>
      <c r="K66">
        <v>4.9623287344637262E-3</v>
      </c>
      <c r="L66" t="s">
        <v>153</v>
      </c>
      <c r="N66" t="s">
        <v>206</v>
      </c>
      <c r="O66" t="s">
        <v>157</v>
      </c>
      <c r="P66">
        <v>5.9395216550687229E-3</v>
      </c>
      <c r="Q66" t="s">
        <v>153</v>
      </c>
      <c r="S66" t="s">
        <v>248</v>
      </c>
      <c r="T66" t="s">
        <v>157</v>
      </c>
      <c r="U66">
        <v>5.7564051161966877E-3</v>
      </c>
      <c r="V66" t="s">
        <v>153</v>
      </c>
      <c r="AK66">
        <v>2035</v>
      </c>
      <c r="AL66" t="s">
        <v>292</v>
      </c>
      <c r="AM66">
        <v>0.38700000000000001</v>
      </c>
      <c r="AN66" t="s">
        <v>275</v>
      </c>
    </row>
    <row r="67" spans="9:40" x14ac:dyDescent="0.45">
      <c r="I67" t="s">
        <v>163</v>
      </c>
      <c r="J67" t="s">
        <v>158</v>
      </c>
      <c r="K67">
        <v>0.10128670104839101</v>
      </c>
      <c r="L67" t="s">
        <v>153</v>
      </c>
      <c r="N67" t="s">
        <v>206</v>
      </c>
      <c r="O67" t="s">
        <v>158</v>
      </c>
      <c r="P67">
        <v>8.0140637719306199E-2</v>
      </c>
      <c r="Q67" t="s">
        <v>153</v>
      </c>
      <c r="S67" t="s">
        <v>248</v>
      </c>
      <c r="T67" t="s">
        <v>158</v>
      </c>
      <c r="U67">
        <v>5.0623111399147692E-2</v>
      </c>
      <c r="V67" t="s">
        <v>153</v>
      </c>
      <c r="AK67">
        <v>2036</v>
      </c>
      <c r="AL67" t="s">
        <v>142</v>
      </c>
      <c r="AM67">
        <v>0.35435</v>
      </c>
      <c r="AN67" t="s">
        <v>275</v>
      </c>
    </row>
    <row r="68" spans="9:40" x14ac:dyDescent="0.45">
      <c r="I68" t="s">
        <v>163</v>
      </c>
      <c r="J68" t="s">
        <v>283</v>
      </c>
      <c r="K68">
        <v>6.1801441852621219E-3</v>
      </c>
      <c r="L68" t="s">
        <v>153</v>
      </c>
      <c r="N68" t="s">
        <v>206</v>
      </c>
      <c r="O68" t="s">
        <v>283</v>
      </c>
      <c r="P68">
        <v>8.0910376005676517E-3</v>
      </c>
      <c r="Q68" t="s">
        <v>153</v>
      </c>
      <c r="S68" t="s">
        <v>248</v>
      </c>
      <c r="T68" t="s">
        <v>283</v>
      </c>
      <c r="U68">
        <v>6.3967619415165357E-3</v>
      </c>
      <c r="V68" t="s">
        <v>153</v>
      </c>
      <c r="AK68">
        <v>2036</v>
      </c>
      <c r="AL68" t="s">
        <v>146</v>
      </c>
      <c r="AM68">
        <v>5.000000000000001E-2</v>
      </c>
      <c r="AN68" t="s">
        <v>275</v>
      </c>
    </row>
    <row r="69" spans="9:40" x14ac:dyDescent="0.45">
      <c r="I69" t="s">
        <v>163</v>
      </c>
      <c r="J69" t="s">
        <v>284</v>
      </c>
      <c r="K69">
        <v>0</v>
      </c>
      <c r="L69" t="s">
        <v>153</v>
      </c>
      <c r="N69" t="s">
        <v>206</v>
      </c>
      <c r="O69" t="s">
        <v>284</v>
      </c>
      <c r="P69">
        <v>7.1694303296047836E-3</v>
      </c>
      <c r="Q69" t="s">
        <v>153</v>
      </c>
      <c r="S69" t="s">
        <v>248</v>
      </c>
      <c r="T69" t="s">
        <v>284</v>
      </c>
      <c r="U69">
        <v>6.5031987318958998E-3</v>
      </c>
      <c r="V69" t="s">
        <v>153</v>
      </c>
      <c r="AK69">
        <v>2036</v>
      </c>
      <c r="AL69" t="s">
        <v>148</v>
      </c>
      <c r="AM69">
        <v>0.11658000000000002</v>
      </c>
      <c r="AN69" t="s">
        <v>275</v>
      </c>
    </row>
    <row r="70" spans="9:40" x14ac:dyDescent="0.45">
      <c r="I70" t="s">
        <v>163</v>
      </c>
      <c r="J70" t="s">
        <v>285</v>
      </c>
      <c r="K70">
        <v>0</v>
      </c>
      <c r="L70" t="s">
        <v>153</v>
      </c>
      <c r="N70" t="s">
        <v>206</v>
      </c>
      <c r="O70" t="s">
        <v>285</v>
      </c>
      <c r="P70">
        <v>3.1626104222045932E-2</v>
      </c>
      <c r="Q70" t="s">
        <v>153</v>
      </c>
      <c r="S70" t="s">
        <v>248</v>
      </c>
      <c r="T70" t="s">
        <v>285</v>
      </c>
      <c r="U70">
        <v>3.1343109936264678E-2</v>
      </c>
      <c r="V70" t="s">
        <v>153</v>
      </c>
      <c r="AK70">
        <v>2036</v>
      </c>
      <c r="AL70" t="s">
        <v>292</v>
      </c>
      <c r="AM70">
        <v>0.36870000000000003</v>
      </c>
      <c r="AN70" t="s">
        <v>275</v>
      </c>
    </row>
    <row r="71" spans="9:40" x14ac:dyDescent="0.45">
      <c r="I71" t="s">
        <v>163</v>
      </c>
      <c r="J71" t="s">
        <v>159</v>
      </c>
      <c r="K71">
        <v>1.6356566673188164E-2</v>
      </c>
      <c r="L71" t="s">
        <v>153</v>
      </c>
      <c r="N71" t="s">
        <v>206</v>
      </c>
      <c r="O71" t="s">
        <v>159</v>
      </c>
      <c r="P71">
        <v>6.4055144196499589E-2</v>
      </c>
      <c r="Q71" t="s">
        <v>153</v>
      </c>
      <c r="S71" t="s">
        <v>248</v>
      </c>
      <c r="T71" t="s">
        <v>159</v>
      </c>
      <c r="U71">
        <v>7.2272191308029657E-2</v>
      </c>
      <c r="V71" t="s">
        <v>153</v>
      </c>
      <c r="AK71">
        <v>2037</v>
      </c>
      <c r="AL71" t="s">
        <v>142</v>
      </c>
      <c r="AM71">
        <v>0.27431666666666665</v>
      </c>
      <c r="AN71" t="s">
        <v>275</v>
      </c>
    </row>
    <row r="72" spans="9:40" x14ac:dyDescent="0.45">
      <c r="I72" t="s">
        <v>163</v>
      </c>
      <c r="J72" t="s">
        <v>160</v>
      </c>
      <c r="K72">
        <v>2.4133695441740904E-2</v>
      </c>
      <c r="L72" t="s">
        <v>153</v>
      </c>
      <c r="N72" t="s">
        <v>206</v>
      </c>
      <c r="O72" t="s">
        <v>160</v>
      </c>
      <c r="P72">
        <v>8.1063767549509266E-3</v>
      </c>
      <c r="Q72" t="s">
        <v>153</v>
      </c>
      <c r="S72" t="s">
        <v>248</v>
      </c>
      <c r="T72" t="s">
        <v>160</v>
      </c>
      <c r="U72">
        <v>8.6141665288313411E-3</v>
      </c>
      <c r="V72" t="s">
        <v>153</v>
      </c>
      <c r="AK72">
        <v>2037</v>
      </c>
      <c r="AL72" t="s">
        <v>146</v>
      </c>
      <c r="AM72">
        <v>0.16339999999999999</v>
      </c>
      <c r="AN72" t="s">
        <v>275</v>
      </c>
    </row>
    <row r="73" spans="9:40" x14ac:dyDescent="0.45">
      <c r="I73" t="s">
        <v>163</v>
      </c>
      <c r="J73" t="s">
        <v>161</v>
      </c>
      <c r="K73">
        <v>0.25926661369631065</v>
      </c>
      <c r="L73" t="s">
        <v>153</v>
      </c>
      <c r="N73" t="s">
        <v>206</v>
      </c>
      <c r="O73" t="s">
        <v>161</v>
      </c>
      <c r="P73">
        <v>0.11559082157402274</v>
      </c>
      <c r="Q73" t="s">
        <v>153</v>
      </c>
      <c r="S73" t="s">
        <v>248</v>
      </c>
      <c r="T73" t="s">
        <v>161</v>
      </c>
      <c r="U73">
        <v>0.10800561938964791</v>
      </c>
      <c r="V73" t="s">
        <v>153</v>
      </c>
      <c r="AK73">
        <v>2037</v>
      </c>
      <c r="AL73" t="s">
        <v>148</v>
      </c>
      <c r="AM73">
        <v>0.16541999999999998</v>
      </c>
      <c r="AN73" t="s">
        <v>275</v>
      </c>
    </row>
    <row r="74" spans="9:40" x14ac:dyDescent="0.45">
      <c r="I74" t="s">
        <v>163</v>
      </c>
      <c r="J74" t="s">
        <v>286</v>
      </c>
      <c r="K74">
        <v>2.0010726692847494E-2</v>
      </c>
      <c r="L74" t="s">
        <v>153</v>
      </c>
      <c r="N74" t="s">
        <v>206</v>
      </c>
      <c r="O74" t="s">
        <v>286</v>
      </c>
      <c r="P74">
        <v>1.6543729516193543E-2</v>
      </c>
      <c r="Q74" t="s">
        <v>153</v>
      </c>
      <c r="S74" t="s">
        <v>248</v>
      </c>
      <c r="T74" t="s">
        <v>286</v>
      </c>
      <c r="U74">
        <v>1.7551868741520957E-2</v>
      </c>
      <c r="V74" t="s">
        <v>153</v>
      </c>
      <c r="AK74">
        <v>2037</v>
      </c>
      <c r="AL74" t="s">
        <v>292</v>
      </c>
      <c r="AM74">
        <v>0.28889999999999999</v>
      </c>
      <c r="AN74" t="s">
        <v>275</v>
      </c>
    </row>
    <row r="75" spans="9:40" x14ac:dyDescent="0.45">
      <c r="I75" t="s">
        <v>163</v>
      </c>
      <c r="J75" t="s">
        <v>287</v>
      </c>
      <c r="K75">
        <v>6.2646217279922912E-3</v>
      </c>
      <c r="L75" t="s">
        <v>153</v>
      </c>
      <c r="N75" t="s">
        <v>206</v>
      </c>
      <c r="O75" t="s">
        <v>287</v>
      </c>
      <c r="P75">
        <v>1.5574658529152168E-2</v>
      </c>
      <c r="Q75" t="s">
        <v>153</v>
      </c>
      <c r="S75" t="s">
        <v>248</v>
      </c>
      <c r="T75" t="s">
        <v>287</v>
      </c>
      <c r="U75">
        <v>1.7134921840495945E-2</v>
      </c>
      <c r="V75" t="s">
        <v>153</v>
      </c>
      <c r="AK75">
        <v>2038</v>
      </c>
      <c r="AL75" t="s">
        <v>142</v>
      </c>
      <c r="AM75">
        <v>0.27021666666666666</v>
      </c>
      <c r="AN75" t="s">
        <v>275</v>
      </c>
    </row>
    <row r="76" spans="9:40" x14ac:dyDescent="0.45">
      <c r="I76" t="s">
        <v>163</v>
      </c>
      <c r="J76" t="s">
        <v>288</v>
      </c>
      <c r="K76">
        <v>0</v>
      </c>
      <c r="L76" t="s">
        <v>153</v>
      </c>
      <c r="N76" t="s">
        <v>206</v>
      </c>
      <c r="O76" t="s">
        <v>288</v>
      </c>
      <c r="P76">
        <v>6.5589428141967096E-2</v>
      </c>
      <c r="Q76" t="s">
        <v>153</v>
      </c>
      <c r="S76" t="s">
        <v>248</v>
      </c>
      <c r="T76" t="s">
        <v>288</v>
      </c>
      <c r="U76">
        <v>7.0871955812795456E-2</v>
      </c>
      <c r="V76" t="s">
        <v>153</v>
      </c>
      <c r="AK76">
        <v>2038</v>
      </c>
      <c r="AL76" t="s">
        <v>146</v>
      </c>
      <c r="AM76">
        <v>5.000000000000001E-2</v>
      </c>
      <c r="AN76" t="s">
        <v>275</v>
      </c>
    </row>
    <row r="77" spans="9:40" x14ac:dyDescent="0.45">
      <c r="I77" t="s">
        <v>163</v>
      </c>
      <c r="J77" t="s">
        <v>294</v>
      </c>
      <c r="K77">
        <v>8.0246091648484719E-3</v>
      </c>
      <c r="L77" t="s">
        <v>153</v>
      </c>
      <c r="N77" t="s">
        <v>206</v>
      </c>
      <c r="O77" t="s">
        <v>294</v>
      </c>
      <c r="P77">
        <v>1.8404976308512143E-2</v>
      </c>
      <c r="Q77" t="s">
        <v>153</v>
      </c>
      <c r="S77" t="s">
        <v>248</v>
      </c>
      <c r="T77" t="s">
        <v>294</v>
      </c>
      <c r="U77">
        <v>2.0035320273493206E-2</v>
      </c>
      <c r="V77" t="s">
        <v>153</v>
      </c>
      <c r="AK77">
        <v>2038</v>
      </c>
      <c r="AL77" t="s">
        <v>148</v>
      </c>
      <c r="AM77">
        <v>0.13203999999999999</v>
      </c>
      <c r="AN77" t="s">
        <v>275</v>
      </c>
    </row>
    <row r="78" spans="9:40" x14ac:dyDescent="0.45">
      <c r="I78" t="s">
        <v>163</v>
      </c>
      <c r="J78" t="s">
        <v>295</v>
      </c>
      <c r="K78">
        <v>7.955821470404972E-3</v>
      </c>
      <c r="L78" t="s">
        <v>153</v>
      </c>
      <c r="N78" t="s">
        <v>206</v>
      </c>
      <c r="O78" t="s">
        <v>295</v>
      </c>
      <c r="P78">
        <v>1.6594893371979389E-3</v>
      </c>
      <c r="Q78" t="s">
        <v>153</v>
      </c>
      <c r="S78" t="s">
        <v>248</v>
      </c>
      <c r="T78" t="s">
        <v>295</v>
      </c>
      <c r="U78">
        <v>1.817428808851877E-3</v>
      </c>
      <c r="V78" t="s">
        <v>153</v>
      </c>
      <c r="AK78">
        <v>2038</v>
      </c>
      <c r="AL78" t="s">
        <v>292</v>
      </c>
      <c r="AM78">
        <v>0.20250000000000001</v>
      </c>
      <c r="AN78" t="s">
        <v>275</v>
      </c>
    </row>
    <row r="79" spans="9:40" x14ac:dyDescent="0.45">
      <c r="I79" t="s">
        <v>163</v>
      </c>
      <c r="J79" t="s">
        <v>296</v>
      </c>
      <c r="K79">
        <v>7.9876842958588032E-2</v>
      </c>
      <c r="L79" t="s">
        <v>153</v>
      </c>
      <c r="N79" t="s">
        <v>206</v>
      </c>
      <c r="O79" t="s">
        <v>296</v>
      </c>
      <c r="P79">
        <v>2.6346516170046696E-2</v>
      </c>
      <c r="Q79" t="s">
        <v>153</v>
      </c>
      <c r="S79" t="s">
        <v>248</v>
      </c>
      <c r="T79" t="s">
        <v>296</v>
      </c>
      <c r="U79">
        <v>3.0347656189891527E-2</v>
      </c>
      <c r="V79" t="s">
        <v>153</v>
      </c>
      <c r="AK79">
        <v>2039</v>
      </c>
      <c r="AL79" t="s">
        <v>142</v>
      </c>
      <c r="AM79">
        <v>0.33373333333333338</v>
      </c>
      <c r="AN79" t="s">
        <v>275</v>
      </c>
    </row>
    <row r="80" spans="9:40" x14ac:dyDescent="0.45">
      <c r="I80" t="s">
        <v>163</v>
      </c>
      <c r="J80" t="s">
        <v>297</v>
      </c>
      <c r="K80">
        <v>6.3082729643538513E-3</v>
      </c>
      <c r="L80" t="s">
        <v>153</v>
      </c>
      <c r="N80" t="s">
        <v>206</v>
      </c>
      <c r="O80" t="s">
        <v>297</v>
      </c>
      <c r="P80">
        <v>6.4653003342220825E-3</v>
      </c>
      <c r="Q80" t="s">
        <v>153</v>
      </c>
      <c r="S80" t="s">
        <v>248</v>
      </c>
      <c r="T80" t="s">
        <v>297</v>
      </c>
      <c r="U80">
        <v>5.4856274018052842E-3</v>
      </c>
      <c r="V80" t="s">
        <v>153</v>
      </c>
      <c r="AK80">
        <v>2039</v>
      </c>
      <c r="AL80" t="s">
        <v>146</v>
      </c>
      <c r="AM80">
        <v>0.11126666666666667</v>
      </c>
      <c r="AN80" t="s">
        <v>275</v>
      </c>
    </row>
    <row r="81" spans="9:40" x14ac:dyDescent="0.45">
      <c r="I81" t="s">
        <v>163</v>
      </c>
      <c r="J81" t="s">
        <v>298</v>
      </c>
      <c r="K81">
        <v>4.3019187574836627E-3</v>
      </c>
      <c r="L81" t="s">
        <v>153</v>
      </c>
      <c r="N81" t="s">
        <v>206</v>
      </c>
      <c r="O81" t="s">
        <v>298</v>
      </c>
      <c r="P81">
        <v>6.827856325029474E-3</v>
      </c>
      <c r="Q81" t="s">
        <v>153</v>
      </c>
      <c r="S81" t="s">
        <v>248</v>
      </c>
      <c r="T81" t="s">
        <v>298</v>
      </c>
      <c r="U81">
        <v>5.3252863529002752E-3</v>
      </c>
      <c r="V81" t="s">
        <v>153</v>
      </c>
      <c r="AK81">
        <v>2039</v>
      </c>
      <c r="AL81" t="s">
        <v>148</v>
      </c>
      <c r="AM81">
        <v>9.6359999999999987E-2</v>
      </c>
      <c r="AN81" t="s">
        <v>275</v>
      </c>
    </row>
    <row r="82" spans="9:40" x14ac:dyDescent="0.45">
      <c r="I82" t="s">
        <v>163</v>
      </c>
      <c r="J82" t="s">
        <v>299</v>
      </c>
      <c r="K82">
        <v>7.7758945899088917E-7</v>
      </c>
      <c r="L82" t="s">
        <v>153</v>
      </c>
      <c r="N82" t="s">
        <v>206</v>
      </c>
      <c r="O82" t="s">
        <v>299</v>
      </c>
      <c r="P82">
        <v>2.7410471987260064E-2</v>
      </c>
      <c r="Q82" t="s">
        <v>153</v>
      </c>
      <c r="S82" t="s">
        <v>248</v>
      </c>
      <c r="T82" t="s">
        <v>299</v>
      </c>
      <c r="U82">
        <v>2.3443381666191723E-2</v>
      </c>
      <c r="V82" t="s">
        <v>153</v>
      </c>
      <c r="AK82">
        <v>2039</v>
      </c>
      <c r="AL82" t="s">
        <v>292</v>
      </c>
      <c r="AM82">
        <v>0.13009999999999999</v>
      </c>
      <c r="AN82" t="s">
        <v>275</v>
      </c>
    </row>
    <row r="83" spans="9:40" x14ac:dyDescent="0.45">
      <c r="I83" t="s">
        <v>164</v>
      </c>
      <c r="J83" t="s">
        <v>152</v>
      </c>
      <c r="K83">
        <v>1.4192965630004318E-2</v>
      </c>
      <c r="L83" t="s">
        <v>153</v>
      </c>
      <c r="N83" t="s">
        <v>207</v>
      </c>
      <c r="O83" t="s">
        <v>152</v>
      </c>
      <c r="P83">
        <v>7.5488060681246763E-2</v>
      </c>
      <c r="Q83" t="s">
        <v>153</v>
      </c>
      <c r="S83" t="s">
        <v>249</v>
      </c>
      <c r="T83" t="s">
        <v>152</v>
      </c>
      <c r="U83">
        <v>0.14137385707328026</v>
      </c>
      <c r="V83" t="s">
        <v>153</v>
      </c>
      <c r="AK83">
        <v>2040</v>
      </c>
      <c r="AL83" t="s">
        <v>142</v>
      </c>
      <c r="AM83">
        <v>0.36719999999999997</v>
      </c>
      <c r="AN83" t="s">
        <v>275</v>
      </c>
    </row>
    <row r="84" spans="9:40" x14ac:dyDescent="0.45">
      <c r="I84" t="s">
        <v>164</v>
      </c>
      <c r="J84" t="s">
        <v>154</v>
      </c>
      <c r="K84">
        <v>3.3374492466721306E-2</v>
      </c>
      <c r="L84" t="s">
        <v>153</v>
      </c>
      <c r="N84" t="s">
        <v>207</v>
      </c>
      <c r="O84" t="s">
        <v>154</v>
      </c>
      <c r="P84">
        <v>1.0620416673946989E-2</v>
      </c>
      <c r="Q84" t="s">
        <v>153</v>
      </c>
      <c r="S84" t="s">
        <v>249</v>
      </c>
      <c r="T84" t="s">
        <v>154</v>
      </c>
      <c r="U84">
        <v>1.8882744799444962E-2</v>
      </c>
      <c r="V84" t="s">
        <v>153</v>
      </c>
      <c r="AK84">
        <v>2040</v>
      </c>
      <c r="AL84" t="s">
        <v>146</v>
      </c>
      <c r="AM84">
        <v>0.1704</v>
      </c>
      <c r="AN84" t="s">
        <v>275</v>
      </c>
    </row>
    <row r="85" spans="9:40" x14ac:dyDescent="0.45">
      <c r="I85" t="s">
        <v>164</v>
      </c>
      <c r="J85" t="s">
        <v>155</v>
      </c>
      <c r="K85">
        <v>0.36689167338037931</v>
      </c>
      <c r="L85" t="s">
        <v>153</v>
      </c>
      <c r="N85" t="s">
        <v>207</v>
      </c>
      <c r="O85" t="s">
        <v>155</v>
      </c>
      <c r="P85">
        <v>0.18850230626624637</v>
      </c>
      <c r="Q85" t="s">
        <v>153</v>
      </c>
      <c r="S85" t="s">
        <v>249</v>
      </c>
      <c r="T85" t="s">
        <v>155</v>
      </c>
      <c r="U85">
        <v>0.17036980359691067</v>
      </c>
      <c r="V85" t="s">
        <v>153</v>
      </c>
      <c r="AK85">
        <v>2040</v>
      </c>
      <c r="AL85" t="s">
        <v>148</v>
      </c>
      <c r="AM85">
        <v>0.21082000000000001</v>
      </c>
      <c r="AN85" t="s">
        <v>275</v>
      </c>
    </row>
    <row r="86" spans="9:40" x14ac:dyDescent="0.45">
      <c r="I86" t="s">
        <v>164</v>
      </c>
      <c r="J86" t="s">
        <v>280</v>
      </c>
      <c r="K86">
        <v>2.382808345891271E-2</v>
      </c>
      <c r="L86" t="s">
        <v>153</v>
      </c>
      <c r="N86" t="s">
        <v>207</v>
      </c>
      <c r="O86" t="s">
        <v>280</v>
      </c>
      <c r="P86">
        <v>3.1211164177406794E-2</v>
      </c>
      <c r="Q86" t="s">
        <v>153</v>
      </c>
      <c r="S86" t="s">
        <v>249</v>
      </c>
      <c r="T86" t="s">
        <v>280</v>
      </c>
      <c r="U86">
        <v>2.2569987848754657E-2</v>
      </c>
      <c r="V86" t="s">
        <v>153</v>
      </c>
      <c r="AK86">
        <v>2040</v>
      </c>
      <c r="AL86" t="s">
        <v>292</v>
      </c>
      <c r="AM86">
        <v>0.39600000000000002</v>
      </c>
      <c r="AN86" t="s">
        <v>275</v>
      </c>
    </row>
    <row r="87" spans="9:40" x14ac:dyDescent="0.45">
      <c r="I87" t="s">
        <v>164</v>
      </c>
      <c r="J87" t="s">
        <v>281</v>
      </c>
      <c r="K87">
        <v>1.1539615944117338E-2</v>
      </c>
      <c r="L87" t="s">
        <v>153</v>
      </c>
      <c r="N87" t="s">
        <v>207</v>
      </c>
      <c r="O87" t="s">
        <v>281</v>
      </c>
      <c r="P87">
        <v>2.7348806318076239E-2</v>
      </c>
      <c r="Q87" t="s">
        <v>153</v>
      </c>
      <c r="S87" t="s">
        <v>249</v>
      </c>
      <c r="T87" t="s">
        <v>281</v>
      </c>
      <c r="U87">
        <v>2.3033017326380325E-2</v>
      </c>
      <c r="V87" t="s">
        <v>153</v>
      </c>
      <c r="AK87">
        <v>2041</v>
      </c>
      <c r="AL87" t="s">
        <v>142</v>
      </c>
      <c r="AM87">
        <v>0.28056666666666663</v>
      </c>
      <c r="AN87" t="s">
        <v>275</v>
      </c>
    </row>
    <row r="88" spans="9:40" x14ac:dyDescent="0.45">
      <c r="I88" t="s">
        <v>164</v>
      </c>
      <c r="J88" t="s">
        <v>282</v>
      </c>
      <c r="K88">
        <v>0</v>
      </c>
      <c r="L88" t="s">
        <v>153</v>
      </c>
      <c r="N88" t="s">
        <v>207</v>
      </c>
      <c r="O88" t="s">
        <v>282</v>
      </c>
      <c r="P88">
        <v>7.716089252268879E-2</v>
      </c>
      <c r="Q88" t="s">
        <v>153</v>
      </c>
      <c r="S88" t="s">
        <v>249</v>
      </c>
      <c r="T88" t="s">
        <v>282</v>
      </c>
      <c r="U88">
        <v>0.11274880966911073</v>
      </c>
      <c r="V88" t="s">
        <v>153</v>
      </c>
      <c r="AK88">
        <v>2041</v>
      </c>
      <c r="AL88" t="s">
        <v>146</v>
      </c>
      <c r="AM88">
        <v>0.1245</v>
      </c>
      <c r="AN88" t="s">
        <v>275</v>
      </c>
    </row>
    <row r="89" spans="9:40" x14ac:dyDescent="0.45">
      <c r="I89" t="s">
        <v>164</v>
      </c>
      <c r="J89" t="s">
        <v>156</v>
      </c>
      <c r="K89">
        <v>0</v>
      </c>
      <c r="L89" t="s">
        <v>153</v>
      </c>
      <c r="N89" t="s">
        <v>207</v>
      </c>
      <c r="O89" t="s">
        <v>156</v>
      </c>
      <c r="P89">
        <v>5.0048102588184186E-2</v>
      </c>
      <c r="Q89" t="s">
        <v>153</v>
      </c>
      <c r="S89" t="s">
        <v>249</v>
      </c>
      <c r="T89" t="s">
        <v>156</v>
      </c>
      <c r="U89">
        <v>3.941888229180094E-2</v>
      </c>
      <c r="V89" t="s">
        <v>153</v>
      </c>
      <c r="AK89">
        <v>2041</v>
      </c>
      <c r="AL89" t="s">
        <v>148</v>
      </c>
      <c r="AM89">
        <v>0.21038000000000001</v>
      </c>
      <c r="AN89" t="s">
        <v>275</v>
      </c>
    </row>
    <row r="90" spans="9:40" x14ac:dyDescent="0.45">
      <c r="I90" t="s">
        <v>164</v>
      </c>
      <c r="J90" t="s">
        <v>157</v>
      </c>
      <c r="K90">
        <v>8.4977927583309836E-3</v>
      </c>
      <c r="L90" t="s">
        <v>153</v>
      </c>
      <c r="N90" t="s">
        <v>207</v>
      </c>
      <c r="O90" t="s">
        <v>157</v>
      </c>
      <c r="P90">
        <v>7.1509564904167853E-3</v>
      </c>
      <c r="Q90" t="s">
        <v>153</v>
      </c>
      <c r="S90" t="s">
        <v>249</v>
      </c>
      <c r="T90" t="s">
        <v>157</v>
      </c>
      <c r="U90">
        <v>5.5119135387227056E-3</v>
      </c>
      <c r="V90" t="s">
        <v>153</v>
      </c>
      <c r="AK90">
        <v>2041</v>
      </c>
      <c r="AL90" t="s">
        <v>292</v>
      </c>
      <c r="AM90">
        <v>0.2999</v>
      </c>
      <c r="AN90" t="s">
        <v>275</v>
      </c>
    </row>
    <row r="91" spans="9:40" x14ac:dyDescent="0.45">
      <c r="I91" t="s">
        <v>164</v>
      </c>
      <c r="J91" t="s">
        <v>158</v>
      </c>
      <c r="K91">
        <v>0.10450139021889647</v>
      </c>
      <c r="L91" t="s">
        <v>153</v>
      </c>
      <c r="N91" t="s">
        <v>207</v>
      </c>
      <c r="O91" t="s">
        <v>158</v>
      </c>
      <c r="P91">
        <v>0.10152546531770858</v>
      </c>
      <c r="Q91" t="s">
        <v>153</v>
      </c>
      <c r="S91" t="s">
        <v>249</v>
      </c>
      <c r="T91" t="s">
        <v>158</v>
      </c>
      <c r="U91">
        <v>4.7777735927838939E-2</v>
      </c>
      <c r="V91" t="s">
        <v>153</v>
      </c>
      <c r="AK91">
        <v>2042</v>
      </c>
      <c r="AL91" t="s">
        <v>142</v>
      </c>
      <c r="AM91">
        <v>0.24938333333333329</v>
      </c>
      <c r="AN91" t="s">
        <v>275</v>
      </c>
    </row>
    <row r="92" spans="9:40" x14ac:dyDescent="0.45">
      <c r="I92" t="s">
        <v>164</v>
      </c>
      <c r="J92" t="s">
        <v>283</v>
      </c>
      <c r="K92">
        <v>4.712020139347811E-3</v>
      </c>
      <c r="L92" t="s">
        <v>153</v>
      </c>
      <c r="N92" t="s">
        <v>207</v>
      </c>
      <c r="O92" t="s">
        <v>283</v>
      </c>
      <c r="P92">
        <v>1.0147639404036193E-2</v>
      </c>
      <c r="Q92" t="s">
        <v>153</v>
      </c>
      <c r="S92" t="s">
        <v>249</v>
      </c>
      <c r="T92" t="s">
        <v>283</v>
      </c>
      <c r="U92">
        <v>5.7914683830778448E-3</v>
      </c>
      <c r="V92" t="s">
        <v>153</v>
      </c>
      <c r="AK92">
        <v>2042</v>
      </c>
      <c r="AL92" t="s">
        <v>146</v>
      </c>
      <c r="AM92">
        <v>8.4766666666666657E-2</v>
      </c>
      <c r="AN92" t="s">
        <v>275</v>
      </c>
    </row>
    <row r="93" spans="9:40" x14ac:dyDescent="0.45">
      <c r="I93" t="s">
        <v>164</v>
      </c>
      <c r="J93" t="s">
        <v>284</v>
      </c>
      <c r="K93">
        <v>0</v>
      </c>
      <c r="L93" t="s">
        <v>153</v>
      </c>
      <c r="N93" t="s">
        <v>207</v>
      </c>
      <c r="O93" t="s">
        <v>284</v>
      </c>
      <c r="P93">
        <v>8.9265276373862185E-3</v>
      </c>
      <c r="Q93" t="s">
        <v>153</v>
      </c>
      <c r="S93" t="s">
        <v>249</v>
      </c>
      <c r="T93" t="s">
        <v>284</v>
      </c>
      <c r="U93">
        <v>5.9421489514189726E-3</v>
      </c>
      <c r="V93" t="s">
        <v>153</v>
      </c>
      <c r="AK93">
        <v>2042</v>
      </c>
      <c r="AL93" t="s">
        <v>148</v>
      </c>
      <c r="AM93">
        <v>0.22286</v>
      </c>
      <c r="AN93" t="s">
        <v>275</v>
      </c>
    </row>
    <row r="94" spans="9:40" x14ac:dyDescent="0.45">
      <c r="I94" t="s">
        <v>164</v>
      </c>
      <c r="J94" t="s">
        <v>285</v>
      </c>
      <c r="K94">
        <v>0</v>
      </c>
      <c r="L94" t="s">
        <v>153</v>
      </c>
      <c r="N94" t="s">
        <v>207</v>
      </c>
      <c r="O94" t="s">
        <v>285</v>
      </c>
      <c r="P94">
        <v>3.749950317712597E-2</v>
      </c>
      <c r="Q94" t="s">
        <v>153</v>
      </c>
      <c r="S94" t="s">
        <v>249</v>
      </c>
      <c r="T94" t="s">
        <v>285</v>
      </c>
      <c r="U94">
        <v>2.93689768314041E-2</v>
      </c>
      <c r="V94" t="s">
        <v>153</v>
      </c>
      <c r="AK94">
        <v>2042</v>
      </c>
      <c r="AL94" t="s">
        <v>292</v>
      </c>
      <c r="AM94">
        <v>0.37259999999999999</v>
      </c>
      <c r="AN94" t="s">
        <v>275</v>
      </c>
    </row>
    <row r="95" spans="9:40" x14ac:dyDescent="0.45">
      <c r="I95" t="s">
        <v>164</v>
      </c>
      <c r="J95" t="s">
        <v>159</v>
      </c>
      <c r="K95">
        <v>1.8297610560253221E-2</v>
      </c>
      <c r="L95" t="s">
        <v>153</v>
      </c>
      <c r="N95" t="s">
        <v>207</v>
      </c>
      <c r="O95" t="s">
        <v>159</v>
      </c>
      <c r="P95">
        <v>5.5465100885995385E-2</v>
      </c>
      <c r="Q95" t="s">
        <v>153</v>
      </c>
      <c r="S95" t="s">
        <v>249</v>
      </c>
      <c r="T95" t="s">
        <v>159</v>
      </c>
      <c r="U95">
        <v>8.5352098368700655E-2</v>
      </c>
      <c r="V95" t="s">
        <v>153</v>
      </c>
      <c r="AK95">
        <v>2043</v>
      </c>
      <c r="AL95" t="s">
        <v>142</v>
      </c>
      <c r="AM95">
        <v>0.37969999999999998</v>
      </c>
      <c r="AN95" t="s">
        <v>275</v>
      </c>
    </row>
    <row r="96" spans="9:40" x14ac:dyDescent="0.45">
      <c r="I96" t="s">
        <v>164</v>
      </c>
      <c r="J96" t="s">
        <v>160</v>
      </c>
      <c r="K96">
        <v>2.4153587337699841E-2</v>
      </c>
      <c r="L96" t="s">
        <v>153</v>
      </c>
      <c r="N96" t="s">
        <v>207</v>
      </c>
      <c r="O96" t="s">
        <v>160</v>
      </c>
      <c r="P96">
        <v>8.5179223946782873E-3</v>
      </c>
      <c r="Q96" t="s">
        <v>153</v>
      </c>
      <c r="S96" t="s">
        <v>249</v>
      </c>
      <c r="T96" t="s">
        <v>160</v>
      </c>
      <c r="U96">
        <v>1.1537445013277445E-2</v>
      </c>
      <c r="V96" t="s">
        <v>153</v>
      </c>
      <c r="AK96">
        <v>2043</v>
      </c>
      <c r="AL96" t="s">
        <v>146</v>
      </c>
      <c r="AM96">
        <v>0.10609999999999999</v>
      </c>
      <c r="AN96" t="s">
        <v>275</v>
      </c>
    </row>
    <row r="97" spans="9:40" x14ac:dyDescent="0.45">
      <c r="I97" t="s">
        <v>164</v>
      </c>
      <c r="J97" t="s">
        <v>161</v>
      </c>
      <c r="K97">
        <v>0.26174629921299336</v>
      </c>
      <c r="L97" t="s">
        <v>153</v>
      </c>
      <c r="N97" t="s">
        <v>207</v>
      </c>
      <c r="O97" t="s">
        <v>161</v>
      </c>
      <c r="P97">
        <v>0.1488062000338041</v>
      </c>
      <c r="Q97" t="s">
        <v>153</v>
      </c>
      <c r="S97" t="s">
        <v>249</v>
      </c>
      <c r="T97" t="s">
        <v>161</v>
      </c>
      <c r="U97">
        <v>0.10564882534122198</v>
      </c>
      <c r="V97" t="s">
        <v>153</v>
      </c>
      <c r="AK97">
        <v>2043</v>
      </c>
      <c r="AL97" t="s">
        <v>148</v>
      </c>
      <c r="AM97">
        <v>0.11500000000000002</v>
      </c>
      <c r="AN97" t="s">
        <v>275</v>
      </c>
    </row>
    <row r="98" spans="9:40" x14ac:dyDescent="0.45">
      <c r="I98" t="s">
        <v>164</v>
      </c>
      <c r="J98" t="s">
        <v>286</v>
      </c>
      <c r="K98">
        <v>1.9249992333544474E-2</v>
      </c>
      <c r="L98" t="s">
        <v>153</v>
      </c>
      <c r="N98" t="s">
        <v>207</v>
      </c>
      <c r="O98" t="s">
        <v>286</v>
      </c>
      <c r="P98">
        <v>1.9449104573548575E-2</v>
      </c>
      <c r="Q98" t="s">
        <v>153</v>
      </c>
      <c r="S98" t="s">
        <v>249</v>
      </c>
      <c r="T98" t="s">
        <v>286</v>
      </c>
      <c r="U98">
        <v>1.3682978627690655E-2</v>
      </c>
      <c r="V98" t="s">
        <v>153</v>
      </c>
      <c r="AK98">
        <v>2043</v>
      </c>
      <c r="AL98" t="s">
        <v>292</v>
      </c>
      <c r="AM98">
        <v>0.16059999999999999</v>
      </c>
      <c r="AN98" t="s">
        <v>275</v>
      </c>
    </row>
    <row r="99" spans="9:40" x14ac:dyDescent="0.45">
      <c r="I99" t="s">
        <v>164</v>
      </c>
      <c r="J99" t="s">
        <v>287</v>
      </c>
      <c r="K99">
        <v>4.8123418187420181E-3</v>
      </c>
      <c r="L99" t="s">
        <v>153</v>
      </c>
      <c r="N99" t="s">
        <v>207</v>
      </c>
      <c r="O99" t="s">
        <v>287</v>
      </c>
      <c r="P99">
        <v>1.6112516806003164E-2</v>
      </c>
      <c r="Q99" t="s">
        <v>153</v>
      </c>
      <c r="S99" t="s">
        <v>249</v>
      </c>
      <c r="T99" t="s">
        <v>287</v>
      </c>
      <c r="U99">
        <v>1.3738638137248923E-2</v>
      </c>
      <c r="V99" t="s">
        <v>153</v>
      </c>
      <c r="AK99">
        <v>2044</v>
      </c>
      <c r="AL99" t="s">
        <v>142</v>
      </c>
      <c r="AM99">
        <v>0.24704999999999999</v>
      </c>
      <c r="AN99" t="s">
        <v>275</v>
      </c>
    </row>
    <row r="100" spans="9:40" x14ac:dyDescent="0.45">
      <c r="I100" t="s">
        <v>164</v>
      </c>
      <c r="J100" t="s">
        <v>288</v>
      </c>
      <c r="K100">
        <v>0</v>
      </c>
      <c r="L100" t="s">
        <v>153</v>
      </c>
      <c r="N100" t="s">
        <v>207</v>
      </c>
      <c r="O100" t="s">
        <v>288</v>
      </c>
      <c r="P100">
        <v>4.8418680286775526E-2</v>
      </c>
      <c r="Q100" t="s">
        <v>153</v>
      </c>
      <c r="S100" t="s">
        <v>249</v>
      </c>
      <c r="T100" t="s">
        <v>288</v>
      </c>
      <c r="U100">
        <v>6.4680447238533639E-2</v>
      </c>
      <c r="V100" t="s">
        <v>153</v>
      </c>
      <c r="AK100">
        <v>2044</v>
      </c>
      <c r="AL100" t="s">
        <v>146</v>
      </c>
      <c r="AM100">
        <v>0.20493333333333333</v>
      </c>
      <c r="AN100" t="s">
        <v>275</v>
      </c>
    </row>
    <row r="101" spans="9:40" x14ac:dyDescent="0.45">
      <c r="I101" t="s">
        <v>164</v>
      </c>
      <c r="J101" t="s">
        <v>294</v>
      </c>
      <c r="K101">
        <v>8.9608218782684639E-3</v>
      </c>
      <c r="L101" t="s">
        <v>153</v>
      </c>
      <c r="N101" t="s">
        <v>207</v>
      </c>
      <c r="O101" t="s">
        <v>294</v>
      </c>
      <c r="P101">
        <v>8.3557878175035336E-3</v>
      </c>
      <c r="Q101" t="s">
        <v>153</v>
      </c>
      <c r="S101" t="s">
        <v>249</v>
      </c>
      <c r="T101" t="s">
        <v>294</v>
      </c>
      <c r="U101">
        <v>2.2507132714194696E-2</v>
      </c>
      <c r="V101" t="s">
        <v>153</v>
      </c>
      <c r="AK101">
        <v>2044</v>
      </c>
      <c r="AL101" t="s">
        <v>148</v>
      </c>
      <c r="AM101">
        <v>0.17626</v>
      </c>
      <c r="AN101" t="s">
        <v>275</v>
      </c>
    </row>
    <row r="102" spans="9:40" x14ac:dyDescent="0.45">
      <c r="I102" t="s">
        <v>164</v>
      </c>
      <c r="J102" t="s">
        <v>295</v>
      </c>
      <c r="K102">
        <v>7.6780149864130775E-3</v>
      </c>
      <c r="L102" t="s">
        <v>153</v>
      </c>
      <c r="N102" t="s">
        <v>207</v>
      </c>
      <c r="O102" t="s">
        <v>295</v>
      </c>
      <c r="P102">
        <v>1.3662412041065756E-3</v>
      </c>
      <c r="Q102" t="s">
        <v>153</v>
      </c>
      <c r="S102" t="s">
        <v>249</v>
      </c>
      <c r="T102" t="s">
        <v>295</v>
      </c>
      <c r="U102">
        <v>2.8646890476518127E-3</v>
      </c>
      <c r="V102" t="s">
        <v>153</v>
      </c>
      <c r="AK102">
        <v>2044</v>
      </c>
      <c r="AL102" t="s">
        <v>292</v>
      </c>
      <c r="AM102">
        <v>0.1706</v>
      </c>
      <c r="AN102" t="s">
        <v>275</v>
      </c>
    </row>
    <row r="103" spans="9:40" x14ac:dyDescent="0.45">
      <c r="I103" t="s">
        <v>164</v>
      </c>
      <c r="J103" t="s">
        <v>296</v>
      </c>
      <c r="K103">
        <v>7.8017991889186164E-2</v>
      </c>
      <c r="L103" t="s">
        <v>153</v>
      </c>
      <c r="N103" t="s">
        <v>207</v>
      </c>
      <c r="O103" t="s">
        <v>296</v>
      </c>
      <c r="P103">
        <v>3.7311705878601893E-2</v>
      </c>
      <c r="Q103" t="s">
        <v>153</v>
      </c>
      <c r="S103" t="s">
        <v>249</v>
      </c>
      <c r="T103" t="s">
        <v>296</v>
      </c>
      <c r="U103">
        <v>2.8591992506631983E-2</v>
      </c>
      <c r="V103" t="s">
        <v>153</v>
      </c>
      <c r="AK103">
        <v>2045</v>
      </c>
      <c r="AL103" t="s">
        <v>142</v>
      </c>
      <c r="AM103">
        <v>0.30990000000000001</v>
      </c>
      <c r="AN103" t="s">
        <v>275</v>
      </c>
    </row>
    <row r="104" spans="9:40" x14ac:dyDescent="0.45">
      <c r="I104" t="s">
        <v>164</v>
      </c>
      <c r="J104" t="s">
        <v>297</v>
      </c>
      <c r="K104">
        <v>5.7683893710299356E-3</v>
      </c>
      <c r="L104" t="s">
        <v>153</v>
      </c>
      <c r="N104" t="s">
        <v>207</v>
      </c>
      <c r="O104" t="s">
        <v>297</v>
      </c>
      <c r="P104">
        <v>8.5311148102583476E-3</v>
      </c>
      <c r="Q104" t="s">
        <v>153</v>
      </c>
      <c r="S104" t="s">
        <v>249</v>
      </c>
      <c r="T104" t="s">
        <v>297</v>
      </c>
      <c r="U104">
        <v>4.1677229743966263E-3</v>
      </c>
      <c r="V104" t="s">
        <v>153</v>
      </c>
      <c r="AK104">
        <v>2045</v>
      </c>
      <c r="AL104" t="s">
        <v>146</v>
      </c>
      <c r="AM104">
        <v>0.24406666666666665</v>
      </c>
      <c r="AN104" t="s">
        <v>275</v>
      </c>
    </row>
    <row r="105" spans="9:40" x14ac:dyDescent="0.45">
      <c r="I105" t="s">
        <v>164</v>
      </c>
      <c r="J105" t="s">
        <v>298</v>
      </c>
      <c r="K105">
        <v>3.776916615157183E-3</v>
      </c>
      <c r="L105" t="s">
        <v>153</v>
      </c>
      <c r="N105" t="s">
        <v>207</v>
      </c>
      <c r="O105" t="s">
        <v>298</v>
      </c>
      <c r="P105">
        <v>7.2035321602822618E-3</v>
      </c>
      <c r="Q105" t="s">
        <v>153</v>
      </c>
      <c r="S105" t="s">
        <v>249</v>
      </c>
      <c r="T105" t="s">
        <v>298</v>
      </c>
      <c r="U105">
        <v>4.2447957444504986E-3</v>
      </c>
      <c r="V105" t="s">
        <v>153</v>
      </c>
      <c r="AK105">
        <v>2045</v>
      </c>
      <c r="AL105" t="s">
        <v>148</v>
      </c>
      <c r="AM105">
        <v>0.24424000000000001</v>
      </c>
      <c r="AN105" t="s">
        <v>275</v>
      </c>
    </row>
    <row r="106" spans="9:40" x14ac:dyDescent="0.45">
      <c r="I106" t="s">
        <v>164</v>
      </c>
      <c r="J106" t="s">
        <v>299</v>
      </c>
      <c r="K106">
        <v>0</v>
      </c>
      <c r="L106" t="s">
        <v>153</v>
      </c>
      <c r="N106" t="s">
        <v>207</v>
      </c>
      <c r="O106" t="s">
        <v>299</v>
      </c>
      <c r="P106">
        <v>1.4832251893973612E-2</v>
      </c>
      <c r="Q106" t="s">
        <v>153</v>
      </c>
      <c r="S106" t="s">
        <v>249</v>
      </c>
      <c r="T106" t="s">
        <v>299</v>
      </c>
      <c r="U106">
        <v>2.0193888047855043E-2</v>
      </c>
      <c r="V106" t="s">
        <v>153</v>
      </c>
      <c r="AK106">
        <v>2045</v>
      </c>
      <c r="AL106" t="s">
        <v>292</v>
      </c>
      <c r="AM106">
        <v>0.53559999999999997</v>
      </c>
      <c r="AN106" t="s">
        <v>275</v>
      </c>
    </row>
    <row r="107" spans="9:40" x14ac:dyDescent="0.45">
      <c r="I107" t="s">
        <v>165</v>
      </c>
      <c r="J107" t="s">
        <v>152</v>
      </c>
      <c r="K107">
        <v>1.3659233229312919E-2</v>
      </c>
      <c r="L107" t="s">
        <v>153</v>
      </c>
      <c r="N107" t="s">
        <v>208</v>
      </c>
      <c r="O107" t="s">
        <v>152</v>
      </c>
      <c r="P107">
        <v>8.1897427339851517E-2</v>
      </c>
      <c r="Q107" t="s">
        <v>153</v>
      </c>
      <c r="S107" t="s">
        <v>250</v>
      </c>
      <c r="T107" t="s">
        <v>152</v>
      </c>
      <c r="U107">
        <v>0.12039309893659529</v>
      </c>
      <c r="V107" t="s">
        <v>153</v>
      </c>
      <c r="AK107">
        <v>2046</v>
      </c>
      <c r="AL107" t="s">
        <v>142</v>
      </c>
      <c r="AM107">
        <v>0.38053333333333333</v>
      </c>
      <c r="AN107" t="s">
        <v>275</v>
      </c>
    </row>
    <row r="108" spans="9:40" x14ac:dyDescent="0.45">
      <c r="I108" t="s">
        <v>165</v>
      </c>
      <c r="J108" t="s">
        <v>154</v>
      </c>
      <c r="K108">
        <v>3.363188117390447E-2</v>
      </c>
      <c r="L108" t="s">
        <v>153</v>
      </c>
      <c r="N108" t="s">
        <v>208</v>
      </c>
      <c r="O108" t="s">
        <v>154</v>
      </c>
      <c r="P108">
        <v>1.2951083046186727E-2</v>
      </c>
      <c r="Q108" t="s">
        <v>153</v>
      </c>
      <c r="S108" t="s">
        <v>250</v>
      </c>
      <c r="T108" t="s">
        <v>154</v>
      </c>
      <c r="U108">
        <v>1.5203827514430753E-2</v>
      </c>
      <c r="V108" t="s">
        <v>153</v>
      </c>
      <c r="AK108">
        <v>2046</v>
      </c>
      <c r="AL108" t="s">
        <v>146</v>
      </c>
      <c r="AM108">
        <v>5.000000000000001E-2</v>
      </c>
      <c r="AN108" t="s">
        <v>275</v>
      </c>
    </row>
    <row r="109" spans="9:40" x14ac:dyDescent="0.45">
      <c r="I109" t="s">
        <v>165</v>
      </c>
      <c r="J109" t="s">
        <v>155</v>
      </c>
      <c r="K109">
        <v>0.36948048688942342</v>
      </c>
      <c r="L109" t="s">
        <v>153</v>
      </c>
      <c r="N109" t="s">
        <v>208</v>
      </c>
      <c r="O109" t="s">
        <v>155</v>
      </c>
      <c r="P109">
        <v>0.17434836763936878</v>
      </c>
      <c r="Q109" t="s">
        <v>153</v>
      </c>
      <c r="S109" t="s">
        <v>250</v>
      </c>
      <c r="T109" t="s">
        <v>155</v>
      </c>
      <c r="U109">
        <v>0.17620378417602711</v>
      </c>
      <c r="V109" t="s">
        <v>153</v>
      </c>
      <c r="AK109">
        <v>2046</v>
      </c>
      <c r="AL109" t="s">
        <v>148</v>
      </c>
      <c r="AM109">
        <v>0.14857999999999999</v>
      </c>
      <c r="AN109" t="s">
        <v>275</v>
      </c>
    </row>
    <row r="110" spans="9:40" x14ac:dyDescent="0.45">
      <c r="I110" t="s">
        <v>165</v>
      </c>
      <c r="J110" t="s">
        <v>280</v>
      </c>
      <c r="K110">
        <v>2.2871376925041698E-2</v>
      </c>
      <c r="L110" t="s">
        <v>153</v>
      </c>
      <c r="N110" t="s">
        <v>208</v>
      </c>
      <c r="O110" t="s">
        <v>280</v>
      </c>
      <c r="P110">
        <v>2.9770091177218176E-2</v>
      </c>
      <c r="Q110" t="s">
        <v>153</v>
      </c>
      <c r="S110" t="s">
        <v>250</v>
      </c>
      <c r="T110" t="s">
        <v>280</v>
      </c>
      <c r="U110">
        <v>2.7082107458999537E-2</v>
      </c>
      <c r="V110" t="s">
        <v>153</v>
      </c>
      <c r="AK110">
        <v>2046</v>
      </c>
      <c r="AL110" t="s">
        <v>292</v>
      </c>
      <c r="AM110">
        <v>0.53310000000000002</v>
      </c>
      <c r="AN110" t="s">
        <v>275</v>
      </c>
    </row>
    <row r="111" spans="9:40" x14ac:dyDescent="0.45">
      <c r="I111" t="s">
        <v>165</v>
      </c>
      <c r="J111" t="s">
        <v>281</v>
      </c>
      <c r="K111">
        <v>1.0219633297402941E-2</v>
      </c>
      <c r="L111" t="s">
        <v>153</v>
      </c>
      <c r="N111" t="s">
        <v>208</v>
      </c>
      <c r="O111" t="s">
        <v>281</v>
      </c>
      <c r="P111">
        <v>3.182039150844615E-2</v>
      </c>
      <c r="Q111" t="s">
        <v>153</v>
      </c>
      <c r="S111" t="s">
        <v>250</v>
      </c>
      <c r="T111" t="s">
        <v>281</v>
      </c>
      <c r="U111">
        <v>2.6398008135535736E-2</v>
      </c>
      <c r="V111" t="s">
        <v>153</v>
      </c>
      <c r="AK111">
        <v>2047</v>
      </c>
      <c r="AL111" t="s">
        <v>142</v>
      </c>
      <c r="AM111">
        <v>0.40940000000000004</v>
      </c>
      <c r="AN111" t="s">
        <v>275</v>
      </c>
    </row>
    <row r="112" spans="9:40" x14ac:dyDescent="0.45">
      <c r="I112" t="s">
        <v>165</v>
      </c>
      <c r="J112" t="s">
        <v>282</v>
      </c>
      <c r="K112">
        <v>0</v>
      </c>
      <c r="L112" t="s">
        <v>153</v>
      </c>
      <c r="N112" t="s">
        <v>208</v>
      </c>
      <c r="O112" t="s">
        <v>282</v>
      </c>
      <c r="P112">
        <v>9.9484643710153378E-2</v>
      </c>
      <c r="Q112" t="s">
        <v>153</v>
      </c>
      <c r="S112" t="s">
        <v>250</v>
      </c>
      <c r="T112" t="s">
        <v>282</v>
      </c>
      <c r="U112">
        <v>0.11283242141955437</v>
      </c>
      <c r="V112" t="s">
        <v>153</v>
      </c>
      <c r="AK112">
        <v>2047</v>
      </c>
      <c r="AL112" t="s">
        <v>146</v>
      </c>
      <c r="AM112">
        <v>0.16533333333333333</v>
      </c>
      <c r="AN112" t="s">
        <v>275</v>
      </c>
    </row>
    <row r="113" spans="9:40" x14ac:dyDescent="0.45">
      <c r="I113" t="s">
        <v>165</v>
      </c>
      <c r="J113" t="s">
        <v>156</v>
      </c>
      <c r="K113">
        <v>0</v>
      </c>
      <c r="L113" t="s">
        <v>153</v>
      </c>
      <c r="N113" t="s">
        <v>208</v>
      </c>
      <c r="O113" t="s">
        <v>156</v>
      </c>
      <c r="P113">
        <v>5.8774691465837255E-2</v>
      </c>
      <c r="Q113" t="s">
        <v>153</v>
      </c>
      <c r="S113" t="s">
        <v>250</v>
      </c>
      <c r="T113" t="s">
        <v>156</v>
      </c>
      <c r="U113">
        <v>3.6553918172212305E-2</v>
      </c>
      <c r="V113" t="s">
        <v>153</v>
      </c>
      <c r="AK113">
        <v>2047</v>
      </c>
      <c r="AL113" t="s">
        <v>148</v>
      </c>
      <c r="AM113">
        <v>0.28316000000000002</v>
      </c>
      <c r="AN113" t="s">
        <v>275</v>
      </c>
    </row>
    <row r="114" spans="9:40" x14ac:dyDescent="0.45">
      <c r="I114" t="s">
        <v>165</v>
      </c>
      <c r="J114" t="s">
        <v>157</v>
      </c>
      <c r="K114">
        <v>8.641589280492112E-3</v>
      </c>
      <c r="L114" t="s">
        <v>153</v>
      </c>
      <c r="N114" t="s">
        <v>208</v>
      </c>
      <c r="O114" t="s">
        <v>157</v>
      </c>
      <c r="P114">
        <v>9.1431574357597831E-3</v>
      </c>
      <c r="Q114" t="s">
        <v>153</v>
      </c>
      <c r="S114" t="s">
        <v>250</v>
      </c>
      <c r="T114" t="s">
        <v>157</v>
      </c>
      <c r="U114">
        <v>5.1593554322430357E-3</v>
      </c>
      <c r="V114" t="s">
        <v>153</v>
      </c>
      <c r="AK114">
        <v>2047</v>
      </c>
      <c r="AL114" t="s">
        <v>292</v>
      </c>
      <c r="AM114">
        <v>0.47760000000000002</v>
      </c>
      <c r="AN114" t="s">
        <v>275</v>
      </c>
    </row>
    <row r="115" spans="9:40" x14ac:dyDescent="0.45">
      <c r="I115" t="s">
        <v>165</v>
      </c>
      <c r="J115" t="s">
        <v>158</v>
      </c>
      <c r="K115">
        <v>0.11017799432249673</v>
      </c>
      <c r="L115" t="s">
        <v>153</v>
      </c>
      <c r="N115" t="s">
        <v>208</v>
      </c>
      <c r="O115" t="s">
        <v>158</v>
      </c>
      <c r="P115">
        <v>0.10322787169033251</v>
      </c>
      <c r="Q115" t="s">
        <v>153</v>
      </c>
      <c r="S115" t="s">
        <v>250</v>
      </c>
      <c r="T115" t="s">
        <v>158</v>
      </c>
      <c r="U115">
        <v>4.6748797935759333E-2</v>
      </c>
      <c r="V115" t="s">
        <v>153</v>
      </c>
      <c r="AK115">
        <v>2048</v>
      </c>
      <c r="AL115" t="s">
        <v>142</v>
      </c>
      <c r="AM115">
        <v>0.35516666666666663</v>
      </c>
      <c r="AN115" t="s">
        <v>275</v>
      </c>
    </row>
    <row r="116" spans="9:40" x14ac:dyDescent="0.45">
      <c r="I116" t="s">
        <v>165</v>
      </c>
      <c r="J116" t="s">
        <v>283</v>
      </c>
      <c r="K116">
        <v>5.4931372745535174E-3</v>
      </c>
      <c r="L116" t="s">
        <v>153</v>
      </c>
      <c r="N116" t="s">
        <v>208</v>
      </c>
      <c r="O116" t="s">
        <v>283</v>
      </c>
      <c r="P116">
        <v>9.6737072535508332E-3</v>
      </c>
      <c r="Q116" t="s">
        <v>153</v>
      </c>
      <c r="S116" t="s">
        <v>250</v>
      </c>
      <c r="T116" t="s">
        <v>283</v>
      </c>
      <c r="U116">
        <v>6.6753018508023138E-3</v>
      </c>
      <c r="V116" t="s">
        <v>153</v>
      </c>
      <c r="AK116">
        <v>2048</v>
      </c>
      <c r="AL116" t="s">
        <v>146</v>
      </c>
      <c r="AM116">
        <v>0.29363333333333336</v>
      </c>
      <c r="AN116" t="s">
        <v>275</v>
      </c>
    </row>
    <row r="117" spans="9:40" x14ac:dyDescent="0.45">
      <c r="I117" t="s">
        <v>165</v>
      </c>
      <c r="J117" t="s">
        <v>284</v>
      </c>
      <c r="K117">
        <v>0</v>
      </c>
      <c r="L117" t="s">
        <v>153</v>
      </c>
      <c r="N117" t="s">
        <v>208</v>
      </c>
      <c r="O117" t="s">
        <v>284</v>
      </c>
      <c r="P117">
        <v>9.163247185884427E-3</v>
      </c>
      <c r="Q117" t="s">
        <v>153</v>
      </c>
      <c r="S117" t="s">
        <v>250</v>
      </c>
      <c r="T117" t="s">
        <v>284</v>
      </c>
      <c r="U117">
        <v>6.6371991788273183E-3</v>
      </c>
      <c r="V117" t="s">
        <v>153</v>
      </c>
      <c r="AK117">
        <v>2048</v>
      </c>
      <c r="AL117" t="s">
        <v>148</v>
      </c>
      <c r="AM117">
        <v>0.14810000000000001</v>
      </c>
      <c r="AN117" t="s">
        <v>275</v>
      </c>
    </row>
    <row r="118" spans="9:40" x14ac:dyDescent="0.45">
      <c r="I118" t="s">
        <v>165</v>
      </c>
      <c r="J118" t="s">
        <v>285</v>
      </c>
      <c r="K118">
        <v>0</v>
      </c>
      <c r="L118" t="s">
        <v>153</v>
      </c>
      <c r="N118" t="s">
        <v>208</v>
      </c>
      <c r="O118" t="s">
        <v>285</v>
      </c>
      <c r="P118">
        <v>4.2777368843699974E-2</v>
      </c>
      <c r="Q118" t="s">
        <v>153</v>
      </c>
      <c r="S118" t="s">
        <v>250</v>
      </c>
      <c r="T118" t="s">
        <v>285</v>
      </c>
      <c r="U118">
        <v>3.0077957191426568E-2</v>
      </c>
      <c r="V118" t="s">
        <v>153</v>
      </c>
      <c r="AK118">
        <v>2048</v>
      </c>
      <c r="AL118" t="s">
        <v>292</v>
      </c>
      <c r="AM118">
        <v>0.13650000000000001</v>
      </c>
      <c r="AN118" t="s">
        <v>275</v>
      </c>
    </row>
    <row r="119" spans="9:40" x14ac:dyDescent="0.45">
      <c r="I119" t="s">
        <v>165</v>
      </c>
      <c r="J119" t="s">
        <v>159</v>
      </c>
      <c r="K119">
        <v>1.8011165786261361E-2</v>
      </c>
      <c r="L119" t="s">
        <v>153</v>
      </c>
      <c r="N119" t="s">
        <v>208</v>
      </c>
      <c r="O119" t="s">
        <v>159</v>
      </c>
      <c r="P119">
        <v>4.717163951936304E-2</v>
      </c>
      <c r="Q119" t="s">
        <v>153</v>
      </c>
      <c r="S119" t="s">
        <v>250</v>
      </c>
      <c r="T119" t="s">
        <v>159</v>
      </c>
      <c r="U119">
        <v>7.2894201329808728E-2</v>
      </c>
      <c r="V119" t="s">
        <v>153</v>
      </c>
      <c r="AK119">
        <v>2049</v>
      </c>
      <c r="AL119" t="s">
        <v>142</v>
      </c>
      <c r="AM119">
        <v>0.21319999999999997</v>
      </c>
      <c r="AN119" t="s">
        <v>275</v>
      </c>
    </row>
    <row r="120" spans="9:40" x14ac:dyDescent="0.45">
      <c r="I120" t="s">
        <v>165</v>
      </c>
      <c r="J120" t="s">
        <v>160</v>
      </c>
      <c r="K120">
        <v>2.4945700130686966E-2</v>
      </c>
      <c r="L120" t="s">
        <v>153</v>
      </c>
      <c r="N120" t="s">
        <v>208</v>
      </c>
      <c r="O120" t="s">
        <v>160</v>
      </c>
      <c r="P120">
        <v>7.7526977645800592E-3</v>
      </c>
      <c r="Q120" t="s">
        <v>153</v>
      </c>
      <c r="S120" t="s">
        <v>250</v>
      </c>
      <c r="T120" t="s">
        <v>160</v>
      </c>
      <c r="U120">
        <v>8.7447292354438707E-3</v>
      </c>
      <c r="V120" t="s">
        <v>153</v>
      </c>
      <c r="AK120">
        <v>2049</v>
      </c>
      <c r="AL120" t="s">
        <v>146</v>
      </c>
      <c r="AM120">
        <v>9.8300000000000012E-2</v>
      </c>
      <c r="AN120" t="s">
        <v>275</v>
      </c>
    </row>
    <row r="121" spans="9:40" x14ac:dyDescent="0.45">
      <c r="I121" t="s">
        <v>165</v>
      </c>
      <c r="J121" t="s">
        <v>161</v>
      </c>
      <c r="K121">
        <v>0.26182649474118946</v>
      </c>
      <c r="L121" t="s">
        <v>153</v>
      </c>
      <c r="N121" t="s">
        <v>208</v>
      </c>
      <c r="O121" t="s">
        <v>161</v>
      </c>
      <c r="P121">
        <v>0.12203042262899608</v>
      </c>
      <c r="Q121" t="s">
        <v>153</v>
      </c>
      <c r="S121" t="s">
        <v>250</v>
      </c>
      <c r="T121" t="s">
        <v>161</v>
      </c>
      <c r="U121">
        <v>0.11710160251648483</v>
      </c>
      <c r="V121" t="s">
        <v>153</v>
      </c>
      <c r="AK121">
        <v>2049</v>
      </c>
      <c r="AL121" t="s">
        <v>148</v>
      </c>
      <c r="AM121">
        <v>0.10868</v>
      </c>
      <c r="AN121" t="s">
        <v>275</v>
      </c>
    </row>
    <row r="122" spans="9:40" x14ac:dyDescent="0.45">
      <c r="I122" t="s">
        <v>165</v>
      </c>
      <c r="J122" t="s">
        <v>286</v>
      </c>
      <c r="K122">
        <v>1.7824655502969456E-2</v>
      </c>
      <c r="L122" t="s">
        <v>153</v>
      </c>
      <c r="N122" t="s">
        <v>208</v>
      </c>
      <c r="O122" t="s">
        <v>286</v>
      </c>
      <c r="P122">
        <v>1.9974530773539681E-2</v>
      </c>
      <c r="Q122" t="s">
        <v>153</v>
      </c>
      <c r="S122" t="s">
        <v>250</v>
      </c>
      <c r="T122" t="s">
        <v>286</v>
      </c>
      <c r="U122">
        <v>1.7974634603846552E-2</v>
      </c>
      <c r="V122" t="s">
        <v>153</v>
      </c>
      <c r="AK122">
        <v>2049</v>
      </c>
      <c r="AL122" t="s">
        <v>292</v>
      </c>
      <c r="AM122">
        <v>0.34339999999999998</v>
      </c>
      <c r="AN122" t="s">
        <v>275</v>
      </c>
    </row>
    <row r="123" spans="9:40" x14ac:dyDescent="0.45">
      <c r="I123" t="s">
        <v>165</v>
      </c>
      <c r="J123" t="s">
        <v>287</v>
      </c>
      <c r="K123">
        <v>3.6611497358139339E-3</v>
      </c>
      <c r="L123" t="s">
        <v>153</v>
      </c>
      <c r="N123" t="s">
        <v>208</v>
      </c>
      <c r="O123" t="s">
        <v>287</v>
      </c>
      <c r="P123">
        <v>2.0385047980172214E-2</v>
      </c>
      <c r="Q123" t="s">
        <v>153</v>
      </c>
      <c r="S123" t="s">
        <v>250</v>
      </c>
      <c r="T123" t="s">
        <v>287</v>
      </c>
      <c r="U123">
        <v>1.7391643970871149E-2</v>
      </c>
      <c r="V123" t="s">
        <v>153</v>
      </c>
      <c r="AK123">
        <v>2050</v>
      </c>
      <c r="AL123" t="s">
        <v>142</v>
      </c>
      <c r="AM123">
        <v>0.32679999999999998</v>
      </c>
      <c r="AN123" t="s">
        <v>275</v>
      </c>
    </row>
    <row r="124" spans="9:40" x14ac:dyDescent="0.45">
      <c r="I124" t="s">
        <v>165</v>
      </c>
      <c r="J124" t="s">
        <v>288</v>
      </c>
      <c r="K124">
        <v>0</v>
      </c>
      <c r="L124" t="s">
        <v>153</v>
      </c>
      <c r="N124" t="s">
        <v>208</v>
      </c>
      <c r="O124" t="s">
        <v>288</v>
      </c>
      <c r="P124">
        <v>5.5680362786574338E-2</v>
      </c>
      <c r="Q124" t="s">
        <v>153</v>
      </c>
      <c r="S124" t="s">
        <v>250</v>
      </c>
      <c r="T124" t="s">
        <v>288</v>
      </c>
      <c r="U124">
        <v>7.2066497629288559E-2</v>
      </c>
      <c r="V124" t="s">
        <v>153</v>
      </c>
      <c r="AK124">
        <v>2050</v>
      </c>
      <c r="AL124" t="s">
        <v>146</v>
      </c>
      <c r="AM124">
        <v>0.23246666666666668</v>
      </c>
      <c r="AN124" t="s">
        <v>275</v>
      </c>
    </row>
    <row r="125" spans="9:40" x14ac:dyDescent="0.45">
      <c r="I125" t="s">
        <v>165</v>
      </c>
      <c r="J125" t="s">
        <v>294</v>
      </c>
      <c r="K125">
        <v>8.0075134940130258E-3</v>
      </c>
      <c r="L125" t="s">
        <v>153</v>
      </c>
      <c r="N125" t="s">
        <v>208</v>
      </c>
      <c r="O125" t="s">
        <v>294</v>
      </c>
      <c r="P125">
        <v>6.1556423501967729E-3</v>
      </c>
      <c r="Q125" t="s">
        <v>153</v>
      </c>
      <c r="S125" t="s">
        <v>250</v>
      </c>
      <c r="T125" t="s">
        <v>294</v>
      </c>
      <c r="U125">
        <v>1.8443475573100207E-2</v>
      </c>
      <c r="V125" t="s">
        <v>153</v>
      </c>
      <c r="AK125">
        <v>2050</v>
      </c>
      <c r="AL125" t="s">
        <v>148</v>
      </c>
      <c r="AM125">
        <v>0.13136</v>
      </c>
      <c r="AN125" t="s">
        <v>275</v>
      </c>
    </row>
    <row r="126" spans="9:40" x14ac:dyDescent="0.45">
      <c r="I126" t="s">
        <v>165</v>
      </c>
      <c r="J126" t="s">
        <v>295</v>
      </c>
      <c r="K126">
        <v>7.2647616725561651E-3</v>
      </c>
      <c r="L126" t="s">
        <v>153</v>
      </c>
      <c r="N126" t="s">
        <v>208</v>
      </c>
      <c r="O126" t="s">
        <v>295</v>
      </c>
      <c r="P126">
        <v>9.2453718916405965E-4</v>
      </c>
      <c r="Q126" t="s">
        <v>153</v>
      </c>
      <c r="S126" t="s">
        <v>250</v>
      </c>
      <c r="T126" t="s">
        <v>295</v>
      </c>
      <c r="U126">
        <v>2.2506306292514144E-3</v>
      </c>
      <c r="V126" t="s">
        <v>153</v>
      </c>
      <c r="AK126">
        <v>2050</v>
      </c>
      <c r="AL126" t="s">
        <v>292</v>
      </c>
      <c r="AM126">
        <v>0.1087</v>
      </c>
      <c r="AN126" t="s">
        <v>275</v>
      </c>
    </row>
    <row r="127" spans="9:40" x14ac:dyDescent="0.45">
      <c r="I127" t="s">
        <v>165</v>
      </c>
      <c r="J127" t="s">
        <v>296</v>
      </c>
      <c r="K127">
        <v>7.5384443426639081E-2</v>
      </c>
      <c r="L127" t="s">
        <v>153</v>
      </c>
      <c r="N127" t="s">
        <v>208</v>
      </c>
      <c r="O127" t="s">
        <v>296</v>
      </c>
      <c r="P127">
        <v>2.4474176461055402E-2</v>
      </c>
      <c r="Q127" t="s">
        <v>153</v>
      </c>
      <c r="S127" t="s">
        <v>250</v>
      </c>
      <c r="T127" t="s">
        <v>296</v>
      </c>
      <c r="U127">
        <v>3.3409068946198224E-2</v>
      </c>
      <c r="V127" t="s">
        <v>153</v>
      </c>
    </row>
    <row r="128" spans="9:40" x14ac:dyDescent="0.45">
      <c r="I128" t="s">
        <v>165</v>
      </c>
      <c r="J128" t="s">
        <v>297</v>
      </c>
      <c r="K128">
        <v>5.4197082447121417E-3</v>
      </c>
      <c r="L128" t="s">
        <v>153</v>
      </c>
      <c r="N128" t="s">
        <v>208</v>
      </c>
      <c r="O128" t="s">
        <v>297</v>
      </c>
      <c r="P128">
        <v>6.9832127876456335E-3</v>
      </c>
      <c r="Q128" t="s">
        <v>153</v>
      </c>
      <c r="S128" t="s">
        <v>250</v>
      </c>
      <c r="T128" t="s">
        <v>297</v>
      </c>
      <c r="U128">
        <v>5.0420840243854776E-3</v>
      </c>
      <c r="V128" t="s">
        <v>153</v>
      </c>
    </row>
    <row r="129" spans="9:22" x14ac:dyDescent="0.45">
      <c r="I129" t="s">
        <v>165</v>
      </c>
      <c r="J129" t="s">
        <v>298</v>
      </c>
      <c r="K129">
        <v>3.4790748725284926E-3</v>
      </c>
      <c r="L129" t="s">
        <v>153</v>
      </c>
      <c r="N129" t="s">
        <v>208</v>
      </c>
      <c r="O129" t="s">
        <v>298</v>
      </c>
      <c r="P129">
        <v>6.977019788647597E-3</v>
      </c>
      <c r="Q129" t="s">
        <v>153</v>
      </c>
      <c r="S129" t="s">
        <v>250</v>
      </c>
      <c r="T129" t="s">
        <v>298</v>
      </c>
      <c r="U129">
        <v>4.7797874012658285E-3</v>
      </c>
      <c r="V129" t="s">
        <v>153</v>
      </c>
    </row>
    <row r="130" spans="9:22" x14ac:dyDescent="0.45">
      <c r="I130" t="s">
        <v>165</v>
      </c>
      <c r="J130" t="s">
        <v>299</v>
      </c>
      <c r="K130">
        <v>0</v>
      </c>
      <c r="L130" t="s">
        <v>153</v>
      </c>
      <c r="N130" t="s">
        <v>208</v>
      </c>
      <c r="O130" t="s">
        <v>299</v>
      </c>
      <c r="P130">
        <v>1.8458661673774853E-2</v>
      </c>
      <c r="Q130" t="s">
        <v>153</v>
      </c>
      <c r="S130" t="s">
        <v>250</v>
      </c>
      <c r="T130" t="s">
        <v>299</v>
      </c>
      <c r="U130">
        <v>1.9935866737643856E-2</v>
      </c>
      <c r="V130" t="s">
        <v>153</v>
      </c>
    </row>
    <row r="131" spans="9:22" x14ac:dyDescent="0.45">
      <c r="I131" t="s">
        <v>166</v>
      </c>
      <c r="J131" t="s">
        <v>152</v>
      </c>
      <c r="K131">
        <v>7.446714139793217E-3</v>
      </c>
      <c r="L131" t="s">
        <v>153</v>
      </c>
      <c r="N131" t="s">
        <v>209</v>
      </c>
      <c r="O131" t="s">
        <v>152</v>
      </c>
      <c r="P131">
        <v>0.10255489839009981</v>
      </c>
      <c r="Q131" t="s">
        <v>153</v>
      </c>
      <c r="S131" t="s">
        <v>251</v>
      </c>
      <c r="T131" t="s">
        <v>152</v>
      </c>
      <c r="U131">
        <v>0.13824149464571978</v>
      </c>
      <c r="V131" t="s">
        <v>153</v>
      </c>
    </row>
    <row r="132" spans="9:22" x14ac:dyDescent="0.45">
      <c r="I132" t="s">
        <v>166</v>
      </c>
      <c r="J132" t="s">
        <v>154</v>
      </c>
      <c r="K132">
        <v>2.7413525945185622E-2</v>
      </c>
      <c r="L132" t="s">
        <v>153</v>
      </c>
      <c r="N132" t="s">
        <v>209</v>
      </c>
      <c r="O132" t="s">
        <v>154</v>
      </c>
      <c r="P132">
        <v>1.2826294268300082E-2</v>
      </c>
      <c r="Q132" t="s">
        <v>153</v>
      </c>
      <c r="S132" t="s">
        <v>251</v>
      </c>
      <c r="T132" t="s">
        <v>154</v>
      </c>
      <c r="U132">
        <v>1.7862912931598151E-2</v>
      </c>
      <c r="V132" t="s">
        <v>153</v>
      </c>
    </row>
    <row r="133" spans="9:22" x14ac:dyDescent="0.45">
      <c r="I133" t="s">
        <v>166</v>
      </c>
      <c r="J133" t="s">
        <v>155</v>
      </c>
      <c r="K133">
        <v>0.37261849818093074</v>
      </c>
      <c r="L133" t="s">
        <v>153</v>
      </c>
      <c r="N133" t="s">
        <v>209</v>
      </c>
      <c r="O133" t="s">
        <v>155</v>
      </c>
      <c r="P133">
        <v>0.1620045412394498</v>
      </c>
      <c r="Q133" t="s">
        <v>153</v>
      </c>
      <c r="S133" t="s">
        <v>251</v>
      </c>
      <c r="T133" t="s">
        <v>155</v>
      </c>
      <c r="U133">
        <v>0.17211805061785462</v>
      </c>
      <c r="V133" t="s">
        <v>153</v>
      </c>
    </row>
    <row r="134" spans="9:22" x14ac:dyDescent="0.45">
      <c r="I134" t="s">
        <v>166</v>
      </c>
      <c r="J134" t="s">
        <v>280</v>
      </c>
      <c r="K134">
        <v>3.2947893493069182E-2</v>
      </c>
      <c r="L134" t="s">
        <v>153</v>
      </c>
      <c r="N134" t="s">
        <v>209</v>
      </c>
      <c r="O134" t="s">
        <v>280</v>
      </c>
      <c r="P134">
        <v>2.3515678571248772E-2</v>
      </c>
      <c r="Q134" t="s">
        <v>153</v>
      </c>
      <c r="S134" t="s">
        <v>251</v>
      </c>
      <c r="T134" t="s">
        <v>280</v>
      </c>
      <c r="U134">
        <v>2.3636405272696556E-2</v>
      </c>
      <c r="V134" t="s">
        <v>153</v>
      </c>
    </row>
    <row r="135" spans="9:22" x14ac:dyDescent="0.45">
      <c r="I135" t="s">
        <v>166</v>
      </c>
      <c r="J135" t="s">
        <v>281</v>
      </c>
      <c r="K135">
        <v>1.7039233597011802E-2</v>
      </c>
      <c r="L135" t="s">
        <v>153</v>
      </c>
      <c r="N135" t="s">
        <v>209</v>
      </c>
      <c r="O135" t="s">
        <v>281</v>
      </c>
      <c r="P135">
        <v>2.5531120201462053E-2</v>
      </c>
      <c r="Q135" t="s">
        <v>153</v>
      </c>
      <c r="S135" t="s">
        <v>251</v>
      </c>
      <c r="T135" t="s">
        <v>281</v>
      </c>
      <c r="U135">
        <v>2.3648736976957081E-2</v>
      </c>
      <c r="V135" t="s">
        <v>153</v>
      </c>
    </row>
    <row r="136" spans="9:22" x14ac:dyDescent="0.45">
      <c r="I136" t="s">
        <v>166</v>
      </c>
      <c r="J136" t="s">
        <v>282</v>
      </c>
      <c r="K136">
        <v>4.7992601708210635E-3</v>
      </c>
      <c r="L136" t="s">
        <v>153</v>
      </c>
      <c r="N136" t="s">
        <v>209</v>
      </c>
      <c r="O136" t="s">
        <v>282</v>
      </c>
      <c r="P136">
        <v>0.11697668836435238</v>
      </c>
      <c r="Q136" t="s">
        <v>153</v>
      </c>
      <c r="S136" t="s">
        <v>251</v>
      </c>
      <c r="T136" t="s">
        <v>282</v>
      </c>
      <c r="U136">
        <v>0.11100375553842057</v>
      </c>
      <c r="V136" t="s">
        <v>153</v>
      </c>
    </row>
    <row r="137" spans="9:22" x14ac:dyDescent="0.45">
      <c r="I137" t="s">
        <v>166</v>
      </c>
      <c r="J137" t="s">
        <v>156</v>
      </c>
      <c r="K137">
        <v>0</v>
      </c>
      <c r="L137" t="s">
        <v>153</v>
      </c>
      <c r="N137" t="s">
        <v>209</v>
      </c>
      <c r="O137" t="s">
        <v>156</v>
      </c>
      <c r="P137">
        <v>5.4136930987582522E-2</v>
      </c>
      <c r="Q137" t="s">
        <v>153</v>
      </c>
      <c r="S137" t="s">
        <v>251</v>
      </c>
      <c r="T137" t="s">
        <v>156</v>
      </c>
      <c r="U137">
        <v>3.757278607330107E-2</v>
      </c>
      <c r="V137" t="s">
        <v>153</v>
      </c>
    </row>
    <row r="138" spans="9:22" x14ac:dyDescent="0.45">
      <c r="I138" t="s">
        <v>166</v>
      </c>
      <c r="J138" t="s">
        <v>157</v>
      </c>
      <c r="K138">
        <v>1.6422227028177407E-3</v>
      </c>
      <c r="L138" t="s">
        <v>153</v>
      </c>
      <c r="N138" t="s">
        <v>209</v>
      </c>
      <c r="O138" t="s">
        <v>157</v>
      </c>
      <c r="P138">
        <v>7.6926434201663643E-3</v>
      </c>
      <c r="Q138" t="s">
        <v>153</v>
      </c>
      <c r="S138" t="s">
        <v>251</v>
      </c>
      <c r="T138" t="s">
        <v>157</v>
      </c>
      <c r="U138">
        <v>5.1872324930597813E-3</v>
      </c>
      <c r="V138" t="s">
        <v>153</v>
      </c>
    </row>
    <row r="139" spans="9:22" x14ac:dyDescent="0.45">
      <c r="I139" t="s">
        <v>166</v>
      </c>
      <c r="J139" t="s">
        <v>158</v>
      </c>
      <c r="K139">
        <v>9.8641576392383634E-2</v>
      </c>
      <c r="L139" t="s">
        <v>153</v>
      </c>
      <c r="N139" t="s">
        <v>209</v>
      </c>
      <c r="O139" t="s">
        <v>158</v>
      </c>
      <c r="P139">
        <v>8.6778309829955144E-2</v>
      </c>
      <c r="Q139" t="s">
        <v>153</v>
      </c>
      <c r="S139" t="s">
        <v>251</v>
      </c>
      <c r="T139" t="s">
        <v>158</v>
      </c>
      <c r="U139">
        <v>4.5415430684905896E-2</v>
      </c>
      <c r="V139" t="s">
        <v>153</v>
      </c>
    </row>
    <row r="140" spans="9:22" x14ac:dyDescent="0.45">
      <c r="I140" t="s">
        <v>166</v>
      </c>
      <c r="J140" t="s">
        <v>283</v>
      </c>
      <c r="K140">
        <v>7.5380403628430778E-3</v>
      </c>
      <c r="L140" t="s">
        <v>153</v>
      </c>
      <c r="N140" t="s">
        <v>209</v>
      </c>
      <c r="O140" t="s">
        <v>283</v>
      </c>
      <c r="P140">
        <v>9.2547956418261249E-3</v>
      </c>
      <c r="Q140" t="s">
        <v>153</v>
      </c>
      <c r="S140" t="s">
        <v>251</v>
      </c>
      <c r="T140" t="s">
        <v>283</v>
      </c>
      <c r="U140">
        <v>6.1251462623150175E-3</v>
      </c>
      <c r="V140" t="s">
        <v>153</v>
      </c>
    </row>
    <row r="141" spans="9:22" x14ac:dyDescent="0.45">
      <c r="I141" t="s">
        <v>166</v>
      </c>
      <c r="J141" t="s">
        <v>284</v>
      </c>
      <c r="K141">
        <v>0</v>
      </c>
      <c r="L141" t="s">
        <v>153</v>
      </c>
      <c r="N141" t="s">
        <v>209</v>
      </c>
      <c r="O141" t="s">
        <v>284</v>
      </c>
      <c r="P141">
        <v>8.8154862842858197E-3</v>
      </c>
      <c r="Q141" t="s">
        <v>153</v>
      </c>
      <c r="S141" t="s">
        <v>251</v>
      </c>
      <c r="T141" t="s">
        <v>284</v>
      </c>
      <c r="U141">
        <v>6.2181322915701069E-3</v>
      </c>
      <c r="V141" t="s">
        <v>153</v>
      </c>
    </row>
    <row r="142" spans="9:22" x14ac:dyDescent="0.45">
      <c r="I142" t="s">
        <v>166</v>
      </c>
      <c r="J142" t="s">
        <v>285</v>
      </c>
      <c r="K142">
        <v>0</v>
      </c>
      <c r="L142" t="s">
        <v>153</v>
      </c>
      <c r="N142" t="s">
        <v>209</v>
      </c>
      <c r="O142" t="s">
        <v>285</v>
      </c>
      <c r="P142">
        <v>4.0820749596964287E-2</v>
      </c>
      <c r="Q142" t="s">
        <v>153</v>
      </c>
      <c r="S142" t="s">
        <v>251</v>
      </c>
      <c r="T142" t="s">
        <v>285</v>
      </c>
      <c r="U142">
        <v>2.934869853495168E-2</v>
      </c>
      <c r="V142" t="s">
        <v>153</v>
      </c>
    </row>
    <row r="143" spans="9:22" x14ac:dyDescent="0.45">
      <c r="I143" t="s">
        <v>166</v>
      </c>
      <c r="J143" t="s">
        <v>159</v>
      </c>
      <c r="K143">
        <v>1.0544847873811856E-2</v>
      </c>
      <c r="L143" t="s">
        <v>153</v>
      </c>
      <c r="N143" t="s">
        <v>209</v>
      </c>
      <c r="O143" t="s">
        <v>159</v>
      </c>
      <c r="P143">
        <v>6.2365444698465368E-2</v>
      </c>
      <c r="Q143" t="s">
        <v>153</v>
      </c>
      <c r="S143" t="s">
        <v>251</v>
      </c>
      <c r="T143" t="s">
        <v>159</v>
      </c>
      <c r="U143">
        <v>8.4142470131398778E-2</v>
      </c>
      <c r="V143" t="s">
        <v>153</v>
      </c>
    </row>
    <row r="144" spans="9:22" x14ac:dyDescent="0.45">
      <c r="I144" t="s">
        <v>166</v>
      </c>
      <c r="J144" t="s">
        <v>160</v>
      </c>
      <c r="K144">
        <v>2.1771982319091027E-2</v>
      </c>
      <c r="L144" t="s">
        <v>153</v>
      </c>
      <c r="N144" t="s">
        <v>209</v>
      </c>
      <c r="O144" t="s">
        <v>160</v>
      </c>
      <c r="P144">
        <v>8.3824578392243439E-3</v>
      </c>
      <c r="Q144" t="s">
        <v>153</v>
      </c>
      <c r="S144" t="s">
        <v>251</v>
      </c>
      <c r="T144" t="s">
        <v>160</v>
      </c>
      <c r="U144">
        <v>1.117988280761013E-2</v>
      </c>
      <c r="V144" t="s">
        <v>153</v>
      </c>
    </row>
    <row r="145" spans="9:22" x14ac:dyDescent="0.45">
      <c r="I145" t="s">
        <v>166</v>
      </c>
      <c r="J145" t="s">
        <v>161</v>
      </c>
      <c r="K145">
        <v>0.25712940405163975</v>
      </c>
      <c r="L145" t="s">
        <v>153</v>
      </c>
      <c r="N145" t="s">
        <v>209</v>
      </c>
      <c r="O145" t="s">
        <v>161</v>
      </c>
      <c r="P145">
        <v>0.11325326778315099</v>
      </c>
      <c r="Q145" t="s">
        <v>153</v>
      </c>
      <c r="S145" t="s">
        <v>251</v>
      </c>
      <c r="T145" t="s">
        <v>161</v>
      </c>
      <c r="U145">
        <v>0.1104558918729666</v>
      </c>
      <c r="V145" t="s">
        <v>153</v>
      </c>
    </row>
    <row r="146" spans="9:22" x14ac:dyDescent="0.45">
      <c r="I146" t="s">
        <v>166</v>
      </c>
      <c r="J146" t="s">
        <v>286</v>
      </c>
      <c r="K146">
        <v>2.2188432022394365E-2</v>
      </c>
      <c r="L146" t="s">
        <v>153</v>
      </c>
      <c r="N146" t="s">
        <v>209</v>
      </c>
      <c r="O146" t="s">
        <v>286</v>
      </c>
      <c r="P146">
        <v>1.5726242057667136E-2</v>
      </c>
      <c r="Q146" t="s">
        <v>153</v>
      </c>
      <c r="S146" t="s">
        <v>251</v>
      </c>
      <c r="T146" t="s">
        <v>286</v>
      </c>
      <c r="U146">
        <v>1.4958383689762227E-2</v>
      </c>
      <c r="V146" t="s">
        <v>153</v>
      </c>
    </row>
    <row r="147" spans="9:22" x14ac:dyDescent="0.45">
      <c r="I147" t="s">
        <v>166</v>
      </c>
      <c r="J147" t="s">
        <v>287</v>
      </c>
      <c r="K147">
        <v>1.1098653841901888E-2</v>
      </c>
      <c r="L147" t="s">
        <v>153</v>
      </c>
      <c r="N147" t="s">
        <v>209</v>
      </c>
      <c r="O147" t="s">
        <v>287</v>
      </c>
      <c r="P147">
        <v>1.6010906662257986E-2</v>
      </c>
      <c r="Q147" t="s">
        <v>153</v>
      </c>
      <c r="S147" t="s">
        <v>251</v>
      </c>
      <c r="T147" t="s">
        <v>287</v>
      </c>
      <c r="U147">
        <v>1.4797729975753448E-2</v>
      </c>
      <c r="V147" t="s">
        <v>153</v>
      </c>
    </row>
    <row r="148" spans="9:22" x14ac:dyDescent="0.45">
      <c r="I148" t="s">
        <v>166</v>
      </c>
      <c r="J148" t="s">
        <v>288</v>
      </c>
      <c r="K148">
        <v>0</v>
      </c>
      <c r="L148" t="s">
        <v>153</v>
      </c>
      <c r="N148" t="s">
        <v>209</v>
      </c>
      <c r="O148" t="s">
        <v>288</v>
      </c>
      <c r="P148">
        <v>6.6172103466087095E-2</v>
      </c>
      <c r="Q148" t="s">
        <v>153</v>
      </c>
      <c r="S148" t="s">
        <v>251</v>
      </c>
      <c r="T148" t="s">
        <v>288</v>
      </c>
      <c r="U148">
        <v>6.6312086107927229E-2</v>
      </c>
      <c r="V148" t="s">
        <v>153</v>
      </c>
    </row>
    <row r="149" spans="9:22" x14ac:dyDescent="0.45">
      <c r="I149" t="s">
        <v>166</v>
      </c>
      <c r="J149" t="s">
        <v>294</v>
      </c>
      <c r="K149">
        <v>5.2178785500875714E-3</v>
      </c>
      <c r="L149" t="s">
        <v>153</v>
      </c>
      <c r="N149" t="s">
        <v>209</v>
      </c>
      <c r="O149" t="s">
        <v>294</v>
      </c>
      <c r="P149">
        <v>1.2497448934903772E-2</v>
      </c>
      <c r="Q149" t="s">
        <v>153</v>
      </c>
      <c r="S149" t="s">
        <v>251</v>
      </c>
      <c r="T149" t="s">
        <v>294</v>
      </c>
      <c r="U149">
        <v>2.113955711763537E-2</v>
      </c>
      <c r="V149" t="s">
        <v>153</v>
      </c>
    </row>
    <row r="150" spans="9:22" x14ac:dyDescent="0.45">
      <c r="I150" t="s">
        <v>166</v>
      </c>
      <c r="J150" t="s">
        <v>295</v>
      </c>
      <c r="K150">
        <v>7.7805182301910782E-3</v>
      </c>
      <c r="L150" t="s">
        <v>153</v>
      </c>
      <c r="N150" t="s">
        <v>209</v>
      </c>
      <c r="O150" t="s">
        <v>295</v>
      </c>
      <c r="P150">
        <v>1.2498313459652747E-3</v>
      </c>
      <c r="Q150" t="s">
        <v>153</v>
      </c>
      <c r="S150" t="s">
        <v>251</v>
      </c>
      <c r="T150" t="s">
        <v>295</v>
      </c>
      <c r="U150">
        <v>2.7321264599685755E-3</v>
      </c>
      <c r="V150" t="s">
        <v>153</v>
      </c>
    </row>
    <row r="151" spans="9:22" x14ac:dyDescent="0.45">
      <c r="I151" t="s">
        <v>166</v>
      </c>
      <c r="J151" t="s">
        <v>296</v>
      </c>
      <c r="K151">
        <v>8.0572670938552055E-2</v>
      </c>
      <c r="L151" t="s">
        <v>153</v>
      </c>
      <c r="N151" t="s">
        <v>209</v>
      </c>
      <c r="O151" t="s">
        <v>296</v>
      </c>
      <c r="P151">
        <v>1.8529419377736375E-2</v>
      </c>
      <c r="Q151" t="s">
        <v>153</v>
      </c>
      <c r="S151" t="s">
        <v>251</v>
      </c>
      <c r="T151" t="s">
        <v>296</v>
      </c>
      <c r="U151">
        <v>2.9918962182087044E-2</v>
      </c>
      <c r="V151" t="s">
        <v>153</v>
      </c>
    </row>
    <row r="152" spans="9:22" x14ac:dyDescent="0.45">
      <c r="I152" t="s">
        <v>166</v>
      </c>
      <c r="J152" t="s">
        <v>297</v>
      </c>
      <c r="K152">
        <v>6.8644419732605899E-3</v>
      </c>
      <c r="L152" t="s">
        <v>153</v>
      </c>
      <c r="N152" t="s">
        <v>209</v>
      </c>
      <c r="O152" t="s">
        <v>297</v>
      </c>
      <c r="P152">
        <v>4.6788478251827328E-3</v>
      </c>
      <c r="Q152" t="s">
        <v>153</v>
      </c>
      <c r="S152" t="s">
        <v>251</v>
      </c>
      <c r="T152" t="s">
        <v>297</v>
      </c>
      <c r="U152">
        <v>4.2493864822585672E-3</v>
      </c>
      <c r="V152" t="s">
        <v>153</v>
      </c>
    </row>
    <row r="153" spans="9:22" x14ac:dyDescent="0.45">
      <c r="I153" t="s">
        <v>166</v>
      </c>
      <c r="J153" t="s">
        <v>298</v>
      </c>
      <c r="K153">
        <v>5.0644334176850022E-3</v>
      </c>
      <c r="L153" t="s">
        <v>153</v>
      </c>
      <c r="N153" t="s">
        <v>209</v>
      </c>
      <c r="O153" t="s">
        <v>298</v>
      </c>
      <c r="P153">
        <v>5.7404451455628711E-3</v>
      </c>
      <c r="Q153" t="s">
        <v>153</v>
      </c>
      <c r="S153" t="s">
        <v>251</v>
      </c>
      <c r="T153" t="s">
        <v>298</v>
      </c>
      <c r="U153">
        <v>4.2533885180468861E-3</v>
      </c>
      <c r="V153" t="s">
        <v>153</v>
      </c>
    </row>
    <row r="154" spans="9:22" x14ac:dyDescent="0.45">
      <c r="I154" t="s">
        <v>166</v>
      </c>
      <c r="J154" t="s">
        <v>299</v>
      </c>
      <c r="K154">
        <v>1.6797717965306848E-3</v>
      </c>
      <c r="L154" t="s">
        <v>153</v>
      </c>
      <c r="N154" t="s">
        <v>209</v>
      </c>
      <c r="O154" t="s">
        <v>299</v>
      </c>
      <c r="P154">
        <v>2.4485448068106052E-2</v>
      </c>
      <c r="Q154" t="s">
        <v>153</v>
      </c>
      <c r="S154" t="s">
        <v>251</v>
      </c>
      <c r="T154" t="s">
        <v>299</v>
      </c>
      <c r="U154">
        <v>1.9481352331235085E-2</v>
      </c>
      <c r="V154" t="s">
        <v>153</v>
      </c>
    </row>
    <row r="155" spans="9:22" x14ac:dyDescent="0.45">
      <c r="I155" t="s">
        <v>167</v>
      </c>
      <c r="J155" t="s">
        <v>152</v>
      </c>
      <c r="K155">
        <v>9.7249917357243865E-3</v>
      </c>
      <c r="L155" t="s">
        <v>153</v>
      </c>
      <c r="N155" t="s">
        <v>210</v>
      </c>
      <c r="O155" t="s">
        <v>152</v>
      </c>
      <c r="P155">
        <v>6.7841334766118713E-2</v>
      </c>
      <c r="Q155" t="s">
        <v>153</v>
      </c>
      <c r="S155" t="s">
        <v>252</v>
      </c>
      <c r="T155" t="s">
        <v>152</v>
      </c>
      <c r="U155">
        <v>0.11812141556994629</v>
      </c>
      <c r="V155" t="s">
        <v>153</v>
      </c>
    </row>
    <row r="156" spans="9:22" x14ac:dyDescent="0.45">
      <c r="I156" t="s">
        <v>167</v>
      </c>
      <c r="J156" t="s">
        <v>154</v>
      </c>
      <c r="K156">
        <v>2.9514981991541175E-2</v>
      </c>
      <c r="L156" t="s">
        <v>153</v>
      </c>
      <c r="N156" t="s">
        <v>210</v>
      </c>
      <c r="O156" t="s">
        <v>154</v>
      </c>
      <c r="P156">
        <v>9.8752801216870252E-3</v>
      </c>
      <c r="Q156" t="s">
        <v>153</v>
      </c>
      <c r="S156" t="s">
        <v>252</v>
      </c>
      <c r="T156" t="s">
        <v>154</v>
      </c>
      <c r="U156">
        <v>1.6591397003064078E-2</v>
      </c>
      <c r="V156" t="s">
        <v>153</v>
      </c>
    </row>
    <row r="157" spans="9:22" x14ac:dyDescent="0.45">
      <c r="I157" t="s">
        <v>167</v>
      </c>
      <c r="J157" t="s">
        <v>155</v>
      </c>
      <c r="K157">
        <v>0.37273849632887934</v>
      </c>
      <c r="L157" t="s">
        <v>153</v>
      </c>
      <c r="N157" t="s">
        <v>210</v>
      </c>
      <c r="O157" t="s">
        <v>155</v>
      </c>
      <c r="P157">
        <v>0.18089458606055681</v>
      </c>
      <c r="Q157" t="s">
        <v>153</v>
      </c>
      <c r="S157" t="s">
        <v>252</v>
      </c>
      <c r="T157" t="s">
        <v>155</v>
      </c>
      <c r="U157">
        <v>0.16500331568710472</v>
      </c>
      <c r="V157" t="s">
        <v>153</v>
      </c>
    </row>
    <row r="158" spans="9:22" x14ac:dyDescent="0.45">
      <c r="I158" t="s">
        <v>167</v>
      </c>
      <c r="J158" t="s">
        <v>280</v>
      </c>
      <c r="K158">
        <v>3.2127511515312047E-2</v>
      </c>
      <c r="L158" t="s">
        <v>153</v>
      </c>
      <c r="N158" t="s">
        <v>210</v>
      </c>
      <c r="O158" t="s">
        <v>280</v>
      </c>
      <c r="P158">
        <v>1.7464768662853798E-2</v>
      </c>
      <c r="Q158" t="s">
        <v>153</v>
      </c>
      <c r="S158" t="s">
        <v>252</v>
      </c>
      <c r="T158" t="s">
        <v>280</v>
      </c>
      <c r="U158">
        <v>2.0864871028943417E-2</v>
      </c>
      <c r="V158" t="s">
        <v>153</v>
      </c>
    </row>
    <row r="159" spans="9:22" x14ac:dyDescent="0.45">
      <c r="I159" t="s">
        <v>167</v>
      </c>
      <c r="J159" t="s">
        <v>281</v>
      </c>
      <c r="K159">
        <v>1.6887347001260145E-2</v>
      </c>
      <c r="L159" t="s">
        <v>153</v>
      </c>
      <c r="N159" t="s">
        <v>210</v>
      </c>
      <c r="O159" t="s">
        <v>281</v>
      </c>
      <c r="P159">
        <v>1.3543357933402585E-2</v>
      </c>
      <c r="Q159" t="s">
        <v>153</v>
      </c>
      <c r="S159" t="s">
        <v>252</v>
      </c>
      <c r="T159" t="s">
        <v>281</v>
      </c>
      <c r="U159">
        <v>2.054923924449821E-2</v>
      </c>
      <c r="V159" t="s">
        <v>153</v>
      </c>
    </row>
    <row r="160" spans="9:22" x14ac:dyDescent="0.45">
      <c r="I160" t="s">
        <v>167</v>
      </c>
      <c r="J160" t="s">
        <v>282</v>
      </c>
      <c r="K160">
        <v>4.0614946563306605E-3</v>
      </c>
      <c r="L160" t="s">
        <v>153</v>
      </c>
      <c r="N160" t="s">
        <v>210</v>
      </c>
      <c r="O160" t="s">
        <v>282</v>
      </c>
      <c r="P160">
        <v>5.2709659665367566E-2</v>
      </c>
      <c r="Q160" t="s">
        <v>153</v>
      </c>
      <c r="S160" t="s">
        <v>252</v>
      </c>
      <c r="T160" t="s">
        <v>282</v>
      </c>
      <c r="U160">
        <v>9.3603441746969454E-2</v>
      </c>
      <c r="V160" t="s">
        <v>153</v>
      </c>
    </row>
    <row r="161" spans="9:22" x14ac:dyDescent="0.45">
      <c r="I161" t="s">
        <v>167</v>
      </c>
      <c r="J161" t="s">
        <v>156</v>
      </c>
      <c r="K161">
        <v>0</v>
      </c>
      <c r="L161" t="s">
        <v>153</v>
      </c>
      <c r="N161" t="s">
        <v>210</v>
      </c>
      <c r="O161" t="s">
        <v>156</v>
      </c>
      <c r="P161">
        <v>5.4634143443743274E-2</v>
      </c>
      <c r="Q161" t="s">
        <v>153</v>
      </c>
      <c r="S161" t="s">
        <v>252</v>
      </c>
      <c r="T161" t="s">
        <v>156</v>
      </c>
      <c r="U161">
        <v>5.582565531689513E-2</v>
      </c>
      <c r="V161" t="s">
        <v>153</v>
      </c>
    </row>
    <row r="162" spans="9:22" x14ac:dyDescent="0.45">
      <c r="I162" t="s">
        <v>167</v>
      </c>
      <c r="J162" t="s">
        <v>157</v>
      </c>
      <c r="K162">
        <v>2.0671119961976955E-3</v>
      </c>
      <c r="L162" t="s">
        <v>153</v>
      </c>
      <c r="N162" t="s">
        <v>210</v>
      </c>
      <c r="O162" t="s">
        <v>157</v>
      </c>
      <c r="P162">
        <v>6.9985541132956859E-3</v>
      </c>
      <c r="Q162" t="s">
        <v>153</v>
      </c>
      <c r="S162" t="s">
        <v>252</v>
      </c>
      <c r="T162" t="s">
        <v>157</v>
      </c>
      <c r="U162">
        <v>7.9793468955026217E-3</v>
      </c>
      <c r="V162" t="s">
        <v>153</v>
      </c>
    </row>
    <row r="163" spans="9:22" x14ac:dyDescent="0.45">
      <c r="I163" t="s">
        <v>167</v>
      </c>
      <c r="J163" t="s">
        <v>158</v>
      </c>
      <c r="K163">
        <v>9.3084084361185024E-2</v>
      </c>
      <c r="L163" t="s">
        <v>153</v>
      </c>
      <c r="N163" t="s">
        <v>210</v>
      </c>
      <c r="O163" t="s">
        <v>158</v>
      </c>
      <c r="P163">
        <v>0.11547357124464083</v>
      </c>
      <c r="Q163" t="s">
        <v>153</v>
      </c>
      <c r="S163" t="s">
        <v>252</v>
      </c>
      <c r="T163" t="s">
        <v>158</v>
      </c>
      <c r="U163">
        <v>6.4518495733505016E-2</v>
      </c>
      <c r="V163" t="s">
        <v>153</v>
      </c>
    </row>
    <row r="164" spans="9:22" x14ac:dyDescent="0.45">
      <c r="I164" t="s">
        <v>167</v>
      </c>
      <c r="J164" t="s">
        <v>283</v>
      </c>
      <c r="K164">
        <v>7.2439528171806935E-3</v>
      </c>
      <c r="L164" t="s">
        <v>153</v>
      </c>
      <c r="N164" t="s">
        <v>210</v>
      </c>
      <c r="O164" t="s">
        <v>283</v>
      </c>
      <c r="P164">
        <v>9.8337972025361858E-3</v>
      </c>
      <c r="Q164" t="s">
        <v>153</v>
      </c>
      <c r="S164" t="s">
        <v>252</v>
      </c>
      <c r="T164" t="s">
        <v>283</v>
      </c>
      <c r="U164">
        <v>7.994567403712417E-3</v>
      </c>
      <c r="V164" t="s">
        <v>153</v>
      </c>
    </row>
    <row r="165" spans="9:22" x14ac:dyDescent="0.45">
      <c r="I165" t="s">
        <v>167</v>
      </c>
      <c r="J165" t="s">
        <v>284</v>
      </c>
      <c r="K165">
        <v>0</v>
      </c>
      <c r="L165" t="s">
        <v>153</v>
      </c>
      <c r="N165" t="s">
        <v>210</v>
      </c>
      <c r="O165" t="s">
        <v>284</v>
      </c>
      <c r="P165">
        <v>7.8647209298619222E-3</v>
      </c>
      <c r="Q165" t="s">
        <v>153</v>
      </c>
      <c r="S165" t="s">
        <v>252</v>
      </c>
      <c r="T165" t="s">
        <v>284</v>
      </c>
      <c r="U165">
        <v>8.0793774928606538E-3</v>
      </c>
      <c r="V165" t="s">
        <v>153</v>
      </c>
    </row>
    <row r="166" spans="9:22" x14ac:dyDescent="0.45">
      <c r="I166" t="s">
        <v>167</v>
      </c>
      <c r="J166" t="s">
        <v>285</v>
      </c>
      <c r="K166">
        <v>0</v>
      </c>
      <c r="L166" t="s">
        <v>153</v>
      </c>
      <c r="N166" t="s">
        <v>210</v>
      </c>
      <c r="O166" t="s">
        <v>285</v>
      </c>
      <c r="P166">
        <v>3.1800159453118905E-2</v>
      </c>
      <c r="Q166" t="s">
        <v>153</v>
      </c>
      <c r="S166" t="s">
        <v>252</v>
      </c>
      <c r="T166" t="s">
        <v>285</v>
      </c>
      <c r="U166">
        <v>3.9539774098160133E-2</v>
      </c>
      <c r="V166" t="s">
        <v>153</v>
      </c>
    </row>
    <row r="167" spans="9:22" x14ac:dyDescent="0.45">
      <c r="I167" t="s">
        <v>167</v>
      </c>
      <c r="J167" t="s">
        <v>159</v>
      </c>
      <c r="K167">
        <v>1.2241898959342194E-2</v>
      </c>
      <c r="L167" t="s">
        <v>153</v>
      </c>
      <c r="N167" t="s">
        <v>210</v>
      </c>
      <c r="O167" t="s">
        <v>159</v>
      </c>
      <c r="P167">
        <v>6.4855850582477059E-2</v>
      </c>
      <c r="Q167" t="s">
        <v>153</v>
      </c>
      <c r="S167" t="s">
        <v>252</v>
      </c>
      <c r="T167" t="s">
        <v>159</v>
      </c>
      <c r="U167">
        <v>8.6387229233644239E-2</v>
      </c>
      <c r="V167" t="s">
        <v>153</v>
      </c>
    </row>
    <row r="168" spans="9:22" x14ac:dyDescent="0.45">
      <c r="I168" t="s">
        <v>167</v>
      </c>
      <c r="J168" t="s">
        <v>160</v>
      </c>
      <c r="K168">
        <v>2.2972028095942162E-2</v>
      </c>
      <c r="L168" t="s">
        <v>153</v>
      </c>
      <c r="N168" t="s">
        <v>210</v>
      </c>
      <c r="O168" t="s">
        <v>160</v>
      </c>
      <c r="P168">
        <v>8.7979532459285647E-3</v>
      </c>
      <c r="Q168" t="s">
        <v>153</v>
      </c>
      <c r="S168" t="s">
        <v>252</v>
      </c>
      <c r="T168" t="s">
        <v>160</v>
      </c>
      <c r="U168">
        <v>1.2850180972865607E-2</v>
      </c>
      <c r="V168" t="s">
        <v>153</v>
      </c>
    </row>
    <row r="169" spans="9:22" x14ac:dyDescent="0.45">
      <c r="I169" t="s">
        <v>167</v>
      </c>
      <c r="J169" t="s">
        <v>161</v>
      </c>
      <c r="K169">
        <v>0.25775675923583896</v>
      </c>
      <c r="L169" t="s">
        <v>153</v>
      </c>
      <c r="N169" t="s">
        <v>210</v>
      </c>
      <c r="O169" t="s">
        <v>161</v>
      </c>
      <c r="P169">
        <v>0.24002542473498889</v>
      </c>
      <c r="Q169" t="s">
        <v>153</v>
      </c>
      <c r="S169" t="s">
        <v>252</v>
      </c>
      <c r="T169" t="s">
        <v>161</v>
      </c>
      <c r="U169">
        <v>0.12537161451651835</v>
      </c>
      <c r="V169" t="s">
        <v>153</v>
      </c>
    </row>
    <row r="170" spans="9:22" x14ac:dyDescent="0.45">
      <c r="I170" t="s">
        <v>167</v>
      </c>
      <c r="J170" t="s">
        <v>286</v>
      </c>
      <c r="K170">
        <v>2.1864836306637891E-2</v>
      </c>
      <c r="L170" t="s">
        <v>153</v>
      </c>
      <c r="N170" t="s">
        <v>210</v>
      </c>
      <c r="O170" t="s">
        <v>286</v>
      </c>
      <c r="P170">
        <v>2.2272644493498479E-2</v>
      </c>
      <c r="Q170" t="s">
        <v>153</v>
      </c>
      <c r="S170" t="s">
        <v>252</v>
      </c>
      <c r="T170" t="s">
        <v>286</v>
      </c>
      <c r="U170">
        <v>1.4943936744048052E-2</v>
      </c>
      <c r="V170" t="s">
        <v>153</v>
      </c>
    </row>
    <row r="171" spans="9:22" x14ac:dyDescent="0.45">
      <c r="I171" t="s">
        <v>167</v>
      </c>
      <c r="J171" t="s">
        <v>287</v>
      </c>
      <c r="K171">
        <v>9.5774725308283258E-3</v>
      </c>
      <c r="L171" t="s">
        <v>153</v>
      </c>
      <c r="N171" t="s">
        <v>210</v>
      </c>
      <c r="O171" t="s">
        <v>287</v>
      </c>
      <c r="P171">
        <v>1.4934755487138312E-2</v>
      </c>
      <c r="Q171" t="s">
        <v>153</v>
      </c>
      <c r="S171" t="s">
        <v>252</v>
      </c>
      <c r="T171" t="s">
        <v>287</v>
      </c>
      <c r="U171">
        <v>1.4431323235108495E-2</v>
      </c>
      <c r="V171" t="s">
        <v>153</v>
      </c>
    </row>
    <row r="172" spans="9:22" x14ac:dyDescent="0.45">
      <c r="I172" t="s">
        <v>167</v>
      </c>
      <c r="J172" t="s">
        <v>288</v>
      </c>
      <c r="K172">
        <v>0</v>
      </c>
      <c r="L172" t="s">
        <v>153</v>
      </c>
      <c r="N172" t="s">
        <v>210</v>
      </c>
      <c r="O172" t="s">
        <v>288</v>
      </c>
      <c r="P172">
        <v>4.4110596460244768E-2</v>
      </c>
      <c r="Q172" t="s">
        <v>153</v>
      </c>
      <c r="S172" t="s">
        <v>252</v>
      </c>
      <c r="T172" t="s">
        <v>288</v>
      </c>
      <c r="U172">
        <v>6.2884559450108998E-2</v>
      </c>
      <c r="V172" t="s">
        <v>153</v>
      </c>
    </row>
    <row r="173" spans="9:22" x14ac:dyDescent="0.45">
      <c r="I173" t="s">
        <v>167</v>
      </c>
      <c r="J173" t="s">
        <v>294</v>
      </c>
      <c r="K173">
        <v>5.6786047067339277E-3</v>
      </c>
      <c r="L173" t="s">
        <v>153</v>
      </c>
      <c r="N173" t="s">
        <v>210</v>
      </c>
      <c r="O173" t="s">
        <v>294</v>
      </c>
      <c r="P173">
        <v>4.0129527327050531E-3</v>
      </c>
      <c r="Q173" t="s">
        <v>153</v>
      </c>
      <c r="S173" t="s">
        <v>252</v>
      </c>
      <c r="T173" t="s">
        <v>294</v>
      </c>
      <c r="U173">
        <v>1.6082553365638581E-2</v>
      </c>
      <c r="V173" t="s">
        <v>153</v>
      </c>
    </row>
    <row r="174" spans="9:22" x14ac:dyDescent="0.45">
      <c r="I174" t="s">
        <v>167</v>
      </c>
      <c r="J174" t="s">
        <v>295</v>
      </c>
      <c r="K174">
        <v>7.9238783464887601E-3</v>
      </c>
      <c r="L174" t="s">
        <v>153</v>
      </c>
      <c r="N174" t="s">
        <v>210</v>
      </c>
      <c r="O174" t="s">
        <v>295</v>
      </c>
      <c r="P174">
        <v>3.3702076028127343E-4</v>
      </c>
      <c r="Q174" t="s">
        <v>153</v>
      </c>
      <c r="S174" t="s">
        <v>252</v>
      </c>
      <c r="T174" t="s">
        <v>295</v>
      </c>
      <c r="U174">
        <v>2.3364584573032699E-3</v>
      </c>
      <c r="V174" t="s">
        <v>153</v>
      </c>
    </row>
    <row r="175" spans="9:22" x14ac:dyDescent="0.45">
      <c r="I175" t="s">
        <v>167</v>
      </c>
      <c r="J175" t="s">
        <v>296</v>
      </c>
      <c r="K175">
        <v>8.1602648302863429E-2</v>
      </c>
      <c r="L175" t="s">
        <v>153</v>
      </c>
      <c r="N175" t="s">
        <v>210</v>
      </c>
      <c r="O175" t="s">
        <v>296</v>
      </c>
      <c r="P175">
        <v>2.3069397599412261E-2</v>
      </c>
      <c r="Q175" t="s">
        <v>153</v>
      </c>
      <c r="S175" t="s">
        <v>252</v>
      </c>
      <c r="T175" t="s">
        <v>296</v>
      </c>
      <c r="U175">
        <v>2.6451807585422885E-2</v>
      </c>
      <c r="V175" t="s">
        <v>153</v>
      </c>
    </row>
    <row r="176" spans="9:22" x14ac:dyDescent="0.45">
      <c r="I176" t="s">
        <v>167</v>
      </c>
      <c r="J176" t="s">
        <v>297</v>
      </c>
      <c r="K176">
        <v>6.7205537299951969E-3</v>
      </c>
      <c r="L176" t="s">
        <v>153</v>
      </c>
      <c r="N176" t="s">
        <v>210</v>
      </c>
      <c r="O176" t="s">
        <v>297</v>
      </c>
      <c r="P176">
        <v>2.3763841565450769E-3</v>
      </c>
      <c r="Q176" t="s">
        <v>153</v>
      </c>
      <c r="S176" t="s">
        <v>252</v>
      </c>
      <c r="T176" t="s">
        <v>297</v>
      </c>
      <c r="U176">
        <v>3.037625804924829E-3</v>
      </c>
      <c r="V176" t="s">
        <v>153</v>
      </c>
    </row>
    <row r="177" spans="9:22" x14ac:dyDescent="0.45">
      <c r="I177" t="s">
        <v>167</v>
      </c>
      <c r="J177" t="s">
        <v>298</v>
      </c>
      <c r="K177">
        <v>4.8626744823660898E-3</v>
      </c>
      <c r="L177" t="s">
        <v>153</v>
      </c>
      <c r="N177" t="s">
        <v>210</v>
      </c>
      <c r="O177" t="s">
        <v>298</v>
      </c>
      <c r="P177">
        <v>1.5428026576208025E-3</v>
      </c>
      <c r="Q177" t="s">
        <v>153</v>
      </c>
      <c r="S177" t="s">
        <v>252</v>
      </c>
      <c r="T177" t="s">
        <v>298</v>
      </c>
      <c r="U177">
        <v>2.8910175723465743E-3</v>
      </c>
      <c r="V177" t="s">
        <v>153</v>
      </c>
    </row>
    <row r="178" spans="9:22" x14ac:dyDescent="0.45">
      <c r="I178" t="s">
        <v>167</v>
      </c>
      <c r="J178" t="s">
        <v>299</v>
      </c>
      <c r="K178">
        <v>1.3486728993521724E-3</v>
      </c>
      <c r="L178" t="s">
        <v>153</v>
      </c>
      <c r="N178" t="s">
        <v>210</v>
      </c>
      <c r="O178" t="s">
        <v>299</v>
      </c>
      <c r="P178">
        <v>4.7302834919763712E-3</v>
      </c>
      <c r="Q178" t="s">
        <v>153</v>
      </c>
      <c r="S178" t="s">
        <v>252</v>
      </c>
      <c r="T178" t="s">
        <v>299</v>
      </c>
      <c r="U178">
        <v>1.3660795840904247E-2</v>
      </c>
      <c r="V178" t="s">
        <v>153</v>
      </c>
    </row>
    <row r="179" spans="9:22" x14ac:dyDescent="0.45">
      <c r="I179" t="s">
        <v>168</v>
      </c>
      <c r="J179" t="s">
        <v>152</v>
      </c>
      <c r="K179">
        <v>6.5459936133221673E-3</v>
      </c>
      <c r="L179" t="s">
        <v>153</v>
      </c>
      <c r="N179" t="s">
        <v>211</v>
      </c>
      <c r="O179" t="s">
        <v>152</v>
      </c>
      <c r="P179">
        <v>9.6390271146245002E-2</v>
      </c>
      <c r="Q179" t="s">
        <v>153</v>
      </c>
      <c r="S179" t="s">
        <v>253</v>
      </c>
      <c r="T179" t="s">
        <v>152</v>
      </c>
      <c r="U179">
        <v>0.12581804394454421</v>
      </c>
      <c r="V179" t="s">
        <v>153</v>
      </c>
    </row>
    <row r="180" spans="9:22" x14ac:dyDescent="0.45">
      <c r="I180" t="s">
        <v>168</v>
      </c>
      <c r="J180" t="s">
        <v>154</v>
      </c>
      <c r="K180">
        <v>2.9958278039873339E-2</v>
      </c>
      <c r="L180" t="s">
        <v>153</v>
      </c>
      <c r="N180" t="s">
        <v>211</v>
      </c>
      <c r="O180" t="s">
        <v>154</v>
      </c>
      <c r="P180">
        <v>1.1668820339255983E-2</v>
      </c>
      <c r="Q180" t="s">
        <v>153</v>
      </c>
      <c r="S180" t="s">
        <v>253</v>
      </c>
      <c r="T180" t="s">
        <v>154</v>
      </c>
      <c r="U180">
        <v>1.6580661019530873E-2</v>
      </c>
      <c r="V180" t="s">
        <v>153</v>
      </c>
    </row>
    <row r="181" spans="9:22" x14ac:dyDescent="0.45">
      <c r="I181" t="s">
        <v>168</v>
      </c>
      <c r="J181" t="s">
        <v>155</v>
      </c>
      <c r="K181">
        <v>0.37700985026395656</v>
      </c>
      <c r="L181" t="s">
        <v>153</v>
      </c>
      <c r="N181" t="s">
        <v>211</v>
      </c>
      <c r="O181" t="s">
        <v>155</v>
      </c>
      <c r="P181">
        <v>0.12005522665642059</v>
      </c>
      <c r="Q181" t="s">
        <v>153</v>
      </c>
      <c r="S181" t="s">
        <v>253</v>
      </c>
      <c r="T181" t="s">
        <v>155</v>
      </c>
      <c r="U181">
        <v>0.16351222255240624</v>
      </c>
      <c r="V181" t="s">
        <v>153</v>
      </c>
    </row>
    <row r="182" spans="9:22" x14ac:dyDescent="0.45">
      <c r="I182" t="s">
        <v>168</v>
      </c>
      <c r="J182" t="s">
        <v>280</v>
      </c>
      <c r="K182">
        <v>3.1433160465456307E-2</v>
      </c>
      <c r="L182" t="s">
        <v>153</v>
      </c>
      <c r="N182" t="s">
        <v>211</v>
      </c>
      <c r="O182" t="s">
        <v>280</v>
      </c>
      <c r="P182">
        <v>1.5512162481132808E-2</v>
      </c>
      <c r="Q182" t="s">
        <v>153</v>
      </c>
      <c r="S182" t="s">
        <v>253</v>
      </c>
      <c r="T182" t="s">
        <v>280</v>
      </c>
      <c r="U182">
        <v>2.1794200239951326E-2</v>
      </c>
      <c r="V182" t="s">
        <v>153</v>
      </c>
    </row>
    <row r="183" spans="9:22" x14ac:dyDescent="0.45">
      <c r="I183" t="s">
        <v>168</v>
      </c>
      <c r="J183" t="s">
        <v>281</v>
      </c>
      <c r="K183">
        <v>1.4489032664878788E-2</v>
      </c>
      <c r="L183" t="s">
        <v>153</v>
      </c>
      <c r="N183" t="s">
        <v>211</v>
      </c>
      <c r="O183" t="s">
        <v>281</v>
      </c>
      <c r="P183">
        <v>1.6783422862701434E-2</v>
      </c>
      <c r="Q183" t="s">
        <v>153</v>
      </c>
      <c r="S183" t="s">
        <v>253</v>
      </c>
      <c r="T183" t="s">
        <v>281</v>
      </c>
      <c r="U183">
        <v>2.1607976386331704E-2</v>
      </c>
      <c r="V183" t="s">
        <v>153</v>
      </c>
    </row>
    <row r="184" spans="9:22" x14ac:dyDescent="0.45">
      <c r="I184" t="s">
        <v>168</v>
      </c>
      <c r="J184" t="s">
        <v>282</v>
      </c>
      <c r="K184">
        <v>0</v>
      </c>
      <c r="L184" t="s">
        <v>153</v>
      </c>
      <c r="N184" t="s">
        <v>211</v>
      </c>
      <c r="O184" t="s">
        <v>282</v>
      </c>
      <c r="P184">
        <v>9.6614208488552636E-2</v>
      </c>
      <c r="Q184" t="s">
        <v>153</v>
      </c>
      <c r="S184" t="s">
        <v>253</v>
      </c>
      <c r="T184" t="s">
        <v>282</v>
      </c>
      <c r="U184">
        <v>0.10374115824078327</v>
      </c>
      <c r="V184" t="s">
        <v>153</v>
      </c>
    </row>
    <row r="185" spans="9:22" x14ac:dyDescent="0.45">
      <c r="I185" t="s">
        <v>168</v>
      </c>
      <c r="J185" t="s">
        <v>156</v>
      </c>
      <c r="K185">
        <v>0</v>
      </c>
      <c r="L185" t="s">
        <v>153</v>
      </c>
      <c r="N185" t="s">
        <v>211</v>
      </c>
      <c r="O185" t="s">
        <v>156</v>
      </c>
      <c r="P185">
        <v>6.5404022234969064E-2</v>
      </c>
      <c r="Q185" t="s">
        <v>153</v>
      </c>
      <c r="S185" t="s">
        <v>253</v>
      </c>
      <c r="T185" t="s">
        <v>156</v>
      </c>
      <c r="U185">
        <v>3.6778298665367623E-2</v>
      </c>
      <c r="V185" t="s">
        <v>153</v>
      </c>
    </row>
    <row r="186" spans="9:22" x14ac:dyDescent="0.45">
      <c r="I186" t="s">
        <v>168</v>
      </c>
      <c r="J186" t="s">
        <v>157</v>
      </c>
      <c r="K186">
        <v>4.0727539941591171E-3</v>
      </c>
      <c r="L186" t="s">
        <v>153</v>
      </c>
      <c r="N186" t="s">
        <v>211</v>
      </c>
      <c r="O186" t="s">
        <v>157</v>
      </c>
      <c r="P186">
        <v>7.704205566797428E-3</v>
      </c>
      <c r="Q186" t="s">
        <v>153</v>
      </c>
      <c r="S186" t="s">
        <v>253</v>
      </c>
      <c r="T186" t="s">
        <v>157</v>
      </c>
      <c r="U186">
        <v>5.2800089382240793E-3</v>
      </c>
      <c r="V186" t="s">
        <v>153</v>
      </c>
    </row>
    <row r="187" spans="9:22" x14ac:dyDescent="0.45">
      <c r="I187" t="s">
        <v>168</v>
      </c>
      <c r="J187" t="s">
        <v>158</v>
      </c>
      <c r="K187">
        <v>0.11231279190210762</v>
      </c>
      <c r="L187" t="s">
        <v>153</v>
      </c>
      <c r="N187" t="s">
        <v>211</v>
      </c>
      <c r="O187" t="s">
        <v>158</v>
      </c>
      <c r="P187">
        <v>8.0729039007095327E-2</v>
      </c>
      <c r="Q187" t="s">
        <v>153</v>
      </c>
      <c r="S187" t="s">
        <v>253</v>
      </c>
      <c r="T187" t="s">
        <v>158</v>
      </c>
      <c r="U187">
        <v>6.0302583309215473E-2</v>
      </c>
      <c r="V187" t="s">
        <v>153</v>
      </c>
    </row>
    <row r="188" spans="9:22" x14ac:dyDescent="0.45">
      <c r="I188" t="s">
        <v>168</v>
      </c>
      <c r="J188" t="s">
        <v>283</v>
      </c>
      <c r="K188">
        <v>8.3753362130951359E-3</v>
      </c>
      <c r="L188" t="s">
        <v>153</v>
      </c>
      <c r="N188" t="s">
        <v>211</v>
      </c>
      <c r="O188" t="s">
        <v>283</v>
      </c>
      <c r="P188">
        <v>8.1947202403230262E-3</v>
      </c>
      <c r="Q188" t="s">
        <v>153</v>
      </c>
      <c r="S188" t="s">
        <v>253</v>
      </c>
      <c r="T188" t="s">
        <v>283</v>
      </c>
      <c r="U188">
        <v>8.2319512818804595E-3</v>
      </c>
      <c r="V188" t="s">
        <v>153</v>
      </c>
    </row>
    <row r="189" spans="9:22" x14ac:dyDescent="0.45">
      <c r="I189" t="s">
        <v>168</v>
      </c>
      <c r="J189" t="s">
        <v>284</v>
      </c>
      <c r="K189">
        <v>0</v>
      </c>
      <c r="L189" t="s">
        <v>153</v>
      </c>
      <c r="N189" t="s">
        <v>211</v>
      </c>
      <c r="O189" t="s">
        <v>284</v>
      </c>
      <c r="P189">
        <v>8.3556325186156521E-3</v>
      </c>
      <c r="Q189" t="s">
        <v>153</v>
      </c>
      <c r="S189" t="s">
        <v>253</v>
      </c>
      <c r="T189" t="s">
        <v>284</v>
      </c>
      <c r="U189">
        <v>8.0546672126603873E-3</v>
      </c>
      <c r="V189" t="s">
        <v>153</v>
      </c>
    </row>
    <row r="190" spans="9:22" x14ac:dyDescent="0.45">
      <c r="I190" t="s">
        <v>168</v>
      </c>
      <c r="J190" t="s">
        <v>285</v>
      </c>
      <c r="K190">
        <v>0</v>
      </c>
      <c r="L190" t="s">
        <v>153</v>
      </c>
      <c r="N190" t="s">
        <v>211</v>
      </c>
      <c r="O190" t="s">
        <v>285</v>
      </c>
      <c r="P190">
        <v>4.7831924507695751E-2</v>
      </c>
      <c r="Q190" t="s">
        <v>153</v>
      </c>
      <c r="S190" t="s">
        <v>253</v>
      </c>
      <c r="T190" t="s">
        <v>285</v>
      </c>
      <c r="U190">
        <v>3.7066421778658244E-2</v>
      </c>
      <c r="V190" t="s">
        <v>153</v>
      </c>
    </row>
    <row r="191" spans="9:22" x14ac:dyDescent="0.45">
      <c r="I191" t="s">
        <v>168</v>
      </c>
      <c r="J191" t="s">
        <v>159</v>
      </c>
      <c r="K191">
        <v>1.0142138068136056E-2</v>
      </c>
      <c r="L191" t="s">
        <v>153</v>
      </c>
      <c r="N191" t="s">
        <v>211</v>
      </c>
      <c r="O191" t="s">
        <v>159</v>
      </c>
      <c r="P191">
        <v>9.5187333213564068E-2</v>
      </c>
      <c r="Q191" t="s">
        <v>153</v>
      </c>
      <c r="S191" t="s">
        <v>253</v>
      </c>
      <c r="T191" t="s">
        <v>159</v>
      </c>
      <c r="U191">
        <v>8.3900724952449851E-2</v>
      </c>
      <c r="V191" t="s">
        <v>153</v>
      </c>
    </row>
    <row r="192" spans="9:22" x14ac:dyDescent="0.45">
      <c r="I192" t="s">
        <v>168</v>
      </c>
      <c r="J192" t="s">
        <v>160</v>
      </c>
      <c r="K192">
        <v>2.2360222642457871E-2</v>
      </c>
      <c r="L192" t="s">
        <v>153</v>
      </c>
      <c r="N192" t="s">
        <v>211</v>
      </c>
      <c r="O192" t="s">
        <v>160</v>
      </c>
      <c r="P192">
        <v>9.7879896246306306E-3</v>
      </c>
      <c r="Q192" t="s">
        <v>153</v>
      </c>
      <c r="S192" t="s">
        <v>253</v>
      </c>
      <c r="T192" t="s">
        <v>160</v>
      </c>
      <c r="U192">
        <v>1.1072088636695513E-2</v>
      </c>
      <c r="V192" t="s">
        <v>153</v>
      </c>
    </row>
    <row r="193" spans="9:22" x14ac:dyDescent="0.45">
      <c r="I193" t="s">
        <v>168</v>
      </c>
      <c r="J193" t="s">
        <v>161</v>
      </c>
      <c r="K193">
        <v>0.2615655662768358</v>
      </c>
      <c r="L193" t="s">
        <v>153</v>
      </c>
      <c r="N193" t="s">
        <v>211</v>
      </c>
      <c r="O193" t="s">
        <v>161</v>
      </c>
      <c r="P193">
        <v>0.14240241738711465</v>
      </c>
      <c r="Q193" t="s">
        <v>153</v>
      </c>
      <c r="S193" t="s">
        <v>253</v>
      </c>
      <c r="T193" t="s">
        <v>161</v>
      </c>
      <c r="U193">
        <v>0.12169833600286152</v>
      </c>
      <c r="V193" t="s">
        <v>153</v>
      </c>
    </row>
    <row r="194" spans="9:22" x14ac:dyDescent="0.45">
      <c r="I194" t="s">
        <v>168</v>
      </c>
      <c r="J194" t="s">
        <v>286</v>
      </c>
      <c r="K194">
        <v>2.0102968275382421E-2</v>
      </c>
      <c r="L194" t="s">
        <v>153</v>
      </c>
      <c r="N194" t="s">
        <v>211</v>
      </c>
      <c r="O194" t="s">
        <v>286</v>
      </c>
      <c r="P194">
        <v>1.7462794918915597E-2</v>
      </c>
      <c r="Q194" t="s">
        <v>153</v>
      </c>
      <c r="S194" t="s">
        <v>253</v>
      </c>
      <c r="T194" t="s">
        <v>286</v>
      </c>
      <c r="U194">
        <v>1.6164640288297533E-2</v>
      </c>
      <c r="V194" t="s">
        <v>153</v>
      </c>
    </row>
    <row r="195" spans="9:22" x14ac:dyDescent="0.45">
      <c r="I195" t="s">
        <v>168</v>
      </c>
      <c r="J195" t="s">
        <v>287</v>
      </c>
      <c r="K195">
        <v>8.4049315476786776E-3</v>
      </c>
      <c r="L195" t="s">
        <v>153</v>
      </c>
      <c r="N195" t="s">
        <v>211</v>
      </c>
      <c r="O195" t="s">
        <v>287</v>
      </c>
      <c r="P195">
        <v>1.5928037362698023E-2</v>
      </c>
      <c r="Q195" t="s">
        <v>153</v>
      </c>
      <c r="S195" t="s">
        <v>253</v>
      </c>
      <c r="T195" t="s">
        <v>287</v>
      </c>
      <c r="U195">
        <v>1.5865781358462193E-2</v>
      </c>
      <c r="V195" t="s">
        <v>153</v>
      </c>
    </row>
    <row r="196" spans="9:22" x14ac:dyDescent="0.45">
      <c r="I196" t="s">
        <v>168</v>
      </c>
      <c r="J196" t="s">
        <v>288</v>
      </c>
      <c r="K196">
        <v>0</v>
      </c>
      <c r="L196" t="s">
        <v>153</v>
      </c>
      <c r="N196" t="s">
        <v>211</v>
      </c>
      <c r="O196" t="s">
        <v>288</v>
      </c>
      <c r="P196">
        <v>8.293778258875141E-2</v>
      </c>
      <c r="Q196" t="s">
        <v>153</v>
      </c>
      <c r="S196" t="s">
        <v>253</v>
      </c>
      <c r="T196" t="s">
        <v>288</v>
      </c>
      <c r="U196">
        <v>7.4526599839802227E-2</v>
      </c>
      <c r="V196" t="s">
        <v>153</v>
      </c>
    </row>
    <row r="197" spans="9:22" x14ac:dyDescent="0.45">
      <c r="I197" t="s">
        <v>168</v>
      </c>
      <c r="J197" t="s">
        <v>294</v>
      </c>
      <c r="K197">
        <v>4.0913300786165575E-3</v>
      </c>
      <c r="L197" t="s">
        <v>153</v>
      </c>
      <c r="N197" t="s">
        <v>211</v>
      </c>
      <c r="O197" t="s">
        <v>294</v>
      </c>
      <c r="P197">
        <v>1.3802592354215762E-2</v>
      </c>
      <c r="Q197" t="s">
        <v>153</v>
      </c>
      <c r="S197" t="s">
        <v>253</v>
      </c>
      <c r="T197" t="s">
        <v>294</v>
      </c>
      <c r="U197">
        <v>1.9558090065020156E-2</v>
      </c>
      <c r="V197" t="s">
        <v>153</v>
      </c>
    </row>
    <row r="198" spans="9:22" x14ac:dyDescent="0.45">
      <c r="I198" t="s">
        <v>168</v>
      </c>
      <c r="J198" t="s">
        <v>295</v>
      </c>
      <c r="K198">
        <v>6.5004738014824669E-3</v>
      </c>
      <c r="L198" t="s">
        <v>153</v>
      </c>
      <c r="N198" t="s">
        <v>211</v>
      </c>
      <c r="O198" t="s">
        <v>295</v>
      </c>
      <c r="P198">
        <v>1.4283470889797747E-3</v>
      </c>
      <c r="Q198" t="s">
        <v>153</v>
      </c>
      <c r="S198" t="s">
        <v>253</v>
      </c>
      <c r="T198" t="s">
        <v>295</v>
      </c>
      <c r="U198">
        <v>2.5557443264484893E-3</v>
      </c>
      <c r="V198" t="s">
        <v>153</v>
      </c>
    </row>
    <row r="199" spans="9:22" x14ac:dyDescent="0.45">
      <c r="I199" t="s">
        <v>168</v>
      </c>
      <c r="J199" t="s">
        <v>296</v>
      </c>
      <c r="K199">
        <v>7.2692347273245653E-2</v>
      </c>
      <c r="L199" t="s">
        <v>153</v>
      </c>
      <c r="N199" t="s">
        <v>211</v>
      </c>
      <c r="O199" t="s">
        <v>296</v>
      </c>
      <c r="P199">
        <v>2.615720716608563E-2</v>
      </c>
      <c r="Q199" t="s">
        <v>153</v>
      </c>
      <c r="S199" t="s">
        <v>253</v>
      </c>
      <c r="T199" t="s">
        <v>296</v>
      </c>
      <c r="U199">
        <v>2.3364901707856173E-2</v>
      </c>
      <c r="V199" t="s">
        <v>153</v>
      </c>
    </row>
    <row r="200" spans="9:22" x14ac:dyDescent="0.45">
      <c r="I200" t="s">
        <v>168</v>
      </c>
      <c r="J200" t="s">
        <v>297</v>
      </c>
      <c r="K200">
        <v>6.0469372660680257E-3</v>
      </c>
      <c r="L200" t="s">
        <v>153</v>
      </c>
      <c r="N200" t="s">
        <v>211</v>
      </c>
      <c r="O200" t="s">
        <v>297</v>
      </c>
      <c r="P200">
        <v>3.1819577387174583E-3</v>
      </c>
      <c r="Q200" t="s">
        <v>153</v>
      </c>
      <c r="S200" t="s">
        <v>253</v>
      </c>
      <c r="T200" t="s">
        <v>297</v>
      </c>
      <c r="U200">
        <v>3.184060481138542E-3</v>
      </c>
      <c r="V200" t="s">
        <v>153</v>
      </c>
    </row>
    <row r="201" spans="9:22" x14ac:dyDescent="0.45">
      <c r="I201" t="s">
        <v>168</v>
      </c>
      <c r="J201" t="s">
        <v>298</v>
      </c>
      <c r="K201">
        <v>3.8958876132511055E-3</v>
      </c>
      <c r="L201" t="s">
        <v>153</v>
      </c>
      <c r="N201" t="s">
        <v>211</v>
      </c>
      <c r="O201" t="s">
        <v>298</v>
      </c>
      <c r="P201">
        <v>2.5837210103521104E-3</v>
      </c>
      <c r="Q201" t="s">
        <v>153</v>
      </c>
      <c r="S201" t="s">
        <v>253</v>
      </c>
      <c r="T201" t="s">
        <v>298</v>
      </c>
      <c r="U201">
        <v>3.3312090115471373E-3</v>
      </c>
      <c r="V201" t="s">
        <v>153</v>
      </c>
    </row>
    <row r="202" spans="9:22" x14ac:dyDescent="0.45">
      <c r="I202" t="s">
        <v>168</v>
      </c>
      <c r="J202" t="s">
        <v>299</v>
      </c>
      <c r="K202">
        <v>0</v>
      </c>
      <c r="L202" t="s">
        <v>153</v>
      </c>
      <c r="N202" t="s">
        <v>211</v>
      </c>
      <c r="O202" t="s">
        <v>299</v>
      </c>
      <c r="P202">
        <v>1.3896163496173092E-2</v>
      </c>
      <c r="Q202" t="s">
        <v>153</v>
      </c>
      <c r="S202" t="s">
        <v>253</v>
      </c>
      <c r="T202" t="s">
        <v>299</v>
      </c>
      <c r="U202">
        <v>1.6009629759865449E-2</v>
      </c>
      <c r="V202" t="s">
        <v>153</v>
      </c>
    </row>
    <row r="203" spans="9:22" x14ac:dyDescent="0.45">
      <c r="I203" t="s">
        <v>169</v>
      </c>
      <c r="J203" t="s">
        <v>152</v>
      </c>
      <c r="K203">
        <v>8.8278524864373511E-3</v>
      </c>
      <c r="L203" t="s">
        <v>153</v>
      </c>
      <c r="N203" t="s">
        <v>212</v>
      </c>
      <c r="O203" t="s">
        <v>152</v>
      </c>
      <c r="P203">
        <v>0.11324451683154771</v>
      </c>
      <c r="Q203" t="s">
        <v>153</v>
      </c>
      <c r="S203" t="s">
        <v>254</v>
      </c>
      <c r="T203" t="s">
        <v>152</v>
      </c>
      <c r="U203">
        <v>0.12003104999324483</v>
      </c>
      <c r="V203" t="s">
        <v>153</v>
      </c>
    </row>
    <row r="204" spans="9:22" x14ac:dyDescent="0.45">
      <c r="I204" t="s">
        <v>169</v>
      </c>
      <c r="J204" t="s">
        <v>154</v>
      </c>
      <c r="K204">
        <v>3.0462005412309517E-2</v>
      </c>
      <c r="L204" t="s">
        <v>153</v>
      </c>
      <c r="N204" t="s">
        <v>212</v>
      </c>
      <c r="O204" t="s">
        <v>154</v>
      </c>
      <c r="P204">
        <v>1.3762433386944708E-2</v>
      </c>
      <c r="Q204" t="s">
        <v>153</v>
      </c>
      <c r="S204" t="s">
        <v>254</v>
      </c>
      <c r="T204" t="s">
        <v>154</v>
      </c>
      <c r="U204">
        <v>1.6030210529414009E-2</v>
      </c>
      <c r="V204" t="s">
        <v>153</v>
      </c>
    </row>
    <row r="205" spans="9:22" x14ac:dyDescent="0.45">
      <c r="I205" t="s">
        <v>169</v>
      </c>
      <c r="J205" t="s">
        <v>155</v>
      </c>
      <c r="K205">
        <v>0.37285704386134294</v>
      </c>
      <c r="L205" t="s">
        <v>153</v>
      </c>
      <c r="N205" t="s">
        <v>212</v>
      </c>
      <c r="O205" t="s">
        <v>155</v>
      </c>
      <c r="P205">
        <v>0.10274773308029596</v>
      </c>
      <c r="Q205" t="s">
        <v>153</v>
      </c>
      <c r="S205" t="s">
        <v>254</v>
      </c>
      <c r="T205" t="s">
        <v>155</v>
      </c>
      <c r="U205">
        <v>0.16163766743024086</v>
      </c>
      <c r="V205" t="s">
        <v>153</v>
      </c>
    </row>
    <row r="206" spans="9:22" x14ac:dyDescent="0.45">
      <c r="I206" t="s">
        <v>169</v>
      </c>
      <c r="J206" t="s">
        <v>280</v>
      </c>
      <c r="K206">
        <v>3.1245541210079959E-2</v>
      </c>
      <c r="L206" t="s">
        <v>153</v>
      </c>
      <c r="N206" t="s">
        <v>212</v>
      </c>
      <c r="O206" t="s">
        <v>280</v>
      </c>
      <c r="P206">
        <v>1.2785192354424154E-2</v>
      </c>
      <c r="Q206" t="s">
        <v>153</v>
      </c>
      <c r="S206" t="s">
        <v>254</v>
      </c>
      <c r="T206" t="s">
        <v>280</v>
      </c>
      <c r="U206">
        <v>2.1418929865014088E-2</v>
      </c>
      <c r="V206" t="s">
        <v>153</v>
      </c>
    </row>
    <row r="207" spans="9:22" x14ac:dyDescent="0.45">
      <c r="I207" t="s">
        <v>169</v>
      </c>
      <c r="J207" t="s">
        <v>281</v>
      </c>
      <c r="K207">
        <v>1.4856330659418028E-2</v>
      </c>
      <c r="L207" t="s">
        <v>153</v>
      </c>
      <c r="N207" t="s">
        <v>212</v>
      </c>
      <c r="O207" t="s">
        <v>281</v>
      </c>
      <c r="P207">
        <v>1.5338603998371522E-2</v>
      </c>
      <c r="Q207" t="s">
        <v>153</v>
      </c>
      <c r="S207" t="s">
        <v>254</v>
      </c>
      <c r="T207" t="s">
        <v>281</v>
      </c>
      <c r="U207">
        <v>2.1322614413875819E-2</v>
      </c>
      <c r="V207" t="s">
        <v>153</v>
      </c>
    </row>
    <row r="208" spans="9:22" x14ac:dyDescent="0.45">
      <c r="I208" t="s">
        <v>169</v>
      </c>
      <c r="J208" t="s">
        <v>282</v>
      </c>
      <c r="K208">
        <v>5.6875701763644127E-4</v>
      </c>
      <c r="L208" t="s">
        <v>153</v>
      </c>
      <c r="N208" t="s">
        <v>212</v>
      </c>
      <c r="O208" t="s">
        <v>282</v>
      </c>
      <c r="P208">
        <v>0.10671934569322107</v>
      </c>
      <c r="Q208" t="s">
        <v>153</v>
      </c>
      <c r="S208" t="s">
        <v>254</v>
      </c>
      <c r="T208" t="s">
        <v>282</v>
      </c>
      <c r="U208">
        <v>0.10100217867422127</v>
      </c>
      <c r="V208" t="s">
        <v>153</v>
      </c>
    </row>
    <row r="209" spans="9:22" x14ac:dyDescent="0.45">
      <c r="I209" t="s">
        <v>169</v>
      </c>
      <c r="J209" t="s">
        <v>156</v>
      </c>
      <c r="K209">
        <v>0</v>
      </c>
      <c r="L209" t="s">
        <v>153</v>
      </c>
      <c r="N209" t="s">
        <v>212</v>
      </c>
      <c r="O209" t="s">
        <v>156</v>
      </c>
      <c r="P209">
        <v>6.7009862097583708E-2</v>
      </c>
      <c r="Q209" t="s">
        <v>153</v>
      </c>
      <c r="S209" t="s">
        <v>254</v>
      </c>
      <c r="T209" t="s">
        <v>156</v>
      </c>
      <c r="U209">
        <v>4.3138375544515078E-2</v>
      </c>
      <c r="V209" t="s">
        <v>153</v>
      </c>
    </row>
    <row r="210" spans="9:22" x14ac:dyDescent="0.45">
      <c r="I210" t="s">
        <v>169</v>
      </c>
      <c r="J210" t="s">
        <v>157</v>
      </c>
      <c r="K210">
        <v>3.7745480434329681E-3</v>
      </c>
      <c r="L210" t="s">
        <v>153</v>
      </c>
      <c r="N210" t="s">
        <v>212</v>
      </c>
      <c r="O210" t="s">
        <v>157</v>
      </c>
      <c r="P210">
        <v>7.9011069628963301E-3</v>
      </c>
      <c r="Q210" t="s">
        <v>153</v>
      </c>
      <c r="S210" t="s">
        <v>254</v>
      </c>
      <c r="T210" t="s">
        <v>157</v>
      </c>
      <c r="U210">
        <v>6.7660708367009168E-3</v>
      </c>
      <c r="V210" t="s">
        <v>153</v>
      </c>
    </row>
    <row r="211" spans="9:22" x14ac:dyDescent="0.45">
      <c r="I211" t="s">
        <v>169</v>
      </c>
      <c r="J211" t="s">
        <v>158</v>
      </c>
      <c r="K211">
        <v>0.10663215884022749</v>
      </c>
      <c r="L211" t="s">
        <v>153</v>
      </c>
      <c r="N211" t="s">
        <v>212</v>
      </c>
      <c r="O211" t="s">
        <v>158</v>
      </c>
      <c r="P211">
        <v>5.9515395858744366E-2</v>
      </c>
      <c r="Q211" t="s">
        <v>153</v>
      </c>
      <c r="S211" t="s">
        <v>254</v>
      </c>
      <c r="T211" t="s">
        <v>158</v>
      </c>
      <c r="U211">
        <v>6.3900841307530612E-2</v>
      </c>
      <c r="V211" t="s">
        <v>153</v>
      </c>
    </row>
    <row r="212" spans="9:22" x14ac:dyDescent="0.45">
      <c r="I212" t="s">
        <v>169</v>
      </c>
      <c r="J212" t="s">
        <v>283</v>
      </c>
      <c r="K212">
        <v>8.1283067808335888E-3</v>
      </c>
      <c r="L212" t="s">
        <v>153</v>
      </c>
      <c r="N212" t="s">
        <v>212</v>
      </c>
      <c r="O212" t="s">
        <v>283</v>
      </c>
      <c r="P212">
        <v>6.0506975431278932E-3</v>
      </c>
      <c r="Q212" t="s">
        <v>153</v>
      </c>
      <c r="S212" t="s">
        <v>254</v>
      </c>
      <c r="T212" t="s">
        <v>283</v>
      </c>
      <c r="U212">
        <v>8.2360995269678047E-3</v>
      </c>
      <c r="V212" t="s">
        <v>153</v>
      </c>
    </row>
    <row r="213" spans="9:22" x14ac:dyDescent="0.45">
      <c r="I213" t="s">
        <v>169</v>
      </c>
      <c r="J213" t="s">
        <v>284</v>
      </c>
      <c r="K213">
        <v>0</v>
      </c>
      <c r="L213" t="s">
        <v>153</v>
      </c>
      <c r="N213" t="s">
        <v>212</v>
      </c>
      <c r="O213" t="s">
        <v>284</v>
      </c>
      <c r="P213">
        <v>7.4097835679420706E-3</v>
      </c>
      <c r="Q213" t="s">
        <v>153</v>
      </c>
      <c r="S213" t="s">
        <v>254</v>
      </c>
      <c r="T213" t="s">
        <v>284</v>
      </c>
      <c r="U213">
        <v>7.9794016294285185E-3</v>
      </c>
      <c r="V213" t="s">
        <v>153</v>
      </c>
    </row>
    <row r="214" spans="9:22" x14ac:dyDescent="0.45">
      <c r="I214" t="s">
        <v>169</v>
      </c>
      <c r="J214" t="s">
        <v>285</v>
      </c>
      <c r="K214">
        <v>0</v>
      </c>
      <c r="L214" t="s">
        <v>153</v>
      </c>
      <c r="N214" t="s">
        <v>212</v>
      </c>
      <c r="O214" t="s">
        <v>285</v>
      </c>
      <c r="P214">
        <v>5.0114190789886832E-2</v>
      </c>
      <c r="Q214" t="s">
        <v>153</v>
      </c>
      <c r="S214" t="s">
        <v>254</v>
      </c>
      <c r="T214" t="s">
        <v>285</v>
      </c>
      <c r="U214">
        <v>3.6168956833852746E-2</v>
      </c>
      <c r="V214" t="s">
        <v>153</v>
      </c>
    </row>
    <row r="215" spans="9:22" x14ac:dyDescent="0.45">
      <c r="I215" t="s">
        <v>169</v>
      </c>
      <c r="J215" t="s">
        <v>159</v>
      </c>
      <c r="K215">
        <v>1.1660548288027926E-2</v>
      </c>
      <c r="L215" t="s">
        <v>153</v>
      </c>
      <c r="N215" t="s">
        <v>212</v>
      </c>
      <c r="O215" t="s">
        <v>159</v>
      </c>
      <c r="P215">
        <v>0.11767903941145279</v>
      </c>
      <c r="Q215" t="s">
        <v>153</v>
      </c>
      <c r="S215" t="s">
        <v>254</v>
      </c>
      <c r="T215" t="s">
        <v>159</v>
      </c>
      <c r="U215">
        <v>8.3567749804600605E-2</v>
      </c>
      <c r="V215" t="s">
        <v>153</v>
      </c>
    </row>
    <row r="216" spans="9:22" x14ac:dyDescent="0.45">
      <c r="I216" t="s">
        <v>169</v>
      </c>
      <c r="J216" t="s">
        <v>160</v>
      </c>
      <c r="K216">
        <v>2.2946978905843709E-2</v>
      </c>
      <c r="L216" t="s">
        <v>153</v>
      </c>
      <c r="N216" t="s">
        <v>212</v>
      </c>
      <c r="O216" t="s">
        <v>160</v>
      </c>
      <c r="P216">
        <v>1.2004670920321462E-2</v>
      </c>
      <c r="Q216" t="s">
        <v>153</v>
      </c>
      <c r="S216" t="s">
        <v>254</v>
      </c>
      <c r="T216" t="s">
        <v>160</v>
      </c>
      <c r="U216">
        <v>1.2152957098022795E-2</v>
      </c>
      <c r="V216" t="s">
        <v>153</v>
      </c>
    </row>
    <row r="217" spans="9:22" x14ac:dyDescent="0.45">
      <c r="I217" t="s">
        <v>169</v>
      </c>
      <c r="J217" t="s">
        <v>161</v>
      </c>
      <c r="K217">
        <v>0.25903726776283198</v>
      </c>
      <c r="L217" t="s">
        <v>153</v>
      </c>
      <c r="N217" t="s">
        <v>212</v>
      </c>
      <c r="O217" t="s">
        <v>161</v>
      </c>
      <c r="P217">
        <v>0.12007811247134047</v>
      </c>
      <c r="Q217" t="s">
        <v>153</v>
      </c>
      <c r="S217" t="s">
        <v>254</v>
      </c>
      <c r="T217" t="s">
        <v>161</v>
      </c>
      <c r="U217">
        <v>0.13428493872352387</v>
      </c>
      <c r="V217" t="s">
        <v>153</v>
      </c>
    </row>
    <row r="218" spans="9:22" x14ac:dyDescent="0.45">
      <c r="I218" t="s">
        <v>169</v>
      </c>
      <c r="J218" t="s">
        <v>286</v>
      </c>
      <c r="K218">
        <v>2.0661070017308249E-2</v>
      </c>
      <c r="L218" t="s">
        <v>153</v>
      </c>
      <c r="N218" t="s">
        <v>212</v>
      </c>
      <c r="O218" t="s">
        <v>286</v>
      </c>
      <c r="P218">
        <v>1.4956331959434323E-2</v>
      </c>
      <c r="Q218" t="s">
        <v>153</v>
      </c>
      <c r="S218" t="s">
        <v>254</v>
      </c>
      <c r="T218" t="s">
        <v>286</v>
      </c>
      <c r="U218">
        <v>1.6435198637606171E-2</v>
      </c>
      <c r="V218" t="s">
        <v>153</v>
      </c>
    </row>
    <row r="219" spans="9:22" x14ac:dyDescent="0.45">
      <c r="I219" t="s">
        <v>169</v>
      </c>
      <c r="J219" t="s">
        <v>287</v>
      </c>
      <c r="K219">
        <v>8.113534039071198E-3</v>
      </c>
      <c r="L219" t="s">
        <v>153</v>
      </c>
      <c r="N219" t="s">
        <v>212</v>
      </c>
      <c r="O219" t="s">
        <v>287</v>
      </c>
      <c r="P219">
        <v>1.5004364227250764E-2</v>
      </c>
      <c r="Q219" t="s">
        <v>153</v>
      </c>
      <c r="S219" t="s">
        <v>254</v>
      </c>
      <c r="T219" t="s">
        <v>287</v>
      </c>
      <c r="U219">
        <v>1.5549759578904872E-2</v>
      </c>
      <c r="V219" t="s">
        <v>153</v>
      </c>
    </row>
    <row r="220" spans="9:22" x14ac:dyDescent="0.45">
      <c r="I220" t="s">
        <v>169</v>
      </c>
      <c r="J220" t="s">
        <v>288</v>
      </c>
      <c r="K220">
        <v>0</v>
      </c>
      <c r="L220" t="s">
        <v>153</v>
      </c>
      <c r="N220" t="s">
        <v>212</v>
      </c>
      <c r="O220" t="s">
        <v>288</v>
      </c>
      <c r="P220">
        <v>9.7175499513639907E-2</v>
      </c>
      <c r="Q220" t="s">
        <v>153</v>
      </c>
      <c r="S220" t="s">
        <v>254</v>
      </c>
      <c r="T220" t="s">
        <v>288</v>
      </c>
      <c r="U220">
        <v>6.8382916889721812E-2</v>
      </c>
      <c r="V220" t="s">
        <v>153</v>
      </c>
    </row>
    <row r="221" spans="9:22" x14ac:dyDescent="0.45">
      <c r="I221" t="s">
        <v>169</v>
      </c>
      <c r="J221" t="s">
        <v>294</v>
      </c>
      <c r="K221">
        <v>5.1391785730821654E-3</v>
      </c>
      <c r="L221" t="s">
        <v>153</v>
      </c>
      <c r="N221" t="s">
        <v>212</v>
      </c>
      <c r="O221" t="s">
        <v>294</v>
      </c>
      <c r="P221">
        <v>1.8148069357160859E-2</v>
      </c>
      <c r="Q221" t="s">
        <v>153</v>
      </c>
      <c r="S221" t="s">
        <v>254</v>
      </c>
      <c r="T221" t="s">
        <v>294</v>
      </c>
      <c r="U221">
        <v>1.6387933375743187E-2</v>
      </c>
      <c r="V221" t="s">
        <v>153</v>
      </c>
    </row>
    <row r="222" spans="9:22" x14ac:dyDescent="0.45">
      <c r="I222" t="s">
        <v>169</v>
      </c>
      <c r="J222" t="s">
        <v>295</v>
      </c>
      <c r="K222">
        <v>7.4819022239858311E-3</v>
      </c>
      <c r="L222" t="s">
        <v>153</v>
      </c>
      <c r="N222" t="s">
        <v>212</v>
      </c>
      <c r="O222" t="s">
        <v>295</v>
      </c>
      <c r="P222">
        <v>1.922600522280162E-3</v>
      </c>
      <c r="Q222" t="s">
        <v>153</v>
      </c>
      <c r="S222" t="s">
        <v>254</v>
      </c>
      <c r="T222" t="s">
        <v>295</v>
      </c>
      <c r="U222">
        <v>2.2702778522572173E-3</v>
      </c>
      <c r="V222" t="s">
        <v>153</v>
      </c>
    </row>
    <row r="223" spans="9:22" x14ac:dyDescent="0.45">
      <c r="I223" t="s">
        <v>169</v>
      </c>
      <c r="J223" t="s">
        <v>296</v>
      </c>
      <c r="K223">
        <v>7.7137915072756622E-2</v>
      </c>
      <c r="L223" t="s">
        <v>153</v>
      </c>
      <c r="N223" t="s">
        <v>212</v>
      </c>
      <c r="O223" t="s">
        <v>296</v>
      </c>
      <c r="P223">
        <v>2.1854255045726828E-2</v>
      </c>
      <c r="Q223" t="s">
        <v>153</v>
      </c>
      <c r="S223" t="s">
        <v>254</v>
      </c>
      <c r="T223" t="s">
        <v>296</v>
      </c>
      <c r="U223">
        <v>2.433419208214932E-2</v>
      </c>
      <c r="V223" t="s">
        <v>153</v>
      </c>
    </row>
    <row r="224" spans="9:22" x14ac:dyDescent="0.45">
      <c r="I224" t="s">
        <v>169</v>
      </c>
      <c r="J224" t="s">
        <v>297</v>
      </c>
      <c r="K224">
        <v>6.1632433088556395E-3</v>
      </c>
      <c r="L224" t="s">
        <v>153</v>
      </c>
      <c r="N224" t="s">
        <v>212</v>
      </c>
      <c r="O224" t="s">
        <v>297</v>
      </c>
      <c r="P224">
        <v>2.3635178355151153E-3</v>
      </c>
      <c r="Q224" t="s">
        <v>153</v>
      </c>
      <c r="S224" t="s">
        <v>254</v>
      </c>
      <c r="T224" t="s">
        <v>297</v>
      </c>
      <c r="U224">
        <v>3.16585674247731E-3</v>
      </c>
      <c r="V224" t="s">
        <v>153</v>
      </c>
    </row>
    <row r="225" spans="9:22" x14ac:dyDescent="0.45">
      <c r="I225" t="s">
        <v>169</v>
      </c>
      <c r="J225" t="s">
        <v>298</v>
      </c>
      <c r="K225">
        <v>4.2509769342489213E-3</v>
      </c>
      <c r="L225" t="s">
        <v>153</v>
      </c>
      <c r="N225" t="s">
        <v>212</v>
      </c>
      <c r="O225" t="s">
        <v>298</v>
      </c>
      <c r="P225">
        <v>2.1250406606779177E-3</v>
      </c>
      <c r="Q225" t="s">
        <v>153</v>
      </c>
      <c r="S225" t="s">
        <v>254</v>
      </c>
      <c r="T225" t="s">
        <v>298</v>
      </c>
      <c r="U225">
        <v>3.0275916950979385E-3</v>
      </c>
      <c r="V225" t="s">
        <v>153</v>
      </c>
    </row>
    <row r="226" spans="9:22" x14ac:dyDescent="0.45">
      <c r="I226" t="s">
        <v>169</v>
      </c>
      <c r="J226" t="s">
        <v>299</v>
      </c>
      <c r="K226">
        <v>5.4840562270108406E-5</v>
      </c>
      <c r="L226" t="s">
        <v>153</v>
      </c>
      <c r="N226" t="s">
        <v>212</v>
      </c>
      <c r="O226" t="s">
        <v>299</v>
      </c>
      <c r="P226">
        <v>1.4089635910206936E-2</v>
      </c>
      <c r="Q226" t="s">
        <v>153</v>
      </c>
      <c r="S226" t="s">
        <v>254</v>
      </c>
      <c r="T226" t="s">
        <v>299</v>
      </c>
      <c r="U226">
        <v>1.2808230934885183E-2</v>
      </c>
      <c r="V226" t="s">
        <v>153</v>
      </c>
    </row>
    <row r="227" spans="9:22" x14ac:dyDescent="0.45">
      <c r="I227" t="s">
        <v>170</v>
      </c>
      <c r="J227" t="s">
        <v>152</v>
      </c>
      <c r="K227">
        <v>7.2097730118541913E-3</v>
      </c>
      <c r="L227" t="s">
        <v>153</v>
      </c>
      <c r="N227" t="s">
        <v>213</v>
      </c>
      <c r="O227" t="s">
        <v>152</v>
      </c>
      <c r="P227">
        <v>7.8317194319514533E-2</v>
      </c>
      <c r="Q227" t="s">
        <v>153</v>
      </c>
      <c r="S227" t="s">
        <v>255</v>
      </c>
      <c r="T227" t="s">
        <v>152</v>
      </c>
      <c r="U227">
        <v>0.11633470947145454</v>
      </c>
      <c r="V227" t="s">
        <v>153</v>
      </c>
    </row>
    <row r="228" spans="9:22" x14ac:dyDescent="0.45">
      <c r="I228" t="s">
        <v>170</v>
      </c>
      <c r="J228" t="s">
        <v>154</v>
      </c>
      <c r="K228">
        <v>2.3221723256321439E-2</v>
      </c>
      <c r="L228" t="s">
        <v>153</v>
      </c>
      <c r="N228" t="s">
        <v>213</v>
      </c>
      <c r="O228" t="s">
        <v>154</v>
      </c>
      <c r="P228">
        <v>9.3994955918659338E-3</v>
      </c>
      <c r="Q228" t="s">
        <v>153</v>
      </c>
      <c r="S228" t="s">
        <v>255</v>
      </c>
      <c r="T228" t="s">
        <v>154</v>
      </c>
      <c r="U228">
        <v>1.6006657669516602E-2</v>
      </c>
      <c r="V228" t="s">
        <v>153</v>
      </c>
    </row>
    <row r="229" spans="9:22" x14ac:dyDescent="0.45">
      <c r="I229" t="s">
        <v>170</v>
      </c>
      <c r="J229" t="s">
        <v>155</v>
      </c>
      <c r="K229">
        <v>0.37249008101297904</v>
      </c>
      <c r="L229" t="s">
        <v>153</v>
      </c>
      <c r="N229" t="s">
        <v>213</v>
      </c>
      <c r="O229" t="s">
        <v>155</v>
      </c>
      <c r="P229">
        <v>0.14097242598314494</v>
      </c>
      <c r="Q229" t="s">
        <v>153</v>
      </c>
      <c r="S229" t="s">
        <v>255</v>
      </c>
      <c r="T229" t="s">
        <v>155</v>
      </c>
      <c r="U229">
        <v>0.1522471254384421</v>
      </c>
      <c r="V229" t="s">
        <v>153</v>
      </c>
    </row>
    <row r="230" spans="9:22" x14ac:dyDescent="0.45">
      <c r="I230" t="s">
        <v>170</v>
      </c>
      <c r="J230" t="s">
        <v>280</v>
      </c>
      <c r="K230">
        <v>3.5986347800085486E-2</v>
      </c>
      <c r="L230" t="s">
        <v>153</v>
      </c>
      <c r="N230" t="s">
        <v>213</v>
      </c>
      <c r="O230" t="s">
        <v>280</v>
      </c>
      <c r="P230">
        <v>2.8528324761367501E-2</v>
      </c>
      <c r="Q230" t="s">
        <v>153</v>
      </c>
      <c r="S230" t="s">
        <v>255</v>
      </c>
      <c r="T230" t="s">
        <v>280</v>
      </c>
      <c r="U230">
        <v>2.0613564558335407E-2</v>
      </c>
      <c r="V230" t="s">
        <v>153</v>
      </c>
    </row>
    <row r="231" spans="9:22" x14ac:dyDescent="0.45">
      <c r="I231" t="s">
        <v>170</v>
      </c>
      <c r="J231" t="s">
        <v>281</v>
      </c>
      <c r="K231">
        <v>2.0710353575563029E-2</v>
      </c>
      <c r="L231" t="s">
        <v>153</v>
      </c>
      <c r="N231" t="s">
        <v>213</v>
      </c>
      <c r="O231" t="s">
        <v>281</v>
      </c>
      <c r="P231">
        <v>2.8007438026234621E-2</v>
      </c>
      <c r="Q231" t="s">
        <v>153</v>
      </c>
      <c r="S231" t="s">
        <v>255</v>
      </c>
      <c r="T231" t="s">
        <v>281</v>
      </c>
      <c r="U231">
        <v>2.141355545106086E-2</v>
      </c>
      <c r="V231" t="s">
        <v>153</v>
      </c>
    </row>
    <row r="232" spans="9:22" x14ac:dyDescent="0.45">
      <c r="I232" t="s">
        <v>170</v>
      </c>
      <c r="J232" t="s">
        <v>282</v>
      </c>
      <c r="K232">
        <v>7.8873871656973769E-3</v>
      </c>
      <c r="L232" t="s">
        <v>153</v>
      </c>
      <c r="N232" t="s">
        <v>213</v>
      </c>
      <c r="O232" t="s">
        <v>282</v>
      </c>
      <c r="P232">
        <v>9.521768850369576E-2</v>
      </c>
      <c r="Q232" t="s">
        <v>153</v>
      </c>
      <c r="S232" t="s">
        <v>255</v>
      </c>
      <c r="T232" t="s">
        <v>282</v>
      </c>
      <c r="U232">
        <v>0.10443540685755308</v>
      </c>
      <c r="V232" t="s">
        <v>153</v>
      </c>
    </row>
    <row r="233" spans="9:22" x14ac:dyDescent="0.45">
      <c r="I233" t="s">
        <v>170</v>
      </c>
      <c r="J233" t="s">
        <v>156</v>
      </c>
      <c r="K233">
        <v>0</v>
      </c>
      <c r="L233" t="s">
        <v>153</v>
      </c>
      <c r="N233" t="s">
        <v>213</v>
      </c>
      <c r="O233" t="s">
        <v>156</v>
      </c>
      <c r="P233">
        <v>4.9945134847874627E-2</v>
      </c>
      <c r="Q233" t="s">
        <v>153</v>
      </c>
      <c r="S233" t="s">
        <v>255</v>
      </c>
      <c r="T233" t="s">
        <v>156</v>
      </c>
      <c r="U233">
        <v>4.4603768932123915E-2</v>
      </c>
      <c r="V233" t="s">
        <v>153</v>
      </c>
    </row>
    <row r="234" spans="9:22" x14ac:dyDescent="0.45">
      <c r="I234" t="s">
        <v>170</v>
      </c>
      <c r="J234" t="s">
        <v>157</v>
      </c>
      <c r="K234">
        <v>3.8399041985056243E-4</v>
      </c>
      <c r="L234" t="s">
        <v>153</v>
      </c>
      <c r="N234" t="s">
        <v>213</v>
      </c>
      <c r="O234" t="s">
        <v>157</v>
      </c>
      <c r="P234">
        <v>5.6645283300195744E-3</v>
      </c>
      <c r="Q234" t="s">
        <v>153</v>
      </c>
      <c r="S234" t="s">
        <v>255</v>
      </c>
      <c r="T234" t="s">
        <v>157</v>
      </c>
      <c r="U234">
        <v>6.1966516877318759E-3</v>
      </c>
      <c r="V234" t="s">
        <v>153</v>
      </c>
    </row>
    <row r="235" spans="9:22" x14ac:dyDescent="0.45">
      <c r="I235" t="s">
        <v>170</v>
      </c>
      <c r="J235" t="s">
        <v>158</v>
      </c>
      <c r="K235">
        <v>8.388966779922509E-2</v>
      </c>
      <c r="L235" t="s">
        <v>153</v>
      </c>
      <c r="N235" t="s">
        <v>213</v>
      </c>
      <c r="O235" t="s">
        <v>158</v>
      </c>
      <c r="P235">
        <v>4.796493037711607E-2</v>
      </c>
      <c r="Q235" t="s">
        <v>153</v>
      </c>
      <c r="S235" t="s">
        <v>255</v>
      </c>
      <c r="T235" t="s">
        <v>158</v>
      </c>
      <c r="U235">
        <v>5.5707716569573122E-2</v>
      </c>
      <c r="V235" t="s">
        <v>153</v>
      </c>
    </row>
    <row r="236" spans="9:22" x14ac:dyDescent="0.45">
      <c r="I236" t="s">
        <v>170</v>
      </c>
      <c r="J236" t="s">
        <v>283</v>
      </c>
      <c r="K236">
        <v>7.1399367752862011E-3</v>
      </c>
      <c r="L236" t="s">
        <v>153</v>
      </c>
      <c r="N236" t="s">
        <v>213</v>
      </c>
      <c r="O236" t="s">
        <v>283</v>
      </c>
      <c r="P236">
        <v>8.8104972248211118E-3</v>
      </c>
      <c r="Q236" t="s">
        <v>153</v>
      </c>
      <c r="S236" t="s">
        <v>255</v>
      </c>
      <c r="T236" t="s">
        <v>283</v>
      </c>
      <c r="U236">
        <v>7.5571731619499564E-3</v>
      </c>
      <c r="V236" t="s">
        <v>153</v>
      </c>
    </row>
    <row r="237" spans="9:22" x14ac:dyDescent="0.45">
      <c r="I237" t="s">
        <v>170</v>
      </c>
      <c r="J237" t="s">
        <v>284</v>
      </c>
      <c r="K237">
        <v>0</v>
      </c>
      <c r="L237" t="s">
        <v>153</v>
      </c>
      <c r="N237" t="s">
        <v>213</v>
      </c>
      <c r="O237" t="s">
        <v>284</v>
      </c>
      <c r="P237">
        <v>8.8559783773457489E-3</v>
      </c>
      <c r="Q237" t="s">
        <v>153</v>
      </c>
      <c r="S237" t="s">
        <v>255</v>
      </c>
      <c r="T237" t="s">
        <v>284</v>
      </c>
      <c r="U237">
        <v>7.7817959786973916E-3</v>
      </c>
      <c r="V237" t="s">
        <v>153</v>
      </c>
    </row>
    <row r="238" spans="9:22" x14ac:dyDescent="0.45">
      <c r="I238" t="s">
        <v>170</v>
      </c>
      <c r="J238" t="s">
        <v>285</v>
      </c>
      <c r="K238">
        <v>0</v>
      </c>
      <c r="L238" t="s">
        <v>153</v>
      </c>
      <c r="N238" t="s">
        <v>213</v>
      </c>
      <c r="O238" t="s">
        <v>285</v>
      </c>
      <c r="P238">
        <v>3.8312812138631427E-2</v>
      </c>
      <c r="Q238" t="s">
        <v>153</v>
      </c>
      <c r="S238" t="s">
        <v>255</v>
      </c>
      <c r="T238" t="s">
        <v>285</v>
      </c>
      <c r="U238">
        <v>3.7725322831856194E-2</v>
      </c>
      <c r="V238" t="s">
        <v>153</v>
      </c>
    </row>
    <row r="239" spans="9:22" x14ac:dyDescent="0.45">
      <c r="I239" t="s">
        <v>170</v>
      </c>
      <c r="J239" t="s">
        <v>159</v>
      </c>
      <c r="K239">
        <v>9.7035191778439608E-3</v>
      </c>
      <c r="L239" t="s">
        <v>153</v>
      </c>
      <c r="N239" t="s">
        <v>213</v>
      </c>
      <c r="O239" t="s">
        <v>159</v>
      </c>
      <c r="P239">
        <v>6.9929906819761439E-2</v>
      </c>
      <c r="Q239" t="s">
        <v>153</v>
      </c>
      <c r="S239" t="s">
        <v>255</v>
      </c>
      <c r="T239" t="s">
        <v>159</v>
      </c>
      <c r="U239">
        <v>0.10017258439149791</v>
      </c>
      <c r="V239" t="s">
        <v>153</v>
      </c>
    </row>
    <row r="240" spans="9:22" x14ac:dyDescent="0.45">
      <c r="I240" t="s">
        <v>170</v>
      </c>
      <c r="J240" t="s">
        <v>160</v>
      </c>
      <c r="K240">
        <v>1.9397389060703929E-2</v>
      </c>
      <c r="L240" t="s">
        <v>153</v>
      </c>
      <c r="N240" t="s">
        <v>213</v>
      </c>
      <c r="O240" t="s">
        <v>160</v>
      </c>
      <c r="P240">
        <v>9.6185346511182598E-3</v>
      </c>
      <c r="Q240" t="s">
        <v>153</v>
      </c>
      <c r="S240" t="s">
        <v>255</v>
      </c>
      <c r="T240" t="s">
        <v>160</v>
      </c>
      <c r="U240">
        <v>1.3762306084826238E-2</v>
      </c>
      <c r="V240" t="s">
        <v>153</v>
      </c>
    </row>
    <row r="241" spans="9:22" x14ac:dyDescent="0.45">
      <c r="I241" t="s">
        <v>170</v>
      </c>
      <c r="J241" t="s">
        <v>161</v>
      </c>
      <c r="K241">
        <v>0.25159110987589611</v>
      </c>
      <c r="L241" t="s">
        <v>153</v>
      </c>
      <c r="N241" t="s">
        <v>213</v>
      </c>
      <c r="O241" t="s">
        <v>161</v>
      </c>
      <c r="P241">
        <v>0.16115292527471178</v>
      </c>
      <c r="Q241" t="s">
        <v>153</v>
      </c>
      <c r="S241" t="s">
        <v>255</v>
      </c>
      <c r="T241" t="s">
        <v>161</v>
      </c>
      <c r="U241">
        <v>0.12564824854172998</v>
      </c>
      <c r="V241" t="s">
        <v>153</v>
      </c>
    </row>
    <row r="242" spans="9:22" x14ac:dyDescent="0.45">
      <c r="I242" t="s">
        <v>170</v>
      </c>
      <c r="J242" t="s">
        <v>286</v>
      </c>
      <c r="K242">
        <v>2.269154203445739E-2</v>
      </c>
      <c r="L242" t="s">
        <v>153</v>
      </c>
      <c r="N242" t="s">
        <v>213</v>
      </c>
      <c r="O242" t="s">
        <v>286</v>
      </c>
      <c r="P242">
        <v>2.8985868964953473E-2</v>
      </c>
      <c r="Q242" t="s">
        <v>153</v>
      </c>
      <c r="S242" t="s">
        <v>255</v>
      </c>
      <c r="T242" t="s">
        <v>286</v>
      </c>
      <c r="U242">
        <v>1.623169773858003E-2</v>
      </c>
      <c r="V242" t="s">
        <v>153</v>
      </c>
    </row>
    <row r="243" spans="9:22" x14ac:dyDescent="0.45">
      <c r="I243" t="s">
        <v>170</v>
      </c>
      <c r="J243" t="s">
        <v>287</v>
      </c>
      <c r="K243">
        <v>1.325657015026478E-2</v>
      </c>
      <c r="L243" t="s">
        <v>153</v>
      </c>
      <c r="N243" t="s">
        <v>213</v>
      </c>
      <c r="O243" t="s">
        <v>287</v>
      </c>
      <c r="P243">
        <v>2.9674718742710191E-2</v>
      </c>
      <c r="Q243" t="s">
        <v>153</v>
      </c>
      <c r="S243" t="s">
        <v>255</v>
      </c>
      <c r="T243" t="s">
        <v>287</v>
      </c>
      <c r="U243">
        <v>1.6536655370069313E-2</v>
      </c>
      <c r="V243" t="s">
        <v>153</v>
      </c>
    </row>
    <row r="244" spans="9:22" x14ac:dyDescent="0.45">
      <c r="I244" t="s">
        <v>170</v>
      </c>
      <c r="J244" t="s">
        <v>288</v>
      </c>
      <c r="K244">
        <v>3.0805873371123716E-4</v>
      </c>
      <c r="L244" t="s">
        <v>153</v>
      </c>
      <c r="N244" t="s">
        <v>213</v>
      </c>
      <c r="O244" t="s">
        <v>288</v>
      </c>
      <c r="P244">
        <v>9.357044830063703E-2</v>
      </c>
      <c r="Q244" t="s">
        <v>153</v>
      </c>
      <c r="S244" t="s">
        <v>255</v>
      </c>
      <c r="T244" t="s">
        <v>288</v>
      </c>
      <c r="U244">
        <v>8.0852855694024922E-2</v>
      </c>
      <c r="V244" t="s">
        <v>153</v>
      </c>
    </row>
    <row r="245" spans="9:22" x14ac:dyDescent="0.45">
      <c r="I245" t="s">
        <v>170</v>
      </c>
      <c r="J245" t="s">
        <v>294</v>
      </c>
      <c r="K245">
        <v>5.3604329359122176E-3</v>
      </c>
      <c r="L245" t="s">
        <v>153</v>
      </c>
      <c r="N245" t="s">
        <v>213</v>
      </c>
      <c r="O245" t="s">
        <v>294</v>
      </c>
      <c r="P245">
        <v>1.1223808070881794E-2</v>
      </c>
      <c r="Q245" t="s">
        <v>153</v>
      </c>
      <c r="S245" t="s">
        <v>255</v>
      </c>
      <c r="T245" t="s">
        <v>294</v>
      </c>
      <c r="U245">
        <v>1.4686913745890482E-2</v>
      </c>
      <c r="V245" t="s">
        <v>153</v>
      </c>
    </row>
    <row r="246" spans="9:22" x14ac:dyDescent="0.45">
      <c r="I246" t="s">
        <v>170</v>
      </c>
      <c r="J246" t="s">
        <v>295</v>
      </c>
      <c r="K246">
        <v>7.887087686692126E-3</v>
      </c>
      <c r="L246" t="s">
        <v>153</v>
      </c>
      <c r="N246" t="s">
        <v>213</v>
      </c>
      <c r="O246" t="s">
        <v>295</v>
      </c>
      <c r="P246">
        <v>1.2211420634191689E-3</v>
      </c>
      <c r="Q246" t="s">
        <v>153</v>
      </c>
      <c r="S246" t="s">
        <v>255</v>
      </c>
      <c r="T246" t="s">
        <v>295</v>
      </c>
      <c r="U246">
        <v>2.1596141082794395E-3</v>
      </c>
      <c r="V246" t="s">
        <v>153</v>
      </c>
    </row>
    <row r="247" spans="9:22" x14ac:dyDescent="0.45">
      <c r="I247" t="s">
        <v>170</v>
      </c>
      <c r="J247" t="s">
        <v>296</v>
      </c>
      <c r="K247">
        <v>9.0861618295451113E-2</v>
      </c>
      <c r="L247" t="s">
        <v>153</v>
      </c>
      <c r="N247" t="s">
        <v>213</v>
      </c>
      <c r="O247" t="s">
        <v>296</v>
      </c>
      <c r="P247">
        <v>2.8009850560729941E-2</v>
      </c>
      <c r="Q247" t="s">
        <v>153</v>
      </c>
      <c r="S247" t="s">
        <v>255</v>
      </c>
      <c r="T247" t="s">
        <v>296</v>
      </c>
      <c r="U247">
        <v>2.0524443136354955E-2</v>
      </c>
      <c r="V247" t="s">
        <v>153</v>
      </c>
    </row>
    <row r="248" spans="9:22" x14ac:dyDescent="0.45">
      <c r="I248" t="s">
        <v>170</v>
      </c>
      <c r="J248" t="s">
        <v>297</v>
      </c>
      <c r="K248">
        <v>8.8709419411947387E-3</v>
      </c>
      <c r="L248" t="s">
        <v>153</v>
      </c>
      <c r="N248" t="s">
        <v>213</v>
      </c>
      <c r="O248" t="s">
        <v>297</v>
      </c>
      <c r="P248">
        <v>5.914216601198008E-3</v>
      </c>
      <c r="Q248" t="s">
        <v>153</v>
      </c>
      <c r="S248" t="s">
        <v>255</v>
      </c>
      <c r="T248" t="s">
        <v>297</v>
      </c>
      <c r="U248">
        <v>2.648330785472385E-3</v>
      </c>
      <c r="V248" t="s">
        <v>153</v>
      </c>
    </row>
    <row r="249" spans="9:22" x14ac:dyDescent="0.45">
      <c r="I249" t="s">
        <v>170</v>
      </c>
      <c r="J249" t="s">
        <v>298</v>
      </c>
      <c r="K249">
        <v>7.0321657070854986E-3</v>
      </c>
      <c r="L249" t="s">
        <v>153</v>
      </c>
      <c r="N249" t="s">
        <v>213</v>
      </c>
      <c r="O249" t="s">
        <v>298</v>
      </c>
      <c r="P249">
        <v>5.2868330976353775E-3</v>
      </c>
      <c r="Q249" t="s">
        <v>153</v>
      </c>
      <c r="S249" t="s">
        <v>255</v>
      </c>
      <c r="T249" t="s">
        <v>298</v>
      </c>
      <c r="U249">
        <v>2.7728304329227211E-3</v>
      </c>
      <c r="V249" t="s">
        <v>153</v>
      </c>
    </row>
    <row r="250" spans="9:22" x14ac:dyDescent="0.45">
      <c r="I250" t="s">
        <v>170</v>
      </c>
      <c r="J250" t="s">
        <v>299</v>
      </c>
      <c r="K250">
        <v>4.1203035839240468E-3</v>
      </c>
      <c r="L250" t="s">
        <v>153</v>
      </c>
      <c r="N250" t="s">
        <v>213</v>
      </c>
      <c r="O250" t="s">
        <v>299</v>
      </c>
      <c r="P250">
        <v>1.5415298370613898E-2</v>
      </c>
      <c r="Q250" t="s">
        <v>153</v>
      </c>
      <c r="S250" t="s">
        <v>255</v>
      </c>
      <c r="T250" t="s">
        <v>299</v>
      </c>
      <c r="U250">
        <v>1.3380071362052461E-2</v>
      </c>
      <c r="V250" t="s">
        <v>153</v>
      </c>
    </row>
    <row r="251" spans="9:22" x14ac:dyDescent="0.45">
      <c r="I251" t="s">
        <v>171</v>
      </c>
      <c r="J251" t="s">
        <v>152</v>
      </c>
      <c r="K251">
        <v>9.0892139921714236E-3</v>
      </c>
      <c r="L251" t="s">
        <v>153</v>
      </c>
      <c r="N251" t="s">
        <v>214</v>
      </c>
      <c r="O251" t="s">
        <v>152</v>
      </c>
      <c r="P251">
        <v>9.2724059656491636E-2</v>
      </c>
      <c r="Q251" t="s">
        <v>153</v>
      </c>
      <c r="S251" t="s">
        <v>256</v>
      </c>
      <c r="T251" t="s">
        <v>152</v>
      </c>
      <c r="U251">
        <v>0.1206872060411267</v>
      </c>
      <c r="V251" t="s">
        <v>153</v>
      </c>
    </row>
    <row r="252" spans="9:22" x14ac:dyDescent="0.45">
      <c r="I252" t="s">
        <v>171</v>
      </c>
      <c r="J252" t="s">
        <v>154</v>
      </c>
      <c r="K252">
        <v>2.7219566253791721E-2</v>
      </c>
      <c r="L252" t="s">
        <v>153</v>
      </c>
      <c r="N252" t="s">
        <v>214</v>
      </c>
      <c r="O252" t="s">
        <v>154</v>
      </c>
      <c r="P252">
        <v>1.2515840508006987E-2</v>
      </c>
      <c r="Q252" t="s">
        <v>153</v>
      </c>
      <c r="S252" t="s">
        <v>256</v>
      </c>
      <c r="T252" t="s">
        <v>154</v>
      </c>
      <c r="U252">
        <v>1.6981003479897679E-2</v>
      </c>
      <c r="V252" t="s">
        <v>153</v>
      </c>
    </row>
    <row r="253" spans="9:22" x14ac:dyDescent="0.45">
      <c r="I253" t="s">
        <v>171</v>
      </c>
      <c r="J253" t="s">
        <v>155</v>
      </c>
      <c r="K253">
        <v>0.3715071558916514</v>
      </c>
      <c r="L253" t="s">
        <v>153</v>
      </c>
      <c r="N253" t="s">
        <v>214</v>
      </c>
      <c r="O253" t="s">
        <v>155</v>
      </c>
      <c r="P253">
        <v>0.11144689630703067</v>
      </c>
      <c r="Q253" t="s">
        <v>153</v>
      </c>
      <c r="S253" t="s">
        <v>256</v>
      </c>
      <c r="T253" t="s">
        <v>155</v>
      </c>
      <c r="U253">
        <v>0.16307540302074142</v>
      </c>
      <c r="V253" t="s">
        <v>153</v>
      </c>
    </row>
    <row r="254" spans="9:22" x14ac:dyDescent="0.45">
      <c r="I254" t="s">
        <v>171</v>
      </c>
      <c r="J254" t="s">
        <v>280</v>
      </c>
      <c r="K254">
        <v>3.4382879406051871E-2</v>
      </c>
      <c r="L254" t="s">
        <v>153</v>
      </c>
      <c r="N254" t="s">
        <v>214</v>
      </c>
      <c r="O254" t="s">
        <v>280</v>
      </c>
      <c r="P254">
        <v>1.7586340542126187E-2</v>
      </c>
      <c r="Q254" t="s">
        <v>153</v>
      </c>
      <c r="S254" t="s">
        <v>256</v>
      </c>
      <c r="T254" t="s">
        <v>280</v>
      </c>
      <c r="U254">
        <v>2.1284460139335892E-2</v>
      </c>
      <c r="V254" t="s">
        <v>153</v>
      </c>
    </row>
    <row r="255" spans="9:22" x14ac:dyDescent="0.45">
      <c r="I255" t="s">
        <v>171</v>
      </c>
      <c r="J255" t="s">
        <v>281</v>
      </c>
      <c r="K255">
        <v>1.8786586355302844E-2</v>
      </c>
      <c r="L255" t="s">
        <v>153</v>
      </c>
      <c r="N255" t="s">
        <v>214</v>
      </c>
      <c r="O255" t="s">
        <v>281</v>
      </c>
      <c r="P255">
        <v>2.0186558807750637E-2</v>
      </c>
      <c r="Q255" t="s">
        <v>153</v>
      </c>
      <c r="S255" t="s">
        <v>256</v>
      </c>
      <c r="T255" t="s">
        <v>281</v>
      </c>
      <c r="U255">
        <v>2.1478195779568391E-2</v>
      </c>
      <c r="V255" t="s">
        <v>153</v>
      </c>
    </row>
    <row r="256" spans="9:22" x14ac:dyDescent="0.45">
      <c r="I256" t="s">
        <v>171</v>
      </c>
      <c r="J256" t="s">
        <v>282</v>
      </c>
      <c r="K256">
        <v>6.2553884596811974E-3</v>
      </c>
      <c r="L256" t="s">
        <v>153</v>
      </c>
      <c r="N256" t="s">
        <v>214</v>
      </c>
      <c r="O256" t="s">
        <v>282</v>
      </c>
      <c r="P256">
        <v>9.0953625303946017E-2</v>
      </c>
      <c r="Q256" t="s">
        <v>153</v>
      </c>
      <c r="S256" t="s">
        <v>256</v>
      </c>
      <c r="T256" t="s">
        <v>282</v>
      </c>
      <c r="U256">
        <v>0.10000692574386877</v>
      </c>
      <c r="V256" t="s">
        <v>153</v>
      </c>
    </row>
    <row r="257" spans="9:22" x14ac:dyDescent="0.45">
      <c r="I257" t="s">
        <v>171</v>
      </c>
      <c r="J257" t="s">
        <v>156</v>
      </c>
      <c r="K257">
        <v>0</v>
      </c>
      <c r="L257" t="s">
        <v>153</v>
      </c>
      <c r="N257" t="s">
        <v>214</v>
      </c>
      <c r="O257" t="s">
        <v>156</v>
      </c>
      <c r="P257">
        <v>7.9335942569762966E-2</v>
      </c>
      <c r="Q257" t="s">
        <v>153</v>
      </c>
      <c r="S257" t="s">
        <v>256</v>
      </c>
      <c r="T257" t="s">
        <v>156</v>
      </c>
      <c r="U257">
        <v>4.3663626401278306E-2</v>
      </c>
      <c r="V257" t="s">
        <v>153</v>
      </c>
    </row>
    <row r="258" spans="9:22" x14ac:dyDescent="0.45">
      <c r="I258" t="s">
        <v>171</v>
      </c>
      <c r="J258" t="s">
        <v>157</v>
      </c>
      <c r="K258">
        <v>7.7193152871038158E-4</v>
      </c>
      <c r="L258" t="s">
        <v>153</v>
      </c>
      <c r="N258" t="s">
        <v>214</v>
      </c>
      <c r="O258" t="s">
        <v>157</v>
      </c>
      <c r="P258">
        <v>1.0993141937450324E-2</v>
      </c>
      <c r="Q258" t="s">
        <v>153</v>
      </c>
      <c r="S258" t="s">
        <v>256</v>
      </c>
      <c r="T258" t="s">
        <v>157</v>
      </c>
      <c r="U258">
        <v>6.16353247817751E-3</v>
      </c>
      <c r="V258" t="s">
        <v>153</v>
      </c>
    </row>
    <row r="259" spans="9:22" x14ac:dyDescent="0.45">
      <c r="I259" t="s">
        <v>171</v>
      </c>
      <c r="J259" t="s">
        <v>158</v>
      </c>
      <c r="K259">
        <v>8.4219465982539862E-2</v>
      </c>
      <c r="L259" t="s">
        <v>153</v>
      </c>
      <c r="N259" t="s">
        <v>214</v>
      </c>
      <c r="O259" t="s">
        <v>158</v>
      </c>
      <c r="P259">
        <v>7.4426268199186699E-2</v>
      </c>
      <c r="Q259" t="s">
        <v>153</v>
      </c>
      <c r="S259" t="s">
        <v>256</v>
      </c>
      <c r="T259" t="s">
        <v>158</v>
      </c>
      <c r="U259">
        <v>5.9143217808574261E-2</v>
      </c>
      <c r="V259" t="s">
        <v>153</v>
      </c>
    </row>
    <row r="260" spans="9:22" x14ac:dyDescent="0.45">
      <c r="I260" t="s">
        <v>171</v>
      </c>
      <c r="J260" t="s">
        <v>283</v>
      </c>
      <c r="K260">
        <v>7.2085436884927034E-3</v>
      </c>
      <c r="L260" t="s">
        <v>153</v>
      </c>
      <c r="N260" t="s">
        <v>214</v>
      </c>
      <c r="O260" t="s">
        <v>283</v>
      </c>
      <c r="P260">
        <v>7.4841094906323733E-3</v>
      </c>
      <c r="Q260" t="s">
        <v>153</v>
      </c>
      <c r="S260" t="s">
        <v>256</v>
      </c>
      <c r="T260" t="s">
        <v>283</v>
      </c>
      <c r="U260">
        <v>7.550333650419158E-3</v>
      </c>
      <c r="V260" t="s">
        <v>153</v>
      </c>
    </row>
    <row r="261" spans="9:22" x14ac:dyDescent="0.45">
      <c r="I261" t="s">
        <v>171</v>
      </c>
      <c r="J261" t="s">
        <v>284</v>
      </c>
      <c r="K261">
        <v>0</v>
      </c>
      <c r="L261" t="s">
        <v>153</v>
      </c>
      <c r="N261" t="s">
        <v>214</v>
      </c>
      <c r="O261" t="s">
        <v>284</v>
      </c>
      <c r="P261">
        <v>9.1427597948908531E-3</v>
      </c>
      <c r="Q261" t="s">
        <v>153</v>
      </c>
      <c r="S261" t="s">
        <v>256</v>
      </c>
      <c r="T261" t="s">
        <v>284</v>
      </c>
      <c r="U261">
        <v>7.7238944461034669E-3</v>
      </c>
      <c r="V261" t="s">
        <v>153</v>
      </c>
    </row>
    <row r="262" spans="9:22" x14ac:dyDescent="0.45">
      <c r="I262" t="s">
        <v>171</v>
      </c>
      <c r="J262" t="s">
        <v>285</v>
      </c>
      <c r="K262">
        <v>0</v>
      </c>
      <c r="L262" t="s">
        <v>153</v>
      </c>
      <c r="N262" t="s">
        <v>214</v>
      </c>
      <c r="O262" t="s">
        <v>285</v>
      </c>
      <c r="P262">
        <v>5.0238730639010659E-2</v>
      </c>
      <c r="Q262" t="s">
        <v>153</v>
      </c>
      <c r="S262" t="s">
        <v>256</v>
      </c>
      <c r="T262" t="s">
        <v>285</v>
      </c>
      <c r="U262">
        <v>3.7803319569650613E-2</v>
      </c>
      <c r="V262" t="s">
        <v>153</v>
      </c>
    </row>
    <row r="263" spans="9:22" x14ac:dyDescent="0.45">
      <c r="I263" t="s">
        <v>171</v>
      </c>
      <c r="J263" t="s">
        <v>159</v>
      </c>
      <c r="K263">
        <v>1.1093704213616362E-2</v>
      </c>
      <c r="L263" t="s">
        <v>153</v>
      </c>
      <c r="N263" t="s">
        <v>214</v>
      </c>
      <c r="O263" t="s">
        <v>159</v>
      </c>
      <c r="P263">
        <v>9.2438692331036978E-2</v>
      </c>
      <c r="Q263" t="s">
        <v>153</v>
      </c>
      <c r="S263" t="s">
        <v>256</v>
      </c>
      <c r="T263" t="s">
        <v>159</v>
      </c>
      <c r="U263">
        <v>9.2998119971272566E-2</v>
      </c>
      <c r="V263" t="s">
        <v>153</v>
      </c>
    </row>
    <row r="264" spans="9:22" x14ac:dyDescent="0.45">
      <c r="I264" t="s">
        <v>171</v>
      </c>
      <c r="J264" t="s">
        <v>160</v>
      </c>
      <c r="K264">
        <v>2.1367935956370692E-2</v>
      </c>
      <c r="L264" t="s">
        <v>153</v>
      </c>
      <c r="N264" t="s">
        <v>214</v>
      </c>
      <c r="O264" t="s">
        <v>160</v>
      </c>
      <c r="P264">
        <v>1.1668593116159627E-2</v>
      </c>
      <c r="Q264" t="s">
        <v>153</v>
      </c>
      <c r="S264" t="s">
        <v>256</v>
      </c>
      <c r="T264" t="s">
        <v>160</v>
      </c>
      <c r="U264">
        <v>1.2796171173847879E-2</v>
      </c>
      <c r="V264" t="s">
        <v>153</v>
      </c>
    </row>
    <row r="265" spans="9:22" x14ac:dyDescent="0.45">
      <c r="I265" t="s">
        <v>171</v>
      </c>
      <c r="J265" t="s">
        <v>161</v>
      </c>
      <c r="K265">
        <v>0.25578988875419617</v>
      </c>
      <c r="L265" t="s">
        <v>153</v>
      </c>
      <c r="N265" t="s">
        <v>214</v>
      </c>
      <c r="O265" t="s">
        <v>161</v>
      </c>
      <c r="P265">
        <v>0.13391769999200032</v>
      </c>
      <c r="Q265" t="s">
        <v>153</v>
      </c>
      <c r="S265" t="s">
        <v>256</v>
      </c>
      <c r="T265" t="s">
        <v>161</v>
      </c>
      <c r="U265">
        <v>0.12106593436727568</v>
      </c>
      <c r="V265" t="s">
        <v>153</v>
      </c>
    </row>
    <row r="266" spans="9:22" x14ac:dyDescent="0.45">
      <c r="I266" t="s">
        <v>171</v>
      </c>
      <c r="J266" t="s">
        <v>286</v>
      </c>
      <c r="K266">
        <v>2.211480275330013E-2</v>
      </c>
      <c r="L266" t="s">
        <v>153</v>
      </c>
      <c r="N266" t="s">
        <v>214</v>
      </c>
      <c r="O266" t="s">
        <v>286</v>
      </c>
      <c r="P266">
        <v>1.994777709044069E-2</v>
      </c>
      <c r="Q266" t="s">
        <v>153</v>
      </c>
      <c r="S266" t="s">
        <v>256</v>
      </c>
      <c r="T266" t="s">
        <v>286</v>
      </c>
      <c r="U266">
        <v>1.5283531587254397E-2</v>
      </c>
      <c r="V266" t="s">
        <v>153</v>
      </c>
    </row>
    <row r="267" spans="9:22" x14ac:dyDescent="0.45">
      <c r="I267" t="s">
        <v>171</v>
      </c>
      <c r="J267" t="s">
        <v>287</v>
      </c>
      <c r="K267">
        <v>1.1435014332767397E-2</v>
      </c>
      <c r="L267" t="s">
        <v>153</v>
      </c>
      <c r="N267" t="s">
        <v>214</v>
      </c>
      <c r="O267" t="s">
        <v>287</v>
      </c>
      <c r="P267">
        <v>2.2278844812477404E-2</v>
      </c>
      <c r="Q267" t="s">
        <v>153</v>
      </c>
      <c r="S267" t="s">
        <v>256</v>
      </c>
      <c r="T267" t="s">
        <v>287</v>
      </c>
      <c r="U267">
        <v>1.5573444733390186E-2</v>
      </c>
      <c r="V267" t="s">
        <v>153</v>
      </c>
    </row>
    <row r="268" spans="9:22" x14ac:dyDescent="0.45">
      <c r="I268" t="s">
        <v>171</v>
      </c>
      <c r="J268" t="s">
        <v>288</v>
      </c>
      <c r="K268">
        <v>3.4310607542094648E-7</v>
      </c>
      <c r="L268" t="s">
        <v>153</v>
      </c>
      <c r="N268" t="s">
        <v>214</v>
      </c>
      <c r="O268" t="s">
        <v>288</v>
      </c>
      <c r="P268">
        <v>9.1832655736548779E-2</v>
      </c>
      <c r="Q268" t="s">
        <v>153</v>
      </c>
      <c r="S268" t="s">
        <v>256</v>
      </c>
      <c r="T268" t="s">
        <v>288</v>
      </c>
      <c r="U268">
        <v>7.4566596399653476E-2</v>
      </c>
      <c r="V268" t="s">
        <v>153</v>
      </c>
    </row>
    <row r="269" spans="9:22" x14ac:dyDescent="0.45">
      <c r="I269" t="s">
        <v>171</v>
      </c>
      <c r="J269" t="s">
        <v>294</v>
      </c>
      <c r="K269">
        <v>5.8137371430786898E-3</v>
      </c>
      <c r="L269" t="s">
        <v>153</v>
      </c>
      <c r="N269" t="s">
        <v>214</v>
      </c>
      <c r="O269" t="s">
        <v>294</v>
      </c>
      <c r="P269">
        <v>8.9681769210896937E-3</v>
      </c>
      <c r="Q269" t="s">
        <v>153</v>
      </c>
      <c r="S269" t="s">
        <v>256</v>
      </c>
      <c r="T269" t="s">
        <v>294</v>
      </c>
      <c r="U269">
        <v>1.6889044085555548E-2</v>
      </c>
      <c r="V269" t="s">
        <v>153</v>
      </c>
    </row>
    <row r="270" spans="9:22" x14ac:dyDescent="0.45">
      <c r="I270" t="s">
        <v>171</v>
      </c>
      <c r="J270" t="s">
        <v>295</v>
      </c>
      <c r="K270">
        <v>8.1583053884913773E-3</v>
      </c>
      <c r="L270" t="s">
        <v>153</v>
      </c>
      <c r="N270" t="s">
        <v>214</v>
      </c>
      <c r="O270" t="s">
        <v>295</v>
      </c>
      <c r="P270">
        <v>1.0320315242465115E-3</v>
      </c>
      <c r="Q270" t="s">
        <v>153</v>
      </c>
      <c r="S270" t="s">
        <v>256</v>
      </c>
      <c r="T270" t="s">
        <v>295</v>
      </c>
      <c r="U270">
        <v>2.4563009602133635E-3</v>
      </c>
      <c r="V270" t="s">
        <v>153</v>
      </c>
    </row>
    <row r="271" spans="9:22" x14ac:dyDescent="0.45">
      <c r="I271" t="s">
        <v>171</v>
      </c>
      <c r="J271" t="s">
        <v>296</v>
      </c>
      <c r="K271">
        <v>8.7352950322175854E-2</v>
      </c>
      <c r="L271" t="s">
        <v>153</v>
      </c>
      <c r="N271" t="s">
        <v>214</v>
      </c>
      <c r="O271" t="s">
        <v>296</v>
      </c>
      <c r="P271">
        <v>1.9189404098208938E-2</v>
      </c>
      <c r="Q271" t="s">
        <v>153</v>
      </c>
      <c r="S271" t="s">
        <v>256</v>
      </c>
      <c r="T271" t="s">
        <v>296</v>
      </c>
      <c r="U271">
        <v>2.4008955827069103E-2</v>
      </c>
      <c r="V271" t="s">
        <v>153</v>
      </c>
    </row>
    <row r="272" spans="9:22" x14ac:dyDescent="0.45">
      <c r="I272" t="s">
        <v>171</v>
      </c>
      <c r="J272" t="s">
        <v>297</v>
      </c>
      <c r="K272">
        <v>7.9650528841799188E-3</v>
      </c>
      <c r="L272" t="s">
        <v>153</v>
      </c>
      <c r="N272" t="s">
        <v>214</v>
      </c>
      <c r="O272" t="s">
        <v>297</v>
      </c>
      <c r="P272">
        <v>3.6475081381455478E-3</v>
      </c>
      <c r="Q272" t="s">
        <v>153</v>
      </c>
      <c r="S272" t="s">
        <v>256</v>
      </c>
      <c r="T272" t="s">
        <v>297</v>
      </c>
      <c r="U272">
        <v>2.9541666964505065E-3</v>
      </c>
      <c r="V272" t="s">
        <v>153</v>
      </c>
    </row>
    <row r="273" spans="9:22" x14ac:dyDescent="0.45">
      <c r="I273" t="s">
        <v>171</v>
      </c>
      <c r="J273" t="s">
        <v>298</v>
      </c>
      <c r="K273">
        <v>6.1774684886665588E-3</v>
      </c>
      <c r="L273" t="s">
        <v>153</v>
      </c>
      <c r="N273" t="s">
        <v>214</v>
      </c>
      <c r="O273" t="s">
        <v>298</v>
      </c>
      <c r="P273">
        <v>3.8704765334173674E-3</v>
      </c>
      <c r="Q273" t="s">
        <v>153</v>
      </c>
      <c r="S273" t="s">
        <v>256</v>
      </c>
      <c r="T273" t="s">
        <v>298</v>
      </c>
      <c r="U273">
        <v>2.8944604785974444E-3</v>
      </c>
      <c r="V273" t="s">
        <v>153</v>
      </c>
    </row>
    <row r="274" spans="9:22" x14ac:dyDescent="0.45">
      <c r="I274" t="s">
        <v>171</v>
      </c>
      <c r="J274" t="s">
        <v>299</v>
      </c>
      <c r="K274">
        <v>3.2900650986879758E-3</v>
      </c>
      <c r="L274" t="s">
        <v>153</v>
      </c>
      <c r="N274" t="s">
        <v>214</v>
      </c>
      <c r="O274" t="s">
        <v>299</v>
      </c>
      <c r="P274">
        <v>1.4173865949943984E-2</v>
      </c>
      <c r="Q274" t="s">
        <v>153</v>
      </c>
      <c r="S274" t="s">
        <v>256</v>
      </c>
      <c r="T274" t="s">
        <v>299</v>
      </c>
      <c r="U274">
        <v>1.2952155160678084E-2</v>
      </c>
      <c r="V274" t="s">
        <v>153</v>
      </c>
    </row>
    <row r="275" spans="9:22" x14ac:dyDescent="0.45">
      <c r="I275" t="s">
        <v>172</v>
      </c>
      <c r="J275" t="s">
        <v>152</v>
      </c>
      <c r="K275">
        <v>5.906106435818282E-3</v>
      </c>
      <c r="L275" t="s">
        <v>153</v>
      </c>
      <c r="N275" t="s">
        <v>215</v>
      </c>
      <c r="O275" t="s">
        <v>152</v>
      </c>
      <c r="P275">
        <v>0.10815575888411398</v>
      </c>
      <c r="Q275" t="s">
        <v>153</v>
      </c>
      <c r="S275" t="s">
        <v>257</v>
      </c>
      <c r="T275" t="s">
        <v>152</v>
      </c>
      <c r="U275">
        <v>0.12833467342761806</v>
      </c>
      <c r="V275" t="s">
        <v>153</v>
      </c>
    </row>
    <row r="276" spans="9:22" x14ac:dyDescent="0.45">
      <c r="I276" t="s">
        <v>172</v>
      </c>
      <c r="J276" t="s">
        <v>154</v>
      </c>
      <c r="K276">
        <v>2.2309510441255415E-2</v>
      </c>
      <c r="L276" t="s">
        <v>153</v>
      </c>
      <c r="N276" t="s">
        <v>215</v>
      </c>
      <c r="O276" t="s">
        <v>154</v>
      </c>
      <c r="P276">
        <v>1.6133832749471867E-2</v>
      </c>
      <c r="Q276" t="s">
        <v>153</v>
      </c>
      <c r="S276" t="s">
        <v>257</v>
      </c>
      <c r="T276" t="s">
        <v>154</v>
      </c>
      <c r="U276">
        <v>1.7707940586862706E-2</v>
      </c>
      <c r="V276" t="s">
        <v>153</v>
      </c>
    </row>
    <row r="277" spans="9:22" x14ac:dyDescent="0.45">
      <c r="I277" t="s">
        <v>172</v>
      </c>
      <c r="J277" t="s">
        <v>155</v>
      </c>
      <c r="K277">
        <v>0.37102177518997737</v>
      </c>
      <c r="L277" t="s">
        <v>153</v>
      </c>
      <c r="N277" t="s">
        <v>215</v>
      </c>
      <c r="O277" t="s">
        <v>155</v>
      </c>
      <c r="P277">
        <v>0.17283523903725237</v>
      </c>
      <c r="Q277" t="s">
        <v>153</v>
      </c>
      <c r="S277" t="s">
        <v>257</v>
      </c>
      <c r="T277" t="s">
        <v>155</v>
      </c>
      <c r="U277">
        <v>0.16477101496394911</v>
      </c>
      <c r="V277" t="s">
        <v>153</v>
      </c>
    </row>
    <row r="278" spans="9:22" x14ac:dyDescent="0.45">
      <c r="I278" t="s">
        <v>172</v>
      </c>
      <c r="J278" t="s">
        <v>280</v>
      </c>
      <c r="K278">
        <v>3.581020798877501E-2</v>
      </c>
      <c r="L278" t="s">
        <v>153</v>
      </c>
      <c r="N278" t="s">
        <v>215</v>
      </c>
      <c r="O278" t="s">
        <v>280</v>
      </c>
      <c r="P278">
        <v>2.428576108594007E-2</v>
      </c>
      <c r="Q278" t="s">
        <v>153</v>
      </c>
      <c r="S278" t="s">
        <v>257</v>
      </c>
      <c r="T278" t="s">
        <v>280</v>
      </c>
      <c r="U278">
        <v>2.049989556529944E-2</v>
      </c>
      <c r="V278" t="s">
        <v>153</v>
      </c>
    </row>
    <row r="279" spans="9:22" x14ac:dyDescent="0.45">
      <c r="I279" t="s">
        <v>172</v>
      </c>
      <c r="J279" t="s">
        <v>281</v>
      </c>
      <c r="K279">
        <v>2.0377651058609871E-2</v>
      </c>
      <c r="L279" t="s">
        <v>153</v>
      </c>
      <c r="N279" t="s">
        <v>215</v>
      </c>
      <c r="O279" t="s">
        <v>281</v>
      </c>
      <c r="P279">
        <v>2.3587688790238974E-2</v>
      </c>
      <c r="Q279" t="s">
        <v>153</v>
      </c>
      <c r="S279" t="s">
        <v>257</v>
      </c>
      <c r="T279" t="s">
        <v>281</v>
      </c>
      <c r="U279">
        <v>2.0776283267004373E-2</v>
      </c>
      <c r="V279" t="s">
        <v>153</v>
      </c>
    </row>
    <row r="280" spans="9:22" x14ac:dyDescent="0.45">
      <c r="I280" t="s">
        <v>172</v>
      </c>
      <c r="J280" t="s">
        <v>282</v>
      </c>
      <c r="K280">
        <v>7.1902114523459942E-3</v>
      </c>
      <c r="L280" t="s">
        <v>153</v>
      </c>
      <c r="N280" t="s">
        <v>215</v>
      </c>
      <c r="O280" t="s">
        <v>282</v>
      </c>
      <c r="P280">
        <v>8.8697605515063407E-2</v>
      </c>
      <c r="Q280" t="s">
        <v>153</v>
      </c>
      <c r="S280" t="s">
        <v>257</v>
      </c>
      <c r="T280" t="s">
        <v>282</v>
      </c>
      <c r="U280">
        <v>0.10085280120094053</v>
      </c>
      <c r="V280" t="s">
        <v>153</v>
      </c>
    </row>
    <row r="281" spans="9:22" x14ac:dyDescent="0.45">
      <c r="I281" t="s">
        <v>172</v>
      </c>
      <c r="J281" t="s">
        <v>156</v>
      </c>
      <c r="K281">
        <v>0</v>
      </c>
      <c r="L281" t="s">
        <v>153</v>
      </c>
      <c r="N281" t="s">
        <v>215</v>
      </c>
      <c r="O281" t="s">
        <v>156</v>
      </c>
      <c r="P281">
        <v>6.1020871194659349E-2</v>
      </c>
      <c r="Q281" t="s">
        <v>153</v>
      </c>
      <c r="S281" t="s">
        <v>257</v>
      </c>
      <c r="T281" t="s">
        <v>156</v>
      </c>
      <c r="U281">
        <v>4.4360017224323034E-2</v>
      </c>
      <c r="V281" t="s">
        <v>153</v>
      </c>
    </row>
    <row r="282" spans="9:22" x14ac:dyDescent="0.45">
      <c r="I282" t="s">
        <v>172</v>
      </c>
      <c r="J282" t="s">
        <v>157</v>
      </c>
      <c r="K282">
        <v>5.9806611483514038E-4</v>
      </c>
      <c r="L282" t="s">
        <v>153</v>
      </c>
      <c r="N282" t="s">
        <v>215</v>
      </c>
      <c r="O282" t="s">
        <v>157</v>
      </c>
      <c r="P282">
        <v>9.4284077770138558E-3</v>
      </c>
      <c r="Q282" t="s">
        <v>153</v>
      </c>
      <c r="S282" t="s">
        <v>257</v>
      </c>
      <c r="T282" t="s">
        <v>157</v>
      </c>
      <c r="U282">
        <v>6.0587070443577145E-3</v>
      </c>
      <c r="V282" t="s">
        <v>153</v>
      </c>
    </row>
    <row r="283" spans="9:22" x14ac:dyDescent="0.45">
      <c r="I283" t="s">
        <v>172</v>
      </c>
      <c r="J283" t="s">
        <v>158</v>
      </c>
      <c r="K283">
        <v>8.8313804678491079E-2</v>
      </c>
      <c r="L283" t="s">
        <v>153</v>
      </c>
      <c r="N283" t="s">
        <v>215</v>
      </c>
      <c r="O283" t="s">
        <v>158</v>
      </c>
      <c r="P283">
        <v>8.010808008995994E-2</v>
      </c>
      <c r="Q283" t="s">
        <v>153</v>
      </c>
      <c r="S283" t="s">
        <v>257</v>
      </c>
      <c r="T283" t="s">
        <v>158</v>
      </c>
      <c r="U283">
        <v>5.8272281957792889E-2</v>
      </c>
      <c r="V283" t="s">
        <v>153</v>
      </c>
    </row>
    <row r="284" spans="9:22" x14ac:dyDescent="0.45">
      <c r="I284" t="s">
        <v>172</v>
      </c>
      <c r="J284" t="s">
        <v>283</v>
      </c>
      <c r="K284">
        <v>7.5194916731752314E-3</v>
      </c>
      <c r="L284" t="s">
        <v>153</v>
      </c>
      <c r="N284" t="s">
        <v>215</v>
      </c>
      <c r="O284" t="s">
        <v>283</v>
      </c>
      <c r="P284">
        <v>8.2702674088778461E-3</v>
      </c>
      <c r="Q284" t="s">
        <v>153</v>
      </c>
      <c r="S284" t="s">
        <v>257</v>
      </c>
      <c r="T284" t="s">
        <v>283</v>
      </c>
      <c r="U284">
        <v>7.96325347071105E-3</v>
      </c>
      <c r="V284" t="s">
        <v>153</v>
      </c>
    </row>
    <row r="285" spans="9:22" x14ac:dyDescent="0.45">
      <c r="I285" t="s">
        <v>172</v>
      </c>
      <c r="J285" t="s">
        <v>284</v>
      </c>
      <c r="K285">
        <v>0</v>
      </c>
      <c r="L285" t="s">
        <v>153</v>
      </c>
      <c r="N285" t="s">
        <v>215</v>
      </c>
      <c r="O285" t="s">
        <v>284</v>
      </c>
      <c r="P285">
        <v>8.0172834061121856E-3</v>
      </c>
      <c r="Q285" t="s">
        <v>153</v>
      </c>
      <c r="S285" t="s">
        <v>257</v>
      </c>
      <c r="T285" t="s">
        <v>284</v>
      </c>
      <c r="U285">
        <v>8.0770186402334947E-3</v>
      </c>
      <c r="V285" t="s">
        <v>153</v>
      </c>
    </row>
    <row r="286" spans="9:22" x14ac:dyDescent="0.45">
      <c r="I286" t="s">
        <v>172</v>
      </c>
      <c r="J286" t="s">
        <v>285</v>
      </c>
      <c r="K286">
        <v>0</v>
      </c>
      <c r="L286" t="s">
        <v>153</v>
      </c>
      <c r="N286" t="s">
        <v>215</v>
      </c>
      <c r="O286" t="s">
        <v>285</v>
      </c>
      <c r="P286">
        <v>3.7698936093625575E-2</v>
      </c>
      <c r="Q286" t="s">
        <v>153</v>
      </c>
      <c r="S286" t="s">
        <v>257</v>
      </c>
      <c r="T286" t="s">
        <v>285</v>
      </c>
      <c r="U286">
        <v>3.8565977831019213E-2</v>
      </c>
      <c r="V286" t="s">
        <v>153</v>
      </c>
    </row>
    <row r="287" spans="9:22" x14ac:dyDescent="0.45">
      <c r="I287" t="s">
        <v>172</v>
      </c>
      <c r="J287" t="s">
        <v>159</v>
      </c>
      <c r="K287">
        <v>8.7265107325836169E-3</v>
      </c>
      <c r="L287" t="s">
        <v>153</v>
      </c>
      <c r="N287" t="s">
        <v>215</v>
      </c>
      <c r="O287" t="s">
        <v>159</v>
      </c>
      <c r="P287">
        <v>7.2119088133996576E-2</v>
      </c>
      <c r="Q287" t="s">
        <v>153</v>
      </c>
      <c r="S287" t="s">
        <v>257</v>
      </c>
      <c r="T287" t="s">
        <v>159</v>
      </c>
      <c r="U287">
        <v>8.7644042389153951E-2</v>
      </c>
      <c r="V287" t="s">
        <v>153</v>
      </c>
    </row>
    <row r="288" spans="9:22" x14ac:dyDescent="0.45">
      <c r="I288" t="s">
        <v>172</v>
      </c>
      <c r="J288" t="s">
        <v>160</v>
      </c>
      <c r="K288">
        <v>1.9086697746953644E-2</v>
      </c>
      <c r="L288" t="s">
        <v>153</v>
      </c>
      <c r="N288" t="s">
        <v>215</v>
      </c>
      <c r="O288" t="s">
        <v>160</v>
      </c>
      <c r="P288">
        <v>1.0455436225351132E-2</v>
      </c>
      <c r="Q288" t="s">
        <v>153</v>
      </c>
      <c r="S288" t="s">
        <v>257</v>
      </c>
      <c r="T288" t="s">
        <v>160</v>
      </c>
      <c r="U288">
        <v>1.1763893932418114E-2</v>
      </c>
      <c r="V288" t="s">
        <v>153</v>
      </c>
    </row>
    <row r="289" spans="9:22" x14ac:dyDescent="0.45">
      <c r="I289" t="s">
        <v>172</v>
      </c>
      <c r="J289" t="s">
        <v>161</v>
      </c>
      <c r="K289">
        <v>0.25688742033645973</v>
      </c>
      <c r="L289" t="s">
        <v>153</v>
      </c>
      <c r="N289" t="s">
        <v>215</v>
      </c>
      <c r="O289" t="s">
        <v>161</v>
      </c>
      <c r="P289">
        <v>0.12512328851159218</v>
      </c>
      <c r="Q289" t="s">
        <v>153</v>
      </c>
      <c r="S289" t="s">
        <v>257</v>
      </c>
      <c r="T289" t="s">
        <v>161</v>
      </c>
      <c r="U289">
        <v>0.11157890654062082</v>
      </c>
      <c r="V289" t="s">
        <v>153</v>
      </c>
    </row>
    <row r="290" spans="9:22" x14ac:dyDescent="0.45">
      <c r="I290" t="s">
        <v>172</v>
      </c>
      <c r="J290" t="s">
        <v>286</v>
      </c>
      <c r="K290">
        <v>2.3470109497105027E-2</v>
      </c>
      <c r="L290" t="s">
        <v>153</v>
      </c>
      <c r="N290" t="s">
        <v>215</v>
      </c>
      <c r="O290" t="s">
        <v>286</v>
      </c>
      <c r="P290">
        <v>1.8253418113149521E-2</v>
      </c>
      <c r="Q290" t="s">
        <v>153</v>
      </c>
      <c r="S290" t="s">
        <v>257</v>
      </c>
      <c r="T290" t="s">
        <v>286</v>
      </c>
      <c r="U290">
        <v>1.4459297091785747E-2</v>
      </c>
      <c r="V290" t="s">
        <v>153</v>
      </c>
    </row>
    <row r="291" spans="9:22" x14ac:dyDescent="0.45">
      <c r="I291" t="s">
        <v>172</v>
      </c>
      <c r="J291" t="s">
        <v>287</v>
      </c>
      <c r="K291">
        <v>1.3815157435524337E-2</v>
      </c>
      <c r="L291" t="s">
        <v>153</v>
      </c>
      <c r="N291" t="s">
        <v>215</v>
      </c>
      <c r="O291" t="s">
        <v>287</v>
      </c>
      <c r="P291">
        <v>1.6920794424314486E-2</v>
      </c>
      <c r="Q291" t="s">
        <v>153</v>
      </c>
      <c r="S291" t="s">
        <v>257</v>
      </c>
      <c r="T291" t="s">
        <v>287</v>
      </c>
      <c r="U291">
        <v>1.4629567600740729E-2</v>
      </c>
      <c r="V291" t="s">
        <v>153</v>
      </c>
    </row>
    <row r="292" spans="9:22" x14ac:dyDescent="0.45">
      <c r="I292" t="s">
        <v>172</v>
      </c>
      <c r="J292" t="s">
        <v>288</v>
      </c>
      <c r="K292">
        <v>1.3700321044524179E-5</v>
      </c>
      <c r="L292" t="s">
        <v>153</v>
      </c>
      <c r="N292" t="s">
        <v>215</v>
      </c>
      <c r="O292" t="s">
        <v>288</v>
      </c>
      <c r="P292">
        <v>5.8080618345107138E-2</v>
      </c>
      <c r="Q292" t="s">
        <v>153</v>
      </c>
      <c r="S292" t="s">
        <v>257</v>
      </c>
      <c r="T292" t="s">
        <v>288</v>
      </c>
      <c r="U292">
        <v>7.1698004509298641E-2</v>
      </c>
      <c r="V292" t="s">
        <v>153</v>
      </c>
    </row>
    <row r="293" spans="9:22" x14ac:dyDescent="0.45">
      <c r="I293" t="s">
        <v>172</v>
      </c>
      <c r="J293" t="s">
        <v>294</v>
      </c>
      <c r="K293">
        <v>4.4841279598309206E-3</v>
      </c>
      <c r="L293" t="s">
        <v>153</v>
      </c>
      <c r="N293" t="s">
        <v>215</v>
      </c>
      <c r="O293" t="s">
        <v>294</v>
      </c>
      <c r="P293">
        <v>1.0958399705688397E-2</v>
      </c>
      <c r="Q293" t="s">
        <v>153</v>
      </c>
      <c r="S293" t="s">
        <v>257</v>
      </c>
      <c r="T293" t="s">
        <v>294</v>
      </c>
      <c r="U293">
        <v>2.1626449105275336E-2</v>
      </c>
      <c r="V293" t="s">
        <v>153</v>
      </c>
    </row>
    <row r="294" spans="9:22" x14ac:dyDescent="0.45">
      <c r="I294" t="s">
        <v>172</v>
      </c>
      <c r="J294" t="s">
        <v>295</v>
      </c>
      <c r="K294">
        <v>6.864194211464239E-3</v>
      </c>
      <c r="L294" t="s">
        <v>153</v>
      </c>
      <c r="N294" t="s">
        <v>215</v>
      </c>
      <c r="O294" t="s">
        <v>295</v>
      </c>
      <c r="P294">
        <v>1.5607735109115011E-3</v>
      </c>
      <c r="Q294" t="s">
        <v>153</v>
      </c>
      <c r="S294" t="s">
        <v>257</v>
      </c>
      <c r="T294" t="s">
        <v>295</v>
      </c>
      <c r="U294">
        <v>2.9997637328523937E-3</v>
      </c>
      <c r="V294" t="s">
        <v>153</v>
      </c>
    </row>
    <row r="295" spans="9:22" x14ac:dyDescent="0.45">
      <c r="I295" t="s">
        <v>172</v>
      </c>
      <c r="J295" t="s">
        <v>296</v>
      </c>
      <c r="K295">
        <v>8.8191125772577844E-2</v>
      </c>
      <c r="L295" t="s">
        <v>153</v>
      </c>
      <c r="N295" t="s">
        <v>215</v>
      </c>
      <c r="O295" t="s">
        <v>296</v>
      </c>
      <c r="P295">
        <v>2.6748947342749831E-2</v>
      </c>
      <c r="Q295" t="s">
        <v>153</v>
      </c>
      <c r="S295" t="s">
        <v>257</v>
      </c>
      <c r="T295" t="s">
        <v>296</v>
      </c>
      <c r="U295">
        <v>2.5199383575072898E-2</v>
      </c>
      <c r="V295" t="s">
        <v>153</v>
      </c>
    </row>
    <row r="296" spans="9:22" x14ac:dyDescent="0.45">
      <c r="I296" t="s">
        <v>172</v>
      </c>
      <c r="J296" t="s">
        <v>297</v>
      </c>
      <c r="K296">
        <v>8.6591398216413901E-3</v>
      </c>
      <c r="L296" t="s">
        <v>153</v>
      </c>
      <c r="N296" t="s">
        <v>215</v>
      </c>
      <c r="O296" t="s">
        <v>297</v>
      </c>
      <c r="P296">
        <v>4.3752647865793167E-3</v>
      </c>
      <c r="Q296" t="s">
        <v>153</v>
      </c>
      <c r="S296" t="s">
        <v>257</v>
      </c>
      <c r="T296" t="s">
        <v>297</v>
      </c>
      <c r="U296">
        <v>3.0788414719453865E-3</v>
      </c>
      <c r="V296" t="s">
        <v>153</v>
      </c>
    </row>
    <row r="297" spans="9:22" x14ac:dyDescent="0.45">
      <c r="I297" t="s">
        <v>172</v>
      </c>
      <c r="J297" t="s">
        <v>298</v>
      </c>
      <c r="K297">
        <v>6.8720398254832754E-3</v>
      </c>
      <c r="L297" t="s">
        <v>153</v>
      </c>
      <c r="N297" t="s">
        <v>215</v>
      </c>
      <c r="O297" t="s">
        <v>298</v>
      </c>
      <c r="P297">
        <v>4.0053640838419481E-3</v>
      </c>
      <c r="Q297" t="s">
        <v>153</v>
      </c>
      <c r="S297" t="s">
        <v>257</v>
      </c>
      <c r="T297" t="s">
        <v>298</v>
      </c>
      <c r="U297">
        <v>3.1486501000998618E-3</v>
      </c>
      <c r="V297" t="s">
        <v>153</v>
      </c>
    </row>
    <row r="298" spans="9:22" x14ac:dyDescent="0.45">
      <c r="I298" t="s">
        <v>172</v>
      </c>
      <c r="J298" t="s">
        <v>299</v>
      </c>
      <c r="K298">
        <v>3.882951306048064E-3</v>
      </c>
      <c r="L298" t="s">
        <v>153</v>
      </c>
      <c r="N298" t="s">
        <v>215</v>
      </c>
      <c r="O298" t="s">
        <v>299</v>
      </c>
      <c r="P298">
        <v>1.3158874784391036E-2</v>
      </c>
      <c r="Q298" t="s">
        <v>153</v>
      </c>
      <c r="S298" t="s">
        <v>257</v>
      </c>
      <c r="T298" t="s">
        <v>299</v>
      </c>
      <c r="U298">
        <v>1.5933334770628728E-2</v>
      </c>
      <c r="V298" t="s">
        <v>153</v>
      </c>
    </row>
    <row r="299" spans="9:22" x14ac:dyDescent="0.45">
      <c r="I299" t="s">
        <v>173</v>
      </c>
      <c r="J299" t="s">
        <v>152</v>
      </c>
      <c r="K299">
        <v>7.8588576603606831E-3</v>
      </c>
      <c r="L299" t="s">
        <v>153</v>
      </c>
      <c r="N299" t="s">
        <v>216</v>
      </c>
      <c r="O299" t="s">
        <v>152</v>
      </c>
      <c r="P299">
        <v>9.9004648259581371E-2</v>
      </c>
      <c r="Q299" t="s">
        <v>153</v>
      </c>
      <c r="S299" t="s">
        <v>258</v>
      </c>
      <c r="T299" t="s">
        <v>152</v>
      </c>
      <c r="U299">
        <v>0.12289182748367163</v>
      </c>
      <c r="V299" t="s">
        <v>153</v>
      </c>
    </row>
    <row r="300" spans="9:22" x14ac:dyDescent="0.45">
      <c r="I300" t="s">
        <v>173</v>
      </c>
      <c r="J300" t="s">
        <v>154</v>
      </c>
      <c r="K300">
        <v>2.6940136997395565E-2</v>
      </c>
      <c r="L300" t="s">
        <v>153</v>
      </c>
      <c r="N300" t="s">
        <v>216</v>
      </c>
      <c r="O300" t="s">
        <v>154</v>
      </c>
      <c r="P300">
        <v>1.3802626355315206E-2</v>
      </c>
      <c r="Q300" t="s">
        <v>153</v>
      </c>
      <c r="S300" t="s">
        <v>258</v>
      </c>
      <c r="T300" t="s">
        <v>154</v>
      </c>
      <c r="U300">
        <v>1.708403903496902E-2</v>
      </c>
      <c r="V300" t="s">
        <v>153</v>
      </c>
    </row>
    <row r="301" spans="9:22" x14ac:dyDescent="0.45">
      <c r="I301" t="s">
        <v>173</v>
      </c>
      <c r="J301" t="s">
        <v>155</v>
      </c>
      <c r="K301">
        <v>0.37275455682049169</v>
      </c>
      <c r="L301" t="s">
        <v>153</v>
      </c>
      <c r="N301" t="s">
        <v>216</v>
      </c>
      <c r="O301" t="s">
        <v>155</v>
      </c>
      <c r="P301">
        <v>0.17629350969830548</v>
      </c>
      <c r="Q301" t="s">
        <v>153</v>
      </c>
      <c r="S301" t="s">
        <v>258</v>
      </c>
      <c r="T301" t="s">
        <v>155</v>
      </c>
      <c r="U301">
        <v>0.15024546668924366</v>
      </c>
      <c r="V301" t="s">
        <v>153</v>
      </c>
    </row>
    <row r="302" spans="9:22" x14ac:dyDescent="0.45">
      <c r="I302" t="s">
        <v>173</v>
      </c>
      <c r="J302" t="s">
        <v>280</v>
      </c>
      <c r="K302">
        <v>3.4504750732847131E-2</v>
      </c>
      <c r="L302" t="s">
        <v>153</v>
      </c>
      <c r="N302" t="s">
        <v>216</v>
      </c>
      <c r="O302" t="s">
        <v>280</v>
      </c>
      <c r="P302">
        <v>2.6463667965210307E-2</v>
      </c>
      <c r="Q302" t="s">
        <v>153</v>
      </c>
      <c r="S302" t="s">
        <v>258</v>
      </c>
      <c r="T302" t="s">
        <v>280</v>
      </c>
      <c r="U302">
        <v>1.7537586354900599E-2</v>
      </c>
      <c r="V302" t="s">
        <v>153</v>
      </c>
    </row>
    <row r="303" spans="9:22" x14ac:dyDescent="0.45">
      <c r="I303" t="s">
        <v>173</v>
      </c>
      <c r="J303" t="s">
        <v>281</v>
      </c>
      <c r="K303">
        <v>1.9035604173444968E-2</v>
      </c>
      <c r="L303" t="s">
        <v>153</v>
      </c>
      <c r="N303" t="s">
        <v>216</v>
      </c>
      <c r="O303" t="s">
        <v>281</v>
      </c>
      <c r="P303">
        <v>2.3663597528395398E-2</v>
      </c>
      <c r="Q303" t="s">
        <v>153</v>
      </c>
      <c r="S303" t="s">
        <v>258</v>
      </c>
      <c r="T303" t="s">
        <v>281</v>
      </c>
      <c r="U303">
        <v>1.7597298342030526E-2</v>
      </c>
      <c r="V303" t="s">
        <v>153</v>
      </c>
    </row>
    <row r="304" spans="9:22" x14ac:dyDescent="0.45">
      <c r="I304" t="s">
        <v>173</v>
      </c>
      <c r="J304" t="s">
        <v>282</v>
      </c>
      <c r="K304">
        <v>6.0915547171952241E-3</v>
      </c>
      <c r="L304" t="s">
        <v>153</v>
      </c>
      <c r="N304" t="s">
        <v>216</v>
      </c>
      <c r="O304" t="s">
        <v>282</v>
      </c>
      <c r="P304">
        <v>8.5940954571455425E-2</v>
      </c>
      <c r="Q304" t="s">
        <v>153</v>
      </c>
      <c r="S304" t="s">
        <v>258</v>
      </c>
      <c r="T304" t="s">
        <v>282</v>
      </c>
      <c r="U304">
        <v>8.5826220920372537E-2</v>
      </c>
      <c r="V304" t="s">
        <v>153</v>
      </c>
    </row>
    <row r="305" spans="9:22" x14ac:dyDescent="0.45">
      <c r="I305" t="s">
        <v>173</v>
      </c>
      <c r="J305" t="s">
        <v>156</v>
      </c>
      <c r="K305">
        <v>0</v>
      </c>
      <c r="L305" t="s">
        <v>153</v>
      </c>
      <c r="N305" t="s">
        <v>216</v>
      </c>
      <c r="O305" t="s">
        <v>156</v>
      </c>
      <c r="P305">
        <v>4.7214993603078306E-2</v>
      </c>
      <c r="Q305" t="s">
        <v>153</v>
      </c>
      <c r="S305" t="s">
        <v>258</v>
      </c>
      <c r="T305" t="s">
        <v>156</v>
      </c>
      <c r="U305">
        <v>6.0805897524811227E-2</v>
      </c>
      <c r="V305" t="s">
        <v>153</v>
      </c>
    </row>
    <row r="306" spans="9:22" x14ac:dyDescent="0.45">
      <c r="I306" t="s">
        <v>173</v>
      </c>
      <c r="J306" t="s">
        <v>157</v>
      </c>
      <c r="K306">
        <v>1.0168215580179652E-3</v>
      </c>
      <c r="L306" t="s">
        <v>153</v>
      </c>
      <c r="N306" t="s">
        <v>216</v>
      </c>
      <c r="O306" t="s">
        <v>157</v>
      </c>
      <c r="P306">
        <v>6.9434647758041031E-3</v>
      </c>
      <c r="Q306" t="s">
        <v>153</v>
      </c>
      <c r="S306" t="s">
        <v>258</v>
      </c>
      <c r="T306" t="s">
        <v>157</v>
      </c>
      <c r="U306">
        <v>8.4334626080726661E-3</v>
      </c>
      <c r="V306" t="s">
        <v>153</v>
      </c>
    </row>
    <row r="307" spans="9:22" x14ac:dyDescent="0.45">
      <c r="I307" t="s">
        <v>173</v>
      </c>
      <c r="J307" t="s">
        <v>158</v>
      </c>
      <c r="K307">
        <v>8.8366259743193717E-2</v>
      </c>
      <c r="L307" t="s">
        <v>153</v>
      </c>
      <c r="N307" t="s">
        <v>216</v>
      </c>
      <c r="O307" t="s">
        <v>158</v>
      </c>
      <c r="P307">
        <v>7.4245485666209698E-2</v>
      </c>
      <c r="Q307" t="s">
        <v>153</v>
      </c>
      <c r="S307" t="s">
        <v>258</v>
      </c>
      <c r="T307" t="s">
        <v>158</v>
      </c>
      <c r="U307">
        <v>7.5147762958585676E-2</v>
      </c>
      <c r="V307" t="s">
        <v>153</v>
      </c>
    </row>
    <row r="308" spans="9:22" x14ac:dyDescent="0.45">
      <c r="I308" t="s">
        <v>173</v>
      </c>
      <c r="J308" t="s">
        <v>283</v>
      </c>
      <c r="K308">
        <v>7.310578143554289E-3</v>
      </c>
      <c r="L308" t="s">
        <v>153</v>
      </c>
      <c r="N308" t="s">
        <v>216</v>
      </c>
      <c r="O308" t="s">
        <v>283</v>
      </c>
      <c r="P308">
        <v>9.000684454154766E-3</v>
      </c>
      <c r="Q308" t="s">
        <v>153</v>
      </c>
      <c r="S308" t="s">
        <v>258</v>
      </c>
      <c r="T308" t="s">
        <v>283</v>
      </c>
      <c r="U308">
        <v>7.9183946926510117E-3</v>
      </c>
      <c r="V308" t="s">
        <v>153</v>
      </c>
    </row>
    <row r="309" spans="9:22" x14ac:dyDescent="0.45">
      <c r="I309" t="s">
        <v>173</v>
      </c>
      <c r="J309" t="s">
        <v>284</v>
      </c>
      <c r="K309">
        <v>0</v>
      </c>
      <c r="L309" t="s">
        <v>153</v>
      </c>
      <c r="N309" t="s">
        <v>216</v>
      </c>
      <c r="O309" t="s">
        <v>284</v>
      </c>
      <c r="P309">
        <v>8.6710314627957401E-3</v>
      </c>
      <c r="Q309" t="s">
        <v>153</v>
      </c>
      <c r="S309" t="s">
        <v>258</v>
      </c>
      <c r="T309" t="s">
        <v>284</v>
      </c>
      <c r="U309">
        <v>7.9523030930367233E-3</v>
      </c>
      <c r="V309" t="s">
        <v>153</v>
      </c>
    </row>
    <row r="310" spans="9:22" x14ac:dyDescent="0.45">
      <c r="I310" t="s">
        <v>173</v>
      </c>
      <c r="J310" t="s">
        <v>285</v>
      </c>
      <c r="K310">
        <v>0</v>
      </c>
      <c r="L310" t="s">
        <v>153</v>
      </c>
      <c r="N310" t="s">
        <v>216</v>
      </c>
      <c r="O310" t="s">
        <v>285</v>
      </c>
      <c r="P310">
        <v>3.8171947661262286E-2</v>
      </c>
      <c r="Q310" t="s">
        <v>153</v>
      </c>
      <c r="S310" t="s">
        <v>258</v>
      </c>
      <c r="T310" t="s">
        <v>285</v>
      </c>
      <c r="U310">
        <v>4.1178954401211922E-2</v>
      </c>
      <c r="V310" t="s">
        <v>153</v>
      </c>
    </row>
    <row r="311" spans="9:22" x14ac:dyDescent="0.45">
      <c r="I311" t="s">
        <v>173</v>
      </c>
      <c r="J311" t="s">
        <v>159</v>
      </c>
      <c r="K311">
        <v>1.068655735306114E-2</v>
      </c>
      <c r="L311" t="s">
        <v>153</v>
      </c>
      <c r="N311" t="s">
        <v>216</v>
      </c>
      <c r="O311" t="s">
        <v>159</v>
      </c>
      <c r="P311">
        <v>6.9283192472691393E-2</v>
      </c>
      <c r="Q311" t="s">
        <v>153</v>
      </c>
      <c r="S311" t="s">
        <v>258</v>
      </c>
      <c r="T311" t="s">
        <v>159</v>
      </c>
      <c r="U311">
        <v>9.404899231603446E-2</v>
      </c>
      <c r="V311" t="s">
        <v>153</v>
      </c>
    </row>
    <row r="312" spans="9:22" x14ac:dyDescent="0.45">
      <c r="I312" t="s">
        <v>173</v>
      </c>
      <c r="J312" t="s">
        <v>160</v>
      </c>
      <c r="K312">
        <v>2.0814426172923863E-2</v>
      </c>
      <c r="L312" t="s">
        <v>153</v>
      </c>
      <c r="N312" t="s">
        <v>216</v>
      </c>
      <c r="O312" t="s">
        <v>160</v>
      </c>
      <c r="P312">
        <v>9.9091749868712494E-3</v>
      </c>
      <c r="Q312" t="s">
        <v>153</v>
      </c>
      <c r="S312" t="s">
        <v>258</v>
      </c>
      <c r="T312" t="s">
        <v>160</v>
      </c>
      <c r="U312">
        <v>1.3120834543543024E-2</v>
      </c>
      <c r="V312" t="s">
        <v>153</v>
      </c>
    </row>
    <row r="313" spans="9:22" x14ac:dyDescent="0.45">
      <c r="I313" t="s">
        <v>173</v>
      </c>
      <c r="J313" t="s">
        <v>161</v>
      </c>
      <c r="K313">
        <v>0.25673494036648481</v>
      </c>
      <c r="L313" t="s">
        <v>153</v>
      </c>
      <c r="N313" t="s">
        <v>216</v>
      </c>
      <c r="O313" t="s">
        <v>161</v>
      </c>
      <c r="P313">
        <v>0.13028494366925891</v>
      </c>
      <c r="Q313" t="s">
        <v>153</v>
      </c>
      <c r="S313" t="s">
        <v>258</v>
      </c>
      <c r="T313" t="s">
        <v>161</v>
      </c>
      <c r="U313">
        <v>0.11956486104111796</v>
      </c>
      <c r="V313" t="s">
        <v>153</v>
      </c>
    </row>
    <row r="314" spans="9:22" x14ac:dyDescent="0.45">
      <c r="I314" t="s">
        <v>173</v>
      </c>
      <c r="J314" t="s">
        <v>286</v>
      </c>
      <c r="K314">
        <v>2.27110053484403E-2</v>
      </c>
      <c r="L314" t="s">
        <v>153</v>
      </c>
      <c r="N314" t="s">
        <v>216</v>
      </c>
      <c r="O314" t="s">
        <v>286</v>
      </c>
      <c r="P314">
        <v>1.7421121256253481E-2</v>
      </c>
      <c r="Q314" t="s">
        <v>153</v>
      </c>
      <c r="S314" t="s">
        <v>258</v>
      </c>
      <c r="T314" t="s">
        <v>286</v>
      </c>
      <c r="U314">
        <v>1.4103290411395897E-2</v>
      </c>
      <c r="V314" t="s">
        <v>153</v>
      </c>
    </row>
    <row r="315" spans="9:22" x14ac:dyDescent="0.45">
      <c r="I315" t="s">
        <v>173</v>
      </c>
      <c r="J315" t="s">
        <v>287</v>
      </c>
      <c r="K315">
        <v>1.1882318415781308E-2</v>
      </c>
      <c r="L315" t="s">
        <v>153</v>
      </c>
      <c r="N315" t="s">
        <v>216</v>
      </c>
      <c r="O315" t="s">
        <v>287</v>
      </c>
      <c r="P315">
        <v>1.5470337081695257E-2</v>
      </c>
      <c r="Q315" t="s">
        <v>153</v>
      </c>
      <c r="S315" t="s">
        <v>258</v>
      </c>
      <c r="T315" t="s">
        <v>287</v>
      </c>
      <c r="U315">
        <v>1.4072638242459964E-2</v>
      </c>
      <c r="V315" t="s">
        <v>153</v>
      </c>
    </row>
    <row r="316" spans="9:22" x14ac:dyDescent="0.45">
      <c r="I316" t="s">
        <v>173</v>
      </c>
      <c r="J316" t="s">
        <v>288</v>
      </c>
      <c r="K316">
        <v>0</v>
      </c>
      <c r="L316" t="s">
        <v>153</v>
      </c>
      <c r="N316" t="s">
        <v>216</v>
      </c>
      <c r="O316" t="s">
        <v>288</v>
      </c>
      <c r="P316">
        <v>5.8487373367150347E-2</v>
      </c>
      <c r="Q316" t="s">
        <v>153</v>
      </c>
      <c r="S316" t="s">
        <v>258</v>
      </c>
      <c r="T316" t="s">
        <v>288</v>
      </c>
      <c r="U316">
        <v>6.7798485824272336E-2</v>
      </c>
      <c r="V316" t="s">
        <v>153</v>
      </c>
    </row>
    <row r="317" spans="9:22" x14ac:dyDescent="0.45">
      <c r="I317" t="s">
        <v>173</v>
      </c>
      <c r="J317" t="s">
        <v>294</v>
      </c>
      <c r="K317">
        <v>5.3302609602717595E-3</v>
      </c>
      <c r="L317" t="s">
        <v>153</v>
      </c>
      <c r="N317" t="s">
        <v>216</v>
      </c>
      <c r="O317" t="s">
        <v>294</v>
      </c>
      <c r="P317">
        <v>1.7451729401971271E-2</v>
      </c>
      <c r="Q317" t="s">
        <v>153</v>
      </c>
      <c r="S317" t="s">
        <v>258</v>
      </c>
      <c r="T317" t="s">
        <v>294</v>
      </c>
      <c r="U317">
        <v>1.8361287797635663E-2</v>
      </c>
      <c r="V317" t="s">
        <v>153</v>
      </c>
    </row>
    <row r="318" spans="9:22" x14ac:dyDescent="0.45">
      <c r="I318" t="s">
        <v>173</v>
      </c>
      <c r="J318" t="s">
        <v>295</v>
      </c>
      <c r="K318">
        <v>7.7102400012322341E-3</v>
      </c>
      <c r="L318" t="s">
        <v>153</v>
      </c>
      <c r="N318" t="s">
        <v>216</v>
      </c>
      <c r="O318" t="s">
        <v>295</v>
      </c>
      <c r="P318">
        <v>2.683786154714065E-3</v>
      </c>
      <c r="Q318" t="s">
        <v>153</v>
      </c>
      <c r="S318" t="s">
        <v>258</v>
      </c>
      <c r="T318" t="s">
        <v>295</v>
      </c>
      <c r="U318">
        <v>2.5585305008878362E-3</v>
      </c>
      <c r="V318" t="s">
        <v>153</v>
      </c>
    </row>
    <row r="319" spans="9:22" x14ac:dyDescent="0.45">
      <c r="I319" t="s">
        <v>173</v>
      </c>
      <c r="J319" t="s">
        <v>296</v>
      </c>
      <c r="K319">
        <v>8.3908242085395324E-2</v>
      </c>
      <c r="L319" t="s">
        <v>153</v>
      </c>
      <c r="N319" t="s">
        <v>216</v>
      </c>
      <c r="O319" t="s">
        <v>296</v>
      </c>
      <c r="P319">
        <v>4.0900852421034528E-2</v>
      </c>
      <c r="Q319" t="s">
        <v>153</v>
      </c>
      <c r="S319" t="s">
        <v>258</v>
      </c>
      <c r="T319" t="s">
        <v>296</v>
      </c>
      <c r="U319">
        <v>2.3171603808668135E-2</v>
      </c>
      <c r="V319" t="s">
        <v>153</v>
      </c>
    </row>
    <row r="320" spans="9:22" x14ac:dyDescent="0.45">
      <c r="I320" t="s">
        <v>173</v>
      </c>
      <c r="J320" t="s">
        <v>297</v>
      </c>
      <c r="K320">
        <v>7.4055421015063677E-3</v>
      </c>
      <c r="L320" t="s">
        <v>153</v>
      </c>
      <c r="N320" t="s">
        <v>216</v>
      </c>
      <c r="O320" t="s">
        <v>297</v>
      </c>
      <c r="P320">
        <v>6.0415609877201241E-3</v>
      </c>
      <c r="Q320" t="s">
        <v>153</v>
      </c>
      <c r="S320" t="s">
        <v>258</v>
      </c>
      <c r="T320" t="s">
        <v>297</v>
      </c>
      <c r="U320">
        <v>2.9376324984503729E-3</v>
      </c>
      <c r="V320" t="s">
        <v>153</v>
      </c>
    </row>
    <row r="321" spans="9:22" x14ac:dyDescent="0.45">
      <c r="I321" t="s">
        <v>173</v>
      </c>
      <c r="J321" t="s">
        <v>298</v>
      </c>
      <c r="K321">
        <v>6.0290537950878596E-3</v>
      </c>
      <c r="L321" t="s">
        <v>153</v>
      </c>
      <c r="N321" t="s">
        <v>216</v>
      </c>
      <c r="O321" t="s">
        <v>298</v>
      </c>
      <c r="P321">
        <v>5.2350890163213497E-3</v>
      </c>
      <c r="Q321" t="s">
        <v>153</v>
      </c>
      <c r="S321" t="s">
        <v>258</v>
      </c>
      <c r="T321" t="s">
        <v>298</v>
      </c>
      <c r="U321">
        <v>3.0326297473779636E-3</v>
      </c>
      <c r="V321" t="s">
        <v>153</v>
      </c>
    </row>
    <row r="322" spans="9:22" x14ac:dyDescent="0.45">
      <c r="I322" t="s">
        <v>173</v>
      </c>
      <c r="J322" t="s">
        <v>299</v>
      </c>
      <c r="K322">
        <v>2.9082928533159542E-3</v>
      </c>
      <c r="L322" t="s">
        <v>153</v>
      </c>
      <c r="N322" t="s">
        <v>216</v>
      </c>
      <c r="O322" t="s">
        <v>299</v>
      </c>
      <c r="P322">
        <v>1.7414227182745892E-2</v>
      </c>
      <c r="Q322" t="s">
        <v>153</v>
      </c>
      <c r="S322" t="s">
        <v>258</v>
      </c>
      <c r="T322" t="s">
        <v>299</v>
      </c>
      <c r="U322">
        <v>1.4609999164600172E-2</v>
      </c>
      <c r="V322" t="s">
        <v>153</v>
      </c>
    </row>
    <row r="323" spans="9:22" x14ac:dyDescent="0.45">
      <c r="I323" t="s">
        <v>174</v>
      </c>
      <c r="J323" t="s">
        <v>152</v>
      </c>
      <c r="K323">
        <v>5.6377509847257033E-3</v>
      </c>
      <c r="L323" t="s">
        <v>153</v>
      </c>
      <c r="N323" t="s">
        <v>217</v>
      </c>
      <c r="O323" t="s">
        <v>152</v>
      </c>
      <c r="P323">
        <v>9.1715238158022891E-2</v>
      </c>
      <c r="Q323" t="s">
        <v>153</v>
      </c>
      <c r="S323" t="s">
        <v>259</v>
      </c>
      <c r="T323" t="s">
        <v>152</v>
      </c>
      <c r="U323">
        <v>0.11939793602416719</v>
      </c>
      <c r="V323" t="s">
        <v>153</v>
      </c>
    </row>
    <row r="324" spans="9:22" x14ac:dyDescent="0.45">
      <c r="I324" t="s">
        <v>174</v>
      </c>
      <c r="J324" t="s">
        <v>154</v>
      </c>
      <c r="K324">
        <v>2.4450866102746504E-2</v>
      </c>
      <c r="L324" t="s">
        <v>153</v>
      </c>
      <c r="N324" t="s">
        <v>217</v>
      </c>
      <c r="O324" t="s">
        <v>154</v>
      </c>
      <c r="P324">
        <v>1.422285788940298E-2</v>
      </c>
      <c r="Q324" t="s">
        <v>153</v>
      </c>
      <c r="S324" t="s">
        <v>259</v>
      </c>
      <c r="T324" t="s">
        <v>154</v>
      </c>
      <c r="U324">
        <v>1.6345713696088445E-2</v>
      </c>
      <c r="V324" t="s">
        <v>153</v>
      </c>
    </row>
    <row r="325" spans="9:22" x14ac:dyDescent="0.45">
      <c r="I325" t="s">
        <v>174</v>
      </c>
      <c r="J325" t="s">
        <v>155</v>
      </c>
      <c r="K325">
        <v>0.37233259875671337</v>
      </c>
      <c r="L325" t="s">
        <v>153</v>
      </c>
      <c r="N325" t="s">
        <v>217</v>
      </c>
      <c r="O325" t="s">
        <v>155</v>
      </c>
      <c r="P325">
        <v>0.19511390010634147</v>
      </c>
      <c r="Q325" t="s">
        <v>153</v>
      </c>
      <c r="S325" t="s">
        <v>259</v>
      </c>
      <c r="T325" t="s">
        <v>155</v>
      </c>
      <c r="U325">
        <v>0.15083075298641077</v>
      </c>
      <c r="V325" t="s">
        <v>153</v>
      </c>
    </row>
    <row r="326" spans="9:22" x14ac:dyDescent="0.45">
      <c r="I326" t="s">
        <v>174</v>
      </c>
      <c r="J326" t="s">
        <v>280</v>
      </c>
      <c r="K326">
        <v>3.5033308489171557E-2</v>
      </c>
      <c r="L326" t="s">
        <v>153</v>
      </c>
      <c r="N326" t="s">
        <v>217</v>
      </c>
      <c r="O326" t="s">
        <v>280</v>
      </c>
      <c r="P326">
        <v>2.4568421967652299E-2</v>
      </c>
      <c r="Q326" t="s">
        <v>153</v>
      </c>
      <c r="S326" t="s">
        <v>259</v>
      </c>
      <c r="T326" t="s">
        <v>280</v>
      </c>
      <c r="U326">
        <v>1.8738694608612775E-2</v>
      </c>
      <c r="V326" t="s">
        <v>153</v>
      </c>
    </row>
    <row r="327" spans="9:22" x14ac:dyDescent="0.45">
      <c r="I327" t="s">
        <v>174</v>
      </c>
      <c r="J327" t="s">
        <v>281</v>
      </c>
      <c r="K327">
        <v>1.9851103039850371E-2</v>
      </c>
      <c r="L327" t="s">
        <v>153</v>
      </c>
      <c r="N327" t="s">
        <v>217</v>
      </c>
      <c r="O327" t="s">
        <v>281</v>
      </c>
      <c r="P327">
        <v>2.1910781704269747E-2</v>
      </c>
      <c r="Q327" t="s">
        <v>153</v>
      </c>
      <c r="S327" t="s">
        <v>259</v>
      </c>
      <c r="T327" t="s">
        <v>281</v>
      </c>
      <c r="U327">
        <v>1.8619368423139399E-2</v>
      </c>
      <c r="V327" t="s">
        <v>153</v>
      </c>
    </row>
    <row r="328" spans="9:22" x14ac:dyDescent="0.45">
      <c r="I328" t="s">
        <v>174</v>
      </c>
      <c r="J328" t="s">
        <v>282</v>
      </c>
      <c r="K328">
        <v>6.7139451396375635E-3</v>
      </c>
      <c r="L328" t="s">
        <v>153</v>
      </c>
      <c r="N328" t="s">
        <v>217</v>
      </c>
      <c r="O328" t="s">
        <v>282</v>
      </c>
      <c r="P328">
        <v>8.0388023948547327E-2</v>
      </c>
      <c r="Q328" t="s">
        <v>153</v>
      </c>
      <c r="S328" t="s">
        <v>259</v>
      </c>
      <c r="T328" t="s">
        <v>282</v>
      </c>
      <c r="U328">
        <v>8.9434211871917441E-2</v>
      </c>
      <c r="V328" t="s">
        <v>153</v>
      </c>
    </row>
    <row r="329" spans="9:22" x14ac:dyDescent="0.45">
      <c r="I329" t="s">
        <v>174</v>
      </c>
      <c r="J329" t="s">
        <v>156</v>
      </c>
      <c r="K329">
        <v>0</v>
      </c>
      <c r="L329" t="s">
        <v>153</v>
      </c>
      <c r="N329" t="s">
        <v>217</v>
      </c>
      <c r="O329" t="s">
        <v>156</v>
      </c>
      <c r="P329">
        <v>5.6369050671403451E-2</v>
      </c>
      <c r="Q329" t="s">
        <v>153</v>
      </c>
      <c r="S329" t="s">
        <v>259</v>
      </c>
      <c r="T329" t="s">
        <v>156</v>
      </c>
      <c r="U329">
        <v>6.031868758745712E-2</v>
      </c>
      <c r="V329" t="s">
        <v>153</v>
      </c>
    </row>
    <row r="330" spans="9:22" x14ac:dyDescent="0.45">
      <c r="I330" t="s">
        <v>174</v>
      </c>
      <c r="J330" t="s">
        <v>157</v>
      </c>
      <c r="K330">
        <v>7.8548264019656178E-4</v>
      </c>
      <c r="L330" t="s">
        <v>153</v>
      </c>
      <c r="N330" t="s">
        <v>217</v>
      </c>
      <c r="O330" t="s">
        <v>157</v>
      </c>
      <c r="P330">
        <v>7.5257958638916128E-3</v>
      </c>
      <c r="Q330" t="s">
        <v>153</v>
      </c>
      <c r="S330" t="s">
        <v>259</v>
      </c>
      <c r="T330" t="s">
        <v>157</v>
      </c>
      <c r="U330">
        <v>8.4876067088108728E-3</v>
      </c>
      <c r="V330" t="s">
        <v>153</v>
      </c>
    </row>
    <row r="331" spans="9:22" x14ac:dyDescent="0.45">
      <c r="I331" t="s">
        <v>174</v>
      </c>
      <c r="J331" t="s">
        <v>158</v>
      </c>
      <c r="K331">
        <v>9.3260482109417481E-2</v>
      </c>
      <c r="L331" t="s">
        <v>153</v>
      </c>
      <c r="N331" t="s">
        <v>217</v>
      </c>
      <c r="O331" t="s">
        <v>158</v>
      </c>
      <c r="P331">
        <v>9.368325374467823E-2</v>
      </c>
      <c r="Q331" t="s">
        <v>153</v>
      </c>
      <c r="S331" t="s">
        <v>259</v>
      </c>
      <c r="T331" t="s">
        <v>158</v>
      </c>
      <c r="U331">
        <v>7.5386499592438455E-2</v>
      </c>
      <c r="V331" t="s">
        <v>153</v>
      </c>
    </row>
    <row r="332" spans="9:22" x14ac:dyDescent="0.45">
      <c r="I332" t="s">
        <v>174</v>
      </c>
      <c r="J332" t="s">
        <v>283</v>
      </c>
      <c r="K332">
        <v>7.6805402911067286E-3</v>
      </c>
      <c r="L332" t="s">
        <v>153</v>
      </c>
      <c r="N332" t="s">
        <v>217</v>
      </c>
      <c r="O332" t="s">
        <v>283</v>
      </c>
      <c r="P332">
        <v>9.0878601865297427E-3</v>
      </c>
      <c r="Q332" t="s">
        <v>153</v>
      </c>
      <c r="S332" t="s">
        <v>259</v>
      </c>
      <c r="T332" t="s">
        <v>283</v>
      </c>
      <c r="U332">
        <v>8.3185715651208463E-3</v>
      </c>
      <c r="V332" t="s">
        <v>153</v>
      </c>
    </row>
    <row r="333" spans="9:22" x14ac:dyDescent="0.45">
      <c r="I333" t="s">
        <v>174</v>
      </c>
      <c r="J333" t="s">
        <v>284</v>
      </c>
      <c r="K333">
        <v>0</v>
      </c>
      <c r="L333" t="s">
        <v>153</v>
      </c>
      <c r="N333" t="s">
        <v>217</v>
      </c>
      <c r="O333" t="s">
        <v>284</v>
      </c>
      <c r="P333">
        <v>8.7678668460252403E-3</v>
      </c>
      <c r="Q333" t="s">
        <v>153</v>
      </c>
      <c r="S333" t="s">
        <v>259</v>
      </c>
      <c r="T333" t="s">
        <v>284</v>
      </c>
      <c r="U333">
        <v>8.4284210286257582E-3</v>
      </c>
      <c r="V333" t="s">
        <v>153</v>
      </c>
    </row>
    <row r="334" spans="9:22" x14ac:dyDescent="0.45">
      <c r="I334" t="s">
        <v>174</v>
      </c>
      <c r="J334" t="s">
        <v>285</v>
      </c>
      <c r="K334">
        <v>0</v>
      </c>
      <c r="L334" t="s">
        <v>153</v>
      </c>
      <c r="N334" t="s">
        <v>217</v>
      </c>
      <c r="O334" t="s">
        <v>285</v>
      </c>
      <c r="P334">
        <v>4.4031648021300065E-2</v>
      </c>
      <c r="Q334" t="s">
        <v>153</v>
      </c>
      <c r="S334" t="s">
        <v>259</v>
      </c>
      <c r="T334" t="s">
        <v>285</v>
      </c>
      <c r="U334">
        <v>4.2297091465908675E-2</v>
      </c>
      <c r="V334" t="s">
        <v>153</v>
      </c>
    </row>
    <row r="335" spans="9:22" x14ac:dyDescent="0.45">
      <c r="I335" t="s">
        <v>174</v>
      </c>
      <c r="J335" t="s">
        <v>159</v>
      </c>
      <c r="K335">
        <v>8.7138113138486937E-3</v>
      </c>
      <c r="L335" t="s">
        <v>153</v>
      </c>
      <c r="N335" t="s">
        <v>217</v>
      </c>
      <c r="O335" t="s">
        <v>159</v>
      </c>
      <c r="P335">
        <v>5.7775683559521063E-2</v>
      </c>
      <c r="Q335" t="s">
        <v>153</v>
      </c>
      <c r="S335" t="s">
        <v>259</v>
      </c>
      <c r="T335" t="s">
        <v>159</v>
      </c>
      <c r="U335">
        <v>8.819982546606038E-2</v>
      </c>
      <c r="V335" t="s">
        <v>153</v>
      </c>
    </row>
    <row r="336" spans="9:22" x14ac:dyDescent="0.45">
      <c r="I336" t="s">
        <v>174</v>
      </c>
      <c r="J336" t="s">
        <v>160</v>
      </c>
      <c r="K336">
        <v>1.990802000463051E-2</v>
      </c>
      <c r="L336" t="s">
        <v>153</v>
      </c>
      <c r="N336" t="s">
        <v>217</v>
      </c>
      <c r="O336" t="s">
        <v>160</v>
      </c>
      <c r="P336">
        <v>8.942158774536595E-3</v>
      </c>
      <c r="Q336" t="s">
        <v>153</v>
      </c>
      <c r="S336" t="s">
        <v>259</v>
      </c>
      <c r="T336" t="s">
        <v>160</v>
      </c>
      <c r="U336">
        <v>1.2413659772702495E-2</v>
      </c>
      <c r="V336" t="s">
        <v>153</v>
      </c>
    </row>
    <row r="337" spans="9:22" x14ac:dyDescent="0.45">
      <c r="I337" t="s">
        <v>174</v>
      </c>
      <c r="J337" t="s">
        <v>161</v>
      </c>
      <c r="K337">
        <v>0.25515056368008532</v>
      </c>
      <c r="L337" t="s">
        <v>153</v>
      </c>
      <c r="N337" t="s">
        <v>217</v>
      </c>
      <c r="O337" t="s">
        <v>161</v>
      </c>
      <c r="P337">
        <v>0.13782549819312553</v>
      </c>
      <c r="Q337" t="s">
        <v>153</v>
      </c>
      <c r="S337" t="s">
        <v>259</v>
      </c>
      <c r="T337" t="s">
        <v>161</v>
      </c>
      <c r="U337">
        <v>0.11800987420016468</v>
      </c>
      <c r="V337" t="s">
        <v>153</v>
      </c>
    </row>
    <row r="338" spans="9:22" x14ac:dyDescent="0.45">
      <c r="I338" t="s">
        <v>174</v>
      </c>
      <c r="J338" t="s">
        <v>286</v>
      </c>
      <c r="K338">
        <v>2.3165820319371703E-2</v>
      </c>
      <c r="L338" t="s">
        <v>153</v>
      </c>
      <c r="N338" t="s">
        <v>217</v>
      </c>
      <c r="O338" t="s">
        <v>286</v>
      </c>
      <c r="P338">
        <v>1.5775559272605055E-2</v>
      </c>
      <c r="Q338" t="s">
        <v>153</v>
      </c>
      <c r="S338" t="s">
        <v>259</v>
      </c>
      <c r="T338" t="s">
        <v>286</v>
      </c>
      <c r="U338">
        <v>1.4263647477309304E-2</v>
      </c>
      <c r="V338" t="s">
        <v>153</v>
      </c>
    </row>
    <row r="339" spans="9:22" x14ac:dyDescent="0.45">
      <c r="I339" t="s">
        <v>174</v>
      </c>
      <c r="J339" t="s">
        <v>287</v>
      </c>
      <c r="K339">
        <v>1.3865446329734637E-2</v>
      </c>
      <c r="L339" t="s">
        <v>153</v>
      </c>
      <c r="N339" t="s">
        <v>217</v>
      </c>
      <c r="O339" t="s">
        <v>287</v>
      </c>
      <c r="P339">
        <v>1.384937435889053E-2</v>
      </c>
      <c r="Q339" t="s">
        <v>153</v>
      </c>
      <c r="S339" t="s">
        <v>259</v>
      </c>
      <c r="T339" t="s">
        <v>287</v>
      </c>
      <c r="U339">
        <v>1.4195867345815077E-2</v>
      </c>
      <c r="V339" t="s">
        <v>153</v>
      </c>
    </row>
    <row r="340" spans="9:22" x14ac:dyDescent="0.45">
      <c r="I340" t="s">
        <v>174</v>
      </c>
      <c r="J340" t="s">
        <v>288</v>
      </c>
      <c r="K340">
        <v>2.9651228377018718E-7</v>
      </c>
      <c r="L340" t="s">
        <v>153</v>
      </c>
      <c r="N340" t="s">
        <v>217</v>
      </c>
      <c r="O340" t="s">
        <v>288</v>
      </c>
      <c r="P340">
        <v>5.0045253480769707E-2</v>
      </c>
      <c r="Q340" t="s">
        <v>153</v>
      </c>
      <c r="S340" t="s">
        <v>259</v>
      </c>
      <c r="T340" t="s">
        <v>288</v>
      </c>
      <c r="U340">
        <v>6.7135890199829296E-2</v>
      </c>
      <c r="V340" t="s">
        <v>153</v>
      </c>
    </row>
    <row r="341" spans="9:22" x14ac:dyDescent="0.45">
      <c r="I341" t="s">
        <v>174</v>
      </c>
      <c r="J341" t="s">
        <v>294</v>
      </c>
      <c r="K341">
        <v>4.8673626942780423E-3</v>
      </c>
      <c r="L341" t="s">
        <v>153</v>
      </c>
      <c r="N341" t="s">
        <v>217</v>
      </c>
      <c r="O341" t="s">
        <v>294</v>
      </c>
      <c r="P341">
        <v>1.042576406329257E-2</v>
      </c>
      <c r="Q341" t="s">
        <v>153</v>
      </c>
      <c r="S341" t="s">
        <v>259</v>
      </c>
      <c r="T341" t="s">
        <v>294</v>
      </c>
      <c r="U341">
        <v>1.9377510060255367E-2</v>
      </c>
      <c r="V341" t="s">
        <v>153</v>
      </c>
    </row>
    <row r="342" spans="9:22" x14ac:dyDescent="0.45">
      <c r="I342" t="s">
        <v>174</v>
      </c>
      <c r="J342" t="s">
        <v>295</v>
      </c>
      <c r="K342">
        <v>7.5090934385403044E-3</v>
      </c>
      <c r="L342" t="s">
        <v>153</v>
      </c>
      <c r="N342" t="s">
        <v>217</v>
      </c>
      <c r="O342" t="s">
        <v>295</v>
      </c>
      <c r="P342">
        <v>1.6545330923239201E-3</v>
      </c>
      <c r="Q342" t="s">
        <v>153</v>
      </c>
      <c r="S342" t="s">
        <v>259</v>
      </c>
      <c r="T342" t="s">
        <v>295</v>
      </c>
      <c r="U342">
        <v>2.8009459931577444E-3</v>
      </c>
      <c r="V342" t="s">
        <v>153</v>
      </c>
    </row>
    <row r="343" spans="9:22" x14ac:dyDescent="0.45">
      <c r="I343" t="s">
        <v>174</v>
      </c>
      <c r="J343" t="s">
        <v>296</v>
      </c>
      <c r="K343">
        <v>8.3773009912527355E-2</v>
      </c>
      <c r="L343" t="s">
        <v>153</v>
      </c>
      <c r="N343" t="s">
        <v>217</v>
      </c>
      <c r="O343" t="s">
        <v>296</v>
      </c>
      <c r="P343">
        <v>3.3551610361984022E-2</v>
      </c>
      <c r="Q343" t="s">
        <v>153</v>
      </c>
      <c r="S343" t="s">
        <v>259</v>
      </c>
      <c r="T343" t="s">
        <v>296</v>
      </c>
      <c r="U343">
        <v>2.5395261170498985E-2</v>
      </c>
      <c r="V343" t="s">
        <v>153</v>
      </c>
    </row>
    <row r="344" spans="9:22" x14ac:dyDescent="0.45">
      <c r="I344" t="s">
        <v>174</v>
      </c>
      <c r="J344" t="s">
        <v>297</v>
      </c>
      <c r="K344">
        <v>7.8161252380948981E-3</v>
      </c>
      <c r="L344" t="s">
        <v>153</v>
      </c>
      <c r="N344" t="s">
        <v>217</v>
      </c>
      <c r="O344" t="s">
        <v>297</v>
      </c>
      <c r="P344">
        <v>5.1821293694676333E-3</v>
      </c>
      <c r="Q344" t="s">
        <v>153</v>
      </c>
      <c r="S344" t="s">
        <v>259</v>
      </c>
      <c r="T344" t="s">
        <v>297</v>
      </c>
      <c r="U344">
        <v>3.232768019374692E-3</v>
      </c>
      <c r="V344" t="s">
        <v>153</v>
      </c>
    </row>
    <row r="345" spans="9:22" x14ac:dyDescent="0.45">
      <c r="I345" t="s">
        <v>174</v>
      </c>
      <c r="J345" t="s">
        <v>298</v>
      </c>
      <c r="K345">
        <v>6.2271256935236847E-3</v>
      </c>
      <c r="L345" t="s">
        <v>153</v>
      </c>
      <c r="N345" t="s">
        <v>217</v>
      </c>
      <c r="O345" t="s">
        <v>298</v>
      </c>
      <c r="P345">
        <v>4.3781539494279417E-3</v>
      </c>
      <c r="Q345" t="s">
        <v>153</v>
      </c>
      <c r="S345" t="s">
        <v>259</v>
      </c>
      <c r="T345" t="s">
        <v>298</v>
      </c>
      <c r="U345">
        <v>3.2499479120606666E-3</v>
      </c>
      <c r="V345" t="s">
        <v>153</v>
      </c>
    </row>
    <row r="346" spans="9:22" x14ac:dyDescent="0.45">
      <c r="I346" t="s">
        <v>174</v>
      </c>
      <c r="J346" t="s">
        <v>299</v>
      </c>
      <c r="K346">
        <v>3.2572473095182921E-3</v>
      </c>
      <c r="L346" t="s">
        <v>153</v>
      </c>
      <c r="N346" t="s">
        <v>217</v>
      </c>
      <c r="O346" t="s">
        <v>299</v>
      </c>
      <c r="P346">
        <v>1.3209582415993282E-2</v>
      </c>
      <c r="Q346" t="s">
        <v>153</v>
      </c>
      <c r="S346" t="s">
        <v>259</v>
      </c>
      <c r="T346" t="s">
        <v>299</v>
      </c>
      <c r="U346">
        <v>1.512124682407171E-2</v>
      </c>
      <c r="V346" t="s">
        <v>153</v>
      </c>
    </row>
    <row r="347" spans="9:22" x14ac:dyDescent="0.45">
      <c r="I347" t="s">
        <v>175</v>
      </c>
      <c r="J347" t="s">
        <v>152</v>
      </c>
      <c r="K347">
        <v>1.3455516231066496E-2</v>
      </c>
      <c r="L347" t="s">
        <v>153</v>
      </c>
      <c r="N347" t="s">
        <v>218</v>
      </c>
      <c r="O347" t="s">
        <v>152</v>
      </c>
      <c r="P347">
        <v>9.6924263787057152E-2</v>
      </c>
      <c r="Q347" t="s">
        <v>153</v>
      </c>
      <c r="S347" t="s">
        <v>260</v>
      </c>
      <c r="T347" t="s">
        <v>152</v>
      </c>
      <c r="U347">
        <v>0.10910350167561951</v>
      </c>
      <c r="V347" t="s">
        <v>153</v>
      </c>
    </row>
    <row r="348" spans="9:22" x14ac:dyDescent="0.45">
      <c r="I348" t="s">
        <v>175</v>
      </c>
      <c r="J348" t="s">
        <v>154</v>
      </c>
      <c r="K348">
        <v>2.9435220288847531E-2</v>
      </c>
      <c r="L348" t="s">
        <v>153</v>
      </c>
      <c r="N348" t="s">
        <v>218</v>
      </c>
      <c r="O348" t="s">
        <v>154</v>
      </c>
      <c r="P348">
        <v>1.3039645992555072E-2</v>
      </c>
      <c r="Q348" t="s">
        <v>153</v>
      </c>
      <c r="S348" t="s">
        <v>260</v>
      </c>
      <c r="T348" t="s">
        <v>154</v>
      </c>
      <c r="U348">
        <v>1.498252163141907E-2</v>
      </c>
      <c r="V348" t="s">
        <v>153</v>
      </c>
    </row>
    <row r="349" spans="9:22" x14ac:dyDescent="0.45">
      <c r="I349" t="s">
        <v>175</v>
      </c>
      <c r="J349" t="s">
        <v>155</v>
      </c>
      <c r="K349">
        <v>0.37537253887060401</v>
      </c>
      <c r="L349" t="s">
        <v>153</v>
      </c>
      <c r="N349" t="s">
        <v>218</v>
      </c>
      <c r="O349" t="s">
        <v>155</v>
      </c>
      <c r="P349">
        <v>0.13638035964143375</v>
      </c>
      <c r="Q349" t="s">
        <v>153</v>
      </c>
      <c r="S349" t="s">
        <v>260</v>
      </c>
      <c r="T349" t="s">
        <v>155</v>
      </c>
      <c r="U349">
        <v>0.16472898950394418</v>
      </c>
      <c r="V349" t="s">
        <v>153</v>
      </c>
    </row>
    <row r="350" spans="9:22" x14ac:dyDescent="0.45">
      <c r="I350" t="s">
        <v>175</v>
      </c>
      <c r="J350" t="s">
        <v>280</v>
      </c>
      <c r="K350">
        <v>2.5260394044721687E-2</v>
      </c>
      <c r="L350" t="s">
        <v>153</v>
      </c>
      <c r="N350" t="s">
        <v>218</v>
      </c>
      <c r="O350" t="s">
        <v>280</v>
      </c>
      <c r="P350">
        <v>2.5884354027172467E-2</v>
      </c>
      <c r="Q350" t="s">
        <v>153</v>
      </c>
      <c r="S350" t="s">
        <v>260</v>
      </c>
      <c r="T350" t="s">
        <v>280</v>
      </c>
      <c r="U350">
        <v>2.3370100634535238E-2</v>
      </c>
      <c r="V350" t="s">
        <v>153</v>
      </c>
    </row>
    <row r="351" spans="9:22" x14ac:dyDescent="0.45">
      <c r="I351" t="s">
        <v>175</v>
      </c>
      <c r="J351" t="s">
        <v>281</v>
      </c>
      <c r="K351">
        <v>1.3381775735245139E-2</v>
      </c>
      <c r="L351" t="s">
        <v>153</v>
      </c>
      <c r="N351" t="s">
        <v>218</v>
      </c>
      <c r="O351" t="s">
        <v>281</v>
      </c>
      <c r="P351">
        <v>2.6631228120579865E-2</v>
      </c>
      <c r="Q351" t="s">
        <v>153</v>
      </c>
      <c r="S351" t="s">
        <v>260</v>
      </c>
      <c r="T351" t="s">
        <v>281</v>
      </c>
      <c r="U351">
        <v>2.2023891688901641E-2</v>
      </c>
      <c r="V351" t="s">
        <v>153</v>
      </c>
    </row>
    <row r="352" spans="9:22" x14ac:dyDescent="0.45">
      <c r="I352" t="s">
        <v>175</v>
      </c>
      <c r="J352" t="s">
        <v>282</v>
      </c>
      <c r="K352">
        <v>3.01824199284108E-6</v>
      </c>
      <c r="L352" t="s">
        <v>153</v>
      </c>
      <c r="N352" t="s">
        <v>218</v>
      </c>
      <c r="O352" t="s">
        <v>282</v>
      </c>
      <c r="P352">
        <v>9.8691643757734898E-2</v>
      </c>
      <c r="Q352" t="s">
        <v>153</v>
      </c>
      <c r="S352" t="s">
        <v>260</v>
      </c>
      <c r="T352" t="s">
        <v>282</v>
      </c>
      <c r="U352">
        <v>8.9522848098290725E-2</v>
      </c>
      <c r="V352" t="s">
        <v>153</v>
      </c>
    </row>
    <row r="353" spans="9:22" x14ac:dyDescent="0.45">
      <c r="I353" t="s">
        <v>175</v>
      </c>
      <c r="J353" t="s">
        <v>156</v>
      </c>
      <c r="K353">
        <v>0</v>
      </c>
      <c r="L353" t="s">
        <v>153</v>
      </c>
      <c r="N353" t="s">
        <v>218</v>
      </c>
      <c r="O353" t="s">
        <v>156</v>
      </c>
      <c r="P353">
        <v>5.3890441277660538E-2</v>
      </c>
      <c r="Q353" t="s">
        <v>153</v>
      </c>
      <c r="S353" t="s">
        <v>260</v>
      </c>
      <c r="T353" t="s">
        <v>156</v>
      </c>
      <c r="U353">
        <v>4.9610821093188935E-2</v>
      </c>
      <c r="V353" t="s">
        <v>153</v>
      </c>
    </row>
    <row r="354" spans="9:22" x14ac:dyDescent="0.45">
      <c r="I354" t="s">
        <v>175</v>
      </c>
      <c r="J354" t="s">
        <v>157</v>
      </c>
      <c r="K354">
        <v>4.3357584633228474E-3</v>
      </c>
      <c r="L354" t="s">
        <v>153</v>
      </c>
      <c r="N354" t="s">
        <v>218</v>
      </c>
      <c r="O354" t="s">
        <v>157</v>
      </c>
      <c r="P354">
        <v>8.2569519510549659E-3</v>
      </c>
      <c r="Q354" t="s">
        <v>153</v>
      </c>
      <c r="S354" t="s">
        <v>260</v>
      </c>
      <c r="T354" t="s">
        <v>157</v>
      </c>
      <c r="U354">
        <v>7.3170691630702342E-3</v>
      </c>
      <c r="V354" t="s">
        <v>153</v>
      </c>
    </row>
    <row r="355" spans="9:22" x14ac:dyDescent="0.45">
      <c r="I355" t="s">
        <v>175</v>
      </c>
      <c r="J355" t="s">
        <v>158</v>
      </c>
      <c r="K355">
        <v>9.4006233470062109E-2</v>
      </c>
      <c r="L355" t="s">
        <v>153</v>
      </c>
      <c r="N355" t="s">
        <v>218</v>
      </c>
      <c r="O355" t="s">
        <v>158</v>
      </c>
      <c r="P355">
        <v>5.1285143430740691E-2</v>
      </c>
      <c r="Q355" t="s">
        <v>153</v>
      </c>
      <c r="S355" t="s">
        <v>260</v>
      </c>
      <c r="T355" t="s">
        <v>158</v>
      </c>
      <c r="U355">
        <v>7.1874818446447455E-2</v>
      </c>
      <c r="V355" t="s">
        <v>153</v>
      </c>
    </row>
    <row r="356" spans="9:22" x14ac:dyDescent="0.45">
      <c r="I356" t="s">
        <v>175</v>
      </c>
      <c r="J356" t="s">
        <v>283</v>
      </c>
      <c r="K356">
        <v>3.0882664564303693E-3</v>
      </c>
      <c r="L356" t="s">
        <v>153</v>
      </c>
      <c r="N356" t="s">
        <v>218</v>
      </c>
      <c r="O356" t="s">
        <v>283</v>
      </c>
      <c r="P356">
        <v>9.9088899836218478E-3</v>
      </c>
      <c r="Q356" t="s">
        <v>153</v>
      </c>
      <c r="S356" t="s">
        <v>260</v>
      </c>
      <c r="T356" t="s">
        <v>283</v>
      </c>
      <c r="U356">
        <v>8.6349311790809395E-3</v>
      </c>
      <c r="V356" t="s">
        <v>153</v>
      </c>
    </row>
    <row r="357" spans="9:22" x14ac:dyDescent="0.45">
      <c r="I357" t="s">
        <v>175</v>
      </c>
      <c r="J357" t="s">
        <v>284</v>
      </c>
      <c r="K357">
        <v>0</v>
      </c>
      <c r="L357" t="s">
        <v>153</v>
      </c>
      <c r="N357" t="s">
        <v>218</v>
      </c>
      <c r="O357" t="s">
        <v>284</v>
      </c>
      <c r="P357">
        <v>1.0739870853460318E-2</v>
      </c>
      <c r="Q357" t="s">
        <v>153</v>
      </c>
      <c r="S357" t="s">
        <v>260</v>
      </c>
      <c r="T357" t="s">
        <v>284</v>
      </c>
      <c r="U357">
        <v>8.5385995263001675E-3</v>
      </c>
      <c r="V357" t="s">
        <v>153</v>
      </c>
    </row>
    <row r="358" spans="9:22" x14ac:dyDescent="0.45">
      <c r="I358" t="s">
        <v>175</v>
      </c>
      <c r="J358" t="s">
        <v>285</v>
      </c>
      <c r="K358">
        <v>0</v>
      </c>
      <c r="L358" t="s">
        <v>153</v>
      </c>
      <c r="N358" t="s">
        <v>218</v>
      </c>
      <c r="O358" t="s">
        <v>285</v>
      </c>
      <c r="P358">
        <v>3.9804612210815785E-2</v>
      </c>
      <c r="Q358" t="s">
        <v>153</v>
      </c>
      <c r="S358" t="s">
        <v>260</v>
      </c>
      <c r="T358" t="s">
        <v>285</v>
      </c>
      <c r="U358">
        <v>3.8556887726270563E-2</v>
      </c>
      <c r="V358" t="s">
        <v>153</v>
      </c>
    </row>
    <row r="359" spans="9:22" x14ac:dyDescent="0.45">
      <c r="I359" t="s">
        <v>175</v>
      </c>
      <c r="J359" t="s">
        <v>159</v>
      </c>
      <c r="K359">
        <v>1.7339417587140461E-2</v>
      </c>
      <c r="L359" t="s">
        <v>153</v>
      </c>
      <c r="N359" t="s">
        <v>218</v>
      </c>
      <c r="O359" t="s">
        <v>159</v>
      </c>
      <c r="P359">
        <v>7.8409542949734359E-2</v>
      </c>
      <c r="Q359" t="s">
        <v>153</v>
      </c>
      <c r="S359" t="s">
        <v>260</v>
      </c>
      <c r="T359" t="s">
        <v>159</v>
      </c>
      <c r="U359">
        <v>7.6948087417779573E-2</v>
      </c>
      <c r="V359" t="s">
        <v>153</v>
      </c>
    </row>
    <row r="360" spans="9:22" x14ac:dyDescent="0.45">
      <c r="I360" t="s">
        <v>175</v>
      </c>
      <c r="J360" t="s">
        <v>160</v>
      </c>
      <c r="K360">
        <v>2.2832184072834345E-2</v>
      </c>
      <c r="L360" t="s">
        <v>153</v>
      </c>
      <c r="N360" t="s">
        <v>218</v>
      </c>
      <c r="O360" t="s">
        <v>160</v>
      </c>
      <c r="P360">
        <v>9.9568328084411861E-3</v>
      </c>
      <c r="Q360" t="s">
        <v>153</v>
      </c>
      <c r="S360" t="s">
        <v>260</v>
      </c>
      <c r="T360" t="s">
        <v>160</v>
      </c>
      <c r="U360">
        <v>1.0825172540525929E-2</v>
      </c>
      <c r="V360" t="s">
        <v>153</v>
      </c>
    </row>
    <row r="361" spans="9:22" x14ac:dyDescent="0.45">
      <c r="I361" t="s">
        <v>175</v>
      </c>
      <c r="J361" t="s">
        <v>161</v>
      </c>
      <c r="K361">
        <v>0.26558570172723012</v>
      </c>
      <c r="L361" t="s">
        <v>153</v>
      </c>
      <c r="N361" t="s">
        <v>218</v>
      </c>
      <c r="O361" t="s">
        <v>161</v>
      </c>
      <c r="P361">
        <v>0.12758446097993192</v>
      </c>
      <c r="Q361" t="s">
        <v>153</v>
      </c>
      <c r="S361" t="s">
        <v>260</v>
      </c>
      <c r="T361" t="s">
        <v>161</v>
      </c>
      <c r="U361">
        <v>0.12333076624542104</v>
      </c>
      <c r="V361" t="s">
        <v>153</v>
      </c>
    </row>
    <row r="362" spans="9:22" x14ac:dyDescent="0.45">
      <c r="I362" t="s">
        <v>175</v>
      </c>
      <c r="J362" t="s">
        <v>286</v>
      </c>
      <c r="K362">
        <v>1.9984312794107641E-2</v>
      </c>
      <c r="L362" t="s">
        <v>153</v>
      </c>
      <c r="N362" t="s">
        <v>218</v>
      </c>
      <c r="O362" t="s">
        <v>286</v>
      </c>
      <c r="P362">
        <v>2.6008101641529158E-2</v>
      </c>
      <c r="Q362" t="s">
        <v>153</v>
      </c>
      <c r="S362" t="s">
        <v>260</v>
      </c>
      <c r="T362" t="s">
        <v>286</v>
      </c>
      <c r="U362">
        <v>1.6210990257968474E-2</v>
      </c>
      <c r="V362" t="s">
        <v>153</v>
      </c>
    </row>
    <row r="363" spans="9:22" x14ac:dyDescent="0.45">
      <c r="I363" t="s">
        <v>175</v>
      </c>
      <c r="J363" t="s">
        <v>287</v>
      </c>
      <c r="K363">
        <v>5.4682788663014716E-3</v>
      </c>
      <c r="L363" t="s">
        <v>153</v>
      </c>
      <c r="N363" t="s">
        <v>218</v>
      </c>
      <c r="O363" t="s">
        <v>287</v>
      </c>
      <c r="P363">
        <v>2.7362657669874231E-2</v>
      </c>
      <c r="Q363" t="s">
        <v>153</v>
      </c>
      <c r="S363" t="s">
        <v>260</v>
      </c>
      <c r="T363" t="s">
        <v>287</v>
      </c>
      <c r="U363">
        <v>1.536533067638709E-2</v>
      </c>
      <c r="V363" t="s">
        <v>153</v>
      </c>
    </row>
    <row r="364" spans="9:22" x14ac:dyDescent="0.45">
      <c r="I364" t="s">
        <v>175</v>
      </c>
      <c r="J364" t="s">
        <v>288</v>
      </c>
      <c r="K364">
        <v>0</v>
      </c>
      <c r="L364" t="s">
        <v>153</v>
      </c>
      <c r="N364" t="s">
        <v>218</v>
      </c>
      <c r="O364" t="s">
        <v>288</v>
      </c>
      <c r="P364">
        <v>0.10234884870040024</v>
      </c>
      <c r="Q364" t="s">
        <v>153</v>
      </c>
      <c r="S364" t="s">
        <v>260</v>
      </c>
      <c r="T364" t="s">
        <v>288</v>
      </c>
      <c r="U364">
        <v>6.3224798351755054E-2</v>
      </c>
      <c r="V364" t="s">
        <v>153</v>
      </c>
    </row>
    <row r="365" spans="9:22" x14ac:dyDescent="0.45">
      <c r="I365" t="s">
        <v>175</v>
      </c>
      <c r="J365" t="s">
        <v>294</v>
      </c>
      <c r="K365">
        <v>7.7829080108580417E-3</v>
      </c>
      <c r="L365" t="s">
        <v>153</v>
      </c>
      <c r="N365" t="s">
        <v>218</v>
      </c>
      <c r="O365" t="s">
        <v>294</v>
      </c>
      <c r="P365">
        <v>1.1772817358701738E-2</v>
      </c>
      <c r="Q365" t="s">
        <v>153</v>
      </c>
      <c r="S365" t="s">
        <v>260</v>
      </c>
      <c r="T365" t="s">
        <v>294</v>
      </c>
      <c r="U365">
        <v>2.0155446183768046E-2</v>
      </c>
      <c r="V365" t="s">
        <v>153</v>
      </c>
    </row>
    <row r="366" spans="9:22" x14ac:dyDescent="0.45">
      <c r="I366" t="s">
        <v>175</v>
      </c>
      <c r="J366" t="s">
        <v>295</v>
      </c>
      <c r="K366">
        <v>7.010200104880732E-3</v>
      </c>
      <c r="L366" t="s">
        <v>153</v>
      </c>
      <c r="N366" t="s">
        <v>218</v>
      </c>
      <c r="O366" t="s">
        <v>295</v>
      </c>
      <c r="P366">
        <v>1.2491989069849864E-3</v>
      </c>
      <c r="Q366" t="s">
        <v>153</v>
      </c>
      <c r="S366" t="s">
        <v>260</v>
      </c>
      <c r="T366" t="s">
        <v>295</v>
      </c>
      <c r="U366">
        <v>3.0432568157962724E-3</v>
      </c>
      <c r="V366" t="s">
        <v>153</v>
      </c>
    </row>
    <row r="367" spans="9:22" x14ac:dyDescent="0.45">
      <c r="I367" t="s">
        <v>175</v>
      </c>
      <c r="J367" t="s">
        <v>296</v>
      </c>
      <c r="K367">
        <v>8.4212279377359076E-2</v>
      </c>
      <c r="L367" t="s">
        <v>153</v>
      </c>
      <c r="N367" t="s">
        <v>218</v>
      </c>
      <c r="O367" t="s">
        <v>296</v>
      </c>
      <c r="P367">
        <v>2.231580136483037E-2</v>
      </c>
      <c r="Q367" t="s">
        <v>153</v>
      </c>
      <c r="S367" t="s">
        <v>260</v>
      </c>
      <c r="T367" t="s">
        <v>296</v>
      </c>
      <c r="U367">
        <v>3.5752640730483926E-2</v>
      </c>
      <c r="V367" t="s">
        <v>153</v>
      </c>
    </row>
    <row r="368" spans="9:22" x14ac:dyDescent="0.45">
      <c r="I368" t="s">
        <v>175</v>
      </c>
      <c r="J368" t="s">
        <v>297</v>
      </c>
      <c r="K368">
        <v>6.7390537342010446E-3</v>
      </c>
      <c r="L368" t="s">
        <v>153</v>
      </c>
      <c r="N368" t="s">
        <v>218</v>
      </c>
      <c r="O368" t="s">
        <v>297</v>
      </c>
      <c r="P368">
        <v>3.8756807410523261E-3</v>
      </c>
      <c r="Q368" t="s">
        <v>153</v>
      </c>
      <c r="S368" t="s">
        <v>260</v>
      </c>
      <c r="T368" t="s">
        <v>297</v>
      </c>
      <c r="U368">
        <v>4.8137430471964964E-3</v>
      </c>
      <c r="V368" t="s">
        <v>153</v>
      </c>
    </row>
    <row r="369" spans="9:22" x14ac:dyDescent="0.45">
      <c r="I369" t="s">
        <v>175</v>
      </c>
      <c r="J369" t="s">
        <v>298</v>
      </c>
      <c r="K369">
        <v>4.7069419227955414E-3</v>
      </c>
      <c r="L369" t="s">
        <v>153</v>
      </c>
      <c r="N369" t="s">
        <v>218</v>
      </c>
      <c r="O369" t="s">
        <v>298</v>
      </c>
      <c r="P369">
        <v>3.718578581735835E-3</v>
      </c>
      <c r="Q369" t="s">
        <v>153</v>
      </c>
      <c r="S369" t="s">
        <v>260</v>
      </c>
      <c r="T369" t="s">
        <v>298</v>
      </c>
      <c r="U369">
        <v>4.4560518267873399E-3</v>
      </c>
      <c r="V369" t="s">
        <v>153</v>
      </c>
    </row>
    <row r="370" spans="9:22" x14ac:dyDescent="0.45">
      <c r="I370" t="s">
        <v>175</v>
      </c>
      <c r="J370" t="s">
        <v>299</v>
      </c>
      <c r="K370">
        <v>0</v>
      </c>
      <c r="L370" t="s">
        <v>153</v>
      </c>
      <c r="N370" t="s">
        <v>218</v>
      </c>
      <c r="O370" t="s">
        <v>299</v>
      </c>
      <c r="P370">
        <v>1.3960073262893417E-2</v>
      </c>
      <c r="Q370" t="s">
        <v>153</v>
      </c>
      <c r="S370" t="s">
        <v>260</v>
      </c>
      <c r="T370" t="s">
        <v>299</v>
      </c>
      <c r="U370">
        <v>1.7608735539059003E-2</v>
      </c>
      <c r="V370" t="s">
        <v>153</v>
      </c>
    </row>
    <row r="371" spans="9:22" x14ac:dyDescent="0.45">
      <c r="I371" t="s">
        <v>176</v>
      </c>
      <c r="J371" t="s">
        <v>152</v>
      </c>
      <c r="K371">
        <v>1.3756721392282966E-2</v>
      </c>
      <c r="L371" t="s">
        <v>153</v>
      </c>
      <c r="N371" t="s">
        <v>219</v>
      </c>
      <c r="O371" t="s">
        <v>152</v>
      </c>
      <c r="P371">
        <v>0.11528163627900519</v>
      </c>
      <c r="Q371" t="s">
        <v>153</v>
      </c>
      <c r="S371" t="s">
        <v>261</v>
      </c>
      <c r="T371" t="s">
        <v>152</v>
      </c>
      <c r="U371">
        <v>0.12697933896130431</v>
      </c>
      <c r="V371" t="s">
        <v>153</v>
      </c>
    </row>
    <row r="372" spans="9:22" x14ac:dyDescent="0.45">
      <c r="I372" t="s">
        <v>176</v>
      </c>
      <c r="J372" t="s">
        <v>154</v>
      </c>
      <c r="K372">
        <v>3.1273712491385636E-2</v>
      </c>
      <c r="L372" t="s">
        <v>153</v>
      </c>
      <c r="N372" t="s">
        <v>219</v>
      </c>
      <c r="O372" t="s">
        <v>154</v>
      </c>
      <c r="P372">
        <v>1.559887371294142E-2</v>
      </c>
      <c r="Q372" t="s">
        <v>153</v>
      </c>
      <c r="S372" t="s">
        <v>261</v>
      </c>
      <c r="T372" t="s">
        <v>154</v>
      </c>
      <c r="U372">
        <v>1.699339894823201E-2</v>
      </c>
      <c r="V372" t="s">
        <v>153</v>
      </c>
    </row>
    <row r="373" spans="9:22" x14ac:dyDescent="0.45">
      <c r="I373" t="s">
        <v>176</v>
      </c>
      <c r="J373" t="s">
        <v>155</v>
      </c>
      <c r="K373">
        <v>0.36973737823204561</v>
      </c>
      <c r="L373" t="s">
        <v>153</v>
      </c>
      <c r="N373" t="s">
        <v>219</v>
      </c>
      <c r="O373" t="s">
        <v>155</v>
      </c>
      <c r="P373">
        <v>0.1575383218615394</v>
      </c>
      <c r="Q373" t="s">
        <v>153</v>
      </c>
      <c r="S373" t="s">
        <v>261</v>
      </c>
      <c r="T373" t="s">
        <v>155</v>
      </c>
      <c r="U373">
        <v>0.15784256097317553</v>
      </c>
      <c r="V373" t="s">
        <v>153</v>
      </c>
    </row>
    <row r="374" spans="9:22" x14ac:dyDescent="0.45">
      <c r="I374" t="s">
        <v>176</v>
      </c>
      <c r="J374" t="s">
        <v>280</v>
      </c>
      <c r="K374">
        <v>2.3585886586866597E-2</v>
      </c>
      <c r="L374" t="s">
        <v>153</v>
      </c>
      <c r="N374" t="s">
        <v>219</v>
      </c>
      <c r="O374" t="s">
        <v>280</v>
      </c>
      <c r="P374">
        <v>2.3099649340689084E-2</v>
      </c>
      <c r="Q374" t="s">
        <v>153</v>
      </c>
      <c r="S374" t="s">
        <v>261</v>
      </c>
      <c r="T374" t="s">
        <v>280</v>
      </c>
      <c r="U374">
        <v>2.0041047453831291E-2</v>
      </c>
      <c r="V374" t="s">
        <v>153</v>
      </c>
    </row>
    <row r="375" spans="9:22" x14ac:dyDescent="0.45">
      <c r="I375" t="s">
        <v>176</v>
      </c>
      <c r="J375" t="s">
        <v>281</v>
      </c>
      <c r="K375">
        <v>1.2082007492051015E-2</v>
      </c>
      <c r="L375" t="s">
        <v>153</v>
      </c>
      <c r="N375" t="s">
        <v>219</v>
      </c>
      <c r="O375" t="s">
        <v>281</v>
      </c>
      <c r="P375">
        <v>2.4031711182470959E-2</v>
      </c>
      <c r="Q375" t="s">
        <v>153</v>
      </c>
      <c r="S375" t="s">
        <v>261</v>
      </c>
      <c r="T375" t="s">
        <v>281</v>
      </c>
      <c r="U375">
        <v>1.9979892887860101E-2</v>
      </c>
      <c r="V375" t="s">
        <v>153</v>
      </c>
    </row>
    <row r="376" spans="9:22" x14ac:dyDescent="0.45">
      <c r="I376" t="s">
        <v>176</v>
      </c>
      <c r="J376" t="s">
        <v>282</v>
      </c>
      <c r="K376">
        <v>0</v>
      </c>
      <c r="L376" t="s">
        <v>153</v>
      </c>
      <c r="N376" t="s">
        <v>219</v>
      </c>
      <c r="O376" t="s">
        <v>282</v>
      </c>
      <c r="P376">
        <v>0.10396484799129824</v>
      </c>
      <c r="Q376" t="s">
        <v>153</v>
      </c>
      <c r="S376" t="s">
        <v>261</v>
      </c>
      <c r="T376" t="s">
        <v>282</v>
      </c>
      <c r="U376">
        <v>9.6728793826657181E-2</v>
      </c>
      <c r="V376" t="s">
        <v>153</v>
      </c>
    </row>
    <row r="377" spans="9:22" x14ac:dyDescent="0.45">
      <c r="I377" t="s">
        <v>176</v>
      </c>
      <c r="J377" t="s">
        <v>156</v>
      </c>
      <c r="K377">
        <v>0</v>
      </c>
      <c r="L377" t="s">
        <v>153</v>
      </c>
      <c r="N377" t="s">
        <v>219</v>
      </c>
      <c r="O377" t="s">
        <v>156</v>
      </c>
      <c r="P377">
        <v>4.1045394167584473E-2</v>
      </c>
      <c r="Q377" t="s">
        <v>153</v>
      </c>
      <c r="S377" t="s">
        <v>261</v>
      </c>
      <c r="T377" t="s">
        <v>156</v>
      </c>
      <c r="U377">
        <v>5.5531653910498906E-2</v>
      </c>
      <c r="V377" t="s">
        <v>153</v>
      </c>
    </row>
    <row r="378" spans="9:22" x14ac:dyDescent="0.45">
      <c r="I378" t="s">
        <v>176</v>
      </c>
      <c r="J378" t="s">
        <v>157</v>
      </c>
      <c r="K378">
        <v>7.6297469484627057E-3</v>
      </c>
      <c r="L378" t="s">
        <v>153</v>
      </c>
      <c r="N378" t="s">
        <v>219</v>
      </c>
      <c r="O378" t="s">
        <v>157</v>
      </c>
      <c r="P378">
        <v>5.5491543540858853E-3</v>
      </c>
      <c r="Q378" t="s">
        <v>153</v>
      </c>
      <c r="S378" t="s">
        <v>261</v>
      </c>
      <c r="T378" t="s">
        <v>157</v>
      </c>
      <c r="U378">
        <v>8.1023473285763981E-3</v>
      </c>
      <c r="V378" t="s">
        <v>153</v>
      </c>
    </row>
    <row r="379" spans="9:22" x14ac:dyDescent="0.45">
      <c r="I379" t="s">
        <v>176</v>
      </c>
      <c r="J379" t="s">
        <v>158</v>
      </c>
      <c r="K379">
        <v>0.10237729667361813</v>
      </c>
      <c r="L379" t="s">
        <v>153</v>
      </c>
      <c r="N379" t="s">
        <v>219</v>
      </c>
      <c r="O379" t="s">
        <v>158</v>
      </c>
      <c r="P379">
        <v>4.7692764965781682E-2</v>
      </c>
      <c r="Q379" t="s">
        <v>153</v>
      </c>
      <c r="S379" t="s">
        <v>261</v>
      </c>
      <c r="T379" t="s">
        <v>158</v>
      </c>
      <c r="U379">
        <v>6.8920373240174651E-2</v>
      </c>
      <c r="V379" t="s">
        <v>153</v>
      </c>
    </row>
    <row r="380" spans="9:22" x14ac:dyDescent="0.45">
      <c r="I380" t="s">
        <v>176</v>
      </c>
      <c r="J380" t="s">
        <v>283</v>
      </c>
      <c r="K380">
        <v>3.4509510915026798E-3</v>
      </c>
      <c r="L380" t="s">
        <v>153</v>
      </c>
      <c r="N380" t="s">
        <v>219</v>
      </c>
      <c r="O380" t="s">
        <v>283</v>
      </c>
      <c r="P380">
        <v>8.3294626513720285E-3</v>
      </c>
      <c r="Q380" t="s">
        <v>153</v>
      </c>
      <c r="S380" t="s">
        <v>261</v>
      </c>
      <c r="T380" t="s">
        <v>283</v>
      </c>
      <c r="U380">
        <v>7.5599085767415006E-3</v>
      </c>
      <c r="V380" t="s">
        <v>153</v>
      </c>
    </row>
    <row r="381" spans="9:22" x14ac:dyDescent="0.45">
      <c r="I381" t="s">
        <v>176</v>
      </c>
      <c r="J381" t="s">
        <v>284</v>
      </c>
      <c r="K381">
        <v>0</v>
      </c>
      <c r="L381" t="s">
        <v>153</v>
      </c>
      <c r="N381" t="s">
        <v>219</v>
      </c>
      <c r="O381" t="s">
        <v>284</v>
      </c>
      <c r="P381">
        <v>8.939271906279217E-3</v>
      </c>
      <c r="Q381" t="s">
        <v>153</v>
      </c>
      <c r="S381" t="s">
        <v>261</v>
      </c>
      <c r="T381" t="s">
        <v>284</v>
      </c>
      <c r="U381">
        <v>7.6093883644494749E-3</v>
      </c>
      <c r="V381" t="s">
        <v>153</v>
      </c>
    </row>
    <row r="382" spans="9:22" x14ac:dyDescent="0.45">
      <c r="I382" t="s">
        <v>176</v>
      </c>
      <c r="J382" t="s">
        <v>285</v>
      </c>
      <c r="K382">
        <v>0</v>
      </c>
      <c r="L382" t="s">
        <v>153</v>
      </c>
      <c r="N382" t="s">
        <v>219</v>
      </c>
      <c r="O382" t="s">
        <v>285</v>
      </c>
      <c r="P382">
        <v>3.8159782312174741E-2</v>
      </c>
      <c r="Q382" t="s">
        <v>153</v>
      </c>
      <c r="S382" t="s">
        <v>261</v>
      </c>
      <c r="T382" t="s">
        <v>285</v>
      </c>
      <c r="U382">
        <v>3.8734673580457686E-2</v>
      </c>
      <c r="V382" t="s">
        <v>153</v>
      </c>
    </row>
    <row r="383" spans="9:22" x14ac:dyDescent="0.45">
      <c r="I383" t="s">
        <v>176</v>
      </c>
      <c r="J383" t="s">
        <v>159</v>
      </c>
      <c r="K383">
        <v>1.8345045646449992E-2</v>
      </c>
      <c r="L383" t="s">
        <v>153</v>
      </c>
      <c r="N383" t="s">
        <v>219</v>
      </c>
      <c r="O383" t="s">
        <v>159</v>
      </c>
      <c r="P383">
        <v>8.990376587855059E-2</v>
      </c>
      <c r="Q383" t="s">
        <v>153</v>
      </c>
      <c r="S383" t="s">
        <v>261</v>
      </c>
      <c r="T383" t="s">
        <v>159</v>
      </c>
      <c r="U383">
        <v>8.1170662766087545E-2</v>
      </c>
      <c r="V383" t="s">
        <v>153</v>
      </c>
    </row>
    <row r="384" spans="9:22" x14ac:dyDescent="0.45">
      <c r="I384" t="s">
        <v>176</v>
      </c>
      <c r="J384" t="s">
        <v>160</v>
      </c>
      <c r="K384">
        <v>2.3900132733267087E-2</v>
      </c>
      <c r="L384" t="s">
        <v>153</v>
      </c>
      <c r="N384" t="s">
        <v>219</v>
      </c>
      <c r="O384" t="s">
        <v>160</v>
      </c>
      <c r="P384">
        <v>1.1513269348935186E-2</v>
      </c>
      <c r="Q384" t="s">
        <v>153</v>
      </c>
      <c r="S384" t="s">
        <v>261</v>
      </c>
      <c r="T384" t="s">
        <v>160</v>
      </c>
      <c r="U384">
        <v>1.1566697073638161E-2</v>
      </c>
      <c r="V384" t="s">
        <v>153</v>
      </c>
    </row>
    <row r="385" spans="9:22" x14ac:dyDescent="0.45">
      <c r="I385" t="s">
        <v>176</v>
      </c>
      <c r="J385" t="s">
        <v>161</v>
      </c>
      <c r="K385">
        <v>0.26643062211323731</v>
      </c>
      <c r="L385" t="s">
        <v>153</v>
      </c>
      <c r="N385" t="s">
        <v>219</v>
      </c>
      <c r="O385" t="s">
        <v>161</v>
      </c>
      <c r="P385">
        <v>0.1232408913799901</v>
      </c>
      <c r="Q385" t="s">
        <v>153</v>
      </c>
      <c r="S385" t="s">
        <v>261</v>
      </c>
      <c r="T385" t="s">
        <v>161</v>
      </c>
      <c r="U385">
        <v>0.10770077010803983</v>
      </c>
      <c r="V385" t="s">
        <v>153</v>
      </c>
    </row>
    <row r="386" spans="9:22" x14ac:dyDescent="0.45">
      <c r="I386" t="s">
        <v>176</v>
      </c>
      <c r="J386" t="s">
        <v>286</v>
      </c>
      <c r="K386">
        <v>1.9241471781524459E-2</v>
      </c>
      <c r="L386" t="s">
        <v>153</v>
      </c>
      <c r="N386" t="s">
        <v>219</v>
      </c>
      <c r="O386" t="s">
        <v>286</v>
      </c>
      <c r="P386">
        <v>1.8812097138851222E-2</v>
      </c>
      <c r="Q386" t="s">
        <v>153</v>
      </c>
      <c r="S386" t="s">
        <v>261</v>
      </c>
      <c r="T386" t="s">
        <v>286</v>
      </c>
      <c r="U386">
        <v>1.3252706643311381E-2</v>
      </c>
      <c r="V386" t="s">
        <v>153</v>
      </c>
    </row>
    <row r="387" spans="9:22" x14ac:dyDescent="0.45">
      <c r="I387" t="s">
        <v>176</v>
      </c>
      <c r="J387" t="s">
        <v>287</v>
      </c>
      <c r="K387">
        <v>5.0173989343744764E-3</v>
      </c>
      <c r="L387" t="s">
        <v>153</v>
      </c>
      <c r="N387" t="s">
        <v>219</v>
      </c>
      <c r="O387" t="s">
        <v>287</v>
      </c>
      <c r="P387">
        <v>1.9624106102972858E-2</v>
      </c>
      <c r="Q387" t="s">
        <v>153</v>
      </c>
      <c r="S387" t="s">
        <v>261</v>
      </c>
      <c r="T387" t="s">
        <v>287</v>
      </c>
      <c r="U387">
        <v>1.3228118691607386E-2</v>
      </c>
      <c r="V387" t="s">
        <v>153</v>
      </c>
    </row>
    <row r="388" spans="9:22" x14ac:dyDescent="0.45">
      <c r="I388" t="s">
        <v>176</v>
      </c>
      <c r="J388" t="s">
        <v>288</v>
      </c>
      <c r="K388">
        <v>0</v>
      </c>
      <c r="L388" t="s">
        <v>153</v>
      </c>
      <c r="N388" t="s">
        <v>219</v>
      </c>
      <c r="O388" t="s">
        <v>288</v>
      </c>
      <c r="P388">
        <v>8.5510494983184818E-2</v>
      </c>
      <c r="Q388" t="s">
        <v>153</v>
      </c>
      <c r="S388" t="s">
        <v>261</v>
      </c>
      <c r="T388" t="s">
        <v>288</v>
      </c>
      <c r="U388">
        <v>6.2724638876455199E-2</v>
      </c>
      <c r="V388" t="s">
        <v>153</v>
      </c>
    </row>
    <row r="389" spans="9:22" x14ac:dyDescent="0.45">
      <c r="I389" t="s">
        <v>176</v>
      </c>
      <c r="J389" t="s">
        <v>294</v>
      </c>
      <c r="K389">
        <v>8.0765062682357606E-3</v>
      </c>
      <c r="L389" t="s">
        <v>153</v>
      </c>
      <c r="N389" t="s">
        <v>219</v>
      </c>
      <c r="O389" t="s">
        <v>294</v>
      </c>
      <c r="P389">
        <v>1.6709497110105265E-2</v>
      </c>
      <c r="Q389" t="s">
        <v>153</v>
      </c>
      <c r="S389" t="s">
        <v>261</v>
      </c>
      <c r="T389" t="s">
        <v>294</v>
      </c>
      <c r="U389">
        <v>2.4273140191229871E-2</v>
      </c>
      <c r="V389" t="s">
        <v>153</v>
      </c>
    </row>
    <row r="390" spans="9:22" x14ac:dyDescent="0.45">
      <c r="I390" t="s">
        <v>176</v>
      </c>
      <c r="J390" t="s">
        <v>295</v>
      </c>
      <c r="K390">
        <v>7.0554028704053976E-3</v>
      </c>
      <c r="L390" t="s">
        <v>153</v>
      </c>
      <c r="N390" t="s">
        <v>219</v>
      </c>
      <c r="O390" t="s">
        <v>295</v>
      </c>
      <c r="P390">
        <v>2.1209387211637712E-3</v>
      </c>
      <c r="Q390" t="s">
        <v>153</v>
      </c>
      <c r="S390" t="s">
        <v>261</v>
      </c>
      <c r="T390" t="s">
        <v>295</v>
      </c>
      <c r="U390">
        <v>3.3726944587305343E-3</v>
      </c>
      <c r="V390" t="s">
        <v>153</v>
      </c>
    </row>
    <row r="391" spans="9:22" x14ac:dyDescent="0.45">
      <c r="I391" t="s">
        <v>176</v>
      </c>
      <c r="J391" t="s">
        <v>296</v>
      </c>
      <c r="K391">
        <v>7.8770836204148403E-2</v>
      </c>
      <c r="L391" t="s">
        <v>153</v>
      </c>
      <c r="N391" t="s">
        <v>219</v>
      </c>
      <c r="O391" t="s">
        <v>296</v>
      </c>
      <c r="P391">
        <v>2.3196782974296126E-2</v>
      </c>
      <c r="Q391" t="s">
        <v>153</v>
      </c>
      <c r="S391" t="s">
        <v>261</v>
      </c>
      <c r="T391" t="s">
        <v>296</v>
      </c>
      <c r="U391">
        <v>3.1038987073143263E-2</v>
      </c>
      <c r="V391" t="s">
        <v>153</v>
      </c>
    </row>
    <row r="392" spans="9:22" x14ac:dyDescent="0.45">
      <c r="I392" t="s">
        <v>176</v>
      </c>
      <c r="J392" t="s">
        <v>297</v>
      </c>
      <c r="K392">
        <v>5.552943319805383E-3</v>
      </c>
      <c r="L392" t="s">
        <v>153</v>
      </c>
      <c r="N392" t="s">
        <v>219</v>
      </c>
      <c r="O392" t="s">
        <v>297</v>
      </c>
      <c r="P392">
        <v>3.0988253885476987E-3</v>
      </c>
      <c r="Q392" t="s">
        <v>153</v>
      </c>
      <c r="S392" t="s">
        <v>261</v>
      </c>
      <c r="T392" t="s">
        <v>297</v>
      </c>
      <c r="U392">
        <v>3.9038914875078818E-3</v>
      </c>
      <c r="V392" t="s">
        <v>153</v>
      </c>
    </row>
    <row r="393" spans="9:22" x14ac:dyDescent="0.45">
      <c r="I393" t="s">
        <v>176</v>
      </c>
      <c r="J393" t="s">
        <v>298</v>
      </c>
      <c r="K393">
        <v>3.7159392203362663E-3</v>
      </c>
      <c r="L393" t="s">
        <v>153</v>
      </c>
      <c r="N393" t="s">
        <v>219</v>
      </c>
      <c r="O393" t="s">
        <v>298</v>
      </c>
      <c r="P393">
        <v>3.0271385640959231E-3</v>
      </c>
      <c r="Q393" t="s">
        <v>153</v>
      </c>
      <c r="S393" t="s">
        <v>261</v>
      </c>
      <c r="T393" t="s">
        <v>298</v>
      </c>
      <c r="U393">
        <v>3.9016032563082993E-3</v>
      </c>
      <c r="V393" t="s">
        <v>153</v>
      </c>
    </row>
    <row r="394" spans="9:22" x14ac:dyDescent="0.45">
      <c r="I394" t="s">
        <v>176</v>
      </c>
      <c r="J394" t="s">
        <v>299</v>
      </c>
      <c r="K394">
        <v>0</v>
      </c>
      <c r="L394" t="s">
        <v>153</v>
      </c>
      <c r="N394" t="s">
        <v>219</v>
      </c>
      <c r="O394" t="s">
        <v>299</v>
      </c>
      <c r="P394">
        <v>1.4011321684082909E-2</v>
      </c>
      <c r="Q394" t="s">
        <v>153</v>
      </c>
      <c r="S394" t="s">
        <v>261</v>
      </c>
      <c r="T394" t="s">
        <v>299</v>
      </c>
      <c r="U394">
        <v>1.8842711321979354E-2</v>
      </c>
      <c r="V394" t="s">
        <v>153</v>
      </c>
    </row>
    <row r="395" spans="9:22" x14ac:dyDescent="0.45">
      <c r="I395" t="s">
        <v>177</v>
      </c>
      <c r="J395" t="s">
        <v>152</v>
      </c>
      <c r="K395">
        <v>1.1805895668191284E-2</v>
      </c>
      <c r="L395" t="s">
        <v>153</v>
      </c>
      <c r="N395" t="s">
        <v>220</v>
      </c>
      <c r="O395" t="s">
        <v>152</v>
      </c>
      <c r="P395">
        <v>0.11418646181942277</v>
      </c>
      <c r="Q395" t="s">
        <v>153</v>
      </c>
      <c r="S395" t="s">
        <v>262</v>
      </c>
      <c r="T395" t="s">
        <v>152</v>
      </c>
      <c r="U395">
        <v>0.12494087553776227</v>
      </c>
      <c r="V395" t="s">
        <v>153</v>
      </c>
    </row>
    <row r="396" spans="9:22" x14ac:dyDescent="0.45">
      <c r="I396" t="s">
        <v>177</v>
      </c>
      <c r="J396" t="s">
        <v>154</v>
      </c>
      <c r="K396">
        <v>2.8968773428635606E-2</v>
      </c>
      <c r="L396" t="s">
        <v>153</v>
      </c>
      <c r="N396" t="s">
        <v>220</v>
      </c>
      <c r="O396" t="s">
        <v>154</v>
      </c>
      <c r="P396">
        <v>1.8033189177896841E-2</v>
      </c>
      <c r="Q396" t="s">
        <v>153</v>
      </c>
      <c r="S396" t="s">
        <v>262</v>
      </c>
      <c r="T396" t="s">
        <v>154</v>
      </c>
      <c r="U396">
        <v>1.7607568353012241E-2</v>
      </c>
      <c r="V396" t="s">
        <v>153</v>
      </c>
    </row>
    <row r="397" spans="9:22" x14ac:dyDescent="0.45">
      <c r="I397" t="s">
        <v>177</v>
      </c>
      <c r="J397" t="s">
        <v>155</v>
      </c>
      <c r="K397">
        <v>0.37244683385682986</v>
      </c>
      <c r="L397" t="s">
        <v>153</v>
      </c>
      <c r="N397" t="s">
        <v>220</v>
      </c>
      <c r="O397" t="s">
        <v>155</v>
      </c>
      <c r="P397">
        <v>0.17681078084242799</v>
      </c>
      <c r="Q397" t="s">
        <v>153</v>
      </c>
      <c r="S397" t="s">
        <v>262</v>
      </c>
      <c r="T397" t="s">
        <v>155</v>
      </c>
      <c r="U397">
        <v>0.1621586976360978</v>
      </c>
      <c r="V397" t="s">
        <v>153</v>
      </c>
    </row>
    <row r="398" spans="9:22" x14ac:dyDescent="0.45">
      <c r="I398" t="s">
        <v>177</v>
      </c>
      <c r="J398" t="s">
        <v>280</v>
      </c>
      <c r="K398">
        <v>2.6832166786692882E-2</v>
      </c>
      <c r="L398" t="s">
        <v>153</v>
      </c>
      <c r="N398" t="s">
        <v>220</v>
      </c>
      <c r="O398" t="s">
        <v>280</v>
      </c>
      <c r="P398">
        <v>2.5460495075131283E-2</v>
      </c>
      <c r="Q398" t="s">
        <v>153</v>
      </c>
      <c r="S398" t="s">
        <v>262</v>
      </c>
      <c r="T398" t="s">
        <v>280</v>
      </c>
      <c r="U398">
        <v>1.8549889239096153E-2</v>
      </c>
      <c r="V398" t="s">
        <v>153</v>
      </c>
    </row>
    <row r="399" spans="9:22" x14ac:dyDescent="0.45">
      <c r="I399" t="s">
        <v>177</v>
      </c>
      <c r="J399" t="s">
        <v>281</v>
      </c>
      <c r="K399">
        <v>1.4542044636619799E-2</v>
      </c>
      <c r="L399" t="s">
        <v>153</v>
      </c>
      <c r="N399" t="s">
        <v>220</v>
      </c>
      <c r="O399" t="s">
        <v>281</v>
      </c>
      <c r="P399">
        <v>2.2644358704145873E-2</v>
      </c>
      <c r="Q399" t="s">
        <v>153</v>
      </c>
      <c r="S399" t="s">
        <v>262</v>
      </c>
      <c r="T399" t="s">
        <v>281</v>
      </c>
      <c r="U399">
        <v>1.8320615902846459E-2</v>
      </c>
      <c r="V399" t="s">
        <v>153</v>
      </c>
    </row>
    <row r="400" spans="9:22" x14ac:dyDescent="0.45">
      <c r="I400" t="s">
        <v>177</v>
      </c>
      <c r="J400" t="s">
        <v>282</v>
      </c>
      <c r="K400">
        <v>1.256734194692893E-4</v>
      </c>
      <c r="L400" t="s">
        <v>153</v>
      </c>
      <c r="N400" t="s">
        <v>220</v>
      </c>
      <c r="O400" t="s">
        <v>282</v>
      </c>
      <c r="P400">
        <v>7.7227180701148701E-2</v>
      </c>
      <c r="Q400" t="s">
        <v>153</v>
      </c>
      <c r="S400" t="s">
        <v>262</v>
      </c>
      <c r="T400" t="s">
        <v>282</v>
      </c>
      <c r="U400">
        <v>9.0622355930441725E-2</v>
      </c>
      <c r="V400" t="s">
        <v>153</v>
      </c>
    </row>
    <row r="401" spans="9:22" x14ac:dyDescent="0.45">
      <c r="I401" t="s">
        <v>177</v>
      </c>
      <c r="J401" t="s">
        <v>156</v>
      </c>
      <c r="K401">
        <v>0</v>
      </c>
      <c r="L401" t="s">
        <v>153</v>
      </c>
      <c r="N401" t="s">
        <v>220</v>
      </c>
      <c r="O401" t="s">
        <v>156</v>
      </c>
      <c r="P401">
        <v>5.1906427810891033E-2</v>
      </c>
      <c r="Q401" t="s">
        <v>153</v>
      </c>
      <c r="S401" t="s">
        <v>262</v>
      </c>
      <c r="T401" t="s">
        <v>156</v>
      </c>
      <c r="U401">
        <v>5.7547600970171087E-2</v>
      </c>
      <c r="V401" t="s">
        <v>153</v>
      </c>
    </row>
    <row r="402" spans="9:22" x14ac:dyDescent="0.45">
      <c r="I402" t="s">
        <v>177</v>
      </c>
      <c r="J402" t="s">
        <v>157</v>
      </c>
      <c r="K402">
        <v>4.2411395733398674E-3</v>
      </c>
      <c r="L402" t="s">
        <v>153</v>
      </c>
      <c r="N402" t="s">
        <v>220</v>
      </c>
      <c r="O402" t="s">
        <v>157</v>
      </c>
      <c r="P402">
        <v>9.2301360870104526E-3</v>
      </c>
      <c r="Q402" t="s">
        <v>153</v>
      </c>
      <c r="S402" t="s">
        <v>262</v>
      </c>
      <c r="T402" t="s">
        <v>157</v>
      </c>
      <c r="U402">
        <v>8.2851668334557559E-3</v>
      </c>
      <c r="V402" t="s">
        <v>153</v>
      </c>
    </row>
    <row r="403" spans="9:22" x14ac:dyDescent="0.45">
      <c r="I403" t="s">
        <v>177</v>
      </c>
      <c r="J403" t="s">
        <v>158</v>
      </c>
      <c r="K403">
        <v>9.6854275144864402E-2</v>
      </c>
      <c r="L403" t="s">
        <v>153</v>
      </c>
      <c r="N403" t="s">
        <v>220</v>
      </c>
      <c r="O403" t="s">
        <v>158</v>
      </c>
      <c r="P403">
        <v>7.3644281702710354E-2</v>
      </c>
      <c r="Q403" t="s">
        <v>153</v>
      </c>
      <c r="S403" t="s">
        <v>262</v>
      </c>
      <c r="T403" t="s">
        <v>158</v>
      </c>
      <c r="U403">
        <v>6.9712080640688082E-2</v>
      </c>
      <c r="V403" t="s">
        <v>153</v>
      </c>
    </row>
    <row r="404" spans="9:22" x14ac:dyDescent="0.45">
      <c r="I404" t="s">
        <v>177</v>
      </c>
      <c r="J404" t="s">
        <v>283</v>
      </c>
      <c r="K404">
        <v>4.5703747749145148E-3</v>
      </c>
      <c r="L404" t="s">
        <v>153</v>
      </c>
      <c r="N404" t="s">
        <v>220</v>
      </c>
      <c r="O404" t="s">
        <v>283</v>
      </c>
      <c r="P404">
        <v>7.8220450327034768E-3</v>
      </c>
      <c r="Q404" t="s">
        <v>153</v>
      </c>
      <c r="S404" t="s">
        <v>262</v>
      </c>
      <c r="T404" t="s">
        <v>283</v>
      </c>
      <c r="U404">
        <v>7.3024240375997845E-3</v>
      </c>
      <c r="V404" t="s">
        <v>153</v>
      </c>
    </row>
    <row r="405" spans="9:22" x14ac:dyDescent="0.45">
      <c r="I405" t="s">
        <v>177</v>
      </c>
      <c r="J405" t="s">
        <v>284</v>
      </c>
      <c r="K405">
        <v>0</v>
      </c>
      <c r="L405" t="s">
        <v>153</v>
      </c>
      <c r="N405" t="s">
        <v>220</v>
      </c>
      <c r="O405" t="s">
        <v>284</v>
      </c>
      <c r="P405">
        <v>5.9074668328778857E-3</v>
      </c>
      <c r="Q405" t="s">
        <v>153</v>
      </c>
      <c r="S405" t="s">
        <v>262</v>
      </c>
      <c r="T405" t="s">
        <v>284</v>
      </c>
      <c r="U405">
        <v>7.5038648163340983E-3</v>
      </c>
      <c r="V405" t="s">
        <v>153</v>
      </c>
    </row>
    <row r="406" spans="9:22" x14ac:dyDescent="0.45">
      <c r="I406" t="s">
        <v>177</v>
      </c>
      <c r="J406" t="s">
        <v>285</v>
      </c>
      <c r="K406">
        <v>0</v>
      </c>
      <c r="L406" t="s">
        <v>153</v>
      </c>
      <c r="N406" t="s">
        <v>220</v>
      </c>
      <c r="O406" t="s">
        <v>285</v>
      </c>
      <c r="P406">
        <v>1.846830238981715E-2</v>
      </c>
      <c r="Q406" t="s">
        <v>153</v>
      </c>
      <c r="S406" t="s">
        <v>262</v>
      </c>
      <c r="T406" t="s">
        <v>285</v>
      </c>
      <c r="U406">
        <v>4.0324413552216581E-2</v>
      </c>
      <c r="V406" t="s">
        <v>153</v>
      </c>
    </row>
    <row r="407" spans="9:22" x14ac:dyDescent="0.45">
      <c r="I407" t="s">
        <v>177</v>
      </c>
      <c r="J407" t="s">
        <v>159</v>
      </c>
      <c r="K407">
        <v>1.5901922870074081E-2</v>
      </c>
      <c r="L407" t="s">
        <v>153</v>
      </c>
      <c r="N407" t="s">
        <v>220</v>
      </c>
      <c r="O407" t="s">
        <v>159</v>
      </c>
      <c r="P407">
        <v>7.5096699904582218E-2</v>
      </c>
      <c r="Q407" t="s">
        <v>153</v>
      </c>
      <c r="S407" t="s">
        <v>262</v>
      </c>
      <c r="T407" t="s">
        <v>159</v>
      </c>
      <c r="U407">
        <v>9.0022330161505529E-2</v>
      </c>
      <c r="V407" t="s">
        <v>153</v>
      </c>
    </row>
    <row r="408" spans="9:22" x14ac:dyDescent="0.45">
      <c r="I408" t="s">
        <v>177</v>
      </c>
      <c r="J408" t="s">
        <v>160</v>
      </c>
      <c r="K408">
        <v>2.305263283944586E-2</v>
      </c>
      <c r="L408" t="s">
        <v>153</v>
      </c>
      <c r="N408" t="s">
        <v>220</v>
      </c>
      <c r="O408" t="s">
        <v>160</v>
      </c>
      <c r="P408">
        <v>1.1898514117137075E-2</v>
      </c>
      <c r="Q408" t="s">
        <v>153</v>
      </c>
      <c r="S408" t="s">
        <v>262</v>
      </c>
      <c r="T408" t="s">
        <v>160</v>
      </c>
      <c r="U408">
        <v>1.2450440342071142E-2</v>
      </c>
      <c r="V408" t="s">
        <v>153</v>
      </c>
    </row>
    <row r="409" spans="9:22" x14ac:dyDescent="0.45">
      <c r="I409" t="s">
        <v>177</v>
      </c>
      <c r="J409" t="s">
        <v>161</v>
      </c>
      <c r="K409">
        <v>0.26681253452881859</v>
      </c>
      <c r="L409" t="s">
        <v>153</v>
      </c>
      <c r="N409" t="s">
        <v>220</v>
      </c>
      <c r="O409" t="s">
        <v>161</v>
      </c>
      <c r="P409">
        <v>0.16127421303807032</v>
      </c>
      <c r="Q409" t="s">
        <v>153</v>
      </c>
      <c r="S409" t="s">
        <v>262</v>
      </c>
      <c r="T409" t="s">
        <v>161</v>
      </c>
      <c r="U409">
        <v>0.11410025448716268</v>
      </c>
      <c r="V409" t="s">
        <v>153</v>
      </c>
    </row>
    <row r="410" spans="9:22" x14ac:dyDescent="0.45">
      <c r="I410" t="s">
        <v>177</v>
      </c>
      <c r="J410" t="s">
        <v>286</v>
      </c>
      <c r="K410">
        <v>2.0788763847453068E-2</v>
      </c>
      <c r="L410" t="s">
        <v>153</v>
      </c>
      <c r="N410" t="s">
        <v>220</v>
      </c>
      <c r="O410" t="s">
        <v>286</v>
      </c>
      <c r="P410">
        <v>2.5889250338742058E-2</v>
      </c>
      <c r="Q410" t="s">
        <v>153</v>
      </c>
      <c r="S410" t="s">
        <v>262</v>
      </c>
      <c r="T410" t="s">
        <v>286</v>
      </c>
      <c r="U410">
        <v>1.3147685043908999E-2</v>
      </c>
      <c r="V410" t="s">
        <v>153</v>
      </c>
    </row>
    <row r="411" spans="9:22" x14ac:dyDescent="0.45">
      <c r="I411" t="s">
        <v>177</v>
      </c>
      <c r="J411" t="s">
        <v>287</v>
      </c>
      <c r="K411">
        <v>6.4364415143902121E-3</v>
      </c>
      <c r="L411" t="s">
        <v>153</v>
      </c>
      <c r="N411" t="s">
        <v>220</v>
      </c>
      <c r="O411" t="s">
        <v>287</v>
      </c>
      <c r="P411">
        <v>2.1409485513168802E-2</v>
      </c>
      <c r="Q411" t="s">
        <v>153</v>
      </c>
      <c r="S411" t="s">
        <v>262</v>
      </c>
      <c r="T411" t="s">
        <v>287</v>
      </c>
      <c r="U411">
        <v>1.3031315234146912E-2</v>
      </c>
      <c r="V411" t="s">
        <v>153</v>
      </c>
    </row>
    <row r="412" spans="9:22" x14ac:dyDescent="0.45">
      <c r="I412" t="s">
        <v>177</v>
      </c>
      <c r="J412" t="s">
        <v>288</v>
      </c>
      <c r="K412">
        <v>0</v>
      </c>
      <c r="L412" t="s">
        <v>153</v>
      </c>
      <c r="N412" t="s">
        <v>220</v>
      </c>
      <c r="O412" t="s">
        <v>288</v>
      </c>
      <c r="P412">
        <v>5.6984597094766089E-2</v>
      </c>
      <c r="Q412" t="s">
        <v>153</v>
      </c>
      <c r="S412" t="s">
        <v>262</v>
      </c>
      <c r="T412" t="s">
        <v>288</v>
      </c>
      <c r="U412">
        <v>6.3564278886325515E-2</v>
      </c>
      <c r="V412" t="s">
        <v>153</v>
      </c>
    </row>
    <row r="413" spans="9:22" x14ac:dyDescent="0.45">
      <c r="I413" t="s">
        <v>177</v>
      </c>
      <c r="J413" t="s">
        <v>294</v>
      </c>
      <c r="K413">
        <v>7.9692539973948897E-3</v>
      </c>
      <c r="L413" t="s">
        <v>153</v>
      </c>
      <c r="N413" t="s">
        <v>220</v>
      </c>
      <c r="O413" t="s">
        <v>294</v>
      </c>
      <c r="P413">
        <v>5.4671634732699438E-3</v>
      </c>
      <c r="Q413" t="s">
        <v>153</v>
      </c>
      <c r="S413" t="s">
        <v>262</v>
      </c>
      <c r="T413" t="s">
        <v>294</v>
      </c>
      <c r="U413">
        <v>1.9647313139873182E-2</v>
      </c>
      <c r="V413" t="s">
        <v>153</v>
      </c>
    </row>
    <row r="414" spans="9:22" x14ac:dyDescent="0.45">
      <c r="I414" t="s">
        <v>177</v>
      </c>
      <c r="J414" t="s">
        <v>295</v>
      </c>
      <c r="K414">
        <v>7.1974198291352258E-3</v>
      </c>
      <c r="L414" t="s">
        <v>153</v>
      </c>
      <c r="N414" t="s">
        <v>220</v>
      </c>
      <c r="O414" t="s">
        <v>295</v>
      </c>
      <c r="P414">
        <v>6.2194368106434556E-4</v>
      </c>
      <c r="Q414" t="s">
        <v>153</v>
      </c>
      <c r="S414" t="s">
        <v>262</v>
      </c>
      <c r="T414" t="s">
        <v>295</v>
      </c>
      <c r="U414">
        <v>2.8331407180130245E-3</v>
      </c>
      <c r="V414" t="s">
        <v>153</v>
      </c>
    </row>
    <row r="415" spans="9:22" x14ac:dyDescent="0.45">
      <c r="I415" t="s">
        <v>177</v>
      </c>
      <c r="J415" t="s">
        <v>296</v>
      </c>
      <c r="K415">
        <v>8.1436262038537252E-2</v>
      </c>
      <c r="L415" t="s">
        <v>153</v>
      </c>
      <c r="N415" t="s">
        <v>220</v>
      </c>
      <c r="O415" t="s">
        <v>296</v>
      </c>
      <c r="P415">
        <v>2.2550513959823923E-2</v>
      </c>
      <c r="Q415" t="s">
        <v>153</v>
      </c>
      <c r="S415" t="s">
        <v>262</v>
      </c>
      <c r="T415" t="s">
        <v>296</v>
      </c>
      <c r="U415">
        <v>2.805195487935179E-2</v>
      </c>
      <c r="V415" t="s">
        <v>153</v>
      </c>
    </row>
    <row r="416" spans="9:22" x14ac:dyDescent="0.45">
      <c r="I416" t="s">
        <v>177</v>
      </c>
      <c r="J416" t="s">
        <v>297</v>
      </c>
      <c r="K416">
        <v>5.8109297133633313E-3</v>
      </c>
      <c r="L416" t="s">
        <v>153</v>
      </c>
      <c r="N416" t="s">
        <v>220</v>
      </c>
      <c r="O416" t="s">
        <v>297</v>
      </c>
      <c r="P416">
        <v>4.6353241593753355E-3</v>
      </c>
      <c r="Q416" t="s">
        <v>153</v>
      </c>
      <c r="S416" t="s">
        <v>262</v>
      </c>
      <c r="T416" t="s">
        <v>297</v>
      </c>
      <c r="U416">
        <v>3.2309332558491592E-3</v>
      </c>
      <c r="V416" t="s">
        <v>153</v>
      </c>
    </row>
    <row r="417" spans="9:22" x14ac:dyDescent="0.45">
      <c r="I417" t="s">
        <v>177</v>
      </c>
      <c r="J417" t="s">
        <v>298</v>
      </c>
      <c r="K417">
        <v>4.2066615318319582E-3</v>
      </c>
      <c r="L417" t="s">
        <v>153</v>
      </c>
      <c r="N417" t="s">
        <v>220</v>
      </c>
      <c r="O417" t="s">
        <v>298</v>
      </c>
      <c r="P417">
        <v>3.8282832751328115E-3</v>
      </c>
      <c r="Q417" t="s">
        <v>153</v>
      </c>
      <c r="S417" t="s">
        <v>262</v>
      </c>
      <c r="T417" t="s">
        <v>298</v>
      </c>
      <c r="U417">
        <v>3.1087733792382966E-3</v>
      </c>
      <c r="V417" t="s">
        <v>153</v>
      </c>
    </row>
    <row r="418" spans="9:22" x14ac:dyDescent="0.45">
      <c r="I418" t="s">
        <v>177</v>
      </c>
      <c r="J418" t="s">
        <v>299</v>
      </c>
      <c r="K418">
        <v>0</v>
      </c>
      <c r="L418" t="s">
        <v>153</v>
      </c>
      <c r="N418" t="s">
        <v>220</v>
      </c>
      <c r="O418" t="s">
        <v>299</v>
      </c>
      <c r="P418">
        <v>9.0028852686827639E-3</v>
      </c>
      <c r="Q418" t="s">
        <v>153</v>
      </c>
      <c r="S418" t="s">
        <v>262</v>
      </c>
      <c r="T418" t="s">
        <v>299</v>
      </c>
      <c r="U418">
        <v>1.393602702283339E-2</v>
      </c>
      <c r="V418" t="s">
        <v>153</v>
      </c>
    </row>
    <row r="419" spans="9:22" x14ac:dyDescent="0.45">
      <c r="I419" t="s">
        <v>178</v>
      </c>
      <c r="J419" t="s">
        <v>152</v>
      </c>
      <c r="K419">
        <v>6.9971203820154244E-3</v>
      </c>
      <c r="L419" t="s">
        <v>153</v>
      </c>
      <c r="N419" t="s">
        <v>221</v>
      </c>
      <c r="O419" t="s">
        <v>152</v>
      </c>
      <c r="P419">
        <v>0.11687279038250931</v>
      </c>
      <c r="Q419" t="s">
        <v>153</v>
      </c>
      <c r="S419" t="s">
        <v>263</v>
      </c>
      <c r="T419" t="s">
        <v>152</v>
      </c>
      <c r="U419">
        <v>0.11891659653800633</v>
      </c>
      <c r="V419" t="s">
        <v>153</v>
      </c>
    </row>
    <row r="420" spans="9:22" x14ac:dyDescent="0.45">
      <c r="I420" t="s">
        <v>178</v>
      </c>
      <c r="J420" t="s">
        <v>154</v>
      </c>
      <c r="K420">
        <v>2.205821604030609E-2</v>
      </c>
      <c r="L420" t="s">
        <v>153</v>
      </c>
      <c r="N420" t="s">
        <v>221</v>
      </c>
      <c r="O420" t="s">
        <v>154</v>
      </c>
      <c r="P420">
        <v>1.5919714906298024E-2</v>
      </c>
      <c r="Q420" t="s">
        <v>153</v>
      </c>
      <c r="S420" t="s">
        <v>263</v>
      </c>
      <c r="T420" t="s">
        <v>154</v>
      </c>
      <c r="U420">
        <v>1.6815385465173523E-2</v>
      </c>
      <c r="V420" t="s">
        <v>153</v>
      </c>
    </row>
    <row r="421" spans="9:22" x14ac:dyDescent="0.45">
      <c r="I421" t="s">
        <v>178</v>
      </c>
      <c r="J421" t="s">
        <v>155</v>
      </c>
      <c r="K421">
        <v>0.37344410440021253</v>
      </c>
      <c r="L421" t="s">
        <v>153</v>
      </c>
      <c r="N421" t="s">
        <v>221</v>
      </c>
      <c r="O421" t="s">
        <v>155</v>
      </c>
      <c r="P421">
        <v>0.16812242787362805</v>
      </c>
      <c r="Q421" t="s">
        <v>153</v>
      </c>
      <c r="S421" t="s">
        <v>263</v>
      </c>
      <c r="T421" t="s">
        <v>155</v>
      </c>
      <c r="U421">
        <v>0.16601673603860517</v>
      </c>
      <c r="V421" t="s">
        <v>153</v>
      </c>
    </row>
    <row r="422" spans="9:22" x14ac:dyDescent="0.45">
      <c r="I422" t="s">
        <v>178</v>
      </c>
      <c r="J422" t="s">
        <v>280</v>
      </c>
      <c r="K422">
        <v>3.2857332007494945E-2</v>
      </c>
      <c r="L422" t="s">
        <v>153</v>
      </c>
      <c r="N422" t="s">
        <v>221</v>
      </c>
      <c r="O422" t="s">
        <v>280</v>
      </c>
      <c r="P422">
        <v>2.3048043413853653E-2</v>
      </c>
      <c r="Q422" t="s">
        <v>153</v>
      </c>
      <c r="S422" t="s">
        <v>263</v>
      </c>
      <c r="T422" t="s">
        <v>280</v>
      </c>
      <c r="U422">
        <v>2.0375828781427786E-2</v>
      </c>
      <c r="V422" t="s">
        <v>153</v>
      </c>
    </row>
    <row r="423" spans="9:22" x14ac:dyDescent="0.45">
      <c r="I423" t="s">
        <v>178</v>
      </c>
      <c r="J423" t="s">
        <v>281</v>
      </c>
      <c r="K423">
        <v>1.8198174302930862E-2</v>
      </c>
      <c r="L423" t="s">
        <v>153</v>
      </c>
      <c r="N423" t="s">
        <v>221</v>
      </c>
      <c r="O423" t="s">
        <v>281</v>
      </c>
      <c r="P423">
        <v>2.2474161879587409E-2</v>
      </c>
      <c r="Q423" t="s">
        <v>153</v>
      </c>
      <c r="S423" t="s">
        <v>263</v>
      </c>
      <c r="T423" t="s">
        <v>281</v>
      </c>
      <c r="U423">
        <v>1.9827409845809101E-2</v>
      </c>
      <c r="V423" t="s">
        <v>153</v>
      </c>
    </row>
    <row r="424" spans="9:22" x14ac:dyDescent="0.45">
      <c r="I424" t="s">
        <v>178</v>
      </c>
      <c r="J424" t="s">
        <v>282</v>
      </c>
      <c r="K424">
        <v>5.9300699404713922E-3</v>
      </c>
      <c r="L424" t="s">
        <v>153</v>
      </c>
      <c r="N424" t="s">
        <v>221</v>
      </c>
      <c r="O424" t="s">
        <v>282</v>
      </c>
      <c r="P424">
        <v>0.10113838619451176</v>
      </c>
      <c r="Q424" t="s">
        <v>153</v>
      </c>
      <c r="S424" t="s">
        <v>263</v>
      </c>
      <c r="T424" t="s">
        <v>282</v>
      </c>
      <c r="U424">
        <v>8.9874984181077658E-2</v>
      </c>
      <c r="V424" t="s">
        <v>153</v>
      </c>
    </row>
    <row r="425" spans="9:22" x14ac:dyDescent="0.45">
      <c r="I425" t="s">
        <v>178</v>
      </c>
      <c r="J425" t="s">
        <v>156</v>
      </c>
      <c r="K425">
        <v>0</v>
      </c>
      <c r="L425" t="s">
        <v>153</v>
      </c>
      <c r="N425" t="s">
        <v>221</v>
      </c>
      <c r="O425" t="s">
        <v>156</v>
      </c>
      <c r="P425">
        <v>3.9527318233314804E-2</v>
      </c>
      <c r="Q425" t="s">
        <v>153</v>
      </c>
      <c r="S425" t="s">
        <v>263</v>
      </c>
      <c r="T425" t="s">
        <v>156</v>
      </c>
      <c r="U425">
        <v>5.8686028507687643E-2</v>
      </c>
      <c r="V425" t="s">
        <v>153</v>
      </c>
    </row>
    <row r="426" spans="9:22" x14ac:dyDescent="0.45">
      <c r="I426" t="s">
        <v>178</v>
      </c>
      <c r="J426" t="s">
        <v>157</v>
      </c>
      <c r="K426">
        <v>9.259320652001765E-4</v>
      </c>
      <c r="L426" t="s">
        <v>153</v>
      </c>
      <c r="N426" t="s">
        <v>221</v>
      </c>
      <c r="O426" t="s">
        <v>157</v>
      </c>
      <c r="P426">
        <v>6.4943595190346641E-3</v>
      </c>
      <c r="Q426" t="s">
        <v>153</v>
      </c>
      <c r="S426" t="s">
        <v>263</v>
      </c>
      <c r="T426" t="s">
        <v>157</v>
      </c>
      <c r="U426">
        <v>8.1966412157458077E-3</v>
      </c>
      <c r="V426" t="s">
        <v>153</v>
      </c>
    </row>
    <row r="427" spans="9:22" x14ac:dyDescent="0.45">
      <c r="I427" t="s">
        <v>178</v>
      </c>
      <c r="J427" t="s">
        <v>158</v>
      </c>
      <c r="K427">
        <v>8.7465781666554304E-2</v>
      </c>
      <c r="L427" t="s">
        <v>153</v>
      </c>
      <c r="N427" t="s">
        <v>221</v>
      </c>
      <c r="O427" t="s">
        <v>158</v>
      </c>
      <c r="P427">
        <v>6.0682413990436383E-2</v>
      </c>
      <c r="Q427" t="s">
        <v>153</v>
      </c>
      <c r="S427" t="s">
        <v>263</v>
      </c>
      <c r="T427" t="s">
        <v>158</v>
      </c>
      <c r="U427">
        <v>6.7157044996291645E-2</v>
      </c>
      <c r="V427" t="s">
        <v>153</v>
      </c>
    </row>
    <row r="428" spans="9:22" x14ac:dyDescent="0.45">
      <c r="I428" t="s">
        <v>178</v>
      </c>
      <c r="J428" t="s">
        <v>283</v>
      </c>
      <c r="K428">
        <v>6.8125143895632649E-3</v>
      </c>
      <c r="L428" t="s">
        <v>153</v>
      </c>
      <c r="N428" t="s">
        <v>221</v>
      </c>
      <c r="O428" t="s">
        <v>283</v>
      </c>
      <c r="P428">
        <v>8.0493924418498144E-3</v>
      </c>
      <c r="Q428" t="s">
        <v>153</v>
      </c>
      <c r="S428" t="s">
        <v>263</v>
      </c>
      <c r="T428" t="s">
        <v>283</v>
      </c>
      <c r="U428">
        <v>7.5751218676286779E-3</v>
      </c>
      <c r="V428" t="s">
        <v>153</v>
      </c>
    </row>
    <row r="429" spans="9:22" x14ac:dyDescent="0.45">
      <c r="I429" t="s">
        <v>178</v>
      </c>
      <c r="J429" t="s">
        <v>284</v>
      </c>
      <c r="K429">
        <v>0</v>
      </c>
      <c r="L429" t="s">
        <v>153</v>
      </c>
      <c r="N429" t="s">
        <v>221</v>
      </c>
      <c r="O429" t="s">
        <v>284</v>
      </c>
      <c r="P429">
        <v>7.5706994980834098E-3</v>
      </c>
      <c r="Q429" t="s">
        <v>153</v>
      </c>
      <c r="S429" t="s">
        <v>263</v>
      </c>
      <c r="T429" t="s">
        <v>284</v>
      </c>
      <c r="U429">
        <v>7.8449849318625205E-3</v>
      </c>
      <c r="V429" t="s">
        <v>153</v>
      </c>
    </row>
    <row r="430" spans="9:22" x14ac:dyDescent="0.45">
      <c r="I430" t="s">
        <v>178</v>
      </c>
      <c r="J430" t="s">
        <v>285</v>
      </c>
      <c r="K430">
        <v>0</v>
      </c>
      <c r="L430" t="s">
        <v>153</v>
      </c>
      <c r="N430" t="s">
        <v>221</v>
      </c>
      <c r="O430" t="s">
        <v>285</v>
      </c>
      <c r="P430">
        <v>3.2318932341756652E-2</v>
      </c>
      <c r="Q430" t="s">
        <v>153</v>
      </c>
      <c r="S430" t="s">
        <v>263</v>
      </c>
      <c r="T430" t="s">
        <v>285</v>
      </c>
      <c r="U430">
        <v>4.1865890152592768E-2</v>
      </c>
      <c r="V430" t="s">
        <v>153</v>
      </c>
    </row>
    <row r="431" spans="9:22" x14ac:dyDescent="0.45">
      <c r="I431" t="s">
        <v>178</v>
      </c>
      <c r="J431" t="s">
        <v>159</v>
      </c>
      <c r="K431">
        <v>9.8619642247749582E-3</v>
      </c>
      <c r="L431" t="s">
        <v>153</v>
      </c>
      <c r="N431" t="s">
        <v>221</v>
      </c>
      <c r="O431" t="s">
        <v>159</v>
      </c>
      <c r="P431">
        <v>8.0496613988990329E-2</v>
      </c>
      <c r="Q431" t="s">
        <v>153</v>
      </c>
      <c r="S431" t="s">
        <v>263</v>
      </c>
      <c r="T431" t="s">
        <v>159</v>
      </c>
      <c r="U431">
        <v>8.7491293128765718E-2</v>
      </c>
      <c r="V431" t="s">
        <v>153</v>
      </c>
    </row>
    <row r="432" spans="9:22" x14ac:dyDescent="0.45">
      <c r="I432" t="s">
        <v>178</v>
      </c>
      <c r="J432" t="s">
        <v>160</v>
      </c>
      <c r="K432">
        <v>1.9837543007930891E-2</v>
      </c>
      <c r="L432" t="s">
        <v>153</v>
      </c>
      <c r="N432" t="s">
        <v>221</v>
      </c>
      <c r="O432" t="s">
        <v>160</v>
      </c>
      <c r="P432">
        <v>1.1682801803121316E-2</v>
      </c>
      <c r="Q432" t="s">
        <v>153</v>
      </c>
      <c r="S432" t="s">
        <v>263</v>
      </c>
      <c r="T432" t="s">
        <v>160</v>
      </c>
      <c r="U432">
        <v>1.1884556447730663E-2</v>
      </c>
      <c r="V432" t="s">
        <v>153</v>
      </c>
    </row>
    <row r="433" spans="9:22" x14ac:dyDescent="0.45">
      <c r="I433" t="s">
        <v>178</v>
      </c>
      <c r="J433" t="s">
        <v>161</v>
      </c>
      <c r="K433">
        <v>0.26127301425058891</v>
      </c>
      <c r="L433" t="s">
        <v>153</v>
      </c>
      <c r="N433" t="s">
        <v>221</v>
      </c>
      <c r="O433" t="s">
        <v>161</v>
      </c>
      <c r="P433">
        <v>0.13790372151520344</v>
      </c>
      <c r="Q433" t="s">
        <v>153</v>
      </c>
      <c r="S433" t="s">
        <v>263</v>
      </c>
      <c r="T433" t="s">
        <v>161</v>
      </c>
      <c r="U433">
        <v>0.11671763406192529</v>
      </c>
      <c r="V433" t="s">
        <v>153</v>
      </c>
    </row>
    <row r="434" spans="9:22" x14ac:dyDescent="0.45">
      <c r="I434" t="s">
        <v>178</v>
      </c>
      <c r="J434" t="s">
        <v>286</v>
      </c>
      <c r="K434">
        <v>2.2076388559772602E-2</v>
      </c>
      <c r="L434" t="s">
        <v>153</v>
      </c>
      <c r="N434" t="s">
        <v>221</v>
      </c>
      <c r="O434" t="s">
        <v>286</v>
      </c>
      <c r="P434">
        <v>1.7864241276054068E-2</v>
      </c>
      <c r="Q434" t="s">
        <v>153</v>
      </c>
      <c r="S434" t="s">
        <v>263</v>
      </c>
      <c r="T434" t="s">
        <v>286</v>
      </c>
      <c r="U434">
        <v>1.420136665852334E-2</v>
      </c>
      <c r="V434" t="s">
        <v>153</v>
      </c>
    </row>
    <row r="435" spans="9:22" x14ac:dyDescent="0.45">
      <c r="I435" t="s">
        <v>178</v>
      </c>
      <c r="J435" t="s">
        <v>287</v>
      </c>
      <c r="K435">
        <v>1.1094307965659128E-2</v>
      </c>
      <c r="L435" t="s">
        <v>153</v>
      </c>
      <c r="N435" t="s">
        <v>221</v>
      </c>
      <c r="O435" t="s">
        <v>287</v>
      </c>
      <c r="P435">
        <v>1.6639659819365386E-2</v>
      </c>
      <c r="Q435" t="s">
        <v>153</v>
      </c>
      <c r="S435" t="s">
        <v>263</v>
      </c>
      <c r="T435" t="s">
        <v>287</v>
      </c>
      <c r="U435">
        <v>1.358349619191326E-2</v>
      </c>
      <c r="V435" t="s">
        <v>153</v>
      </c>
    </row>
    <row r="436" spans="9:22" x14ac:dyDescent="0.45">
      <c r="I436" t="s">
        <v>178</v>
      </c>
      <c r="J436" t="s">
        <v>288</v>
      </c>
      <c r="K436">
        <v>2.6817726631611215E-5</v>
      </c>
      <c r="L436" t="s">
        <v>153</v>
      </c>
      <c r="N436" t="s">
        <v>221</v>
      </c>
      <c r="O436" t="s">
        <v>288</v>
      </c>
      <c r="P436">
        <v>7.0209585142954473E-2</v>
      </c>
      <c r="Q436" t="s">
        <v>153</v>
      </c>
      <c r="S436" t="s">
        <v>263</v>
      </c>
      <c r="T436" t="s">
        <v>288</v>
      </c>
      <c r="U436">
        <v>6.2050490365387997E-2</v>
      </c>
      <c r="V436" t="s">
        <v>153</v>
      </c>
    </row>
    <row r="437" spans="9:22" x14ac:dyDescent="0.45">
      <c r="I437" t="s">
        <v>178</v>
      </c>
      <c r="J437" t="s">
        <v>294</v>
      </c>
      <c r="K437">
        <v>4.7873474358945079E-3</v>
      </c>
      <c r="L437" t="s">
        <v>153</v>
      </c>
      <c r="N437" t="s">
        <v>221</v>
      </c>
      <c r="O437" t="s">
        <v>294</v>
      </c>
      <c r="P437">
        <v>1.4857916819261411E-2</v>
      </c>
      <c r="Q437" t="s">
        <v>153</v>
      </c>
      <c r="S437" t="s">
        <v>263</v>
      </c>
      <c r="T437" t="s">
        <v>294</v>
      </c>
      <c r="U437">
        <v>1.7627855583194105E-2</v>
      </c>
      <c r="V437" t="s">
        <v>153</v>
      </c>
    </row>
    <row r="438" spans="9:22" x14ac:dyDescent="0.45">
      <c r="I438" t="s">
        <v>178</v>
      </c>
      <c r="J438" t="s">
        <v>295</v>
      </c>
      <c r="K438">
        <v>6.7479837919225448E-3</v>
      </c>
      <c r="L438" t="s">
        <v>153</v>
      </c>
      <c r="N438" t="s">
        <v>221</v>
      </c>
      <c r="O438" t="s">
        <v>295</v>
      </c>
      <c r="P438">
        <v>2.023956472445325E-3</v>
      </c>
      <c r="Q438" t="s">
        <v>153</v>
      </c>
      <c r="S438" t="s">
        <v>263</v>
      </c>
      <c r="T438" t="s">
        <v>295</v>
      </c>
      <c r="U438">
        <v>2.6782319730936917E-3</v>
      </c>
      <c r="V438" t="s">
        <v>153</v>
      </c>
    </row>
    <row r="439" spans="9:22" x14ac:dyDescent="0.45">
      <c r="I439" t="s">
        <v>178</v>
      </c>
      <c r="J439" t="s">
        <v>296</v>
      </c>
      <c r="K439">
        <v>9.0845255904606279E-2</v>
      </c>
      <c r="L439" t="s">
        <v>153</v>
      </c>
      <c r="N439" t="s">
        <v>221</v>
      </c>
      <c r="O439" t="s">
        <v>296</v>
      </c>
      <c r="P439">
        <v>2.5645925500621464E-2</v>
      </c>
      <c r="Q439" t="s">
        <v>153</v>
      </c>
      <c r="S439" t="s">
        <v>263</v>
      </c>
      <c r="T439" t="s">
        <v>296</v>
      </c>
      <c r="U439">
        <v>2.9370288853622098E-2</v>
      </c>
      <c r="V439" t="s">
        <v>153</v>
      </c>
    </row>
    <row r="440" spans="9:22" x14ac:dyDescent="0.45">
      <c r="I440" t="s">
        <v>178</v>
      </c>
      <c r="J440" t="s">
        <v>297</v>
      </c>
      <c r="K440">
        <v>8.6128548548318681E-3</v>
      </c>
      <c r="L440" t="s">
        <v>153</v>
      </c>
      <c r="N440" t="s">
        <v>221</v>
      </c>
      <c r="O440" t="s">
        <v>297</v>
      </c>
      <c r="P440">
        <v>3.5361674971489607E-3</v>
      </c>
      <c r="Q440" t="s">
        <v>153</v>
      </c>
      <c r="S440" t="s">
        <v>263</v>
      </c>
      <c r="T440" t="s">
        <v>297</v>
      </c>
      <c r="U440">
        <v>3.5162369243464759E-3</v>
      </c>
      <c r="V440" t="s">
        <v>153</v>
      </c>
    </row>
    <row r="441" spans="9:22" x14ac:dyDescent="0.45">
      <c r="I441" t="s">
        <v>178</v>
      </c>
      <c r="J441" t="s">
        <v>298</v>
      </c>
      <c r="K441">
        <v>6.5177349473075716E-3</v>
      </c>
      <c r="L441" t="s">
        <v>153</v>
      </c>
      <c r="N441" t="s">
        <v>221</v>
      </c>
      <c r="O441" t="s">
        <v>298</v>
      </c>
      <c r="P441">
        <v>3.3944819054321086E-3</v>
      </c>
      <c r="Q441" t="s">
        <v>153</v>
      </c>
      <c r="S441" t="s">
        <v>263</v>
      </c>
      <c r="T441" t="s">
        <v>298</v>
      </c>
      <c r="U441">
        <v>3.3870764412580094E-3</v>
      </c>
      <c r="V441" t="s">
        <v>153</v>
      </c>
    </row>
    <row r="442" spans="9:22" x14ac:dyDescent="0.45">
      <c r="I442" t="s">
        <v>178</v>
      </c>
      <c r="J442" t="s">
        <v>299</v>
      </c>
      <c r="K442">
        <v>3.6295421353275876E-3</v>
      </c>
      <c r="L442" t="s">
        <v>153</v>
      </c>
      <c r="N442" t="s">
        <v>221</v>
      </c>
      <c r="O442" t="s">
        <v>299</v>
      </c>
      <c r="P442">
        <v>1.3526287584543323E-2</v>
      </c>
      <c r="Q442" t="s">
        <v>153</v>
      </c>
      <c r="S442" t="s">
        <v>263</v>
      </c>
      <c r="T442" t="s">
        <v>299</v>
      </c>
      <c r="U442">
        <v>1.4338820848332908E-2</v>
      </c>
      <c r="V442" t="s">
        <v>153</v>
      </c>
    </row>
    <row r="443" spans="9:22" x14ac:dyDescent="0.45">
      <c r="I443" t="s">
        <v>179</v>
      </c>
      <c r="J443" t="s">
        <v>152</v>
      </c>
      <c r="K443">
        <v>9.0557003876813955E-3</v>
      </c>
      <c r="L443" t="s">
        <v>153</v>
      </c>
      <c r="N443" t="s">
        <v>222</v>
      </c>
      <c r="O443" t="s">
        <v>152</v>
      </c>
      <c r="P443">
        <v>0.10464693992765287</v>
      </c>
      <c r="Q443" t="s">
        <v>153</v>
      </c>
      <c r="S443" t="s">
        <v>264</v>
      </c>
      <c r="T443" t="s">
        <v>152</v>
      </c>
      <c r="U443">
        <v>0.12113273183567523</v>
      </c>
      <c r="V443" t="s">
        <v>153</v>
      </c>
    </row>
    <row r="444" spans="9:22" x14ac:dyDescent="0.45">
      <c r="I444" t="s">
        <v>179</v>
      </c>
      <c r="J444" t="s">
        <v>154</v>
      </c>
      <c r="K444">
        <v>2.5269219294055612E-2</v>
      </c>
      <c r="L444" t="s">
        <v>153</v>
      </c>
      <c r="N444" t="s">
        <v>222</v>
      </c>
      <c r="O444" t="s">
        <v>154</v>
      </c>
      <c r="P444">
        <v>1.4407007186615533E-2</v>
      </c>
      <c r="Q444" t="s">
        <v>153</v>
      </c>
      <c r="S444" t="s">
        <v>264</v>
      </c>
      <c r="T444" t="s">
        <v>154</v>
      </c>
      <c r="U444">
        <v>1.6859796753932135E-2</v>
      </c>
      <c r="V444" t="s">
        <v>153</v>
      </c>
    </row>
    <row r="445" spans="9:22" x14ac:dyDescent="0.45">
      <c r="I445" t="s">
        <v>179</v>
      </c>
      <c r="J445" t="s">
        <v>155</v>
      </c>
      <c r="K445">
        <v>0.37110807318786493</v>
      </c>
      <c r="L445" t="s">
        <v>153</v>
      </c>
      <c r="N445" t="s">
        <v>222</v>
      </c>
      <c r="O445" t="s">
        <v>155</v>
      </c>
      <c r="P445">
        <v>0.1743095273503518</v>
      </c>
      <c r="Q445" t="s">
        <v>153</v>
      </c>
      <c r="S445" t="s">
        <v>264</v>
      </c>
      <c r="T445" t="s">
        <v>155</v>
      </c>
      <c r="U445">
        <v>0.15477277599524478</v>
      </c>
      <c r="V445" t="s">
        <v>153</v>
      </c>
    </row>
    <row r="446" spans="9:22" x14ac:dyDescent="0.45">
      <c r="I446" t="s">
        <v>179</v>
      </c>
      <c r="J446" t="s">
        <v>280</v>
      </c>
      <c r="K446">
        <v>3.0578130111228865E-2</v>
      </c>
      <c r="L446" t="s">
        <v>153</v>
      </c>
      <c r="N446" t="s">
        <v>222</v>
      </c>
      <c r="O446" t="s">
        <v>280</v>
      </c>
      <c r="P446">
        <v>2.7114748538464604E-2</v>
      </c>
      <c r="Q446" t="s">
        <v>153</v>
      </c>
      <c r="S446" t="s">
        <v>264</v>
      </c>
      <c r="T446" t="s">
        <v>280</v>
      </c>
      <c r="U446">
        <v>1.8851401791817608E-2</v>
      </c>
      <c r="V446" t="s">
        <v>153</v>
      </c>
    </row>
    <row r="447" spans="9:22" x14ac:dyDescent="0.45">
      <c r="I447" t="s">
        <v>179</v>
      </c>
      <c r="J447" t="s">
        <v>281</v>
      </c>
      <c r="K447">
        <v>1.736957750217644E-2</v>
      </c>
      <c r="L447" t="s">
        <v>153</v>
      </c>
      <c r="N447" t="s">
        <v>222</v>
      </c>
      <c r="O447" t="s">
        <v>281</v>
      </c>
      <c r="P447">
        <v>2.4745473531315558E-2</v>
      </c>
      <c r="Q447" t="s">
        <v>153</v>
      </c>
      <c r="S447" t="s">
        <v>264</v>
      </c>
      <c r="T447" t="s">
        <v>281</v>
      </c>
      <c r="U447">
        <v>1.8595284054606847E-2</v>
      </c>
      <c r="V447" t="s">
        <v>153</v>
      </c>
    </row>
    <row r="448" spans="9:22" x14ac:dyDescent="0.45">
      <c r="I448" t="s">
        <v>179</v>
      </c>
      <c r="J448" t="s">
        <v>282</v>
      </c>
      <c r="K448">
        <v>5.1806009877482006E-3</v>
      </c>
      <c r="L448" t="s">
        <v>153</v>
      </c>
      <c r="N448" t="s">
        <v>222</v>
      </c>
      <c r="O448" t="s">
        <v>282</v>
      </c>
      <c r="P448">
        <v>9.7991982469910477E-2</v>
      </c>
      <c r="Q448" t="s">
        <v>153</v>
      </c>
      <c r="S448" t="s">
        <v>264</v>
      </c>
      <c r="T448" t="s">
        <v>282</v>
      </c>
      <c r="U448">
        <v>8.8082543042984601E-2</v>
      </c>
      <c r="V448" t="s">
        <v>153</v>
      </c>
    </row>
    <row r="449" spans="9:22" x14ac:dyDescent="0.45">
      <c r="I449" t="s">
        <v>179</v>
      </c>
      <c r="J449" t="s">
        <v>156</v>
      </c>
      <c r="K449">
        <v>0</v>
      </c>
      <c r="L449" t="s">
        <v>153</v>
      </c>
      <c r="N449" t="s">
        <v>222</v>
      </c>
      <c r="O449" t="s">
        <v>156</v>
      </c>
      <c r="P449">
        <v>3.130051845573583E-2</v>
      </c>
      <c r="Q449" t="s">
        <v>153</v>
      </c>
      <c r="S449" t="s">
        <v>264</v>
      </c>
      <c r="T449" t="s">
        <v>156</v>
      </c>
      <c r="U449">
        <v>5.780266857811963E-2</v>
      </c>
      <c r="V449" t="s">
        <v>153</v>
      </c>
    </row>
    <row r="450" spans="9:22" x14ac:dyDescent="0.45">
      <c r="I450" t="s">
        <v>179</v>
      </c>
      <c r="J450" t="s">
        <v>157</v>
      </c>
      <c r="K450">
        <v>1.4649191722468464E-3</v>
      </c>
      <c r="L450" t="s">
        <v>153</v>
      </c>
      <c r="N450" t="s">
        <v>222</v>
      </c>
      <c r="O450" t="s">
        <v>157</v>
      </c>
      <c r="P450">
        <v>5.3041034462571607E-3</v>
      </c>
      <c r="Q450" t="s">
        <v>153</v>
      </c>
      <c r="S450" t="s">
        <v>264</v>
      </c>
      <c r="T450" t="s">
        <v>157</v>
      </c>
      <c r="U450">
        <v>8.2908280215312248E-3</v>
      </c>
      <c r="V450" t="s">
        <v>153</v>
      </c>
    </row>
    <row r="451" spans="9:22" x14ac:dyDescent="0.45">
      <c r="I451" t="s">
        <v>179</v>
      </c>
      <c r="J451" t="s">
        <v>158</v>
      </c>
      <c r="K451">
        <v>8.8554348178175077E-2</v>
      </c>
      <c r="L451" t="s">
        <v>153</v>
      </c>
      <c r="N451" t="s">
        <v>222</v>
      </c>
      <c r="O451" t="s">
        <v>158</v>
      </c>
      <c r="P451">
        <v>5.6754672625221048E-2</v>
      </c>
      <c r="Q451" t="s">
        <v>153</v>
      </c>
      <c r="S451" t="s">
        <v>264</v>
      </c>
      <c r="T451" t="s">
        <v>158</v>
      </c>
      <c r="U451">
        <v>7.0586647982910616E-2</v>
      </c>
      <c r="V451" t="s">
        <v>153</v>
      </c>
    </row>
    <row r="452" spans="9:22" x14ac:dyDescent="0.45">
      <c r="I452" t="s">
        <v>179</v>
      </c>
      <c r="J452" t="s">
        <v>283</v>
      </c>
      <c r="K452">
        <v>5.8140544704099366E-3</v>
      </c>
      <c r="L452" t="s">
        <v>153</v>
      </c>
      <c r="N452" t="s">
        <v>222</v>
      </c>
      <c r="O452" t="s">
        <v>283</v>
      </c>
      <c r="P452">
        <v>8.5802551102672955E-3</v>
      </c>
      <c r="Q452" t="s">
        <v>153</v>
      </c>
      <c r="S452" t="s">
        <v>264</v>
      </c>
      <c r="T452" t="s">
        <v>283</v>
      </c>
      <c r="U452">
        <v>7.724536216835302E-3</v>
      </c>
      <c r="V452" t="s">
        <v>153</v>
      </c>
    </row>
    <row r="453" spans="9:22" x14ac:dyDescent="0.45">
      <c r="I453" t="s">
        <v>179</v>
      </c>
      <c r="J453" t="s">
        <v>284</v>
      </c>
      <c r="K453">
        <v>0</v>
      </c>
      <c r="L453" t="s">
        <v>153</v>
      </c>
      <c r="N453" t="s">
        <v>222</v>
      </c>
      <c r="O453" t="s">
        <v>284</v>
      </c>
      <c r="P453">
        <v>7.2555519907114259E-3</v>
      </c>
      <c r="Q453" t="s">
        <v>153</v>
      </c>
      <c r="S453" t="s">
        <v>264</v>
      </c>
      <c r="T453" t="s">
        <v>284</v>
      </c>
      <c r="U453">
        <v>7.7698411980902946E-3</v>
      </c>
      <c r="V453" t="s">
        <v>153</v>
      </c>
    </row>
    <row r="454" spans="9:22" x14ac:dyDescent="0.45">
      <c r="I454" t="s">
        <v>179</v>
      </c>
      <c r="J454" t="s">
        <v>285</v>
      </c>
      <c r="K454">
        <v>0</v>
      </c>
      <c r="L454" t="s">
        <v>153</v>
      </c>
      <c r="N454" t="s">
        <v>222</v>
      </c>
      <c r="O454" t="s">
        <v>285</v>
      </c>
      <c r="P454">
        <v>2.6411391190588683E-2</v>
      </c>
      <c r="Q454" t="s">
        <v>153</v>
      </c>
      <c r="S454" t="s">
        <v>264</v>
      </c>
      <c r="T454" t="s">
        <v>285</v>
      </c>
      <c r="U454">
        <v>3.9495487677941733E-2</v>
      </c>
      <c r="V454" t="s">
        <v>153</v>
      </c>
    </row>
    <row r="455" spans="9:22" x14ac:dyDescent="0.45">
      <c r="I455" t="s">
        <v>179</v>
      </c>
      <c r="J455" t="s">
        <v>159</v>
      </c>
      <c r="K455">
        <v>1.1707999097480703E-2</v>
      </c>
      <c r="L455" t="s">
        <v>153</v>
      </c>
      <c r="N455" t="s">
        <v>222</v>
      </c>
      <c r="O455" t="s">
        <v>159</v>
      </c>
      <c r="P455">
        <v>7.7409932283683716E-2</v>
      </c>
      <c r="Q455" t="s">
        <v>153</v>
      </c>
      <c r="S455" t="s">
        <v>264</v>
      </c>
      <c r="T455" t="s">
        <v>159</v>
      </c>
      <c r="U455">
        <v>8.9929042167340698E-2</v>
      </c>
      <c r="V455" t="s">
        <v>153</v>
      </c>
    </row>
    <row r="456" spans="9:22" x14ac:dyDescent="0.45">
      <c r="I456" t="s">
        <v>179</v>
      </c>
      <c r="J456" t="s">
        <v>160</v>
      </c>
      <c r="K456">
        <v>2.0871269006636186E-2</v>
      </c>
      <c r="L456" t="s">
        <v>153</v>
      </c>
      <c r="N456" t="s">
        <v>222</v>
      </c>
      <c r="O456" t="s">
        <v>160</v>
      </c>
      <c r="P456">
        <v>1.126830598334758E-2</v>
      </c>
      <c r="Q456" t="s">
        <v>153</v>
      </c>
      <c r="S456" t="s">
        <v>264</v>
      </c>
      <c r="T456" t="s">
        <v>160</v>
      </c>
      <c r="U456">
        <v>1.2053040571109484E-2</v>
      </c>
      <c r="V456" t="s">
        <v>153</v>
      </c>
    </row>
    <row r="457" spans="9:22" x14ac:dyDescent="0.45">
      <c r="I457" t="s">
        <v>179</v>
      </c>
      <c r="J457" t="s">
        <v>161</v>
      </c>
      <c r="K457">
        <v>0.26228573888299622</v>
      </c>
      <c r="L457" t="s">
        <v>153</v>
      </c>
      <c r="N457" t="s">
        <v>222</v>
      </c>
      <c r="O457" t="s">
        <v>161</v>
      </c>
      <c r="P457">
        <v>0.15276560941367862</v>
      </c>
      <c r="Q457" t="s">
        <v>153</v>
      </c>
      <c r="S457" t="s">
        <v>264</v>
      </c>
      <c r="T457" t="s">
        <v>161</v>
      </c>
      <c r="U457">
        <v>0.11731742814054319</v>
      </c>
      <c r="V457" t="s">
        <v>153</v>
      </c>
    </row>
    <row r="458" spans="9:22" x14ac:dyDescent="0.45">
      <c r="I458" t="s">
        <v>179</v>
      </c>
      <c r="J458" t="s">
        <v>286</v>
      </c>
      <c r="K458">
        <v>2.1970670274606356E-2</v>
      </c>
      <c r="L458" t="s">
        <v>153</v>
      </c>
      <c r="N458" t="s">
        <v>222</v>
      </c>
      <c r="O458" t="s">
        <v>286</v>
      </c>
      <c r="P458">
        <v>2.3055824502453588E-2</v>
      </c>
      <c r="Q458" t="s">
        <v>153</v>
      </c>
      <c r="S458" t="s">
        <v>264</v>
      </c>
      <c r="T458" t="s">
        <v>286</v>
      </c>
      <c r="U458">
        <v>1.4212545689362144E-2</v>
      </c>
      <c r="V458" t="s">
        <v>153</v>
      </c>
    </row>
    <row r="459" spans="9:22" x14ac:dyDescent="0.45">
      <c r="I459" t="s">
        <v>179</v>
      </c>
      <c r="J459" t="s">
        <v>287</v>
      </c>
      <c r="K459">
        <v>9.6308476188604313E-3</v>
      </c>
      <c r="L459" t="s">
        <v>153</v>
      </c>
      <c r="N459" t="s">
        <v>222</v>
      </c>
      <c r="O459" t="s">
        <v>287</v>
      </c>
      <c r="P459">
        <v>2.0016891952482029E-2</v>
      </c>
      <c r="Q459" t="s">
        <v>153</v>
      </c>
      <c r="S459" t="s">
        <v>264</v>
      </c>
      <c r="T459" t="s">
        <v>287</v>
      </c>
      <c r="U459">
        <v>1.3963030586769086E-2</v>
      </c>
      <c r="V459" t="s">
        <v>153</v>
      </c>
    </row>
    <row r="460" spans="9:22" x14ac:dyDescent="0.45">
      <c r="I460" t="s">
        <v>179</v>
      </c>
      <c r="J460" t="s">
        <v>288</v>
      </c>
      <c r="K460">
        <v>0</v>
      </c>
      <c r="L460" t="s">
        <v>153</v>
      </c>
      <c r="N460" t="s">
        <v>222</v>
      </c>
      <c r="O460" t="s">
        <v>288</v>
      </c>
      <c r="P460">
        <v>7.3716012429943495E-2</v>
      </c>
      <c r="Q460" t="s">
        <v>153</v>
      </c>
      <c r="S460" t="s">
        <v>264</v>
      </c>
      <c r="T460" t="s">
        <v>288</v>
      </c>
      <c r="U460">
        <v>6.668047085211333E-2</v>
      </c>
      <c r="V460" t="s">
        <v>153</v>
      </c>
    </row>
    <row r="461" spans="9:22" x14ac:dyDescent="0.45">
      <c r="I461" t="s">
        <v>179</v>
      </c>
      <c r="J461" t="s">
        <v>294</v>
      </c>
      <c r="K461">
        <v>6.5775437950883935E-3</v>
      </c>
      <c r="L461" t="s">
        <v>153</v>
      </c>
      <c r="N461" t="s">
        <v>222</v>
      </c>
      <c r="O461" t="s">
        <v>294</v>
      </c>
      <c r="P461">
        <v>1.2997842322414565E-2</v>
      </c>
      <c r="Q461" t="s">
        <v>153</v>
      </c>
      <c r="S461" t="s">
        <v>264</v>
      </c>
      <c r="T461" t="s">
        <v>294</v>
      </c>
      <c r="U461">
        <v>2.019190805975413E-2</v>
      </c>
      <c r="V461" t="s">
        <v>153</v>
      </c>
    </row>
    <row r="462" spans="9:22" x14ac:dyDescent="0.45">
      <c r="I462" t="s">
        <v>179</v>
      </c>
      <c r="J462" t="s">
        <v>295</v>
      </c>
      <c r="K462">
        <v>7.5625584205612304E-3</v>
      </c>
      <c r="L462" t="s">
        <v>153</v>
      </c>
      <c r="N462" t="s">
        <v>222</v>
      </c>
      <c r="O462" t="s">
        <v>295</v>
      </c>
      <c r="P462">
        <v>1.5610160347718307E-3</v>
      </c>
      <c r="Q462" t="s">
        <v>153</v>
      </c>
      <c r="S462" t="s">
        <v>264</v>
      </c>
      <c r="T462" t="s">
        <v>295</v>
      </c>
      <c r="U462">
        <v>2.8451657516738544E-3</v>
      </c>
      <c r="V462" t="s">
        <v>153</v>
      </c>
    </row>
    <row r="463" spans="9:22" x14ac:dyDescent="0.45">
      <c r="I463" t="s">
        <v>179</v>
      </c>
      <c r="J463" t="s">
        <v>296</v>
      </c>
      <c r="K463">
        <v>8.8518147690659271E-2</v>
      </c>
      <c r="L463" t="s">
        <v>153</v>
      </c>
      <c r="N463" t="s">
        <v>222</v>
      </c>
      <c r="O463" t="s">
        <v>296</v>
      </c>
      <c r="P463">
        <v>2.6422075947765401E-2</v>
      </c>
      <c r="Q463" t="s">
        <v>153</v>
      </c>
      <c r="S463" t="s">
        <v>264</v>
      </c>
      <c r="T463" t="s">
        <v>296</v>
      </c>
      <c r="U463">
        <v>2.9527599225925988E-2</v>
      </c>
      <c r="V463" t="s">
        <v>153</v>
      </c>
    </row>
    <row r="464" spans="9:22" x14ac:dyDescent="0.45">
      <c r="I464" t="s">
        <v>179</v>
      </c>
      <c r="J464" t="s">
        <v>297</v>
      </c>
      <c r="K464">
        <v>7.6772709025492696E-3</v>
      </c>
      <c r="L464" t="s">
        <v>153</v>
      </c>
      <c r="N464" t="s">
        <v>222</v>
      </c>
      <c r="O464" t="s">
        <v>297</v>
      </c>
      <c r="P464">
        <v>4.1165908884872567E-3</v>
      </c>
      <c r="Q464" t="s">
        <v>153</v>
      </c>
      <c r="S464" t="s">
        <v>264</v>
      </c>
      <c r="T464" t="s">
        <v>297</v>
      </c>
      <c r="U464">
        <v>3.5476967849846471E-3</v>
      </c>
      <c r="V464" t="s">
        <v>153</v>
      </c>
    </row>
    <row r="465" spans="9:22" x14ac:dyDescent="0.45">
      <c r="I465" t="s">
        <v>179</v>
      </c>
      <c r="J465" t="s">
        <v>298</v>
      </c>
      <c r="K465">
        <v>5.9702626169751104E-3</v>
      </c>
      <c r="L465" t="s">
        <v>153</v>
      </c>
      <c r="N465" t="s">
        <v>222</v>
      </c>
      <c r="O465" t="s">
        <v>298</v>
      </c>
      <c r="P465">
        <v>3.8171110046514821E-3</v>
      </c>
      <c r="Q465" t="s">
        <v>153</v>
      </c>
      <c r="S465" t="s">
        <v>264</v>
      </c>
      <c r="T465" t="s">
        <v>298</v>
      </c>
      <c r="U465">
        <v>3.4870870916856099E-3</v>
      </c>
      <c r="V465" t="s">
        <v>153</v>
      </c>
    </row>
    <row r="466" spans="9:22" x14ac:dyDescent="0.45">
      <c r="I466" t="s">
        <v>179</v>
      </c>
      <c r="J466" t="s">
        <v>299</v>
      </c>
      <c r="K466">
        <v>2.8330684019977769E-3</v>
      </c>
      <c r="L466" t="s">
        <v>153</v>
      </c>
      <c r="N466" t="s">
        <v>222</v>
      </c>
      <c r="O466" t="s">
        <v>299</v>
      </c>
      <c r="P466">
        <v>1.4030615413231411E-2</v>
      </c>
      <c r="Q466" t="s">
        <v>153</v>
      </c>
      <c r="S466" t="s">
        <v>264</v>
      </c>
      <c r="T466" t="s">
        <v>299</v>
      </c>
      <c r="U466">
        <v>1.628044192905042E-2</v>
      </c>
      <c r="V466" t="s">
        <v>153</v>
      </c>
    </row>
    <row r="467" spans="9:22" x14ac:dyDescent="0.45">
      <c r="I467" t="s">
        <v>180</v>
      </c>
      <c r="J467" t="s">
        <v>152</v>
      </c>
      <c r="K467">
        <v>1.1168170552760264E-2</v>
      </c>
      <c r="L467" t="s">
        <v>153</v>
      </c>
      <c r="N467" t="s">
        <v>223</v>
      </c>
      <c r="O467" t="s">
        <v>152</v>
      </c>
      <c r="P467">
        <v>0.13531897066885124</v>
      </c>
      <c r="Q467" t="s">
        <v>153</v>
      </c>
      <c r="S467" t="s">
        <v>265</v>
      </c>
      <c r="T467" t="s">
        <v>152</v>
      </c>
      <c r="U467">
        <v>0.11211265400066105</v>
      </c>
      <c r="V467" t="s">
        <v>153</v>
      </c>
    </row>
    <row r="468" spans="9:22" x14ac:dyDescent="0.45">
      <c r="I468" t="s">
        <v>180</v>
      </c>
      <c r="J468" t="s">
        <v>154</v>
      </c>
      <c r="K468">
        <v>2.7127471550447257E-2</v>
      </c>
      <c r="L468" t="s">
        <v>153</v>
      </c>
      <c r="N468" t="s">
        <v>223</v>
      </c>
      <c r="O468" t="s">
        <v>154</v>
      </c>
      <c r="P468">
        <v>1.5936975129809915E-2</v>
      </c>
      <c r="Q468" t="s">
        <v>153</v>
      </c>
      <c r="S468" t="s">
        <v>265</v>
      </c>
      <c r="T468" t="s">
        <v>154</v>
      </c>
      <c r="U468">
        <v>1.5920879560161385E-2</v>
      </c>
      <c r="V468" t="s">
        <v>153</v>
      </c>
    </row>
    <row r="469" spans="9:22" x14ac:dyDescent="0.45">
      <c r="I469" t="s">
        <v>180</v>
      </c>
      <c r="J469" t="s">
        <v>155</v>
      </c>
      <c r="K469">
        <v>0.37090939248799459</v>
      </c>
      <c r="L469" t="s">
        <v>153</v>
      </c>
      <c r="N469" t="s">
        <v>223</v>
      </c>
      <c r="O469" t="s">
        <v>155</v>
      </c>
      <c r="P469">
        <v>0.12397859374395222</v>
      </c>
      <c r="Q469" t="s">
        <v>153</v>
      </c>
      <c r="S469" t="s">
        <v>265</v>
      </c>
      <c r="T469" t="s">
        <v>155</v>
      </c>
      <c r="U469">
        <v>0.1700256627159685</v>
      </c>
      <c r="V469" t="s">
        <v>153</v>
      </c>
    </row>
    <row r="470" spans="9:22" x14ac:dyDescent="0.45">
      <c r="I470" t="s">
        <v>180</v>
      </c>
      <c r="J470" t="s">
        <v>280</v>
      </c>
      <c r="K470">
        <v>2.8034133828378383E-2</v>
      </c>
      <c r="L470" t="s">
        <v>153</v>
      </c>
      <c r="N470" t="s">
        <v>223</v>
      </c>
      <c r="O470" t="s">
        <v>280</v>
      </c>
      <c r="P470">
        <v>1.5419557326019094E-2</v>
      </c>
      <c r="Q470" t="s">
        <v>153</v>
      </c>
      <c r="S470" t="s">
        <v>265</v>
      </c>
      <c r="T470" t="s">
        <v>280</v>
      </c>
      <c r="U470">
        <v>1.9943809932668349E-2</v>
      </c>
      <c r="V470" t="s">
        <v>153</v>
      </c>
    </row>
    <row r="471" spans="9:22" x14ac:dyDescent="0.45">
      <c r="I471" t="s">
        <v>180</v>
      </c>
      <c r="J471" t="s">
        <v>281</v>
      </c>
      <c r="K471">
        <v>1.5855555271432883E-2</v>
      </c>
      <c r="L471" t="s">
        <v>153</v>
      </c>
      <c r="N471" t="s">
        <v>223</v>
      </c>
      <c r="O471" t="s">
        <v>281</v>
      </c>
      <c r="P471">
        <v>1.8600437699306086E-2</v>
      </c>
      <c r="Q471" t="s">
        <v>153</v>
      </c>
      <c r="S471" t="s">
        <v>265</v>
      </c>
      <c r="T471" t="s">
        <v>281</v>
      </c>
      <c r="U471">
        <v>1.8949224803921503E-2</v>
      </c>
      <c r="V471" t="s">
        <v>153</v>
      </c>
    </row>
    <row r="472" spans="9:22" x14ac:dyDescent="0.45">
      <c r="I472" t="s">
        <v>180</v>
      </c>
      <c r="J472" t="s">
        <v>282</v>
      </c>
      <c r="K472">
        <v>2.9483284661616215E-3</v>
      </c>
      <c r="L472" t="s">
        <v>153</v>
      </c>
      <c r="N472" t="s">
        <v>223</v>
      </c>
      <c r="O472" t="s">
        <v>282</v>
      </c>
      <c r="P472">
        <v>0.11951296606336927</v>
      </c>
      <c r="Q472" t="s">
        <v>153</v>
      </c>
      <c r="S472" t="s">
        <v>265</v>
      </c>
      <c r="T472" t="s">
        <v>282</v>
      </c>
      <c r="U472">
        <v>8.8134125464571736E-2</v>
      </c>
      <c r="V472" t="s">
        <v>153</v>
      </c>
    </row>
    <row r="473" spans="9:22" x14ac:dyDescent="0.45">
      <c r="I473" t="s">
        <v>180</v>
      </c>
      <c r="J473" t="s">
        <v>156</v>
      </c>
      <c r="K473">
        <v>0</v>
      </c>
      <c r="L473" t="s">
        <v>153</v>
      </c>
      <c r="N473" t="s">
        <v>223</v>
      </c>
      <c r="O473" t="s">
        <v>156</v>
      </c>
      <c r="P473">
        <v>3.9271689966872282E-2</v>
      </c>
      <c r="Q473" t="s">
        <v>153</v>
      </c>
      <c r="S473" t="s">
        <v>265</v>
      </c>
      <c r="T473" t="s">
        <v>156</v>
      </c>
      <c r="U473">
        <v>5.657507953012568E-2</v>
      </c>
      <c r="V473" t="s">
        <v>153</v>
      </c>
    </row>
    <row r="474" spans="9:22" x14ac:dyDescent="0.45">
      <c r="I474" t="s">
        <v>180</v>
      </c>
      <c r="J474" t="s">
        <v>157</v>
      </c>
      <c r="K474">
        <v>2.7440104711901115E-3</v>
      </c>
      <c r="L474" t="s">
        <v>153</v>
      </c>
      <c r="N474" t="s">
        <v>223</v>
      </c>
      <c r="O474" t="s">
        <v>157</v>
      </c>
      <c r="P474">
        <v>5.4328072668777391E-3</v>
      </c>
      <c r="Q474" t="s">
        <v>153</v>
      </c>
      <c r="S474" t="s">
        <v>265</v>
      </c>
      <c r="T474" t="s">
        <v>157</v>
      </c>
      <c r="U474">
        <v>7.6779611292684099E-3</v>
      </c>
      <c r="V474" t="s">
        <v>153</v>
      </c>
    </row>
    <row r="475" spans="9:22" x14ac:dyDescent="0.45">
      <c r="I475" t="s">
        <v>180</v>
      </c>
      <c r="J475" t="s">
        <v>158</v>
      </c>
      <c r="K475">
        <v>9.0682036873100988E-2</v>
      </c>
      <c r="L475" t="s">
        <v>153</v>
      </c>
      <c r="N475" t="s">
        <v>223</v>
      </c>
      <c r="O475" t="s">
        <v>158</v>
      </c>
      <c r="P475">
        <v>4.3496304687777466E-2</v>
      </c>
      <c r="Q475" t="s">
        <v>153</v>
      </c>
      <c r="S475" t="s">
        <v>265</v>
      </c>
      <c r="T475" t="s">
        <v>158</v>
      </c>
      <c r="U475">
        <v>7.1759309991825573E-2</v>
      </c>
      <c r="V475" t="s">
        <v>153</v>
      </c>
    </row>
    <row r="476" spans="9:22" x14ac:dyDescent="0.45">
      <c r="I476" t="s">
        <v>180</v>
      </c>
      <c r="J476" t="s">
        <v>283</v>
      </c>
      <c r="K476">
        <v>4.4400038149331458E-3</v>
      </c>
      <c r="L476" t="s">
        <v>153</v>
      </c>
      <c r="N476" t="s">
        <v>223</v>
      </c>
      <c r="O476" t="s">
        <v>283</v>
      </c>
      <c r="P476">
        <v>4.49778487445689E-3</v>
      </c>
      <c r="Q476" t="s">
        <v>153</v>
      </c>
      <c r="S476" t="s">
        <v>265</v>
      </c>
      <c r="T476" t="s">
        <v>283</v>
      </c>
      <c r="U476">
        <v>8.0569475923424182E-3</v>
      </c>
      <c r="V476" t="s">
        <v>153</v>
      </c>
    </row>
    <row r="477" spans="9:22" x14ac:dyDescent="0.45">
      <c r="I477" t="s">
        <v>180</v>
      </c>
      <c r="J477" t="s">
        <v>284</v>
      </c>
      <c r="K477">
        <v>0</v>
      </c>
      <c r="L477" t="s">
        <v>153</v>
      </c>
      <c r="N477" t="s">
        <v>223</v>
      </c>
      <c r="O477" t="s">
        <v>284</v>
      </c>
      <c r="P477">
        <v>5.6301821757933071E-3</v>
      </c>
      <c r="Q477" t="s">
        <v>153</v>
      </c>
      <c r="S477" t="s">
        <v>265</v>
      </c>
      <c r="T477" t="s">
        <v>284</v>
      </c>
      <c r="U477">
        <v>8.0080519674690567E-3</v>
      </c>
      <c r="V477" t="s">
        <v>153</v>
      </c>
    </row>
    <row r="478" spans="9:22" x14ac:dyDescent="0.45">
      <c r="I478" t="s">
        <v>180</v>
      </c>
      <c r="J478" t="s">
        <v>285</v>
      </c>
      <c r="K478">
        <v>0</v>
      </c>
      <c r="L478" t="s">
        <v>153</v>
      </c>
      <c r="N478" t="s">
        <v>223</v>
      </c>
      <c r="O478" t="s">
        <v>285</v>
      </c>
      <c r="P478">
        <v>3.1822023503884335E-2</v>
      </c>
      <c r="Q478" t="s">
        <v>153</v>
      </c>
      <c r="S478" t="s">
        <v>265</v>
      </c>
      <c r="T478" t="s">
        <v>285</v>
      </c>
      <c r="U478">
        <v>4.2115792484773942E-2</v>
      </c>
      <c r="V478" t="s">
        <v>153</v>
      </c>
    </row>
    <row r="479" spans="9:22" x14ac:dyDescent="0.45">
      <c r="I479" t="s">
        <v>180</v>
      </c>
      <c r="J479" t="s">
        <v>159</v>
      </c>
      <c r="K479">
        <v>1.4770164884544919E-2</v>
      </c>
      <c r="L479" t="s">
        <v>153</v>
      </c>
      <c r="N479" t="s">
        <v>223</v>
      </c>
      <c r="O479" t="s">
        <v>159</v>
      </c>
      <c r="P479">
        <v>0.10572393078508337</v>
      </c>
      <c r="Q479" t="s">
        <v>153</v>
      </c>
      <c r="S479" t="s">
        <v>265</v>
      </c>
      <c r="T479" t="s">
        <v>159</v>
      </c>
      <c r="U479">
        <v>8.1612139223037061E-2</v>
      </c>
      <c r="V479" t="s">
        <v>153</v>
      </c>
    </row>
    <row r="480" spans="9:22" x14ac:dyDescent="0.45">
      <c r="I480" t="s">
        <v>180</v>
      </c>
      <c r="J480" t="s">
        <v>160</v>
      </c>
      <c r="K480">
        <v>2.1903973849233083E-2</v>
      </c>
      <c r="L480" t="s">
        <v>153</v>
      </c>
      <c r="N480" t="s">
        <v>223</v>
      </c>
      <c r="O480" t="s">
        <v>160</v>
      </c>
      <c r="P480">
        <v>1.3879852032067931E-2</v>
      </c>
      <c r="Q480" t="s">
        <v>153</v>
      </c>
      <c r="S480" t="s">
        <v>265</v>
      </c>
      <c r="T480" t="s">
        <v>160</v>
      </c>
      <c r="U480">
        <v>1.1108249298863043E-2</v>
      </c>
      <c r="V480" t="s">
        <v>153</v>
      </c>
    </row>
    <row r="481" spans="9:22" x14ac:dyDescent="0.45">
      <c r="I481" t="s">
        <v>180</v>
      </c>
      <c r="J481" t="s">
        <v>161</v>
      </c>
      <c r="K481">
        <v>0.26503129139798981</v>
      </c>
      <c r="L481" t="s">
        <v>153</v>
      </c>
      <c r="N481" t="s">
        <v>223</v>
      </c>
      <c r="O481" t="s">
        <v>161</v>
      </c>
      <c r="P481">
        <v>0.10405629551775833</v>
      </c>
      <c r="Q481" t="s">
        <v>153</v>
      </c>
      <c r="S481" t="s">
        <v>265</v>
      </c>
      <c r="T481" t="s">
        <v>161</v>
      </c>
      <c r="U481">
        <v>0.12029607616548471</v>
      </c>
      <c r="V481" t="s">
        <v>153</v>
      </c>
    </row>
    <row r="482" spans="9:22" x14ac:dyDescent="0.45">
      <c r="I482" t="s">
        <v>180</v>
      </c>
      <c r="J482" t="s">
        <v>286</v>
      </c>
      <c r="K482">
        <v>2.0948349038943367E-2</v>
      </c>
      <c r="L482" t="s">
        <v>153</v>
      </c>
      <c r="N482" t="s">
        <v>223</v>
      </c>
      <c r="O482" t="s">
        <v>286</v>
      </c>
      <c r="P482">
        <v>1.387136651861761E-2</v>
      </c>
      <c r="Q482" t="s">
        <v>153</v>
      </c>
      <c r="S482" t="s">
        <v>265</v>
      </c>
      <c r="T482" t="s">
        <v>286</v>
      </c>
      <c r="U482">
        <v>1.3938065613938733E-2</v>
      </c>
      <c r="V482" t="s">
        <v>153</v>
      </c>
    </row>
    <row r="483" spans="9:22" x14ac:dyDescent="0.45">
      <c r="I483" t="s">
        <v>180</v>
      </c>
      <c r="J483" t="s">
        <v>287</v>
      </c>
      <c r="K483">
        <v>7.5152672296997704E-3</v>
      </c>
      <c r="L483" t="s">
        <v>153</v>
      </c>
      <c r="N483" t="s">
        <v>223</v>
      </c>
      <c r="O483" t="s">
        <v>287</v>
      </c>
      <c r="P483">
        <v>1.7073970428172183E-2</v>
      </c>
      <c r="Q483" t="s">
        <v>153</v>
      </c>
      <c r="S483" t="s">
        <v>265</v>
      </c>
      <c r="T483" t="s">
        <v>287</v>
      </c>
      <c r="U483">
        <v>1.3260925321261415E-2</v>
      </c>
      <c r="V483" t="s">
        <v>153</v>
      </c>
    </row>
    <row r="484" spans="9:22" x14ac:dyDescent="0.45">
      <c r="I484" t="s">
        <v>180</v>
      </c>
      <c r="J484" t="s">
        <v>288</v>
      </c>
      <c r="K484">
        <v>0</v>
      </c>
      <c r="L484" t="s">
        <v>153</v>
      </c>
      <c r="N484" t="s">
        <v>223</v>
      </c>
      <c r="O484" t="s">
        <v>288</v>
      </c>
      <c r="P484">
        <v>0.10748999287020329</v>
      </c>
      <c r="Q484" t="s">
        <v>153</v>
      </c>
      <c r="S484" t="s">
        <v>265</v>
      </c>
      <c r="T484" t="s">
        <v>288</v>
      </c>
      <c r="U484">
        <v>6.2347521685422722E-2</v>
      </c>
      <c r="V484" t="s">
        <v>153</v>
      </c>
    </row>
    <row r="485" spans="9:22" x14ac:dyDescent="0.45">
      <c r="I485" t="s">
        <v>180</v>
      </c>
      <c r="J485" t="s">
        <v>294</v>
      </c>
      <c r="K485">
        <v>8.4267397057659465E-3</v>
      </c>
      <c r="L485" t="s">
        <v>153</v>
      </c>
      <c r="N485" t="s">
        <v>223</v>
      </c>
      <c r="O485" t="s">
        <v>294</v>
      </c>
      <c r="P485">
        <v>2.3365427680681294E-2</v>
      </c>
      <c r="Q485" t="s">
        <v>153</v>
      </c>
      <c r="S485" t="s">
        <v>265</v>
      </c>
      <c r="T485" t="s">
        <v>294</v>
      </c>
      <c r="U485">
        <v>1.8325151993490461E-2</v>
      </c>
      <c r="V485" t="s">
        <v>153</v>
      </c>
    </row>
    <row r="486" spans="9:22" x14ac:dyDescent="0.45">
      <c r="I486" t="s">
        <v>180</v>
      </c>
      <c r="J486" t="s">
        <v>295</v>
      </c>
      <c r="K486">
        <v>7.921641172434303E-3</v>
      </c>
      <c r="L486" t="s">
        <v>153</v>
      </c>
      <c r="N486" t="s">
        <v>223</v>
      </c>
      <c r="O486" t="s">
        <v>295</v>
      </c>
      <c r="P486">
        <v>2.9993751949883253E-3</v>
      </c>
      <c r="Q486" t="s">
        <v>153</v>
      </c>
      <c r="S486" t="s">
        <v>265</v>
      </c>
      <c r="T486" t="s">
        <v>295</v>
      </c>
      <c r="U486">
        <v>2.4490301104268136E-3</v>
      </c>
      <c r="V486" t="s">
        <v>153</v>
      </c>
    </row>
    <row r="487" spans="9:22" x14ac:dyDescent="0.45">
      <c r="I487" t="s">
        <v>180</v>
      </c>
      <c r="J487" t="s">
        <v>296</v>
      </c>
      <c r="K487">
        <v>8.668037583296509E-2</v>
      </c>
      <c r="L487" t="s">
        <v>153</v>
      </c>
      <c r="N487" t="s">
        <v>223</v>
      </c>
      <c r="O487" t="s">
        <v>296</v>
      </c>
      <c r="P487">
        <v>2.4888978764810204E-2</v>
      </c>
      <c r="Q487" t="s">
        <v>153</v>
      </c>
      <c r="S487" t="s">
        <v>265</v>
      </c>
      <c r="T487" t="s">
        <v>296</v>
      </c>
      <c r="U487">
        <v>3.3403081624163729E-2</v>
      </c>
      <c r="V487" t="s">
        <v>153</v>
      </c>
    </row>
    <row r="488" spans="9:22" x14ac:dyDescent="0.45">
      <c r="I488" t="s">
        <v>180</v>
      </c>
      <c r="J488" t="s">
        <v>297</v>
      </c>
      <c r="K488">
        <v>6.9987206884178244E-3</v>
      </c>
      <c r="L488" t="s">
        <v>153</v>
      </c>
      <c r="N488" t="s">
        <v>223</v>
      </c>
      <c r="O488" t="s">
        <v>297</v>
      </c>
      <c r="P488">
        <v>3.426421313024979E-3</v>
      </c>
      <c r="Q488" t="s">
        <v>153</v>
      </c>
      <c r="S488" t="s">
        <v>265</v>
      </c>
      <c r="T488" t="s">
        <v>297</v>
      </c>
      <c r="U488">
        <v>4.1020481111210374E-3</v>
      </c>
      <c r="V488" t="s">
        <v>153</v>
      </c>
    </row>
    <row r="489" spans="9:22" x14ac:dyDescent="0.45">
      <c r="I489" t="s">
        <v>180</v>
      </c>
      <c r="J489" t="s">
        <v>298</v>
      </c>
      <c r="K489">
        <v>5.166781379020071E-3</v>
      </c>
      <c r="L489" t="s">
        <v>153</v>
      </c>
      <c r="N489" t="s">
        <v>223</v>
      </c>
      <c r="O489" t="s">
        <v>298</v>
      </c>
      <c r="P489">
        <v>3.6962343167915115E-3</v>
      </c>
      <c r="Q489" t="s">
        <v>153</v>
      </c>
      <c r="S489" t="s">
        <v>265</v>
      </c>
      <c r="T489" t="s">
        <v>298</v>
      </c>
      <c r="U489">
        <v>3.7534297841764429E-3</v>
      </c>
      <c r="V489" t="s">
        <v>153</v>
      </c>
    </row>
    <row r="490" spans="9:22" x14ac:dyDescent="0.45">
      <c r="I490" t="s">
        <v>180</v>
      </c>
      <c r="J490" t="s">
        <v>299</v>
      </c>
      <c r="K490">
        <v>7.2759150458614758E-4</v>
      </c>
      <c r="L490" t="s">
        <v>153</v>
      </c>
      <c r="N490" t="s">
        <v>223</v>
      </c>
      <c r="O490" t="s">
        <v>299</v>
      </c>
      <c r="P490">
        <v>2.0609861470833036E-2</v>
      </c>
      <c r="Q490" t="s">
        <v>153</v>
      </c>
      <c r="S490" t="s">
        <v>265</v>
      </c>
      <c r="T490" t="s">
        <v>299</v>
      </c>
      <c r="U490">
        <v>1.612478189485873E-2</v>
      </c>
      <c r="V490" t="s">
        <v>153</v>
      </c>
    </row>
    <row r="491" spans="9:22" x14ac:dyDescent="0.45">
      <c r="I491" t="s">
        <v>181</v>
      </c>
      <c r="J491" t="s">
        <v>152</v>
      </c>
      <c r="K491">
        <v>1.018004918464714E-2</v>
      </c>
      <c r="L491" t="s">
        <v>153</v>
      </c>
      <c r="N491" t="s">
        <v>224</v>
      </c>
      <c r="O491" t="s">
        <v>152</v>
      </c>
      <c r="P491">
        <v>0.13287963873918407</v>
      </c>
      <c r="Q491" t="s">
        <v>153</v>
      </c>
    </row>
    <row r="492" spans="9:22" x14ac:dyDescent="0.45">
      <c r="I492" t="s">
        <v>181</v>
      </c>
      <c r="J492" t="s">
        <v>154</v>
      </c>
      <c r="K492">
        <v>2.7609233499891365E-2</v>
      </c>
      <c r="L492" t="s">
        <v>153</v>
      </c>
      <c r="N492" t="s">
        <v>224</v>
      </c>
      <c r="O492" t="s">
        <v>154</v>
      </c>
      <c r="P492">
        <v>1.6250987377148998E-2</v>
      </c>
      <c r="Q492" t="s">
        <v>153</v>
      </c>
    </row>
    <row r="493" spans="9:22" x14ac:dyDescent="0.45">
      <c r="I493" t="s">
        <v>181</v>
      </c>
      <c r="J493" t="s">
        <v>155</v>
      </c>
      <c r="K493">
        <v>0.37020846699182158</v>
      </c>
      <c r="L493" t="s">
        <v>153</v>
      </c>
      <c r="N493" t="s">
        <v>224</v>
      </c>
      <c r="O493" t="s">
        <v>155</v>
      </c>
      <c r="P493">
        <v>0.13032967975014165</v>
      </c>
      <c r="Q493" t="s">
        <v>153</v>
      </c>
    </row>
    <row r="494" spans="9:22" x14ac:dyDescent="0.45">
      <c r="I494" t="s">
        <v>181</v>
      </c>
      <c r="J494" t="s">
        <v>280</v>
      </c>
      <c r="K494">
        <v>2.9629042948502698E-2</v>
      </c>
      <c r="L494" t="s">
        <v>153</v>
      </c>
      <c r="N494" t="s">
        <v>224</v>
      </c>
      <c r="O494" t="s">
        <v>280</v>
      </c>
      <c r="P494">
        <v>1.8129065440935874E-2</v>
      </c>
      <c r="Q494" t="s">
        <v>153</v>
      </c>
    </row>
    <row r="495" spans="9:22" x14ac:dyDescent="0.45">
      <c r="I495" t="s">
        <v>181</v>
      </c>
      <c r="J495" t="s">
        <v>281</v>
      </c>
      <c r="K495">
        <v>1.6808649694848202E-2</v>
      </c>
      <c r="L495" t="s">
        <v>153</v>
      </c>
      <c r="N495" t="s">
        <v>224</v>
      </c>
      <c r="O495" t="s">
        <v>281</v>
      </c>
      <c r="P495">
        <v>2.1803284378895779E-2</v>
      </c>
      <c r="Q495" t="s">
        <v>153</v>
      </c>
    </row>
    <row r="496" spans="9:22" x14ac:dyDescent="0.45">
      <c r="I496" t="s">
        <v>181</v>
      </c>
      <c r="J496" t="s">
        <v>282</v>
      </c>
      <c r="K496">
        <v>4.2445442524568864E-3</v>
      </c>
      <c r="L496" t="s">
        <v>153</v>
      </c>
      <c r="N496" t="s">
        <v>224</v>
      </c>
      <c r="O496" t="s">
        <v>282</v>
      </c>
      <c r="P496">
        <v>0.12753276594402807</v>
      </c>
      <c r="Q496" t="s">
        <v>153</v>
      </c>
    </row>
    <row r="497" spans="9:17" x14ac:dyDescent="0.45">
      <c r="I497" t="s">
        <v>181</v>
      </c>
      <c r="J497" t="s">
        <v>156</v>
      </c>
      <c r="K497">
        <v>0</v>
      </c>
      <c r="L497" t="s">
        <v>153</v>
      </c>
      <c r="N497" t="s">
        <v>224</v>
      </c>
      <c r="O497" t="s">
        <v>156</v>
      </c>
      <c r="P497">
        <v>4.9069742684906548E-2</v>
      </c>
      <c r="Q497" t="s">
        <v>153</v>
      </c>
    </row>
    <row r="498" spans="9:17" x14ac:dyDescent="0.45">
      <c r="I498" t="s">
        <v>181</v>
      </c>
      <c r="J498" t="s">
        <v>157</v>
      </c>
      <c r="K498">
        <v>2.2023845651979682E-3</v>
      </c>
      <c r="L498" t="s">
        <v>153</v>
      </c>
      <c r="N498" t="s">
        <v>224</v>
      </c>
      <c r="O498" t="s">
        <v>157</v>
      </c>
      <c r="P498">
        <v>6.1668805608020147E-3</v>
      </c>
      <c r="Q498" t="s">
        <v>153</v>
      </c>
    </row>
    <row r="499" spans="9:17" x14ac:dyDescent="0.45">
      <c r="I499" t="s">
        <v>181</v>
      </c>
      <c r="J499" t="s">
        <v>158</v>
      </c>
      <c r="K499">
        <v>9.173546931367553E-2</v>
      </c>
      <c r="L499" t="s">
        <v>153</v>
      </c>
      <c r="N499" t="s">
        <v>224</v>
      </c>
      <c r="O499" t="s">
        <v>158</v>
      </c>
      <c r="P499">
        <v>3.6434623700714555E-2</v>
      </c>
      <c r="Q499" t="s">
        <v>153</v>
      </c>
    </row>
    <row r="500" spans="9:17" x14ac:dyDescent="0.45">
      <c r="I500" t="s">
        <v>181</v>
      </c>
      <c r="J500" t="s">
        <v>283</v>
      </c>
      <c r="K500">
        <v>5.8351808204569113E-3</v>
      </c>
      <c r="L500" t="s">
        <v>153</v>
      </c>
      <c r="N500" t="s">
        <v>224</v>
      </c>
      <c r="O500" t="s">
        <v>283</v>
      </c>
      <c r="P500">
        <v>5.2336388895944568E-3</v>
      </c>
      <c r="Q500" t="s">
        <v>153</v>
      </c>
    </row>
    <row r="501" spans="9:17" x14ac:dyDescent="0.45">
      <c r="I501" t="s">
        <v>181</v>
      </c>
      <c r="J501" t="s">
        <v>284</v>
      </c>
      <c r="K501">
        <v>0</v>
      </c>
      <c r="L501" t="s">
        <v>153</v>
      </c>
      <c r="N501" t="s">
        <v>224</v>
      </c>
      <c r="O501" t="s">
        <v>284</v>
      </c>
      <c r="P501">
        <v>7.4273443859089556E-3</v>
      </c>
      <c r="Q501" t="s">
        <v>153</v>
      </c>
    </row>
    <row r="502" spans="9:17" x14ac:dyDescent="0.45">
      <c r="I502" t="s">
        <v>181</v>
      </c>
      <c r="J502" t="s">
        <v>285</v>
      </c>
      <c r="K502">
        <v>0</v>
      </c>
      <c r="L502" t="s">
        <v>153</v>
      </c>
      <c r="N502" t="s">
        <v>224</v>
      </c>
      <c r="O502" t="s">
        <v>285</v>
      </c>
      <c r="P502">
        <v>4.4238799752684972E-2</v>
      </c>
      <c r="Q502" t="s">
        <v>153</v>
      </c>
    </row>
    <row r="503" spans="9:17" x14ac:dyDescent="0.45">
      <c r="I503" t="s">
        <v>181</v>
      </c>
      <c r="J503" t="s">
        <v>159</v>
      </c>
      <c r="K503">
        <v>1.3303676217530777E-2</v>
      </c>
      <c r="L503" t="s">
        <v>153</v>
      </c>
      <c r="N503" t="s">
        <v>224</v>
      </c>
      <c r="O503" t="s">
        <v>159</v>
      </c>
      <c r="P503">
        <v>9.8527354673434347E-2</v>
      </c>
      <c r="Q503" t="s">
        <v>153</v>
      </c>
    </row>
    <row r="504" spans="9:17" x14ac:dyDescent="0.45">
      <c r="I504" t="s">
        <v>181</v>
      </c>
      <c r="J504" t="s">
        <v>160</v>
      </c>
      <c r="K504">
        <v>2.2308081533604331E-2</v>
      </c>
      <c r="L504" t="s">
        <v>153</v>
      </c>
      <c r="N504" t="s">
        <v>224</v>
      </c>
      <c r="O504" t="s">
        <v>160</v>
      </c>
      <c r="P504">
        <v>1.2797472112521587E-2</v>
      </c>
      <c r="Q504" t="s">
        <v>153</v>
      </c>
    </row>
    <row r="505" spans="9:17" x14ac:dyDescent="0.45">
      <c r="I505" t="s">
        <v>181</v>
      </c>
      <c r="J505" t="s">
        <v>161</v>
      </c>
      <c r="K505">
        <v>0.26261163480194732</v>
      </c>
      <c r="L505" t="s">
        <v>153</v>
      </c>
      <c r="N505" t="s">
        <v>224</v>
      </c>
      <c r="O505" t="s">
        <v>161</v>
      </c>
      <c r="P505">
        <v>9.8055454642015386E-2</v>
      </c>
      <c r="Q505" t="s">
        <v>153</v>
      </c>
    </row>
    <row r="506" spans="9:17" x14ac:dyDescent="0.45">
      <c r="I506" t="s">
        <v>181</v>
      </c>
      <c r="J506" t="s">
        <v>286</v>
      </c>
      <c r="K506">
        <v>2.1850321936769165E-2</v>
      </c>
      <c r="L506" t="s">
        <v>153</v>
      </c>
      <c r="N506" t="s">
        <v>224</v>
      </c>
      <c r="O506" t="s">
        <v>286</v>
      </c>
      <c r="P506">
        <v>1.2944538742989375E-2</v>
      </c>
      <c r="Q506" t="s">
        <v>153</v>
      </c>
    </row>
    <row r="507" spans="9:17" x14ac:dyDescent="0.45">
      <c r="I507" t="s">
        <v>181</v>
      </c>
      <c r="J507" t="s">
        <v>287</v>
      </c>
      <c r="K507">
        <v>8.8457676463268679E-3</v>
      </c>
      <c r="L507" t="s">
        <v>153</v>
      </c>
      <c r="N507" t="s">
        <v>224</v>
      </c>
      <c r="O507" t="s">
        <v>287</v>
      </c>
      <c r="P507">
        <v>1.6977063656665039E-2</v>
      </c>
      <c r="Q507" t="s">
        <v>153</v>
      </c>
    </row>
    <row r="508" spans="9:17" x14ac:dyDescent="0.45">
      <c r="I508" t="s">
        <v>181</v>
      </c>
      <c r="J508" t="s">
        <v>288</v>
      </c>
      <c r="K508">
        <v>0</v>
      </c>
      <c r="L508" t="s">
        <v>153</v>
      </c>
      <c r="N508" t="s">
        <v>224</v>
      </c>
      <c r="O508" t="s">
        <v>288</v>
      </c>
      <c r="P508">
        <v>9.9091415025651636E-2</v>
      </c>
      <c r="Q508" t="s">
        <v>153</v>
      </c>
    </row>
    <row r="509" spans="9:17" x14ac:dyDescent="0.45">
      <c r="I509" t="s">
        <v>181</v>
      </c>
      <c r="J509" t="s">
        <v>294</v>
      </c>
      <c r="K509">
        <v>6.9721286640407462E-3</v>
      </c>
      <c r="L509" t="s">
        <v>153</v>
      </c>
      <c r="N509" t="s">
        <v>224</v>
      </c>
      <c r="O509" t="s">
        <v>294</v>
      </c>
      <c r="P509">
        <v>1.8964495905218277E-2</v>
      </c>
      <c r="Q509" t="s">
        <v>153</v>
      </c>
    </row>
    <row r="510" spans="9:17" x14ac:dyDescent="0.45">
      <c r="I510" t="s">
        <v>181</v>
      </c>
      <c r="J510" t="s">
        <v>295</v>
      </c>
      <c r="K510">
        <v>7.6688911642738946E-3</v>
      </c>
      <c r="L510" t="s">
        <v>153</v>
      </c>
      <c r="N510" t="s">
        <v>224</v>
      </c>
      <c r="O510" t="s">
        <v>295</v>
      </c>
      <c r="P510">
        <v>2.3645776829870472E-3</v>
      </c>
      <c r="Q510" t="s">
        <v>153</v>
      </c>
    </row>
    <row r="511" spans="9:17" x14ac:dyDescent="0.45">
      <c r="I511" t="s">
        <v>181</v>
      </c>
      <c r="J511" t="s">
        <v>296</v>
      </c>
      <c r="K511">
        <v>8.4519529106300201E-2</v>
      </c>
      <c r="L511" t="s">
        <v>153</v>
      </c>
      <c r="N511" t="s">
        <v>224</v>
      </c>
      <c r="O511" t="s">
        <v>296</v>
      </c>
      <c r="P511">
        <v>2.0733198887026877E-2</v>
      </c>
      <c r="Q511" t="s">
        <v>153</v>
      </c>
    </row>
    <row r="512" spans="9:17" x14ac:dyDescent="0.45">
      <c r="I512" t="s">
        <v>181</v>
      </c>
      <c r="J512" t="s">
        <v>297</v>
      </c>
      <c r="K512">
        <v>6.7135287769096016E-3</v>
      </c>
      <c r="L512" t="s">
        <v>153</v>
      </c>
      <c r="N512" t="s">
        <v>224</v>
      </c>
      <c r="O512" t="s">
        <v>297</v>
      </c>
      <c r="P512">
        <v>2.6380462885546518E-3</v>
      </c>
      <c r="Q512" t="s">
        <v>153</v>
      </c>
    </row>
    <row r="513" spans="9:17" x14ac:dyDescent="0.45">
      <c r="I513" t="s">
        <v>181</v>
      </c>
      <c r="J513" t="s">
        <v>298</v>
      </c>
      <c r="K513">
        <v>5.0905374790912103E-3</v>
      </c>
      <c r="L513" t="s">
        <v>153</v>
      </c>
      <c r="N513" t="s">
        <v>224</v>
      </c>
      <c r="O513" t="s">
        <v>298</v>
      </c>
      <c r="P513">
        <v>2.9762480325280991E-3</v>
      </c>
      <c r="Q513" t="s">
        <v>153</v>
      </c>
    </row>
    <row r="514" spans="9:17" x14ac:dyDescent="0.45">
      <c r="I514" t="s">
        <v>181</v>
      </c>
      <c r="J514" t="s">
        <v>299</v>
      </c>
      <c r="K514">
        <v>1.6628814017086936E-3</v>
      </c>
      <c r="L514" t="s">
        <v>153</v>
      </c>
      <c r="N514" t="s">
        <v>224</v>
      </c>
      <c r="O514" t="s">
        <v>299</v>
      </c>
      <c r="P514">
        <v>1.843368274546606E-2</v>
      </c>
      <c r="Q514" t="s">
        <v>153</v>
      </c>
    </row>
    <row r="515" spans="9:17" x14ac:dyDescent="0.45">
      <c r="I515" t="s">
        <v>182</v>
      </c>
      <c r="J515" t="s">
        <v>152</v>
      </c>
      <c r="K515">
        <v>1.3517533850442322E-3</v>
      </c>
      <c r="L515" t="s">
        <v>153</v>
      </c>
      <c r="N515" t="s">
        <v>225</v>
      </c>
      <c r="O515" t="s">
        <v>152</v>
      </c>
      <c r="P515">
        <v>9.4002235178128751E-2</v>
      </c>
      <c r="Q515" t="s">
        <v>153</v>
      </c>
    </row>
    <row r="516" spans="9:17" x14ac:dyDescent="0.45">
      <c r="I516" t="s">
        <v>182</v>
      </c>
      <c r="J516" t="s">
        <v>154</v>
      </c>
      <c r="K516">
        <v>1.9668478833817289E-2</v>
      </c>
      <c r="L516" t="s">
        <v>153</v>
      </c>
      <c r="N516" t="s">
        <v>225</v>
      </c>
      <c r="O516" t="s">
        <v>154</v>
      </c>
      <c r="P516">
        <v>8.2305773845748418E-3</v>
      </c>
      <c r="Q516" t="s">
        <v>153</v>
      </c>
    </row>
    <row r="517" spans="9:17" x14ac:dyDescent="0.45">
      <c r="I517" t="s">
        <v>182</v>
      </c>
      <c r="J517" t="s">
        <v>155</v>
      </c>
      <c r="K517">
        <v>0.39825087667244735</v>
      </c>
      <c r="L517" t="s">
        <v>153</v>
      </c>
      <c r="N517" t="s">
        <v>225</v>
      </c>
      <c r="O517" t="s">
        <v>155</v>
      </c>
      <c r="P517">
        <v>9.2413107131458061E-2</v>
      </c>
      <c r="Q517" t="s">
        <v>153</v>
      </c>
    </row>
    <row r="518" spans="9:17" x14ac:dyDescent="0.45">
      <c r="I518" t="s">
        <v>182</v>
      </c>
      <c r="J518" t="s">
        <v>280</v>
      </c>
      <c r="K518">
        <v>3.361013986921977E-2</v>
      </c>
      <c r="L518" t="s">
        <v>153</v>
      </c>
      <c r="N518" t="s">
        <v>225</v>
      </c>
      <c r="O518" t="s">
        <v>280</v>
      </c>
      <c r="P518">
        <v>1.4324048393922898E-2</v>
      </c>
      <c r="Q518" t="s">
        <v>153</v>
      </c>
    </row>
    <row r="519" spans="9:17" x14ac:dyDescent="0.45">
      <c r="I519" t="s">
        <v>182</v>
      </c>
      <c r="J519" t="s">
        <v>281</v>
      </c>
      <c r="K519">
        <v>1.7399035179753861E-2</v>
      </c>
      <c r="L519" t="s">
        <v>153</v>
      </c>
      <c r="N519" t="s">
        <v>225</v>
      </c>
      <c r="O519" t="s">
        <v>281</v>
      </c>
      <c r="P519">
        <v>1.9650874615541998E-2</v>
      </c>
      <c r="Q519" t="s">
        <v>153</v>
      </c>
    </row>
    <row r="520" spans="9:17" x14ac:dyDescent="0.45">
      <c r="I520" t="s">
        <v>182</v>
      </c>
      <c r="J520" t="s">
        <v>282</v>
      </c>
      <c r="K520">
        <v>4.2793371909277686E-3</v>
      </c>
      <c r="L520" t="s">
        <v>153</v>
      </c>
      <c r="N520" t="s">
        <v>225</v>
      </c>
      <c r="O520" t="s">
        <v>282</v>
      </c>
      <c r="P520">
        <v>0.14133894172456324</v>
      </c>
      <c r="Q520" t="s">
        <v>153</v>
      </c>
    </row>
    <row r="521" spans="9:17" x14ac:dyDescent="0.45">
      <c r="I521" t="s">
        <v>182</v>
      </c>
      <c r="J521" t="s">
        <v>156</v>
      </c>
      <c r="K521">
        <v>0</v>
      </c>
      <c r="L521" t="s">
        <v>153</v>
      </c>
      <c r="N521" t="s">
        <v>225</v>
      </c>
      <c r="O521" t="s">
        <v>156</v>
      </c>
      <c r="P521">
        <v>3.1797340466157779E-2</v>
      </c>
      <c r="Q521" t="s">
        <v>153</v>
      </c>
    </row>
    <row r="522" spans="9:17" x14ac:dyDescent="0.45">
      <c r="I522" t="s">
        <v>182</v>
      </c>
      <c r="J522" t="s">
        <v>157</v>
      </c>
      <c r="K522">
        <v>1.1412835105934619E-3</v>
      </c>
      <c r="L522" t="s">
        <v>153</v>
      </c>
      <c r="N522" t="s">
        <v>225</v>
      </c>
      <c r="O522" t="s">
        <v>157</v>
      </c>
      <c r="P522">
        <v>2.4361004436224565E-3</v>
      </c>
      <c r="Q522" t="s">
        <v>153</v>
      </c>
    </row>
    <row r="523" spans="9:17" x14ac:dyDescent="0.45">
      <c r="I523" t="s">
        <v>182</v>
      </c>
      <c r="J523" t="s">
        <v>158</v>
      </c>
      <c r="K523">
        <v>0.12171213087555675</v>
      </c>
      <c r="L523" t="s">
        <v>153</v>
      </c>
      <c r="N523" t="s">
        <v>225</v>
      </c>
      <c r="O523" t="s">
        <v>158</v>
      </c>
      <c r="P523">
        <v>3.7769886171714256E-2</v>
      </c>
      <c r="Q523" t="s">
        <v>153</v>
      </c>
    </row>
    <row r="524" spans="9:17" x14ac:dyDescent="0.45">
      <c r="I524" t="s">
        <v>182</v>
      </c>
      <c r="J524" t="s">
        <v>283</v>
      </c>
      <c r="K524">
        <v>9.3482580702686398E-3</v>
      </c>
      <c r="L524" t="s">
        <v>153</v>
      </c>
      <c r="N524" t="s">
        <v>225</v>
      </c>
      <c r="O524" t="s">
        <v>283</v>
      </c>
      <c r="P524">
        <v>5.6542677140471844E-3</v>
      </c>
      <c r="Q524" t="s">
        <v>153</v>
      </c>
    </row>
    <row r="525" spans="9:17" x14ac:dyDescent="0.45">
      <c r="I525" t="s">
        <v>182</v>
      </c>
      <c r="J525" t="s">
        <v>284</v>
      </c>
      <c r="K525">
        <v>4.2642887496115579E-4</v>
      </c>
      <c r="L525" t="s">
        <v>153</v>
      </c>
      <c r="N525" t="s">
        <v>225</v>
      </c>
      <c r="O525" t="s">
        <v>284</v>
      </c>
      <c r="P525">
        <v>8.1629819128198559E-3</v>
      </c>
      <c r="Q525" t="s">
        <v>153</v>
      </c>
    </row>
    <row r="526" spans="9:17" x14ac:dyDescent="0.45">
      <c r="I526" t="s">
        <v>182</v>
      </c>
      <c r="J526" t="s">
        <v>285</v>
      </c>
      <c r="K526">
        <v>0</v>
      </c>
      <c r="L526" t="s">
        <v>153</v>
      </c>
      <c r="N526" t="s">
        <v>225</v>
      </c>
      <c r="O526" t="s">
        <v>285</v>
      </c>
      <c r="P526">
        <v>4.60076601358499E-2</v>
      </c>
      <c r="Q526" t="s">
        <v>153</v>
      </c>
    </row>
    <row r="527" spans="9:17" x14ac:dyDescent="0.45">
      <c r="I527" t="s">
        <v>182</v>
      </c>
      <c r="J527" t="s">
        <v>159</v>
      </c>
      <c r="K527">
        <v>4.8062945394183711E-3</v>
      </c>
      <c r="L527" t="s">
        <v>153</v>
      </c>
      <c r="N527" t="s">
        <v>225</v>
      </c>
      <c r="O527" t="s">
        <v>159</v>
      </c>
      <c r="P527">
        <v>0.10569515336230306</v>
      </c>
      <c r="Q527" t="s">
        <v>153</v>
      </c>
    </row>
    <row r="528" spans="9:17" x14ac:dyDescent="0.45">
      <c r="I528" t="s">
        <v>182</v>
      </c>
      <c r="J528" t="s">
        <v>160</v>
      </c>
      <c r="K528">
        <v>1.6803482329379501E-2</v>
      </c>
      <c r="L528" t="s">
        <v>153</v>
      </c>
      <c r="N528" t="s">
        <v>225</v>
      </c>
      <c r="O528" t="s">
        <v>160</v>
      </c>
      <c r="P528">
        <v>1.0859245982289859E-2</v>
      </c>
      <c r="Q528" t="s">
        <v>153</v>
      </c>
    </row>
    <row r="529" spans="9:17" x14ac:dyDescent="0.45">
      <c r="I529" t="s">
        <v>182</v>
      </c>
      <c r="J529" t="s">
        <v>161</v>
      </c>
      <c r="K529">
        <v>0.25873414366631597</v>
      </c>
      <c r="L529" t="s">
        <v>153</v>
      </c>
      <c r="N529" t="s">
        <v>225</v>
      </c>
      <c r="O529" t="s">
        <v>161</v>
      </c>
      <c r="P529">
        <v>0.11510867960069739</v>
      </c>
      <c r="Q529" t="s">
        <v>153</v>
      </c>
    </row>
    <row r="530" spans="9:17" x14ac:dyDescent="0.45">
      <c r="I530" t="s">
        <v>182</v>
      </c>
      <c r="J530" t="s">
        <v>286</v>
      </c>
      <c r="K530">
        <v>1.9604737705605266E-2</v>
      </c>
      <c r="L530" t="s">
        <v>153</v>
      </c>
      <c r="N530" t="s">
        <v>225</v>
      </c>
      <c r="O530" t="s">
        <v>286</v>
      </c>
      <c r="P530">
        <v>1.7742635309451138E-2</v>
      </c>
      <c r="Q530" t="s">
        <v>153</v>
      </c>
    </row>
    <row r="531" spans="9:17" x14ac:dyDescent="0.45">
      <c r="I531" t="s">
        <v>182</v>
      </c>
      <c r="J531" t="s">
        <v>287</v>
      </c>
      <c r="K531">
        <v>1.2743418676711613E-2</v>
      </c>
      <c r="L531" t="s">
        <v>153</v>
      </c>
      <c r="N531" t="s">
        <v>225</v>
      </c>
      <c r="O531" t="s">
        <v>287</v>
      </c>
      <c r="P531">
        <v>2.327258328980196E-2</v>
      </c>
      <c r="Q531" t="s">
        <v>153</v>
      </c>
    </row>
    <row r="532" spans="9:17" x14ac:dyDescent="0.45">
      <c r="I532" t="s">
        <v>182</v>
      </c>
      <c r="J532" t="s">
        <v>288</v>
      </c>
      <c r="K532">
        <v>0</v>
      </c>
      <c r="L532" t="s">
        <v>153</v>
      </c>
      <c r="N532" t="s">
        <v>225</v>
      </c>
      <c r="O532" t="s">
        <v>288</v>
      </c>
      <c r="P532">
        <v>0.16551697197417164</v>
      </c>
      <c r="Q532" t="s">
        <v>153</v>
      </c>
    </row>
    <row r="533" spans="9:17" x14ac:dyDescent="0.45">
      <c r="I533" t="s">
        <v>182</v>
      </c>
      <c r="J533" t="s">
        <v>294</v>
      </c>
      <c r="K533">
        <v>2.4063588743368164E-3</v>
      </c>
      <c r="L533" t="s">
        <v>153</v>
      </c>
      <c r="N533" t="s">
        <v>225</v>
      </c>
      <c r="O533" t="s">
        <v>294</v>
      </c>
      <c r="P533">
        <v>1.4947879796117922E-2</v>
      </c>
      <c r="Q533" t="s">
        <v>153</v>
      </c>
    </row>
    <row r="534" spans="9:17" x14ac:dyDescent="0.45">
      <c r="I534" t="s">
        <v>182</v>
      </c>
      <c r="J534" t="s">
        <v>295</v>
      </c>
      <c r="K534">
        <v>4.2644983252667868E-3</v>
      </c>
      <c r="L534" t="s">
        <v>153</v>
      </c>
      <c r="N534" t="s">
        <v>225</v>
      </c>
      <c r="O534" t="s">
        <v>295</v>
      </c>
      <c r="P534">
        <v>1.4882443408135073E-3</v>
      </c>
      <c r="Q534" t="s">
        <v>153</v>
      </c>
    </row>
    <row r="535" spans="9:17" x14ac:dyDescent="0.45">
      <c r="I535" t="s">
        <v>182</v>
      </c>
      <c r="J535" t="s">
        <v>296</v>
      </c>
      <c r="K535">
        <v>6.2832658894483293E-2</v>
      </c>
      <c r="L535" t="s">
        <v>153</v>
      </c>
      <c r="N535" t="s">
        <v>225</v>
      </c>
      <c r="O535" t="s">
        <v>296</v>
      </c>
      <c r="P535">
        <v>1.3967544811782072E-2</v>
      </c>
      <c r="Q535" t="s">
        <v>153</v>
      </c>
    </row>
    <row r="536" spans="9:17" x14ac:dyDescent="0.45">
      <c r="I536" t="s">
        <v>182</v>
      </c>
      <c r="J536" t="s">
        <v>297</v>
      </c>
      <c r="K536">
        <v>5.2001497742556963E-3</v>
      </c>
      <c r="L536" t="s">
        <v>153</v>
      </c>
      <c r="N536" t="s">
        <v>225</v>
      </c>
      <c r="O536" t="s">
        <v>297</v>
      </c>
      <c r="P536">
        <v>2.4629879663093874E-3</v>
      </c>
      <c r="Q536" t="s">
        <v>153</v>
      </c>
    </row>
    <row r="537" spans="9:17" x14ac:dyDescent="0.45">
      <c r="I537" t="s">
        <v>182</v>
      </c>
      <c r="J537" t="s">
        <v>298</v>
      </c>
      <c r="K537">
        <v>3.8317866508621764E-3</v>
      </c>
      <c r="L537" t="s">
        <v>153</v>
      </c>
      <c r="N537" t="s">
        <v>225</v>
      </c>
      <c r="O537" t="s">
        <v>298</v>
      </c>
      <c r="P537">
        <v>3.3264283140510605E-3</v>
      </c>
      <c r="Q537" t="s">
        <v>153</v>
      </c>
    </row>
    <row r="538" spans="9:17" x14ac:dyDescent="0.45">
      <c r="I538" t="s">
        <v>182</v>
      </c>
      <c r="J538" t="s">
        <v>299</v>
      </c>
      <c r="K538">
        <v>1.5847481007748988E-3</v>
      </c>
      <c r="L538" t="s">
        <v>153</v>
      </c>
      <c r="N538" t="s">
        <v>225</v>
      </c>
      <c r="O538" t="s">
        <v>299</v>
      </c>
      <c r="P538">
        <v>2.382362397980967E-2</v>
      </c>
      <c r="Q538" t="s">
        <v>153</v>
      </c>
    </row>
    <row r="539" spans="9:17" x14ac:dyDescent="0.45">
      <c r="I539" t="s">
        <v>183</v>
      </c>
      <c r="J539" t="s">
        <v>152</v>
      </c>
      <c r="K539">
        <v>1.4065991641940166E-3</v>
      </c>
      <c r="L539" t="s">
        <v>153</v>
      </c>
      <c r="N539" t="s">
        <v>226</v>
      </c>
      <c r="O539" t="s">
        <v>152</v>
      </c>
      <c r="P539">
        <v>0.13073325814690337</v>
      </c>
      <c r="Q539" t="s">
        <v>153</v>
      </c>
    </row>
    <row r="540" spans="9:17" x14ac:dyDescent="0.45">
      <c r="I540" t="s">
        <v>183</v>
      </c>
      <c r="J540" t="s">
        <v>154</v>
      </c>
      <c r="K540">
        <v>1.8233461239357419E-2</v>
      </c>
      <c r="L540" t="s">
        <v>153</v>
      </c>
      <c r="N540" t="s">
        <v>226</v>
      </c>
      <c r="O540" t="s">
        <v>154</v>
      </c>
      <c r="P540">
        <v>1.3036834626421799E-2</v>
      </c>
      <c r="Q540" t="s">
        <v>153</v>
      </c>
    </row>
    <row r="541" spans="9:17" x14ac:dyDescent="0.45">
      <c r="I541" t="s">
        <v>183</v>
      </c>
      <c r="J541" t="s">
        <v>155</v>
      </c>
      <c r="K541">
        <v>0.40392980065626699</v>
      </c>
      <c r="L541" t="s">
        <v>153</v>
      </c>
      <c r="N541" t="s">
        <v>226</v>
      </c>
      <c r="O541" t="s">
        <v>155</v>
      </c>
      <c r="P541">
        <v>9.5267927019134599E-2</v>
      </c>
      <c r="Q541" t="s">
        <v>153</v>
      </c>
    </row>
    <row r="542" spans="9:17" x14ac:dyDescent="0.45">
      <c r="I542" t="s">
        <v>183</v>
      </c>
      <c r="J542" t="s">
        <v>280</v>
      </c>
      <c r="K542">
        <v>3.3091524860674432E-2</v>
      </c>
      <c r="L542" t="s">
        <v>153</v>
      </c>
      <c r="N542" t="s">
        <v>226</v>
      </c>
      <c r="O542" t="s">
        <v>280</v>
      </c>
      <c r="P542">
        <v>1.0377530046178821E-2</v>
      </c>
      <c r="Q542" t="s">
        <v>153</v>
      </c>
    </row>
    <row r="543" spans="9:17" x14ac:dyDescent="0.45">
      <c r="I543" t="s">
        <v>183</v>
      </c>
      <c r="J543" t="s">
        <v>281</v>
      </c>
      <c r="K543">
        <v>1.6368945587613596E-2</v>
      </c>
      <c r="L543" t="s">
        <v>153</v>
      </c>
      <c r="N543" t="s">
        <v>226</v>
      </c>
      <c r="O543" t="s">
        <v>281</v>
      </c>
      <c r="P543">
        <v>1.3815385704084767E-2</v>
      </c>
      <c r="Q543" t="s">
        <v>153</v>
      </c>
    </row>
    <row r="544" spans="9:17" x14ac:dyDescent="0.45">
      <c r="I544" t="s">
        <v>183</v>
      </c>
      <c r="J544" t="s">
        <v>282</v>
      </c>
      <c r="K544">
        <v>3.9791805274585782E-3</v>
      </c>
      <c r="L544" t="s">
        <v>153</v>
      </c>
      <c r="N544" t="s">
        <v>226</v>
      </c>
      <c r="O544" t="s">
        <v>282</v>
      </c>
      <c r="P544">
        <v>0.12546349256434747</v>
      </c>
      <c r="Q544" t="s">
        <v>153</v>
      </c>
    </row>
    <row r="545" spans="9:17" x14ac:dyDescent="0.45">
      <c r="I545" t="s">
        <v>183</v>
      </c>
      <c r="J545" t="s">
        <v>156</v>
      </c>
      <c r="K545">
        <v>0</v>
      </c>
      <c r="L545" t="s">
        <v>153</v>
      </c>
      <c r="N545" t="s">
        <v>226</v>
      </c>
      <c r="O545" t="s">
        <v>156</v>
      </c>
      <c r="P545">
        <v>4.3673034077204166E-2</v>
      </c>
      <c r="Q545" t="s">
        <v>153</v>
      </c>
    </row>
    <row r="546" spans="9:17" x14ac:dyDescent="0.45">
      <c r="I546" t="s">
        <v>183</v>
      </c>
      <c r="J546" t="s">
        <v>157</v>
      </c>
      <c r="K546">
        <v>8.4107523799792599E-4</v>
      </c>
      <c r="L546" t="s">
        <v>153</v>
      </c>
      <c r="N546" t="s">
        <v>226</v>
      </c>
      <c r="O546" t="s">
        <v>157</v>
      </c>
      <c r="P546">
        <v>5.2040521313639733E-3</v>
      </c>
      <c r="Q546" t="s">
        <v>153</v>
      </c>
    </row>
    <row r="547" spans="9:17" x14ac:dyDescent="0.45">
      <c r="I547" t="s">
        <v>183</v>
      </c>
      <c r="J547" t="s">
        <v>158</v>
      </c>
      <c r="K547">
        <v>0.12280625342678289</v>
      </c>
      <c r="L547" t="s">
        <v>153</v>
      </c>
      <c r="N547" t="s">
        <v>226</v>
      </c>
      <c r="O547" t="s">
        <v>158</v>
      </c>
      <c r="P547">
        <v>3.6094038216864292E-2</v>
      </c>
      <c r="Q547" t="s">
        <v>153</v>
      </c>
    </row>
    <row r="548" spans="9:17" x14ac:dyDescent="0.45">
      <c r="I548" t="s">
        <v>183</v>
      </c>
      <c r="J548" t="s">
        <v>283</v>
      </c>
      <c r="K548">
        <v>9.8272032563699128E-3</v>
      </c>
      <c r="L548" t="s">
        <v>153</v>
      </c>
      <c r="N548" t="s">
        <v>226</v>
      </c>
      <c r="O548" t="s">
        <v>283</v>
      </c>
      <c r="P548">
        <v>4.0315250594210794E-3</v>
      </c>
      <c r="Q548" t="s">
        <v>153</v>
      </c>
    </row>
    <row r="549" spans="9:17" x14ac:dyDescent="0.45">
      <c r="I549" t="s">
        <v>183</v>
      </c>
      <c r="J549" t="s">
        <v>284</v>
      </c>
      <c r="K549">
        <v>2.9941742216291759E-4</v>
      </c>
      <c r="L549" t="s">
        <v>153</v>
      </c>
      <c r="N549" t="s">
        <v>226</v>
      </c>
      <c r="O549" t="s">
        <v>284</v>
      </c>
      <c r="P549">
        <v>5.6000026835733938E-3</v>
      </c>
      <c r="Q549" t="s">
        <v>153</v>
      </c>
    </row>
    <row r="550" spans="9:17" x14ac:dyDescent="0.45">
      <c r="I550" t="s">
        <v>183</v>
      </c>
      <c r="J550" t="s">
        <v>285</v>
      </c>
      <c r="K550">
        <v>0</v>
      </c>
      <c r="L550" t="s">
        <v>153</v>
      </c>
      <c r="N550" t="s">
        <v>226</v>
      </c>
      <c r="O550" t="s">
        <v>285</v>
      </c>
      <c r="P550">
        <v>4.047417614808696E-2</v>
      </c>
      <c r="Q550" t="s">
        <v>153</v>
      </c>
    </row>
    <row r="551" spans="9:17" x14ac:dyDescent="0.45">
      <c r="I551" t="s">
        <v>183</v>
      </c>
      <c r="J551" t="s">
        <v>159</v>
      </c>
      <c r="K551">
        <v>4.3659613382653235E-3</v>
      </c>
      <c r="L551" t="s">
        <v>153</v>
      </c>
      <c r="N551" t="s">
        <v>226</v>
      </c>
      <c r="O551" t="s">
        <v>159</v>
      </c>
      <c r="P551">
        <v>0.12304087884235733</v>
      </c>
      <c r="Q551" t="s">
        <v>153</v>
      </c>
    </row>
    <row r="552" spans="9:17" x14ac:dyDescent="0.45">
      <c r="I552" t="s">
        <v>183</v>
      </c>
      <c r="J552" t="s">
        <v>160</v>
      </c>
      <c r="K552">
        <v>1.6177930846988004E-2</v>
      </c>
      <c r="L552" t="s">
        <v>153</v>
      </c>
      <c r="N552" t="s">
        <v>226</v>
      </c>
      <c r="O552" t="s">
        <v>160</v>
      </c>
      <c r="P552">
        <v>1.4312695215573859E-2</v>
      </c>
      <c r="Q552" t="s">
        <v>153</v>
      </c>
    </row>
    <row r="553" spans="9:17" x14ac:dyDescent="0.45">
      <c r="I553" t="s">
        <v>183</v>
      </c>
      <c r="J553" t="s">
        <v>161</v>
      </c>
      <c r="K553">
        <v>0.25918647036166265</v>
      </c>
      <c r="L553" t="s">
        <v>153</v>
      </c>
      <c r="N553" t="s">
        <v>226</v>
      </c>
      <c r="O553" t="s">
        <v>161</v>
      </c>
      <c r="P553">
        <v>0.10756363132982442</v>
      </c>
      <c r="Q553" t="s">
        <v>153</v>
      </c>
    </row>
    <row r="554" spans="9:17" x14ac:dyDescent="0.45">
      <c r="I554" t="s">
        <v>183</v>
      </c>
      <c r="J554" t="s">
        <v>286</v>
      </c>
      <c r="K554">
        <v>1.935475815835222E-2</v>
      </c>
      <c r="L554" t="s">
        <v>153</v>
      </c>
      <c r="N554" t="s">
        <v>226</v>
      </c>
      <c r="O554" t="s">
        <v>286</v>
      </c>
      <c r="P554">
        <v>1.301089356204178E-2</v>
      </c>
      <c r="Q554" t="s">
        <v>153</v>
      </c>
    </row>
    <row r="555" spans="9:17" x14ac:dyDescent="0.45">
      <c r="I555" t="s">
        <v>183</v>
      </c>
      <c r="J555" t="s">
        <v>287</v>
      </c>
      <c r="K555">
        <v>1.2572768972314852E-2</v>
      </c>
      <c r="L555" t="s">
        <v>153</v>
      </c>
      <c r="N555" t="s">
        <v>226</v>
      </c>
      <c r="O555" t="s">
        <v>287</v>
      </c>
      <c r="P555">
        <v>1.6034992024992128E-2</v>
      </c>
      <c r="Q555" t="s">
        <v>153</v>
      </c>
    </row>
    <row r="556" spans="9:17" x14ac:dyDescent="0.45">
      <c r="I556" t="s">
        <v>183</v>
      </c>
      <c r="J556" t="s">
        <v>288</v>
      </c>
      <c r="K556">
        <v>0</v>
      </c>
      <c r="L556" t="s">
        <v>153</v>
      </c>
      <c r="N556" t="s">
        <v>226</v>
      </c>
      <c r="O556" t="s">
        <v>288</v>
      </c>
      <c r="P556">
        <v>0.12918048053427583</v>
      </c>
      <c r="Q556" t="s">
        <v>153</v>
      </c>
    </row>
    <row r="557" spans="9:17" x14ac:dyDescent="0.45">
      <c r="I557" t="s">
        <v>183</v>
      </c>
      <c r="J557" t="s">
        <v>294</v>
      </c>
      <c r="K557">
        <v>1.9995479976976844E-3</v>
      </c>
      <c r="L557" t="s">
        <v>153</v>
      </c>
      <c r="N557" t="s">
        <v>226</v>
      </c>
      <c r="O557" t="s">
        <v>294</v>
      </c>
      <c r="P557">
        <v>2.0949712345741087E-2</v>
      </c>
      <c r="Q557" t="s">
        <v>153</v>
      </c>
    </row>
    <row r="558" spans="9:17" x14ac:dyDescent="0.45">
      <c r="I558" t="s">
        <v>183</v>
      </c>
      <c r="J558" t="s">
        <v>295</v>
      </c>
      <c r="K558">
        <v>3.7867530280690774E-3</v>
      </c>
      <c r="L558" t="s">
        <v>153</v>
      </c>
      <c r="N558" t="s">
        <v>226</v>
      </c>
      <c r="O558" t="s">
        <v>295</v>
      </c>
      <c r="P558">
        <v>2.3614304256412517E-3</v>
      </c>
      <c r="Q558" t="s">
        <v>153</v>
      </c>
    </row>
    <row r="559" spans="9:17" x14ac:dyDescent="0.45">
      <c r="I559" t="s">
        <v>183</v>
      </c>
      <c r="J559" t="s">
        <v>296</v>
      </c>
      <c r="K559">
        <v>6.182255408987429E-2</v>
      </c>
      <c r="L559" t="s">
        <v>153</v>
      </c>
      <c r="N559" t="s">
        <v>226</v>
      </c>
      <c r="O559" t="s">
        <v>296</v>
      </c>
      <c r="P559">
        <v>2.0013098986539982E-2</v>
      </c>
      <c r="Q559" t="s">
        <v>153</v>
      </c>
    </row>
    <row r="560" spans="9:17" x14ac:dyDescent="0.45">
      <c r="I560" t="s">
        <v>183</v>
      </c>
      <c r="J560" t="s">
        <v>297</v>
      </c>
      <c r="K560">
        <v>4.9261334515871636E-3</v>
      </c>
      <c r="L560" t="s">
        <v>153</v>
      </c>
      <c r="N560" t="s">
        <v>226</v>
      </c>
      <c r="O560" t="s">
        <v>297</v>
      </c>
      <c r="P560">
        <v>2.4161036222749579E-3</v>
      </c>
      <c r="Q560" t="s">
        <v>153</v>
      </c>
    </row>
    <row r="561" spans="9:17" x14ac:dyDescent="0.45">
      <c r="I561" t="s">
        <v>183</v>
      </c>
      <c r="J561" t="s">
        <v>298</v>
      </c>
      <c r="K561">
        <v>3.5672161451773092E-3</v>
      </c>
      <c r="L561" t="s">
        <v>153</v>
      </c>
      <c r="N561" t="s">
        <v>226</v>
      </c>
      <c r="O561" t="s">
        <v>298</v>
      </c>
      <c r="P561">
        <v>3.0724551332146342E-3</v>
      </c>
      <c r="Q561" t="s">
        <v>153</v>
      </c>
    </row>
    <row r="562" spans="9:17" x14ac:dyDescent="0.45">
      <c r="I562" t="s">
        <v>183</v>
      </c>
      <c r="J562" t="s">
        <v>299</v>
      </c>
      <c r="K562">
        <v>1.4564442311333231E-3</v>
      </c>
      <c r="L562" t="s">
        <v>153</v>
      </c>
      <c r="N562" t="s">
        <v>226</v>
      </c>
      <c r="O562" t="s">
        <v>299</v>
      </c>
      <c r="P562">
        <v>2.427237155394036E-2</v>
      </c>
      <c r="Q562" t="s">
        <v>153</v>
      </c>
    </row>
    <row r="563" spans="9:17" x14ac:dyDescent="0.45">
      <c r="I563" t="s">
        <v>184</v>
      </c>
      <c r="J563" t="s">
        <v>152</v>
      </c>
      <c r="K563">
        <v>1.0711629177072254E-3</v>
      </c>
      <c r="L563" t="s">
        <v>153</v>
      </c>
      <c r="N563" t="s">
        <v>227</v>
      </c>
      <c r="O563" t="s">
        <v>152</v>
      </c>
      <c r="P563">
        <v>0.15369845604499446</v>
      </c>
      <c r="Q563" t="s">
        <v>153</v>
      </c>
    </row>
    <row r="564" spans="9:17" x14ac:dyDescent="0.45">
      <c r="I564" t="s">
        <v>184</v>
      </c>
      <c r="J564" t="s">
        <v>154</v>
      </c>
      <c r="K564">
        <v>2.0617175261140274E-2</v>
      </c>
      <c r="L564" t="s">
        <v>153</v>
      </c>
      <c r="N564" t="s">
        <v>227</v>
      </c>
      <c r="O564" t="s">
        <v>154</v>
      </c>
      <c r="P564">
        <v>1.607604125524047E-2</v>
      </c>
      <c r="Q564" t="s">
        <v>153</v>
      </c>
    </row>
    <row r="565" spans="9:17" x14ac:dyDescent="0.45">
      <c r="I565" t="s">
        <v>184</v>
      </c>
      <c r="J565" t="s">
        <v>155</v>
      </c>
      <c r="K565">
        <v>0.39232979280158187</v>
      </c>
      <c r="L565" t="s">
        <v>153</v>
      </c>
      <c r="N565" t="s">
        <v>227</v>
      </c>
      <c r="O565" t="s">
        <v>155</v>
      </c>
      <c r="P565">
        <v>9.0705009820122973E-2</v>
      </c>
      <c r="Q565" t="s">
        <v>153</v>
      </c>
    </row>
    <row r="566" spans="9:17" x14ac:dyDescent="0.45">
      <c r="I566" t="s">
        <v>184</v>
      </c>
      <c r="J566" t="s">
        <v>280</v>
      </c>
      <c r="K566">
        <v>3.4964888381396463E-2</v>
      </c>
      <c r="L566" t="s">
        <v>153</v>
      </c>
      <c r="N566" t="s">
        <v>227</v>
      </c>
      <c r="O566" t="s">
        <v>280</v>
      </c>
      <c r="P566">
        <v>7.1101527058775767E-3</v>
      </c>
      <c r="Q566" t="s">
        <v>153</v>
      </c>
    </row>
    <row r="567" spans="9:17" x14ac:dyDescent="0.45">
      <c r="I567" t="s">
        <v>184</v>
      </c>
      <c r="J567" t="s">
        <v>281</v>
      </c>
      <c r="K567">
        <v>1.9242241957683832E-2</v>
      </c>
      <c r="L567" t="s">
        <v>153</v>
      </c>
      <c r="N567" t="s">
        <v>227</v>
      </c>
      <c r="O567" t="s">
        <v>281</v>
      </c>
      <c r="P567">
        <v>8.780917950080399E-3</v>
      </c>
      <c r="Q567" t="s">
        <v>153</v>
      </c>
    </row>
    <row r="568" spans="9:17" x14ac:dyDescent="0.45">
      <c r="I568" t="s">
        <v>184</v>
      </c>
      <c r="J568" t="s">
        <v>282</v>
      </c>
      <c r="K568">
        <v>4.9224594282310493E-3</v>
      </c>
      <c r="L568" t="s">
        <v>153</v>
      </c>
      <c r="N568" t="s">
        <v>227</v>
      </c>
      <c r="O568" t="s">
        <v>282</v>
      </c>
      <c r="P568">
        <v>8.8593068983301007E-2</v>
      </c>
      <c r="Q568" t="s">
        <v>153</v>
      </c>
    </row>
    <row r="569" spans="9:17" x14ac:dyDescent="0.45">
      <c r="I569" t="s">
        <v>184</v>
      </c>
      <c r="J569" t="s">
        <v>156</v>
      </c>
      <c r="K569">
        <v>0</v>
      </c>
      <c r="L569" t="s">
        <v>153</v>
      </c>
      <c r="N569" t="s">
        <v>227</v>
      </c>
      <c r="O569" t="s">
        <v>156</v>
      </c>
      <c r="P569">
        <v>5.6750514576293612E-2</v>
      </c>
      <c r="Q569" t="s">
        <v>153</v>
      </c>
    </row>
    <row r="570" spans="9:17" x14ac:dyDescent="0.45">
      <c r="I570" t="s">
        <v>184</v>
      </c>
      <c r="J570" t="s">
        <v>157</v>
      </c>
      <c r="K570">
        <v>1.0757172085329016E-3</v>
      </c>
      <c r="L570" t="s">
        <v>153</v>
      </c>
      <c r="N570" t="s">
        <v>227</v>
      </c>
      <c r="O570" t="s">
        <v>157</v>
      </c>
      <c r="P570">
        <v>6.6216549997981751E-3</v>
      </c>
      <c r="Q570" t="s">
        <v>153</v>
      </c>
    </row>
    <row r="571" spans="9:17" x14ac:dyDescent="0.45">
      <c r="I571" t="s">
        <v>184</v>
      </c>
      <c r="J571" t="s">
        <v>158</v>
      </c>
      <c r="K571">
        <v>0.12120938063789323</v>
      </c>
      <c r="L571" t="s">
        <v>153</v>
      </c>
      <c r="N571" t="s">
        <v>227</v>
      </c>
      <c r="O571" t="s">
        <v>158</v>
      </c>
      <c r="P571">
        <v>3.6142661320846606E-2</v>
      </c>
      <c r="Q571" t="s">
        <v>153</v>
      </c>
    </row>
    <row r="572" spans="9:17" x14ac:dyDescent="0.45">
      <c r="I572" t="s">
        <v>184</v>
      </c>
      <c r="J572" t="s">
        <v>283</v>
      </c>
      <c r="K572">
        <v>9.2443785202593904E-3</v>
      </c>
      <c r="L572" t="s">
        <v>153</v>
      </c>
      <c r="N572" t="s">
        <v>227</v>
      </c>
      <c r="O572" t="s">
        <v>283</v>
      </c>
      <c r="P572">
        <v>3.3948822586414378E-3</v>
      </c>
      <c r="Q572" t="s">
        <v>153</v>
      </c>
    </row>
    <row r="573" spans="9:17" x14ac:dyDescent="0.45">
      <c r="I573" t="s">
        <v>184</v>
      </c>
      <c r="J573" t="s">
        <v>284</v>
      </c>
      <c r="K573">
        <v>1.171046682724855E-3</v>
      </c>
      <c r="L573" t="s">
        <v>153</v>
      </c>
      <c r="N573" t="s">
        <v>227</v>
      </c>
      <c r="O573" t="s">
        <v>284</v>
      </c>
      <c r="P573">
        <v>4.2930917599479333E-3</v>
      </c>
      <c r="Q573" t="s">
        <v>153</v>
      </c>
    </row>
    <row r="574" spans="9:17" x14ac:dyDescent="0.45">
      <c r="I574" t="s">
        <v>184</v>
      </c>
      <c r="J574" t="s">
        <v>285</v>
      </c>
      <c r="K574">
        <v>0</v>
      </c>
      <c r="L574" t="s">
        <v>153</v>
      </c>
      <c r="N574" t="s">
        <v>227</v>
      </c>
      <c r="O574" t="s">
        <v>285</v>
      </c>
      <c r="P574">
        <v>4.0256186086699494E-2</v>
      </c>
      <c r="Q574" t="s">
        <v>153</v>
      </c>
    </row>
    <row r="575" spans="9:17" x14ac:dyDescent="0.45">
      <c r="I575" t="s">
        <v>184</v>
      </c>
      <c r="J575" t="s">
        <v>159</v>
      </c>
      <c r="K575">
        <v>4.8079747920571929E-3</v>
      </c>
      <c r="L575" t="s">
        <v>153</v>
      </c>
      <c r="N575" t="s">
        <v>227</v>
      </c>
      <c r="O575" t="s">
        <v>159</v>
      </c>
      <c r="P575">
        <v>0.15679309393101151</v>
      </c>
      <c r="Q575" t="s">
        <v>153</v>
      </c>
    </row>
    <row r="576" spans="9:17" x14ac:dyDescent="0.45">
      <c r="I576" t="s">
        <v>184</v>
      </c>
      <c r="J576" t="s">
        <v>160</v>
      </c>
      <c r="K576">
        <v>1.7087509152891665E-2</v>
      </c>
      <c r="L576" t="s">
        <v>153</v>
      </c>
      <c r="N576" t="s">
        <v>227</v>
      </c>
      <c r="O576" t="s">
        <v>160</v>
      </c>
      <c r="P576">
        <v>1.8088761414994922E-2</v>
      </c>
      <c r="Q576" t="s">
        <v>153</v>
      </c>
    </row>
    <row r="577" spans="9:17" x14ac:dyDescent="0.45">
      <c r="I577" t="s">
        <v>184</v>
      </c>
      <c r="J577" t="s">
        <v>161</v>
      </c>
      <c r="K577">
        <v>0.25955985030256395</v>
      </c>
      <c r="L577" t="s">
        <v>153</v>
      </c>
      <c r="N577" t="s">
        <v>227</v>
      </c>
      <c r="O577" t="s">
        <v>161</v>
      </c>
      <c r="P577">
        <v>0.11167518126811067</v>
      </c>
      <c r="Q577" t="s">
        <v>153</v>
      </c>
    </row>
    <row r="578" spans="9:17" x14ac:dyDescent="0.45">
      <c r="I578" t="s">
        <v>184</v>
      </c>
      <c r="J578" t="s">
        <v>286</v>
      </c>
      <c r="K578">
        <v>2.0554872911716086E-2</v>
      </c>
      <c r="L578" t="s">
        <v>153</v>
      </c>
      <c r="N578" t="s">
        <v>227</v>
      </c>
      <c r="O578" t="s">
        <v>286</v>
      </c>
      <c r="P578">
        <v>9.7206582867215858E-3</v>
      </c>
      <c r="Q578" t="s">
        <v>153</v>
      </c>
    </row>
    <row r="579" spans="9:17" x14ac:dyDescent="0.45">
      <c r="I579" t="s">
        <v>184</v>
      </c>
      <c r="J579" t="s">
        <v>287</v>
      </c>
      <c r="K579">
        <v>1.3287790358972366E-2</v>
      </c>
      <c r="L579" t="s">
        <v>153</v>
      </c>
      <c r="N579" t="s">
        <v>227</v>
      </c>
      <c r="O579" t="s">
        <v>287</v>
      </c>
      <c r="P579">
        <v>1.0609798745679484E-2</v>
      </c>
      <c r="Q579" t="s">
        <v>153</v>
      </c>
    </row>
    <row r="580" spans="9:17" x14ac:dyDescent="0.45">
      <c r="I580" t="s">
        <v>184</v>
      </c>
      <c r="J580" t="s">
        <v>288</v>
      </c>
      <c r="K580">
        <v>0</v>
      </c>
      <c r="L580" t="s">
        <v>153</v>
      </c>
      <c r="N580" t="s">
        <v>227</v>
      </c>
      <c r="O580" t="s">
        <v>288</v>
      </c>
      <c r="P580">
        <v>0.11152053631272046</v>
      </c>
      <c r="Q580" t="s">
        <v>153</v>
      </c>
    </row>
    <row r="581" spans="9:17" x14ac:dyDescent="0.45">
      <c r="I581" t="s">
        <v>184</v>
      </c>
      <c r="J581" t="s">
        <v>294</v>
      </c>
      <c r="K581">
        <v>2.2988934173332146E-3</v>
      </c>
      <c r="L581" t="s">
        <v>153</v>
      </c>
      <c r="N581" t="s">
        <v>227</v>
      </c>
      <c r="O581" t="s">
        <v>294</v>
      </c>
      <c r="P581">
        <v>2.4521542716826873E-2</v>
      </c>
      <c r="Q581" t="s">
        <v>153</v>
      </c>
    </row>
    <row r="582" spans="9:17" x14ac:dyDescent="0.45">
      <c r="I582" t="s">
        <v>184</v>
      </c>
      <c r="J582" t="s">
        <v>295</v>
      </c>
      <c r="K582">
        <v>4.1836277171267882E-3</v>
      </c>
      <c r="L582" t="s">
        <v>153</v>
      </c>
      <c r="N582" t="s">
        <v>227</v>
      </c>
      <c r="O582" t="s">
        <v>295</v>
      </c>
      <c r="P582">
        <v>2.8405826502994162E-3</v>
      </c>
      <c r="Q582" t="s">
        <v>153</v>
      </c>
    </row>
    <row r="583" spans="9:17" x14ac:dyDescent="0.45">
      <c r="I583" t="s">
        <v>184</v>
      </c>
      <c r="J583" t="s">
        <v>296</v>
      </c>
      <c r="K583">
        <v>6.2165808068263557E-2</v>
      </c>
      <c r="L583" t="s">
        <v>153</v>
      </c>
      <c r="N583" t="s">
        <v>227</v>
      </c>
      <c r="O583" t="s">
        <v>296</v>
      </c>
      <c r="P583">
        <v>1.7632789716928506E-2</v>
      </c>
      <c r="Q583" t="s">
        <v>153</v>
      </c>
    </row>
    <row r="584" spans="9:17" x14ac:dyDescent="0.45">
      <c r="I584" t="s">
        <v>184</v>
      </c>
      <c r="J584" t="s">
        <v>297</v>
      </c>
      <c r="K584">
        <v>5.1230843250162621E-3</v>
      </c>
      <c r="L584" t="s">
        <v>153</v>
      </c>
      <c r="N584" t="s">
        <v>227</v>
      </c>
      <c r="O584" t="s">
        <v>297</v>
      </c>
      <c r="P584">
        <v>2.0026097606993731E-3</v>
      </c>
      <c r="Q584" t="s">
        <v>153</v>
      </c>
    </row>
    <row r="585" spans="9:17" x14ac:dyDescent="0.45">
      <c r="I585" t="s">
        <v>184</v>
      </c>
      <c r="J585" t="s">
        <v>298</v>
      </c>
      <c r="K585">
        <v>3.6785366151195925E-3</v>
      </c>
      <c r="L585" t="s">
        <v>153</v>
      </c>
      <c r="N585" t="s">
        <v>227</v>
      </c>
      <c r="O585" t="s">
        <v>298</v>
      </c>
      <c r="P585">
        <v>2.4204168552201095E-3</v>
      </c>
      <c r="Q585" t="s">
        <v>153</v>
      </c>
    </row>
    <row r="586" spans="9:17" x14ac:dyDescent="0.45">
      <c r="I586" t="s">
        <v>184</v>
      </c>
      <c r="J586" t="s">
        <v>299</v>
      </c>
      <c r="K586">
        <v>1.403808541790606E-3</v>
      </c>
      <c r="L586" t="s">
        <v>153</v>
      </c>
      <c r="N586" t="s">
        <v>227</v>
      </c>
      <c r="O586" t="s">
        <v>299</v>
      </c>
      <c r="P586">
        <v>1.9751390578941593E-2</v>
      </c>
      <c r="Q586" t="s">
        <v>153</v>
      </c>
    </row>
    <row r="587" spans="9:17" x14ac:dyDescent="0.45">
      <c r="I587" t="s">
        <v>185</v>
      </c>
      <c r="J587" t="s">
        <v>152</v>
      </c>
      <c r="K587">
        <v>7.6507230475733004E-4</v>
      </c>
      <c r="L587" t="s">
        <v>153</v>
      </c>
      <c r="N587" t="s">
        <v>228</v>
      </c>
      <c r="O587" t="s">
        <v>152</v>
      </c>
      <c r="P587">
        <v>0.13458344698435792</v>
      </c>
      <c r="Q587" t="s">
        <v>153</v>
      </c>
    </row>
    <row r="588" spans="9:17" x14ac:dyDescent="0.45">
      <c r="I588" t="s">
        <v>185</v>
      </c>
      <c r="J588" t="s">
        <v>154</v>
      </c>
      <c r="K588">
        <v>1.8506940054430827E-2</v>
      </c>
      <c r="L588" t="s">
        <v>153</v>
      </c>
      <c r="N588" t="s">
        <v>228</v>
      </c>
      <c r="O588" t="s">
        <v>154</v>
      </c>
      <c r="P588">
        <v>1.3011249469723395E-2</v>
      </c>
      <c r="Q588" t="s">
        <v>153</v>
      </c>
    </row>
    <row r="589" spans="9:17" x14ac:dyDescent="0.45">
      <c r="I589" t="s">
        <v>185</v>
      </c>
      <c r="J589" t="s">
        <v>155</v>
      </c>
      <c r="K589">
        <v>0.39012252036975809</v>
      </c>
      <c r="L589" t="s">
        <v>153</v>
      </c>
      <c r="N589" t="s">
        <v>228</v>
      </c>
      <c r="O589" t="s">
        <v>155</v>
      </c>
      <c r="P589">
        <v>9.5881831218600153E-2</v>
      </c>
      <c r="Q589" t="s">
        <v>153</v>
      </c>
    </row>
    <row r="590" spans="9:17" x14ac:dyDescent="0.45">
      <c r="I590" t="s">
        <v>185</v>
      </c>
      <c r="J590" t="s">
        <v>280</v>
      </c>
      <c r="K590">
        <v>3.5854175704162369E-2</v>
      </c>
      <c r="L590" t="s">
        <v>153</v>
      </c>
      <c r="N590" t="s">
        <v>228</v>
      </c>
      <c r="O590" t="s">
        <v>280</v>
      </c>
      <c r="P590">
        <v>1.0776304049484074E-2</v>
      </c>
      <c r="Q590" t="s">
        <v>153</v>
      </c>
    </row>
    <row r="591" spans="9:17" x14ac:dyDescent="0.45">
      <c r="I591" t="s">
        <v>185</v>
      </c>
      <c r="J591" t="s">
        <v>281</v>
      </c>
      <c r="K591">
        <v>2.066958261703004E-2</v>
      </c>
      <c r="L591" t="s">
        <v>153</v>
      </c>
      <c r="N591" t="s">
        <v>228</v>
      </c>
      <c r="O591" t="s">
        <v>281</v>
      </c>
      <c r="P591">
        <v>1.2173002088772965E-2</v>
      </c>
      <c r="Q591" t="s">
        <v>153</v>
      </c>
    </row>
    <row r="592" spans="9:17" x14ac:dyDescent="0.45">
      <c r="I592" t="s">
        <v>185</v>
      </c>
      <c r="J592" t="s">
        <v>282</v>
      </c>
      <c r="K592">
        <v>6.0216118120442856E-3</v>
      </c>
      <c r="L592" t="s">
        <v>153</v>
      </c>
      <c r="N592" t="s">
        <v>228</v>
      </c>
      <c r="O592" t="s">
        <v>282</v>
      </c>
      <c r="P592">
        <v>8.8211333929436961E-2</v>
      </c>
      <c r="Q592" t="s">
        <v>153</v>
      </c>
    </row>
    <row r="593" spans="9:17" x14ac:dyDescent="0.45">
      <c r="I593" t="s">
        <v>185</v>
      </c>
      <c r="J593" t="s">
        <v>156</v>
      </c>
      <c r="K593">
        <v>0</v>
      </c>
      <c r="L593" t="s">
        <v>153</v>
      </c>
      <c r="N593" t="s">
        <v>228</v>
      </c>
      <c r="O593" t="s">
        <v>156</v>
      </c>
      <c r="P593">
        <v>6.2564127291363333E-2</v>
      </c>
      <c r="Q593" t="s">
        <v>153</v>
      </c>
    </row>
    <row r="594" spans="9:17" x14ac:dyDescent="0.45">
      <c r="I594" t="s">
        <v>185</v>
      </c>
      <c r="J594" t="s">
        <v>157</v>
      </c>
      <c r="K594">
        <v>3.5772625523346332E-4</v>
      </c>
      <c r="L594" t="s">
        <v>153</v>
      </c>
      <c r="N594" t="s">
        <v>228</v>
      </c>
      <c r="O594" t="s">
        <v>157</v>
      </c>
      <c r="P594">
        <v>6.5072935702042778E-3</v>
      </c>
      <c r="Q594" t="s">
        <v>153</v>
      </c>
    </row>
    <row r="595" spans="9:17" x14ac:dyDescent="0.45">
      <c r="I595" t="s">
        <v>185</v>
      </c>
      <c r="J595" t="s">
        <v>158</v>
      </c>
      <c r="K595">
        <v>0.1204860165527388</v>
      </c>
      <c r="L595" t="s">
        <v>153</v>
      </c>
      <c r="N595" t="s">
        <v>228</v>
      </c>
      <c r="O595" t="s">
        <v>158</v>
      </c>
      <c r="P595">
        <v>4.5519216482794042E-2</v>
      </c>
      <c r="Q595" t="s">
        <v>153</v>
      </c>
    </row>
    <row r="596" spans="9:17" x14ac:dyDescent="0.45">
      <c r="I596" t="s">
        <v>185</v>
      </c>
      <c r="J596" t="s">
        <v>283</v>
      </c>
      <c r="K596">
        <v>9.8057845315151285E-3</v>
      </c>
      <c r="L596" t="s">
        <v>153</v>
      </c>
      <c r="N596" t="s">
        <v>228</v>
      </c>
      <c r="O596" t="s">
        <v>283</v>
      </c>
      <c r="P596">
        <v>5.8850778338080329E-3</v>
      </c>
      <c r="Q596" t="s">
        <v>153</v>
      </c>
    </row>
    <row r="597" spans="9:17" x14ac:dyDescent="0.45">
      <c r="I597" t="s">
        <v>185</v>
      </c>
      <c r="J597" t="s">
        <v>284</v>
      </c>
      <c r="K597">
        <v>2.4058863635018977E-3</v>
      </c>
      <c r="L597" t="s">
        <v>153</v>
      </c>
      <c r="N597" t="s">
        <v>228</v>
      </c>
      <c r="O597" t="s">
        <v>284</v>
      </c>
      <c r="P597">
        <v>6.8104705347619247E-3</v>
      </c>
      <c r="Q597" t="s">
        <v>153</v>
      </c>
    </row>
    <row r="598" spans="9:17" x14ac:dyDescent="0.45">
      <c r="I598" t="s">
        <v>185</v>
      </c>
      <c r="J598" t="s">
        <v>285</v>
      </c>
      <c r="K598">
        <v>0</v>
      </c>
      <c r="L598" t="s">
        <v>153</v>
      </c>
      <c r="N598" t="s">
        <v>228</v>
      </c>
      <c r="O598" t="s">
        <v>285</v>
      </c>
      <c r="P598">
        <v>4.2525397802582195E-2</v>
      </c>
      <c r="Q598" t="s">
        <v>153</v>
      </c>
    </row>
    <row r="599" spans="9:17" x14ac:dyDescent="0.45">
      <c r="I599" t="s">
        <v>185</v>
      </c>
      <c r="J599" t="s">
        <v>159</v>
      </c>
      <c r="K599">
        <v>4.0857902664398933E-3</v>
      </c>
      <c r="L599" t="s">
        <v>153</v>
      </c>
      <c r="N599" t="s">
        <v>228</v>
      </c>
      <c r="O599" t="s">
        <v>159</v>
      </c>
      <c r="P599">
        <v>0.13346999452203789</v>
      </c>
      <c r="Q599" t="s">
        <v>153</v>
      </c>
    </row>
    <row r="600" spans="9:17" x14ac:dyDescent="0.45">
      <c r="I600" t="s">
        <v>185</v>
      </c>
      <c r="J600" t="s">
        <v>160</v>
      </c>
      <c r="K600">
        <v>1.6117540868897016E-2</v>
      </c>
      <c r="L600" t="s">
        <v>153</v>
      </c>
      <c r="N600" t="s">
        <v>228</v>
      </c>
      <c r="O600" t="s">
        <v>160</v>
      </c>
      <c r="P600">
        <v>1.29696487240765E-2</v>
      </c>
      <c r="Q600" t="s">
        <v>153</v>
      </c>
    </row>
    <row r="601" spans="9:17" x14ac:dyDescent="0.45">
      <c r="I601" t="s">
        <v>185</v>
      </c>
      <c r="J601" t="s">
        <v>161</v>
      </c>
      <c r="K601">
        <v>0.25940220894625976</v>
      </c>
      <c r="L601" t="s">
        <v>153</v>
      </c>
      <c r="N601" t="s">
        <v>228</v>
      </c>
      <c r="O601" t="s">
        <v>161</v>
      </c>
      <c r="P601">
        <v>0.14487156806310164</v>
      </c>
      <c r="Q601" t="s">
        <v>153</v>
      </c>
    </row>
    <row r="602" spans="9:17" x14ac:dyDescent="0.45">
      <c r="I602" t="s">
        <v>185</v>
      </c>
      <c r="J602" t="s">
        <v>286</v>
      </c>
      <c r="K602">
        <v>2.1479553997679118E-2</v>
      </c>
      <c r="L602" t="s">
        <v>153</v>
      </c>
      <c r="N602" t="s">
        <v>228</v>
      </c>
      <c r="O602" t="s">
        <v>286</v>
      </c>
      <c r="P602">
        <v>1.6624455602369574E-2</v>
      </c>
      <c r="Q602" t="s">
        <v>153</v>
      </c>
    </row>
    <row r="603" spans="9:17" x14ac:dyDescent="0.45">
      <c r="I603" t="s">
        <v>185</v>
      </c>
      <c r="J603" t="s">
        <v>287</v>
      </c>
      <c r="K603">
        <v>1.371501730864819E-2</v>
      </c>
      <c r="L603" t="s">
        <v>153</v>
      </c>
      <c r="N603" t="s">
        <v>228</v>
      </c>
      <c r="O603" t="s">
        <v>287</v>
      </c>
      <c r="P603">
        <v>1.4749612234996797E-2</v>
      </c>
      <c r="Q603" t="s">
        <v>153</v>
      </c>
    </row>
    <row r="604" spans="9:17" x14ac:dyDescent="0.45">
      <c r="I604" t="s">
        <v>185</v>
      </c>
      <c r="J604" t="s">
        <v>288</v>
      </c>
      <c r="K604">
        <v>0</v>
      </c>
      <c r="L604" t="s">
        <v>153</v>
      </c>
      <c r="N604" t="s">
        <v>228</v>
      </c>
      <c r="O604" t="s">
        <v>288</v>
      </c>
      <c r="P604">
        <v>0.10175213712529324</v>
      </c>
      <c r="Q604" t="s">
        <v>153</v>
      </c>
    </row>
    <row r="605" spans="9:17" x14ac:dyDescent="0.45">
      <c r="I605" t="s">
        <v>185</v>
      </c>
      <c r="J605" t="s">
        <v>294</v>
      </c>
      <c r="K605">
        <v>2.17640311105815E-3</v>
      </c>
      <c r="L605" t="s">
        <v>153</v>
      </c>
      <c r="N605" t="s">
        <v>228</v>
      </c>
      <c r="O605" t="s">
        <v>294</v>
      </c>
      <c r="P605">
        <v>1.3514673552087821E-2</v>
      </c>
      <c r="Q605" t="s">
        <v>153</v>
      </c>
    </row>
    <row r="606" spans="9:17" x14ac:dyDescent="0.45">
      <c r="I606" t="s">
        <v>185</v>
      </c>
      <c r="J606" t="s">
        <v>295</v>
      </c>
      <c r="K606">
        <v>3.9501379093929935E-3</v>
      </c>
      <c r="L606" t="s">
        <v>153</v>
      </c>
      <c r="N606" t="s">
        <v>228</v>
      </c>
      <c r="O606" t="s">
        <v>295</v>
      </c>
      <c r="P606">
        <v>1.9549748445087094E-3</v>
      </c>
      <c r="Q606" t="s">
        <v>153</v>
      </c>
    </row>
    <row r="607" spans="9:17" x14ac:dyDescent="0.45">
      <c r="I607" t="s">
        <v>185</v>
      </c>
      <c r="J607" t="s">
        <v>296</v>
      </c>
      <c r="K607">
        <v>6.2562907284906003E-2</v>
      </c>
      <c r="L607" t="s">
        <v>153</v>
      </c>
      <c r="N607" t="s">
        <v>228</v>
      </c>
      <c r="O607" t="s">
        <v>296</v>
      </c>
      <c r="P607">
        <v>1.9657466339573822E-2</v>
      </c>
      <c r="Q607" t="s">
        <v>153</v>
      </c>
    </row>
    <row r="608" spans="9:17" x14ac:dyDescent="0.45">
      <c r="I608" t="s">
        <v>185</v>
      </c>
      <c r="J608" t="s">
        <v>297</v>
      </c>
      <c r="K608">
        <v>5.4533299153452204E-3</v>
      </c>
      <c r="L608" t="s">
        <v>153</v>
      </c>
      <c r="N608" t="s">
        <v>228</v>
      </c>
      <c r="O608" t="s">
        <v>297</v>
      </c>
      <c r="P608">
        <v>1.8846299408468541E-3</v>
      </c>
      <c r="Q608" t="s">
        <v>153</v>
      </c>
    </row>
    <row r="609" spans="9:17" x14ac:dyDescent="0.45">
      <c r="I609" t="s">
        <v>185</v>
      </c>
      <c r="J609" t="s">
        <v>298</v>
      </c>
      <c r="K609">
        <v>3.9859207578215022E-3</v>
      </c>
      <c r="L609" t="s">
        <v>153</v>
      </c>
      <c r="N609" t="s">
        <v>228</v>
      </c>
      <c r="O609" t="s">
        <v>298</v>
      </c>
      <c r="P609">
        <v>1.6957428058736301E-3</v>
      </c>
      <c r="Q609" t="s">
        <v>153</v>
      </c>
    </row>
    <row r="610" spans="9:17" x14ac:dyDescent="0.45">
      <c r="I610" t="s">
        <v>185</v>
      </c>
      <c r="J610" t="s">
        <v>299</v>
      </c>
      <c r="K610">
        <v>2.07587306838215E-3</v>
      </c>
      <c r="L610" t="s">
        <v>153</v>
      </c>
      <c r="N610" t="s">
        <v>228</v>
      </c>
      <c r="O610" t="s">
        <v>299</v>
      </c>
      <c r="P610">
        <v>1.2406344989344884E-2</v>
      </c>
      <c r="Q610" t="s">
        <v>153</v>
      </c>
    </row>
    <row r="611" spans="9:17" x14ac:dyDescent="0.45">
      <c r="I611" t="s">
        <v>186</v>
      </c>
      <c r="J611" t="s">
        <v>152</v>
      </c>
      <c r="K611">
        <v>1.124524664385998E-3</v>
      </c>
      <c r="L611" t="s">
        <v>153</v>
      </c>
      <c r="N611" t="s">
        <v>229</v>
      </c>
      <c r="O611" t="s">
        <v>152</v>
      </c>
      <c r="P611">
        <v>0.12387322183264518</v>
      </c>
      <c r="Q611" t="s">
        <v>153</v>
      </c>
    </row>
    <row r="612" spans="9:17" x14ac:dyDescent="0.45">
      <c r="I612" t="s">
        <v>186</v>
      </c>
      <c r="J612" t="s">
        <v>154</v>
      </c>
      <c r="K612">
        <v>1.3369446152804153E-2</v>
      </c>
      <c r="L612" t="s">
        <v>153</v>
      </c>
      <c r="N612" t="s">
        <v>229</v>
      </c>
      <c r="O612" t="s">
        <v>154</v>
      </c>
      <c r="P612">
        <v>1.0773475720064695E-2</v>
      </c>
      <c r="Q612" t="s">
        <v>153</v>
      </c>
    </row>
    <row r="613" spans="9:17" x14ac:dyDescent="0.45">
      <c r="I613" t="s">
        <v>186</v>
      </c>
      <c r="J613" t="s">
        <v>155</v>
      </c>
      <c r="K613">
        <v>0.38904426346848658</v>
      </c>
      <c r="L613" t="s">
        <v>153</v>
      </c>
      <c r="N613" t="s">
        <v>229</v>
      </c>
      <c r="O613" t="s">
        <v>155</v>
      </c>
      <c r="P613">
        <v>9.1232708622335235E-2</v>
      </c>
      <c r="Q613" t="s">
        <v>153</v>
      </c>
    </row>
    <row r="614" spans="9:17" x14ac:dyDescent="0.45">
      <c r="I614" t="s">
        <v>186</v>
      </c>
      <c r="J614" t="s">
        <v>280</v>
      </c>
      <c r="K614">
        <v>3.2612201823653424E-2</v>
      </c>
      <c r="L614" t="s">
        <v>153</v>
      </c>
      <c r="N614" t="s">
        <v>229</v>
      </c>
      <c r="O614" t="s">
        <v>280</v>
      </c>
      <c r="P614">
        <v>1.1237824843702147E-2</v>
      </c>
      <c r="Q614" t="s">
        <v>153</v>
      </c>
    </row>
    <row r="615" spans="9:17" x14ac:dyDescent="0.45">
      <c r="I615" t="s">
        <v>186</v>
      </c>
      <c r="J615" t="s">
        <v>281</v>
      </c>
      <c r="K615">
        <v>1.697164989512449E-2</v>
      </c>
      <c r="L615" t="s">
        <v>153</v>
      </c>
      <c r="N615" t="s">
        <v>229</v>
      </c>
      <c r="O615" t="s">
        <v>281</v>
      </c>
      <c r="P615">
        <v>1.3534401190091397E-2</v>
      </c>
      <c r="Q615" t="s">
        <v>153</v>
      </c>
    </row>
    <row r="616" spans="9:17" x14ac:dyDescent="0.45">
      <c r="I616" t="s">
        <v>186</v>
      </c>
      <c r="J616" t="s">
        <v>282</v>
      </c>
      <c r="K616">
        <v>5.8290746892347978E-3</v>
      </c>
      <c r="L616" t="s">
        <v>153</v>
      </c>
      <c r="N616" t="s">
        <v>229</v>
      </c>
      <c r="O616" t="s">
        <v>282</v>
      </c>
      <c r="P616">
        <v>0.11180387633224564</v>
      </c>
      <c r="Q616" t="s">
        <v>153</v>
      </c>
    </row>
    <row r="617" spans="9:17" x14ac:dyDescent="0.45">
      <c r="I617" t="s">
        <v>186</v>
      </c>
      <c r="J617" t="s">
        <v>156</v>
      </c>
      <c r="K617">
        <v>0</v>
      </c>
      <c r="L617" t="s">
        <v>153</v>
      </c>
      <c r="N617" t="s">
        <v>229</v>
      </c>
      <c r="O617" t="s">
        <v>156</v>
      </c>
      <c r="P617">
        <v>4.7729730863571733E-2</v>
      </c>
      <c r="Q617" t="s">
        <v>153</v>
      </c>
    </row>
    <row r="618" spans="9:17" x14ac:dyDescent="0.45">
      <c r="I618" t="s">
        <v>186</v>
      </c>
      <c r="J618" t="s">
        <v>157</v>
      </c>
      <c r="K618">
        <v>1.2686093852325556E-5</v>
      </c>
      <c r="L618" t="s">
        <v>153</v>
      </c>
      <c r="N618" t="s">
        <v>229</v>
      </c>
      <c r="O618" t="s">
        <v>157</v>
      </c>
      <c r="P618">
        <v>4.7424837116448876E-3</v>
      </c>
      <c r="Q618" t="s">
        <v>153</v>
      </c>
    </row>
    <row r="619" spans="9:17" x14ac:dyDescent="0.45">
      <c r="I619" t="s">
        <v>186</v>
      </c>
      <c r="J619" t="s">
        <v>158</v>
      </c>
      <c r="K619">
        <v>0.12491665050281753</v>
      </c>
      <c r="L619" t="s">
        <v>153</v>
      </c>
      <c r="N619" t="s">
        <v>229</v>
      </c>
      <c r="O619" t="s">
        <v>158</v>
      </c>
      <c r="P619">
        <v>3.8236496180410903E-2</v>
      </c>
      <c r="Q619" t="s">
        <v>153</v>
      </c>
    </row>
    <row r="620" spans="9:17" x14ac:dyDescent="0.45">
      <c r="I620" t="s">
        <v>186</v>
      </c>
      <c r="J620" t="s">
        <v>283</v>
      </c>
      <c r="K620">
        <v>1.1337454992936646E-2</v>
      </c>
      <c r="L620" t="s">
        <v>153</v>
      </c>
      <c r="N620" t="s">
        <v>229</v>
      </c>
      <c r="O620" t="s">
        <v>283</v>
      </c>
      <c r="P620">
        <v>4.5384072466538965E-3</v>
      </c>
      <c r="Q620" t="s">
        <v>153</v>
      </c>
    </row>
    <row r="621" spans="9:17" x14ac:dyDescent="0.45">
      <c r="I621" t="s">
        <v>186</v>
      </c>
      <c r="J621" t="s">
        <v>284</v>
      </c>
      <c r="K621">
        <v>2.2680096800737262E-3</v>
      </c>
      <c r="L621" t="s">
        <v>153</v>
      </c>
      <c r="N621" t="s">
        <v>229</v>
      </c>
      <c r="O621" t="s">
        <v>284</v>
      </c>
      <c r="P621">
        <v>6.394216017198708E-3</v>
      </c>
      <c r="Q621" t="s">
        <v>153</v>
      </c>
    </row>
    <row r="622" spans="9:17" x14ac:dyDescent="0.45">
      <c r="I622" t="s">
        <v>186</v>
      </c>
      <c r="J622" t="s">
        <v>285</v>
      </c>
      <c r="K622">
        <v>0</v>
      </c>
      <c r="L622" t="s">
        <v>153</v>
      </c>
      <c r="N622" t="s">
        <v>229</v>
      </c>
      <c r="O622" t="s">
        <v>285</v>
      </c>
      <c r="P622">
        <v>4.6544192395304648E-2</v>
      </c>
      <c r="Q622" t="s">
        <v>153</v>
      </c>
    </row>
    <row r="623" spans="9:17" x14ac:dyDescent="0.45">
      <c r="I623" t="s">
        <v>186</v>
      </c>
      <c r="J623" t="s">
        <v>159</v>
      </c>
      <c r="K623">
        <v>3.2616532493251029E-3</v>
      </c>
      <c r="L623" t="s">
        <v>153</v>
      </c>
      <c r="N623" t="s">
        <v>229</v>
      </c>
      <c r="O623" t="s">
        <v>159</v>
      </c>
      <c r="P623">
        <v>0.13383202300107763</v>
      </c>
      <c r="Q623" t="s">
        <v>153</v>
      </c>
    </row>
    <row r="624" spans="9:17" x14ac:dyDescent="0.45">
      <c r="I624" t="s">
        <v>186</v>
      </c>
      <c r="J624" t="s">
        <v>160</v>
      </c>
      <c r="K624">
        <v>1.582825140750967E-2</v>
      </c>
      <c r="L624" t="s">
        <v>153</v>
      </c>
      <c r="N624" t="s">
        <v>229</v>
      </c>
      <c r="O624" t="s">
        <v>160</v>
      </c>
      <c r="P624">
        <v>1.2103161937059653E-2</v>
      </c>
      <c r="Q624" t="s">
        <v>153</v>
      </c>
    </row>
    <row r="625" spans="9:17" x14ac:dyDescent="0.45">
      <c r="I625" t="s">
        <v>186</v>
      </c>
      <c r="J625" t="s">
        <v>161</v>
      </c>
      <c r="K625">
        <v>0.26537193355861144</v>
      </c>
      <c r="L625" t="s">
        <v>153</v>
      </c>
      <c r="N625" t="s">
        <v>229</v>
      </c>
      <c r="O625" t="s">
        <v>161</v>
      </c>
      <c r="P625">
        <v>0.11761933016887476</v>
      </c>
      <c r="Q625" t="s">
        <v>153</v>
      </c>
    </row>
    <row r="626" spans="9:17" x14ac:dyDescent="0.45">
      <c r="I626" t="s">
        <v>186</v>
      </c>
      <c r="J626" t="s">
        <v>286</v>
      </c>
      <c r="K626">
        <v>2.1075715576467195E-2</v>
      </c>
      <c r="L626" t="s">
        <v>153</v>
      </c>
      <c r="N626" t="s">
        <v>229</v>
      </c>
      <c r="O626" t="s">
        <v>286</v>
      </c>
      <c r="P626">
        <v>1.3481968188898139E-2</v>
      </c>
      <c r="Q626" t="s">
        <v>153</v>
      </c>
    </row>
    <row r="627" spans="9:17" x14ac:dyDescent="0.45">
      <c r="I627" t="s">
        <v>186</v>
      </c>
      <c r="J627" t="s">
        <v>287</v>
      </c>
      <c r="K627">
        <v>1.3278848541506953E-2</v>
      </c>
      <c r="L627" t="s">
        <v>153</v>
      </c>
      <c r="N627" t="s">
        <v>229</v>
      </c>
      <c r="O627" t="s">
        <v>287</v>
      </c>
      <c r="P627">
        <v>1.5475885885254679E-2</v>
      </c>
      <c r="Q627" t="s">
        <v>153</v>
      </c>
    </row>
    <row r="628" spans="9:17" x14ac:dyDescent="0.45">
      <c r="I628" t="s">
        <v>186</v>
      </c>
      <c r="J628" t="s">
        <v>288</v>
      </c>
      <c r="K628">
        <v>1.2965272008568871E-4</v>
      </c>
      <c r="L628" t="s">
        <v>153</v>
      </c>
      <c r="N628" t="s">
        <v>229</v>
      </c>
      <c r="O628" t="s">
        <v>288</v>
      </c>
      <c r="P628">
        <v>0.1371647438767398</v>
      </c>
      <c r="Q628" t="s">
        <v>153</v>
      </c>
    </row>
    <row r="629" spans="9:17" x14ac:dyDescent="0.45">
      <c r="I629" t="s">
        <v>186</v>
      </c>
      <c r="J629" t="s">
        <v>294</v>
      </c>
      <c r="K629">
        <v>1.255521880347298E-3</v>
      </c>
      <c r="L629" t="s">
        <v>153</v>
      </c>
      <c r="N629" t="s">
        <v>229</v>
      </c>
      <c r="O629" t="s">
        <v>294</v>
      </c>
      <c r="P629">
        <v>1.6881872303553039E-2</v>
      </c>
      <c r="Q629" t="s">
        <v>153</v>
      </c>
    </row>
    <row r="630" spans="9:17" x14ac:dyDescent="0.45">
      <c r="I630" t="s">
        <v>186</v>
      </c>
      <c r="J630" t="s">
        <v>295</v>
      </c>
      <c r="K630">
        <v>2.8510855788999308E-3</v>
      </c>
      <c r="L630" t="s">
        <v>153</v>
      </c>
      <c r="N630" t="s">
        <v>229</v>
      </c>
      <c r="O630" t="s">
        <v>295</v>
      </c>
      <c r="P630">
        <v>1.5320179246674339E-3</v>
      </c>
      <c r="Q630" t="s">
        <v>153</v>
      </c>
    </row>
    <row r="631" spans="9:17" x14ac:dyDescent="0.45">
      <c r="I631" t="s">
        <v>186</v>
      </c>
      <c r="J631" t="s">
        <v>296</v>
      </c>
      <c r="K631">
        <v>6.8287702016836496E-2</v>
      </c>
      <c r="L631" t="s">
        <v>153</v>
      </c>
      <c r="N631" t="s">
        <v>229</v>
      </c>
      <c r="O631" t="s">
        <v>296</v>
      </c>
      <c r="P631">
        <v>1.4548729025263172E-2</v>
      </c>
      <c r="Q631" t="s">
        <v>153</v>
      </c>
    </row>
    <row r="632" spans="9:17" x14ac:dyDescent="0.45">
      <c r="I632" t="s">
        <v>186</v>
      </c>
      <c r="J632" t="s">
        <v>297</v>
      </c>
      <c r="K632">
        <v>5.4118183089939932E-3</v>
      </c>
      <c r="L632" t="s">
        <v>153</v>
      </c>
      <c r="N632" t="s">
        <v>229</v>
      </c>
      <c r="O632" t="s">
        <v>297</v>
      </c>
      <c r="P632">
        <v>1.6665386543021474E-3</v>
      </c>
      <c r="Q632" t="s">
        <v>153</v>
      </c>
    </row>
    <row r="633" spans="9:17" x14ac:dyDescent="0.45">
      <c r="I633" t="s">
        <v>186</v>
      </c>
      <c r="J633" t="s">
        <v>298</v>
      </c>
      <c r="K633">
        <v>3.7117624811761393E-3</v>
      </c>
      <c r="L633" t="s">
        <v>153</v>
      </c>
      <c r="N633" t="s">
        <v>229</v>
      </c>
      <c r="O633" t="s">
        <v>298</v>
      </c>
      <c r="P633">
        <v>2.0218009589453825E-3</v>
      </c>
      <c r="Q633" t="s">
        <v>153</v>
      </c>
    </row>
    <row r="634" spans="9:17" x14ac:dyDescent="0.45">
      <c r="I634" t="s">
        <v>186</v>
      </c>
      <c r="J634" t="s">
        <v>299</v>
      </c>
      <c r="K634">
        <v>2.0500927168713009E-3</v>
      </c>
      <c r="L634" t="s">
        <v>153</v>
      </c>
      <c r="N634" t="s">
        <v>229</v>
      </c>
      <c r="O634" t="s">
        <v>299</v>
      </c>
      <c r="P634">
        <v>2.303089311949541E-2</v>
      </c>
      <c r="Q634" t="s">
        <v>153</v>
      </c>
    </row>
    <row r="635" spans="9:17" x14ac:dyDescent="0.45">
      <c r="I635" t="s">
        <v>187</v>
      </c>
      <c r="J635" t="s">
        <v>152</v>
      </c>
      <c r="K635">
        <v>1.3030584013847789E-3</v>
      </c>
      <c r="L635" t="s">
        <v>153</v>
      </c>
      <c r="N635" t="s">
        <v>230</v>
      </c>
      <c r="O635" t="s">
        <v>152</v>
      </c>
      <c r="P635">
        <v>0.15459095098159312</v>
      </c>
      <c r="Q635" t="s">
        <v>153</v>
      </c>
    </row>
    <row r="636" spans="9:17" x14ac:dyDescent="0.45">
      <c r="I636" t="s">
        <v>187</v>
      </c>
      <c r="J636" t="s">
        <v>154</v>
      </c>
      <c r="K636">
        <v>1.3217015322860541E-2</v>
      </c>
      <c r="L636" t="s">
        <v>153</v>
      </c>
      <c r="N636" t="s">
        <v>230</v>
      </c>
      <c r="O636" t="s">
        <v>154</v>
      </c>
      <c r="P636">
        <v>1.5643804677314337E-2</v>
      </c>
      <c r="Q636" t="s">
        <v>153</v>
      </c>
    </row>
    <row r="637" spans="9:17" x14ac:dyDescent="0.45">
      <c r="I637" t="s">
        <v>187</v>
      </c>
      <c r="J637" t="s">
        <v>155</v>
      </c>
      <c r="K637">
        <v>0.38799930227589219</v>
      </c>
      <c r="L637" t="s">
        <v>153</v>
      </c>
      <c r="N637" t="s">
        <v>230</v>
      </c>
      <c r="O637" t="s">
        <v>155</v>
      </c>
      <c r="P637">
        <v>9.4480810969255008E-2</v>
      </c>
      <c r="Q637" t="s">
        <v>153</v>
      </c>
    </row>
    <row r="638" spans="9:17" x14ac:dyDescent="0.45">
      <c r="I638" t="s">
        <v>187</v>
      </c>
      <c r="J638" t="s">
        <v>280</v>
      </c>
      <c r="K638">
        <v>3.3230006383815701E-2</v>
      </c>
      <c r="L638" t="s">
        <v>153</v>
      </c>
      <c r="N638" t="s">
        <v>230</v>
      </c>
      <c r="O638" t="s">
        <v>280</v>
      </c>
      <c r="P638">
        <v>1.0098779609069731E-2</v>
      </c>
      <c r="Q638" t="s">
        <v>153</v>
      </c>
    </row>
    <row r="639" spans="9:17" x14ac:dyDescent="0.45">
      <c r="I639" t="s">
        <v>187</v>
      </c>
      <c r="J639" t="s">
        <v>281</v>
      </c>
      <c r="K639">
        <v>1.6341438318855487E-2</v>
      </c>
      <c r="L639" t="s">
        <v>153</v>
      </c>
      <c r="N639" t="s">
        <v>230</v>
      </c>
      <c r="O639" t="s">
        <v>281</v>
      </c>
      <c r="P639">
        <v>1.0618705325864706E-2</v>
      </c>
      <c r="Q639" t="s">
        <v>153</v>
      </c>
    </row>
    <row r="640" spans="9:17" x14ac:dyDescent="0.45">
      <c r="I640" t="s">
        <v>187</v>
      </c>
      <c r="J640" t="s">
        <v>282</v>
      </c>
      <c r="K640">
        <v>5.475359169648749E-3</v>
      </c>
      <c r="L640" t="s">
        <v>153</v>
      </c>
      <c r="N640" t="s">
        <v>230</v>
      </c>
      <c r="O640" t="s">
        <v>282</v>
      </c>
      <c r="P640">
        <v>9.7199991313647455E-2</v>
      </c>
      <c r="Q640" t="s">
        <v>153</v>
      </c>
    </row>
    <row r="641" spans="9:17" x14ac:dyDescent="0.45">
      <c r="I641" t="s">
        <v>187</v>
      </c>
      <c r="J641" t="s">
        <v>156</v>
      </c>
      <c r="K641">
        <v>0</v>
      </c>
      <c r="L641" t="s">
        <v>153</v>
      </c>
      <c r="N641" t="s">
        <v>230</v>
      </c>
      <c r="O641" t="s">
        <v>156</v>
      </c>
      <c r="P641">
        <v>6.3342172232516869E-2</v>
      </c>
      <c r="Q641" t="s">
        <v>153</v>
      </c>
    </row>
    <row r="642" spans="9:17" x14ac:dyDescent="0.45">
      <c r="I642" t="s">
        <v>187</v>
      </c>
      <c r="J642" t="s">
        <v>157</v>
      </c>
      <c r="K642">
        <v>0</v>
      </c>
      <c r="L642" t="s">
        <v>153</v>
      </c>
      <c r="N642" t="s">
        <v>230</v>
      </c>
      <c r="O642" t="s">
        <v>157</v>
      </c>
      <c r="P642">
        <v>6.6324595453038752E-3</v>
      </c>
      <c r="Q642" t="s">
        <v>153</v>
      </c>
    </row>
    <row r="643" spans="9:17" x14ac:dyDescent="0.45">
      <c r="I643" t="s">
        <v>187</v>
      </c>
      <c r="J643" t="s">
        <v>158</v>
      </c>
      <c r="K643">
        <v>0.12324296670937132</v>
      </c>
      <c r="L643" t="s">
        <v>153</v>
      </c>
      <c r="N643" t="s">
        <v>230</v>
      </c>
      <c r="O643" t="s">
        <v>158</v>
      </c>
      <c r="P643">
        <v>4.5927271167805428E-2</v>
      </c>
      <c r="Q643" t="s">
        <v>153</v>
      </c>
    </row>
    <row r="644" spans="9:17" x14ac:dyDescent="0.45">
      <c r="I644" t="s">
        <v>187</v>
      </c>
      <c r="J644" t="s">
        <v>283</v>
      </c>
      <c r="K644">
        <v>1.1370860184548293E-2</v>
      </c>
      <c r="L644" t="s">
        <v>153</v>
      </c>
      <c r="N644" t="s">
        <v>230</v>
      </c>
      <c r="O644" t="s">
        <v>283</v>
      </c>
      <c r="P644">
        <v>4.9986233355611758E-3</v>
      </c>
      <c r="Q644" t="s">
        <v>153</v>
      </c>
    </row>
    <row r="645" spans="9:17" x14ac:dyDescent="0.45">
      <c r="I645" t="s">
        <v>187</v>
      </c>
      <c r="J645" t="s">
        <v>284</v>
      </c>
      <c r="K645">
        <v>1.434568421100289E-3</v>
      </c>
      <c r="L645" t="s">
        <v>153</v>
      </c>
      <c r="N645" t="s">
        <v>230</v>
      </c>
      <c r="O645" t="s">
        <v>284</v>
      </c>
      <c r="P645">
        <v>5.2725179182982439E-3</v>
      </c>
      <c r="Q645" t="s">
        <v>153</v>
      </c>
    </row>
    <row r="646" spans="9:17" x14ac:dyDescent="0.45">
      <c r="I646" t="s">
        <v>187</v>
      </c>
      <c r="J646" t="s">
        <v>285</v>
      </c>
      <c r="K646">
        <v>0</v>
      </c>
      <c r="L646" t="s">
        <v>153</v>
      </c>
      <c r="N646" t="s">
        <v>230</v>
      </c>
      <c r="O646" t="s">
        <v>285</v>
      </c>
      <c r="P646">
        <v>3.5769140911862535E-2</v>
      </c>
      <c r="Q646" t="s">
        <v>153</v>
      </c>
    </row>
    <row r="647" spans="9:17" x14ac:dyDescent="0.45">
      <c r="I647" t="s">
        <v>187</v>
      </c>
      <c r="J647" t="s">
        <v>159</v>
      </c>
      <c r="K647">
        <v>3.2556666079813115E-3</v>
      </c>
      <c r="L647" t="s">
        <v>153</v>
      </c>
      <c r="N647" t="s">
        <v>230</v>
      </c>
      <c r="O647" t="s">
        <v>159</v>
      </c>
      <c r="P647">
        <v>0.1413824873757227</v>
      </c>
      <c r="Q647" t="s">
        <v>153</v>
      </c>
    </row>
    <row r="648" spans="9:17" x14ac:dyDescent="0.45">
      <c r="I648" t="s">
        <v>187</v>
      </c>
      <c r="J648" t="s">
        <v>160</v>
      </c>
      <c r="K648">
        <v>1.5256997082528964E-2</v>
      </c>
      <c r="L648" t="s">
        <v>153</v>
      </c>
      <c r="N648" t="s">
        <v>230</v>
      </c>
      <c r="O648" t="s">
        <v>160</v>
      </c>
      <c r="P648">
        <v>1.3670284703024414E-2</v>
      </c>
      <c r="Q648" t="s">
        <v>153</v>
      </c>
    </row>
    <row r="649" spans="9:17" x14ac:dyDescent="0.45">
      <c r="I649" t="s">
        <v>187</v>
      </c>
      <c r="J649" t="s">
        <v>161</v>
      </c>
      <c r="K649">
        <v>0.26424489717033112</v>
      </c>
      <c r="L649" t="s">
        <v>153</v>
      </c>
      <c r="N649" t="s">
        <v>230</v>
      </c>
      <c r="O649" t="s">
        <v>161</v>
      </c>
      <c r="P649">
        <v>0.11767964011841765</v>
      </c>
      <c r="Q649" t="s">
        <v>153</v>
      </c>
    </row>
    <row r="650" spans="9:17" x14ac:dyDescent="0.45">
      <c r="I650" t="s">
        <v>187</v>
      </c>
      <c r="J650" t="s">
        <v>286</v>
      </c>
      <c r="K650">
        <v>2.163426942085124E-2</v>
      </c>
      <c r="L650" t="s">
        <v>153</v>
      </c>
      <c r="N650" t="s">
        <v>230</v>
      </c>
      <c r="O650" t="s">
        <v>286</v>
      </c>
      <c r="P650">
        <v>1.4301695821686536E-2</v>
      </c>
      <c r="Q650" t="s">
        <v>153</v>
      </c>
    </row>
    <row r="651" spans="9:17" x14ac:dyDescent="0.45">
      <c r="I651" t="s">
        <v>187</v>
      </c>
      <c r="J651" t="s">
        <v>287</v>
      </c>
      <c r="K651">
        <v>1.3651762128904614E-2</v>
      </c>
      <c r="L651" t="s">
        <v>153</v>
      </c>
      <c r="N651" t="s">
        <v>230</v>
      </c>
      <c r="O651" t="s">
        <v>287</v>
      </c>
      <c r="P651">
        <v>1.2700829195013617E-2</v>
      </c>
      <c r="Q651" t="s">
        <v>153</v>
      </c>
    </row>
    <row r="652" spans="9:17" x14ac:dyDescent="0.45">
      <c r="I652" t="s">
        <v>187</v>
      </c>
      <c r="J652" t="s">
        <v>288</v>
      </c>
      <c r="K652">
        <v>1.910769002624765E-4</v>
      </c>
      <c r="L652" t="s">
        <v>153</v>
      </c>
      <c r="N652" t="s">
        <v>230</v>
      </c>
      <c r="O652" t="s">
        <v>288</v>
      </c>
      <c r="P652">
        <v>8.8968679900141373E-2</v>
      </c>
      <c r="Q652" t="s">
        <v>153</v>
      </c>
    </row>
    <row r="653" spans="9:17" x14ac:dyDescent="0.45">
      <c r="I653" t="s">
        <v>187</v>
      </c>
      <c r="J653" t="s">
        <v>294</v>
      </c>
      <c r="K653">
        <v>1.4249823646245189E-3</v>
      </c>
      <c r="L653" t="s">
        <v>153</v>
      </c>
      <c r="N653" t="s">
        <v>230</v>
      </c>
      <c r="O653" t="s">
        <v>294</v>
      </c>
      <c r="P653">
        <v>2.5633178459174552E-2</v>
      </c>
      <c r="Q653" t="s">
        <v>153</v>
      </c>
    </row>
    <row r="654" spans="9:17" x14ac:dyDescent="0.45">
      <c r="I654" t="s">
        <v>187</v>
      </c>
      <c r="J654" t="s">
        <v>295</v>
      </c>
      <c r="K654">
        <v>3.1149705228217155E-3</v>
      </c>
      <c r="L654" t="s">
        <v>153</v>
      </c>
      <c r="N654" t="s">
        <v>230</v>
      </c>
      <c r="O654" t="s">
        <v>295</v>
      </c>
      <c r="P654">
        <v>2.2179207256293643E-3</v>
      </c>
      <c r="Q654" t="s">
        <v>153</v>
      </c>
    </row>
    <row r="655" spans="9:17" x14ac:dyDescent="0.45">
      <c r="I655" t="s">
        <v>187</v>
      </c>
      <c r="J655" t="s">
        <v>296</v>
      </c>
      <c r="K655">
        <v>7.2423303179421E-2</v>
      </c>
      <c r="L655" t="s">
        <v>153</v>
      </c>
      <c r="N655" t="s">
        <v>230</v>
      </c>
      <c r="O655" t="s">
        <v>296</v>
      </c>
      <c r="P655">
        <v>1.9991630972960649E-2</v>
      </c>
      <c r="Q655" t="s">
        <v>153</v>
      </c>
    </row>
    <row r="656" spans="9:17" x14ac:dyDescent="0.45">
      <c r="I656" t="s">
        <v>187</v>
      </c>
      <c r="J656" t="s">
        <v>297</v>
      </c>
      <c r="K656">
        <v>5.442283907690886E-3</v>
      </c>
      <c r="L656" t="s">
        <v>153</v>
      </c>
      <c r="N656" t="s">
        <v>230</v>
      </c>
      <c r="O656" t="s">
        <v>297</v>
      </c>
      <c r="P656">
        <v>2.5796021903671629E-3</v>
      </c>
      <c r="Q656" t="s">
        <v>153</v>
      </c>
    </row>
    <row r="657" spans="9:17" x14ac:dyDescent="0.45">
      <c r="I657" t="s">
        <v>187</v>
      </c>
      <c r="J657" t="s">
        <v>298</v>
      </c>
      <c r="K657">
        <v>3.7352414052129464E-3</v>
      </c>
      <c r="L657" t="s">
        <v>153</v>
      </c>
      <c r="N657" t="s">
        <v>230</v>
      </c>
      <c r="O657" t="s">
        <v>298</v>
      </c>
      <c r="P657">
        <v>1.9560099600842229E-3</v>
      </c>
      <c r="Q657" t="s">
        <v>153</v>
      </c>
    </row>
    <row r="658" spans="9:17" x14ac:dyDescent="0.45">
      <c r="I658" t="s">
        <v>187</v>
      </c>
      <c r="J658" t="s">
        <v>299</v>
      </c>
      <c r="K658">
        <v>2.0099741218942324E-3</v>
      </c>
      <c r="L658" t="s">
        <v>153</v>
      </c>
      <c r="N658" t="s">
        <v>230</v>
      </c>
      <c r="O658" t="s">
        <v>299</v>
      </c>
      <c r="P658">
        <v>1.4342812589683082E-2</v>
      </c>
      <c r="Q658" t="s">
        <v>153</v>
      </c>
    </row>
    <row r="659" spans="9:17" x14ac:dyDescent="0.45">
      <c r="I659" t="s">
        <v>188</v>
      </c>
      <c r="J659" t="s">
        <v>152</v>
      </c>
      <c r="K659">
        <v>2.2647414870390578E-3</v>
      </c>
      <c r="L659" t="s">
        <v>153</v>
      </c>
      <c r="N659" t="s">
        <v>231</v>
      </c>
      <c r="O659" t="s">
        <v>152</v>
      </c>
      <c r="P659">
        <v>0.14630643367796065</v>
      </c>
      <c r="Q659" t="s">
        <v>153</v>
      </c>
    </row>
    <row r="660" spans="9:17" x14ac:dyDescent="0.45">
      <c r="I660" t="s">
        <v>188</v>
      </c>
      <c r="J660" t="s">
        <v>154</v>
      </c>
      <c r="K660">
        <v>1.7118216479668855E-2</v>
      </c>
      <c r="L660" t="s">
        <v>153</v>
      </c>
      <c r="N660" t="s">
        <v>231</v>
      </c>
      <c r="O660" t="s">
        <v>154</v>
      </c>
      <c r="P660">
        <v>1.8472454548448685E-2</v>
      </c>
      <c r="Q660" t="s">
        <v>153</v>
      </c>
    </row>
    <row r="661" spans="9:17" x14ac:dyDescent="0.45">
      <c r="I661" t="s">
        <v>188</v>
      </c>
      <c r="J661" t="s">
        <v>155</v>
      </c>
      <c r="K661">
        <v>0.39311635219363505</v>
      </c>
      <c r="L661" t="s">
        <v>153</v>
      </c>
      <c r="N661" t="s">
        <v>231</v>
      </c>
      <c r="O661" t="s">
        <v>155</v>
      </c>
      <c r="P661">
        <v>9.9366556867521064E-2</v>
      </c>
      <c r="Q661" t="s">
        <v>153</v>
      </c>
    </row>
    <row r="662" spans="9:17" x14ac:dyDescent="0.45">
      <c r="I662" t="s">
        <v>188</v>
      </c>
      <c r="J662" t="s">
        <v>280</v>
      </c>
      <c r="K662">
        <v>3.2189338618228057E-2</v>
      </c>
      <c r="L662" t="s">
        <v>153</v>
      </c>
      <c r="N662" t="s">
        <v>231</v>
      </c>
      <c r="O662" t="s">
        <v>280</v>
      </c>
      <c r="P662">
        <v>8.6041030374099901E-3</v>
      </c>
      <c r="Q662" t="s">
        <v>153</v>
      </c>
    </row>
    <row r="663" spans="9:17" x14ac:dyDescent="0.45">
      <c r="I663" t="s">
        <v>188</v>
      </c>
      <c r="J663" t="s">
        <v>281</v>
      </c>
      <c r="K663">
        <v>1.5383464184237168E-2</v>
      </c>
      <c r="L663" t="s">
        <v>153</v>
      </c>
      <c r="N663" t="s">
        <v>231</v>
      </c>
      <c r="O663" t="s">
        <v>281</v>
      </c>
      <c r="P663">
        <v>9.4319452866137299E-3</v>
      </c>
      <c r="Q663" t="s">
        <v>153</v>
      </c>
    </row>
    <row r="664" spans="9:17" x14ac:dyDescent="0.45">
      <c r="I664" t="s">
        <v>188</v>
      </c>
      <c r="J664" t="s">
        <v>282</v>
      </c>
      <c r="K664">
        <v>4.2890573314101638E-3</v>
      </c>
      <c r="L664" t="s">
        <v>153</v>
      </c>
      <c r="N664" t="s">
        <v>231</v>
      </c>
      <c r="O664" t="s">
        <v>282</v>
      </c>
      <c r="P664">
        <v>8.0912392858985549E-2</v>
      </c>
      <c r="Q664" t="s">
        <v>153</v>
      </c>
    </row>
    <row r="665" spans="9:17" x14ac:dyDescent="0.45">
      <c r="I665" t="s">
        <v>188</v>
      </c>
      <c r="J665" t="s">
        <v>156</v>
      </c>
      <c r="K665">
        <v>0</v>
      </c>
      <c r="L665" t="s">
        <v>153</v>
      </c>
      <c r="N665" t="s">
        <v>231</v>
      </c>
      <c r="O665" t="s">
        <v>156</v>
      </c>
      <c r="P665">
        <v>6.8183313308515292E-2</v>
      </c>
      <c r="Q665" t="s">
        <v>153</v>
      </c>
    </row>
    <row r="666" spans="9:17" x14ac:dyDescent="0.45">
      <c r="I666" t="s">
        <v>188</v>
      </c>
      <c r="J666" t="s">
        <v>157</v>
      </c>
      <c r="K666">
        <v>3.4757222413470622E-4</v>
      </c>
      <c r="L666" t="s">
        <v>153</v>
      </c>
      <c r="N666" t="s">
        <v>231</v>
      </c>
      <c r="O666" t="s">
        <v>157</v>
      </c>
      <c r="P666">
        <v>8.4310219186962444E-3</v>
      </c>
      <c r="Q666" t="s">
        <v>153</v>
      </c>
    </row>
    <row r="667" spans="9:17" x14ac:dyDescent="0.45">
      <c r="I667" t="s">
        <v>188</v>
      </c>
      <c r="J667" t="s">
        <v>158</v>
      </c>
      <c r="K667">
        <v>0.11989615430999023</v>
      </c>
      <c r="L667" t="s">
        <v>153</v>
      </c>
      <c r="N667" t="s">
        <v>231</v>
      </c>
      <c r="O667" t="s">
        <v>158</v>
      </c>
      <c r="P667">
        <v>5.2074837823099379E-2</v>
      </c>
      <c r="Q667" t="s">
        <v>153</v>
      </c>
    </row>
    <row r="668" spans="9:17" x14ac:dyDescent="0.45">
      <c r="I668" t="s">
        <v>188</v>
      </c>
      <c r="J668" t="s">
        <v>283</v>
      </c>
      <c r="K668">
        <v>9.620804614834215E-3</v>
      </c>
      <c r="L668" t="s">
        <v>153</v>
      </c>
      <c r="N668" t="s">
        <v>231</v>
      </c>
      <c r="O668" t="s">
        <v>283</v>
      </c>
      <c r="P668">
        <v>5.1221410432305877E-3</v>
      </c>
      <c r="Q668" t="s">
        <v>153</v>
      </c>
    </row>
    <row r="669" spans="9:17" x14ac:dyDescent="0.45">
      <c r="I669" t="s">
        <v>188</v>
      </c>
      <c r="J669" t="s">
        <v>284</v>
      </c>
      <c r="K669">
        <v>0</v>
      </c>
      <c r="L669" t="s">
        <v>153</v>
      </c>
      <c r="N669" t="s">
        <v>231</v>
      </c>
      <c r="O669" t="s">
        <v>284</v>
      </c>
      <c r="P669">
        <v>5.6886463601372866E-3</v>
      </c>
      <c r="Q669" t="s">
        <v>153</v>
      </c>
    </row>
    <row r="670" spans="9:17" x14ac:dyDescent="0.45">
      <c r="I670" t="s">
        <v>188</v>
      </c>
      <c r="J670" t="s">
        <v>285</v>
      </c>
      <c r="K670">
        <v>0</v>
      </c>
      <c r="L670" t="s">
        <v>153</v>
      </c>
      <c r="N670" t="s">
        <v>231</v>
      </c>
      <c r="O670" t="s">
        <v>285</v>
      </c>
      <c r="P670">
        <v>4.175541024913855E-2</v>
      </c>
      <c r="Q670" t="s">
        <v>153</v>
      </c>
    </row>
    <row r="671" spans="9:17" x14ac:dyDescent="0.45">
      <c r="I671" t="s">
        <v>188</v>
      </c>
      <c r="J671" t="s">
        <v>159</v>
      </c>
      <c r="K671">
        <v>5.3748520421144034E-3</v>
      </c>
      <c r="L671" t="s">
        <v>153</v>
      </c>
      <c r="N671" t="s">
        <v>231</v>
      </c>
      <c r="O671" t="s">
        <v>159</v>
      </c>
      <c r="P671">
        <v>0.14266175040012946</v>
      </c>
      <c r="Q671" t="s">
        <v>153</v>
      </c>
    </row>
    <row r="672" spans="9:17" x14ac:dyDescent="0.45">
      <c r="I672" t="s">
        <v>188</v>
      </c>
      <c r="J672" t="s">
        <v>160</v>
      </c>
      <c r="K672">
        <v>1.6684949017354702E-2</v>
      </c>
      <c r="L672" t="s">
        <v>153</v>
      </c>
      <c r="N672" t="s">
        <v>231</v>
      </c>
      <c r="O672" t="s">
        <v>160</v>
      </c>
      <c r="P672">
        <v>1.7110687668426789E-2</v>
      </c>
      <c r="Q672" t="s">
        <v>153</v>
      </c>
    </row>
    <row r="673" spans="9:17" x14ac:dyDescent="0.45">
      <c r="I673" t="s">
        <v>188</v>
      </c>
      <c r="J673" t="s">
        <v>161</v>
      </c>
      <c r="K673">
        <v>0.26280462036681268</v>
      </c>
      <c r="L673" t="s">
        <v>153</v>
      </c>
      <c r="N673" t="s">
        <v>231</v>
      </c>
      <c r="O673" t="s">
        <v>161</v>
      </c>
      <c r="P673">
        <v>0.12980007802955945</v>
      </c>
      <c r="Q673" t="s">
        <v>153</v>
      </c>
    </row>
    <row r="674" spans="9:17" x14ac:dyDescent="0.45">
      <c r="I674" t="s">
        <v>188</v>
      </c>
      <c r="J674" t="s">
        <v>286</v>
      </c>
      <c r="K674">
        <v>2.0230264405167803E-2</v>
      </c>
      <c r="L674" t="s">
        <v>153</v>
      </c>
      <c r="N674" t="s">
        <v>231</v>
      </c>
      <c r="O674" t="s">
        <v>286</v>
      </c>
      <c r="P674">
        <v>1.4029296502482035E-2</v>
      </c>
      <c r="Q674" t="s">
        <v>153</v>
      </c>
    </row>
    <row r="675" spans="9:17" x14ac:dyDescent="0.45">
      <c r="I675" t="s">
        <v>188</v>
      </c>
      <c r="J675" t="s">
        <v>287</v>
      </c>
      <c r="K675">
        <v>1.170267257256615E-2</v>
      </c>
      <c r="L675" t="s">
        <v>153</v>
      </c>
      <c r="N675" t="s">
        <v>231</v>
      </c>
      <c r="O675" t="s">
        <v>287</v>
      </c>
      <c r="P675">
        <v>1.2622110851050389E-2</v>
      </c>
      <c r="Q675" t="s">
        <v>153</v>
      </c>
    </row>
    <row r="676" spans="9:17" x14ac:dyDescent="0.45">
      <c r="I676" t="s">
        <v>188</v>
      </c>
      <c r="J676" t="s">
        <v>288</v>
      </c>
      <c r="K676">
        <v>4.3203390208168579E-5</v>
      </c>
      <c r="L676" t="s">
        <v>153</v>
      </c>
      <c r="N676" t="s">
        <v>231</v>
      </c>
      <c r="O676" t="s">
        <v>288</v>
      </c>
      <c r="P676">
        <v>8.2612451414796714E-2</v>
      </c>
      <c r="Q676" t="s">
        <v>153</v>
      </c>
    </row>
    <row r="677" spans="9:17" x14ac:dyDescent="0.45">
      <c r="I677" t="s">
        <v>188</v>
      </c>
      <c r="J677" t="s">
        <v>294</v>
      </c>
      <c r="K677">
        <v>1.9022028952303098E-3</v>
      </c>
      <c r="L677" t="s">
        <v>153</v>
      </c>
      <c r="N677" t="s">
        <v>231</v>
      </c>
      <c r="O677" t="s">
        <v>294</v>
      </c>
      <c r="P677">
        <v>1.9881525015854135E-2</v>
      </c>
      <c r="Q677" t="s">
        <v>153</v>
      </c>
    </row>
    <row r="678" spans="9:17" x14ac:dyDescent="0.45">
      <c r="I678" t="s">
        <v>188</v>
      </c>
      <c r="J678" t="s">
        <v>295</v>
      </c>
      <c r="K678">
        <v>3.9466127362797815E-3</v>
      </c>
      <c r="L678" t="s">
        <v>153</v>
      </c>
      <c r="N678" t="s">
        <v>231</v>
      </c>
      <c r="O678" t="s">
        <v>295</v>
      </c>
      <c r="P678">
        <v>2.4208159756916653E-3</v>
      </c>
      <c r="Q678" t="s">
        <v>153</v>
      </c>
    </row>
    <row r="679" spans="9:17" x14ac:dyDescent="0.45">
      <c r="I679" t="s">
        <v>188</v>
      </c>
      <c r="J679" t="s">
        <v>296</v>
      </c>
      <c r="K679">
        <v>7.3401044639317306E-2</v>
      </c>
      <c r="L679" t="s">
        <v>153</v>
      </c>
      <c r="N679" t="s">
        <v>231</v>
      </c>
      <c r="O679" t="s">
        <v>296</v>
      </c>
      <c r="P679">
        <v>1.9466924191471509E-2</v>
      </c>
      <c r="Q679" t="s">
        <v>153</v>
      </c>
    </row>
    <row r="680" spans="9:17" x14ac:dyDescent="0.45">
      <c r="I680" t="s">
        <v>188</v>
      </c>
      <c r="J680" t="s">
        <v>297</v>
      </c>
      <c r="K680">
        <v>4.8251687145442002E-3</v>
      </c>
      <c r="L680" t="s">
        <v>153</v>
      </c>
      <c r="N680" t="s">
        <v>231</v>
      </c>
      <c r="O680" t="s">
        <v>297</v>
      </c>
      <c r="P680">
        <v>2.1077399125164942E-3</v>
      </c>
      <c r="Q680" t="s">
        <v>153</v>
      </c>
    </row>
    <row r="681" spans="9:17" x14ac:dyDescent="0.45">
      <c r="I681" t="s">
        <v>188</v>
      </c>
      <c r="J681" t="s">
        <v>298</v>
      </c>
      <c r="K681">
        <v>3.3148088606915222E-3</v>
      </c>
      <c r="L681" t="s">
        <v>153</v>
      </c>
      <c r="N681" t="s">
        <v>231</v>
      </c>
      <c r="O681" t="s">
        <v>298</v>
      </c>
      <c r="P681">
        <v>1.8329176332545255E-3</v>
      </c>
      <c r="Q681" t="s">
        <v>153</v>
      </c>
    </row>
    <row r="682" spans="9:17" x14ac:dyDescent="0.45">
      <c r="I682" t="s">
        <v>188</v>
      </c>
      <c r="J682" t="s">
        <v>299</v>
      </c>
      <c r="K682">
        <v>1.5438989165354505E-3</v>
      </c>
      <c r="L682" t="s">
        <v>153</v>
      </c>
      <c r="N682" t="s">
        <v>231</v>
      </c>
      <c r="O682" t="s">
        <v>299</v>
      </c>
      <c r="P682">
        <v>1.1104445425009065E-2</v>
      </c>
      <c r="Q682" t="s">
        <v>153</v>
      </c>
    </row>
    <row r="683" spans="9:17" x14ac:dyDescent="0.45">
      <c r="I683" t="s">
        <v>189</v>
      </c>
      <c r="J683" t="s">
        <v>152</v>
      </c>
      <c r="K683">
        <v>1.7663631331000763E-3</v>
      </c>
      <c r="L683" t="s">
        <v>153</v>
      </c>
      <c r="N683" t="s">
        <v>232</v>
      </c>
      <c r="O683" t="s">
        <v>152</v>
      </c>
      <c r="P683">
        <v>0.14953903795539703</v>
      </c>
      <c r="Q683" t="s">
        <v>153</v>
      </c>
    </row>
    <row r="684" spans="9:17" x14ac:dyDescent="0.45">
      <c r="I684" t="s">
        <v>189</v>
      </c>
      <c r="J684" t="s">
        <v>154</v>
      </c>
      <c r="K684">
        <v>1.4388216844465607E-2</v>
      </c>
      <c r="L684" t="s">
        <v>153</v>
      </c>
      <c r="N684" t="s">
        <v>232</v>
      </c>
      <c r="O684" t="s">
        <v>154</v>
      </c>
      <c r="P684">
        <v>1.5798849643525948E-2</v>
      </c>
      <c r="Q684" t="s">
        <v>153</v>
      </c>
    </row>
    <row r="685" spans="9:17" x14ac:dyDescent="0.45">
      <c r="I685" t="s">
        <v>189</v>
      </c>
      <c r="J685" t="s">
        <v>155</v>
      </c>
      <c r="K685">
        <v>0.3928899931701596</v>
      </c>
      <c r="L685" t="s">
        <v>153</v>
      </c>
      <c r="N685" t="s">
        <v>232</v>
      </c>
      <c r="O685" t="s">
        <v>155</v>
      </c>
      <c r="P685">
        <v>0.12320386510812242</v>
      </c>
      <c r="Q685" t="s">
        <v>153</v>
      </c>
    </row>
    <row r="686" spans="9:17" x14ac:dyDescent="0.45">
      <c r="I686" t="s">
        <v>189</v>
      </c>
      <c r="J686" t="s">
        <v>280</v>
      </c>
      <c r="K686">
        <v>3.2027332988529521E-2</v>
      </c>
      <c r="L686" t="s">
        <v>153</v>
      </c>
      <c r="N686" t="s">
        <v>232</v>
      </c>
      <c r="O686" t="s">
        <v>280</v>
      </c>
      <c r="P686">
        <v>1.3068389740356253E-2</v>
      </c>
      <c r="Q686" t="s">
        <v>153</v>
      </c>
    </row>
    <row r="687" spans="9:17" x14ac:dyDescent="0.45">
      <c r="I687" t="s">
        <v>189</v>
      </c>
      <c r="J687" t="s">
        <v>281</v>
      </c>
      <c r="K687">
        <v>1.5712769234813379E-2</v>
      </c>
      <c r="L687" t="s">
        <v>153</v>
      </c>
      <c r="N687" t="s">
        <v>232</v>
      </c>
      <c r="O687" t="s">
        <v>281</v>
      </c>
      <c r="P687">
        <v>1.4038448851485245E-2</v>
      </c>
      <c r="Q687" t="s">
        <v>153</v>
      </c>
    </row>
    <row r="688" spans="9:17" x14ac:dyDescent="0.45">
      <c r="I688" t="s">
        <v>189</v>
      </c>
      <c r="J688" t="s">
        <v>282</v>
      </c>
      <c r="K688">
        <v>4.6205870017330068E-3</v>
      </c>
      <c r="L688" t="s">
        <v>153</v>
      </c>
      <c r="N688" t="s">
        <v>232</v>
      </c>
      <c r="O688" t="s">
        <v>282</v>
      </c>
      <c r="P688">
        <v>0.10985596516504879</v>
      </c>
      <c r="Q688" t="s">
        <v>153</v>
      </c>
    </row>
    <row r="689" spans="9:17" x14ac:dyDescent="0.45">
      <c r="I689" t="s">
        <v>189</v>
      </c>
      <c r="J689" t="s">
        <v>156</v>
      </c>
      <c r="K689">
        <v>0</v>
      </c>
      <c r="L689" t="s">
        <v>153</v>
      </c>
      <c r="N689" t="s">
        <v>232</v>
      </c>
      <c r="O689" t="s">
        <v>156</v>
      </c>
      <c r="P689">
        <v>5.3008192591149438E-2</v>
      </c>
      <c r="Q689" t="s">
        <v>153</v>
      </c>
    </row>
    <row r="690" spans="9:17" x14ac:dyDescent="0.45">
      <c r="I690" t="s">
        <v>189</v>
      </c>
      <c r="J690" t="s">
        <v>157</v>
      </c>
      <c r="K690">
        <v>2.148285320049247E-5</v>
      </c>
      <c r="L690" t="s">
        <v>153</v>
      </c>
      <c r="N690" t="s">
        <v>232</v>
      </c>
      <c r="O690" t="s">
        <v>157</v>
      </c>
      <c r="P690">
        <v>7.1279579780503359E-3</v>
      </c>
      <c r="Q690" t="s">
        <v>153</v>
      </c>
    </row>
    <row r="691" spans="9:17" x14ac:dyDescent="0.45">
      <c r="I691" t="s">
        <v>189</v>
      </c>
      <c r="J691" t="s">
        <v>158</v>
      </c>
      <c r="K691">
        <v>0.12455497976622926</v>
      </c>
      <c r="L691" t="s">
        <v>153</v>
      </c>
      <c r="N691" t="s">
        <v>232</v>
      </c>
      <c r="O691" t="s">
        <v>158</v>
      </c>
      <c r="P691">
        <v>5.7557472801985983E-2</v>
      </c>
      <c r="Q691" t="s">
        <v>153</v>
      </c>
    </row>
    <row r="692" spans="9:17" x14ac:dyDescent="0.45">
      <c r="I692" t="s">
        <v>189</v>
      </c>
      <c r="J692" t="s">
        <v>283</v>
      </c>
      <c r="K692">
        <v>1.0994237158892037E-2</v>
      </c>
      <c r="L692" t="s">
        <v>153</v>
      </c>
      <c r="N692" t="s">
        <v>232</v>
      </c>
      <c r="O692" t="s">
        <v>283</v>
      </c>
      <c r="P692">
        <v>6.1785808213965536E-3</v>
      </c>
      <c r="Q692" t="s">
        <v>153</v>
      </c>
    </row>
    <row r="693" spans="9:17" x14ac:dyDescent="0.45">
      <c r="I693" t="s">
        <v>189</v>
      </c>
      <c r="J693" t="s">
        <v>284</v>
      </c>
      <c r="K693">
        <v>2.9824858036700547E-4</v>
      </c>
      <c r="L693" t="s">
        <v>153</v>
      </c>
      <c r="N693" t="s">
        <v>232</v>
      </c>
      <c r="O693" t="s">
        <v>284</v>
      </c>
      <c r="P693">
        <v>7.1775134087865549E-3</v>
      </c>
      <c r="Q693" t="s">
        <v>153</v>
      </c>
    </row>
    <row r="694" spans="9:17" x14ac:dyDescent="0.45">
      <c r="I694" t="s">
        <v>189</v>
      </c>
      <c r="J694" t="s">
        <v>285</v>
      </c>
      <c r="K694">
        <v>0</v>
      </c>
      <c r="L694" t="s">
        <v>153</v>
      </c>
      <c r="N694" t="s">
        <v>232</v>
      </c>
      <c r="O694" t="s">
        <v>285</v>
      </c>
      <c r="P694">
        <v>4.4195601171853852E-2</v>
      </c>
      <c r="Q694" t="s">
        <v>153</v>
      </c>
    </row>
    <row r="695" spans="9:17" x14ac:dyDescent="0.45">
      <c r="I695" t="s">
        <v>189</v>
      </c>
      <c r="J695" t="s">
        <v>159</v>
      </c>
      <c r="K695">
        <v>3.7885699585151486E-3</v>
      </c>
      <c r="L695" t="s">
        <v>153</v>
      </c>
      <c r="N695" t="s">
        <v>232</v>
      </c>
      <c r="O695" t="s">
        <v>159</v>
      </c>
      <c r="P695">
        <v>9.4565515120106247E-2</v>
      </c>
      <c r="Q695" t="s">
        <v>153</v>
      </c>
    </row>
    <row r="696" spans="9:17" x14ac:dyDescent="0.45">
      <c r="I696" t="s">
        <v>189</v>
      </c>
      <c r="J696" t="s">
        <v>160</v>
      </c>
      <c r="K696">
        <v>1.5781745760609082E-2</v>
      </c>
      <c r="L696" t="s">
        <v>153</v>
      </c>
      <c r="N696" t="s">
        <v>232</v>
      </c>
      <c r="O696" t="s">
        <v>160</v>
      </c>
      <c r="P696">
        <v>9.725649615884048E-3</v>
      </c>
      <c r="Q696" t="s">
        <v>153</v>
      </c>
    </row>
    <row r="697" spans="9:17" x14ac:dyDescent="0.45">
      <c r="I697" t="s">
        <v>189</v>
      </c>
      <c r="J697" t="s">
        <v>161</v>
      </c>
      <c r="K697">
        <v>0.26087938334244026</v>
      </c>
      <c r="L697" t="s">
        <v>153</v>
      </c>
      <c r="N697" t="s">
        <v>232</v>
      </c>
      <c r="O697" t="s">
        <v>161</v>
      </c>
      <c r="P697">
        <v>0.11304477581931729</v>
      </c>
      <c r="Q697" t="s">
        <v>153</v>
      </c>
    </row>
    <row r="698" spans="9:17" x14ac:dyDescent="0.45">
      <c r="I698" t="s">
        <v>189</v>
      </c>
      <c r="J698" t="s">
        <v>286</v>
      </c>
      <c r="K698">
        <v>2.0370976677416684E-2</v>
      </c>
      <c r="L698" t="s">
        <v>153</v>
      </c>
      <c r="N698" t="s">
        <v>232</v>
      </c>
      <c r="O698" t="s">
        <v>286</v>
      </c>
      <c r="P698">
        <v>1.3796233870070382E-2</v>
      </c>
      <c r="Q698" t="s">
        <v>153</v>
      </c>
    </row>
    <row r="699" spans="9:17" x14ac:dyDescent="0.45">
      <c r="I699" t="s">
        <v>189</v>
      </c>
      <c r="J699" t="s">
        <v>287</v>
      </c>
      <c r="K699">
        <v>1.3261109934084374E-2</v>
      </c>
      <c r="L699" t="s">
        <v>153</v>
      </c>
      <c r="N699" t="s">
        <v>232</v>
      </c>
      <c r="O699" t="s">
        <v>287</v>
      </c>
      <c r="P699">
        <v>1.4122909460036182E-2</v>
      </c>
      <c r="Q699" t="s">
        <v>153</v>
      </c>
    </row>
    <row r="700" spans="9:17" x14ac:dyDescent="0.45">
      <c r="I700" t="s">
        <v>189</v>
      </c>
      <c r="J700" t="s">
        <v>288</v>
      </c>
      <c r="K700">
        <v>2.2749914454669418E-4</v>
      </c>
      <c r="L700" t="s">
        <v>153</v>
      </c>
      <c r="N700" t="s">
        <v>232</v>
      </c>
      <c r="O700" t="s">
        <v>288</v>
      </c>
      <c r="P700">
        <v>8.4328131654643187E-2</v>
      </c>
      <c r="Q700" t="s">
        <v>153</v>
      </c>
    </row>
    <row r="701" spans="9:17" x14ac:dyDescent="0.45">
      <c r="I701" t="s">
        <v>189</v>
      </c>
      <c r="J701" t="s">
        <v>294</v>
      </c>
      <c r="K701">
        <v>1.7213976402660174E-3</v>
      </c>
      <c r="L701" t="s">
        <v>153</v>
      </c>
      <c r="N701" t="s">
        <v>232</v>
      </c>
      <c r="O701" t="s">
        <v>294</v>
      </c>
      <c r="P701">
        <v>2.2230759102198818E-2</v>
      </c>
      <c r="Q701" t="s">
        <v>153</v>
      </c>
    </row>
    <row r="702" spans="9:17" x14ac:dyDescent="0.45">
      <c r="I702" t="s">
        <v>189</v>
      </c>
      <c r="J702" t="s">
        <v>295</v>
      </c>
      <c r="K702">
        <v>3.6277657802479277E-3</v>
      </c>
      <c r="L702" t="s">
        <v>153</v>
      </c>
      <c r="N702" t="s">
        <v>232</v>
      </c>
      <c r="O702" t="s">
        <v>295</v>
      </c>
      <c r="P702">
        <v>1.8730420272293313E-3</v>
      </c>
      <c r="Q702" t="s">
        <v>153</v>
      </c>
    </row>
    <row r="703" spans="9:17" x14ac:dyDescent="0.45">
      <c r="I703" t="s">
        <v>189</v>
      </c>
      <c r="J703" t="s">
        <v>296</v>
      </c>
      <c r="K703">
        <v>7.35071417814636E-2</v>
      </c>
      <c r="L703" t="s">
        <v>153</v>
      </c>
      <c r="N703" t="s">
        <v>232</v>
      </c>
      <c r="O703" t="s">
        <v>296</v>
      </c>
      <c r="P703">
        <v>1.7545029441255421E-2</v>
      </c>
      <c r="Q703" t="s">
        <v>153</v>
      </c>
    </row>
    <row r="704" spans="9:17" x14ac:dyDescent="0.45">
      <c r="I704" t="s">
        <v>189</v>
      </c>
      <c r="J704" t="s">
        <v>297</v>
      </c>
      <c r="K704">
        <v>4.7674994401353983E-3</v>
      </c>
      <c r="L704" t="s">
        <v>153</v>
      </c>
      <c r="N704" t="s">
        <v>232</v>
      </c>
      <c r="O704" t="s">
        <v>297</v>
      </c>
      <c r="P704">
        <v>2.7446084283641197E-3</v>
      </c>
      <c r="Q704" t="s">
        <v>153</v>
      </c>
    </row>
    <row r="705" spans="9:17" x14ac:dyDescent="0.45">
      <c r="I705" t="s">
        <v>189</v>
      </c>
      <c r="J705" t="s">
        <v>298</v>
      </c>
      <c r="K705">
        <v>3.1529690907027052E-3</v>
      </c>
      <c r="L705" t="s">
        <v>153</v>
      </c>
      <c r="N705" t="s">
        <v>232</v>
      </c>
      <c r="O705" t="s">
        <v>298</v>
      </c>
      <c r="P705">
        <v>2.7837371005020343E-3</v>
      </c>
      <c r="Q705" t="s">
        <v>153</v>
      </c>
    </row>
    <row r="706" spans="9:17" x14ac:dyDescent="0.45">
      <c r="I706" t="s">
        <v>189</v>
      </c>
      <c r="J706" t="s">
        <v>299</v>
      </c>
      <c r="K706">
        <v>1.6397307180819054E-3</v>
      </c>
      <c r="L706" t="s">
        <v>153</v>
      </c>
      <c r="N706" t="s">
        <v>232</v>
      </c>
      <c r="O706" t="s">
        <v>299</v>
      </c>
      <c r="P706">
        <v>2.2489733123231315E-2</v>
      </c>
      <c r="Q706" t="s">
        <v>153</v>
      </c>
    </row>
    <row r="707" spans="9:17" x14ac:dyDescent="0.45">
      <c r="I707" t="s">
        <v>190</v>
      </c>
      <c r="J707" t="s">
        <v>152</v>
      </c>
      <c r="K707">
        <v>1.4315920231247768E-3</v>
      </c>
      <c r="L707" t="s">
        <v>153</v>
      </c>
      <c r="N707" t="s">
        <v>233</v>
      </c>
      <c r="O707" t="s">
        <v>152</v>
      </c>
      <c r="P707">
        <v>0.13259705884226344</v>
      </c>
      <c r="Q707" t="s">
        <v>153</v>
      </c>
    </row>
    <row r="708" spans="9:17" x14ac:dyDescent="0.45">
      <c r="I708" t="s">
        <v>190</v>
      </c>
      <c r="J708" t="s">
        <v>154</v>
      </c>
      <c r="K708">
        <v>1.4016746790117413E-2</v>
      </c>
      <c r="L708" t="s">
        <v>153</v>
      </c>
      <c r="N708" t="s">
        <v>233</v>
      </c>
      <c r="O708" t="s">
        <v>154</v>
      </c>
      <c r="P708">
        <v>1.7013318606685243E-2</v>
      </c>
      <c r="Q708" t="s">
        <v>153</v>
      </c>
    </row>
    <row r="709" spans="9:17" x14ac:dyDescent="0.45">
      <c r="I709" t="s">
        <v>190</v>
      </c>
      <c r="J709" t="s">
        <v>155</v>
      </c>
      <c r="K709">
        <v>0.39708873480617624</v>
      </c>
      <c r="L709" t="s">
        <v>153</v>
      </c>
      <c r="N709" t="s">
        <v>233</v>
      </c>
      <c r="O709" t="s">
        <v>155</v>
      </c>
      <c r="P709">
        <v>0.13142814461876742</v>
      </c>
      <c r="Q709" t="s">
        <v>153</v>
      </c>
    </row>
    <row r="710" spans="9:17" x14ac:dyDescent="0.45">
      <c r="I710" t="s">
        <v>190</v>
      </c>
      <c r="J710" t="s">
        <v>280</v>
      </c>
      <c r="K710">
        <v>3.2908863089941433E-2</v>
      </c>
      <c r="L710" t="s">
        <v>153</v>
      </c>
      <c r="N710" t="s">
        <v>233</v>
      </c>
      <c r="O710" t="s">
        <v>280</v>
      </c>
      <c r="P710">
        <v>1.3365569783372368E-2</v>
      </c>
      <c r="Q710" t="s">
        <v>153</v>
      </c>
    </row>
    <row r="711" spans="9:17" x14ac:dyDescent="0.45">
      <c r="I711" t="s">
        <v>190</v>
      </c>
      <c r="J711" t="s">
        <v>281</v>
      </c>
      <c r="K711">
        <v>1.6223544060965576E-2</v>
      </c>
      <c r="L711" t="s">
        <v>153</v>
      </c>
      <c r="N711" t="s">
        <v>233</v>
      </c>
      <c r="O711" t="s">
        <v>281</v>
      </c>
      <c r="P711">
        <v>1.3090803604471707E-2</v>
      </c>
      <c r="Q711" t="s">
        <v>153</v>
      </c>
    </row>
    <row r="712" spans="9:17" x14ac:dyDescent="0.45">
      <c r="I712" t="s">
        <v>190</v>
      </c>
      <c r="J712" t="s">
        <v>282</v>
      </c>
      <c r="K712">
        <v>4.3647444855149974E-3</v>
      </c>
      <c r="L712" t="s">
        <v>153</v>
      </c>
      <c r="N712" t="s">
        <v>233</v>
      </c>
      <c r="O712" t="s">
        <v>282</v>
      </c>
      <c r="P712">
        <v>9.1347541850504421E-2</v>
      </c>
      <c r="Q712" t="s">
        <v>153</v>
      </c>
    </row>
    <row r="713" spans="9:17" x14ac:dyDescent="0.45">
      <c r="I713" t="s">
        <v>190</v>
      </c>
      <c r="J713" t="s">
        <v>156</v>
      </c>
      <c r="K713">
        <v>0</v>
      </c>
      <c r="L713" t="s">
        <v>153</v>
      </c>
      <c r="N713" t="s">
        <v>233</v>
      </c>
      <c r="O713" t="s">
        <v>156</v>
      </c>
      <c r="P713">
        <v>5.4536305795383509E-2</v>
      </c>
      <c r="Q713" t="s">
        <v>153</v>
      </c>
    </row>
    <row r="714" spans="9:17" x14ac:dyDescent="0.45">
      <c r="I714" t="s">
        <v>190</v>
      </c>
      <c r="J714" t="s">
        <v>157</v>
      </c>
      <c r="K714">
        <v>1.5106694675928872E-4</v>
      </c>
      <c r="L714" t="s">
        <v>153</v>
      </c>
      <c r="N714" t="s">
        <v>233</v>
      </c>
      <c r="O714" t="s">
        <v>157</v>
      </c>
      <c r="P714">
        <v>7.882050610285787E-3</v>
      </c>
      <c r="Q714" t="s">
        <v>153</v>
      </c>
    </row>
    <row r="715" spans="9:17" x14ac:dyDescent="0.45">
      <c r="I715" t="s">
        <v>190</v>
      </c>
      <c r="J715" t="s">
        <v>158</v>
      </c>
      <c r="K715">
        <v>0.12704082703074887</v>
      </c>
      <c r="L715" t="s">
        <v>153</v>
      </c>
      <c r="N715" t="s">
        <v>233</v>
      </c>
      <c r="O715" t="s">
        <v>158</v>
      </c>
      <c r="P715">
        <v>6.2160237291558264E-2</v>
      </c>
      <c r="Q715" t="s">
        <v>153</v>
      </c>
    </row>
    <row r="716" spans="9:17" x14ac:dyDescent="0.45">
      <c r="I716" t="s">
        <v>190</v>
      </c>
      <c r="J716" t="s">
        <v>283</v>
      </c>
      <c r="K716">
        <v>1.0811939252943799E-2</v>
      </c>
      <c r="L716" t="s">
        <v>153</v>
      </c>
      <c r="N716" t="s">
        <v>233</v>
      </c>
      <c r="O716" t="s">
        <v>283</v>
      </c>
      <c r="P716">
        <v>6.8673448310958953E-3</v>
      </c>
      <c r="Q716" t="s">
        <v>153</v>
      </c>
    </row>
    <row r="717" spans="9:17" x14ac:dyDescent="0.45">
      <c r="I717" t="s">
        <v>190</v>
      </c>
      <c r="J717" t="s">
        <v>284</v>
      </c>
      <c r="K717">
        <v>2.9402452748982291E-4</v>
      </c>
      <c r="L717" t="s">
        <v>153</v>
      </c>
      <c r="N717" t="s">
        <v>233</v>
      </c>
      <c r="O717" t="s">
        <v>284</v>
      </c>
      <c r="P717">
        <v>6.3857376326245932E-3</v>
      </c>
      <c r="Q717" t="s">
        <v>153</v>
      </c>
    </row>
    <row r="718" spans="9:17" x14ac:dyDescent="0.45">
      <c r="I718" t="s">
        <v>190</v>
      </c>
      <c r="J718" t="s">
        <v>285</v>
      </c>
      <c r="K718">
        <v>0</v>
      </c>
      <c r="L718" t="s">
        <v>153</v>
      </c>
      <c r="N718" t="s">
        <v>233</v>
      </c>
      <c r="O718" t="s">
        <v>285</v>
      </c>
      <c r="P718">
        <v>4.0455054045174112E-2</v>
      </c>
      <c r="Q718" t="s">
        <v>153</v>
      </c>
    </row>
    <row r="719" spans="9:17" x14ac:dyDescent="0.45">
      <c r="I719" t="s">
        <v>190</v>
      </c>
      <c r="J719" t="s">
        <v>159</v>
      </c>
      <c r="K719">
        <v>3.5046656737381214E-3</v>
      </c>
      <c r="L719" t="s">
        <v>153</v>
      </c>
      <c r="N719" t="s">
        <v>233</v>
      </c>
      <c r="O719" t="s">
        <v>159</v>
      </c>
      <c r="P719">
        <v>0.10466367465975833</v>
      </c>
      <c r="Q719" t="s">
        <v>153</v>
      </c>
    </row>
    <row r="720" spans="9:17" x14ac:dyDescent="0.45">
      <c r="I720" t="s">
        <v>190</v>
      </c>
      <c r="J720" t="s">
        <v>160</v>
      </c>
      <c r="K720">
        <v>1.5598427716559119E-2</v>
      </c>
      <c r="L720" t="s">
        <v>153</v>
      </c>
      <c r="N720" t="s">
        <v>233</v>
      </c>
      <c r="O720" t="s">
        <v>160</v>
      </c>
      <c r="P720">
        <v>1.2616391605786492E-2</v>
      </c>
      <c r="Q720" t="s">
        <v>153</v>
      </c>
    </row>
    <row r="721" spans="9:17" x14ac:dyDescent="0.45">
      <c r="I721" t="s">
        <v>190</v>
      </c>
      <c r="J721" t="s">
        <v>161</v>
      </c>
      <c r="K721">
        <v>0.2608743760685191</v>
      </c>
      <c r="L721" t="s">
        <v>153</v>
      </c>
      <c r="N721" t="s">
        <v>233</v>
      </c>
      <c r="O721" t="s">
        <v>161</v>
      </c>
      <c r="P721">
        <v>0.12925378650332134</v>
      </c>
      <c r="Q721" t="s">
        <v>153</v>
      </c>
    </row>
    <row r="722" spans="9:17" x14ac:dyDescent="0.45">
      <c r="I722" t="s">
        <v>190</v>
      </c>
      <c r="J722" t="s">
        <v>286</v>
      </c>
      <c r="K722">
        <v>2.0388719651490927E-2</v>
      </c>
      <c r="L722" t="s">
        <v>153</v>
      </c>
      <c r="N722" t="s">
        <v>233</v>
      </c>
      <c r="O722" t="s">
        <v>286</v>
      </c>
      <c r="P722">
        <v>1.6890791233558997E-2</v>
      </c>
      <c r="Q722" t="s">
        <v>153</v>
      </c>
    </row>
    <row r="723" spans="9:17" x14ac:dyDescent="0.45">
      <c r="I723" t="s">
        <v>190</v>
      </c>
      <c r="J723" t="s">
        <v>287</v>
      </c>
      <c r="K723">
        <v>1.3083037247959292E-2</v>
      </c>
      <c r="L723" t="s">
        <v>153</v>
      </c>
      <c r="N723" t="s">
        <v>233</v>
      </c>
      <c r="O723" t="s">
        <v>287</v>
      </c>
      <c r="P723">
        <v>1.4880384384942958E-2</v>
      </c>
      <c r="Q723" t="s">
        <v>153</v>
      </c>
    </row>
    <row r="724" spans="9:17" x14ac:dyDescent="0.45">
      <c r="I724" t="s">
        <v>190</v>
      </c>
      <c r="J724" t="s">
        <v>288</v>
      </c>
      <c r="K724">
        <v>3.209018510600174E-5</v>
      </c>
      <c r="L724" t="s">
        <v>153</v>
      </c>
      <c r="N724" t="s">
        <v>233</v>
      </c>
      <c r="O724" t="s">
        <v>288</v>
      </c>
      <c r="P724">
        <v>8.4909504240090042E-2</v>
      </c>
      <c r="Q724" t="s">
        <v>153</v>
      </c>
    </row>
    <row r="725" spans="9:17" x14ac:dyDescent="0.45">
      <c r="I725" t="s">
        <v>190</v>
      </c>
      <c r="J725" t="s">
        <v>294</v>
      </c>
      <c r="K725">
        <v>1.2438837359679592E-3</v>
      </c>
      <c r="L725" t="s">
        <v>153</v>
      </c>
      <c r="N725" t="s">
        <v>233</v>
      </c>
      <c r="O725" t="s">
        <v>294</v>
      </c>
      <c r="P725">
        <v>1.8849732702165285E-2</v>
      </c>
      <c r="Q725" t="s">
        <v>153</v>
      </c>
    </row>
    <row r="726" spans="9:17" x14ac:dyDescent="0.45">
      <c r="I726" t="s">
        <v>190</v>
      </c>
      <c r="J726" t="s">
        <v>295</v>
      </c>
      <c r="K726">
        <v>2.8555630918837222E-3</v>
      </c>
      <c r="L726" t="s">
        <v>153</v>
      </c>
      <c r="N726" t="s">
        <v>233</v>
      </c>
      <c r="O726" t="s">
        <v>295</v>
      </c>
      <c r="P726">
        <v>1.6995904358506815E-3</v>
      </c>
      <c r="Q726" t="s">
        <v>153</v>
      </c>
    </row>
    <row r="727" spans="9:17" x14ac:dyDescent="0.45">
      <c r="I727" t="s">
        <v>190</v>
      </c>
      <c r="J727" t="s">
        <v>296</v>
      </c>
      <c r="K727">
        <v>6.9026661424509292E-2</v>
      </c>
      <c r="L727" t="s">
        <v>153</v>
      </c>
      <c r="N727" t="s">
        <v>233</v>
      </c>
      <c r="O727" t="s">
        <v>296</v>
      </c>
      <c r="P727">
        <v>1.7036231616948141E-2</v>
      </c>
      <c r="Q727" t="s">
        <v>153</v>
      </c>
    </row>
    <row r="728" spans="9:17" x14ac:dyDescent="0.45">
      <c r="I728" t="s">
        <v>190</v>
      </c>
      <c r="J728" t="s">
        <v>297</v>
      </c>
      <c r="K728">
        <v>4.5939900540297382E-3</v>
      </c>
      <c r="L728" t="s">
        <v>153</v>
      </c>
      <c r="N728" t="s">
        <v>233</v>
      </c>
      <c r="O728" t="s">
        <v>297</v>
      </c>
      <c r="P728">
        <v>2.5466239878154961E-3</v>
      </c>
      <c r="Q728" t="s">
        <v>153</v>
      </c>
    </row>
    <row r="729" spans="9:17" x14ac:dyDescent="0.45">
      <c r="I729" t="s">
        <v>190</v>
      </c>
      <c r="J729" t="s">
        <v>298</v>
      </c>
      <c r="K729">
        <v>2.8981283014530308E-3</v>
      </c>
      <c r="L729" t="s">
        <v>153</v>
      </c>
      <c r="N729" t="s">
        <v>233</v>
      </c>
      <c r="O729" t="s">
        <v>298</v>
      </c>
      <c r="P729">
        <v>2.2207564536896344E-3</v>
      </c>
      <c r="Q729" t="s">
        <v>153</v>
      </c>
    </row>
    <row r="730" spans="9:17" x14ac:dyDescent="0.45">
      <c r="I730" t="s">
        <v>190</v>
      </c>
      <c r="J730" t="s">
        <v>299</v>
      </c>
      <c r="K730">
        <v>1.5683738350016926E-3</v>
      </c>
      <c r="L730" t="s">
        <v>153</v>
      </c>
      <c r="N730" t="s">
        <v>233</v>
      </c>
      <c r="O730" t="s">
        <v>299</v>
      </c>
      <c r="P730">
        <v>1.7303364663884001E-2</v>
      </c>
      <c r="Q730" t="s">
        <v>153</v>
      </c>
    </row>
    <row r="731" spans="9:17" x14ac:dyDescent="0.45">
      <c r="I731" t="s">
        <v>191</v>
      </c>
      <c r="J731" t="s">
        <v>152</v>
      </c>
      <c r="K731">
        <v>2.2722963971238712E-3</v>
      </c>
      <c r="L731" t="s">
        <v>153</v>
      </c>
      <c r="N731" t="s">
        <v>234</v>
      </c>
      <c r="O731" t="s">
        <v>152</v>
      </c>
      <c r="P731">
        <v>0.15568165598376196</v>
      </c>
      <c r="Q731" t="s">
        <v>153</v>
      </c>
    </row>
    <row r="732" spans="9:17" x14ac:dyDescent="0.45">
      <c r="I732" t="s">
        <v>191</v>
      </c>
      <c r="J732" t="s">
        <v>154</v>
      </c>
      <c r="K732">
        <v>1.7604057447741146E-2</v>
      </c>
      <c r="L732" t="s">
        <v>153</v>
      </c>
      <c r="N732" t="s">
        <v>234</v>
      </c>
      <c r="O732" t="s">
        <v>154</v>
      </c>
      <c r="P732">
        <v>1.8616099908940895E-2</v>
      </c>
      <c r="Q732" t="s">
        <v>153</v>
      </c>
    </row>
    <row r="733" spans="9:17" x14ac:dyDescent="0.45">
      <c r="I733" t="s">
        <v>191</v>
      </c>
      <c r="J733" t="s">
        <v>155</v>
      </c>
      <c r="K733">
        <v>0.40043016660477898</v>
      </c>
      <c r="L733" t="s">
        <v>153</v>
      </c>
      <c r="N733" t="s">
        <v>234</v>
      </c>
      <c r="O733" t="s">
        <v>155</v>
      </c>
      <c r="P733">
        <v>0.11452898073148855</v>
      </c>
      <c r="Q733" t="s">
        <v>153</v>
      </c>
    </row>
    <row r="734" spans="9:17" x14ac:dyDescent="0.45">
      <c r="I734" t="s">
        <v>191</v>
      </c>
      <c r="J734" t="s">
        <v>280</v>
      </c>
      <c r="K734">
        <v>3.2652782102586146E-2</v>
      </c>
      <c r="L734" t="s">
        <v>153</v>
      </c>
      <c r="N734" t="s">
        <v>234</v>
      </c>
      <c r="O734" t="s">
        <v>280</v>
      </c>
      <c r="P734">
        <v>8.9609533990615067E-3</v>
      </c>
      <c r="Q734" t="s">
        <v>153</v>
      </c>
    </row>
    <row r="735" spans="9:17" x14ac:dyDescent="0.45">
      <c r="I735" t="s">
        <v>191</v>
      </c>
      <c r="J735" t="s">
        <v>281</v>
      </c>
      <c r="K735">
        <v>1.60757138049064E-2</v>
      </c>
      <c r="L735" t="s">
        <v>153</v>
      </c>
      <c r="N735" t="s">
        <v>234</v>
      </c>
      <c r="O735" t="s">
        <v>281</v>
      </c>
      <c r="P735">
        <v>1.063791206916438E-2</v>
      </c>
      <c r="Q735" t="s">
        <v>153</v>
      </c>
    </row>
    <row r="736" spans="9:17" x14ac:dyDescent="0.45">
      <c r="I736" t="s">
        <v>191</v>
      </c>
      <c r="J736" t="s">
        <v>282</v>
      </c>
      <c r="K736">
        <v>4.2498311421146984E-3</v>
      </c>
      <c r="L736" t="s">
        <v>153</v>
      </c>
      <c r="N736" t="s">
        <v>234</v>
      </c>
      <c r="O736" t="s">
        <v>282</v>
      </c>
      <c r="P736">
        <v>9.3915365385629432E-2</v>
      </c>
      <c r="Q736" t="s">
        <v>153</v>
      </c>
    </row>
    <row r="737" spans="9:17" x14ac:dyDescent="0.45">
      <c r="I737" t="s">
        <v>191</v>
      </c>
      <c r="J737" t="s">
        <v>156</v>
      </c>
      <c r="K737">
        <v>0</v>
      </c>
      <c r="L737" t="s">
        <v>153</v>
      </c>
      <c r="N737" t="s">
        <v>234</v>
      </c>
      <c r="O737" t="s">
        <v>156</v>
      </c>
      <c r="P737">
        <v>6.5649354399426013E-2</v>
      </c>
      <c r="Q737" t="s">
        <v>153</v>
      </c>
    </row>
    <row r="738" spans="9:17" x14ac:dyDescent="0.45">
      <c r="I738" t="s">
        <v>191</v>
      </c>
      <c r="J738" t="s">
        <v>157</v>
      </c>
      <c r="K738">
        <v>8.9566769170607073E-4</v>
      </c>
      <c r="L738" t="s">
        <v>153</v>
      </c>
      <c r="N738" t="s">
        <v>234</v>
      </c>
      <c r="O738" t="s">
        <v>157</v>
      </c>
      <c r="P738">
        <v>9.3623242597569538E-3</v>
      </c>
      <c r="Q738" t="s">
        <v>153</v>
      </c>
    </row>
    <row r="739" spans="9:17" x14ac:dyDescent="0.45">
      <c r="I739" t="s">
        <v>191</v>
      </c>
      <c r="J739" t="s">
        <v>158</v>
      </c>
      <c r="K739">
        <v>0.12369203999713312</v>
      </c>
      <c r="L739" t="s">
        <v>153</v>
      </c>
      <c r="N739" t="s">
        <v>234</v>
      </c>
      <c r="O739" t="s">
        <v>158</v>
      </c>
      <c r="P739">
        <v>6.3051911598434235E-2</v>
      </c>
      <c r="Q739" t="s">
        <v>153</v>
      </c>
    </row>
    <row r="740" spans="9:17" x14ac:dyDescent="0.45">
      <c r="I740" t="s">
        <v>191</v>
      </c>
      <c r="J740" t="s">
        <v>283</v>
      </c>
      <c r="K740">
        <v>9.6882514258139884E-3</v>
      </c>
      <c r="L740" t="s">
        <v>153</v>
      </c>
      <c r="N740" t="s">
        <v>234</v>
      </c>
      <c r="O740" t="s">
        <v>283</v>
      </c>
      <c r="P740">
        <v>5.7483967098461266E-3</v>
      </c>
      <c r="Q740" t="s">
        <v>153</v>
      </c>
    </row>
    <row r="741" spans="9:17" x14ac:dyDescent="0.45">
      <c r="I741" t="s">
        <v>191</v>
      </c>
      <c r="J741" t="s">
        <v>284</v>
      </c>
      <c r="K741">
        <v>0</v>
      </c>
      <c r="L741" t="s">
        <v>153</v>
      </c>
      <c r="N741" t="s">
        <v>234</v>
      </c>
      <c r="O741" t="s">
        <v>284</v>
      </c>
      <c r="P741">
        <v>6.8552267806388121E-3</v>
      </c>
      <c r="Q741" t="s">
        <v>153</v>
      </c>
    </row>
    <row r="742" spans="9:17" x14ac:dyDescent="0.45">
      <c r="I742" t="s">
        <v>191</v>
      </c>
      <c r="J742" t="s">
        <v>285</v>
      </c>
      <c r="K742">
        <v>0</v>
      </c>
      <c r="L742" t="s">
        <v>153</v>
      </c>
      <c r="N742" t="s">
        <v>234</v>
      </c>
      <c r="O742" t="s">
        <v>285</v>
      </c>
      <c r="P742">
        <v>4.5158268343991288E-2</v>
      </c>
      <c r="Q742" t="s">
        <v>153</v>
      </c>
    </row>
    <row r="743" spans="9:17" x14ac:dyDescent="0.45">
      <c r="I743" t="s">
        <v>191</v>
      </c>
      <c r="J743" t="s">
        <v>159</v>
      </c>
      <c r="K743">
        <v>5.0861144738643983E-3</v>
      </c>
      <c r="L743" t="s">
        <v>153</v>
      </c>
      <c r="N743" t="s">
        <v>234</v>
      </c>
      <c r="O743" t="s">
        <v>159</v>
      </c>
      <c r="P743">
        <v>0.11571314974298387</v>
      </c>
      <c r="Q743" t="s">
        <v>153</v>
      </c>
    </row>
    <row r="744" spans="9:17" x14ac:dyDescent="0.45">
      <c r="I744" t="s">
        <v>191</v>
      </c>
      <c r="J744" t="s">
        <v>160</v>
      </c>
      <c r="K744">
        <v>1.6622179654108626E-2</v>
      </c>
      <c r="L744" t="s">
        <v>153</v>
      </c>
      <c r="N744" t="s">
        <v>234</v>
      </c>
      <c r="O744" t="s">
        <v>160</v>
      </c>
      <c r="P744">
        <v>1.2791632711485838E-2</v>
      </c>
      <c r="Q744" t="s">
        <v>153</v>
      </c>
    </row>
    <row r="745" spans="9:17" x14ac:dyDescent="0.45">
      <c r="I745" t="s">
        <v>191</v>
      </c>
      <c r="J745" t="s">
        <v>161</v>
      </c>
      <c r="K745">
        <v>0.25966404598891057</v>
      </c>
      <c r="L745" t="s">
        <v>153</v>
      </c>
      <c r="N745" t="s">
        <v>234</v>
      </c>
      <c r="O745" t="s">
        <v>161</v>
      </c>
      <c r="P745">
        <v>0.11520372136142608</v>
      </c>
      <c r="Q745" t="s">
        <v>153</v>
      </c>
    </row>
    <row r="746" spans="9:17" x14ac:dyDescent="0.45">
      <c r="I746" t="s">
        <v>191</v>
      </c>
      <c r="J746" t="s">
        <v>286</v>
      </c>
      <c r="K746">
        <v>1.9407940785786712E-2</v>
      </c>
      <c r="L746" t="s">
        <v>153</v>
      </c>
      <c r="N746" t="s">
        <v>234</v>
      </c>
      <c r="O746" t="s">
        <v>286</v>
      </c>
      <c r="P746">
        <v>1.1121560298451178E-2</v>
      </c>
      <c r="Q746" t="s">
        <v>153</v>
      </c>
    </row>
    <row r="747" spans="9:17" x14ac:dyDescent="0.45">
      <c r="I747" t="s">
        <v>191</v>
      </c>
      <c r="J747" t="s">
        <v>287</v>
      </c>
      <c r="K747">
        <v>1.1497606570930853E-2</v>
      </c>
      <c r="L747" t="s">
        <v>153</v>
      </c>
      <c r="N747" t="s">
        <v>234</v>
      </c>
      <c r="O747" t="s">
        <v>287</v>
      </c>
      <c r="P747">
        <v>1.2102460263676744E-2</v>
      </c>
      <c r="Q747" t="s">
        <v>153</v>
      </c>
    </row>
    <row r="748" spans="9:17" x14ac:dyDescent="0.45">
      <c r="I748" t="s">
        <v>191</v>
      </c>
      <c r="J748" t="s">
        <v>288</v>
      </c>
      <c r="K748">
        <v>0</v>
      </c>
      <c r="L748" t="s">
        <v>153</v>
      </c>
      <c r="N748" t="s">
        <v>234</v>
      </c>
      <c r="O748" t="s">
        <v>288</v>
      </c>
      <c r="P748">
        <v>8.2554245292754555E-2</v>
      </c>
      <c r="Q748" t="s">
        <v>153</v>
      </c>
    </row>
    <row r="749" spans="9:17" x14ac:dyDescent="0.45">
      <c r="I749" t="s">
        <v>191</v>
      </c>
      <c r="J749" t="s">
        <v>294</v>
      </c>
      <c r="K749">
        <v>1.5772580474366158E-3</v>
      </c>
      <c r="L749" t="s">
        <v>153</v>
      </c>
      <c r="N749" t="s">
        <v>234</v>
      </c>
      <c r="O749" t="s">
        <v>294</v>
      </c>
      <c r="P749">
        <v>1.7933894034160212E-2</v>
      </c>
      <c r="Q749" t="s">
        <v>153</v>
      </c>
    </row>
    <row r="750" spans="9:17" x14ac:dyDescent="0.45">
      <c r="I750" t="s">
        <v>191</v>
      </c>
      <c r="J750" t="s">
        <v>295</v>
      </c>
      <c r="K750">
        <v>3.1160522625962726E-3</v>
      </c>
      <c r="L750" t="s">
        <v>153</v>
      </c>
      <c r="N750" t="s">
        <v>234</v>
      </c>
      <c r="O750" t="s">
        <v>295</v>
      </c>
      <c r="P750">
        <v>1.6098936854587397E-3</v>
      </c>
      <c r="Q750" t="s">
        <v>153</v>
      </c>
    </row>
    <row r="751" spans="9:17" x14ac:dyDescent="0.45">
      <c r="I751" t="s">
        <v>191</v>
      </c>
      <c r="J751" t="s">
        <v>296</v>
      </c>
      <c r="K751">
        <v>6.5826940612722956E-2</v>
      </c>
      <c r="L751" t="s">
        <v>153</v>
      </c>
      <c r="N751" t="s">
        <v>234</v>
      </c>
      <c r="O751" t="s">
        <v>296</v>
      </c>
      <c r="P751">
        <v>1.6180215327337492E-2</v>
      </c>
      <c r="Q751" t="s">
        <v>153</v>
      </c>
    </row>
    <row r="752" spans="9:17" x14ac:dyDescent="0.45">
      <c r="I752" t="s">
        <v>191</v>
      </c>
      <c r="J752" t="s">
        <v>297</v>
      </c>
      <c r="K752">
        <v>4.779252494345106E-3</v>
      </c>
      <c r="L752" t="s">
        <v>153</v>
      </c>
      <c r="N752" t="s">
        <v>234</v>
      </c>
      <c r="O752" t="s">
        <v>297</v>
      </c>
      <c r="P752">
        <v>1.8284707811983285E-3</v>
      </c>
      <c r="Q752" t="s">
        <v>153</v>
      </c>
    </row>
    <row r="753" spans="9:17" x14ac:dyDescent="0.45">
      <c r="I753" t="s">
        <v>191</v>
      </c>
      <c r="J753" t="s">
        <v>298</v>
      </c>
      <c r="K753">
        <v>3.1960443280125441E-3</v>
      </c>
      <c r="L753" t="s">
        <v>153</v>
      </c>
      <c r="N753" t="s">
        <v>234</v>
      </c>
      <c r="O753" t="s">
        <v>298</v>
      </c>
      <c r="P753">
        <v>1.8045261325808429E-3</v>
      </c>
      <c r="Q753" t="s">
        <v>153</v>
      </c>
    </row>
    <row r="754" spans="9:17" x14ac:dyDescent="0.45">
      <c r="I754" t="s">
        <v>191</v>
      </c>
      <c r="J754" t="s">
        <v>299</v>
      </c>
      <c r="K754">
        <v>1.6657581673811797E-3</v>
      </c>
      <c r="L754" t="s">
        <v>153</v>
      </c>
      <c r="N754" t="s">
        <v>234</v>
      </c>
      <c r="O754" t="s">
        <v>299</v>
      </c>
      <c r="P754">
        <v>1.2989780798343913E-2</v>
      </c>
      <c r="Q754" t="s">
        <v>153</v>
      </c>
    </row>
    <row r="755" spans="9:17" x14ac:dyDescent="0.45">
      <c r="I755" t="s">
        <v>192</v>
      </c>
      <c r="J755" t="s">
        <v>152</v>
      </c>
      <c r="K755">
        <v>2.2517821771321526E-3</v>
      </c>
      <c r="L755" t="s">
        <v>153</v>
      </c>
      <c r="N755" t="s">
        <v>235</v>
      </c>
      <c r="O755" t="s">
        <v>152</v>
      </c>
      <c r="P755">
        <v>0.17272891970297963</v>
      </c>
      <c r="Q755" t="s">
        <v>153</v>
      </c>
    </row>
    <row r="756" spans="9:17" x14ac:dyDescent="0.45">
      <c r="I756" t="s">
        <v>192</v>
      </c>
      <c r="J756" t="s">
        <v>154</v>
      </c>
      <c r="K756">
        <v>1.4524057064465372E-2</v>
      </c>
      <c r="L756" t="s">
        <v>153</v>
      </c>
      <c r="N756" t="s">
        <v>235</v>
      </c>
      <c r="O756" t="s">
        <v>154</v>
      </c>
      <c r="P756">
        <v>1.9523134281523837E-2</v>
      </c>
      <c r="Q756" t="s">
        <v>153</v>
      </c>
    </row>
    <row r="757" spans="9:17" x14ac:dyDescent="0.45">
      <c r="I757" t="s">
        <v>192</v>
      </c>
      <c r="J757" t="s">
        <v>155</v>
      </c>
      <c r="K757">
        <v>0.38619595241418575</v>
      </c>
      <c r="L757" t="s">
        <v>153</v>
      </c>
      <c r="N757" t="s">
        <v>235</v>
      </c>
      <c r="O757" t="s">
        <v>155</v>
      </c>
      <c r="P757">
        <v>9.6360697205766357E-2</v>
      </c>
      <c r="Q757" t="s">
        <v>153</v>
      </c>
    </row>
    <row r="758" spans="9:17" x14ac:dyDescent="0.45">
      <c r="I758" t="s">
        <v>192</v>
      </c>
      <c r="J758" t="s">
        <v>280</v>
      </c>
      <c r="K758">
        <v>3.0972367754393767E-2</v>
      </c>
      <c r="L758" t="s">
        <v>153</v>
      </c>
      <c r="N758" t="s">
        <v>235</v>
      </c>
      <c r="O758" t="s">
        <v>280</v>
      </c>
      <c r="P758">
        <v>7.2516917804167098E-3</v>
      </c>
      <c r="Q758" t="s">
        <v>153</v>
      </c>
    </row>
    <row r="759" spans="9:17" x14ac:dyDescent="0.45">
      <c r="I759" t="s">
        <v>192</v>
      </c>
      <c r="J759" t="s">
        <v>281</v>
      </c>
      <c r="K759">
        <v>1.4397168273516781E-2</v>
      </c>
      <c r="L759" t="s">
        <v>153</v>
      </c>
      <c r="N759" t="s">
        <v>235</v>
      </c>
      <c r="O759" t="s">
        <v>281</v>
      </c>
      <c r="P759">
        <v>9.403293409518905E-3</v>
      </c>
      <c r="Q759" t="s">
        <v>153</v>
      </c>
    </row>
    <row r="760" spans="9:17" x14ac:dyDescent="0.45">
      <c r="I760" t="s">
        <v>192</v>
      </c>
      <c r="J760" t="s">
        <v>282</v>
      </c>
      <c r="K760">
        <v>4.3509630314676759E-3</v>
      </c>
      <c r="L760" t="s">
        <v>153</v>
      </c>
      <c r="N760" t="s">
        <v>235</v>
      </c>
      <c r="O760" t="s">
        <v>282</v>
      </c>
      <c r="P760">
        <v>9.9224751248843696E-2</v>
      </c>
      <c r="Q760" t="s">
        <v>153</v>
      </c>
    </row>
    <row r="761" spans="9:17" x14ac:dyDescent="0.45">
      <c r="I761" t="s">
        <v>192</v>
      </c>
      <c r="J761" t="s">
        <v>156</v>
      </c>
      <c r="K761">
        <v>0</v>
      </c>
      <c r="L761" t="s">
        <v>153</v>
      </c>
      <c r="N761" t="s">
        <v>235</v>
      </c>
      <c r="O761" t="s">
        <v>156</v>
      </c>
      <c r="P761">
        <v>7.3240838005941347E-2</v>
      </c>
      <c r="Q761" t="s">
        <v>153</v>
      </c>
    </row>
    <row r="762" spans="9:17" x14ac:dyDescent="0.45">
      <c r="I762" t="s">
        <v>192</v>
      </c>
      <c r="J762" t="s">
        <v>157</v>
      </c>
      <c r="K762">
        <v>0</v>
      </c>
      <c r="L762" t="s">
        <v>153</v>
      </c>
      <c r="N762" t="s">
        <v>235</v>
      </c>
      <c r="O762" t="s">
        <v>157</v>
      </c>
      <c r="P762">
        <v>9.8655819385166897E-3</v>
      </c>
      <c r="Q762" t="s">
        <v>153</v>
      </c>
    </row>
    <row r="763" spans="9:17" x14ac:dyDescent="0.45">
      <c r="I763" t="s">
        <v>192</v>
      </c>
      <c r="J763" t="s">
        <v>158</v>
      </c>
      <c r="K763">
        <v>0.11827404763417618</v>
      </c>
      <c r="L763" t="s">
        <v>153</v>
      </c>
      <c r="N763" t="s">
        <v>235</v>
      </c>
      <c r="O763" t="s">
        <v>158</v>
      </c>
      <c r="P763">
        <v>5.2824159289875015E-2</v>
      </c>
      <c r="Q763" t="s">
        <v>153</v>
      </c>
    </row>
    <row r="764" spans="9:17" x14ac:dyDescent="0.45">
      <c r="I764" t="s">
        <v>192</v>
      </c>
      <c r="J764" t="s">
        <v>283</v>
      </c>
      <c r="K764">
        <v>9.5883506874205032E-3</v>
      </c>
      <c r="L764" t="s">
        <v>153</v>
      </c>
      <c r="N764" t="s">
        <v>235</v>
      </c>
      <c r="O764" t="s">
        <v>283</v>
      </c>
      <c r="P764">
        <v>4.4037601511861275E-3</v>
      </c>
      <c r="Q764" t="s">
        <v>153</v>
      </c>
    </row>
    <row r="765" spans="9:17" x14ac:dyDescent="0.45">
      <c r="I765" t="s">
        <v>192</v>
      </c>
      <c r="J765" t="s">
        <v>284</v>
      </c>
      <c r="K765">
        <v>1.2193348972984583E-4</v>
      </c>
      <c r="L765" t="s">
        <v>153</v>
      </c>
      <c r="N765" t="s">
        <v>235</v>
      </c>
      <c r="O765" t="s">
        <v>284</v>
      </c>
      <c r="P765">
        <v>5.5998525338623898E-3</v>
      </c>
      <c r="Q765" t="s">
        <v>153</v>
      </c>
    </row>
    <row r="766" spans="9:17" x14ac:dyDescent="0.45">
      <c r="I766" t="s">
        <v>192</v>
      </c>
      <c r="J766" t="s">
        <v>285</v>
      </c>
      <c r="K766">
        <v>0</v>
      </c>
      <c r="L766" t="s">
        <v>153</v>
      </c>
      <c r="N766" t="s">
        <v>235</v>
      </c>
      <c r="O766" t="s">
        <v>285</v>
      </c>
      <c r="P766">
        <v>4.7244731301371752E-2</v>
      </c>
      <c r="Q766" t="s">
        <v>153</v>
      </c>
    </row>
    <row r="767" spans="9:17" x14ac:dyDescent="0.45">
      <c r="I767" t="s">
        <v>192</v>
      </c>
      <c r="J767" t="s">
        <v>159</v>
      </c>
      <c r="K767">
        <v>5.0530501132420398E-3</v>
      </c>
      <c r="L767" t="s">
        <v>153</v>
      </c>
      <c r="N767" t="s">
        <v>235</v>
      </c>
      <c r="O767" t="s">
        <v>159</v>
      </c>
      <c r="P767">
        <v>0.13087495535744165</v>
      </c>
      <c r="Q767" t="s">
        <v>153</v>
      </c>
    </row>
    <row r="768" spans="9:17" x14ac:dyDescent="0.45">
      <c r="I768" t="s">
        <v>192</v>
      </c>
      <c r="J768" t="s">
        <v>160</v>
      </c>
      <c r="K768">
        <v>1.6573242105044576E-2</v>
      </c>
      <c r="L768" t="s">
        <v>153</v>
      </c>
      <c r="N768" t="s">
        <v>235</v>
      </c>
      <c r="O768" t="s">
        <v>160</v>
      </c>
      <c r="P768">
        <v>1.3753076233086395E-2</v>
      </c>
      <c r="Q768" t="s">
        <v>153</v>
      </c>
    </row>
    <row r="769" spans="9:17" x14ac:dyDescent="0.45">
      <c r="I769" t="s">
        <v>192</v>
      </c>
      <c r="J769" t="s">
        <v>161</v>
      </c>
      <c r="K769">
        <v>0.27195172392417893</v>
      </c>
      <c r="L769" t="s">
        <v>153</v>
      </c>
      <c r="N769" t="s">
        <v>235</v>
      </c>
      <c r="O769" t="s">
        <v>161</v>
      </c>
      <c r="P769">
        <v>9.6589115709804066E-2</v>
      </c>
      <c r="Q769" t="s">
        <v>153</v>
      </c>
    </row>
    <row r="770" spans="9:17" x14ac:dyDescent="0.45">
      <c r="I770" t="s">
        <v>192</v>
      </c>
      <c r="J770" t="s">
        <v>286</v>
      </c>
      <c r="K770">
        <v>2.027445861892057E-2</v>
      </c>
      <c r="L770" t="s">
        <v>153</v>
      </c>
      <c r="N770" t="s">
        <v>235</v>
      </c>
      <c r="O770" t="s">
        <v>286</v>
      </c>
      <c r="P770">
        <v>1.015186232731915E-2</v>
      </c>
      <c r="Q770" t="s">
        <v>153</v>
      </c>
    </row>
    <row r="771" spans="9:17" x14ac:dyDescent="0.45">
      <c r="I771" t="s">
        <v>192</v>
      </c>
      <c r="J771" t="s">
        <v>287</v>
      </c>
      <c r="K771">
        <v>1.297157298732376E-2</v>
      </c>
      <c r="L771" t="s">
        <v>153</v>
      </c>
      <c r="N771" t="s">
        <v>235</v>
      </c>
      <c r="O771" t="s">
        <v>287</v>
      </c>
      <c r="P771">
        <v>1.1590179659684114E-2</v>
      </c>
      <c r="Q771" t="s">
        <v>153</v>
      </c>
    </row>
    <row r="772" spans="9:17" x14ac:dyDescent="0.45">
      <c r="I772" t="s">
        <v>192</v>
      </c>
      <c r="J772" t="s">
        <v>288</v>
      </c>
      <c r="K772">
        <v>7.6113791389196888E-4</v>
      </c>
      <c r="L772" t="s">
        <v>153</v>
      </c>
      <c r="N772" t="s">
        <v>235</v>
      </c>
      <c r="O772" t="s">
        <v>288</v>
      </c>
      <c r="P772">
        <v>8.4858182613240449E-2</v>
      </c>
      <c r="Q772" t="s">
        <v>153</v>
      </c>
    </row>
    <row r="773" spans="9:17" x14ac:dyDescent="0.45">
      <c r="I773" t="s">
        <v>192</v>
      </c>
      <c r="J773" t="s">
        <v>294</v>
      </c>
      <c r="K773">
        <v>2.4739306714429308E-3</v>
      </c>
      <c r="L773" t="s">
        <v>153</v>
      </c>
      <c r="N773" t="s">
        <v>235</v>
      </c>
      <c r="O773" t="s">
        <v>294</v>
      </c>
      <c r="P773">
        <v>2.0599549523466737E-2</v>
      </c>
      <c r="Q773" t="s">
        <v>153</v>
      </c>
    </row>
    <row r="774" spans="9:17" x14ac:dyDescent="0.45">
      <c r="I774" t="s">
        <v>192</v>
      </c>
      <c r="J774" t="s">
        <v>295</v>
      </c>
      <c r="K774">
        <v>4.6956198612916437E-3</v>
      </c>
      <c r="L774" t="s">
        <v>153</v>
      </c>
      <c r="N774" t="s">
        <v>235</v>
      </c>
      <c r="O774" t="s">
        <v>295</v>
      </c>
      <c r="P774">
        <v>2.2356882660159003E-3</v>
      </c>
      <c r="Q774" t="s">
        <v>153</v>
      </c>
    </row>
    <row r="775" spans="9:17" x14ac:dyDescent="0.45">
      <c r="I775" t="s">
        <v>192</v>
      </c>
      <c r="J775" t="s">
        <v>296</v>
      </c>
      <c r="K775">
        <v>7.4334041554043689E-2</v>
      </c>
      <c r="L775" t="s">
        <v>153</v>
      </c>
      <c r="N775" t="s">
        <v>235</v>
      </c>
      <c r="O775" t="s">
        <v>296</v>
      </c>
      <c r="P775">
        <v>1.3344705331986277E-2</v>
      </c>
      <c r="Q775" t="s">
        <v>153</v>
      </c>
    </row>
    <row r="776" spans="9:17" x14ac:dyDescent="0.45">
      <c r="I776" t="s">
        <v>192</v>
      </c>
      <c r="J776" t="s">
        <v>297</v>
      </c>
      <c r="K776">
        <v>4.8589868250194148E-3</v>
      </c>
      <c r="L776" t="s">
        <v>153</v>
      </c>
      <c r="N776" t="s">
        <v>235</v>
      </c>
      <c r="O776" t="s">
        <v>297</v>
      </c>
      <c r="P776">
        <v>1.4526437921307737E-3</v>
      </c>
      <c r="Q776" t="s">
        <v>153</v>
      </c>
    </row>
    <row r="777" spans="9:17" x14ac:dyDescent="0.45">
      <c r="I777" t="s">
        <v>192</v>
      </c>
      <c r="J777" t="s">
        <v>298</v>
      </c>
      <c r="K777">
        <v>3.467038153112301E-3</v>
      </c>
      <c r="L777" t="s">
        <v>153</v>
      </c>
      <c r="N777" t="s">
        <v>235</v>
      </c>
      <c r="O777" t="s">
        <v>298</v>
      </c>
      <c r="P777">
        <v>1.8294228960442863E-3</v>
      </c>
      <c r="Q777" t="s">
        <v>153</v>
      </c>
    </row>
    <row r="778" spans="9:17" x14ac:dyDescent="0.45">
      <c r="I778" t="s">
        <v>192</v>
      </c>
      <c r="J778" t="s">
        <v>299</v>
      </c>
      <c r="K778">
        <v>1.9085747459977806E-3</v>
      </c>
      <c r="L778" t="s">
        <v>153</v>
      </c>
      <c r="N778" t="s">
        <v>235</v>
      </c>
      <c r="O778" t="s">
        <v>299</v>
      </c>
      <c r="P778">
        <v>1.5049207439976165E-2</v>
      </c>
      <c r="Q778" t="s">
        <v>153</v>
      </c>
    </row>
    <row r="779" spans="9:17" x14ac:dyDescent="0.45">
      <c r="I779" t="s">
        <v>193</v>
      </c>
      <c r="J779" t="s">
        <v>152</v>
      </c>
      <c r="K779">
        <v>1.7041629307088997E-3</v>
      </c>
      <c r="L779" t="s">
        <v>153</v>
      </c>
      <c r="N779" t="s">
        <v>236</v>
      </c>
      <c r="O779" t="s">
        <v>152</v>
      </c>
      <c r="P779">
        <v>0.17214354588611691</v>
      </c>
      <c r="Q779" t="s">
        <v>153</v>
      </c>
    </row>
    <row r="780" spans="9:17" x14ac:dyDescent="0.45">
      <c r="I780" t="s">
        <v>193</v>
      </c>
      <c r="J780" t="s">
        <v>154</v>
      </c>
      <c r="K780">
        <v>1.3630356283252059E-2</v>
      </c>
      <c r="L780" t="s">
        <v>153</v>
      </c>
      <c r="N780" t="s">
        <v>236</v>
      </c>
      <c r="O780" t="s">
        <v>154</v>
      </c>
      <c r="P780">
        <v>2.0661465903244768E-2</v>
      </c>
      <c r="Q780" t="s">
        <v>153</v>
      </c>
    </row>
    <row r="781" spans="9:17" x14ac:dyDescent="0.45">
      <c r="I781" t="s">
        <v>193</v>
      </c>
      <c r="J781" t="s">
        <v>155</v>
      </c>
      <c r="K781">
        <v>0.38127951069562893</v>
      </c>
      <c r="L781" t="s">
        <v>153</v>
      </c>
      <c r="N781" t="s">
        <v>236</v>
      </c>
      <c r="O781" t="s">
        <v>155</v>
      </c>
      <c r="P781">
        <v>0.12189751083871961</v>
      </c>
      <c r="Q781" t="s">
        <v>153</v>
      </c>
    </row>
    <row r="782" spans="9:17" x14ac:dyDescent="0.45">
      <c r="I782" t="s">
        <v>193</v>
      </c>
      <c r="J782" t="s">
        <v>280</v>
      </c>
      <c r="K782">
        <v>3.0987388262789132E-2</v>
      </c>
      <c r="L782" t="s">
        <v>153</v>
      </c>
      <c r="N782" t="s">
        <v>236</v>
      </c>
      <c r="O782" t="s">
        <v>280</v>
      </c>
      <c r="P782">
        <v>9.4497627569769729E-3</v>
      </c>
      <c r="Q782" t="s">
        <v>153</v>
      </c>
    </row>
    <row r="783" spans="9:17" x14ac:dyDescent="0.45">
      <c r="I783" t="s">
        <v>193</v>
      </c>
      <c r="J783" t="s">
        <v>281</v>
      </c>
      <c r="K783">
        <v>1.4958411619709372E-2</v>
      </c>
      <c r="L783" t="s">
        <v>153</v>
      </c>
      <c r="N783" t="s">
        <v>236</v>
      </c>
      <c r="O783" t="s">
        <v>281</v>
      </c>
      <c r="P783">
        <v>1.0891088974423608E-2</v>
      </c>
      <c r="Q783" t="s">
        <v>153</v>
      </c>
    </row>
    <row r="784" spans="9:17" x14ac:dyDescent="0.45">
      <c r="I784" t="s">
        <v>193</v>
      </c>
      <c r="J784" t="s">
        <v>282</v>
      </c>
      <c r="K784">
        <v>5.2199172121653696E-3</v>
      </c>
      <c r="L784" t="s">
        <v>153</v>
      </c>
      <c r="N784" t="s">
        <v>236</v>
      </c>
      <c r="O784" t="s">
        <v>282</v>
      </c>
      <c r="P784">
        <v>0.10072830171857607</v>
      </c>
      <c r="Q784" t="s">
        <v>153</v>
      </c>
    </row>
    <row r="785" spans="9:17" x14ac:dyDescent="0.45">
      <c r="I785" t="s">
        <v>193</v>
      </c>
      <c r="J785" t="s">
        <v>156</v>
      </c>
      <c r="K785">
        <v>0</v>
      </c>
      <c r="L785" t="s">
        <v>153</v>
      </c>
      <c r="N785" t="s">
        <v>236</v>
      </c>
      <c r="O785" t="s">
        <v>156</v>
      </c>
      <c r="P785">
        <v>6.7162879177899135E-2</v>
      </c>
      <c r="Q785" t="s">
        <v>153</v>
      </c>
    </row>
    <row r="786" spans="9:17" x14ac:dyDescent="0.45">
      <c r="I786" t="s">
        <v>193</v>
      </c>
      <c r="J786" t="s">
        <v>157</v>
      </c>
      <c r="K786">
        <v>0</v>
      </c>
      <c r="L786" t="s">
        <v>153</v>
      </c>
      <c r="N786" t="s">
        <v>236</v>
      </c>
      <c r="O786" t="s">
        <v>157</v>
      </c>
      <c r="P786">
        <v>9.7019037923936832E-3</v>
      </c>
      <c r="Q786" t="s">
        <v>153</v>
      </c>
    </row>
    <row r="787" spans="9:17" x14ac:dyDescent="0.45">
      <c r="I787" t="s">
        <v>193</v>
      </c>
      <c r="J787" t="s">
        <v>158</v>
      </c>
      <c r="K787">
        <v>0.12113587052398064</v>
      </c>
      <c r="L787" t="s">
        <v>153</v>
      </c>
      <c r="N787" t="s">
        <v>236</v>
      </c>
      <c r="O787" t="s">
        <v>158</v>
      </c>
      <c r="P787">
        <v>5.990144105281698E-2</v>
      </c>
      <c r="Q787" t="s">
        <v>153</v>
      </c>
    </row>
    <row r="788" spans="9:17" x14ac:dyDescent="0.45">
      <c r="I788" t="s">
        <v>193</v>
      </c>
      <c r="J788" t="s">
        <v>283</v>
      </c>
      <c r="K788">
        <v>1.11050592737058E-2</v>
      </c>
      <c r="L788" t="s">
        <v>153</v>
      </c>
      <c r="N788" t="s">
        <v>236</v>
      </c>
      <c r="O788" t="s">
        <v>283</v>
      </c>
      <c r="P788">
        <v>4.9110654673225384E-3</v>
      </c>
      <c r="Q788" t="s">
        <v>153</v>
      </c>
    </row>
    <row r="789" spans="9:17" x14ac:dyDescent="0.45">
      <c r="I789" t="s">
        <v>193</v>
      </c>
      <c r="J789" t="s">
        <v>284</v>
      </c>
      <c r="K789">
        <v>1.4558663218004193E-3</v>
      </c>
      <c r="L789" t="s">
        <v>153</v>
      </c>
      <c r="N789" t="s">
        <v>236</v>
      </c>
      <c r="O789" t="s">
        <v>284</v>
      </c>
      <c r="P789">
        <v>5.5314878575082136E-3</v>
      </c>
      <c r="Q789" t="s">
        <v>153</v>
      </c>
    </row>
    <row r="790" spans="9:17" x14ac:dyDescent="0.45">
      <c r="I790" t="s">
        <v>193</v>
      </c>
      <c r="J790" t="s">
        <v>285</v>
      </c>
      <c r="K790">
        <v>0</v>
      </c>
      <c r="L790" t="s">
        <v>153</v>
      </c>
      <c r="N790" t="s">
        <v>236</v>
      </c>
      <c r="O790" t="s">
        <v>285</v>
      </c>
      <c r="P790">
        <v>4.0287645190208103E-2</v>
      </c>
      <c r="Q790" t="s">
        <v>153</v>
      </c>
    </row>
    <row r="791" spans="9:17" x14ac:dyDescent="0.45">
      <c r="I791" t="s">
        <v>193</v>
      </c>
      <c r="J791" t="s">
        <v>159</v>
      </c>
      <c r="K791">
        <v>4.3976678979886089E-3</v>
      </c>
      <c r="L791" t="s">
        <v>153</v>
      </c>
      <c r="N791" t="s">
        <v>236</v>
      </c>
      <c r="O791" t="s">
        <v>159</v>
      </c>
      <c r="P791">
        <v>0.11431189238082205</v>
      </c>
      <c r="Q791" t="s">
        <v>153</v>
      </c>
    </row>
    <row r="792" spans="9:17" x14ac:dyDescent="0.45">
      <c r="I792" t="s">
        <v>193</v>
      </c>
      <c r="J792" t="s">
        <v>160</v>
      </c>
      <c r="K792">
        <v>1.6629967754563577E-2</v>
      </c>
      <c r="L792" t="s">
        <v>153</v>
      </c>
      <c r="N792" t="s">
        <v>236</v>
      </c>
      <c r="O792" t="s">
        <v>160</v>
      </c>
      <c r="P792">
        <v>1.1530135243767212E-2</v>
      </c>
      <c r="Q792" t="s">
        <v>153</v>
      </c>
    </row>
    <row r="793" spans="9:17" x14ac:dyDescent="0.45">
      <c r="I793" t="s">
        <v>193</v>
      </c>
      <c r="J793" t="s">
        <v>161</v>
      </c>
      <c r="K793">
        <v>0.26915782547664696</v>
      </c>
      <c r="L793" t="s">
        <v>153</v>
      </c>
      <c r="N793" t="s">
        <v>236</v>
      </c>
      <c r="O793" t="s">
        <v>161</v>
      </c>
      <c r="P793">
        <v>8.983755985310167E-2</v>
      </c>
      <c r="Q793" t="s">
        <v>153</v>
      </c>
    </row>
    <row r="794" spans="9:17" x14ac:dyDescent="0.45">
      <c r="I794" t="s">
        <v>193</v>
      </c>
      <c r="J794" t="s">
        <v>286</v>
      </c>
      <c r="K794">
        <v>2.163535421816248E-2</v>
      </c>
      <c r="L794" t="s">
        <v>153</v>
      </c>
      <c r="N794" t="s">
        <v>236</v>
      </c>
      <c r="O794" t="s">
        <v>286</v>
      </c>
      <c r="P794">
        <v>1.1010475789489126E-2</v>
      </c>
      <c r="Q794" t="s">
        <v>153</v>
      </c>
    </row>
    <row r="795" spans="9:17" x14ac:dyDescent="0.45">
      <c r="I795" t="s">
        <v>193</v>
      </c>
      <c r="J795" t="s">
        <v>287</v>
      </c>
      <c r="K795">
        <v>1.4856189836973357E-2</v>
      </c>
      <c r="L795" t="s">
        <v>153</v>
      </c>
      <c r="N795" t="s">
        <v>236</v>
      </c>
      <c r="O795" t="s">
        <v>287</v>
      </c>
      <c r="P795">
        <v>1.1299010240368222E-2</v>
      </c>
      <c r="Q795" t="s">
        <v>153</v>
      </c>
    </row>
    <row r="796" spans="9:17" x14ac:dyDescent="0.45">
      <c r="I796" t="s">
        <v>193</v>
      </c>
      <c r="J796" t="s">
        <v>288</v>
      </c>
      <c r="K796">
        <v>8.9477858368178643E-4</v>
      </c>
      <c r="L796" t="s">
        <v>153</v>
      </c>
      <c r="N796" t="s">
        <v>236</v>
      </c>
      <c r="O796" t="s">
        <v>288</v>
      </c>
      <c r="P796">
        <v>7.5383449199364405E-2</v>
      </c>
      <c r="Q796" t="s">
        <v>153</v>
      </c>
    </row>
    <row r="797" spans="9:17" x14ac:dyDescent="0.45">
      <c r="I797" t="s">
        <v>193</v>
      </c>
      <c r="J797" t="s">
        <v>294</v>
      </c>
      <c r="K797">
        <v>2.3636712263179335E-3</v>
      </c>
      <c r="L797" t="s">
        <v>153</v>
      </c>
      <c r="N797" t="s">
        <v>236</v>
      </c>
      <c r="O797" t="s">
        <v>294</v>
      </c>
      <c r="P797">
        <v>2.6460959262991083E-2</v>
      </c>
      <c r="Q797" t="s">
        <v>153</v>
      </c>
    </row>
    <row r="798" spans="9:17" x14ac:dyDescent="0.45">
      <c r="I798" t="s">
        <v>193</v>
      </c>
      <c r="J798" t="s">
        <v>295</v>
      </c>
      <c r="K798">
        <v>4.5658893849153852E-3</v>
      </c>
      <c r="L798" t="s">
        <v>153</v>
      </c>
      <c r="N798" t="s">
        <v>236</v>
      </c>
      <c r="O798" t="s">
        <v>295</v>
      </c>
      <c r="P798">
        <v>2.3622464684132333E-3</v>
      </c>
      <c r="Q798" t="s">
        <v>153</v>
      </c>
    </row>
    <row r="799" spans="9:17" x14ac:dyDescent="0.45">
      <c r="I799" t="s">
        <v>193</v>
      </c>
      <c r="J799" t="s">
        <v>296</v>
      </c>
      <c r="K799">
        <v>7.4068503527483967E-2</v>
      </c>
      <c r="L799" t="s">
        <v>153</v>
      </c>
      <c r="N799" t="s">
        <v>236</v>
      </c>
      <c r="O799" t="s">
        <v>296</v>
      </c>
      <c r="P799">
        <v>1.4000625287610731E-2</v>
      </c>
      <c r="Q799" t="s">
        <v>153</v>
      </c>
    </row>
    <row r="800" spans="9:17" x14ac:dyDescent="0.45">
      <c r="I800" t="s">
        <v>193</v>
      </c>
      <c r="J800" t="s">
        <v>297</v>
      </c>
      <c r="K800">
        <v>4.8065756399251628E-3</v>
      </c>
      <c r="L800" t="s">
        <v>153</v>
      </c>
      <c r="N800" t="s">
        <v>236</v>
      </c>
      <c r="O800" t="s">
        <v>297</v>
      </c>
      <c r="P800">
        <v>1.6611421128200818E-3</v>
      </c>
      <c r="Q800" t="s">
        <v>153</v>
      </c>
    </row>
    <row r="801" spans="9:17" x14ac:dyDescent="0.45">
      <c r="I801" t="s">
        <v>193</v>
      </c>
      <c r="J801" t="s">
        <v>298</v>
      </c>
      <c r="K801">
        <v>3.4234000109253748E-3</v>
      </c>
      <c r="L801" t="s">
        <v>153</v>
      </c>
      <c r="N801" t="s">
        <v>236</v>
      </c>
      <c r="O801" t="s">
        <v>298</v>
      </c>
      <c r="P801">
        <v>1.9488270751205979E-3</v>
      </c>
      <c r="Q801" t="s">
        <v>153</v>
      </c>
    </row>
    <row r="802" spans="9:17" x14ac:dyDescent="0.45">
      <c r="I802" t="s">
        <v>193</v>
      </c>
      <c r="J802" t="s">
        <v>299</v>
      </c>
      <c r="K802">
        <v>1.7236333186766511E-3</v>
      </c>
      <c r="L802" t="s">
        <v>153</v>
      </c>
      <c r="N802" t="s">
        <v>236</v>
      </c>
      <c r="O802" t="s">
        <v>299</v>
      </c>
      <c r="P802">
        <v>1.6925578469921931E-2</v>
      </c>
      <c r="Q802" t="s">
        <v>153</v>
      </c>
    </row>
    <row r="803" spans="9:17" x14ac:dyDescent="0.45">
      <c r="I803" t="s">
        <v>194</v>
      </c>
      <c r="J803" t="s">
        <v>152</v>
      </c>
      <c r="K803">
        <v>1.5182137587739933E-3</v>
      </c>
      <c r="L803" t="s">
        <v>153</v>
      </c>
      <c r="N803" t="s">
        <v>237</v>
      </c>
      <c r="O803" t="s">
        <v>152</v>
      </c>
      <c r="P803">
        <v>0.15441569649266096</v>
      </c>
      <c r="Q803" t="s">
        <v>153</v>
      </c>
    </row>
    <row r="804" spans="9:17" x14ac:dyDescent="0.45">
      <c r="I804" t="s">
        <v>194</v>
      </c>
      <c r="J804" t="s">
        <v>154</v>
      </c>
      <c r="K804">
        <v>1.1142245730606579E-2</v>
      </c>
      <c r="L804" t="s">
        <v>153</v>
      </c>
      <c r="N804" t="s">
        <v>237</v>
      </c>
      <c r="O804" t="s">
        <v>154</v>
      </c>
      <c r="P804">
        <v>2.0154510213409884E-2</v>
      </c>
      <c r="Q804" t="s">
        <v>153</v>
      </c>
    </row>
    <row r="805" spans="9:17" x14ac:dyDescent="0.45">
      <c r="I805" t="s">
        <v>194</v>
      </c>
      <c r="J805" t="s">
        <v>155</v>
      </c>
      <c r="K805">
        <v>0.37263723200332882</v>
      </c>
      <c r="L805" t="s">
        <v>153</v>
      </c>
      <c r="N805" t="s">
        <v>237</v>
      </c>
      <c r="O805" t="s">
        <v>155</v>
      </c>
      <c r="P805">
        <v>0.15170555623015974</v>
      </c>
      <c r="Q805" t="s">
        <v>153</v>
      </c>
    </row>
    <row r="806" spans="9:17" x14ac:dyDescent="0.45">
      <c r="I806" t="s">
        <v>194</v>
      </c>
      <c r="J806" t="s">
        <v>280</v>
      </c>
      <c r="K806">
        <v>3.2432240964834685E-2</v>
      </c>
      <c r="L806" t="s">
        <v>153</v>
      </c>
      <c r="N806" t="s">
        <v>237</v>
      </c>
      <c r="O806" t="s">
        <v>280</v>
      </c>
      <c r="P806">
        <v>1.3476097700325464E-2</v>
      </c>
      <c r="Q806" t="s">
        <v>153</v>
      </c>
    </row>
    <row r="807" spans="9:17" x14ac:dyDescent="0.45">
      <c r="I807" t="s">
        <v>194</v>
      </c>
      <c r="J807" t="s">
        <v>281</v>
      </c>
      <c r="K807">
        <v>1.6616182568621352E-2</v>
      </c>
      <c r="L807" t="s">
        <v>153</v>
      </c>
      <c r="N807" t="s">
        <v>237</v>
      </c>
      <c r="O807" t="s">
        <v>281</v>
      </c>
      <c r="P807">
        <v>1.4018777403280927E-2</v>
      </c>
      <c r="Q807" t="s">
        <v>153</v>
      </c>
    </row>
    <row r="808" spans="9:17" x14ac:dyDescent="0.45">
      <c r="I808" t="s">
        <v>194</v>
      </c>
      <c r="J808" t="s">
        <v>282</v>
      </c>
      <c r="K808">
        <v>6.3871948544327612E-3</v>
      </c>
      <c r="L808" t="s">
        <v>153</v>
      </c>
      <c r="N808" t="s">
        <v>237</v>
      </c>
      <c r="O808" t="s">
        <v>282</v>
      </c>
      <c r="P808">
        <v>9.51193017519118E-2</v>
      </c>
      <c r="Q808" t="s">
        <v>153</v>
      </c>
    </row>
    <row r="809" spans="9:17" x14ac:dyDescent="0.45">
      <c r="I809" t="s">
        <v>194</v>
      </c>
      <c r="J809" t="s">
        <v>156</v>
      </c>
      <c r="K809">
        <v>0</v>
      </c>
      <c r="L809" t="s">
        <v>153</v>
      </c>
      <c r="N809" t="s">
        <v>237</v>
      </c>
      <c r="O809" t="s">
        <v>156</v>
      </c>
      <c r="P809">
        <v>5.9561001193443257E-2</v>
      </c>
      <c r="Q809" t="s">
        <v>153</v>
      </c>
    </row>
    <row r="810" spans="9:17" x14ac:dyDescent="0.45">
      <c r="I810" t="s">
        <v>194</v>
      </c>
      <c r="J810" t="s">
        <v>157</v>
      </c>
      <c r="K810">
        <v>0</v>
      </c>
      <c r="L810" t="s">
        <v>153</v>
      </c>
      <c r="N810" t="s">
        <v>237</v>
      </c>
      <c r="O810" t="s">
        <v>157</v>
      </c>
      <c r="P810">
        <v>8.8383185256320149E-3</v>
      </c>
      <c r="Q810" t="s">
        <v>153</v>
      </c>
    </row>
    <row r="811" spans="9:17" x14ac:dyDescent="0.45">
      <c r="I811" t="s">
        <v>194</v>
      </c>
      <c r="J811" t="s">
        <v>158</v>
      </c>
      <c r="K811">
        <v>0.11451456042764881</v>
      </c>
      <c r="L811" t="s">
        <v>153</v>
      </c>
      <c r="N811" t="s">
        <v>237</v>
      </c>
      <c r="O811" t="s">
        <v>158</v>
      </c>
      <c r="P811">
        <v>7.0357011419632853E-2</v>
      </c>
      <c r="Q811" t="s">
        <v>153</v>
      </c>
    </row>
    <row r="812" spans="9:17" x14ac:dyDescent="0.45">
      <c r="I812" t="s">
        <v>194</v>
      </c>
      <c r="J812" t="s">
        <v>283</v>
      </c>
      <c r="K812">
        <v>1.0303203270807084E-2</v>
      </c>
      <c r="L812" t="s">
        <v>153</v>
      </c>
      <c r="N812" t="s">
        <v>237</v>
      </c>
      <c r="O812" t="s">
        <v>283</v>
      </c>
      <c r="P812">
        <v>6.4854768850686906E-3</v>
      </c>
      <c r="Q812" t="s">
        <v>153</v>
      </c>
    </row>
    <row r="813" spans="9:17" x14ac:dyDescent="0.45">
      <c r="I813" t="s">
        <v>194</v>
      </c>
      <c r="J813" t="s">
        <v>284</v>
      </c>
      <c r="K813">
        <v>1.4441904935597804E-3</v>
      </c>
      <c r="L813" t="s">
        <v>153</v>
      </c>
      <c r="N813" t="s">
        <v>237</v>
      </c>
      <c r="O813" t="s">
        <v>284</v>
      </c>
      <c r="P813">
        <v>7.0305340193654049E-3</v>
      </c>
      <c r="Q813" t="s">
        <v>153</v>
      </c>
    </row>
    <row r="814" spans="9:17" x14ac:dyDescent="0.45">
      <c r="I814" t="s">
        <v>194</v>
      </c>
      <c r="J814" t="s">
        <v>285</v>
      </c>
      <c r="K814">
        <v>0</v>
      </c>
      <c r="L814" t="s">
        <v>153</v>
      </c>
      <c r="N814" t="s">
        <v>237</v>
      </c>
      <c r="O814" t="s">
        <v>285</v>
      </c>
      <c r="P814">
        <v>4.0373339913949181E-2</v>
      </c>
      <c r="Q814" t="s">
        <v>153</v>
      </c>
    </row>
    <row r="815" spans="9:17" x14ac:dyDescent="0.45">
      <c r="I815" t="s">
        <v>194</v>
      </c>
      <c r="J815" t="s">
        <v>159</v>
      </c>
      <c r="K815">
        <v>4.3679381929816585E-3</v>
      </c>
      <c r="L815" t="s">
        <v>153</v>
      </c>
      <c r="N815" t="s">
        <v>237</v>
      </c>
      <c r="O815" t="s">
        <v>159</v>
      </c>
      <c r="P815">
        <v>8.4310813295351186E-2</v>
      </c>
      <c r="Q815" t="s">
        <v>153</v>
      </c>
    </row>
    <row r="816" spans="9:17" x14ac:dyDescent="0.45">
      <c r="I816" t="s">
        <v>194</v>
      </c>
      <c r="J816" t="s">
        <v>160</v>
      </c>
      <c r="K816">
        <v>1.5822427027891061E-2</v>
      </c>
      <c r="L816" t="s">
        <v>153</v>
      </c>
      <c r="N816" t="s">
        <v>237</v>
      </c>
      <c r="O816" t="s">
        <v>160</v>
      </c>
      <c r="P816">
        <v>9.5145576818332512E-3</v>
      </c>
      <c r="Q816" t="s">
        <v>153</v>
      </c>
    </row>
    <row r="817" spans="9:17" x14ac:dyDescent="0.45">
      <c r="I817" t="s">
        <v>194</v>
      </c>
      <c r="J817" t="s">
        <v>161</v>
      </c>
      <c r="K817">
        <v>0.27837095722339134</v>
      </c>
      <c r="L817" t="s">
        <v>153</v>
      </c>
      <c r="N817" t="s">
        <v>237</v>
      </c>
      <c r="O817" t="s">
        <v>161</v>
      </c>
      <c r="P817">
        <v>0.10986230616391304</v>
      </c>
      <c r="Q817" t="s">
        <v>153</v>
      </c>
    </row>
    <row r="818" spans="9:17" x14ac:dyDescent="0.45">
      <c r="I818" t="s">
        <v>194</v>
      </c>
      <c r="J818" t="s">
        <v>286</v>
      </c>
      <c r="K818">
        <v>2.3406109749220957E-2</v>
      </c>
      <c r="L818" t="s">
        <v>153</v>
      </c>
      <c r="N818" t="s">
        <v>237</v>
      </c>
      <c r="O818" t="s">
        <v>286</v>
      </c>
      <c r="P818">
        <v>1.3082258166590983E-2</v>
      </c>
      <c r="Q818" t="s">
        <v>153</v>
      </c>
    </row>
    <row r="819" spans="9:17" x14ac:dyDescent="0.45">
      <c r="I819" t="s">
        <v>194</v>
      </c>
      <c r="J819" t="s">
        <v>287</v>
      </c>
      <c r="K819">
        <v>1.6014866211484444E-2</v>
      </c>
      <c r="L819" t="s">
        <v>153</v>
      </c>
      <c r="N819" t="s">
        <v>237</v>
      </c>
      <c r="O819" t="s">
        <v>287</v>
      </c>
      <c r="P819">
        <v>1.2597796109302051E-2</v>
      </c>
      <c r="Q819" t="s">
        <v>153</v>
      </c>
    </row>
    <row r="820" spans="9:17" x14ac:dyDescent="0.45">
      <c r="I820" t="s">
        <v>194</v>
      </c>
      <c r="J820" t="s">
        <v>288</v>
      </c>
      <c r="K820">
        <v>2.0464561831904995E-3</v>
      </c>
      <c r="L820" t="s">
        <v>153</v>
      </c>
      <c r="N820" t="s">
        <v>237</v>
      </c>
      <c r="O820" t="s">
        <v>288</v>
      </c>
      <c r="P820">
        <v>6.5111489014976071E-2</v>
      </c>
      <c r="Q820" t="s">
        <v>153</v>
      </c>
    </row>
    <row r="821" spans="9:17" x14ac:dyDescent="0.45">
      <c r="I821" t="s">
        <v>194</v>
      </c>
      <c r="J821" t="s">
        <v>294</v>
      </c>
      <c r="K821">
        <v>2.1169982535886242E-3</v>
      </c>
      <c r="L821" t="s">
        <v>153</v>
      </c>
      <c r="N821" t="s">
        <v>237</v>
      </c>
      <c r="O821" t="s">
        <v>294</v>
      </c>
      <c r="P821">
        <v>2.2815906734573836E-2</v>
      </c>
      <c r="Q821" t="s">
        <v>153</v>
      </c>
    </row>
    <row r="822" spans="9:17" x14ac:dyDescent="0.45">
      <c r="I822" t="s">
        <v>194</v>
      </c>
      <c r="J822" t="s">
        <v>295</v>
      </c>
      <c r="K822">
        <v>4.076901926084983E-3</v>
      </c>
      <c r="L822" t="s">
        <v>153</v>
      </c>
      <c r="N822" t="s">
        <v>237</v>
      </c>
      <c r="O822" t="s">
        <v>295</v>
      </c>
      <c r="P822">
        <v>2.0972437732099006E-3</v>
      </c>
      <c r="Q822" t="s">
        <v>153</v>
      </c>
    </row>
    <row r="823" spans="9:17" x14ac:dyDescent="0.45">
      <c r="I823" t="s">
        <v>194</v>
      </c>
      <c r="J823" t="s">
        <v>296</v>
      </c>
      <c r="K823">
        <v>7.4473275647113174E-2</v>
      </c>
      <c r="L823" t="s">
        <v>153</v>
      </c>
      <c r="N823" t="s">
        <v>237</v>
      </c>
      <c r="O823" t="s">
        <v>296</v>
      </c>
      <c r="P823">
        <v>1.8232301461471933E-2</v>
      </c>
      <c r="Q823" t="s">
        <v>153</v>
      </c>
    </row>
    <row r="824" spans="9:17" x14ac:dyDescent="0.45">
      <c r="I824" t="s">
        <v>194</v>
      </c>
      <c r="J824" t="s">
        <v>297</v>
      </c>
      <c r="K824">
        <v>5.6821513779937603E-3</v>
      </c>
      <c r="L824" t="s">
        <v>153</v>
      </c>
      <c r="N824" t="s">
        <v>237</v>
      </c>
      <c r="O824" t="s">
        <v>297</v>
      </c>
      <c r="P824">
        <v>2.2437223182216084E-3</v>
      </c>
      <c r="Q824" t="s">
        <v>153</v>
      </c>
    </row>
    <row r="825" spans="9:17" x14ac:dyDescent="0.45">
      <c r="I825" t="s">
        <v>194</v>
      </c>
      <c r="J825" t="s">
        <v>298</v>
      </c>
      <c r="K825">
        <v>4.3222999727036233E-3</v>
      </c>
      <c r="L825" t="s">
        <v>153</v>
      </c>
      <c r="N825" t="s">
        <v>237</v>
      </c>
      <c r="O825" t="s">
        <v>298</v>
      </c>
      <c r="P825">
        <v>2.1007458237878168E-3</v>
      </c>
      <c r="Q825" t="s">
        <v>153</v>
      </c>
    </row>
    <row r="826" spans="9:17" x14ac:dyDescent="0.45">
      <c r="I826" t="s">
        <v>194</v>
      </c>
      <c r="J826" t="s">
        <v>299</v>
      </c>
      <c r="K826">
        <v>2.3043541617428554E-3</v>
      </c>
      <c r="L826" t="s">
        <v>153</v>
      </c>
      <c r="N826" t="s">
        <v>237</v>
      </c>
      <c r="O826" t="s">
        <v>299</v>
      </c>
      <c r="P826">
        <v>1.6495237707929915E-2</v>
      </c>
      <c r="Q826" t="s">
        <v>153</v>
      </c>
    </row>
    <row r="827" spans="9:17" x14ac:dyDescent="0.45">
      <c r="I827" t="s">
        <v>195</v>
      </c>
      <c r="J827" t="s">
        <v>152</v>
      </c>
      <c r="K827">
        <v>1.2924826034233872E-3</v>
      </c>
      <c r="L827" t="s">
        <v>153</v>
      </c>
      <c r="N827" t="s">
        <v>238</v>
      </c>
      <c r="O827" t="s">
        <v>152</v>
      </c>
      <c r="P827">
        <v>0.11484874160065965</v>
      </c>
      <c r="Q827" t="s">
        <v>153</v>
      </c>
    </row>
    <row r="828" spans="9:17" x14ac:dyDescent="0.45">
      <c r="I828" t="s">
        <v>195</v>
      </c>
      <c r="J828" t="s">
        <v>154</v>
      </c>
      <c r="K828">
        <v>1.2982478118559071E-2</v>
      </c>
      <c r="L828" t="s">
        <v>153</v>
      </c>
      <c r="N828" t="s">
        <v>238</v>
      </c>
      <c r="O828" t="s">
        <v>154</v>
      </c>
      <c r="P828">
        <v>1.4034375496572632E-2</v>
      </c>
      <c r="Q828" t="s">
        <v>153</v>
      </c>
    </row>
    <row r="829" spans="9:17" x14ac:dyDescent="0.45">
      <c r="I829" t="s">
        <v>195</v>
      </c>
      <c r="J829" t="s">
        <v>155</v>
      </c>
      <c r="K829">
        <v>0.36764234826267606</v>
      </c>
      <c r="L829" t="s">
        <v>153</v>
      </c>
      <c r="N829" t="s">
        <v>238</v>
      </c>
      <c r="O829" t="s">
        <v>155</v>
      </c>
      <c r="P829">
        <v>0.1698680676335946</v>
      </c>
      <c r="Q829" t="s">
        <v>153</v>
      </c>
    </row>
    <row r="830" spans="9:17" x14ac:dyDescent="0.45">
      <c r="I830" t="s">
        <v>195</v>
      </c>
      <c r="J830" t="s">
        <v>280</v>
      </c>
      <c r="K830">
        <v>3.4170827951677564E-2</v>
      </c>
      <c r="L830" t="s">
        <v>153</v>
      </c>
      <c r="N830" t="s">
        <v>238</v>
      </c>
      <c r="O830" t="s">
        <v>280</v>
      </c>
      <c r="P830">
        <v>2.7907977923110013E-2</v>
      </c>
      <c r="Q830" t="s">
        <v>153</v>
      </c>
    </row>
    <row r="831" spans="9:17" x14ac:dyDescent="0.45">
      <c r="I831" t="s">
        <v>195</v>
      </c>
      <c r="J831" t="s">
        <v>281</v>
      </c>
      <c r="K831">
        <v>2.0842529742047779E-2</v>
      </c>
      <c r="L831" t="s">
        <v>153</v>
      </c>
      <c r="N831" t="s">
        <v>238</v>
      </c>
      <c r="O831" t="s">
        <v>281</v>
      </c>
      <c r="P831">
        <v>2.727836554722881E-2</v>
      </c>
      <c r="Q831" t="s">
        <v>153</v>
      </c>
    </row>
    <row r="832" spans="9:17" x14ac:dyDescent="0.45">
      <c r="I832" t="s">
        <v>195</v>
      </c>
      <c r="J832" t="s">
        <v>282</v>
      </c>
      <c r="K832">
        <v>9.72010916832689E-3</v>
      </c>
      <c r="L832" t="s">
        <v>153</v>
      </c>
      <c r="N832" t="s">
        <v>238</v>
      </c>
      <c r="O832" t="s">
        <v>282</v>
      </c>
      <c r="P832">
        <v>0.11416306643136033</v>
      </c>
      <c r="Q832" t="s">
        <v>153</v>
      </c>
    </row>
    <row r="833" spans="9:17" x14ac:dyDescent="0.45">
      <c r="I833" t="s">
        <v>195</v>
      </c>
      <c r="J833" t="s">
        <v>156</v>
      </c>
      <c r="K833">
        <v>0</v>
      </c>
      <c r="L833" t="s">
        <v>153</v>
      </c>
      <c r="N833" t="s">
        <v>238</v>
      </c>
      <c r="O833" t="s">
        <v>156</v>
      </c>
      <c r="P833">
        <v>4.3110217325657049E-2</v>
      </c>
      <c r="Q833" t="s">
        <v>153</v>
      </c>
    </row>
    <row r="834" spans="9:17" x14ac:dyDescent="0.45">
      <c r="I834" t="s">
        <v>195</v>
      </c>
      <c r="J834" t="s">
        <v>157</v>
      </c>
      <c r="K834">
        <v>0</v>
      </c>
      <c r="L834" t="s">
        <v>153</v>
      </c>
      <c r="N834" t="s">
        <v>238</v>
      </c>
      <c r="O834" t="s">
        <v>157</v>
      </c>
      <c r="P834">
        <v>6.3032345086388381E-3</v>
      </c>
      <c r="Q834" t="s">
        <v>153</v>
      </c>
    </row>
    <row r="835" spans="9:17" x14ac:dyDescent="0.45">
      <c r="I835" t="s">
        <v>195</v>
      </c>
      <c r="J835" t="s">
        <v>158</v>
      </c>
      <c r="K835">
        <v>0.10688734688884222</v>
      </c>
      <c r="L835" t="s">
        <v>153</v>
      </c>
      <c r="N835" t="s">
        <v>238</v>
      </c>
      <c r="O835" t="s">
        <v>158</v>
      </c>
      <c r="P835">
        <v>5.5287883172498394E-2</v>
      </c>
      <c r="Q835" t="s">
        <v>153</v>
      </c>
    </row>
    <row r="836" spans="9:17" x14ac:dyDescent="0.45">
      <c r="I836" t="s">
        <v>195</v>
      </c>
      <c r="J836" t="s">
        <v>283</v>
      </c>
      <c r="K836">
        <v>1.040441342587934E-2</v>
      </c>
      <c r="L836" t="s">
        <v>153</v>
      </c>
      <c r="N836" t="s">
        <v>238</v>
      </c>
      <c r="O836" t="s">
        <v>283</v>
      </c>
      <c r="P836">
        <v>6.97320682757785E-3</v>
      </c>
      <c r="Q836" t="s">
        <v>153</v>
      </c>
    </row>
    <row r="837" spans="9:17" x14ac:dyDescent="0.45">
      <c r="I837" t="s">
        <v>195</v>
      </c>
      <c r="J837" t="s">
        <v>284</v>
      </c>
      <c r="K837">
        <v>2.9906560782969947E-3</v>
      </c>
      <c r="L837" t="s">
        <v>153</v>
      </c>
      <c r="N837" t="s">
        <v>238</v>
      </c>
      <c r="O837" t="s">
        <v>284</v>
      </c>
      <c r="P837">
        <v>6.9374875401232335E-3</v>
      </c>
      <c r="Q837" t="s">
        <v>153</v>
      </c>
    </row>
    <row r="838" spans="9:17" x14ac:dyDescent="0.45">
      <c r="I838" t="s">
        <v>195</v>
      </c>
      <c r="J838" t="s">
        <v>285</v>
      </c>
      <c r="K838">
        <v>0</v>
      </c>
      <c r="L838" t="s">
        <v>153</v>
      </c>
      <c r="N838" t="s">
        <v>238</v>
      </c>
      <c r="O838" t="s">
        <v>285</v>
      </c>
      <c r="P838">
        <v>3.1375693494685865E-2</v>
      </c>
      <c r="Q838" t="s">
        <v>153</v>
      </c>
    </row>
    <row r="839" spans="9:17" x14ac:dyDescent="0.45">
      <c r="I839" t="s">
        <v>195</v>
      </c>
      <c r="J839" t="s">
        <v>159</v>
      </c>
      <c r="K839">
        <v>4.1488682269619744E-3</v>
      </c>
      <c r="L839" t="s">
        <v>153</v>
      </c>
      <c r="N839" t="s">
        <v>238</v>
      </c>
      <c r="O839" t="s">
        <v>159</v>
      </c>
      <c r="P839">
        <v>7.2153763331136628E-2</v>
      </c>
      <c r="Q839" t="s">
        <v>153</v>
      </c>
    </row>
    <row r="840" spans="9:17" x14ac:dyDescent="0.45">
      <c r="I840" t="s">
        <v>195</v>
      </c>
      <c r="J840" t="s">
        <v>160</v>
      </c>
      <c r="K840">
        <v>1.4702386347458726E-2</v>
      </c>
      <c r="L840" t="s">
        <v>153</v>
      </c>
      <c r="N840" t="s">
        <v>238</v>
      </c>
      <c r="O840" t="s">
        <v>160</v>
      </c>
      <c r="P840">
        <v>8.4477342977699876E-3</v>
      </c>
      <c r="Q840" t="s">
        <v>153</v>
      </c>
    </row>
    <row r="841" spans="9:17" x14ac:dyDescent="0.45">
      <c r="I841" t="s">
        <v>195</v>
      </c>
      <c r="J841" t="s">
        <v>161</v>
      </c>
      <c r="K841">
        <v>0.26675398270668671</v>
      </c>
      <c r="L841" t="s">
        <v>153</v>
      </c>
      <c r="N841" t="s">
        <v>238</v>
      </c>
      <c r="O841" t="s">
        <v>161</v>
      </c>
      <c r="P841">
        <v>0.11255104092469045</v>
      </c>
      <c r="Q841" t="s">
        <v>153</v>
      </c>
    </row>
    <row r="842" spans="9:17" x14ac:dyDescent="0.45">
      <c r="I842" t="s">
        <v>195</v>
      </c>
      <c r="J842" t="s">
        <v>286</v>
      </c>
      <c r="K842">
        <v>2.4515747555040403E-2</v>
      </c>
      <c r="L842" t="s">
        <v>153</v>
      </c>
      <c r="N842" t="s">
        <v>238</v>
      </c>
      <c r="O842" t="s">
        <v>286</v>
      </c>
      <c r="P842">
        <v>1.76502676732266E-2</v>
      </c>
      <c r="Q842" t="s">
        <v>153</v>
      </c>
    </row>
    <row r="843" spans="9:17" x14ac:dyDescent="0.45">
      <c r="I843" t="s">
        <v>195</v>
      </c>
      <c r="J843" t="s">
        <v>287</v>
      </c>
      <c r="K843">
        <v>1.7960258852402818E-2</v>
      </c>
      <c r="L843" t="s">
        <v>153</v>
      </c>
      <c r="N843" t="s">
        <v>238</v>
      </c>
      <c r="O843" t="s">
        <v>287</v>
      </c>
      <c r="P843">
        <v>1.7075218105083861E-2</v>
      </c>
      <c r="Q843" t="s">
        <v>153</v>
      </c>
    </row>
    <row r="844" spans="9:17" x14ac:dyDescent="0.45">
      <c r="I844" t="s">
        <v>195</v>
      </c>
      <c r="J844" t="s">
        <v>288</v>
      </c>
      <c r="K844">
        <v>3.5836643437540728E-3</v>
      </c>
      <c r="L844" t="s">
        <v>153</v>
      </c>
      <c r="N844" t="s">
        <v>238</v>
      </c>
      <c r="O844" t="s">
        <v>288</v>
      </c>
      <c r="P844">
        <v>6.9476166012661517E-2</v>
      </c>
      <c r="Q844" t="s">
        <v>153</v>
      </c>
    </row>
    <row r="845" spans="9:17" x14ac:dyDescent="0.45">
      <c r="I845" t="s">
        <v>195</v>
      </c>
      <c r="J845" t="s">
        <v>294</v>
      </c>
      <c r="K845">
        <v>2.6540634037407582E-3</v>
      </c>
      <c r="L845" t="s">
        <v>153</v>
      </c>
      <c r="N845" t="s">
        <v>238</v>
      </c>
      <c r="O845" t="s">
        <v>294</v>
      </c>
      <c r="P845">
        <v>1.7783419915751549E-2</v>
      </c>
      <c r="Q845" t="s">
        <v>153</v>
      </c>
    </row>
    <row r="846" spans="9:17" x14ac:dyDescent="0.45">
      <c r="I846" t="s">
        <v>195</v>
      </c>
      <c r="J846" t="s">
        <v>295</v>
      </c>
      <c r="K846">
        <v>5.0026180373422564E-3</v>
      </c>
      <c r="L846" t="s">
        <v>153</v>
      </c>
      <c r="N846" t="s">
        <v>238</v>
      </c>
      <c r="O846" t="s">
        <v>295</v>
      </c>
      <c r="P846">
        <v>1.7879224779306277E-3</v>
      </c>
      <c r="Q846" t="s">
        <v>153</v>
      </c>
    </row>
    <row r="847" spans="9:17" x14ac:dyDescent="0.45">
      <c r="I847" t="s">
        <v>195</v>
      </c>
      <c r="J847" t="s">
        <v>296</v>
      </c>
      <c r="K847">
        <v>7.8650981277957874E-2</v>
      </c>
      <c r="L847" t="s">
        <v>153</v>
      </c>
      <c r="N847" t="s">
        <v>238</v>
      </c>
      <c r="O847" t="s">
        <v>296</v>
      </c>
      <c r="P847">
        <v>3.283306107549952E-2</v>
      </c>
      <c r="Q847" t="s">
        <v>153</v>
      </c>
    </row>
    <row r="848" spans="9:17" x14ac:dyDescent="0.45">
      <c r="I848" t="s">
        <v>195</v>
      </c>
      <c r="J848" t="s">
        <v>297</v>
      </c>
      <c r="K848">
        <v>6.6134262178669427E-3</v>
      </c>
      <c r="L848" t="s">
        <v>153</v>
      </c>
      <c r="N848" t="s">
        <v>238</v>
      </c>
      <c r="O848" t="s">
        <v>297</v>
      </c>
      <c r="P848">
        <v>5.5705881878496616E-3</v>
      </c>
      <c r="Q848" t="s">
        <v>153</v>
      </c>
    </row>
    <row r="849" spans="9:17" x14ac:dyDescent="0.45">
      <c r="I849" t="s">
        <v>195</v>
      </c>
      <c r="J849" t="s">
        <v>298</v>
      </c>
      <c r="K849">
        <v>5.199990662380808E-3</v>
      </c>
      <c r="L849" t="s">
        <v>153</v>
      </c>
      <c r="N849" t="s">
        <v>238</v>
      </c>
      <c r="O849" t="s">
        <v>298</v>
      </c>
      <c r="P849">
        <v>5.2267184744045139E-3</v>
      </c>
      <c r="Q849" t="s">
        <v>153</v>
      </c>
    </row>
    <row r="850" spans="9:17" x14ac:dyDescent="0.45">
      <c r="I850" t="s">
        <v>195</v>
      </c>
      <c r="J850" t="s">
        <v>299</v>
      </c>
      <c r="K850">
        <v>3.2808201286778859E-3</v>
      </c>
      <c r="L850" t="s">
        <v>153</v>
      </c>
      <c r="N850" t="s">
        <v>238</v>
      </c>
      <c r="O850" t="s">
        <v>299</v>
      </c>
      <c r="P850">
        <v>2.1355782022287679E-2</v>
      </c>
      <c r="Q850" t="s">
        <v>153</v>
      </c>
    </row>
    <row r="851" spans="9:17" x14ac:dyDescent="0.45">
      <c r="I851" t="s">
        <v>196</v>
      </c>
      <c r="J851" t="s">
        <v>152</v>
      </c>
      <c r="K851">
        <v>1.4694727231107229E-3</v>
      </c>
      <c r="L851" t="s">
        <v>153</v>
      </c>
      <c r="N851" t="s">
        <v>239</v>
      </c>
      <c r="O851" t="s">
        <v>152</v>
      </c>
      <c r="P851">
        <v>0.13989794046293899</v>
      </c>
      <c r="Q851" t="s">
        <v>153</v>
      </c>
    </row>
    <row r="852" spans="9:17" x14ac:dyDescent="0.45">
      <c r="I852" t="s">
        <v>196</v>
      </c>
      <c r="J852" t="s">
        <v>154</v>
      </c>
      <c r="K852">
        <v>1.2481993044436134E-2</v>
      </c>
      <c r="L852" t="s">
        <v>153</v>
      </c>
      <c r="N852" t="s">
        <v>239</v>
      </c>
      <c r="O852" t="s">
        <v>154</v>
      </c>
      <c r="P852">
        <v>1.7371812956833523E-2</v>
      </c>
      <c r="Q852" t="s">
        <v>153</v>
      </c>
    </row>
    <row r="853" spans="9:17" x14ac:dyDescent="0.45">
      <c r="I853" t="s">
        <v>196</v>
      </c>
      <c r="J853" t="s">
        <v>155</v>
      </c>
      <c r="K853">
        <v>0.36567083221527924</v>
      </c>
      <c r="L853" t="s">
        <v>153</v>
      </c>
      <c r="N853" t="s">
        <v>239</v>
      </c>
      <c r="O853" t="s">
        <v>155</v>
      </c>
      <c r="P853">
        <v>0.14319058684993052</v>
      </c>
      <c r="Q853" t="s">
        <v>153</v>
      </c>
    </row>
    <row r="854" spans="9:17" x14ac:dyDescent="0.45">
      <c r="I854" t="s">
        <v>196</v>
      </c>
      <c r="J854" t="s">
        <v>280</v>
      </c>
      <c r="K854">
        <v>3.3840269875736163E-2</v>
      </c>
      <c r="L854" t="s">
        <v>153</v>
      </c>
      <c r="N854" t="s">
        <v>239</v>
      </c>
      <c r="O854" t="s">
        <v>280</v>
      </c>
      <c r="P854">
        <v>2.2771944512169819E-2</v>
      </c>
      <c r="Q854" t="s">
        <v>153</v>
      </c>
    </row>
    <row r="855" spans="9:17" x14ac:dyDescent="0.45">
      <c r="I855" t="s">
        <v>196</v>
      </c>
      <c r="J855" t="s">
        <v>281</v>
      </c>
      <c r="K855">
        <v>2.0712858847236001E-2</v>
      </c>
      <c r="L855" t="s">
        <v>153</v>
      </c>
      <c r="N855" t="s">
        <v>239</v>
      </c>
      <c r="O855" t="s">
        <v>281</v>
      </c>
      <c r="P855">
        <v>2.6574494476260899E-2</v>
      </c>
      <c r="Q855" t="s">
        <v>153</v>
      </c>
    </row>
    <row r="856" spans="9:17" x14ac:dyDescent="0.45">
      <c r="I856" t="s">
        <v>196</v>
      </c>
      <c r="J856" t="s">
        <v>282</v>
      </c>
      <c r="K856">
        <v>9.5026321577055678E-3</v>
      </c>
      <c r="L856" t="s">
        <v>153</v>
      </c>
      <c r="N856" t="s">
        <v>239</v>
      </c>
      <c r="O856" t="s">
        <v>282</v>
      </c>
      <c r="P856">
        <v>0.13352365319201684</v>
      </c>
      <c r="Q856" t="s">
        <v>153</v>
      </c>
    </row>
    <row r="857" spans="9:17" x14ac:dyDescent="0.45">
      <c r="I857" t="s">
        <v>196</v>
      </c>
      <c r="J857" t="s">
        <v>156</v>
      </c>
      <c r="K857">
        <v>0</v>
      </c>
      <c r="L857" t="s">
        <v>153</v>
      </c>
      <c r="N857" t="s">
        <v>239</v>
      </c>
      <c r="O857" t="s">
        <v>156</v>
      </c>
      <c r="P857">
        <v>4.6462477422427442E-2</v>
      </c>
      <c r="Q857" t="s">
        <v>153</v>
      </c>
    </row>
    <row r="858" spans="9:17" x14ac:dyDescent="0.45">
      <c r="I858" t="s">
        <v>196</v>
      </c>
      <c r="J858" t="s">
        <v>157</v>
      </c>
      <c r="K858">
        <v>0</v>
      </c>
      <c r="L858" t="s">
        <v>153</v>
      </c>
      <c r="N858" t="s">
        <v>239</v>
      </c>
      <c r="O858" t="s">
        <v>157</v>
      </c>
      <c r="P858">
        <v>6.8951246726908664E-3</v>
      </c>
      <c r="Q858" t="s">
        <v>153</v>
      </c>
    </row>
    <row r="859" spans="9:17" x14ac:dyDescent="0.45">
      <c r="I859" t="s">
        <v>196</v>
      </c>
      <c r="J859" t="s">
        <v>158</v>
      </c>
      <c r="K859">
        <v>0.10435977352662801</v>
      </c>
      <c r="L859" t="s">
        <v>153</v>
      </c>
      <c r="N859" t="s">
        <v>239</v>
      </c>
      <c r="O859" t="s">
        <v>158</v>
      </c>
      <c r="P859">
        <v>6.5133636389686222E-2</v>
      </c>
      <c r="Q859" t="s">
        <v>153</v>
      </c>
    </row>
    <row r="860" spans="9:17" x14ac:dyDescent="0.45">
      <c r="I860" t="s">
        <v>196</v>
      </c>
      <c r="J860" t="s">
        <v>283</v>
      </c>
      <c r="K860">
        <v>9.5838645198332278E-3</v>
      </c>
      <c r="L860" t="s">
        <v>153</v>
      </c>
      <c r="N860" t="s">
        <v>239</v>
      </c>
      <c r="O860" t="s">
        <v>283</v>
      </c>
      <c r="P860">
        <v>6.8844063560342655E-3</v>
      </c>
      <c r="Q860" t="s">
        <v>153</v>
      </c>
    </row>
    <row r="861" spans="9:17" x14ac:dyDescent="0.45">
      <c r="I861" t="s">
        <v>196</v>
      </c>
      <c r="J861" t="s">
        <v>284</v>
      </c>
      <c r="K861">
        <v>2.0435872593604614E-3</v>
      </c>
      <c r="L861" t="s">
        <v>153</v>
      </c>
      <c r="N861" t="s">
        <v>239</v>
      </c>
      <c r="O861" t="s">
        <v>284</v>
      </c>
      <c r="P861">
        <v>6.9480650315020438E-3</v>
      </c>
      <c r="Q861" t="s">
        <v>153</v>
      </c>
    </row>
    <row r="862" spans="9:17" x14ac:dyDescent="0.45">
      <c r="I862" t="s">
        <v>196</v>
      </c>
      <c r="J862" t="s">
        <v>285</v>
      </c>
      <c r="K862">
        <v>0</v>
      </c>
      <c r="L862" t="s">
        <v>153</v>
      </c>
      <c r="N862" t="s">
        <v>239</v>
      </c>
      <c r="O862" t="s">
        <v>285</v>
      </c>
      <c r="P862">
        <v>3.474267980951723E-2</v>
      </c>
      <c r="Q862" t="s">
        <v>153</v>
      </c>
    </row>
    <row r="863" spans="9:17" x14ac:dyDescent="0.45">
      <c r="I863" t="s">
        <v>196</v>
      </c>
      <c r="J863" t="s">
        <v>159</v>
      </c>
      <c r="K863">
        <v>4.4540181637627947E-3</v>
      </c>
      <c r="L863" t="s">
        <v>153</v>
      </c>
      <c r="N863" t="s">
        <v>239</v>
      </c>
      <c r="O863" t="s">
        <v>159</v>
      </c>
      <c r="P863">
        <v>7.0695463109853501E-2</v>
      </c>
      <c r="Q863" t="s">
        <v>153</v>
      </c>
    </row>
    <row r="864" spans="9:17" x14ac:dyDescent="0.45">
      <c r="I864" t="s">
        <v>196</v>
      </c>
      <c r="J864" t="s">
        <v>160</v>
      </c>
      <c r="K864">
        <v>1.554225357979643E-2</v>
      </c>
      <c r="L864" t="s">
        <v>153</v>
      </c>
      <c r="N864" t="s">
        <v>239</v>
      </c>
      <c r="O864" t="s">
        <v>160</v>
      </c>
      <c r="P864">
        <v>8.4932375560043613E-3</v>
      </c>
      <c r="Q864" t="s">
        <v>153</v>
      </c>
    </row>
    <row r="865" spans="9:17" x14ac:dyDescent="0.45">
      <c r="I865" t="s">
        <v>196</v>
      </c>
      <c r="J865" t="s">
        <v>161</v>
      </c>
      <c r="K865">
        <v>0.27224387398163929</v>
      </c>
      <c r="L865" t="s">
        <v>153</v>
      </c>
      <c r="N865" t="s">
        <v>239</v>
      </c>
      <c r="O865" t="s">
        <v>161</v>
      </c>
      <c r="P865">
        <v>8.2939255981705234E-2</v>
      </c>
      <c r="Q865" t="s">
        <v>153</v>
      </c>
    </row>
    <row r="866" spans="9:17" x14ac:dyDescent="0.45">
      <c r="I866" t="s">
        <v>196</v>
      </c>
      <c r="J866" t="s">
        <v>286</v>
      </c>
      <c r="K866">
        <v>2.4596735800740475E-2</v>
      </c>
      <c r="L866" t="s">
        <v>153</v>
      </c>
      <c r="N866" t="s">
        <v>239</v>
      </c>
      <c r="O866" t="s">
        <v>286</v>
      </c>
      <c r="P866">
        <v>1.454256028558021E-2</v>
      </c>
      <c r="Q866" t="s">
        <v>153</v>
      </c>
    </row>
    <row r="867" spans="9:17" x14ac:dyDescent="0.45">
      <c r="I867" t="s">
        <v>196</v>
      </c>
      <c r="J867" t="s">
        <v>287</v>
      </c>
      <c r="K867">
        <v>1.797957289088958E-2</v>
      </c>
      <c r="L867" t="s">
        <v>153</v>
      </c>
      <c r="N867" t="s">
        <v>239</v>
      </c>
      <c r="O867" t="s">
        <v>287</v>
      </c>
      <c r="P867">
        <v>1.683436311983821E-2</v>
      </c>
      <c r="Q867" t="s">
        <v>153</v>
      </c>
    </row>
    <row r="868" spans="9:17" x14ac:dyDescent="0.45">
      <c r="I868" t="s">
        <v>196</v>
      </c>
      <c r="J868" t="s">
        <v>288</v>
      </c>
      <c r="K868">
        <v>4.0414301295331537E-3</v>
      </c>
      <c r="L868" t="s">
        <v>153</v>
      </c>
      <c r="N868" t="s">
        <v>239</v>
      </c>
      <c r="O868" t="s">
        <v>288</v>
      </c>
      <c r="P868">
        <v>7.7714720852990887E-2</v>
      </c>
      <c r="Q868" t="s">
        <v>153</v>
      </c>
    </row>
    <row r="869" spans="9:17" x14ac:dyDescent="0.45">
      <c r="I869" t="s">
        <v>196</v>
      </c>
      <c r="J869" t="s">
        <v>294</v>
      </c>
      <c r="K869">
        <v>2.4749354713680164E-3</v>
      </c>
      <c r="L869" t="s">
        <v>153</v>
      </c>
      <c r="N869" t="s">
        <v>239</v>
      </c>
      <c r="O869" t="s">
        <v>294</v>
      </c>
      <c r="P869">
        <v>2.2240733513526359E-2</v>
      </c>
      <c r="Q869" t="s">
        <v>153</v>
      </c>
    </row>
    <row r="870" spans="9:17" x14ac:dyDescent="0.45">
      <c r="I870" t="s">
        <v>196</v>
      </c>
      <c r="J870" t="s">
        <v>295</v>
      </c>
      <c r="K870">
        <v>4.3719693846173378E-3</v>
      </c>
      <c r="L870" t="s">
        <v>153</v>
      </c>
      <c r="N870" t="s">
        <v>239</v>
      </c>
      <c r="O870" t="s">
        <v>295</v>
      </c>
      <c r="P870">
        <v>2.3635200614305798E-3</v>
      </c>
      <c r="Q870" t="s">
        <v>153</v>
      </c>
    </row>
    <row r="871" spans="9:17" x14ac:dyDescent="0.45">
      <c r="I871" t="s">
        <v>196</v>
      </c>
      <c r="J871" t="s">
        <v>296</v>
      </c>
      <c r="K871">
        <v>7.8649728387993265E-2</v>
      </c>
      <c r="L871" t="s">
        <v>153</v>
      </c>
      <c r="N871" t="s">
        <v>239</v>
      </c>
      <c r="O871" t="s">
        <v>296</v>
      </c>
      <c r="P871">
        <v>1.7730243495589142E-2</v>
      </c>
      <c r="Q871" t="s">
        <v>153</v>
      </c>
    </row>
    <row r="872" spans="9:17" x14ac:dyDescent="0.45">
      <c r="I872" t="s">
        <v>196</v>
      </c>
      <c r="J872" t="s">
        <v>297</v>
      </c>
      <c r="K872">
        <v>7.0871085087980791E-3</v>
      </c>
      <c r="L872" t="s">
        <v>153</v>
      </c>
      <c r="N872" t="s">
        <v>239</v>
      </c>
      <c r="O872" t="s">
        <v>297</v>
      </c>
      <c r="P872">
        <v>4.543833000153397E-3</v>
      </c>
      <c r="Q872" t="s">
        <v>153</v>
      </c>
    </row>
    <row r="873" spans="9:17" x14ac:dyDescent="0.45">
      <c r="I873" t="s">
        <v>196</v>
      </c>
      <c r="J873" t="s">
        <v>298</v>
      </c>
      <c r="K873">
        <v>5.4799043186915973E-3</v>
      </c>
      <c r="L873" t="s">
        <v>153</v>
      </c>
      <c r="N873" t="s">
        <v>239</v>
      </c>
      <c r="O873" t="s">
        <v>298</v>
      </c>
      <c r="P873">
        <v>5.6154269914258856E-3</v>
      </c>
      <c r="Q873" t="s">
        <v>153</v>
      </c>
    </row>
    <row r="874" spans="9:17" x14ac:dyDescent="0.45">
      <c r="I874" t="s">
        <v>196</v>
      </c>
      <c r="J874" t="s">
        <v>299</v>
      </c>
      <c r="K874">
        <v>3.4131852128443129E-3</v>
      </c>
      <c r="L874" t="s">
        <v>153</v>
      </c>
      <c r="N874" t="s">
        <v>239</v>
      </c>
      <c r="O874" t="s">
        <v>299</v>
      </c>
      <c r="P874">
        <v>2.5889819899892211E-2</v>
      </c>
      <c r="Q874" t="s">
        <v>153</v>
      </c>
    </row>
    <row r="875" spans="9:17" x14ac:dyDescent="0.45">
      <c r="I875" t="s">
        <v>197</v>
      </c>
      <c r="J875" t="s">
        <v>152</v>
      </c>
      <c r="K875">
        <v>0</v>
      </c>
      <c r="L875" t="s">
        <v>153</v>
      </c>
      <c r="N875" t="s">
        <v>240</v>
      </c>
      <c r="O875" t="s">
        <v>152</v>
      </c>
      <c r="P875">
        <v>0.10945327168045482</v>
      </c>
      <c r="Q875" t="s">
        <v>153</v>
      </c>
    </row>
    <row r="876" spans="9:17" x14ac:dyDescent="0.45">
      <c r="I876" t="s">
        <v>197</v>
      </c>
      <c r="J876" t="s">
        <v>154</v>
      </c>
      <c r="K876">
        <v>1.52465668660319E-2</v>
      </c>
      <c r="L876" t="s">
        <v>153</v>
      </c>
      <c r="N876" t="s">
        <v>240</v>
      </c>
      <c r="O876" t="s">
        <v>154</v>
      </c>
      <c r="P876">
        <v>1.6753273030288743E-2</v>
      </c>
      <c r="Q876" t="s">
        <v>153</v>
      </c>
    </row>
    <row r="877" spans="9:17" x14ac:dyDescent="0.45">
      <c r="I877" t="s">
        <v>197</v>
      </c>
      <c r="J877" t="s">
        <v>155</v>
      </c>
      <c r="K877">
        <v>0.38034129068324901</v>
      </c>
      <c r="L877" t="s">
        <v>153</v>
      </c>
      <c r="N877" t="s">
        <v>240</v>
      </c>
      <c r="O877" t="s">
        <v>155</v>
      </c>
      <c r="P877">
        <v>0.18594840222408754</v>
      </c>
      <c r="Q877" t="s">
        <v>153</v>
      </c>
    </row>
    <row r="878" spans="9:17" x14ac:dyDescent="0.45">
      <c r="I878" t="s">
        <v>197</v>
      </c>
      <c r="J878" t="s">
        <v>280</v>
      </c>
      <c r="K878">
        <v>3.4131386407089744E-2</v>
      </c>
      <c r="L878" t="s">
        <v>153</v>
      </c>
      <c r="N878" t="s">
        <v>240</v>
      </c>
      <c r="O878" t="s">
        <v>280</v>
      </c>
      <c r="P878">
        <v>3.2627510528659955E-2</v>
      </c>
      <c r="Q878" t="s">
        <v>153</v>
      </c>
    </row>
    <row r="879" spans="9:17" x14ac:dyDescent="0.45">
      <c r="I879" t="s">
        <v>197</v>
      </c>
      <c r="J879" t="s">
        <v>281</v>
      </c>
      <c r="K879">
        <v>2.2073116897463062E-2</v>
      </c>
      <c r="L879" t="s">
        <v>153</v>
      </c>
      <c r="N879" t="s">
        <v>240</v>
      </c>
      <c r="O879" t="s">
        <v>281</v>
      </c>
      <c r="P879">
        <v>3.1787830250054307E-2</v>
      </c>
      <c r="Q879" t="s">
        <v>153</v>
      </c>
    </row>
    <row r="880" spans="9:17" x14ac:dyDescent="0.45">
      <c r="I880" t="s">
        <v>197</v>
      </c>
      <c r="J880" t="s">
        <v>282</v>
      </c>
      <c r="K880">
        <v>7.5559631602881479E-3</v>
      </c>
      <c r="L880" t="s">
        <v>153</v>
      </c>
      <c r="N880" t="s">
        <v>240</v>
      </c>
      <c r="O880" t="s">
        <v>282</v>
      </c>
      <c r="P880">
        <v>9.7388696549148959E-2</v>
      </c>
      <c r="Q880" t="s">
        <v>153</v>
      </c>
    </row>
    <row r="881" spans="9:17" x14ac:dyDescent="0.45">
      <c r="I881" t="s">
        <v>197</v>
      </c>
      <c r="J881" t="s">
        <v>156</v>
      </c>
      <c r="K881">
        <v>0</v>
      </c>
      <c r="L881" t="s">
        <v>153</v>
      </c>
      <c r="N881" t="s">
        <v>240</v>
      </c>
      <c r="O881" t="s">
        <v>156</v>
      </c>
      <c r="P881">
        <v>5.1019973140952857E-2</v>
      </c>
      <c r="Q881" t="s">
        <v>153</v>
      </c>
    </row>
    <row r="882" spans="9:17" x14ac:dyDescent="0.45">
      <c r="I882" t="s">
        <v>197</v>
      </c>
      <c r="J882" t="s">
        <v>157</v>
      </c>
      <c r="K882">
        <v>0</v>
      </c>
      <c r="L882" t="s">
        <v>153</v>
      </c>
      <c r="N882" t="s">
        <v>240</v>
      </c>
      <c r="O882" t="s">
        <v>157</v>
      </c>
      <c r="P882">
        <v>8.2928641482127186E-3</v>
      </c>
      <c r="Q882" t="s">
        <v>153</v>
      </c>
    </row>
    <row r="883" spans="9:17" x14ac:dyDescent="0.45">
      <c r="I883" t="s">
        <v>197</v>
      </c>
      <c r="J883" t="s">
        <v>158</v>
      </c>
      <c r="K883">
        <v>0.12175657438702447</v>
      </c>
      <c r="L883" t="s">
        <v>153</v>
      </c>
      <c r="N883" t="s">
        <v>240</v>
      </c>
      <c r="O883" t="s">
        <v>158</v>
      </c>
      <c r="P883">
        <v>7.8759085104784299E-2</v>
      </c>
      <c r="Q883" t="s">
        <v>153</v>
      </c>
    </row>
    <row r="884" spans="9:17" x14ac:dyDescent="0.45">
      <c r="I884" t="s">
        <v>197</v>
      </c>
      <c r="J884" t="s">
        <v>283</v>
      </c>
      <c r="K884">
        <v>1.0947923761169478E-2</v>
      </c>
      <c r="L884" t="s">
        <v>153</v>
      </c>
      <c r="N884" t="s">
        <v>240</v>
      </c>
      <c r="O884" t="s">
        <v>283</v>
      </c>
      <c r="P884">
        <v>7.6724736515731071E-3</v>
      </c>
      <c r="Q884" t="s">
        <v>153</v>
      </c>
    </row>
    <row r="885" spans="9:17" x14ac:dyDescent="0.45">
      <c r="I885" t="s">
        <v>197</v>
      </c>
      <c r="J885" t="s">
        <v>284</v>
      </c>
      <c r="K885">
        <v>5.4750082419807288E-3</v>
      </c>
      <c r="L885" t="s">
        <v>153</v>
      </c>
      <c r="N885" t="s">
        <v>240</v>
      </c>
      <c r="O885" t="s">
        <v>284</v>
      </c>
      <c r="P885">
        <v>7.0276101385196611E-3</v>
      </c>
      <c r="Q885" t="s">
        <v>153</v>
      </c>
    </row>
    <row r="886" spans="9:17" x14ac:dyDescent="0.45">
      <c r="I886" t="s">
        <v>197</v>
      </c>
      <c r="J886" t="s">
        <v>285</v>
      </c>
      <c r="K886">
        <v>0</v>
      </c>
      <c r="L886" t="s">
        <v>153</v>
      </c>
      <c r="N886" t="s">
        <v>240</v>
      </c>
      <c r="O886" t="s">
        <v>285</v>
      </c>
      <c r="P886">
        <v>3.2032480930278953E-2</v>
      </c>
      <c r="Q886" t="s">
        <v>153</v>
      </c>
    </row>
    <row r="887" spans="9:17" x14ac:dyDescent="0.45">
      <c r="I887" t="s">
        <v>197</v>
      </c>
      <c r="J887" t="s">
        <v>159</v>
      </c>
      <c r="K887">
        <v>2.6649396620976591E-3</v>
      </c>
      <c r="L887" t="s">
        <v>153</v>
      </c>
      <c r="N887" t="s">
        <v>240</v>
      </c>
      <c r="O887" t="s">
        <v>159</v>
      </c>
      <c r="P887">
        <v>5.2484918791307872E-2</v>
      </c>
      <c r="Q887" t="s">
        <v>153</v>
      </c>
    </row>
    <row r="888" spans="9:17" x14ac:dyDescent="0.45">
      <c r="I888" t="s">
        <v>197</v>
      </c>
      <c r="J888" t="s">
        <v>160</v>
      </c>
      <c r="K888">
        <v>1.5280763662226794E-2</v>
      </c>
      <c r="L888" t="s">
        <v>153</v>
      </c>
      <c r="N888" t="s">
        <v>240</v>
      </c>
      <c r="O888" t="s">
        <v>160</v>
      </c>
      <c r="P888">
        <v>8.1447080502186336E-3</v>
      </c>
      <c r="Q888" t="s">
        <v>153</v>
      </c>
    </row>
    <row r="889" spans="9:17" x14ac:dyDescent="0.45">
      <c r="I889" t="s">
        <v>197</v>
      </c>
      <c r="J889" t="s">
        <v>161</v>
      </c>
      <c r="K889">
        <v>0.26673965375207487</v>
      </c>
      <c r="L889" t="s">
        <v>153</v>
      </c>
      <c r="N889" t="s">
        <v>240</v>
      </c>
      <c r="O889" t="s">
        <v>161</v>
      </c>
      <c r="P889">
        <v>0.11008556843950511</v>
      </c>
      <c r="Q889" t="s">
        <v>153</v>
      </c>
    </row>
    <row r="890" spans="9:17" x14ac:dyDescent="0.45">
      <c r="I890" t="s">
        <v>197</v>
      </c>
      <c r="J890" t="s">
        <v>286</v>
      </c>
      <c r="K890">
        <v>2.3104417379073625E-2</v>
      </c>
      <c r="L890" t="s">
        <v>153</v>
      </c>
      <c r="N890" t="s">
        <v>240</v>
      </c>
      <c r="O890" t="s">
        <v>286</v>
      </c>
      <c r="P890">
        <v>2.0315292561042184E-2</v>
      </c>
      <c r="Q890" t="s">
        <v>153</v>
      </c>
    </row>
    <row r="891" spans="9:17" x14ac:dyDescent="0.45">
      <c r="I891" t="s">
        <v>197</v>
      </c>
      <c r="J891" t="s">
        <v>287</v>
      </c>
      <c r="K891">
        <v>1.4703981880806421E-2</v>
      </c>
      <c r="L891" t="s">
        <v>153</v>
      </c>
      <c r="N891" t="s">
        <v>240</v>
      </c>
      <c r="O891" t="s">
        <v>287</v>
      </c>
      <c r="P891">
        <v>1.9174872782492174E-2</v>
      </c>
      <c r="Q891" t="s">
        <v>153</v>
      </c>
    </row>
    <row r="892" spans="9:17" x14ac:dyDescent="0.45">
      <c r="I892" t="s">
        <v>197</v>
      </c>
      <c r="J892" t="s">
        <v>288</v>
      </c>
      <c r="K892">
        <v>7.485983515609937E-4</v>
      </c>
      <c r="L892" t="s">
        <v>153</v>
      </c>
      <c r="N892" t="s">
        <v>240</v>
      </c>
      <c r="O892" t="s">
        <v>288</v>
      </c>
      <c r="P892">
        <v>5.0648490919944077E-2</v>
      </c>
      <c r="Q892" t="s">
        <v>153</v>
      </c>
    </row>
    <row r="893" spans="9:17" x14ac:dyDescent="0.45">
      <c r="I893" t="s">
        <v>197</v>
      </c>
      <c r="J893" t="s">
        <v>294</v>
      </c>
      <c r="K893">
        <v>1.679388828734566E-3</v>
      </c>
      <c r="L893" t="s">
        <v>153</v>
      </c>
      <c r="N893" t="s">
        <v>240</v>
      </c>
      <c r="O893" t="s">
        <v>294</v>
      </c>
      <c r="P893">
        <v>1.5277693443761182E-2</v>
      </c>
      <c r="Q893" t="s">
        <v>153</v>
      </c>
    </row>
    <row r="894" spans="9:17" x14ac:dyDescent="0.45">
      <c r="I894" t="s">
        <v>197</v>
      </c>
      <c r="J894" t="s">
        <v>295</v>
      </c>
      <c r="K894">
        <v>3.7926988320508221E-3</v>
      </c>
      <c r="L894" t="s">
        <v>153</v>
      </c>
      <c r="N894" t="s">
        <v>240</v>
      </c>
      <c r="O894" t="s">
        <v>295</v>
      </c>
      <c r="P894">
        <v>2.2315203018528694E-3</v>
      </c>
      <c r="Q894" t="s">
        <v>153</v>
      </c>
    </row>
    <row r="895" spans="9:17" x14ac:dyDescent="0.45">
      <c r="I895" t="s">
        <v>197</v>
      </c>
      <c r="J895" t="s">
        <v>296</v>
      </c>
      <c r="K895">
        <v>6.2654908710334301E-2</v>
      </c>
      <c r="L895" t="s">
        <v>153</v>
      </c>
      <c r="N895" t="s">
        <v>240</v>
      </c>
      <c r="O895" t="s">
        <v>296</v>
      </c>
      <c r="P895">
        <v>3.1751442217496241E-2</v>
      </c>
      <c r="Q895" t="s">
        <v>153</v>
      </c>
    </row>
    <row r="896" spans="9:17" x14ac:dyDescent="0.45">
      <c r="I896" t="s">
        <v>197</v>
      </c>
      <c r="J896" t="s">
        <v>297</v>
      </c>
      <c r="K896">
        <v>5.0177160001871404E-3</v>
      </c>
      <c r="L896" t="s">
        <v>153</v>
      </c>
      <c r="N896" t="s">
        <v>240</v>
      </c>
      <c r="O896" t="s">
        <v>297</v>
      </c>
      <c r="P896">
        <v>7.2737503783539877E-3</v>
      </c>
      <c r="Q896" t="s">
        <v>153</v>
      </c>
    </row>
    <row r="897" spans="9:17" x14ac:dyDescent="0.45">
      <c r="I897" t="s">
        <v>197</v>
      </c>
      <c r="J897" t="s">
        <v>298</v>
      </c>
      <c r="K897">
        <v>3.8288013157711173E-3</v>
      </c>
      <c r="L897" t="s">
        <v>153</v>
      </c>
      <c r="N897" t="s">
        <v>240</v>
      </c>
      <c r="O897" t="s">
        <v>298</v>
      </c>
      <c r="P897">
        <v>6.7901397883280588E-3</v>
      </c>
      <c r="Q897" t="s">
        <v>153</v>
      </c>
    </row>
    <row r="898" spans="9:17" x14ac:dyDescent="0.45">
      <c r="I898" t="s">
        <v>197</v>
      </c>
      <c r="J898" t="s">
        <v>299</v>
      </c>
      <c r="K898">
        <v>2.2563012207871074E-3</v>
      </c>
      <c r="L898" t="s">
        <v>153</v>
      </c>
      <c r="N898" t="s">
        <v>240</v>
      </c>
      <c r="O898" t="s">
        <v>299</v>
      </c>
      <c r="P898">
        <v>1.7058130948683366E-2</v>
      </c>
      <c r="Q898" t="s">
        <v>153</v>
      </c>
    </row>
    <row r="899" spans="9:17" x14ac:dyDescent="0.45">
      <c r="I899" t="s">
        <v>198</v>
      </c>
      <c r="J899" t="s">
        <v>152</v>
      </c>
      <c r="K899">
        <v>9.7829594070460442E-5</v>
      </c>
      <c r="L899" t="s">
        <v>153</v>
      </c>
      <c r="N899" t="s">
        <v>241</v>
      </c>
      <c r="O899" t="s">
        <v>152</v>
      </c>
      <c r="P899">
        <v>9.3383197744066296E-2</v>
      </c>
      <c r="Q899" t="s">
        <v>153</v>
      </c>
    </row>
    <row r="900" spans="9:17" x14ac:dyDescent="0.45">
      <c r="I900" t="s">
        <v>198</v>
      </c>
      <c r="J900" t="s">
        <v>154</v>
      </c>
      <c r="K900">
        <v>1.4477702692937387E-2</v>
      </c>
      <c r="L900" t="s">
        <v>153</v>
      </c>
      <c r="N900" t="s">
        <v>241</v>
      </c>
      <c r="O900" t="s">
        <v>154</v>
      </c>
      <c r="P900">
        <v>1.3995720472477829E-2</v>
      </c>
      <c r="Q900" t="s">
        <v>153</v>
      </c>
    </row>
    <row r="901" spans="9:17" x14ac:dyDescent="0.45">
      <c r="I901" t="s">
        <v>198</v>
      </c>
      <c r="J901" t="s">
        <v>155</v>
      </c>
      <c r="K901">
        <v>0.37994651998162743</v>
      </c>
      <c r="L901" t="s">
        <v>153</v>
      </c>
      <c r="N901" t="s">
        <v>241</v>
      </c>
      <c r="O901" t="s">
        <v>155</v>
      </c>
      <c r="P901">
        <v>0.20118637902337022</v>
      </c>
      <c r="Q901" t="s">
        <v>153</v>
      </c>
    </row>
    <row r="902" spans="9:17" x14ac:dyDescent="0.45">
      <c r="I902" t="s">
        <v>198</v>
      </c>
      <c r="J902" t="s">
        <v>280</v>
      </c>
      <c r="K902">
        <v>3.4667682642726953E-2</v>
      </c>
      <c r="L902" t="s">
        <v>153</v>
      </c>
      <c r="N902" t="s">
        <v>241</v>
      </c>
      <c r="O902" t="s">
        <v>280</v>
      </c>
      <c r="P902">
        <v>3.6460255382808324E-2</v>
      </c>
      <c r="Q902" t="s">
        <v>153</v>
      </c>
    </row>
    <row r="903" spans="9:17" x14ac:dyDescent="0.45">
      <c r="I903" t="s">
        <v>198</v>
      </c>
      <c r="J903" t="s">
        <v>281</v>
      </c>
      <c r="K903">
        <v>2.2345411636602853E-2</v>
      </c>
      <c r="L903" t="s">
        <v>153</v>
      </c>
      <c r="N903" t="s">
        <v>241</v>
      </c>
      <c r="O903" t="s">
        <v>281</v>
      </c>
      <c r="P903">
        <v>3.3136690328175109E-2</v>
      </c>
      <c r="Q903" t="s">
        <v>153</v>
      </c>
    </row>
    <row r="904" spans="9:17" x14ac:dyDescent="0.45">
      <c r="I904" t="s">
        <v>198</v>
      </c>
      <c r="J904" t="s">
        <v>282</v>
      </c>
      <c r="K904">
        <v>8.0618166993953518E-3</v>
      </c>
      <c r="L904" t="s">
        <v>153</v>
      </c>
      <c r="N904" t="s">
        <v>241</v>
      </c>
      <c r="O904" t="s">
        <v>282</v>
      </c>
      <c r="P904">
        <v>0.10356149109739592</v>
      </c>
      <c r="Q904" t="s">
        <v>153</v>
      </c>
    </row>
    <row r="905" spans="9:17" x14ac:dyDescent="0.45">
      <c r="I905" t="s">
        <v>198</v>
      </c>
      <c r="J905" t="s">
        <v>156</v>
      </c>
      <c r="K905">
        <v>0</v>
      </c>
      <c r="L905" t="s">
        <v>153</v>
      </c>
      <c r="N905" t="s">
        <v>241</v>
      </c>
      <c r="O905" t="s">
        <v>156</v>
      </c>
      <c r="P905">
        <v>4.4446119404640147E-2</v>
      </c>
      <c r="Q905" t="s">
        <v>153</v>
      </c>
    </row>
    <row r="906" spans="9:17" x14ac:dyDescent="0.45">
      <c r="I906" t="s">
        <v>198</v>
      </c>
      <c r="J906" t="s">
        <v>157</v>
      </c>
      <c r="K906">
        <v>0</v>
      </c>
      <c r="L906" t="s">
        <v>153</v>
      </c>
      <c r="N906" t="s">
        <v>241</v>
      </c>
      <c r="O906" t="s">
        <v>157</v>
      </c>
      <c r="P906">
        <v>7.2005141346898408E-3</v>
      </c>
      <c r="Q906" t="s">
        <v>153</v>
      </c>
    </row>
    <row r="907" spans="9:17" x14ac:dyDescent="0.45">
      <c r="I907" t="s">
        <v>198</v>
      </c>
      <c r="J907" t="s">
        <v>158</v>
      </c>
      <c r="K907">
        <v>0.12036547166125321</v>
      </c>
      <c r="L907" t="s">
        <v>153</v>
      </c>
      <c r="N907" t="s">
        <v>241</v>
      </c>
      <c r="O907" t="s">
        <v>158</v>
      </c>
      <c r="P907">
        <v>6.696191164812762E-2</v>
      </c>
      <c r="Q907" t="s">
        <v>153</v>
      </c>
    </row>
    <row r="908" spans="9:17" x14ac:dyDescent="0.45">
      <c r="I908" t="s">
        <v>198</v>
      </c>
      <c r="J908" t="s">
        <v>283</v>
      </c>
      <c r="K908">
        <v>1.099060126290872E-2</v>
      </c>
      <c r="L908" t="s">
        <v>153</v>
      </c>
      <c r="N908" t="s">
        <v>241</v>
      </c>
      <c r="O908" t="s">
        <v>283</v>
      </c>
      <c r="P908">
        <v>6.9124154842061586E-3</v>
      </c>
      <c r="Q908" t="s">
        <v>153</v>
      </c>
    </row>
    <row r="909" spans="9:17" x14ac:dyDescent="0.45">
      <c r="I909" t="s">
        <v>198</v>
      </c>
      <c r="J909" t="s">
        <v>284</v>
      </c>
      <c r="K909">
        <v>5.0896135513498614E-3</v>
      </c>
      <c r="L909" t="s">
        <v>153</v>
      </c>
      <c r="N909" t="s">
        <v>241</v>
      </c>
      <c r="O909" t="s">
        <v>284</v>
      </c>
      <c r="P909">
        <v>6.5428676500900078E-3</v>
      </c>
      <c r="Q909" t="s">
        <v>153</v>
      </c>
    </row>
    <row r="910" spans="9:17" x14ac:dyDescent="0.45">
      <c r="I910" t="s">
        <v>198</v>
      </c>
      <c r="J910" t="s">
        <v>285</v>
      </c>
      <c r="K910">
        <v>0</v>
      </c>
      <c r="L910" t="s">
        <v>153</v>
      </c>
      <c r="N910" t="s">
        <v>241</v>
      </c>
      <c r="O910" t="s">
        <v>285</v>
      </c>
      <c r="P910">
        <v>2.8619401353694323E-2</v>
      </c>
      <c r="Q910" t="s">
        <v>153</v>
      </c>
    </row>
    <row r="911" spans="9:17" x14ac:dyDescent="0.45">
      <c r="I911" t="s">
        <v>198</v>
      </c>
      <c r="J911" t="s">
        <v>159</v>
      </c>
      <c r="K911">
        <v>2.8717471588579164E-3</v>
      </c>
      <c r="L911" t="s">
        <v>153</v>
      </c>
      <c r="N911" t="s">
        <v>241</v>
      </c>
      <c r="O911" t="s">
        <v>159</v>
      </c>
      <c r="P911">
        <v>4.6893059080708947E-2</v>
      </c>
      <c r="Q911" t="s">
        <v>153</v>
      </c>
    </row>
    <row r="912" spans="9:17" x14ac:dyDescent="0.45">
      <c r="I912" t="s">
        <v>198</v>
      </c>
      <c r="J912" t="s">
        <v>160</v>
      </c>
      <c r="K912">
        <v>1.5467103448017565E-2</v>
      </c>
      <c r="L912" t="s">
        <v>153</v>
      </c>
      <c r="N912" t="s">
        <v>241</v>
      </c>
      <c r="O912" t="s">
        <v>160</v>
      </c>
      <c r="P912">
        <v>5.8723767766332043E-3</v>
      </c>
      <c r="Q912" t="s">
        <v>153</v>
      </c>
    </row>
    <row r="913" spans="9:17" x14ac:dyDescent="0.45">
      <c r="I913" t="s">
        <v>198</v>
      </c>
      <c r="J913" t="s">
        <v>161</v>
      </c>
      <c r="K913">
        <v>0.26334444226472381</v>
      </c>
      <c r="L913" t="s">
        <v>153</v>
      </c>
      <c r="N913" t="s">
        <v>241</v>
      </c>
      <c r="O913" t="s">
        <v>161</v>
      </c>
      <c r="P913">
        <v>0.12098507445662182</v>
      </c>
      <c r="Q913" t="s">
        <v>153</v>
      </c>
    </row>
    <row r="914" spans="9:17" x14ac:dyDescent="0.45">
      <c r="I914" t="s">
        <v>198</v>
      </c>
      <c r="J914" t="s">
        <v>286</v>
      </c>
      <c r="K914">
        <v>2.2537021280677954E-2</v>
      </c>
      <c r="L914" t="s">
        <v>153</v>
      </c>
      <c r="N914" t="s">
        <v>241</v>
      </c>
      <c r="O914" t="s">
        <v>286</v>
      </c>
      <c r="P914">
        <v>2.3619698042334974E-2</v>
      </c>
      <c r="Q914" t="s">
        <v>153</v>
      </c>
    </row>
    <row r="915" spans="9:17" x14ac:dyDescent="0.45">
      <c r="I915" t="s">
        <v>198</v>
      </c>
      <c r="J915" t="s">
        <v>287</v>
      </c>
      <c r="K915">
        <v>1.4727731463186393E-2</v>
      </c>
      <c r="L915" t="s">
        <v>153</v>
      </c>
      <c r="N915" t="s">
        <v>241</v>
      </c>
      <c r="O915" t="s">
        <v>287</v>
      </c>
      <c r="P915">
        <v>2.1124755646837887E-2</v>
      </c>
      <c r="Q915" t="s">
        <v>153</v>
      </c>
    </row>
    <row r="916" spans="9:17" x14ac:dyDescent="0.45">
      <c r="I916" t="s">
        <v>198</v>
      </c>
      <c r="J916" t="s">
        <v>288</v>
      </c>
      <c r="K916">
        <v>8.3625886734858335E-4</v>
      </c>
      <c r="L916" t="s">
        <v>153</v>
      </c>
      <c r="N916" t="s">
        <v>241</v>
      </c>
      <c r="O916" t="s">
        <v>288</v>
      </c>
      <c r="P916">
        <v>6.2753856787554185E-2</v>
      </c>
      <c r="Q916" t="s">
        <v>153</v>
      </c>
    </row>
    <row r="917" spans="9:17" x14ac:dyDescent="0.45">
      <c r="I917" t="s">
        <v>198</v>
      </c>
      <c r="J917" t="s">
        <v>294</v>
      </c>
      <c r="K917">
        <v>1.8537429298588282E-3</v>
      </c>
      <c r="L917" t="s">
        <v>153</v>
      </c>
      <c r="N917" t="s">
        <v>241</v>
      </c>
      <c r="O917" t="s">
        <v>294</v>
      </c>
      <c r="P917">
        <v>8.0409353584770232E-3</v>
      </c>
      <c r="Q917" t="s">
        <v>153</v>
      </c>
    </row>
    <row r="918" spans="9:17" x14ac:dyDescent="0.45">
      <c r="I918" t="s">
        <v>198</v>
      </c>
      <c r="J918" t="s">
        <v>295</v>
      </c>
      <c r="K918">
        <v>4.0302243682473248E-3</v>
      </c>
      <c r="L918" t="s">
        <v>153</v>
      </c>
      <c r="N918" t="s">
        <v>241</v>
      </c>
      <c r="O918" t="s">
        <v>295</v>
      </c>
      <c r="P918">
        <v>8.940985385029836E-4</v>
      </c>
      <c r="Q918" t="s">
        <v>153</v>
      </c>
    </row>
    <row r="919" spans="9:17" x14ac:dyDescent="0.45">
      <c r="I919" t="s">
        <v>198</v>
      </c>
      <c r="J919" t="s">
        <v>296</v>
      </c>
      <c r="K919">
        <v>6.6104310266320146E-2</v>
      </c>
      <c r="L919" t="s">
        <v>153</v>
      </c>
      <c r="N919" t="s">
        <v>241</v>
      </c>
      <c r="O919" t="s">
        <v>296</v>
      </c>
      <c r="P919">
        <v>3.5229816900951075E-2</v>
      </c>
      <c r="Q919" t="s">
        <v>153</v>
      </c>
    </row>
    <row r="920" spans="9:17" x14ac:dyDescent="0.45">
      <c r="I920" t="s">
        <v>198</v>
      </c>
      <c r="J920" t="s">
        <v>297</v>
      </c>
      <c r="K920">
        <v>5.6482736192492245E-3</v>
      </c>
      <c r="L920" t="s">
        <v>153</v>
      </c>
      <c r="N920" t="s">
        <v>241</v>
      </c>
      <c r="O920" t="s">
        <v>297</v>
      </c>
      <c r="P920">
        <v>8.5707648091027117E-3</v>
      </c>
      <c r="Q920" t="s">
        <v>153</v>
      </c>
    </row>
    <row r="921" spans="9:17" x14ac:dyDescent="0.45">
      <c r="I921" t="s">
        <v>198</v>
      </c>
      <c r="J921" t="s">
        <v>298</v>
      </c>
      <c r="K921">
        <v>4.2144483804908515E-3</v>
      </c>
      <c r="L921" t="s">
        <v>153</v>
      </c>
      <c r="N921" t="s">
        <v>241</v>
      </c>
      <c r="O921" t="s">
        <v>298</v>
      </c>
      <c r="P921">
        <v>7.165835371359384E-3</v>
      </c>
      <c r="Q921" t="s">
        <v>153</v>
      </c>
    </row>
    <row r="922" spans="9:17" x14ac:dyDescent="0.45">
      <c r="I922" t="s">
        <v>198</v>
      </c>
      <c r="J922" t="s">
        <v>299</v>
      </c>
      <c r="K922">
        <v>2.3220462301474028E-3</v>
      </c>
      <c r="L922" t="s">
        <v>153</v>
      </c>
      <c r="N922" t="s">
        <v>241</v>
      </c>
      <c r="O922" t="s">
        <v>299</v>
      </c>
      <c r="P922">
        <v>1.6442764507174603E-2</v>
      </c>
      <c r="Q922" t="s">
        <v>153</v>
      </c>
    </row>
    <row r="923" spans="9:17" x14ac:dyDescent="0.45">
      <c r="I923" t="s">
        <v>199</v>
      </c>
      <c r="J923" t="s">
        <v>152</v>
      </c>
      <c r="K923">
        <v>3.6707207970829224E-5</v>
      </c>
      <c r="L923" t="s">
        <v>153</v>
      </c>
      <c r="N923" t="s">
        <v>242</v>
      </c>
      <c r="O923" t="s">
        <v>152</v>
      </c>
      <c r="P923">
        <v>0.14632967412678816</v>
      </c>
      <c r="Q923" t="s">
        <v>153</v>
      </c>
    </row>
    <row r="924" spans="9:17" x14ac:dyDescent="0.45">
      <c r="I924" t="s">
        <v>199</v>
      </c>
      <c r="J924" t="s">
        <v>154</v>
      </c>
      <c r="K924">
        <v>1.7342689731977629E-2</v>
      </c>
      <c r="L924" t="s">
        <v>153</v>
      </c>
      <c r="N924" t="s">
        <v>242</v>
      </c>
      <c r="O924" t="s">
        <v>154</v>
      </c>
      <c r="P924">
        <v>1.6714822769126093E-2</v>
      </c>
      <c r="Q924" t="s">
        <v>153</v>
      </c>
    </row>
    <row r="925" spans="9:17" x14ac:dyDescent="0.45">
      <c r="I925" t="s">
        <v>199</v>
      </c>
      <c r="J925" t="s">
        <v>155</v>
      </c>
      <c r="K925">
        <v>0.3825698665473542</v>
      </c>
      <c r="L925" t="s">
        <v>153</v>
      </c>
      <c r="N925" t="s">
        <v>242</v>
      </c>
      <c r="O925" t="s">
        <v>155</v>
      </c>
      <c r="P925">
        <v>0.14331610993490634</v>
      </c>
      <c r="Q925" t="s">
        <v>153</v>
      </c>
    </row>
    <row r="926" spans="9:17" x14ac:dyDescent="0.45">
      <c r="I926" t="s">
        <v>199</v>
      </c>
      <c r="J926" t="s">
        <v>280</v>
      </c>
      <c r="K926">
        <v>3.4276138917107957E-2</v>
      </c>
      <c r="L926" t="s">
        <v>153</v>
      </c>
      <c r="N926" t="s">
        <v>242</v>
      </c>
      <c r="O926" t="s">
        <v>280</v>
      </c>
      <c r="P926">
        <v>1.8510069704659148E-2</v>
      </c>
      <c r="Q926" t="s">
        <v>153</v>
      </c>
    </row>
    <row r="927" spans="9:17" x14ac:dyDescent="0.45">
      <c r="I927" t="s">
        <v>199</v>
      </c>
      <c r="J927" t="s">
        <v>281</v>
      </c>
      <c r="K927">
        <v>2.1079490614843717E-2</v>
      </c>
      <c r="L927" t="s">
        <v>153</v>
      </c>
      <c r="N927" t="s">
        <v>242</v>
      </c>
      <c r="O927" t="s">
        <v>281</v>
      </c>
      <c r="P927">
        <v>1.9974187300199512E-2</v>
      </c>
      <c r="Q927" t="s">
        <v>153</v>
      </c>
    </row>
    <row r="928" spans="9:17" x14ac:dyDescent="0.45">
      <c r="I928" t="s">
        <v>199</v>
      </c>
      <c r="J928" t="s">
        <v>282</v>
      </c>
      <c r="K928">
        <v>6.522372523824556E-3</v>
      </c>
      <c r="L928" t="s">
        <v>153</v>
      </c>
      <c r="N928" t="s">
        <v>242</v>
      </c>
      <c r="O928" t="s">
        <v>282</v>
      </c>
      <c r="P928">
        <v>0.12203347337794392</v>
      </c>
      <c r="Q928" t="s">
        <v>153</v>
      </c>
    </row>
    <row r="929" spans="9:17" x14ac:dyDescent="0.45">
      <c r="I929" t="s">
        <v>199</v>
      </c>
      <c r="J929" t="s">
        <v>156</v>
      </c>
      <c r="K929">
        <v>0</v>
      </c>
      <c r="L929" t="s">
        <v>153</v>
      </c>
      <c r="N929" t="s">
        <v>242</v>
      </c>
      <c r="O929" t="s">
        <v>156</v>
      </c>
      <c r="P929">
        <v>4.6734906122472906E-2</v>
      </c>
      <c r="Q929" t="s">
        <v>153</v>
      </c>
    </row>
    <row r="930" spans="9:17" x14ac:dyDescent="0.45">
      <c r="I930" t="s">
        <v>199</v>
      </c>
      <c r="J930" t="s">
        <v>157</v>
      </c>
      <c r="K930">
        <v>2.3318434005712366E-6</v>
      </c>
      <c r="L930" t="s">
        <v>153</v>
      </c>
      <c r="N930" t="s">
        <v>242</v>
      </c>
      <c r="O930" t="s">
        <v>157</v>
      </c>
      <c r="P930">
        <v>6.4280454305722908E-3</v>
      </c>
      <c r="Q930" t="s">
        <v>153</v>
      </c>
    </row>
    <row r="931" spans="9:17" x14ac:dyDescent="0.45">
      <c r="I931" t="s">
        <v>199</v>
      </c>
      <c r="J931" t="s">
        <v>158</v>
      </c>
      <c r="K931">
        <v>0.12099305926344366</v>
      </c>
      <c r="L931" t="s">
        <v>153</v>
      </c>
      <c r="N931" t="s">
        <v>242</v>
      </c>
      <c r="O931" t="s">
        <v>158</v>
      </c>
      <c r="P931">
        <v>6.5247482822413508E-2</v>
      </c>
      <c r="Q931" t="s">
        <v>153</v>
      </c>
    </row>
    <row r="932" spans="9:17" x14ac:dyDescent="0.45">
      <c r="I932" t="s">
        <v>199</v>
      </c>
      <c r="J932" t="s">
        <v>283</v>
      </c>
      <c r="K932">
        <v>1.0330164401479072E-2</v>
      </c>
      <c r="L932" t="s">
        <v>153</v>
      </c>
      <c r="N932" t="s">
        <v>242</v>
      </c>
      <c r="O932" t="s">
        <v>283</v>
      </c>
      <c r="P932">
        <v>7.2978210966893435E-3</v>
      </c>
      <c r="Q932" t="s">
        <v>153</v>
      </c>
    </row>
    <row r="933" spans="9:17" x14ac:dyDescent="0.45">
      <c r="I933" t="s">
        <v>199</v>
      </c>
      <c r="J933" t="s">
        <v>284</v>
      </c>
      <c r="K933">
        <v>4.3008139251392297E-3</v>
      </c>
      <c r="L933" t="s">
        <v>153</v>
      </c>
      <c r="N933" t="s">
        <v>242</v>
      </c>
      <c r="O933" t="s">
        <v>284</v>
      </c>
      <c r="P933">
        <v>7.2730585059788758E-3</v>
      </c>
      <c r="Q933" t="s">
        <v>153</v>
      </c>
    </row>
    <row r="934" spans="9:17" x14ac:dyDescent="0.45">
      <c r="I934" t="s">
        <v>199</v>
      </c>
      <c r="J934" t="s">
        <v>285</v>
      </c>
      <c r="K934">
        <v>0</v>
      </c>
      <c r="L934" t="s">
        <v>153</v>
      </c>
      <c r="N934" t="s">
        <v>242</v>
      </c>
      <c r="O934" t="s">
        <v>285</v>
      </c>
      <c r="P934">
        <v>3.6165518476064515E-2</v>
      </c>
      <c r="Q934" t="s">
        <v>153</v>
      </c>
    </row>
    <row r="935" spans="9:17" x14ac:dyDescent="0.45">
      <c r="I935" t="s">
        <v>199</v>
      </c>
      <c r="J935" t="s">
        <v>159</v>
      </c>
      <c r="K935">
        <v>3.5538364468717955E-3</v>
      </c>
      <c r="L935" t="s">
        <v>153</v>
      </c>
      <c r="N935" t="s">
        <v>242</v>
      </c>
      <c r="O935" t="s">
        <v>159</v>
      </c>
      <c r="P935">
        <v>8.1109367901030571E-2</v>
      </c>
      <c r="Q935" t="s">
        <v>153</v>
      </c>
    </row>
    <row r="936" spans="9:17" x14ac:dyDescent="0.45">
      <c r="I936" t="s">
        <v>199</v>
      </c>
      <c r="J936" t="s">
        <v>160</v>
      </c>
      <c r="K936">
        <v>1.5926733688603516E-2</v>
      </c>
      <c r="L936" t="s">
        <v>153</v>
      </c>
      <c r="N936" t="s">
        <v>242</v>
      </c>
      <c r="O936" t="s">
        <v>160</v>
      </c>
      <c r="P936">
        <v>9.5680282022275447E-3</v>
      </c>
      <c r="Q936" t="s">
        <v>153</v>
      </c>
    </row>
    <row r="937" spans="9:17" x14ac:dyDescent="0.45">
      <c r="I937" t="s">
        <v>199</v>
      </c>
      <c r="J937" t="s">
        <v>161</v>
      </c>
      <c r="K937">
        <v>0.26391636787602152</v>
      </c>
      <c r="L937" t="s">
        <v>153</v>
      </c>
      <c r="N937" t="s">
        <v>242</v>
      </c>
      <c r="O937" t="s">
        <v>161</v>
      </c>
      <c r="P937">
        <v>9.7942020492996509E-2</v>
      </c>
      <c r="Q937" t="s">
        <v>153</v>
      </c>
    </row>
    <row r="938" spans="9:17" x14ac:dyDescent="0.45">
      <c r="I938" t="s">
        <v>199</v>
      </c>
      <c r="J938" t="s">
        <v>286</v>
      </c>
      <c r="K938">
        <v>2.2964142528089815E-2</v>
      </c>
      <c r="L938" t="s">
        <v>153</v>
      </c>
      <c r="N938" t="s">
        <v>242</v>
      </c>
      <c r="O938" t="s">
        <v>286</v>
      </c>
      <c r="P938">
        <v>1.2922252542730583E-2</v>
      </c>
      <c r="Q938" t="s">
        <v>153</v>
      </c>
    </row>
    <row r="939" spans="9:17" x14ac:dyDescent="0.45">
      <c r="I939" t="s">
        <v>199</v>
      </c>
      <c r="J939" t="s">
        <v>287</v>
      </c>
      <c r="K939">
        <v>1.4284515030946084E-2</v>
      </c>
      <c r="L939" t="s">
        <v>153</v>
      </c>
      <c r="N939" t="s">
        <v>242</v>
      </c>
      <c r="O939" t="s">
        <v>287</v>
      </c>
      <c r="P939">
        <v>1.3227997437506975E-2</v>
      </c>
      <c r="Q939" t="s">
        <v>153</v>
      </c>
    </row>
    <row r="940" spans="9:17" x14ac:dyDescent="0.45">
      <c r="I940" t="s">
        <v>199</v>
      </c>
      <c r="J940" t="s">
        <v>288</v>
      </c>
      <c r="K940">
        <v>1.9593952117387278E-4</v>
      </c>
      <c r="L940" t="s">
        <v>153</v>
      </c>
      <c r="N940" t="s">
        <v>242</v>
      </c>
      <c r="O940" t="s">
        <v>288</v>
      </c>
      <c r="P940">
        <v>7.2677136812966808E-2</v>
      </c>
      <c r="Q940" t="s">
        <v>153</v>
      </c>
    </row>
    <row r="941" spans="9:17" x14ac:dyDescent="0.45">
      <c r="I941" t="s">
        <v>199</v>
      </c>
      <c r="J941" t="s">
        <v>294</v>
      </c>
      <c r="K941">
        <v>2.136521229101046E-3</v>
      </c>
      <c r="L941" t="s">
        <v>153</v>
      </c>
      <c r="N941" t="s">
        <v>242</v>
      </c>
      <c r="O941" t="s">
        <v>294</v>
      </c>
      <c r="P941">
        <v>2.5958543516631686E-2</v>
      </c>
      <c r="Q941" t="s">
        <v>153</v>
      </c>
    </row>
    <row r="942" spans="9:17" x14ac:dyDescent="0.45">
      <c r="I942" t="s">
        <v>199</v>
      </c>
      <c r="J942" t="s">
        <v>295</v>
      </c>
      <c r="K942">
        <v>3.9670855668858104E-3</v>
      </c>
      <c r="L942" t="s">
        <v>153</v>
      </c>
      <c r="N942" t="s">
        <v>242</v>
      </c>
      <c r="O942" t="s">
        <v>295</v>
      </c>
      <c r="P942">
        <v>2.396750260291344E-3</v>
      </c>
      <c r="Q942" t="s">
        <v>153</v>
      </c>
    </row>
    <row r="943" spans="9:17" x14ac:dyDescent="0.45">
      <c r="I943" t="s">
        <v>199</v>
      </c>
      <c r="J943" t="s">
        <v>296</v>
      </c>
      <c r="K943">
        <v>6.4029824650738101E-2</v>
      </c>
      <c r="L943" t="s">
        <v>153</v>
      </c>
      <c r="N943" t="s">
        <v>242</v>
      </c>
      <c r="O943" t="s">
        <v>296</v>
      </c>
      <c r="P943">
        <v>1.7536426404170202E-2</v>
      </c>
      <c r="Q943" t="s">
        <v>153</v>
      </c>
    </row>
    <row r="944" spans="9:17" x14ac:dyDescent="0.45">
      <c r="I944" t="s">
        <v>199</v>
      </c>
      <c r="J944" t="s">
        <v>297</v>
      </c>
      <c r="K944">
        <v>5.2665646740235788E-3</v>
      </c>
      <c r="L944" t="s">
        <v>153</v>
      </c>
      <c r="N944" t="s">
        <v>242</v>
      </c>
      <c r="O944" t="s">
        <v>297</v>
      </c>
      <c r="P944">
        <v>2.8820648963686279E-3</v>
      </c>
      <c r="Q944" t="s">
        <v>153</v>
      </c>
    </row>
    <row r="945" spans="9:17" x14ac:dyDescent="0.45">
      <c r="I945" t="s">
        <v>199</v>
      </c>
      <c r="J945" t="s">
        <v>298</v>
      </c>
      <c r="K945">
        <v>3.7897770813863827E-3</v>
      </c>
      <c r="L945" t="s">
        <v>153</v>
      </c>
      <c r="N945" t="s">
        <v>242</v>
      </c>
      <c r="O945" t="s">
        <v>298</v>
      </c>
      <c r="P945">
        <v>3.4072679770096857E-3</v>
      </c>
      <c r="Q945" t="s">
        <v>153</v>
      </c>
    </row>
    <row r="946" spans="9:17" x14ac:dyDescent="0.45">
      <c r="I946" t="s">
        <v>199</v>
      </c>
      <c r="J946" t="s">
        <v>299</v>
      </c>
      <c r="K946">
        <v>2.5150567296163637E-3</v>
      </c>
      <c r="L946" t="s">
        <v>153</v>
      </c>
      <c r="N946" t="s">
        <v>242</v>
      </c>
      <c r="O946" t="s">
        <v>299</v>
      </c>
      <c r="P946">
        <v>2.4346973888254742E-2</v>
      </c>
      <c r="Q946" t="s">
        <v>153</v>
      </c>
    </row>
    <row r="947" spans="9:17" x14ac:dyDescent="0.45">
      <c r="I947" t="s">
        <v>200</v>
      </c>
      <c r="J947" t="s">
        <v>152</v>
      </c>
      <c r="K947">
        <v>6.8871002931559643E-4</v>
      </c>
      <c r="L947" t="s">
        <v>153</v>
      </c>
      <c r="N947" t="s">
        <v>243</v>
      </c>
      <c r="O947" t="s">
        <v>152</v>
      </c>
      <c r="P947">
        <v>0.13740559360468213</v>
      </c>
      <c r="Q947" t="s">
        <v>153</v>
      </c>
    </row>
    <row r="948" spans="9:17" x14ac:dyDescent="0.45">
      <c r="I948" t="s">
        <v>200</v>
      </c>
      <c r="J948" t="s">
        <v>154</v>
      </c>
      <c r="K948">
        <v>1.727380968137204E-2</v>
      </c>
      <c r="L948" t="s">
        <v>153</v>
      </c>
      <c r="N948" t="s">
        <v>243</v>
      </c>
      <c r="O948" t="s">
        <v>154</v>
      </c>
      <c r="P948">
        <v>1.5023670341841327E-2</v>
      </c>
      <c r="Q948" t="s">
        <v>153</v>
      </c>
    </row>
    <row r="949" spans="9:17" x14ac:dyDescent="0.45">
      <c r="I949" t="s">
        <v>200</v>
      </c>
      <c r="J949" t="s">
        <v>155</v>
      </c>
      <c r="K949">
        <v>0.38541432527470815</v>
      </c>
      <c r="L949" t="s">
        <v>153</v>
      </c>
      <c r="N949" t="s">
        <v>243</v>
      </c>
      <c r="O949" t="s">
        <v>155</v>
      </c>
      <c r="P949">
        <v>0.14059991876387287</v>
      </c>
      <c r="Q949" t="s">
        <v>153</v>
      </c>
    </row>
    <row r="950" spans="9:17" x14ac:dyDescent="0.45">
      <c r="I950" t="s">
        <v>200</v>
      </c>
      <c r="J950" t="s">
        <v>280</v>
      </c>
      <c r="K950">
        <v>3.3223306493760867E-2</v>
      </c>
      <c r="L950" t="s">
        <v>153</v>
      </c>
      <c r="N950" t="s">
        <v>243</v>
      </c>
      <c r="O950" t="s">
        <v>280</v>
      </c>
      <c r="P950">
        <v>1.6885153473806105E-2</v>
      </c>
      <c r="Q950" t="s">
        <v>153</v>
      </c>
    </row>
    <row r="951" spans="9:17" x14ac:dyDescent="0.45">
      <c r="I951" t="s">
        <v>200</v>
      </c>
      <c r="J951" t="s">
        <v>281</v>
      </c>
      <c r="K951">
        <v>1.8661603560412698E-2</v>
      </c>
      <c r="L951" t="s">
        <v>153</v>
      </c>
      <c r="N951" t="s">
        <v>243</v>
      </c>
      <c r="O951" t="s">
        <v>281</v>
      </c>
      <c r="P951">
        <v>1.7792134639349221E-2</v>
      </c>
      <c r="Q951" t="s">
        <v>153</v>
      </c>
    </row>
    <row r="952" spans="9:17" x14ac:dyDescent="0.45">
      <c r="I952" t="s">
        <v>200</v>
      </c>
      <c r="J952" t="s">
        <v>282</v>
      </c>
      <c r="K952">
        <v>5.911249425776797E-3</v>
      </c>
      <c r="L952" t="s">
        <v>153</v>
      </c>
      <c r="N952" t="s">
        <v>243</v>
      </c>
      <c r="O952" t="s">
        <v>282</v>
      </c>
      <c r="P952">
        <v>0.11790061297573233</v>
      </c>
      <c r="Q952" t="s">
        <v>153</v>
      </c>
    </row>
    <row r="953" spans="9:17" x14ac:dyDescent="0.45">
      <c r="I953" t="s">
        <v>200</v>
      </c>
      <c r="J953" t="s">
        <v>156</v>
      </c>
      <c r="K953">
        <v>0</v>
      </c>
      <c r="L953" t="s">
        <v>153</v>
      </c>
      <c r="N953" t="s">
        <v>243</v>
      </c>
      <c r="O953" t="s">
        <v>156</v>
      </c>
      <c r="P953">
        <v>4.823209269903523E-2</v>
      </c>
      <c r="Q953" t="s">
        <v>153</v>
      </c>
    </row>
    <row r="954" spans="9:17" x14ac:dyDescent="0.45">
      <c r="I954" t="s">
        <v>200</v>
      </c>
      <c r="J954" t="s">
        <v>157</v>
      </c>
      <c r="K954">
        <v>1.7023873181879333E-5</v>
      </c>
      <c r="L954" t="s">
        <v>153</v>
      </c>
      <c r="N954" t="s">
        <v>243</v>
      </c>
      <c r="O954" t="s">
        <v>157</v>
      </c>
      <c r="P954">
        <v>6.0754900356543634E-3</v>
      </c>
      <c r="Q954" t="s">
        <v>153</v>
      </c>
    </row>
    <row r="955" spans="9:17" x14ac:dyDescent="0.45">
      <c r="I955" t="s">
        <v>200</v>
      </c>
      <c r="J955" t="s">
        <v>158</v>
      </c>
      <c r="K955">
        <v>0.12132244276029922</v>
      </c>
      <c r="L955" t="s">
        <v>153</v>
      </c>
      <c r="N955" t="s">
        <v>243</v>
      </c>
      <c r="O955" t="s">
        <v>158</v>
      </c>
      <c r="P955">
        <v>6.2038599936738034E-2</v>
      </c>
      <c r="Q955" t="s">
        <v>153</v>
      </c>
    </row>
    <row r="956" spans="9:17" x14ac:dyDescent="0.45">
      <c r="I956" t="s">
        <v>200</v>
      </c>
      <c r="J956" t="s">
        <v>283</v>
      </c>
      <c r="K956">
        <v>1.0495042364052262E-2</v>
      </c>
      <c r="L956" t="s">
        <v>153</v>
      </c>
      <c r="N956" t="s">
        <v>243</v>
      </c>
      <c r="O956" t="s">
        <v>283</v>
      </c>
      <c r="P956">
        <v>6.9953019432472813E-3</v>
      </c>
      <c r="Q956" t="s">
        <v>153</v>
      </c>
    </row>
    <row r="957" spans="9:17" x14ac:dyDescent="0.45">
      <c r="I957" t="s">
        <v>200</v>
      </c>
      <c r="J957" t="s">
        <v>284</v>
      </c>
      <c r="K957">
        <v>3.2025145188919477E-3</v>
      </c>
      <c r="L957" t="s">
        <v>153</v>
      </c>
      <c r="N957" t="s">
        <v>243</v>
      </c>
      <c r="O957" t="s">
        <v>284</v>
      </c>
      <c r="P957">
        <v>7.1832006262931769E-3</v>
      </c>
      <c r="Q957" t="s">
        <v>153</v>
      </c>
    </row>
    <row r="958" spans="9:17" x14ac:dyDescent="0.45">
      <c r="I958" t="s">
        <v>200</v>
      </c>
      <c r="J958" t="s">
        <v>285</v>
      </c>
      <c r="K958">
        <v>0</v>
      </c>
      <c r="L958" t="s">
        <v>153</v>
      </c>
      <c r="N958" t="s">
        <v>243</v>
      </c>
      <c r="O958" t="s">
        <v>285</v>
      </c>
      <c r="P958">
        <v>3.9500761274023952E-2</v>
      </c>
      <c r="Q958" t="s">
        <v>153</v>
      </c>
    </row>
    <row r="959" spans="9:17" x14ac:dyDescent="0.45">
      <c r="I959" t="s">
        <v>200</v>
      </c>
      <c r="J959" t="s">
        <v>159</v>
      </c>
      <c r="K959">
        <v>4.1513193653391961E-3</v>
      </c>
      <c r="L959" t="s">
        <v>153</v>
      </c>
      <c r="N959" t="s">
        <v>243</v>
      </c>
      <c r="O959" t="s">
        <v>159</v>
      </c>
      <c r="P959">
        <v>8.1619508314953432E-2</v>
      </c>
      <c r="Q959" t="s">
        <v>153</v>
      </c>
    </row>
    <row r="960" spans="9:17" x14ac:dyDescent="0.45">
      <c r="I960" t="s">
        <v>200</v>
      </c>
      <c r="J960" t="s">
        <v>160</v>
      </c>
      <c r="K960">
        <v>1.7355573620902332E-2</v>
      </c>
      <c r="L960" t="s">
        <v>153</v>
      </c>
      <c r="N960" t="s">
        <v>243</v>
      </c>
      <c r="O960" t="s">
        <v>160</v>
      </c>
      <c r="P960">
        <v>8.9651789044378864E-3</v>
      </c>
      <c r="Q960" t="s">
        <v>153</v>
      </c>
    </row>
    <row r="961" spans="9:17" x14ac:dyDescent="0.45">
      <c r="I961" t="s">
        <v>200</v>
      </c>
      <c r="J961" t="s">
        <v>161</v>
      </c>
      <c r="K961">
        <v>0.26442249869281559</v>
      </c>
      <c r="L961" t="s">
        <v>153</v>
      </c>
      <c r="N961" t="s">
        <v>243</v>
      </c>
      <c r="O961" t="s">
        <v>161</v>
      </c>
      <c r="P961">
        <v>0.1139287873711024</v>
      </c>
      <c r="Q961" t="s">
        <v>153</v>
      </c>
    </row>
    <row r="962" spans="9:17" x14ac:dyDescent="0.45">
      <c r="I962" t="s">
        <v>200</v>
      </c>
      <c r="J962" t="s">
        <v>286</v>
      </c>
      <c r="K962">
        <v>2.1410216260140395E-2</v>
      </c>
      <c r="L962" t="s">
        <v>153</v>
      </c>
      <c r="N962" t="s">
        <v>243</v>
      </c>
      <c r="O962" t="s">
        <v>286</v>
      </c>
      <c r="P962">
        <v>1.4671305676919011E-2</v>
      </c>
      <c r="Q962" t="s">
        <v>153</v>
      </c>
    </row>
    <row r="963" spans="9:17" x14ac:dyDescent="0.45">
      <c r="I963" t="s">
        <v>200</v>
      </c>
      <c r="J963" t="s">
        <v>287</v>
      </c>
      <c r="K963">
        <v>1.3700629280719218E-2</v>
      </c>
      <c r="L963" t="s">
        <v>153</v>
      </c>
      <c r="N963" t="s">
        <v>243</v>
      </c>
      <c r="O963" t="s">
        <v>287</v>
      </c>
      <c r="P963">
        <v>1.4421891347785631E-2</v>
      </c>
      <c r="Q963" t="s">
        <v>153</v>
      </c>
    </row>
    <row r="964" spans="9:17" x14ac:dyDescent="0.45">
      <c r="I964" t="s">
        <v>200</v>
      </c>
      <c r="J964" t="s">
        <v>288</v>
      </c>
      <c r="K964">
        <v>1.5585030191582404E-4</v>
      </c>
      <c r="L964" t="s">
        <v>153</v>
      </c>
      <c r="N964" t="s">
        <v>243</v>
      </c>
      <c r="O964" t="s">
        <v>288</v>
      </c>
      <c r="P964">
        <v>8.0951448409187693E-2</v>
      </c>
      <c r="Q964" t="s">
        <v>153</v>
      </c>
    </row>
    <row r="965" spans="9:17" x14ac:dyDescent="0.45">
      <c r="I965" t="s">
        <v>200</v>
      </c>
      <c r="J965" t="s">
        <v>294</v>
      </c>
      <c r="K965">
        <v>2.0713303657519879E-3</v>
      </c>
      <c r="L965" t="s">
        <v>153</v>
      </c>
      <c r="N965" t="s">
        <v>243</v>
      </c>
      <c r="O965" t="s">
        <v>294</v>
      </c>
      <c r="P965">
        <v>2.2159710606616551E-2</v>
      </c>
      <c r="Q965" t="s">
        <v>153</v>
      </c>
    </row>
    <row r="966" spans="9:17" x14ac:dyDescent="0.45">
      <c r="I966" t="s">
        <v>200</v>
      </c>
      <c r="J966" t="s">
        <v>295</v>
      </c>
      <c r="K966">
        <v>4.1507313366509254E-3</v>
      </c>
      <c r="L966" t="s">
        <v>153</v>
      </c>
      <c r="N966" t="s">
        <v>243</v>
      </c>
      <c r="O966" t="s">
        <v>295</v>
      </c>
      <c r="P966">
        <v>1.7627580934559291E-3</v>
      </c>
      <c r="Q966" t="s">
        <v>153</v>
      </c>
    </row>
    <row r="967" spans="9:17" x14ac:dyDescent="0.45">
      <c r="I967" t="s">
        <v>200</v>
      </c>
      <c r="J967" t="s">
        <v>296</v>
      </c>
      <c r="K967">
        <v>6.4949494697773627E-2</v>
      </c>
      <c r="L967" t="s">
        <v>153</v>
      </c>
      <c r="N967" t="s">
        <v>243</v>
      </c>
      <c r="O967" t="s">
        <v>296</v>
      </c>
      <c r="P967">
        <v>1.5041822724011349E-2</v>
      </c>
      <c r="Q967" t="s">
        <v>153</v>
      </c>
    </row>
    <row r="968" spans="9:17" x14ac:dyDescent="0.45">
      <c r="I968" t="s">
        <v>200</v>
      </c>
      <c r="J968" t="s">
        <v>297</v>
      </c>
      <c r="K968">
        <v>5.3026475335200083E-3</v>
      </c>
      <c r="L968" t="s">
        <v>153</v>
      </c>
      <c r="N968" t="s">
        <v>243</v>
      </c>
      <c r="O968" t="s">
        <v>297</v>
      </c>
      <c r="P968">
        <v>2.9611261980222034E-3</v>
      </c>
      <c r="Q968" t="s">
        <v>153</v>
      </c>
    </row>
    <row r="969" spans="9:17" x14ac:dyDescent="0.45">
      <c r="I969" t="s">
        <v>200</v>
      </c>
      <c r="J969" t="s">
        <v>298</v>
      </c>
      <c r="K969">
        <v>3.8272238882545474E-3</v>
      </c>
      <c r="L969" t="s">
        <v>153</v>
      </c>
      <c r="N969" t="s">
        <v>243</v>
      </c>
      <c r="O969" t="s">
        <v>298</v>
      </c>
      <c r="P969">
        <v>3.3412668620583989E-3</v>
      </c>
      <c r="Q969" t="s">
        <v>153</v>
      </c>
    </row>
    <row r="970" spans="9:17" x14ac:dyDescent="0.45">
      <c r="I970" t="s">
        <v>200</v>
      </c>
      <c r="J970" t="s">
        <v>299</v>
      </c>
      <c r="K970">
        <v>2.2924566744455775E-3</v>
      </c>
      <c r="L970" t="s">
        <v>153</v>
      </c>
      <c r="N970" t="s">
        <v>243</v>
      </c>
      <c r="O970" t="s">
        <v>299</v>
      </c>
      <c r="P970">
        <v>2.4542665177174395E-2</v>
      </c>
      <c r="Q970" t="s">
        <v>153</v>
      </c>
    </row>
    <row r="971" spans="9:17" x14ac:dyDescent="0.45">
      <c r="I971" t="s">
        <v>201</v>
      </c>
      <c r="J971" t="s">
        <v>152</v>
      </c>
      <c r="K971">
        <v>8.2135283114381525E-4</v>
      </c>
      <c r="L971" t="s">
        <v>153</v>
      </c>
      <c r="N971" t="s">
        <v>244</v>
      </c>
      <c r="O971" t="s">
        <v>152</v>
      </c>
      <c r="P971">
        <v>0.16783042718946453</v>
      </c>
      <c r="Q971" t="s">
        <v>153</v>
      </c>
    </row>
    <row r="972" spans="9:17" x14ac:dyDescent="0.45">
      <c r="I972" t="s">
        <v>201</v>
      </c>
      <c r="J972" t="s">
        <v>154</v>
      </c>
      <c r="K972">
        <v>1.504260385952E-2</v>
      </c>
      <c r="L972" t="s">
        <v>153</v>
      </c>
      <c r="N972" t="s">
        <v>244</v>
      </c>
      <c r="O972" t="s">
        <v>154</v>
      </c>
      <c r="P972">
        <v>1.9053108322874771E-2</v>
      </c>
      <c r="Q972" t="s">
        <v>153</v>
      </c>
    </row>
    <row r="973" spans="9:17" x14ac:dyDescent="0.45">
      <c r="I973" t="s">
        <v>201</v>
      </c>
      <c r="J973" t="s">
        <v>155</v>
      </c>
      <c r="K973">
        <v>0.36813482850240548</v>
      </c>
      <c r="L973" t="s">
        <v>153</v>
      </c>
      <c r="N973" t="s">
        <v>244</v>
      </c>
      <c r="O973" t="s">
        <v>155</v>
      </c>
      <c r="P973">
        <v>0.1289028275795232</v>
      </c>
      <c r="Q973" t="s">
        <v>153</v>
      </c>
    </row>
    <row r="974" spans="9:17" x14ac:dyDescent="0.45">
      <c r="I974" t="s">
        <v>201</v>
      </c>
      <c r="J974" t="s">
        <v>280</v>
      </c>
      <c r="K974">
        <v>3.3934688580777313E-2</v>
      </c>
      <c r="L974" t="s">
        <v>153</v>
      </c>
      <c r="N974" t="s">
        <v>244</v>
      </c>
      <c r="O974" t="s">
        <v>280</v>
      </c>
      <c r="P974">
        <v>1.4728831178537028E-2</v>
      </c>
      <c r="Q974" t="s">
        <v>153</v>
      </c>
    </row>
    <row r="975" spans="9:17" x14ac:dyDescent="0.45">
      <c r="I975" t="s">
        <v>201</v>
      </c>
      <c r="J975" t="s">
        <v>281</v>
      </c>
      <c r="K975">
        <v>2.1227947896320699E-2</v>
      </c>
      <c r="L975" t="s">
        <v>153</v>
      </c>
      <c r="N975" t="s">
        <v>244</v>
      </c>
      <c r="O975" t="s">
        <v>281</v>
      </c>
      <c r="P975">
        <v>1.6523500127381921E-2</v>
      </c>
      <c r="Q975" t="s">
        <v>153</v>
      </c>
    </row>
    <row r="976" spans="9:17" x14ac:dyDescent="0.45">
      <c r="I976" t="s">
        <v>201</v>
      </c>
      <c r="J976" t="s">
        <v>282</v>
      </c>
      <c r="K976">
        <v>9.023373567263104E-3</v>
      </c>
      <c r="L976" t="s">
        <v>153</v>
      </c>
      <c r="N976" t="s">
        <v>244</v>
      </c>
      <c r="O976" t="s">
        <v>282</v>
      </c>
      <c r="P976">
        <v>0.1210100471438819</v>
      </c>
      <c r="Q976" t="s">
        <v>153</v>
      </c>
    </row>
    <row r="977" spans="9:17" x14ac:dyDescent="0.45">
      <c r="I977" t="s">
        <v>201</v>
      </c>
      <c r="J977" t="s">
        <v>156</v>
      </c>
      <c r="K977">
        <v>0</v>
      </c>
      <c r="L977" t="s">
        <v>153</v>
      </c>
      <c r="N977" t="s">
        <v>244</v>
      </c>
      <c r="O977" t="s">
        <v>156</v>
      </c>
      <c r="P977">
        <v>5.4364211285334779E-2</v>
      </c>
      <c r="Q977" t="s">
        <v>153</v>
      </c>
    </row>
    <row r="978" spans="9:17" x14ac:dyDescent="0.45">
      <c r="I978" t="s">
        <v>201</v>
      </c>
      <c r="J978" t="s">
        <v>157</v>
      </c>
      <c r="K978">
        <v>0</v>
      </c>
      <c r="L978" t="s">
        <v>153</v>
      </c>
      <c r="N978" t="s">
        <v>244</v>
      </c>
      <c r="O978" t="s">
        <v>157</v>
      </c>
      <c r="P978">
        <v>7.6437731551542275E-3</v>
      </c>
      <c r="Q978" t="s">
        <v>153</v>
      </c>
    </row>
    <row r="979" spans="9:17" x14ac:dyDescent="0.45">
      <c r="I979" t="s">
        <v>201</v>
      </c>
      <c r="J979" t="s">
        <v>158</v>
      </c>
      <c r="K979">
        <v>0.1097220642957584</v>
      </c>
      <c r="L979" t="s">
        <v>153</v>
      </c>
      <c r="N979" t="s">
        <v>244</v>
      </c>
      <c r="O979" t="s">
        <v>158</v>
      </c>
      <c r="P979">
        <v>5.8416880310823094E-2</v>
      </c>
      <c r="Q979" t="s">
        <v>153</v>
      </c>
    </row>
    <row r="980" spans="9:17" x14ac:dyDescent="0.45">
      <c r="I980" t="s">
        <v>201</v>
      </c>
      <c r="J980" t="s">
        <v>283</v>
      </c>
      <c r="K980">
        <v>1.0504806855689584E-2</v>
      </c>
      <c r="L980" t="s">
        <v>153</v>
      </c>
      <c r="N980" t="s">
        <v>244</v>
      </c>
      <c r="O980" t="s">
        <v>283</v>
      </c>
      <c r="P980">
        <v>6.0921981673441438E-3</v>
      </c>
      <c r="Q980" t="s">
        <v>153</v>
      </c>
    </row>
    <row r="981" spans="9:17" x14ac:dyDescent="0.45">
      <c r="I981" t="s">
        <v>201</v>
      </c>
      <c r="J981" t="s">
        <v>284</v>
      </c>
      <c r="K981">
        <v>3.9206637708992798E-3</v>
      </c>
      <c r="L981" t="s">
        <v>153</v>
      </c>
      <c r="N981" t="s">
        <v>244</v>
      </c>
      <c r="O981" t="s">
        <v>284</v>
      </c>
      <c r="P981">
        <v>6.6174990054233464E-3</v>
      </c>
      <c r="Q981" t="s">
        <v>153</v>
      </c>
    </row>
    <row r="982" spans="9:17" x14ac:dyDescent="0.45">
      <c r="I982" t="s">
        <v>201</v>
      </c>
      <c r="J982" t="s">
        <v>285</v>
      </c>
      <c r="K982">
        <v>0</v>
      </c>
      <c r="L982" t="s">
        <v>153</v>
      </c>
      <c r="N982" t="s">
        <v>244</v>
      </c>
      <c r="O982" t="s">
        <v>285</v>
      </c>
      <c r="P982">
        <v>3.958534849711691E-2</v>
      </c>
      <c r="Q982" t="s">
        <v>153</v>
      </c>
    </row>
    <row r="983" spans="9:17" x14ac:dyDescent="0.45">
      <c r="I983" t="s">
        <v>201</v>
      </c>
      <c r="J983" t="s">
        <v>159</v>
      </c>
      <c r="K983">
        <v>4.2678058752871669E-3</v>
      </c>
      <c r="L983" t="s">
        <v>153</v>
      </c>
      <c r="N983" t="s">
        <v>244</v>
      </c>
      <c r="O983" t="s">
        <v>159</v>
      </c>
      <c r="P983">
        <v>9.4306724418779617E-2</v>
      </c>
      <c r="Q983" t="s">
        <v>153</v>
      </c>
    </row>
    <row r="984" spans="9:17" x14ac:dyDescent="0.45">
      <c r="I984" t="s">
        <v>201</v>
      </c>
      <c r="J984" t="s">
        <v>160</v>
      </c>
      <c r="K984">
        <v>1.6279180587587806E-2</v>
      </c>
      <c r="L984" t="s">
        <v>153</v>
      </c>
      <c r="N984" t="s">
        <v>244</v>
      </c>
      <c r="O984" t="s">
        <v>160</v>
      </c>
      <c r="P984">
        <v>9.0320883168660496E-3</v>
      </c>
      <c r="Q984" t="s">
        <v>153</v>
      </c>
    </row>
    <row r="985" spans="9:17" x14ac:dyDescent="0.45">
      <c r="I985" t="s">
        <v>201</v>
      </c>
      <c r="J985" t="s">
        <v>161</v>
      </c>
      <c r="K985">
        <v>0.26395285715045491</v>
      </c>
      <c r="L985" t="s">
        <v>153</v>
      </c>
      <c r="N985" t="s">
        <v>244</v>
      </c>
      <c r="O985" t="s">
        <v>161</v>
      </c>
      <c r="P985">
        <v>7.6972368203702485E-2</v>
      </c>
      <c r="Q985" t="s">
        <v>153</v>
      </c>
    </row>
    <row r="986" spans="9:17" x14ac:dyDescent="0.45">
      <c r="I986" t="s">
        <v>201</v>
      </c>
      <c r="J986" t="s">
        <v>286</v>
      </c>
      <c r="K986">
        <v>2.3955856955283125E-2</v>
      </c>
      <c r="L986" t="s">
        <v>153</v>
      </c>
      <c r="N986" t="s">
        <v>244</v>
      </c>
      <c r="O986" t="s">
        <v>286</v>
      </c>
      <c r="P986">
        <v>1.1066202787418013E-2</v>
      </c>
      <c r="Q986" t="s">
        <v>153</v>
      </c>
    </row>
    <row r="987" spans="9:17" x14ac:dyDescent="0.45">
      <c r="I987" t="s">
        <v>201</v>
      </c>
      <c r="J987" t="s">
        <v>287</v>
      </c>
      <c r="K987">
        <v>1.7173384560370163E-2</v>
      </c>
      <c r="L987" t="s">
        <v>153</v>
      </c>
      <c r="N987" t="s">
        <v>244</v>
      </c>
      <c r="O987" t="s">
        <v>287</v>
      </c>
      <c r="P987">
        <v>1.1673581451086261E-2</v>
      </c>
      <c r="Q987" t="s">
        <v>153</v>
      </c>
    </row>
    <row r="988" spans="9:17" x14ac:dyDescent="0.45">
      <c r="I988" t="s">
        <v>201</v>
      </c>
      <c r="J988" t="s">
        <v>288</v>
      </c>
      <c r="K988">
        <v>2.69494757211275E-3</v>
      </c>
      <c r="L988" t="s">
        <v>153</v>
      </c>
      <c r="N988" t="s">
        <v>244</v>
      </c>
      <c r="O988" t="s">
        <v>288</v>
      </c>
      <c r="P988">
        <v>7.6026416678335623E-2</v>
      </c>
      <c r="Q988" t="s">
        <v>153</v>
      </c>
    </row>
    <row r="989" spans="9:17" x14ac:dyDescent="0.45">
      <c r="I989" t="s">
        <v>201</v>
      </c>
      <c r="J989" t="s">
        <v>294</v>
      </c>
      <c r="K989">
        <v>2.977100763122045E-3</v>
      </c>
      <c r="L989" t="s">
        <v>153</v>
      </c>
      <c r="N989" t="s">
        <v>244</v>
      </c>
      <c r="O989" t="s">
        <v>294</v>
      </c>
      <c r="P989">
        <v>3.0749864826208197E-2</v>
      </c>
      <c r="Q989" t="s">
        <v>153</v>
      </c>
    </row>
    <row r="990" spans="9:17" x14ac:dyDescent="0.45">
      <c r="I990" t="s">
        <v>201</v>
      </c>
      <c r="J990" t="s">
        <v>295</v>
      </c>
      <c r="K990">
        <v>5.1378843745301123E-3</v>
      </c>
      <c r="L990" t="s">
        <v>153</v>
      </c>
      <c r="N990" t="s">
        <v>244</v>
      </c>
      <c r="O990" t="s">
        <v>295</v>
      </c>
      <c r="P990">
        <v>2.9098036710768814E-3</v>
      </c>
      <c r="Q990" t="s">
        <v>153</v>
      </c>
    </row>
    <row r="991" spans="9:17" x14ac:dyDescent="0.45">
      <c r="I991" t="s">
        <v>201</v>
      </c>
      <c r="J991" t="s">
        <v>296</v>
      </c>
      <c r="K991">
        <v>7.5702114249056526E-2</v>
      </c>
      <c r="L991" t="s">
        <v>153</v>
      </c>
      <c r="N991" t="s">
        <v>244</v>
      </c>
      <c r="O991" t="s">
        <v>296</v>
      </c>
      <c r="P991">
        <v>1.6985309682283085E-2</v>
      </c>
      <c r="Q991" t="s">
        <v>153</v>
      </c>
    </row>
    <row r="992" spans="9:17" x14ac:dyDescent="0.45">
      <c r="I992" t="s">
        <v>201</v>
      </c>
      <c r="J992" t="s">
        <v>297</v>
      </c>
      <c r="K992">
        <v>6.8091987652621321E-3</v>
      </c>
      <c r="L992" t="s">
        <v>153</v>
      </c>
      <c r="N992" t="s">
        <v>244</v>
      </c>
      <c r="O992" t="s">
        <v>297</v>
      </c>
      <c r="P992">
        <v>2.4356736962815443E-3</v>
      </c>
      <c r="Q992" t="s">
        <v>153</v>
      </c>
    </row>
    <row r="993" spans="9:17" x14ac:dyDescent="0.45">
      <c r="I993" t="s">
        <v>201</v>
      </c>
      <c r="J993" t="s">
        <v>298</v>
      </c>
      <c r="K993">
        <v>5.3799902439822071E-3</v>
      </c>
      <c r="L993" t="s">
        <v>153</v>
      </c>
      <c r="N993" t="s">
        <v>244</v>
      </c>
      <c r="O993" t="s">
        <v>298</v>
      </c>
      <c r="P993">
        <v>2.7873640458740342E-3</v>
      </c>
      <c r="Q993" t="s">
        <v>153</v>
      </c>
    </row>
    <row r="994" spans="9:17" x14ac:dyDescent="0.45">
      <c r="I994" t="s">
        <v>201</v>
      </c>
      <c r="J994" t="s">
        <v>299</v>
      </c>
      <c r="K994">
        <v>3.3373487431729489E-3</v>
      </c>
      <c r="L994" t="s">
        <v>153</v>
      </c>
      <c r="N994" t="s">
        <v>244</v>
      </c>
      <c r="O994" t="s">
        <v>299</v>
      </c>
      <c r="P994">
        <v>2.4285950259226457E-2</v>
      </c>
      <c r="Q994" t="s">
        <v>153</v>
      </c>
    </row>
    <row r="995" spans="9:17" x14ac:dyDescent="0.45">
      <c r="I995" t="s">
        <v>202</v>
      </c>
      <c r="J995" t="s">
        <v>152</v>
      </c>
      <c r="K995">
        <v>1.9779311763277124E-4</v>
      </c>
      <c r="L995" t="s">
        <v>153</v>
      </c>
      <c r="N995" t="s">
        <v>245</v>
      </c>
      <c r="O995" t="s">
        <v>152</v>
      </c>
      <c r="P995">
        <v>0.18276651878066952</v>
      </c>
      <c r="Q995" t="s">
        <v>153</v>
      </c>
    </row>
    <row r="996" spans="9:17" x14ac:dyDescent="0.45">
      <c r="I996" t="s">
        <v>202</v>
      </c>
      <c r="J996" t="s">
        <v>154</v>
      </c>
      <c r="K996">
        <v>1.4563584595975341E-2</v>
      </c>
      <c r="L996" t="s">
        <v>153</v>
      </c>
      <c r="N996" t="s">
        <v>245</v>
      </c>
      <c r="O996" t="s">
        <v>154</v>
      </c>
      <c r="P996">
        <v>2.0209742242961262E-2</v>
      </c>
      <c r="Q996" t="s">
        <v>153</v>
      </c>
    </row>
    <row r="997" spans="9:17" x14ac:dyDescent="0.45">
      <c r="I997" t="s">
        <v>202</v>
      </c>
      <c r="J997" t="s">
        <v>155</v>
      </c>
      <c r="K997">
        <v>0.37537926773225128</v>
      </c>
      <c r="L997" t="s">
        <v>153</v>
      </c>
      <c r="N997" t="s">
        <v>245</v>
      </c>
      <c r="O997" t="s">
        <v>155</v>
      </c>
      <c r="P997">
        <v>0.10922308419932412</v>
      </c>
      <c r="Q997" t="s">
        <v>153</v>
      </c>
    </row>
    <row r="998" spans="9:17" x14ac:dyDescent="0.45">
      <c r="I998" t="s">
        <v>202</v>
      </c>
      <c r="J998" t="s">
        <v>280</v>
      </c>
      <c r="K998">
        <v>3.4278279977224255E-2</v>
      </c>
      <c r="L998" t="s">
        <v>153</v>
      </c>
      <c r="N998" t="s">
        <v>245</v>
      </c>
      <c r="O998" t="s">
        <v>280</v>
      </c>
      <c r="P998">
        <v>9.2713476926135907E-3</v>
      </c>
      <c r="Q998" t="s">
        <v>153</v>
      </c>
    </row>
    <row r="999" spans="9:17" x14ac:dyDescent="0.45">
      <c r="I999" t="s">
        <v>202</v>
      </c>
      <c r="J999" t="s">
        <v>281</v>
      </c>
      <c r="K999">
        <v>2.122777551358257E-2</v>
      </c>
      <c r="L999" t="s">
        <v>153</v>
      </c>
      <c r="N999" t="s">
        <v>245</v>
      </c>
      <c r="O999" t="s">
        <v>281</v>
      </c>
      <c r="P999">
        <v>1.1920564410267374E-2</v>
      </c>
      <c r="Q999" t="s">
        <v>153</v>
      </c>
    </row>
    <row r="1000" spans="9:17" x14ac:dyDescent="0.45">
      <c r="I1000" t="s">
        <v>202</v>
      </c>
      <c r="J1000" t="s">
        <v>282</v>
      </c>
      <c r="K1000">
        <v>7.798468826556053E-3</v>
      </c>
      <c r="L1000" t="s">
        <v>153</v>
      </c>
      <c r="N1000" t="s">
        <v>245</v>
      </c>
      <c r="O1000" t="s">
        <v>282</v>
      </c>
      <c r="P1000">
        <v>0.11681537140007925</v>
      </c>
      <c r="Q1000" t="s">
        <v>153</v>
      </c>
    </row>
    <row r="1001" spans="9:17" x14ac:dyDescent="0.45">
      <c r="I1001" t="s">
        <v>202</v>
      </c>
      <c r="J1001" t="s">
        <v>156</v>
      </c>
      <c r="K1001">
        <v>0</v>
      </c>
      <c r="L1001" t="s">
        <v>153</v>
      </c>
      <c r="N1001" t="s">
        <v>245</v>
      </c>
      <c r="O1001" t="s">
        <v>156</v>
      </c>
      <c r="P1001">
        <v>6.7347055926039956E-2</v>
      </c>
      <c r="Q1001" t="s">
        <v>153</v>
      </c>
    </row>
    <row r="1002" spans="9:17" x14ac:dyDescent="0.45">
      <c r="I1002" t="s">
        <v>202</v>
      </c>
      <c r="J1002" t="s">
        <v>157</v>
      </c>
      <c r="K1002">
        <v>0</v>
      </c>
      <c r="L1002" t="s">
        <v>153</v>
      </c>
      <c r="N1002" t="s">
        <v>245</v>
      </c>
      <c r="O1002" t="s">
        <v>157</v>
      </c>
      <c r="P1002">
        <v>8.883782441191989E-3</v>
      </c>
      <c r="Q1002" t="s">
        <v>153</v>
      </c>
    </row>
    <row r="1003" spans="9:17" x14ac:dyDescent="0.45">
      <c r="I1003" t="s">
        <v>202</v>
      </c>
      <c r="J1003" t="s">
        <v>158</v>
      </c>
      <c r="K1003">
        <v>0.11746355473617202</v>
      </c>
      <c r="L1003" t="s">
        <v>153</v>
      </c>
      <c r="N1003" t="s">
        <v>245</v>
      </c>
      <c r="O1003" t="s">
        <v>158</v>
      </c>
      <c r="P1003">
        <v>4.8843475636054873E-2</v>
      </c>
      <c r="Q1003" t="s">
        <v>153</v>
      </c>
    </row>
    <row r="1004" spans="9:17" x14ac:dyDescent="0.45">
      <c r="I1004" t="s">
        <v>202</v>
      </c>
      <c r="J1004" t="s">
        <v>283</v>
      </c>
      <c r="K1004">
        <v>1.1040386512709808E-2</v>
      </c>
      <c r="L1004" t="s">
        <v>153</v>
      </c>
      <c r="N1004" t="s">
        <v>245</v>
      </c>
      <c r="O1004" t="s">
        <v>283</v>
      </c>
      <c r="P1004">
        <v>4.2422585100515692E-3</v>
      </c>
      <c r="Q1004" t="s">
        <v>153</v>
      </c>
    </row>
    <row r="1005" spans="9:17" x14ac:dyDescent="0.45">
      <c r="I1005" t="s">
        <v>202</v>
      </c>
      <c r="J1005" t="s">
        <v>284</v>
      </c>
      <c r="K1005">
        <v>4.5205546783263816E-3</v>
      </c>
      <c r="L1005" t="s">
        <v>153</v>
      </c>
      <c r="N1005" t="s">
        <v>245</v>
      </c>
      <c r="O1005" t="s">
        <v>284</v>
      </c>
      <c r="P1005">
        <v>5.6205349087396078E-3</v>
      </c>
      <c r="Q1005" t="s">
        <v>153</v>
      </c>
    </row>
    <row r="1006" spans="9:17" x14ac:dyDescent="0.45">
      <c r="I1006" t="s">
        <v>202</v>
      </c>
      <c r="J1006" t="s">
        <v>285</v>
      </c>
      <c r="K1006">
        <v>0</v>
      </c>
      <c r="L1006" t="s">
        <v>153</v>
      </c>
      <c r="N1006" t="s">
        <v>245</v>
      </c>
      <c r="O1006" t="s">
        <v>285</v>
      </c>
      <c r="P1006">
        <v>4.6142322029086871E-2</v>
      </c>
      <c r="Q1006" t="s">
        <v>153</v>
      </c>
    </row>
    <row r="1007" spans="9:17" x14ac:dyDescent="0.45">
      <c r="I1007" t="s">
        <v>202</v>
      </c>
      <c r="J1007" t="s">
        <v>159</v>
      </c>
      <c r="K1007">
        <v>3.2129967567619514E-3</v>
      </c>
      <c r="L1007" t="s">
        <v>153</v>
      </c>
      <c r="N1007" t="s">
        <v>245</v>
      </c>
      <c r="O1007" t="s">
        <v>159</v>
      </c>
      <c r="P1007">
        <v>0.11477273111212573</v>
      </c>
      <c r="Q1007" t="s">
        <v>153</v>
      </c>
    </row>
    <row r="1008" spans="9:17" x14ac:dyDescent="0.45">
      <c r="I1008" t="s">
        <v>202</v>
      </c>
      <c r="J1008" t="s">
        <v>160</v>
      </c>
      <c r="K1008">
        <v>1.5573332854754946E-2</v>
      </c>
      <c r="L1008" t="s">
        <v>153</v>
      </c>
      <c r="N1008" t="s">
        <v>245</v>
      </c>
      <c r="O1008" t="s">
        <v>160</v>
      </c>
      <c r="P1008">
        <v>9.648157336811413E-3</v>
      </c>
      <c r="Q1008" t="s">
        <v>153</v>
      </c>
    </row>
    <row r="1009" spans="9:17" x14ac:dyDescent="0.45">
      <c r="I1009" t="s">
        <v>202</v>
      </c>
      <c r="J1009" t="s">
        <v>161</v>
      </c>
      <c r="K1009">
        <v>0.2639526096038573</v>
      </c>
      <c r="L1009" t="s">
        <v>153</v>
      </c>
      <c r="N1009" t="s">
        <v>245</v>
      </c>
      <c r="O1009" t="s">
        <v>161</v>
      </c>
      <c r="P1009">
        <v>6.8663710618911022E-2</v>
      </c>
      <c r="Q1009" t="s">
        <v>153</v>
      </c>
    </row>
    <row r="1010" spans="9:17" x14ac:dyDescent="0.45">
      <c r="I1010" t="s">
        <v>202</v>
      </c>
      <c r="J1010" t="s">
        <v>286</v>
      </c>
      <c r="K1010">
        <v>2.2592040310245705E-2</v>
      </c>
      <c r="L1010" t="s">
        <v>153</v>
      </c>
      <c r="N1010" t="s">
        <v>245</v>
      </c>
      <c r="O1010" t="s">
        <v>286</v>
      </c>
      <c r="P1010">
        <v>8.9664361038331031E-3</v>
      </c>
      <c r="Q1010" t="s">
        <v>153</v>
      </c>
    </row>
    <row r="1011" spans="9:17" x14ac:dyDescent="0.45">
      <c r="I1011" t="s">
        <v>202</v>
      </c>
      <c r="J1011" t="s">
        <v>287</v>
      </c>
      <c r="K1011">
        <v>1.552196662485344E-2</v>
      </c>
      <c r="L1011" t="s">
        <v>153</v>
      </c>
      <c r="N1011" t="s">
        <v>245</v>
      </c>
      <c r="O1011" t="s">
        <v>287</v>
      </c>
      <c r="P1011">
        <v>1.0146737330993843E-2</v>
      </c>
      <c r="Q1011" t="s">
        <v>153</v>
      </c>
    </row>
    <row r="1012" spans="9:17" x14ac:dyDescent="0.45">
      <c r="I1012" t="s">
        <v>202</v>
      </c>
      <c r="J1012" t="s">
        <v>288</v>
      </c>
      <c r="K1012">
        <v>1.2354661749172477E-3</v>
      </c>
      <c r="L1012" t="s">
        <v>153</v>
      </c>
      <c r="N1012" t="s">
        <v>245</v>
      </c>
      <c r="O1012" t="s">
        <v>288</v>
      </c>
      <c r="P1012">
        <v>8.6631598278861174E-2</v>
      </c>
      <c r="Q1012" t="s">
        <v>153</v>
      </c>
    </row>
    <row r="1013" spans="9:17" x14ac:dyDescent="0.45">
      <c r="I1013" t="s">
        <v>202</v>
      </c>
      <c r="J1013" t="s">
        <v>294</v>
      </c>
      <c r="K1013">
        <v>2.2562535381199168E-3</v>
      </c>
      <c r="L1013" t="s">
        <v>153</v>
      </c>
      <c r="N1013" t="s">
        <v>245</v>
      </c>
      <c r="O1013" t="s">
        <v>294</v>
      </c>
      <c r="P1013">
        <v>3.0845096901790679E-2</v>
      </c>
      <c r="Q1013" t="s">
        <v>153</v>
      </c>
    </row>
    <row r="1014" spans="9:17" x14ac:dyDescent="0.45">
      <c r="I1014" t="s">
        <v>202</v>
      </c>
      <c r="J1014" t="s">
        <v>295</v>
      </c>
      <c r="K1014">
        <v>4.3828603627105939E-3</v>
      </c>
      <c r="L1014" t="s">
        <v>153</v>
      </c>
      <c r="N1014" t="s">
        <v>245</v>
      </c>
      <c r="O1014" t="s">
        <v>295</v>
      </c>
      <c r="P1014">
        <v>2.6807602376939057E-3</v>
      </c>
      <c r="Q1014" t="s">
        <v>153</v>
      </c>
    </row>
    <row r="1015" spans="9:17" x14ac:dyDescent="0.45">
      <c r="I1015" t="s">
        <v>202</v>
      </c>
      <c r="J1015" t="s">
        <v>296</v>
      </c>
      <c r="K1015">
        <v>7.1039660790338161E-2</v>
      </c>
      <c r="L1015" t="s">
        <v>153</v>
      </c>
      <c r="N1015" t="s">
        <v>245</v>
      </c>
      <c r="O1015" t="s">
        <v>296</v>
      </c>
      <c r="P1015">
        <v>1.402822056483073E-2</v>
      </c>
      <c r="Q1015" t="s">
        <v>153</v>
      </c>
    </row>
    <row r="1016" spans="9:17" x14ac:dyDescent="0.45">
      <c r="I1016" t="s">
        <v>202</v>
      </c>
      <c r="J1016" t="s">
        <v>297</v>
      </c>
      <c r="K1016">
        <v>6.3213791154128817E-3</v>
      </c>
      <c r="L1016" t="s">
        <v>153</v>
      </c>
      <c r="N1016" t="s">
        <v>245</v>
      </c>
      <c r="O1016" t="s">
        <v>297</v>
      </c>
      <c r="P1016">
        <v>1.2708238454020838E-3</v>
      </c>
      <c r="Q1016" t="s">
        <v>153</v>
      </c>
    </row>
    <row r="1017" spans="9:17" x14ac:dyDescent="0.45">
      <c r="I1017" t="s">
        <v>202</v>
      </c>
      <c r="J1017" t="s">
        <v>298</v>
      </c>
      <c r="K1017">
        <v>4.7077636272071987E-3</v>
      </c>
      <c r="L1017" t="s">
        <v>153</v>
      </c>
      <c r="N1017" t="s">
        <v>245</v>
      </c>
      <c r="O1017" t="s">
        <v>298</v>
      </c>
      <c r="P1017">
        <v>1.5836045617765874E-3</v>
      </c>
      <c r="Q1017" t="s">
        <v>153</v>
      </c>
    </row>
    <row r="1018" spans="9:17" x14ac:dyDescent="0.45">
      <c r="I1018" t="s">
        <v>202</v>
      </c>
      <c r="J1018" t="s">
        <v>299</v>
      </c>
      <c r="K1018">
        <v>2.7340045503907412E-3</v>
      </c>
      <c r="L1018" t="s">
        <v>153</v>
      </c>
      <c r="N1018" t="s">
        <v>245</v>
      </c>
      <c r="O1018" t="s">
        <v>299</v>
      </c>
      <c r="P1018">
        <v>1.9476064929891585E-2</v>
      </c>
      <c r="Q1018" t="s">
        <v>153</v>
      </c>
    </row>
    <row r="1019" spans="9:17" x14ac:dyDescent="0.45">
      <c r="I1019" t="s">
        <v>203</v>
      </c>
      <c r="J1019" t="s">
        <v>152</v>
      </c>
      <c r="K1019">
        <v>9.6179490234716951E-4</v>
      </c>
      <c r="L1019" t="s">
        <v>153</v>
      </c>
    </row>
    <row r="1020" spans="9:17" x14ac:dyDescent="0.45">
      <c r="I1020" t="s">
        <v>203</v>
      </c>
      <c r="J1020" t="s">
        <v>154</v>
      </c>
      <c r="K1020">
        <v>1.3905352702180141E-2</v>
      </c>
      <c r="L1020" t="s">
        <v>153</v>
      </c>
    </row>
    <row r="1021" spans="9:17" x14ac:dyDescent="0.45">
      <c r="I1021" t="s">
        <v>203</v>
      </c>
      <c r="J1021" t="s">
        <v>155</v>
      </c>
      <c r="K1021">
        <v>0.37864942736095092</v>
      </c>
      <c r="L1021" t="s">
        <v>153</v>
      </c>
    </row>
    <row r="1022" spans="9:17" x14ac:dyDescent="0.45">
      <c r="I1022" t="s">
        <v>203</v>
      </c>
      <c r="J1022" t="s">
        <v>280</v>
      </c>
      <c r="K1022">
        <v>3.3881281442656327E-2</v>
      </c>
      <c r="L1022" t="s">
        <v>153</v>
      </c>
    </row>
    <row r="1023" spans="9:17" x14ac:dyDescent="0.45">
      <c r="I1023" t="s">
        <v>203</v>
      </c>
      <c r="J1023" t="s">
        <v>281</v>
      </c>
      <c r="K1023">
        <v>1.8624682453770018E-2</v>
      </c>
      <c r="L1023" t="s">
        <v>153</v>
      </c>
    </row>
    <row r="1024" spans="9:17" x14ac:dyDescent="0.45">
      <c r="I1024" t="s">
        <v>203</v>
      </c>
      <c r="J1024" t="s">
        <v>282</v>
      </c>
      <c r="K1024">
        <v>6.8236323154522976E-3</v>
      </c>
      <c r="L1024" t="s">
        <v>153</v>
      </c>
    </row>
    <row r="1025" spans="9:12" x14ac:dyDescent="0.45">
      <c r="I1025" t="s">
        <v>203</v>
      </c>
      <c r="J1025" t="s">
        <v>156</v>
      </c>
      <c r="K1025">
        <v>0</v>
      </c>
      <c r="L1025" t="s">
        <v>153</v>
      </c>
    </row>
    <row r="1026" spans="9:12" x14ac:dyDescent="0.45">
      <c r="I1026" t="s">
        <v>203</v>
      </c>
      <c r="J1026" t="s">
        <v>157</v>
      </c>
      <c r="K1026">
        <v>0</v>
      </c>
      <c r="L1026" t="s">
        <v>153</v>
      </c>
    </row>
    <row r="1027" spans="9:12" x14ac:dyDescent="0.45">
      <c r="I1027" t="s">
        <v>203</v>
      </c>
      <c r="J1027" t="s">
        <v>158</v>
      </c>
      <c r="K1027">
        <v>0.11997018477851853</v>
      </c>
      <c r="L1027" t="s">
        <v>153</v>
      </c>
    </row>
    <row r="1028" spans="9:12" x14ac:dyDescent="0.45">
      <c r="I1028" t="s">
        <v>203</v>
      </c>
      <c r="J1028" t="s">
        <v>283</v>
      </c>
      <c r="K1028">
        <v>1.1312531729321075E-2</v>
      </c>
      <c r="L1028" t="s">
        <v>153</v>
      </c>
    </row>
    <row r="1029" spans="9:12" x14ac:dyDescent="0.45">
      <c r="I1029" t="s">
        <v>203</v>
      </c>
      <c r="J1029" t="s">
        <v>284</v>
      </c>
      <c r="K1029">
        <v>2.805960722916564E-3</v>
      </c>
      <c r="L1029" t="s">
        <v>153</v>
      </c>
    </row>
    <row r="1030" spans="9:12" x14ac:dyDescent="0.45">
      <c r="I1030" t="s">
        <v>203</v>
      </c>
      <c r="J1030" t="s">
        <v>285</v>
      </c>
      <c r="K1030">
        <v>0</v>
      </c>
      <c r="L1030" t="s">
        <v>153</v>
      </c>
    </row>
    <row r="1031" spans="9:12" x14ac:dyDescent="0.45">
      <c r="I1031" t="s">
        <v>203</v>
      </c>
      <c r="J1031" t="s">
        <v>159</v>
      </c>
      <c r="K1031">
        <v>3.4264303462727451E-3</v>
      </c>
      <c r="L1031" t="s">
        <v>153</v>
      </c>
    </row>
    <row r="1032" spans="9:12" x14ac:dyDescent="0.45">
      <c r="I1032" t="s">
        <v>203</v>
      </c>
      <c r="J1032" t="s">
        <v>160</v>
      </c>
      <c r="K1032">
        <v>1.5282181615434785E-2</v>
      </c>
      <c r="L1032" t="s">
        <v>153</v>
      </c>
    </row>
    <row r="1033" spans="9:12" x14ac:dyDescent="0.45">
      <c r="I1033" t="s">
        <v>203</v>
      </c>
      <c r="J1033" t="s">
        <v>161</v>
      </c>
      <c r="K1033">
        <v>0.26562410263224939</v>
      </c>
      <c r="L1033" t="s">
        <v>153</v>
      </c>
    </row>
    <row r="1034" spans="9:12" x14ac:dyDescent="0.45">
      <c r="I1034" t="s">
        <v>203</v>
      </c>
      <c r="J1034" t="s">
        <v>286</v>
      </c>
      <c r="K1034">
        <v>2.2505690444812435E-2</v>
      </c>
      <c r="L1034" t="s">
        <v>153</v>
      </c>
    </row>
    <row r="1035" spans="9:12" x14ac:dyDescent="0.45">
      <c r="I1035" t="s">
        <v>203</v>
      </c>
      <c r="J1035" t="s">
        <v>287</v>
      </c>
      <c r="K1035">
        <v>1.4857444140476619E-2</v>
      </c>
      <c r="L1035" t="s">
        <v>153</v>
      </c>
    </row>
    <row r="1036" spans="9:12" x14ac:dyDescent="0.45">
      <c r="I1036" t="s">
        <v>203</v>
      </c>
      <c r="J1036" t="s">
        <v>288</v>
      </c>
      <c r="K1036">
        <v>6.4245547122564303E-4</v>
      </c>
      <c r="L1036" t="s">
        <v>153</v>
      </c>
    </row>
    <row r="1037" spans="9:12" x14ac:dyDescent="0.45">
      <c r="I1037" t="s">
        <v>203</v>
      </c>
      <c r="J1037" t="s">
        <v>294</v>
      </c>
      <c r="K1037">
        <v>1.7194355619615995E-3</v>
      </c>
      <c r="L1037" t="s">
        <v>153</v>
      </c>
    </row>
    <row r="1038" spans="9:12" x14ac:dyDescent="0.45">
      <c r="I1038" t="s">
        <v>203</v>
      </c>
      <c r="J1038" t="s">
        <v>295</v>
      </c>
      <c r="K1038">
        <v>3.476144301835698E-3</v>
      </c>
      <c r="L1038" t="s">
        <v>153</v>
      </c>
    </row>
    <row r="1039" spans="9:12" x14ac:dyDescent="0.45">
      <c r="I1039" t="s">
        <v>203</v>
      </c>
      <c r="J1039" t="s">
        <v>296</v>
      </c>
      <c r="K1039">
        <v>7.2140482757346788E-2</v>
      </c>
      <c r="L1039" t="s">
        <v>153</v>
      </c>
    </row>
    <row r="1040" spans="9:12" x14ac:dyDescent="0.45">
      <c r="I1040" t="s">
        <v>203</v>
      </c>
      <c r="J1040" t="s">
        <v>297</v>
      </c>
      <c r="K1040">
        <v>6.2837619306891903E-3</v>
      </c>
      <c r="L1040" t="s">
        <v>153</v>
      </c>
    </row>
    <row r="1041" spans="9:12" x14ac:dyDescent="0.45">
      <c r="I1041" t="s">
        <v>203</v>
      </c>
      <c r="J1041" t="s">
        <v>298</v>
      </c>
      <c r="K1041">
        <v>4.5516864551936815E-3</v>
      </c>
      <c r="L1041" t="s">
        <v>153</v>
      </c>
    </row>
    <row r="1042" spans="9:12" x14ac:dyDescent="0.45">
      <c r="I1042" t="s">
        <v>203</v>
      </c>
      <c r="J1042" t="s">
        <v>299</v>
      </c>
      <c r="K1042">
        <v>2.5553359343892168E-3</v>
      </c>
      <c r="L1042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A679E-B7E5-41C8-9F19-FC0EF2D5BF17}">
  <dimension ref="A9:AN13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266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272</v>
      </c>
      <c r="AK10" t="s">
        <v>47</v>
      </c>
      <c r="AL10" t="s">
        <v>115</v>
      </c>
      <c r="AM10" t="s">
        <v>273</v>
      </c>
      <c r="AN10" t="s">
        <v>274</v>
      </c>
    </row>
    <row r="11" spans="1:40" x14ac:dyDescent="0.45">
      <c r="A11" t="str">
        <f>IFERROR(IF(Veda!D5=A10,"ok","x"),"")</f>
        <v>x</v>
      </c>
      <c r="C11" t="s">
        <v>142</v>
      </c>
      <c r="D11" t="s">
        <v>143</v>
      </c>
      <c r="E11" t="s">
        <v>144</v>
      </c>
      <c r="F11" t="s">
        <v>291</v>
      </c>
      <c r="G11" t="s">
        <v>143</v>
      </c>
      <c r="I11" t="s">
        <v>151</v>
      </c>
      <c r="J11" t="s">
        <v>152</v>
      </c>
      <c r="K11">
        <v>0</v>
      </c>
      <c r="L11" t="s">
        <v>153</v>
      </c>
      <c r="N11" t="s">
        <v>204</v>
      </c>
      <c r="O11" t="s">
        <v>152</v>
      </c>
      <c r="P11">
        <v>8.0072592152263991E-2</v>
      </c>
      <c r="Q11" t="s">
        <v>153</v>
      </c>
      <c r="S11" t="s">
        <v>246</v>
      </c>
      <c r="T11" t="s">
        <v>152</v>
      </c>
      <c r="U11">
        <v>0.12305015992684483</v>
      </c>
      <c r="V11" t="s">
        <v>153</v>
      </c>
      <c r="X11">
        <v>0.11575342465753424</v>
      </c>
      <c r="Y11">
        <v>2.4761289146342475E-2</v>
      </c>
      <c r="Z11" t="s">
        <v>152</v>
      </c>
      <c r="AA11" t="s">
        <v>25</v>
      </c>
      <c r="AC11" t="s">
        <v>22</v>
      </c>
      <c r="AD11" t="s">
        <v>152</v>
      </c>
      <c r="AE11">
        <v>8.1246369714185487E-2</v>
      </c>
      <c r="AG11" t="s">
        <v>96</v>
      </c>
      <c r="AH11" t="s">
        <v>152</v>
      </c>
      <c r="AI11">
        <v>0.1358957223053745</v>
      </c>
      <c r="AK11">
        <v>2020</v>
      </c>
      <c r="AL11" t="s">
        <v>142</v>
      </c>
      <c r="AM11">
        <v>0.12520000000000001</v>
      </c>
      <c r="AN11" t="s">
        <v>275</v>
      </c>
    </row>
    <row r="12" spans="1:40" x14ac:dyDescent="0.45">
      <c r="C12" t="s">
        <v>146</v>
      </c>
      <c r="E12" t="s">
        <v>147</v>
      </c>
      <c r="G12" t="s">
        <v>143</v>
      </c>
      <c r="I12" t="s">
        <v>151</v>
      </c>
      <c r="J12" t="s">
        <v>154</v>
      </c>
      <c r="K12">
        <v>1.1541312584932259E-2</v>
      </c>
      <c r="L12" t="s">
        <v>153</v>
      </c>
      <c r="N12" t="s">
        <v>204</v>
      </c>
      <c r="O12" t="s">
        <v>154</v>
      </c>
      <c r="P12">
        <v>1.4844490677606221E-2</v>
      </c>
      <c r="Q12" t="s">
        <v>153</v>
      </c>
      <c r="S12" t="s">
        <v>246</v>
      </c>
      <c r="T12" t="s">
        <v>154</v>
      </c>
      <c r="U12">
        <v>1.8841531049616757E-2</v>
      </c>
      <c r="V12" t="s">
        <v>153</v>
      </c>
      <c r="X12">
        <v>1.9292237442922376E-2</v>
      </c>
      <c r="Y12">
        <v>2.857071824577978E-2</v>
      </c>
      <c r="Z12" t="s">
        <v>154</v>
      </c>
      <c r="AA12" t="s">
        <v>25</v>
      </c>
      <c r="AC12" t="s">
        <v>22</v>
      </c>
      <c r="AD12" t="s">
        <v>154</v>
      </c>
      <c r="AE12">
        <v>1.4817279076999701E-2</v>
      </c>
      <c r="AG12" t="s">
        <v>96</v>
      </c>
      <c r="AH12" t="s">
        <v>154</v>
      </c>
      <c r="AI12">
        <v>0.12917900289573403</v>
      </c>
      <c r="AK12">
        <v>2020</v>
      </c>
      <c r="AL12" t="s">
        <v>146</v>
      </c>
      <c r="AM12">
        <v>7.8466666666666671E-2</v>
      </c>
      <c r="AN12" t="s">
        <v>275</v>
      </c>
    </row>
    <row r="13" spans="1:40" x14ac:dyDescent="0.45">
      <c r="C13" t="s">
        <v>148</v>
      </c>
      <c r="E13" t="s">
        <v>149</v>
      </c>
      <c r="G13" t="s">
        <v>143</v>
      </c>
      <c r="I13" t="s">
        <v>151</v>
      </c>
      <c r="J13" t="s">
        <v>155</v>
      </c>
      <c r="K13">
        <v>3.284791507246769E-2</v>
      </c>
      <c r="L13" t="s">
        <v>153</v>
      </c>
      <c r="N13" t="s">
        <v>204</v>
      </c>
      <c r="O13" t="s">
        <v>155</v>
      </c>
      <c r="P13">
        <v>1.5250939341702435E-2</v>
      </c>
      <c r="Q13" t="s">
        <v>153</v>
      </c>
      <c r="S13" t="s">
        <v>246</v>
      </c>
      <c r="T13" t="s">
        <v>155</v>
      </c>
      <c r="U13">
        <v>1.8251976636014904E-2</v>
      </c>
      <c r="V13" t="s">
        <v>153</v>
      </c>
      <c r="X13">
        <v>1.9292237442922376E-2</v>
      </c>
      <c r="Y13">
        <v>3.2212084296712497E-2</v>
      </c>
      <c r="Z13" t="s">
        <v>155</v>
      </c>
      <c r="AA13" t="s">
        <v>25</v>
      </c>
      <c r="AC13" t="s">
        <v>22</v>
      </c>
      <c r="AD13" t="s">
        <v>155</v>
      </c>
      <c r="AE13">
        <v>1.6427935967393927E-2</v>
      </c>
      <c r="AG13" t="s">
        <v>96</v>
      </c>
      <c r="AH13" t="s">
        <v>155</v>
      </c>
      <c r="AI13">
        <v>0.15589029355316919</v>
      </c>
      <c r="AK13">
        <v>2020</v>
      </c>
      <c r="AL13" t="s">
        <v>148</v>
      </c>
      <c r="AM13">
        <v>0.10894</v>
      </c>
      <c r="AN13" t="s">
        <v>275</v>
      </c>
    </row>
    <row r="14" spans="1:40" x14ac:dyDescent="0.45">
      <c r="C14" t="s">
        <v>292</v>
      </c>
      <c r="E14" t="s">
        <v>276</v>
      </c>
      <c r="G14" t="s">
        <v>143</v>
      </c>
      <c r="I14" t="s">
        <v>151</v>
      </c>
      <c r="J14" t="s">
        <v>280</v>
      </c>
      <c r="K14">
        <v>0.12527877099540685</v>
      </c>
      <c r="L14" t="s">
        <v>153</v>
      </c>
      <c r="N14" t="s">
        <v>204</v>
      </c>
      <c r="O14" t="s">
        <v>280</v>
      </c>
      <c r="P14">
        <v>4.8135521194582323E-2</v>
      </c>
      <c r="Q14" t="s">
        <v>153</v>
      </c>
      <c r="S14" t="s">
        <v>246</v>
      </c>
      <c r="T14" t="s">
        <v>280</v>
      </c>
      <c r="U14">
        <v>5.2187578447646051E-2</v>
      </c>
      <c r="V14" t="s">
        <v>153</v>
      </c>
      <c r="X14">
        <v>5.7876712328767121E-2</v>
      </c>
      <c r="Y14">
        <v>7.2883342034822551E-2</v>
      </c>
      <c r="Z14" t="s">
        <v>280</v>
      </c>
      <c r="AA14" t="s">
        <v>25</v>
      </c>
      <c r="AC14" t="s">
        <v>22</v>
      </c>
      <c r="AD14" t="s">
        <v>280</v>
      </c>
      <c r="AE14">
        <v>6.1874785449811912E-2</v>
      </c>
      <c r="AG14" t="s">
        <v>96</v>
      </c>
      <c r="AH14" t="s">
        <v>280</v>
      </c>
      <c r="AI14">
        <v>0.20361352915644249</v>
      </c>
      <c r="AK14">
        <v>2020</v>
      </c>
      <c r="AL14" t="s">
        <v>292</v>
      </c>
      <c r="AM14">
        <v>0.1075</v>
      </c>
      <c r="AN14" t="s">
        <v>275</v>
      </c>
    </row>
    <row r="15" spans="1:40" x14ac:dyDescent="0.45">
      <c r="E15" t="s">
        <v>277</v>
      </c>
      <c r="G15" t="s">
        <v>143</v>
      </c>
      <c r="I15" t="s">
        <v>151</v>
      </c>
      <c r="J15" t="s">
        <v>281</v>
      </c>
      <c r="K15">
        <v>0.25153342108436499</v>
      </c>
      <c r="L15" t="s">
        <v>153</v>
      </c>
      <c r="N15" t="s">
        <v>204</v>
      </c>
      <c r="O15" t="s">
        <v>281</v>
      </c>
      <c r="P15">
        <v>0.14088795783081348</v>
      </c>
      <c r="Q15" t="s">
        <v>153</v>
      </c>
      <c r="S15" t="s">
        <v>246</v>
      </c>
      <c r="T15" t="s">
        <v>281</v>
      </c>
      <c r="U15">
        <v>0.10701389466136563</v>
      </c>
      <c r="V15" t="s">
        <v>153</v>
      </c>
      <c r="X15">
        <v>0.11575342465753424</v>
      </c>
      <c r="Y15">
        <v>0.16509393464767261</v>
      </c>
      <c r="Z15" t="s">
        <v>281</v>
      </c>
      <c r="AA15" t="s">
        <v>25</v>
      </c>
      <c r="AC15" t="s">
        <v>22</v>
      </c>
      <c r="AD15" t="s">
        <v>281</v>
      </c>
      <c r="AE15">
        <v>0.13301326780411671</v>
      </c>
      <c r="AG15" t="s">
        <v>96</v>
      </c>
      <c r="AH15" t="s">
        <v>281</v>
      </c>
      <c r="AI15">
        <v>0.14172603900088143</v>
      </c>
      <c r="AK15">
        <v>2021</v>
      </c>
      <c r="AL15" t="s">
        <v>142</v>
      </c>
      <c r="AM15">
        <v>0.30280000000000001</v>
      </c>
      <c r="AN15" t="s">
        <v>275</v>
      </c>
    </row>
    <row r="16" spans="1:40" x14ac:dyDescent="0.45">
      <c r="E16" t="s">
        <v>278</v>
      </c>
      <c r="G16" t="s">
        <v>143</v>
      </c>
      <c r="I16" t="s">
        <v>151</v>
      </c>
      <c r="J16" t="s">
        <v>282</v>
      </c>
      <c r="K16">
        <v>2.6871008542551311E-2</v>
      </c>
      <c r="L16" t="s">
        <v>153</v>
      </c>
      <c r="N16" t="s">
        <v>204</v>
      </c>
      <c r="O16" t="s">
        <v>282</v>
      </c>
      <c r="P16">
        <v>2.2439720234887713E-2</v>
      </c>
      <c r="Q16" t="s">
        <v>153</v>
      </c>
      <c r="S16" t="s">
        <v>246</v>
      </c>
      <c r="T16" t="s">
        <v>282</v>
      </c>
      <c r="U16">
        <v>2.0679217989999693E-2</v>
      </c>
      <c r="V16" t="s">
        <v>153</v>
      </c>
      <c r="X16">
        <v>1.9292237442922376E-2</v>
      </c>
      <c r="Y16">
        <v>3.7534080832691087E-2</v>
      </c>
      <c r="Z16" t="s">
        <v>282</v>
      </c>
      <c r="AA16" t="s">
        <v>25</v>
      </c>
      <c r="AC16" t="s">
        <v>22</v>
      </c>
      <c r="AD16" t="s">
        <v>282</v>
      </c>
      <c r="AE16">
        <v>2.2022741036163068E-2</v>
      </c>
      <c r="AG16" t="s">
        <v>96</v>
      </c>
      <c r="AH16" t="s">
        <v>282</v>
      </c>
      <c r="AI16">
        <v>0.17143873587690717</v>
      </c>
      <c r="AK16">
        <v>2021</v>
      </c>
      <c r="AL16" t="s">
        <v>146</v>
      </c>
      <c r="AM16">
        <v>6.6333333333333341E-2</v>
      </c>
      <c r="AN16" t="s">
        <v>275</v>
      </c>
    </row>
    <row r="17" spans="5:40" x14ac:dyDescent="0.45">
      <c r="E17" t="s">
        <v>302</v>
      </c>
      <c r="G17" t="s">
        <v>143</v>
      </c>
      <c r="I17" t="s">
        <v>151</v>
      </c>
      <c r="J17" t="s">
        <v>304</v>
      </c>
      <c r="K17">
        <v>1.0365428690079793E-2</v>
      </c>
      <c r="L17" t="s">
        <v>153</v>
      </c>
      <c r="N17" t="s">
        <v>204</v>
      </c>
      <c r="O17" t="s">
        <v>304</v>
      </c>
      <c r="P17">
        <v>2.1812481304669968E-2</v>
      </c>
      <c r="Q17" t="s">
        <v>153</v>
      </c>
      <c r="S17" t="s">
        <v>246</v>
      </c>
      <c r="T17" t="s">
        <v>304</v>
      </c>
      <c r="U17">
        <v>2.1004028306243826E-2</v>
      </c>
      <c r="V17" t="s">
        <v>153</v>
      </c>
      <c r="X17">
        <v>1.9292237442922376E-2</v>
      </c>
      <c r="Y17">
        <v>2.9130928407461735E-2</v>
      </c>
      <c r="Z17" t="s">
        <v>304</v>
      </c>
      <c r="AA17" t="s">
        <v>25</v>
      </c>
      <c r="AC17" t="s">
        <v>22</v>
      </c>
      <c r="AD17" t="s">
        <v>304</v>
      </c>
      <c r="AE17">
        <v>2.2481032934331284E-2</v>
      </c>
      <c r="AG17" t="s">
        <v>96</v>
      </c>
      <c r="AH17" t="s">
        <v>304</v>
      </c>
      <c r="AI17">
        <v>0.16499956552513217</v>
      </c>
      <c r="AK17">
        <v>2021</v>
      </c>
      <c r="AL17" t="s">
        <v>148</v>
      </c>
      <c r="AM17">
        <v>0.20571999999999999</v>
      </c>
      <c r="AN17" t="s">
        <v>275</v>
      </c>
    </row>
    <row r="18" spans="5:40" x14ac:dyDescent="0.45">
      <c r="E18" t="s">
        <v>303</v>
      </c>
      <c r="G18" t="s">
        <v>143</v>
      </c>
      <c r="I18" t="s">
        <v>151</v>
      </c>
      <c r="J18" t="s">
        <v>305</v>
      </c>
      <c r="K18">
        <v>0</v>
      </c>
      <c r="L18" t="s">
        <v>153</v>
      </c>
      <c r="N18" t="s">
        <v>204</v>
      </c>
      <c r="O18" t="s">
        <v>305</v>
      </c>
      <c r="P18">
        <v>8.0116320043934139E-2</v>
      </c>
      <c r="Q18" t="s">
        <v>153</v>
      </c>
      <c r="S18" t="s">
        <v>246</v>
      </c>
      <c r="T18" t="s">
        <v>305</v>
      </c>
      <c r="U18">
        <v>0.10672544801856133</v>
      </c>
      <c r="V18" t="s">
        <v>153</v>
      </c>
      <c r="X18">
        <v>9.6461187214611874E-2</v>
      </c>
      <c r="Y18">
        <v>7.2827321018654342E-2</v>
      </c>
      <c r="Z18" t="s">
        <v>305</v>
      </c>
      <c r="AA18" t="s">
        <v>25</v>
      </c>
      <c r="AC18" t="s">
        <v>22</v>
      </c>
      <c r="AD18" t="s">
        <v>305</v>
      </c>
      <c r="AE18">
        <v>0.10821849365081045</v>
      </c>
      <c r="AG18" t="s">
        <v>96</v>
      </c>
      <c r="AH18" t="s">
        <v>305</v>
      </c>
      <c r="AI18">
        <v>0.22616621742081766</v>
      </c>
      <c r="AK18">
        <v>2021</v>
      </c>
      <c r="AL18" t="s">
        <v>292</v>
      </c>
      <c r="AM18">
        <v>0.60929999999999995</v>
      </c>
      <c r="AN18" t="s">
        <v>275</v>
      </c>
    </row>
    <row r="19" spans="5:40" x14ac:dyDescent="0.45">
      <c r="I19" t="s">
        <v>151</v>
      </c>
      <c r="J19" t="s">
        <v>156</v>
      </c>
      <c r="K19">
        <v>0</v>
      </c>
      <c r="L19" t="s">
        <v>153</v>
      </c>
      <c r="N19" t="s">
        <v>204</v>
      </c>
      <c r="O19" t="s">
        <v>156</v>
      </c>
      <c r="P19">
        <v>5.6885499346699425E-2</v>
      </c>
      <c r="Q19" t="s">
        <v>153</v>
      </c>
      <c r="S19" t="s">
        <v>246</v>
      </c>
      <c r="T19" t="s">
        <v>156</v>
      </c>
      <c r="U19">
        <v>4.1192569760161328E-2</v>
      </c>
      <c r="V19" t="s">
        <v>153</v>
      </c>
      <c r="X19">
        <v>4.3835616438356165E-2</v>
      </c>
      <c r="Y19">
        <v>9.3770562447687503E-3</v>
      </c>
      <c r="Z19" t="s">
        <v>156</v>
      </c>
      <c r="AA19" t="s">
        <v>25</v>
      </c>
      <c r="AC19" t="s">
        <v>22</v>
      </c>
      <c r="AD19" t="s">
        <v>156</v>
      </c>
      <c r="AE19">
        <v>3.1837134090550619E-2</v>
      </c>
      <c r="AG19" t="s">
        <v>96</v>
      </c>
      <c r="AH19" t="s">
        <v>156</v>
      </c>
      <c r="AI19">
        <v>0.12578338558339008</v>
      </c>
      <c r="AK19">
        <v>2022</v>
      </c>
      <c r="AL19" t="s">
        <v>142</v>
      </c>
      <c r="AM19">
        <v>0.6472</v>
      </c>
      <c r="AN19" t="s">
        <v>275</v>
      </c>
    </row>
    <row r="20" spans="5:40" x14ac:dyDescent="0.45">
      <c r="I20" t="s">
        <v>151</v>
      </c>
      <c r="J20" t="s">
        <v>157</v>
      </c>
      <c r="K20">
        <v>0</v>
      </c>
      <c r="L20" t="s">
        <v>153</v>
      </c>
      <c r="N20" t="s">
        <v>204</v>
      </c>
      <c r="O20" t="s">
        <v>157</v>
      </c>
      <c r="P20">
        <v>1.0127290260381545E-2</v>
      </c>
      <c r="Q20" t="s">
        <v>153</v>
      </c>
      <c r="S20" t="s">
        <v>246</v>
      </c>
      <c r="T20" t="s">
        <v>157</v>
      </c>
      <c r="U20">
        <v>6.8716585743361803E-3</v>
      </c>
      <c r="V20" t="s">
        <v>153</v>
      </c>
      <c r="X20">
        <v>7.3059360730593605E-3</v>
      </c>
      <c r="Y20">
        <v>1.0819680282425479E-2</v>
      </c>
      <c r="Z20" t="s">
        <v>157</v>
      </c>
      <c r="AA20" t="s">
        <v>25</v>
      </c>
      <c r="AC20" t="s">
        <v>22</v>
      </c>
      <c r="AD20" t="s">
        <v>157</v>
      </c>
      <c r="AE20">
        <v>6.2158884691362135E-3</v>
      </c>
      <c r="AG20" t="s">
        <v>96</v>
      </c>
      <c r="AH20" t="s">
        <v>157</v>
      </c>
      <c r="AI20">
        <v>6.8252455694592928E-2</v>
      </c>
      <c r="AK20">
        <v>2022</v>
      </c>
      <c r="AL20" t="s">
        <v>146</v>
      </c>
      <c r="AM20">
        <v>0.1762</v>
      </c>
      <c r="AN20" t="s">
        <v>275</v>
      </c>
    </row>
    <row r="21" spans="5:40" x14ac:dyDescent="0.45">
      <c r="I21" t="s">
        <v>151</v>
      </c>
      <c r="J21" t="s">
        <v>158</v>
      </c>
      <c r="K21">
        <v>8.1433990760786234E-3</v>
      </c>
      <c r="L21" t="s">
        <v>153</v>
      </c>
      <c r="N21" t="s">
        <v>204</v>
      </c>
      <c r="O21" t="s">
        <v>158</v>
      </c>
      <c r="P21">
        <v>1.0363416724967139E-2</v>
      </c>
      <c r="Q21" t="s">
        <v>153</v>
      </c>
      <c r="S21" t="s">
        <v>246</v>
      </c>
      <c r="T21" t="s">
        <v>158</v>
      </c>
      <c r="U21">
        <v>6.7235627401199321E-3</v>
      </c>
      <c r="V21" t="s">
        <v>153</v>
      </c>
      <c r="X21">
        <v>7.3059360730593605E-3</v>
      </c>
      <c r="Y21">
        <v>1.2198659141950296E-2</v>
      </c>
      <c r="Z21" t="s">
        <v>158</v>
      </c>
      <c r="AA21" t="s">
        <v>25</v>
      </c>
      <c r="AC21" t="s">
        <v>22</v>
      </c>
      <c r="AD21" t="s">
        <v>158</v>
      </c>
      <c r="AE21">
        <v>7.1060790931548271E-3</v>
      </c>
      <c r="AG21" t="s">
        <v>96</v>
      </c>
      <c r="AH21" t="s">
        <v>158</v>
      </c>
      <c r="AI21">
        <v>7.3113452340992646E-2</v>
      </c>
      <c r="AK21">
        <v>2022</v>
      </c>
      <c r="AL21" t="s">
        <v>148</v>
      </c>
      <c r="AM21">
        <v>0.34526000000000001</v>
      </c>
      <c r="AN21" t="s">
        <v>275</v>
      </c>
    </row>
    <row r="22" spans="5:40" x14ac:dyDescent="0.45">
      <c r="I22" t="s">
        <v>151</v>
      </c>
      <c r="J22" t="s">
        <v>283</v>
      </c>
      <c r="K22">
        <v>3.6504428497287876E-2</v>
      </c>
      <c r="L22" t="s">
        <v>153</v>
      </c>
      <c r="N22" t="s">
        <v>204</v>
      </c>
      <c r="O22" t="s">
        <v>283</v>
      </c>
      <c r="P22">
        <v>3.0599927943232005E-2</v>
      </c>
      <c r="Q22" t="s">
        <v>153</v>
      </c>
      <c r="S22" t="s">
        <v>246</v>
      </c>
      <c r="T22" t="s">
        <v>283</v>
      </c>
      <c r="U22">
        <v>1.938044549971327E-2</v>
      </c>
      <c r="V22" t="s">
        <v>153</v>
      </c>
      <c r="X22">
        <v>2.1917808219178082E-2</v>
      </c>
      <c r="Y22">
        <v>2.7600792249873628E-2</v>
      </c>
      <c r="Z22" t="s">
        <v>283</v>
      </c>
      <c r="AA22" t="s">
        <v>25</v>
      </c>
      <c r="AC22" t="s">
        <v>22</v>
      </c>
      <c r="AD22" t="s">
        <v>283</v>
      </c>
      <c r="AE22">
        <v>2.6818435334994842E-2</v>
      </c>
      <c r="AG22" t="s">
        <v>96</v>
      </c>
      <c r="AH22" t="s">
        <v>283</v>
      </c>
      <c r="AI22">
        <v>9.6088284428136106E-2</v>
      </c>
      <c r="AK22">
        <v>2022</v>
      </c>
      <c r="AL22" t="s">
        <v>292</v>
      </c>
      <c r="AM22">
        <v>0.73480000000000001</v>
      </c>
      <c r="AN22" t="s">
        <v>275</v>
      </c>
    </row>
    <row r="23" spans="5:40" x14ac:dyDescent="0.45">
      <c r="I23" t="s">
        <v>151</v>
      </c>
      <c r="J23" t="s">
        <v>284</v>
      </c>
      <c r="K23">
        <v>7.8663281346939257E-2</v>
      </c>
      <c r="L23" t="s">
        <v>153</v>
      </c>
      <c r="N23" t="s">
        <v>204</v>
      </c>
      <c r="O23" t="s">
        <v>284</v>
      </c>
      <c r="P23">
        <v>8.5326558573059416E-2</v>
      </c>
      <c r="Q23" t="s">
        <v>153</v>
      </c>
      <c r="S23" t="s">
        <v>246</v>
      </c>
      <c r="T23" t="s">
        <v>284</v>
      </c>
      <c r="U23">
        <v>3.6962418652560031E-2</v>
      </c>
      <c r="V23" t="s">
        <v>153</v>
      </c>
      <c r="X23">
        <v>4.3835616438356165E-2</v>
      </c>
      <c r="Y23">
        <v>6.2520779984917424E-2</v>
      </c>
      <c r="Z23" t="s">
        <v>284</v>
      </c>
      <c r="AA23" t="s">
        <v>25</v>
      </c>
      <c r="AC23" t="s">
        <v>22</v>
      </c>
      <c r="AD23" t="s">
        <v>284</v>
      </c>
      <c r="AE23">
        <v>5.1303086844946368E-2</v>
      </c>
      <c r="AG23" t="s">
        <v>96</v>
      </c>
      <c r="AH23" t="s">
        <v>284</v>
      </c>
      <c r="AI23">
        <v>8.0839293896929121E-2</v>
      </c>
      <c r="AK23">
        <v>2025</v>
      </c>
      <c r="AL23" t="s">
        <v>142</v>
      </c>
      <c r="AM23">
        <v>0.37473333333333336</v>
      </c>
      <c r="AN23" t="s">
        <v>275</v>
      </c>
    </row>
    <row r="24" spans="5:40" x14ac:dyDescent="0.45">
      <c r="I24" t="s">
        <v>151</v>
      </c>
      <c r="J24" t="s">
        <v>285</v>
      </c>
      <c r="K24">
        <v>7.2028954301483509E-3</v>
      </c>
      <c r="L24" t="s">
        <v>153</v>
      </c>
      <c r="N24" t="s">
        <v>204</v>
      </c>
      <c r="O24" t="s">
        <v>285</v>
      </c>
      <c r="P24">
        <v>9.885825331348937E-3</v>
      </c>
      <c r="Q24" t="s">
        <v>153</v>
      </c>
      <c r="S24" t="s">
        <v>246</v>
      </c>
      <c r="T24" t="s">
        <v>285</v>
      </c>
      <c r="U24">
        <v>6.2522343078363187E-3</v>
      </c>
      <c r="V24" t="s">
        <v>153</v>
      </c>
      <c r="X24">
        <v>7.3059360730593605E-3</v>
      </c>
      <c r="Y24">
        <v>1.4214089782794257E-2</v>
      </c>
      <c r="Z24" t="s">
        <v>285</v>
      </c>
      <c r="AA24" t="s">
        <v>25</v>
      </c>
      <c r="AC24" t="s">
        <v>22</v>
      </c>
      <c r="AD24" t="s">
        <v>285</v>
      </c>
      <c r="AE24">
        <v>9.3028330274877256E-3</v>
      </c>
      <c r="AG24" t="s">
        <v>96</v>
      </c>
      <c r="AH24" t="s">
        <v>285</v>
      </c>
      <c r="AI24">
        <v>0.10042749362821257</v>
      </c>
      <c r="AK24">
        <v>2025</v>
      </c>
      <c r="AL24" t="s">
        <v>146</v>
      </c>
      <c r="AM24">
        <v>0.17863333333333334</v>
      </c>
      <c r="AN24" t="s">
        <v>275</v>
      </c>
    </row>
    <row r="25" spans="5:40" x14ac:dyDescent="0.45">
      <c r="I25" t="s">
        <v>151</v>
      </c>
      <c r="J25" t="s">
        <v>306</v>
      </c>
      <c r="K25">
        <v>0</v>
      </c>
      <c r="L25" t="s">
        <v>153</v>
      </c>
      <c r="N25" t="s">
        <v>204</v>
      </c>
      <c r="O25" t="s">
        <v>306</v>
      </c>
      <c r="P25">
        <v>8.6571098088672836E-3</v>
      </c>
      <c r="Q25" t="s">
        <v>153</v>
      </c>
      <c r="S25" t="s">
        <v>246</v>
      </c>
      <c r="T25" t="s">
        <v>306</v>
      </c>
      <c r="U25">
        <v>6.2984987700706353E-3</v>
      </c>
      <c r="V25" t="s">
        <v>153</v>
      </c>
      <c r="X25">
        <v>7.3059360730593605E-3</v>
      </c>
      <c r="Y25">
        <v>1.103183087619853E-2</v>
      </c>
      <c r="Z25" t="s">
        <v>306</v>
      </c>
      <c r="AA25" t="s">
        <v>25</v>
      </c>
      <c r="AC25" t="s">
        <v>22</v>
      </c>
      <c r="AD25" t="s">
        <v>306</v>
      </c>
      <c r="AE25">
        <v>9.7177768363772721E-3</v>
      </c>
      <c r="AG25" t="s">
        <v>96</v>
      </c>
      <c r="AH25" t="s">
        <v>306</v>
      </c>
      <c r="AI25">
        <v>9.1700151539952257E-2</v>
      </c>
      <c r="AK25">
        <v>2025</v>
      </c>
      <c r="AL25" t="s">
        <v>148</v>
      </c>
      <c r="AM25">
        <v>0.10224</v>
      </c>
      <c r="AN25" t="s">
        <v>275</v>
      </c>
    </row>
    <row r="26" spans="5:40" x14ac:dyDescent="0.45">
      <c r="I26" t="s">
        <v>151</v>
      </c>
      <c r="J26" t="s">
        <v>307</v>
      </c>
      <c r="K26">
        <v>0</v>
      </c>
      <c r="L26" t="s">
        <v>153</v>
      </c>
      <c r="N26" t="s">
        <v>204</v>
      </c>
      <c r="O26" t="s">
        <v>307</v>
      </c>
      <c r="P26">
        <v>3.9030044429397781E-2</v>
      </c>
      <c r="Q26" t="s">
        <v>153</v>
      </c>
      <c r="S26" t="s">
        <v>246</v>
      </c>
      <c r="T26" t="s">
        <v>307</v>
      </c>
      <c r="U26">
        <v>3.2510935093621296E-2</v>
      </c>
      <c r="V26" t="s">
        <v>153</v>
      </c>
      <c r="X26">
        <v>3.6529680365296802E-2</v>
      </c>
      <c r="Y26">
        <v>2.7579577190496318E-2</v>
      </c>
      <c r="Z26" t="s">
        <v>307</v>
      </c>
      <c r="AA26" t="s">
        <v>25</v>
      </c>
      <c r="AC26" t="s">
        <v>22</v>
      </c>
      <c r="AD26" t="s">
        <v>307</v>
      </c>
      <c r="AE26">
        <v>4.6470587113864724E-2</v>
      </c>
      <c r="AG26" t="s">
        <v>96</v>
      </c>
      <c r="AH26" t="s">
        <v>307</v>
      </c>
      <c r="AI26">
        <v>0.14293842059740491</v>
      </c>
      <c r="AK26">
        <v>2025</v>
      </c>
      <c r="AL26" t="s">
        <v>292</v>
      </c>
      <c r="AM26">
        <v>0.13009999999999999</v>
      </c>
      <c r="AN26" t="s">
        <v>275</v>
      </c>
    </row>
    <row r="27" spans="5:40" x14ac:dyDescent="0.45">
      <c r="I27" t="s">
        <v>151</v>
      </c>
      <c r="J27" t="s">
        <v>159</v>
      </c>
      <c r="K27">
        <v>5.5851874500170175E-4</v>
      </c>
      <c r="L27" t="s">
        <v>153</v>
      </c>
      <c r="N27" t="s">
        <v>204</v>
      </c>
      <c r="O27" t="s">
        <v>159</v>
      </c>
      <c r="P27">
        <v>4.6497938503873321E-2</v>
      </c>
      <c r="Q27" t="s">
        <v>153</v>
      </c>
      <c r="S27" t="s">
        <v>246</v>
      </c>
      <c r="T27" t="s">
        <v>159</v>
      </c>
      <c r="U27">
        <v>6.8764095386151733E-2</v>
      </c>
      <c r="V27" t="s">
        <v>153</v>
      </c>
      <c r="X27">
        <v>7.0547945205479454E-2</v>
      </c>
      <c r="Y27">
        <v>1.5091199893924706E-2</v>
      </c>
      <c r="Z27" t="s">
        <v>159</v>
      </c>
      <c r="AA27" t="s">
        <v>25</v>
      </c>
      <c r="AC27" t="s">
        <v>22</v>
      </c>
      <c r="AD27" t="s">
        <v>159</v>
      </c>
      <c r="AE27">
        <v>4.7988498966913172E-2</v>
      </c>
      <c r="AG27" t="s">
        <v>96</v>
      </c>
      <c r="AH27" t="s">
        <v>159</v>
      </c>
      <c r="AI27">
        <v>0.13414945533496581</v>
      </c>
      <c r="AK27">
        <v>2026</v>
      </c>
      <c r="AL27" t="s">
        <v>142</v>
      </c>
      <c r="AM27">
        <v>0.34346666666666664</v>
      </c>
      <c r="AN27" t="s">
        <v>275</v>
      </c>
    </row>
    <row r="28" spans="5:40" x14ac:dyDescent="0.45">
      <c r="I28" t="s">
        <v>151</v>
      </c>
      <c r="J28" t="s">
        <v>160</v>
      </c>
      <c r="K28">
        <v>1.3176130678945632E-2</v>
      </c>
      <c r="L28" t="s">
        <v>153</v>
      </c>
      <c r="N28" t="s">
        <v>204</v>
      </c>
      <c r="O28" t="s">
        <v>160</v>
      </c>
      <c r="P28">
        <v>8.8879247423633411E-3</v>
      </c>
      <c r="Q28" t="s">
        <v>153</v>
      </c>
      <c r="S28" t="s">
        <v>246</v>
      </c>
      <c r="T28" t="s">
        <v>160</v>
      </c>
      <c r="U28">
        <v>1.0734261257725929E-2</v>
      </c>
      <c r="V28" t="s">
        <v>153</v>
      </c>
      <c r="X28">
        <v>1.1757990867579908E-2</v>
      </c>
      <c r="Y28">
        <v>1.7412922954528506E-2</v>
      </c>
      <c r="Z28" t="s">
        <v>160</v>
      </c>
      <c r="AA28" t="s">
        <v>25</v>
      </c>
      <c r="AC28" t="s">
        <v>22</v>
      </c>
      <c r="AD28" t="s">
        <v>160</v>
      </c>
      <c r="AE28">
        <v>8.5734015787826932E-3</v>
      </c>
      <c r="AG28" t="s">
        <v>96</v>
      </c>
      <c r="AH28" t="s">
        <v>160</v>
      </c>
      <c r="AI28">
        <v>9.9635872862463115E-2</v>
      </c>
      <c r="AK28">
        <v>2026</v>
      </c>
      <c r="AL28" t="s">
        <v>146</v>
      </c>
      <c r="AM28">
        <v>0.19226666666666667</v>
      </c>
      <c r="AN28" t="s">
        <v>275</v>
      </c>
    </row>
    <row r="29" spans="5:40" x14ac:dyDescent="0.45">
      <c r="I29" t="s">
        <v>151</v>
      </c>
      <c r="J29" t="s">
        <v>161</v>
      </c>
      <c r="K29">
        <v>2.3847793733088467E-2</v>
      </c>
      <c r="L29" t="s">
        <v>153</v>
      </c>
      <c r="N29" t="s">
        <v>204</v>
      </c>
      <c r="O29" t="s">
        <v>161</v>
      </c>
      <c r="P29">
        <v>8.9331097598561084E-3</v>
      </c>
      <c r="Q29" t="s">
        <v>153</v>
      </c>
      <c r="S29" t="s">
        <v>246</v>
      </c>
      <c r="T29" t="s">
        <v>161</v>
      </c>
      <c r="U29">
        <v>1.0557740110323835E-2</v>
      </c>
      <c r="V29" t="s">
        <v>153</v>
      </c>
      <c r="X29">
        <v>1.1757990867579908E-2</v>
      </c>
      <c r="Y29">
        <v>1.9632217056576251E-2</v>
      </c>
      <c r="Z29" t="s">
        <v>161</v>
      </c>
      <c r="AA29" t="s">
        <v>25</v>
      </c>
      <c r="AC29" t="s">
        <v>22</v>
      </c>
      <c r="AD29" t="s">
        <v>161</v>
      </c>
      <c r="AE29">
        <v>9.5172873353657397E-3</v>
      </c>
      <c r="AG29" t="s">
        <v>96</v>
      </c>
      <c r="AH29" t="s">
        <v>161</v>
      </c>
      <c r="AI29">
        <v>0.11533137682387995</v>
      </c>
      <c r="AK29">
        <v>2026</v>
      </c>
      <c r="AL29" t="s">
        <v>148</v>
      </c>
      <c r="AM29">
        <v>0.20543999999999998</v>
      </c>
      <c r="AN29" t="s">
        <v>275</v>
      </c>
    </row>
    <row r="30" spans="5:40" x14ac:dyDescent="0.45">
      <c r="I30" t="s">
        <v>151</v>
      </c>
      <c r="J30" t="s">
        <v>286</v>
      </c>
      <c r="K30">
        <v>8.8880433779632381E-2</v>
      </c>
      <c r="L30" t="s">
        <v>153</v>
      </c>
      <c r="N30" t="s">
        <v>204</v>
      </c>
      <c r="O30" t="s">
        <v>286</v>
      </c>
      <c r="P30">
        <v>3.4156116227041212E-2</v>
      </c>
      <c r="Q30" t="s">
        <v>153</v>
      </c>
      <c r="S30" t="s">
        <v>246</v>
      </c>
      <c r="T30" t="s">
        <v>286</v>
      </c>
      <c r="U30">
        <v>3.1318475635965792E-2</v>
      </c>
      <c r="V30" t="s">
        <v>153</v>
      </c>
      <c r="X30">
        <v>3.5273972602739727E-2</v>
      </c>
      <c r="Y30">
        <v>4.4420025027140375E-2</v>
      </c>
      <c r="Z30" t="s">
        <v>286</v>
      </c>
      <c r="AA30" t="s">
        <v>25</v>
      </c>
      <c r="AC30" t="s">
        <v>22</v>
      </c>
      <c r="AD30" t="s">
        <v>286</v>
      </c>
      <c r="AE30">
        <v>3.6737637883760818E-2</v>
      </c>
      <c r="AG30" t="s">
        <v>96</v>
      </c>
      <c r="AH30" t="s">
        <v>286</v>
      </c>
      <c r="AI30">
        <v>0.17504600029432704</v>
      </c>
      <c r="AK30">
        <v>2026</v>
      </c>
      <c r="AL30" t="s">
        <v>292</v>
      </c>
      <c r="AM30">
        <v>0.1323</v>
      </c>
      <c r="AN30" t="s">
        <v>275</v>
      </c>
    </row>
    <row r="31" spans="5:40" x14ac:dyDescent="0.45">
      <c r="I31" t="s">
        <v>151</v>
      </c>
      <c r="J31" t="s">
        <v>287</v>
      </c>
      <c r="K31">
        <v>0.17434758503215605</v>
      </c>
      <c r="L31" t="s">
        <v>153</v>
      </c>
      <c r="N31" t="s">
        <v>204</v>
      </c>
      <c r="O31" t="s">
        <v>287</v>
      </c>
      <c r="P31">
        <v>0.10875366741726533</v>
      </c>
      <c r="Q31" t="s">
        <v>153</v>
      </c>
      <c r="S31" t="s">
        <v>246</v>
      </c>
      <c r="T31" t="s">
        <v>287</v>
      </c>
      <c r="U31">
        <v>6.5877050631961642E-2</v>
      </c>
      <c r="V31" t="s">
        <v>153</v>
      </c>
      <c r="X31">
        <v>7.0547945205479454E-2</v>
      </c>
      <c r="Y31">
        <v>0.10061938028822648</v>
      </c>
      <c r="Z31" t="s">
        <v>287</v>
      </c>
      <c r="AA31" t="s">
        <v>25</v>
      </c>
      <c r="AC31" t="s">
        <v>22</v>
      </c>
      <c r="AD31" t="s">
        <v>287</v>
      </c>
      <c r="AE31">
        <v>7.9181451154577712E-2</v>
      </c>
      <c r="AG31" t="s">
        <v>96</v>
      </c>
      <c r="AH31" t="s">
        <v>287</v>
      </c>
      <c r="AI31">
        <v>0.12727426389054997</v>
      </c>
      <c r="AK31">
        <v>2027</v>
      </c>
      <c r="AL31" t="s">
        <v>142</v>
      </c>
      <c r="AM31">
        <v>0.25593333333333335</v>
      </c>
      <c r="AN31" t="s">
        <v>275</v>
      </c>
    </row>
    <row r="32" spans="5:40" x14ac:dyDescent="0.45">
      <c r="I32" t="s">
        <v>151</v>
      </c>
      <c r="J32" t="s">
        <v>288</v>
      </c>
      <c r="K32">
        <v>1.730014818821549E-2</v>
      </c>
      <c r="L32" t="s">
        <v>153</v>
      </c>
      <c r="N32" t="s">
        <v>204</v>
      </c>
      <c r="O32" t="s">
        <v>288</v>
      </c>
      <c r="P32">
        <v>1.856325026926944E-2</v>
      </c>
      <c r="Q32" t="s">
        <v>153</v>
      </c>
      <c r="S32" t="s">
        <v>246</v>
      </c>
      <c r="T32" t="s">
        <v>288</v>
      </c>
      <c r="U32">
        <v>1.2560320521008868E-2</v>
      </c>
      <c r="V32" t="s">
        <v>153</v>
      </c>
      <c r="X32">
        <v>1.1757990867579908E-2</v>
      </c>
      <c r="Y32">
        <v>2.2875800744184507E-2</v>
      </c>
      <c r="Z32" t="s">
        <v>288</v>
      </c>
      <c r="AA32" t="s">
        <v>25</v>
      </c>
      <c r="AC32" t="s">
        <v>22</v>
      </c>
      <c r="AD32" t="s">
        <v>288</v>
      </c>
      <c r="AE32">
        <v>1.3203446141736718E-2</v>
      </c>
      <c r="AG32" t="s">
        <v>96</v>
      </c>
      <c r="AH32" t="s">
        <v>288</v>
      </c>
      <c r="AI32">
        <v>0.13594433841766618</v>
      </c>
      <c r="AK32">
        <v>2027</v>
      </c>
      <c r="AL32" t="s">
        <v>146</v>
      </c>
      <c r="AM32">
        <v>0.11793333333333333</v>
      </c>
      <c r="AN32" t="s">
        <v>275</v>
      </c>
    </row>
    <row r="33" spans="9:40" x14ac:dyDescent="0.45">
      <c r="I33" t="s">
        <v>151</v>
      </c>
      <c r="J33" t="s">
        <v>308</v>
      </c>
      <c r="K33">
        <v>3.0017264855958401E-3</v>
      </c>
      <c r="L33" t="s">
        <v>153</v>
      </c>
      <c r="N33" t="s">
        <v>204</v>
      </c>
      <c r="O33" t="s">
        <v>308</v>
      </c>
      <c r="P33">
        <v>1.6672499280293931E-2</v>
      </c>
      <c r="Q33" t="s">
        <v>153</v>
      </c>
      <c r="S33" t="s">
        <v>246</v>
      </c>
      <c r="T33" t="s">
        <v>308</v>
      </c>
      <c r="U33">
        <v>1.2774062524479069E-2</v>
      </c>
      <c r="V33" t="s">
        <v>153</v>
      </c>
      <c r="X33">
        <v>1.1757990867579908E-2</v>
      </c>
      <c r="Y33">
        <v>1.7754352816381998E-2</v>
      </c>
      <c r="Z33" t="s">
        <v>308</v>
      </c>
      <c r="AA33" t="s">
        <v>25</v>
      </c>
      <c r="AC33" t="s">
        <v>22</v>
      </c>
      <c r="AD33" t="s">
        <v>308</v>
      </c>
      <c r="AE33">
        <v>1.3445911856066467E-2</v>
      </c>
      <c r="AG33" t="s">
        <v>96</v>
      </c>
      <c r="AH33" t="s">
        <v>308</v>
      </c>
      <c r="AI33">
        <v>0.17082943001134732</v>
      </c>
      <c r="AK33">
        <v>2027</v>
      </c>
      <c r="AL33" t="s">
        <v>148</v>
      </c>
      <c r="AM33">
        <v>8.0099999999999991E-2</v>
      </c>
      <c r="AN33" t="s">
        <v>275</v>
      </c>
    </row>
    <row r="34" spans="9:40" x14ac:dyDescent="0.45">
      <c r="I34" t="s">
        <v>151</v>
      </c>
      <c r="J34" t="s">
        <v>309</v>
      </c>
      <c r="K34">
        <v>0</v>
      </c>
      <c r="L34" t="s">
        <v>153</v>
      </c>
      <c r="N34" t="s">
        <v>204</v>
      </c>
      <c r="O34" t="s">
        <v>309</v>
      </c>
      <c r="P34">
        <v>4.6087685766183113E-2</v>
      </c>
      <c r="Q34" t="s">
        <v>153</v>
      </c>
      <c r="S34" t="s">
        <v>246</v>
      </c>
      <c r="T34" t="s">
        <v>309</v>
      </c>
      <c r="U34">
        <v>6.1390256804073694E-2</v>
      </c>
      <c r="V34" t="s">
        <v>153</v>
      </c>
      <c r="X34">
        <v>5.878995433789954E-2</v>
      </c>
      <c r="Y34">
        <v>4.4385882040955012E-2</v>
      </c>
      <c r="Z34" t="s">
        <v>309</v>
      </c>
      <c r="AA34" t="s">
        <v>25</v>
      </c>
      <c r="AC34" t="s">
        <v>22</v>
      </c>
      <c r="AD34" t="s">
        <v>309</v>
      </c>
      <c r="AE34">
        <v>6.4715638358847333E-2</v>
      </c>
      <c r="AG34" t="s">
        <v>96</v>
      </c>
      <c r="AH34" t="s">
        <v>309</v>
      </c>
      <c r="AI34">
        <v>0.20858579514891051</v>
      </c>
      <c r="AK34">
        <v>2027</v>
      </c>
      <c r="AL34" t="s">
        <v>292</v>
      </c>
      <c r="AM34">
        <v>0.15820000000000001</v>
      </c>
      <c r="AN34" t="s">
        <v>275</v>
      </c>
    </row>
    <row r="35" spans="9:40" x14ac:dyDescent="0.45">
      <c r="I35" t="s">
        <v>151</v>
      </c>
      <c r="J35" t="s">
        <v>294</v>
      </c>
      <c r="K35">
        <v>3.9497491595371021E-4</v>
      </c>
      <c r="L35" t="s">
        <v>153</v>
      </c>
      <c r="N35" t="s">
        <v>204</v>
      </c>
      <c r="O35" t="s">
        <v>294</v>
      </c>
      <c r="P35">
        <v>3.1475121453749606E-3</v>
      </c>
      <c r="Q35" t="s">
        <v>153</v>
      </c>
      <c r="S35" t="s">
        <v>246</v>
      </c>
      <c r="T35" t="s">
        <v>294</v>
      </c>
      <c r="U35">
        <v>2.5084536759663979E-2</v>
      </c>
      <c r="V35" t="s">
        <v>153</v>
      </c>
      <c r="X35">
        <v>1.9863013698630139E-2</v>
      </c>
      <c r="Y35">
        <v>4.2489786109108389E-3</v>
      </c>
      <c r="Z35" t="s">
        <v>294</v>
      </c>
      <c r="AA35" t="s">
        <v>25</v>
      </c>
      <c r="AC35" t="s">
        <v>22</v>
      </c>
      <c r="AD35" t="s">
        <v>294</v>
      </c>
      <c r="AE35">
        <v>1.3895846217829893E-2</v>
      </c>
      <c r="AG35" t="s">
        <v>96</v>
      </c>
      <c r="AH35" t="s">
        <v>294</v>
      </c>
      <c r="AI35">
        <v>0.10310605093267999</v>
      </c>
      <c r="AK35">
        <v>2028</v>
      </c>
      <c r="AL35" t="s">
        <v>142</v>
      </c>
      <c r="AM35">
        <v>0.30960000000000004</v>
      </c>
      <c r="AN35" t="s">
        <v>275</v>
      </c>
    </row>
    <row r="36" spans="9:40" x14ac:dyDescent="0.45">
      <c r="I36" t="s">
        <v>151</v>
      </c>
      <c r="J36" t="s">
        <v>295</v>
      </c>
      <c r="K36">
        <v>4.5434787199703222E-3</v>
      </c>
      <c r="L36" t="s">
        <v>153</v>
      </c>
      <c r="N36" t="s">
        <v>204</v>
      </c>
      <c r="O36" t="s">
        <v>295</v>
      </c>
      <c r="P36">
        <v>4.720551029230668E-4</v>
      </c>
      <c r="Q36" t="s">
        <v>153</v>
      </c>
      <c r="S36" t="s">
        <v>246</v>
      </c>
      <c r="T36" t="s">
        <v>295</v>
      </c>
      <c r="U36">
        <v>3.9792414201260196E-3</v>
      </c>
      <c r="V36" t="s">
        <v>153</v>
      </c>
      <c r="X36">
        <v>3.3105022831050228E-3</v>
      </c>
      <c r="Y36">
        <v>4.9026676279740472E-3</v>
      </c>
      <c r="Z36" t="s">
        <v>295</v>
      </c>
      <c r="AA36" t="s">
        <v>25</v>
      </c>
      <c r="AC36" t="s">
        <v>22</v>
      </c>
      <c r="AD36" t="s">
        <v>295</v>
      </c>
      <c r="AE36">
        <v>2.4718479233061933E-3</v>
      </c>
      <c r="AG36" t="s">
        <v>96</v>
      </c>
      <c r="AH36" t="s">
        <v>295</v>
      </c>
      <c r="AI36">
        <v>4.0432850249100927E-2</v>
      </c>
      <c r="AK36">
        <v>2028</v>
      </c>
      <c r="AL36" t="s">
        <v>146</v>
      </c>
      <c r="AM36">
        <v>0.13460000000000003</v>
      </c>
      <c r="AN36" t="s">
        <v>275</v>
      </c>
    </row>
    <row r="37" spans="9:40" x14ac:dyDescent="0.45">
      <c r="I37" t="s">
        <v>151</v>
      </c>
      <c r="J37" t="s">
        <v>296</v>
      </c>
      <c r="K37">
        <v>6.4783328472221317E-3</v>
      </c>
      <c r="L37" t="s">
        <v>153</v>
      </c>
      <c r="N37" t="s">
        <v>204</v>
      </c>
      <c r="O37" t="s">
        <v>296</v>
      </c>
      <c r="P37">
        <v>4.2693184475165282E-4</v>
      </c>
      <c r="Q37" t="s">
        <v>153</v>
      </c>
      <c r="S37" t="s">
        <v>246</v>
      </c>
      <c r="T37" t="s">
        <v>296</v>
      </c>
      <c r="U37">
        <v>3.9481400402217861E-3</v>
      </c>
      <c r="V37" t="s">
        <v>153</v>
      </c>
      <c r="X37">
        <v>3.3105022831050228E-3</v>
      </c>
      <c r="Y37">
        <v>5.5275174236962274E-3</v>
      </c>
      <c r="Z37" t="s">
        <v>296</v>
      </c>
      <c r="AA37" t="s">
        <v>25</v>
      </c>
      <c r="AC37" t="s">
        <v>22</v>
      </c>
      <c r="AD37" t="s">
        <v>296</v>
      </c>
      <c r="AE37">
        <v>2.7185947952282547E-3</v>
      </c>
      <c r="AG37" t="s">
        <v>96</v>
      </c>
      <c r="AH37" t="s">
        <v>296</v>
      </c>
      <c r="AI37">
        <v>3.9509432195852678E-2</v>
      </c>
      <c r="AK37">
        <v>2028</v>
      </c>
      <c r="AL37" t="s">
        <v>148</v>
      </c>
      <c r="AM37">
        <v>0.14776</v>
      </c>
      <c r="AN37" t="s">
        <v>275</v>
      </c>
    </row>
    <row r="38" spans="9:40" x14ac:dyDescent="0.45">
      <c r="I38" t="s">
        <v>151</v>
      </c>
      <c r="J38" t="s">
        <v>297</v>
      </c>
      <c r="K38">
        <v>2.4396898152364337E-2</v>
      </c>
      <c r="L38" t="s">
        <v>153</v>
      </c>
      <c r="N38" t="s">
        <v>204</v>
      </c>
      <c r="O38" t="s">
        <v>297</v>
      </c>
      <c r="P38">
        <v>1.9075165980180699E-3</v>
      </c>
      <c r="Q38" t="s">
        <v>153</v>
      </c>
      <c r="S38" t="s">
        <v>246</v>
      </c>
      <c r="T38" t="s">
        <v>297</v>
      </c>
      <c r="U38">
        <v>1.1507167413266829E-2</v>
      </c>
      <c r="V38" t="s">
        <v>153</v>
      </c>
      <c r="X38">
        <v>9.9315068493150693E-3</v>
      </c>
      <c r="Y38">
        <v>1.2506608988223988E-2</v>
      </c>
      <c r="Z38" t="s">
        <v>297</v>
      </c>
      <c r="AA38" t="s">
        <v>25</v>
      </c>
      <c r="AC38" t="s">
        <v>22</v>
      </c>
      <c r="AD38" t="s">
        <v>297</v>
      </c>
      <c r="AE38">
        <v>1.034675711488022E-2</v>
      </c>
      <c r="AG38" t="s">
        <v>96</v>
      </c>
      <c r="AH38" t="s">
        <v>297</v>
      </c>
      <c r="AI38">
        <v>8.2571841133201263E-2</v>
      </c>
      <c r="AK38">
        <v>2028</v>
      </c>
      <c r="AL38" t="s">
        <v>292</v>
      </c>
      <c r="AM38">
        <v>0.1353</v>
      </c>
      <c r="AN38" t="s">
        <v>275</v>
      </c>
    </row>
    <row r="39" spans="9:40" x14ac:dyDescent="0.45">
      <c r="I39" t="s">
        <v>151</v>
      </c>
      <c r="J39" t="s">
        <v>298</v>
      </c>
      <c r="K39">
        <v>4.5862984507875224E-2</v>
      </c>
      <c r="L39" t="s">
        <v>153</v>
      </c>
      <c r="N39" t="s">
        <v>204</v>
      </c>
      <c r="O39" t="s">
        <v>298</v>
      </c>
      <c r="P39">
        <v>1.366247839577389E-2</v>
      </c>
      <c r="Q39" t="s">
        <v>153</v>
      </c>
      <c r="S39" t="s">
        <v>246</v>
      </c>
      <c r="T39" t="s">
        <v>298</v>
      </c>
      <c r="U39">
        <v>2.4023783526939083E-2</v>
      </c>
      <c r="V39" t="s">
        <v>153</v>
      </c>
      <c r="X39">
        <v>1.9863013698630139E-2</v>
      </c>
      <c r="Y39">
        <v>2.832972843066571E-2</v>
      </c>
      <c r="Z39" t="s">
        <v>298</v>
      </c>
      <c r="AA39" t="s">
        <v>25</v>
      </c>
      <c r="AC39" t="s">
        <v>22</v>
      </c>
      <c r="AD39" t="s">
        <v>298</v>
      </c>
      <c r="AE39">
        <v>2.2774414127049242E-2</v>
      </c>
      <c r="AG39" t="s">
        <v>96</v>
      </c>
      <c r="AH39" t="s">
        <v>298</v>
      </c>
      <c r="AI39">
        <v>0.10756529263345804</v>
      </c>
      <c r="AK39">
        <v>2029</v>
      </c>
      <c r="AL39" t="s">
        <v>142</v>
      </c>
      <c r="AM39">
        <v>0.25398333333333334</v>
      </c>
      <c r="AN39" t="s">
        <v>275</v>
      </c>
    </row>
    <row r="40" spans="9:40" x14ac:dyDescent="0.45">
      <c r="I40" t="s">
        <v>151</v>
      </c>
      <c r="J40" t="s">
        <v>299</v>
      </c>
      <c r="K40">
        <v>5.0806215326509195E-3</v>
      </c>
      <c r="L40" t="s">
        <v>153</v>
      </c>
      <c r="N40" t="s">
        <v>204</v>
      </c>
      <c r="O40" t="s">
        <v>299</v>
      </c>
      <c r="P40">
        <v>3.9512649744425938E-3</v>
      </c>
      <c r="Q40" t="s">
        <v>153</v>
      </c>
      <c r="S40" t="s">
        <v>246</v>
      </c>
      <c r="T40" t="s">
        <v>299</v>
      </c>
      <c r="U40">
        <v>4.6878405253232384E-3</v>
      </c>
      <c r="V40" t="s">
        <v>153</v>
      </c>
      <c r="X40">
        <v>3.3105022831050228E-3</v>
      </c>
      <c r="Y40">
        <v>6.4407594328286487E-3</v>
      </c>
      <c r="Z40" t="s">
        <v>299</v>
      </c>
      <c r="AA40" t="s">
        <v>25</v>
      </c>
      <c r="AC40" t="s">
        <v>22</v>
      </c>
      <c r="AD40" t="s">
        <v>299</v>
      </c>
      <c r="AE40">
        <v>3.7018431133058229E-3</v>
      </c>
      <c r="AG40" t="s">
        <v>96</v>
      </c>
      <c r="AH40" t="s">
        <v>299</v>
      </c>
      <c r="AI40">
        <v>4.0698825326527466E-2</v>
      </c>
      <c r="AK40">
        <v>2029</v>
      </c>
      <c r="AL40" t="s">
        <v>146</v>
      </c>
      <c r="AM40">
        <v>0.11596666666666666</v>
      </c>
      <c r="AN40" t="s">
        <v>275</v>
      </c>
    </row>
    <row r="41" spans="9:40" x14ac:dyDescent="0.45">
      <c r="I41" t="s">
        <v>151</v>
      </c>
      <c r="J41" t="s">
        <v>310</v>
      </c>
      <c r="K41">
        <v>3.1785113610717898E-3</v>
      </c>
      <c r="L41" t="s">
        <v>153</v>
      </c>
      <c r="N41" t="s">
        <v>204</v>
      </c>
      <c r="O41" t="s">
        <v>310</v>
      </c>
      <c r="P41">
        <v>3.7943151459747864E-3</v>
      </c>
      <c r="Q41" t="s">
        <v>153</v>
      </c>
      <c r="S41" t="s">
        <v>246</v>
      </c>
      <c r="T41" t="s">
        <v>310</v>
      </c>
      <c r="U41">
        <v>4.7753612119146105E-3</v>
      </c>
      <c r="V41" t="s">
        <v>153</v>
      </c>
      <c r="X41">
        <v>3.3105022831050228E-3</v>
      </c>
      <c r="Y41">
        <v>4.9987983657774574E-3</v>
      </c>
      <c r="Z41" t="s">
        <v>310</v>
      </c>
      <c r="AA41" t="s">
        <v>25</v>
      </c>
      <c r="AC41" t="s">
        <v>22</v>
      </c>
      <c r="AD41" t="s">
        <v>310</v>
      </c>
      <c r="AE41">
        <v>3.7619599822587223E-3</v>
      </c>
      <c r="AG41" t="s">
        <v>96</v>
      </c>
      <c r="AH41" t="s">
        <v>310</v>
      </c>
      <c r="AI41">
        <v>4.0374758089887441E-2</v>
      </c>
      <c r="AK41">
        <v>2029</v>
      </c>
      <c r="AL41" t="s">
        <v>148</v>
      </c>
      <c r="AM41">
        <v>0.20441999999999999</v>
      </c>
      <c r="AN41" t="s">
        <v>275</v>
      </c>
    </row>
    <row r="42" spans="9:40" x14ac:dyDescent="0.45">
      <c r="I42" t="s">
        <v>151</v>
      </c>
      <c r="J42" t="s">
        <v>311</v>
      </c>
      <c r="K42">
        <v>0</v>
      </c>
      <c r="L42" t="s">
        <v>153</v>
      </c>
      <c r="N42" t="s">
        <v>204</v>
      </c>
      <c r="O42" t="s">
        <v>311</v>
      </c>
      <c r="P42">
        <v>9.6500386281829064E-3</v>
      </c>
      <c r="Q42" t="s">
        <v>153</v>
      </c>
      <c r="S42" t="s">
        <v>246</v>
      </c>
      <c r="T42" t="s">
        <v>311</v>
      </c>
      <c r="U42">
        <v>2.4071507796144781E-2</v>
      </c>
      <c r="V42" t="s">
        <v>153</v>
      </c>
      <c r="X42">
        <v>1.6552511415525113E-2</v>
      </c>
      <c r="Y42">
        <v>1.2496995914443643E-2</v>
      </c>
      <c r="Z42" t="s">
        <v>311</v>
      </c>
      <c r="AA42" t="s">
        <v>25</v>
      </c>
      <c r="AC42" t="s">
        <v>22</v>
      </c>
      <c r="AD42" t="s">
        <v>311</v>
      </c>
      <c r="AE42">
        <v>1.809173700576586E-2</v>
      </c>
      <c r="AG42" t="s">
        <v>96</v>
      </c>
      <c r="AH42" t="s">
        <v>311</v>
      </c>
      <c r="AI42">
        <v>6.0353285307354287E-2</v>
      </c>
      <c r="AK42">
        <v>2029</v>
      </c>
      <c r="AL42" t="s">
        <v>292</v>
      </c>
      <c r="AM42">
        <v>0.36499999999999999</v>
      </c>
      <c r="AN42" t="s">
        <v>275</v>
      </c>
    </row>
    <row r="43" spans="9:40" x14ac:dyDescent="0.45">
      <c r="I43" t="s">
        <v>162</v>
      </c>
      <c r="J43" t="s">
        <v>152</v>
      </c>
      <c r="K43">
        <v>0</v>
      </c>
      <c r="L43" t="s">
        <v>153</v>
      </c>
      <c r="N43" t="s">
        <v>205</v>
      </c>
      <c r="O43" t="s">
        <v>152</v>
      </c>
      <c r="P43">
        <v>8.1756734105281961E-2</v>
      </c>
      <c r="Q43" t="s">
        <v>153</v>
      </c>
      <c r="S43" t="s">
        <v>247</v>
      </c>
      <c r="T43" t="s">
        <v>152</v>
      </c>
      <c r="U43">
        <v>0.12461166488462301</v>
      </c>
      <c r="V43" t="s">
        <v>153</v>
      </c>
      <c r="AC43" t="s">
        <v>19</v>
      </c>
      <c r="AD43" t="s">
        <v>152</v>
      </c>
      <c r="AE43">
        <v>0.11401311115161974</v>
      </c>
      <c r="AK43">
        <v>2030</v>
      </c>
      <c r="AL43" t="s">
        <v>142</v>
      </c>
      <c r="AM43">
        <v>0.28353333333333336</v>
      </c>
      <c r="AN43" t="s">
        <v>275</v>
      </c>
    </row>
    <row r="44" spans="9:40" x14ac:dyDescent="0.45">
      <c r="I44" t="s">
        <v>162</v>
      </c>
      <c r="J44" t="s">
        <v>154</v>
      </c>
      <c r="K44">
        <v>1.0913438867105928E-2</v>
      </c>
      <c r="L44" t="s">
        <v>153</v>
      </c>
      <c r="N44" t="s">
        <v>205</v>
      </c>
      <c r="O44" t="s">
        <v>154</v>
      </c>
      <c r="P44">
        <v>1.3740153926891851E-2</v>
      </c>
      <c r="Q44" t="s">
        <v>153</v>
      </c>
      <c r="S44" t="s">
        <v>247</v>
      </c>
      <c r="T44" t="s">
        <v>154</v>
      </c>
      <c r="U44">
        <v>1.8709243946617788E-2</v>
      </c>
      <c r="V44" t="s">
        <v>153</v>
      </c>
      <c r="AC44" t="s">
        <v>19</v>
      </c>
      <c r="AD44" t="s">
        <v>154</v>
      </c>
      <c r="AE44">
        <v>1.9067832232388712E-2</v>
      </c>
      <c r="AK44">
        <v>2030</v>
      </c>
      <c r="AL44" t="s">
        <v>146</v>
      </c>
      <c r="AM44">
        <v>6.9066666666666665E-2</v>
      </c>
      <c r="AN44" t="s">
        <v>275</v>
      </c>
    </row>
    <row r="45" spans="9:40" x14ac:dyDescent="0.45">
      <c r="I45" t="s">
        <v>162</v>
      </c>
      <c r="J45" t="s">
        <v>155</v>
      </c>
      <c r="K45">
        <v>3.2782420625446063E-2</v>
      </c>
      <c r="L45" t="s">
        <v>153</v>
      </c>
      <c r="N45" t="s">
        <v>205</v>
      </c>
      <c r="O45" t="s">
        <v>155</v>
      </c>
      <c r="P45">
        <v>1.3983556769641402E-2</v>
      </c>
      <c r="Q45" t="s">
        <v>153</v>
      </c>
      <c r="S45" t="s">
        <v>247</v>
      </c>
      <c r="T45" t="s">
        <v>155</v>
      </c>
      <c r="U45">
        <v>1.7858475023950958E-2</v>
      </c>
      <c r="V45" t="s">
        <v>153</v>
      </c>
      <c r="AC45" t="s">
        <v>19</v>
      </c>
      <c r="AD45" t="s">
        <v>155</v>
      </c>
      <c r="AE45">
        <v>1.915068242173374E-2</v>
      </c>
      <c r="AK45">
        <v>2030</v>
      </c>
      <c r="AL45" t="s">
        <v>148</v>
      </c>
      <c r="AM45">
        <v>0.22373999999999999</v>
      </c>
      <c r="AN45" t="s">
        <v>275</v>
      </c>
    </row>
    <row r="46" spans="9:40" x14ac:dyDescent="0.45">
      <c r="I46" t="s">
        <v>162</v>
      </c>
      <c r="J46" t="s">
        <v>280</v>
      </c>
      <c r="K46">
        <v>0.12332738045185351</v>
      </c>
      <c r="L46" t="s">
        <v>153</v>
      </c>
      <c r="N46" t="s">
        <v>205</v>
      </c>
      <c r="O46" t="s">
        <v>280</v>
      </c>
      <c r="P46">
        <v>5.0250758994371654E-2</v>
      </c>
      <c r="Q46" t="s">
        <v>153</v>
      </c>
      <c r="S46" t="s">
        <v>247</v>
      </c>
      <c r="T46" t="s">
        <v>280</v>
      </c>
      <c r="U46">
        <v>4.9588022616847402E-2</v>
      </c>
      <c r="V46" t="s">
        <v>153</v>
      </c>
      <c r="AC46" t="s">
        <v>19</v>
      </c>
      <c r="AD46" t="s">
        <v>280</v>
      </c>
      <c r="AE46">
        <v>5.8099711507090021E-2</v>
      </c>
      <c r="AK46">
        <v>2030</v>
      </c>
      <c r="AL46" t="s">
        <v>292</v>
      </c>
      <c r="AM46">
        <v>0.40920000000000001</v>
      </c>
      <c r="AN46" t="s">
        <v>275</v>
      </c>
    </row>
    <row r="47" spans="9:40" x14ac:dyDescent="0.45">
      <c r="I47" t="s">
        <v>162</v>
      </c>
      <c r="J47" t="s">
        <v>281</v>
      </c>
      <c r="K47">
        <v>0.24666120078891507</v>
      </c>
      <c r="L47" t="s">
        <v>153</v>
      </c>
      <c r="N47" t="s">
        <v>205</v>
      </c>
      <c r="O47" t="s">
        <v>281</v>
      </c>
      <c r="P47">
        <v>0.13758278198456445</v>
      </c>
      <c r="Q47" t="s">
        <v>153</v>
      </c>
      <c r="S47" t="s">
        <v>247</v>
      </c>
      <c r="T47" t="s">
        <v>281</v>
      </c>
      <c r="U47">
        <v>0.10935222450469989</v>
      </c>
      <c r="V47" t="s">
        <v>153</v>
      </c>
      <c r="AC47" t="s">
        <v>19</v>
      </c>
      <c r="AD47" t="s">
        <v>281</v>
      </c>
      <c r="AE47">
        <v>0.1166759360736339</v>
      </c>
      <c r="AK47">
        <v>2031</v>
      </c>
      <c r="AL47" t="s">
        <v>142</v>
      </c>
      <c r="AM47">
        <v>0.25950000000000001</v>
      </c>
      <c r="AN47" t="s">
        <v>275</v>
      </c>
    </row>
    <row r="48" spans="9:40" x14ac:dyDescent="0.45">
      <c r="I48" t="s">
        <v>162</v>
      </c>
      <c r="J48" t="s">
        <v>282</v>
      </c>
      <c r="K48">
        <v>2.791212078887954E-2</v>
      </c>
      <c r="L48" t="s">
        <v>153</v>
      </c>
      <c r="N48" t="s">
        <v>205</v>
      </c>
      <c r="O48" t="s">
        <v>282</v>
      </c>
      <c r="P48">
        <v>2.2045525672125359E-2</v>
      </c>
      <c r="Q48" t="s">
        <v>153</v>
      </c>
      <c r="S48" t="s">
        <v>247</v>
      </c>
      <c r="T48" t="s">
        <v>282</v>
      </c>
      <c r="U48">
        <v>2.2465372903560592E-2</v>
      </c>
      <c r="V48" t="s">
        <v>153</v>
      </c>
      <c r="AC48" t="s">
        <v>19</v>
      </c>
      <c r="AD48" t="s">
        <v>282</v>
      </c>
      <c r="AE48">
        <v>1.9438472243427294E-2</v>
      </c>
      <c r="AK48">
        <v>2031</v>
      </c>
      <c r="AL48" t="s">
        <v>146</v>
      </c>
      <c r="AM48">
        <v>7.9899999999999999E-2</v>
      </c>
      <c r="AN48" t="s">
        <v>275</v>
      </c>
    </row>
    <row r="49" spans="9:40" x14ac:dyDescent="0.45">
      <c r="I49" t="s">
        <v>162</v>
      </c>
      <c r="J49" t="s">
        <v>304</v>
      </c>
      <c r="K49">
        <v>1.2195352215872878E-2</v>
      </c>
      <c r="L49" t="s">
        <v>153</v>
      </c>
      <c r="N49" t="s">
        <v>205</v>
      </c>
      <c r="O49" t="s">
        <v>304</v>
      </c>
      <c r="P49">
        <v>2.2578377100409931E-2</v>
      </c>
      <c r="Q49" t="s">
        <v>153</v>
      </c>
      <c r="S49" t="s">
        <v>247</v>
      </c>
      <c r="T49" t="s">
        <v>304</v>
      </c>
      <c r="U49">
        <v>2.3217513823536734E-2</v>
      </c>
      <c r="V49" t="s">
        <v>153</v>
      </c>
      <c r="AC49" t="s">
        <v>19</v>
      </c>
      <c r="AD49" t="s">
        <v>304</v>
      </c>
      <c r="AE49">
        <v>1.9462046209282453E-2</v>
      </c>
      <c r="AK49">
        <v>2031</v>
      </c>
      <c r="AL49" t="s">
        <v>148</v>
      </c>
      <c r="AM49">
        <v>0.22067999999999999</v>
      </c>
      <c r="AN49" t="s">
        <v>275</v>
      </c>
    </row>
    <row r="50" spans="9:40" x14ac:dyDescent="0.45">
      <c r="I50" t="s">
        <v>162</v>
      </c>
      <c r="J50" t="s">
        <v>305</v>
      </c>
      <c r="K50">
        <v>0</v>
      </c>
      <c r="L50" t="s">
        <v>153</v>
      </c>
      <c r="N50" t="s">
        <v>205</v>
      </c>
      <c r="O50" t="s">
        <v>305</v>
      </c>
      <c r="P50">
        <v>9.5121495352185656E-2</v>
      </c>
      <c r="Q50" t="s">
        <v>153</v>
      </c>
      <c r="S50" t="s">
        <v>247</v>
      </c>
      <c r="T50" t="s">
        <v>305</v>
      </c>
      <c r="U50">
        <v>0.11551774685167351</v>
      </c>
      <c r="V50" t="s">
        <v>153</v>
      </c>
      <c r="AC50" t="s">
        <v>19</v>
      </c>
      <c r="AD50" t="s">
        <v>305</v>
      </c>
      <c r="AE50">
        <v>9.7094873890663499E-2</v>
      </c>
      <c r="AK50">
        <v>2031</v>
      </c>
      <c r="AL50" t="s">
        <v>292</v>
      </c>
      <c r="AM50">
        <v>0.31140000000000001</v>
      </c>
      <c r="AN50" t="s">
        <v>275</v>
      </c>
    </row>
    <row r="51" spans="9:40" x14ac:dyDescent="0.45">
      <c r="I51" t="s">
        <v>162</v>
      </c>
      <c r="J51" t="s">
        <v>156</v>
      </c>
      <c r="K51">
        <v>0</v>
      </c>
      <c r="L51" t="s">
        <v>153</v>
      </c>
      <c r="N51" t="s">
        <v>205</v>
      </c>
      <c r="O51" t="s">
        <v>156</v>
      </c>
      <c r="P51">
        <v>4.789800067050512E-2</v>
      </c>
      <c r="Q51" t="s">
        <v>153</v>
      </c>
      <c r="S51" t="s">
        <v>247</v>
      </c>
      <c r="T51" t="s">
        <v>156</v>
      </c>
      <c r="U51">
        <v>3.6657380925658012E-2</v>
      </c>
      <c r="V51" t="s">
        <v>153</v>
      </c>
      <c r="AC51" t="s">
        <v>19</v>
      </c>
      <c r="AD51" t="s">
        <v>156</v>
      </c>
      <c r="AE51">
        <v>4.3063668313626555E-2</v>
      </c>
      <c r="AK51">
        <v>2032</v>
      </c>
      <c r="AL51" t="s">
        <v>142</v>
      </c>
      <c r="AM51">
        <v>0.3691166666666667</v>
      </c>
      <c r="AN51" t="s">
        <v>275</v>
      </c>
    </row>
    <row r="52" spans="9:40" x14ac:dyDescent="0.45">
      <c r="I52" t="s">
        <v>162</v>
      </c>
      <c r="J52" t="s">
        <v>157</v>
      </c>
      <c r="K52">
        <v>0</v>
      </c>
      <c r="L52" t="s">
        <v>153</v>
      </c>
      <c r="N52" t="s">
        <v>205</v>
      </c>
      <c r="O52" t="s">
        <v>157</v>
      </c>
      <c r="P52">
        <v>8.1742271421856982E-3</v>
      </c>
      <c r="Q52" t="s">
        <v>153</v>
      </c>
      <c r="S52" t="s">
        <v>247</v>
      </c>
      <c r="T52" t="s">
        <v>157</v>
      </c>
      <c r="U52">
        <v>6.0210538997632797E-3</v>
      </c>
      <c r="V52" t="s">
        <v>153</v>
      </c>
      <c r="AC52" t="s">
        <v>19</v>
      </c>
      <c r="AD52" t="s">
        <v>157</v>
      </c>
      <c r="AE52">
        <v>7.2240718619670874E-3</v>
      </c>
      <c r="AK52">
        <v>2032</v>
      </c>
      <c r="AL52" t="s">
        <v>146</v>
      </c>
      <c r="AM52">
        <v>5.000000000000001E-2</v>
      </c>
      <c r="AN52" t="s">
        <v>275</v>
      </c>
    </row>
    <row r="53" spans="9:40" x14ac:dyDescent="0.45">
      <c r="I53" t="s">
        <v>162</v>
      </c>
      <c r="J53" t="s">
        <v>158</v>
      </c>
      <c r="K53">
        <v>8.3861728084580617E-3</v>
      </c>
      <c r="L53" t="s">
        <v>153</v>
      </c>
      <c r="N53" t="s">
        <v>205</v>
      </c>
      <c r="O53" t="s">
        <v>158</v>
      </c>
      <c r="P53">
        <v>8.3146195486293178E-3</v>
      </c>
      <c r="Q53" t="s">
        <v>153</v>
      </c>
      <c r="S53" t="s">
        <v>247</v>
      </c>
      <c r="T53" t="s">
        <v>158</v>
      </c>
      <c r="U53">
        <v>5.9962467107919507E-3</v>
      </c>
      <c r="V53" t="s">
        <v>153</v>
      </c>
      <c r="AC53" t="s">
        <v>19</v>
      </c>
      <c r="AD53" t="s">
        <v>158</v>
      </c>
      <c r="AE53">
        <v>7.2698621616845271E-3</v>
      </c>
      <c r="AK53">
        <v>2032</v>
      </c>
      <c r="AL53" t="s">
        <v>148</v>
      </c>
      <c r="AM53">
        <v>0.14548</v>
      </c>
      <c r="AN53" t="s">
        <v>275</v>
      </c>
    </row>
    <row r="54" spans="9:40" x14ac:dyDescent="0.45">
      <c r="I54" t="s">
        <v>162</v>
      </c>
      <c r="J54" t="s">
        <v>283</v>
      </c>
      <c r="K54">
        <v>3.4746560865734827E-2</v>
      </c>
      <c r="L54" t="s">
        <v>153</v>
      </c>
      <c r="N54" t="s">
        <v>205</v>
      </c>
      <c r="O54" t="s">
        <v>283</v>
      </c>
      <c r="P54">
        <v>2.6335322705003633E-2</v>
      </c>
      <c r="Q54" t="s">
        <v>153</v>
      </c>
      <c r="S54" t="s">
        <v>247</v>
      </c>
      <c r="T54" t="s">
        <v>283</v>
      </c>
      <c r="U54">
        <v>1.7775008952692021E-2</v>
      </c>
      <c r="V54" t="s">
        <v>153</v>
      </c>
      <c r="AC54" t="s">
        <v>19</v>
      </c>
      <c r="AD54" t="s">
        <v>283</v>
      </c>
      <c r="AE54">
        <v>2.2092509839526868E-2</v>
      </c>
      <c r="AK54">
        <v>2032</v>
      </c>
      <c r="AL54" t="s">
        <v>292</v>
      </c>
      <c r="AM54">
        <v>0.28720000000000001</v>
      </c>
      <c r="AN54" t="s">
        <v>275</v>
      </c>
    </row>
    <row r="55" spans="9:40" x14ac:dyDescent="0.45">
      <c r="I55" t="s">
        <v>162</v>
      </c>
      <c r="J55" t="s">
        <v>284</v>
      </c>
      <c r="K55">
        <v>7.5626957551053253E-2</v>
      </c>
      <c r="L55" t="s">
        <v>153</v>
      </c>
      <c r="N55" t="s">
        <v>205</v>
      </c>
      <c r="O55" t="s">
        <v>284</v>
      </c>
      <c r="P55">
        <v>7.2885744441880104E-2</v>
      </c>
      <c r="Q55" t="s">
        <v>153</v>
      </c>
      <c r="S55" t="s">
        <v>247</v>
      </c>
      <c r="T55" t="s">
        <v>284</v>
      </c>
      <c r="U55">
        <v>3.3808706852391436E-2</v>
      </c>
      <c r="V55" t="s">
        <v>153</v>
      </c>
      <c r="AC55" t="s">
        <v>19</v>
      </c>
      <c r="AD55" t="s">
        <v>284</v>
      </c>
      <c r="AE55">
        <v>4.4064972738610778E-2</v>
      </c>
      <c r="AK55">
        <v>2033</v>
      </c>
      <c r="AL55" t="s">
        <v>142</v>
      </c>
      <c r="AM55">
        <v>0.44756666666666672</v>
      </c>
      <c r="AN55" t="s">
        <v>275</v>
      </c>
    </row>
    <row r="56" spans="9:40" x14ac:dyDescent="0.45">
      <c r="I56" t="s">
        <v>162</v>
      </c>
      <c r="J56" t="s">
        <v>285</v>
      </c>
      <c r="K56">
        <v>7.6346439039932934E-3</v>
      </c>
      <c r="L56" t="s">
        <v>153</v>
      </c>
      <c r="N56" t="s">
        <v>205</v>
      </c>
      <c r="O56" t="s">
        <v>285</v>
      </c>
      <c r="P56">
        <v>9.5104784666673412E-3</v>
      </c>
      <c r="Q56" t="s">
        <v>153</v>
      </c>
      <c r="S56" t="s">
        <v>247</v>
      </c>
      <c r="T56" t="s">
        <v>285</v>
      </c>
      <c r="U56">
        <v>5.8931369325189139E-3</v>
      </c>
      <c r="V56" t="s">
        <v>153</v>
      </c>
      <c r="AC56" t="s">
        <v>19</v>
      </c>
      <c r="AD56" t="s">
        <v>285</v>
      </c>
      <c r="AE56">
        <v>7.3828604547967061E-3</v>
      </c>
      <c r="AK56">
        <v>2033</v>
      </c>
      <c r="AL56" t="s">
        <v>146</v>
      </c>
      <c r="AM56">
        <v>0.26600000000000001</v>
      </c>
      <c r="AN56" t="s">
        <v>275</v>
      </c>
    </row>
    <row r="57" spans="9:40" x14ac:dyDescent="0.45">
      <c r="I57" t="s">
        <v>162</v>
      </c>
      <c r="J57" t="s">
        <v>306</v>
      </c>
      <c r="K57">
        <v>0</v>
      </c>
      <c r="L57" t="s">
        <v>153</v>
      </c>
      <c r="N57" t="s">
        <v>205</v>
      </c>
      <c r="O57" t="s">
        <v>306</v>
      </c>
      <c r="P57">
        <v>8.7476815592449925E-3</v>
      </c>
      <c r="Q57" t="s">
        <v>153</v>
      </c>
      <c r="S57" t="s">
        <v>247</v>
      </c>
      <c r="T57" t="s">
        <v>306</v>
      </c>
      <c r="U57">
        <v>5.9392783370772742E-3</v>
      </c>
      <c r="V57" t="s">
        <v>153</v>
      </c>
      <c r="AC57" t="s">
        <v>19</v>
      </c>
      <c r="AD57" t="s">
        <v>306</v>
      </c>
      <c r="AE57">
        <v>7.4042046487954845E-3</v>
      </c>
      <c r="AK57">
        <v>2033</v>
      </c>
      <c r="AL57" t="s">
        <v>148</v>
      </c>
      <c r="AM57">
        <v>0.29630000000000001</v>
      </c>
      <c r="AN57" t="s">
        <v>275</v>
      </c>
    </row>
    <row r="58" spans="9:40" x14ac:dyDescent="0.45">
      <c r="I58" t="s">
        <v>162</v>
      </c>
      <c r="J58" t="s">
        <v>307</v>
      </c>
      <c r="K58">
        <v>0</v>
      </c>
      <c r="L58" t="s">
        <v>153</v>
      </c>
      <c r="N58" t="s">
        <v>205</v>
      </c>
      <c r="O58" t="s">
        <v>307</v>
      </c>
      <c r="P58">
        <v>3.9586261951013932E-2</v>
      </c>
      <c r="Q58" t="s">
        <v>153</v>
      </c>
      <c r="S58" t="s">
        <v>247</v>
      </c>
      <c r="T58" t="s">
        <v>307</v>
      </c>
      <c r="U58">
        <v>3.0199332815932008E-2</v>
      </c>
      <c r="V58" t="s">
        <v>153</v>
      </c>
      <c r="AC58" t="s">
        <v>19</v>
      </c>
      <c r="AD58" t="s">
        <v>307</v>
      </c>
      <c r="AE58">
        <v>3.6912060674592677E-2</v>
      </c>
      <c r="AK58">
        <v>2033</v>
      </c>
      <c r="AL58" t="s">
        <v>292</v>
      </c>
      <c r="AM58">
        <v>0.38369999999999999</v>
      </c>
      <c r="AN58" t="s">
        <v>275</v>
      </c>
    </row>
    <row r="59" spans="9:40" x14ac:dyDescent="0.45">
      <c r="I59" t="s">
        <v>162</v>
      </c>
      <c r="J59" t="s">
        <v>159</v>
      </c>
      <c r="K59">
        <v>5.2077650018841979E-4</v>
      </c>
      <c r="L59" t="s">
        <v>153</v>
      </c>
      <c r="N59" t="s">
        <v>205</v>
      </c>
      <c r="O59" t="s">
        <v>159</v>
      </c>
      <c r="P59">
        <v>4.9717001055177346E-2</v>
      </c>
      <c r="Q59" t="s">
        <v>153</v>
      </c>
      <c r="S59" t="s">
        <v>247</v>
      </c>
      <c r="T59" t="s">
        <v>159</v>
      </c>
      <c r="U59">
        <v>7.062937342540522E-2</v>
      </c>
      <c r="V59" t="s">
        <v>153</v>
      </c>
      <c r="AC59" t="s">
        <v>19</v>
      </c>
      <c r="AD59" t="s">
        <v>159</v>
      </c>
      <c r="AE59">
        <v>6.9484583117514376E-2</v>
      </c>
      <c r="AK59">
        <v>2034</v>
      </c>
      <c r="AL59" t="s">
        <v>142</v>
      </c>
      <c r="AM59">
        <v>0.36313333333333331</v>
      </c>
      <c r="AN59" t="s">
        <v>275</v>
      </c>
    </row>
    <row r="60" spans="9:40" x14ac:dyDescent="0.45">
      <c r="I60" t="s">
        <v>162</v>
      </c>
      <c r="J60" t="s">
        <v>160</v>
      </c>
      <c r="K60">
        <v>1.3354303426271339E-2</v>
      </c>
      <c r="L60" t="s">
        <v>153</v>
      </c>
      <c r="N60" t="s">
        <v>205</v>
      </c>
      <c r="O60" t="s">
        <v>160</v>
      </c>
      <c r="P60">
        <v>8.7336893363634677E-3</v>
      </c>
      <c r="Q60" t="s">
        <v>153</v>
      </c>
      <c r="S60" t="s">
        <v>247</v>
      </c>
      <c r="T60" t="s">
        <v>160</v>
      </c>
      <c r="U60">
        <v>1.0705277638341948E-2</v>
      </c>
      <c r="V60" t="s">
        <v>153</v>
      </c>
      <c r="AC60" t="s">
        <v>19</v>
      </c>
      <c r="AD60" t="s">
        <v>160</v>
      </c>
      <c r="AE60">
        <v>1.1610357517540398E-2</v>
      </c>
      <c r="AK60">
        <v>2034</v>
      </c>
      <c r="AL60" t="s">
        <v>146</v>
      </c>
      <c r="AM60">
        <v>0.26449999999999996</v>
      </c>
      <c r="AN60" t="s">
        <v>275</v>
      </c>
    </row>
    <row r="61" spans="9:40" x14ac:dyDescent="0.45">
      <c r="I61" t="s">
        <v>162</v>
      </c>
      <c r="J61" t="s">
        <v>161</v>
      </c>
      <c r="K61">
        <v>2.4143577379333325E-2</v>
      </c>
      <c r="L61" t="s">
        <v>153</v>
      </c>
      <c r="N61" t="s">
        <v>205</v>
      </c>
      <c r="O61" t="s">
        <v>161</v>
      </c>
      <c r="P61">
        <v>8.8954478882206783E-3</v>
      </c>
      <c r="Q61" t="s">
        <v>153</v>
      </c>
      <c r="S61" t="s">
        <v>247</v>
      </c>
      <c r="T61" t="s">
        <v>161</v>
      </c>
      <c r="U61">
        <v>1.0315463079009777E-2</v>
      </c>
      <c r="V61" t="s">
        <v>153</v>
      </c>
      <c r="AC61" t="s">
        <v>19</v>
      </c>
      <c r="AD61" t="s">
        <v>161</v>
      </c>
      <c r="AE61">
        <v>1.1658909828165562E-2</v>
      </c>
      <c r="AK61">
        <v>2034</v>
      </c>
      <c r="AL61" t="s">
        <v>148</v>
      </c>
      <c r="AM61">
        <v>0.19137999999999999</v>
      </c>
      <c r="AN61" t="s">
        <v>275</v>
      </c>
    </row>
    <row r="62" spans="9:40" x14ac:dyDescent="0.45">
      <c r="I62" t="s">
        <v>162</v>
      </c>
      <c r="J62" t="s">
        <v>286</v>
      </c>
      <c r="K62">
        <v>8.7944455733347859E-2</v>
      </c>
      <c r="L62" t="s">
        <v>153</v>
      </c>
      <c r="N62" t="s">
        <v>205</v>
      </c>
      <c r="O62" t="s">
        <v>286</v>
      </c>
      <c r="P62">
        <v>3.759944298002095E-2</v>
      </c>
      <c r="Q62" t="s">
        <v>153</v>
      </c>
      <c r="S62" t="s">
        <v>247</v>
      </c>
      <c r="T62" t="s">
        <v>286</v>
      </c>
      <c r="U62">
        <v>2.9908397236819203E-2</v>
      </c>
      <c r="V62" t="s">
        <v>153</v>
      </c>
      <c r="AC62" t="s">
        <v>19</v>
      </c>
      <c r="AD62" t="s">
        <v>286</v>
      </c>
      <c r="AE62">
        <v>3.5397795625550718E-2</v>
      </c>
      <c r="AK62">
        <v>2034</v>
      </c>
      <c r="AL62" t="s">
        <v>292</v>
      </c>
      <c r="AM62">
        <v>0.185</v>
      </c>
      <c r="AN62" t="s">
        <v>275</v>
      </c>
    </row>
    <row r="63" spans="9:40" x14ac:dyDescent="0.45">
      <c r="I63" t="s">
        <v>162</v>
      </c>
      <c r="J63" t="s">
        <v>287</v>
      </c>
      <c r="K63">
        <v>0.17362596956673812</v>
      </c>
      <c r="L63" t="s">
        <v>153</v>
      </c>
      <c r="N63" t="s">
        <v>205</v>
      </c>
      <c r="O63" t="s">
        <v>287</v>
      </c>
      <c r="P63">
        <v>0.10237277272166664</v>
      </c>
      <c r="Q63" t="s">
        <v>153</v>
      </c>
      <c r="S63" t="s">
        <v>247</v>
      </c>
      <c r="T63" t="s">
        <v>287</v>
      </c>
      <c r="U63">
        <v>6.8002125474903224E-2</v>
      </c>
      <c r="V63" t="s">
        <v>153</v>
      </c>
      <c r="AC63" t="s">
        <v>19</v>
      </c>
      <c r="AD63" t="s">
        <v>287</v>
      </c>
      <c r="AE63">
        <v>7.1089109823600047E-2</v>
      </c>
      <c r="AK63">
        <v>2035</v>
      </c>
      <c r="AL63" t="s">
        <v>142</v>
      </c>
      <c r="AM63">
        <v>0.3786500000000001</v>
      </c>
      <c r="AN63" t="s">
        <v>275</v>
      </c>
    </row>
    <row r="64" spans="9:40" x14ac:dyDescent="0.45">
      <c r="I64" t="s">
        <v>162</v>
      </c>
      <c r="J64" t="s">
        <v>288</v>
      </c>
      <c r="K64">
        <v>1.9160199153639448E-2</v>
      </c>
      <c r="L64" t="s">
        <v>153</v>
      </c>
      <c r="N64" t="s">
        <v>205</v>
      </c>
      <c r="O64" t="s">
        <v>288</v>
      </c>
      <c r="P64">
        <v>1.6383635418503528E-2</v>
      </c>
      <c r="Q64" t="s">
        <v>153</v>
      </c>
      <c r="S64" t="s">
        <v>247</v>
      </c>
      <c r="T64" t="s">
        <v>288</v>
      </c>
      <c r="U64">
        <v>1.340020748916408E-2</v>
      </c>
      <c r="V64" t="s">
        <v>153</v>
      </c>
      <c r="AC64" t="s">
        <v>19</v>
      </c>
      <c r="AD64" t="s">
        <v>288</v>
      </c>
      <c r="AE64">
        <v>1.1848521257443295E-2</v>
      </c>
      <c r="AK64">
        <v>2035</v>
      </c>
      <c r="AL64" t="s">
        <v>146</v>
      </c>
      <c r="AM64">
        <v>0.22930000000000003</v>
      </c>
      <c r="AN64" t="s">
        <v>275</v>
      </c>
    </row>
    <row r="65" spans="9:40" x14ac:dyDescent="0.45">
      <c r="I65" t="s">
        <v>162</v>
      </c>
      <c r="J65" t="s">
        <v>308</v>
      </c>
      <c r="K65">
        <v>5.1908647559499518E-3</v>
      </c>
      <c r="L65" t="s">
        <v>153</v>
      </c>
      <c r="N65" t="s">
        <v>205</v>
      </c>
      <c r="O65" t="s">
        <v>308</v>
      </c>
      <c r="P65">
        <v>1.5174220515506411E-2</v>
      </c>
      <c r="Q65" t="s">
        <v>153</v>
      </c>
      <c r="S65" t="s">
        <v>247</v>
      </c>
      <c r="T65" t="s">
        <v>308</v>
      </c>
      <c r="U65">
        <v>1.3562944472062671E-2</v>
      </c>
      <c r="V65" t="s">
        <v>153</v>
      </c>
      <c r="AC65" t="s">
        <v>19</v>
      </c>
      <c r="AD65" t="s">
        <v>308</v>
      </c>
      <c r="AE65">
        <v>1.1860993392546496E-2</v>
      </c>
      <c r="AK65">
        <v>2035</v>
      </c>
      <c r="AL65" t="s">
        <v>148</v>
      </c>
      <c r="AM65">
        <v>0.20916000000000001</v>
      </c>
      <c r="AN65" t="s">
        <v>275</v>
      </c>
    </row>
    <row r="66" spans="9:40" x14ac:dyDescent="0.45">
      <c r="I66" t="s">
        <v>162</v>
      </c>
      <c r="J66" t="s">
        <v>309</v>
      </c>
      <c r="K66">
        <v>0</v>
      </c>
      <c r="L66" t="s">
        <v>153</v>
      </c>
      <c r="N66" t="s">
        <v>205</v>
      </c>
      <c r="O66" t="s">
        <v>309</v>
      </c>
      <c r="P66">
        <v>5.6000044233615417E-2</v>
      </c>
      <c r="Q66" t="s">
        <v>153</v>
      </c>
      <c r="S66" t="s">
        <v>247</v>
      </c>
      <c r="T66" t="s">
        <v>309</v>
      </c>
      <c r="U66">
        <v>6.4769413671771511E-2</v>
      </c>
      <c r="V66" t="s">
        <v>153</v>
      </c>
      <c r="AC66" t="s">
        <v>19</v>
      </c>
      <c r="AD66" t="s">
        <v>309</v>
      </c>
      <c r="AE66">
        <v>5.9175653993852752E-2</v>
      </c>
      <c r="AK66">
        <v>2035</v>
      </c>
      <c r="AL66" t="s">
        <v>292</v>
      </c>
      <c r="AM66">
        <v>0.38700000000000001</v>
      </c>
      <c r="AN66" t="s">
        <v>275</v>
      </c>
    </row>
    <row r="67" spans="9:40" x14ac:dyDescent="0.45">
      <c r="I67" t="s">
        <v>162</v>
      </c>
      <c r="J67" t="s">
        <v>294</v>
      </c>
      <c r="K67">
        <v>4.8191417915170032E-4</v>
      </c>
      <c r="L67" t="s">
        <v>153</v>
      </c>
      <c r="N67" t="s">
        <v>205</v>
      </c>
      <c r="O67" t="s">
        <v>294</v>
      </c>
      <c r="P67">
        <v>5.8319249514858611E-3</v>
      </c>
      <c r="Q67" t="s">
        <v>153</v>
      </c>
      <c r="S67" t="s">
        <v>247</v>
      </c>
      <c r="T67" t="s">
        <v>294</v>
      </c>
      <c r="U67">
        <v>2.2860329691944379E-2</v>
      </c>
      <c r="V67" t="s">
        <v>153</v>
      </c>
      <c r="AC67" t="s">
        <v>19</v>
      </c>
      <c r="AD67" t="s">
        <v>294</v>
      </c>
      <c r="AE67">
        <v>1.9579076789981942E-2</v>
      </c>
      <c r="AK67">
        <v>2036</v>
      </c>
      <c r="AL67" t="s">
        <v>142</v>
      </c>
      <c r="AM67">
        <v>0.35435</v>
      </c>
      <c r="AN67" t="s">
        <v>275</v>
      </c>
    </row>
    <row r="68" spans="9:40" x14ac:dyDescent="0.45">
      <c r="I68" t="s">
        <v>162</v>
      </c>
      <c r="J68" t="s">
        <v>295</v>
      </c>
      <c r="K68">
        <v>4.9618204781477744E-3</v>
      </c>
      <c r="L68" t="s">
        <v>153</v>
      </c>
      <c r="N68" t="s">
        <v>205</v>
      </c>
      <c r="O68" t="s">
        <v>295</v>
      </c>
      <c r="P68">
        <v>7.9749028844898809E-4</v>
      </c>
      <c r="Q68" t="s">
        <v>153</v>
      </c>
      <c r="S68" t="s">
        <v>247</v>
      </c>
      <c r="T68" t="s">
        <v>295</v>
      </c>
      <c r="U68">
        <v>3.4633416154902313E-3</v>
      </c>
      <c r="V68" t="s">
        <v>153</v>
      </c>
      <c r="AC68" t="s">
        <v>19</v>
      </c>
      <c r="AD68" t="s">
        <v>295</v>
      </c>
      <c r="AE68">
        <v>3.2711974069387431E-3</v>
      </c>
      <c r="AK68">
        <v>2036</v>
      </c>
      <c r="AL68" t="s">
        <v>146</v>
      </c>
      <c r="AM68">
        <v>5.000000000000001E-2</v>
      </c>
      <c r="AN68" t="s">
        <v>275</v>
      </c>
    </row>
    <row r="69" spans="9:40" x14ac:dyDescent="0.45">
      <c r="I69" t="s">
        <v>162</v>
      </c>
      <c r="J69" t="s">
        <v>296</v>
      </c>
      <c r="K69">
        <v>7.0999041235454904E-3</v>
      </c>
      <c r="L69" t="s">
        <v>153</v>
      </c>
      <c r="N69" t="s">
        <v>205</v>
      </c>
      <c r="O69" t="s">
        <v>296</v>
      </c>
      <c r="P69">
        <v>8.9628296688338378E-4</v>
      </c>
      <c r="Q69" t="s">
        <v>153</v>
      </c>
      <c r="S69" t="s">
        <v>247</v>
      </c>
      <c r="T69" t="s">
        <v>296</v>
      </c>
      <c r="U69">
        <v>3.3221382225240418E-3</v>
      </c>
      <c r="V69" t="s">
        <v>153</v>
      </c>
      <c r="AC69" t="s">
        <v>19</v>
      </c>
      <c r="AD69" t="s">
        <v>296</v>
      </c>
      <c r="AE69">
        <v>3.2838897594695375E-3</v>
      </c>
      <c r="AK69">
        <v>2036</v>
      </c>
      <c r="AL69" t="s">
        <v>148</v>
      </c>
      <c r="AM69">
        <v>0.11657999999999999</v>
      </c>
      <c r="AN69" t="s">
        <v>275</v>
      </c>
    </row>
    <row r="70" spans="9:40" x14ac:dyDescent="0.45">
      <c r="I70" t="s">
        <v>162</v>
      </c>
      <c r="J70" t="s">
        <v>297</v>
      </c>
      <c r="K70">
        <v>2.5915090165866905E-2</v>
      </c>
      <c r="L70" t="s">
        <v>153</v>
      </c>
      <c r="N70" t="s">
        <v>205</v>
      </c>
      <c r="O70" t="s">
        <v>297</v>
      </c>
      <c r="P70">
        <v>3.4862989504354865E-3</v>
      </c>
      <c r="Q70" t="s">
        <v>153</v>
      </c>
      <c r="S70" t="s">
        <v>247</v>
      </c>
      <c r="T70" t="s">
        <v>297</v>
      </c>
      <c r="U70">
        <v>9.5263563922219421E-3</v>
      </c>
      <c r="V70" t="s">
        <v>153</v>
      </c>
      <c r="AC70" t="s">
        <v>19</v>
      </c>
      <c r="AD70" t="s">
        <v>297</v>
      </c>
      <c r="AE70">
        <v>9.96437019351115E-3</v>
      </c>
      <c r="AK70">
        <v>2036</v>
      </c>
      <c r="AL70" t="s">
        <v>292</v>
      </c>
      <c r="AM70">
        <v>0.36870000000000003</v>
      </c>
      <c r="AN70" t="s">
        <v>275</v>
      </c>
    </row>
    <row r="71" spans="9:40" x14ac:dyDescent="0.45">
      <c r="I71" t="s">
        <v>162</v>
      </c>
      <c r="J71" t="s">
        <v>298</v>
      </c>
      <c r="K71">
        <v>4.816512518306932E-2</v>
      </c>
      <c r="L71" t="s">
        <v>153</v>
      </c>
      <c r="N71" t="s">
        <v>205</v>
      </c>
      <c r="O71" t="s">
        <v>298</v>
      </c>
      <c r="P71">
        <v>1.2464729086424072E-2</v>
      </c>
      <c r="Q71" t="s">
        <v>153</v>
      </c>
      <c r="S71" t="s">
        <v>247</v>
      </c>
      <c r="T71" t="s">
        <v>298</v>
      </c>
      <c r="U71">
        <v>2.27881380318684E-2</v>
      </c>
      <c r="V71" t="s">
        <v>153</v>
      </c>
      <c r="AC71" t="s">
        <v>19</v>
      </c>
      <c r="AD71" t="s">
        <v>298</v>
      </c>
      <c r="AE71">
        <v>2.0035779292407189E-2</v>
      </c>
      <c r="AK71">
        <v>2037</v>
      </c>
      <c r="AL71" t="s">
        <v>142</v>
      </c>
      <c r="AM71">
        <v>0.27431666666666665</v>
      </c>
      <c r="AN71" t="s">
        <v>275</v>
      </c>
    </row>
    <row r="72" spans="9:40" x14ac:dyDescent="0.45">
      <c r="I72" t="s">
        <v>162</v>
      </c>
      <c r="J72" t="s">
        <v>299</v>
      </c>
      <c r="K72">
        <v>5.6420162062908574E-3</v>
      </c>
      <c r="L72" t="s">
        <v>153</v>
      </c>
      <c r="N72" t="s">
        <v>205</v>
      </c>
      <c r="O72" t="s">
        <v>299</v>
      </c>
      <c r="P72">
        <v>3.6066119196902012E-3</v>
      </c>
      <c r="Q72" t="s">
        <v>153</v>
      </c>
      <c r="S72" t="s">
        <v>247</v>
      </c>
      <c r="T72" t="s">
        <v>299</v>
      </c>
      <c r="U72">
        <v>4.7554826463300105E-3</v>
      </c>
      <c r="V72" t="s">
        <v>153</v>
      </c>
      <c r="AC72" t="s">
        <v>19</v>
      </c>
      <c r="AD72" t="s">
        <v>299</v>
      </c>
      <c r="AE72">
        <v>3.3344668313535241E-3</v>
      </c>
      <c r="AK72">
        <v>2037</v>
      </c>
      <c r="AL72" t="s">
        <v>146</v>
      </c>
      <c r="AM72">
        <v>0.16340000000000002</v>
      </c>
      <c r="AN72" t="s">
        <v>275</v>
      </c>
    </row>
    <row r="73" spans="9:40" x14ac:dyDescent="0.45">
      <c r="I73" t="s">
        <v>162</v>
      </c>
      <c r="J73" t="s">
        <v>310</v>
      </c>
      <c r="K73">
        <v>3.6077342811471724E-3</v>
      </c>
      <c r="L73" t="s">
        <v>153</v>
      </c>
      <c r="N73" t="s">
        <v>205</v>
      </c>
      <c r="O73" t="s">
        <v>310</v>
      </c>
      <c r="P73">
        <v>4.1197019908733026E-3</v>
      </c>
      <c r="Q73" t="s">
        <v>153</v>
      </c>
      <c r="S73" t="s">
        <v>247</v>
      </c>
      <c r="T73" t="s">
        <v>310</v>
      </c>
      <c r="U73">
        <v>4.8401160656559444E-3</v>
      </c>
      <c r="V73" t="s">
        <v>153</v>
      </c>
      <c r="AC73" t="s">
        <v>19</v>
      </c>
      <c r="AD73" t="s">
        <v>310</v>
      </c>
      <c r="AE73">
        <v>3.337559168402639E-3</v>
      </c>
      <c r="AK73">
        <v>2037</v>
      </c>
      <c r="AL73" t="s">
        <v>148</v>
      </c>
      <c r="AM73">
        <v>0.16541999999999998</v>
      </c>
      <c r="AN73" t="s">
        <v>275</v>
      </c>
    </row>
    <row r="74" spans="9:40" x14ac:dyDescent="0.45">
      <c r="I74" t="s">
        <v>162</v>
      </c>
      <c r="J74" t="s">
        <v>311</v>
      </c>
      <c r="K74">
        <v>0</v>
      </c>
      <c r="L74" t="s">
        <v>153</v>
      </c>
      <c r="N74" t="s">
        <v>205</v>
      </c>
      <c r="O74" t="s">
        <v>311</v>
      </c>
      <c r="P74">
        <v>1.5408985306081898E-2</v>
      </c>
      <c r="Q74" t="s">
        <v>153</v>
      </c>
      <c r="S74" t="s">
        <v>247</v>
      </c>
      <c r="T74" t="s">
        <v>311</v>
      </c>
      <c r="U74">
        <v>2.3540484864155505E-2</v>
      </c>
      <c r="V74" t="s">
        <v>153</v>
      </c>
      <c r="AC74" t="s">
        <v>19</v>
      </c>
      <c r="AD74" t="s">
        <v>311</v>
      </c>
      <c r="AE74">
        <v>1.6650859578281659E-2</v>
      </c>
      <c r="AK74">
        <v>2037</v>
      </c>
      <c r="AL74" t="s">
        <v>292</v>
      </c>
      <c r="AM74">
        <v>0.28889999999999999</v>
      </c>
      <c r="AN74" t="s">
        <v>275</v>
      </c>
    </row>
    <row r="75" spans="9:40" x14ac:dyDescent="0.45">
      <c r="I75" t="s">
        <v>163</v>
      </c>
      <c r="J75" t="s">
        <v>152</v>
      </c>
      <c r="K75">
        <v>0</v>
      </c>
      <c r="L75" t="s">
        <v>153</v>
      </c>
      <c r="N75" t="s">
        <v>206</v>
      </c>
      <c r="O75" t="s">
        <v>152</v>
      </c>
      <c r="P75">
        <v>9.0455534427804171E-2</v>
      </c>
      <c r="Q75" t="s">
        <v>153</v>
      </c>
      <c r="S75" t="s">
        <v>248</v>
      </c>
      <c r="T75" t="s">
        <v>152</v>
      </c>
      <c r="U75">
        <v>0.1049484506629183</v>
      </c>
      <c r="V75" t="s">
        <v>153</v>
      </c>
      <c r="AK75">
        <v>2038</v>
      </c>
      <c r="AL75" t="s">
        <v>142</v>
      </c>
      <c r="AM75">
        <v>0.27021666666666672</v>
      </c>
      <c r="AN75" t="s">
        <v>275</v>
      </c>
    </row>
    <row r="76" spans="9:40" x14ac:dyDescent="0.45">
      <c r="I76" t="s">
        <v>163</v>
      </c>
      <c r="J76" t="s">
        <v>154</v>
      </c>
      <c r="K76">
        <v>1.2346697995919561E-2</v>
      </c>
      <c r="L76" t="s">
        <v>153</v>
      </c>
      <c r="N76" t="s">
        <v>206</v>
      </c>
      <c r="O76" t="s">
        <v>154</v>
      </c>
      <c r="P76">
        <v>1.1887897706879046E-2</v>
      </c>
      <c r="Q76" t="s">
        <v>153</v>
      </c>
      <c r="S76" t="s">
        <v>248</v>
      </c>
      <c r="T76" t="s">
        <v>154</v>
      </c>
      <c r="U76">
        <v>1.490752548055211E-2</v>
      </c>
      <c r="V76" t="s">
        <v>153</v>
      </c>
      <c r="AK76">
        <v>2038</v>
      </c>
      <c r="AL76" t="s">
        <v>146</v>
      </c>
      <c r="AM76">
        <v>5.000000000000001E-2</v>
      </c>
      <c r="AN76" t="s">
        <v>275</v>
      </c>
    </row>
    <row r="77" spans="9:40" x14ac:dyDescent="0.45">
      <c r="I77" t="s">
        <v>163</v>
      </c>
      <c r="J77" t="s">
        <v>155</v>
      </c>
      <c r="K77">
        <v>3.2273783151247452E-2</v>
      </c>
      <c r="L77" t="s">
        <v>153</v>
      </c>
      <c r="N77" t="s">
        <v>206</v>
      </c>
      <c r="O77" t="s">
        <v>155</v>
      </c>
      <c r="P77">
        <v>1.1315861445349296E-2</v>
      </c>
      <c r="Q77" t="s">
        <v>153</v>
      </c>
      <c r="S77" t="s">
        <v>248</v>
      </c>
      <c r="T77" t="s">
        <v>155</v>
      </c>
      <c r="U77">
        <v>1.4269062396207087E-2</v>
      </c>
      <c r="V77" t="s">
        <v>153</v>
      </c>
      <c r="AK77">
        <v>2038</v>
      </c>
      <c r="AL77" t="s">
        <v>148</v>
      </c>
      <c r="AM77">
        <v>0.13204000000000002</v>
      </c>
      <c r="AN77" t="s">
        <v>275</v>
      </c>
    </row>
    <row r="78" spans="9:40" x14ac:dyDescent="0.45">
      <c r="I78" t="s">
        <v>163</v>
      </c>
      <c r="J78" t="s">
        <v>280</v>
      </c>
      <c r="K78">
        <v>0.12202761806185129</v>
      </c>
      <c r="L78" t="s">
        <v>153</v>
      </c>
      <c r="N78" t="s">
        <v>206</v>
      </c>
      <c r="O78" t="s">
        <v>280</v>
      </c>
      <c r="P78">
        <v>3.7768760884653814E-2</v>
      </c>
      <c r="Q78" t="s">
        <v>153</v>
      </c>
      <c r="S78" t="s">
        <v>248</v>
      </c>
      <c r="T78" t="s">
        <v>280</v>
      </c>
      <c r="U78">
        <v>4.0689244338389267E-2</v>
      </c>
      <c r="V78" t="s">
        <v>153</v>
      </c>
      <c r="AK78">
        <v>2038</v>
      </c>
      <c r="AL78" t="s">
        <v>292</v>
      </c>
      <c r="AM78">
        <v>0.20250000000000001</v>
      </c>
      <c r="AN78" t="s">
        <v>275</v>
      </c>
    </row>
    <row r="79" spans="9:40" x14ac:dyDescent="0.45">
      <c r="I79" t="s">
        <v>163</v>
      </c>
      <c r="J79" t="s">
        <v>281</v>
      </c>
      <c r="K79">
        <v>0.2473888059887086</v>
      </c>
      <c r="L79" t="s">
        <v>153</v>
      </c>
      <c r="N79" t="s">
        <v>206</v>
      </c>
      <c r="O79" t="s">
        <v>281</v>
      </c>
      <c r="P79">
        <v>0.12717249112750148</v>
      </c>
      <c r="Q79" t="s">
        <v>153</v>
      </c>
      <c r="S79" t="s">
        <v>248</v>
      </c>
      <c r="T79" t="s">
        <v>281</v>
      </c>
      <c r="U79">
        <v>0.12621631140212741</v>
      </c>
      <c r="V79" t="s">
        <v>153</v>
      </c>
      <c r="AK79">
        <v>2039</v>
      </c>
      <c r="AL79" t="s">
        <v>142</v>
      </c>
      <c r="AM79">
        <v>0.33373333333333327</v>
      </c>
      <c r="AN79" t="s">
        <v>275</v>
      </c>
    </row>
    <row r="80" spans="9:40" x14ac:dyDescent="0.45">
      <c r="I80" t="s">
        <v>163</v>
      </c>
      <c r="J80" t="s">
        <v>282</v>
      </c>
      <c r="K80">
        <v>2.7184443758730754E-2</v>
      </c>
      <c r="L80" t="s">
        <v>153</v>
      </c>
      <c r="N80" t="s">
        <v>206</v>
      </c>
      <c r="O80" t="s">
        <v>282</v>
      </c>
      <c r="P80">
        <v>2.817551059413376E-2</v>
      </c>
      <c r="Q80" t="s">
        <v>153</v>
      </c>
      <c r="S80" t="s">
        <v>248</v>
      </c>
      <c r="T80" t="s">
        <v>282</v>
      </c>
      <c r="U80">
        <v>2.7402449770087878E-2</v>
      </c>
      <c r="V80" t="s">
        <v>153</v>
      </c>
      <c r="AK80">
        <v>2039</v>
      </c>
      <c r="AL80" t="s">
        <v>146</v>
      </c>
      <c r="AM80">
        <v>0.11126666666666667</v>
      </c>
      <c r="AN80" t="s">
        <v>275</v>
      </c>
    </row>
    <row r="81" spans="9:40" x14ac:dyDescent="0.45">
      <c r="I81" t="s">
        <v>163</v>
      </c>
      <c r="J81" t="s">
        <v>304</v>
      </c>
      <c r="K81">
        <v>1.3827900235546524E-2</v>
      </c>
      <c r="L81" t="s">
        <v>153</v>
      </c>
      <c r="N81" t="s">
        <v>206</v>
      </c>
      <c r="O81" t="s">
        <v>304</v>
      </c>
      <c r="P81">
        <v>2.8258286492762647E-2</v>
      </c>
      <c r="Q81" t="s">
        <v>153</v>
      </c>
      <c r="S81" t="s">
        <v>248</v>
      </c>
      <c r="T81" t="s">
        <v>304</v>
      </c>
      <c r="U81">
        <v>2.7603719448234934E-2</v>
      </c>
      <c r="V81" t="s">
        <v>153</v>
      </c>
      <c r="AK81">
        <v>2039</v>
      </c>
      <c r="AL81" t="s">
        <v>148</v>
      </c>
      <c r="AM81">
        <v>9.6360000000000001E-2</v>
      </c>
      <c r="AN81" t="s">
        <v>275</v>
      </c>
    </row>
    <row r="82" spans="9:40" x14ac:dyDescent="0.45">
      <c r="I82" t="s">
        <v>163</v>
      </c>
      <c r="J82" t="s">
        <v>305</v>
      </c>
      <c r="K82">
        <v>2.1109702662603328E-5</v>
      </c>
      <c r="L82" t="s">
        <v>153</v>
      </c>
      <c r="N82" t="s">
        <v>206</v>
      </c>
      <c r="O82" t="s">
        <v>305</v>
      </c>
      <c r="P82">
        <v>0.11837206227748066</v>
      </c>
      <c r="Q82" t="s">
        <v>153</v>
      </c>
      <c r="S82" t="s">
        <v>248</v>
      </c>
      <c r="T82" t="s">
        <v>305</v>
      </c>
      <c r="U82">
        <v>0.12185262105027732</v>
      </c>
      <c r="V82" t="s">
        <v>153</v>
      </c>
      <c r="AK82">
        <v>2039</v>
      </c>
      <c r="AL82" t="s">
        <v>292</v>
      </c>
      <c r="AM82">
        <v>0.13009999999999999</v>
      </c>
      <c r="AN82" t="s">
        <v>275</v>
      </c>
    </row>
    <row r="83" spans="9:40" x14ac:dyDescent="0.45">
      <c r="I83" t="s">
        <v>163</v>
      </c>
      <c r="J83" t="s">
        <v>156</v>
      </c>
      <c r="K83">
        <v>0</v>
      </c>
      <c r="L83" t="s">
        <v>153</v>
      </c>
      <c r="N83" t="s">
        <v>206</v>
      </c>
      <c r="O83" t="s">
        <v>156</v>
      </c>
      <c r="P83">
        <v>3.5210957058433225E-2</v>
      </c>
      <c r="Q83" t="s">
        <v>153</v>
      </c>
      <c r="S83" t="s">
        <v>248</v>
      </c>
      <c r="T83" t="s">
        <v>156</v>
      </c>
      <c r="U83">
        <v>3.4797499022592611E-2</v>
      </c>
      <c r="V83" t="s">
        <v>153</v>
      </c>
      <c r="AK83">
        <v>2040</v>
      </c>
      <c r="AL83" t="s">
        <v>142</v>
      </c>
      <c r="AM83">
        <v>0.36719999999999997</v>
      </c>
      <c r="AN83" t="s">
        <v>275</v>
      </c>
    </row>
    <row r="84" spans="9:40" x14ac:dyDescent="0.45">
      <c r="I84" t="s">
        <v>163</v>
      </c>
      <c r="J84" t="s">
        <v>157</v>
      </c>
      <c r="K84">
        <v>0</v>
      </c>
      <c r="L84" t="s">
        <v>153</v>
      </c>
      <c r="N84" t="s">
        <v>206</v>
      </c>
      <c r="O84" t="s">
        <v>157</v>
      </c>
      <c r="P84">
        <v>5.8411372833545331E-3</v>
      </c>
      <c r="Q84" t="s">
        <v>153</v>
      </c>
      <c r="S84" t="s">
        <v>248</v>
      </c>
      <c r="T84" t="s">
        <v>157</v>
      </c>
      <c r="U84">
        <v>5.7851049891348627E-3</v>
      </c>
      <c r="V84" t="s">
        <v>153</v>
      </c>
      <c r="AK84">
        <v>2040</v>
      </c>
      <c r="AL84" t="s">
        <v>146</v>
      </c>
      <c r="AM84">
        <v>0.1704</v>
      </c>
      <c r="AN84" t="s">
        <v>275</v>
      </c>
    </row>
    <row r="85" spans="9:40" x14ac:dyDescent="0.45">
      <c r="I85" t="s">
        <v>163</v>
      </c>
      <c r="J85" t="s">
        <v>158</v>
      </c>
      <c r="K85">
        <v>4.9623287344637262E-3</v>
      </c>
      <c r="L85" t="s">
        <v>153</v>
      </c>
      <c r="N85" t="s">
        <v>206</v>
      </c>
      <c r="O85" t="s">
        <v>158</v>
      </c>
      <c r="P85">
        <v>5.9395216550687229E-3</v>
      </c>
      <c r="Q85" t="s">
        <v>153</v>
      </c>
      <c r="S85" t="s">
        <v>248</v>
      </c>
      <c r="T85" t="s">
        <v>158</v>
      </c>
      <c r="U85">
        <v>5.7564051161966877E-3</v>
      </c>
      <c r="V85" t="s">
        <v>153</v>
      </c>
      <c r="AK85">
        <v>2040</v>
      </c>
      <c r="AL85" t="s">
        <v>148</v>
      </c>
      <c r="AM85">
        <v>0.21082000000000001</v>
      </c>
      <c r="AN85" t="s">
        <v>275</v>
      </c>
    </row>
    <row r="86" spans="9:40" x14ac:dyDescent="0.45">
      <c r="I86" t="s">
        <v>163</v>
      </c>
      <c r="J86" t="s">
        <v>283</v>
      </c>
      <c r="K86">
        <v>3.1612955241021576E-2</v>
      </c>
      <c r="L86" t="s">
        <v>153</v>
      </c>
      <c r="N86" t="s">
        <v>206</v>
      </c>
      <c r="O86" t="s">
        <v>283</v>
      </c>
      <c r="P86">
        <v>2.0031189899127635E-2</v>
      </c>
      <c r="Q86" t="s">
        <v>153</v>
      </c>
      <c r="S86" t="s">
        <v>248</v>
      </c>
      <c r="T86" t="s">
        <v>283</v>
      </c>
      <c r="U86">
        <v>1.717244748538933E-2</v>
      </c>
      <c r="V86" t="s">
        <v>153</v>
      </c>
      <c r="AK86">
        <v>2040</v>
      </c>
      <c r="AL86" t="s">
        <v>292</v>
      </c>
      <c r="AM86">
        <v>0.39600000000000002</v>
      </c>
      <c r="AN86" t="s">
        <v>275</v>
      </c>
    </row>
    <row r="87" spans="9:40" x14ac:dyDescent="0.45">
      <c r="I87" t="s">
        <v>163</v>
      </c>
      <c r="J87" t="s">
        <v>284</v>
      </c>
      <c r="K87">
        <v>6.967374580736943E-2</v>
      </c>
      <c r="L87" t="s">
        <v>153</v>
      </c>
      <c r="N87" t="s">
        <v>206</v>
      </c>
      <c r="O87" t="s">
        <v>284</v>
      </c>
      <c r="P87">
        <v>6.0109447820178567E-2</v>
      </c>
      <c r="Q87" t="s">
        <v>153</v>
      </c>
      <c r="S87" t="s">
        <v>248</v>
      </c>
      <c r="T87" t="s">
        <v>284</v>
      </c>
      <c r="U87">
        <v>3.3450663913758366E-2</v>
      </c>
      <c r="V87" t="s">
        <v>153</v>
      </c>
      <c r="AK87">
        <v>2041</v>
      </c>
      <c r="AL87" t="s">
        <v>142</v>
      </c>
      <c r="AM87">
        <v>0.28056666666666669</v>
      </c>
      <c r="AN87" t="s">
        <v>275</v>
      </c>
    </row>
    <row r="88" spans="9:40" x14ac:dyDescent="0.45">
      <c r="I88" t="s">
        <v>163</v>
      </c>
      <c r="J88" t="s">
        <v>285</v>
      </c>
      <c r="K88">
        <v>6.1801441852621219E-3</v>
      </c>
      <c r="L88" t="s">
        <v>153</v>
      </c>
      <c r="N88" t="s">
        <v>206</v>
      </c>
      <c r="O88" t="s">
        <v>285</v>
      </c>
      <c r="P88">
        <v>8.0910376005676517E-3</v>
      </c>
      <c r="Q88" t="s">
        <v>153</v>
      </c>
      <c r="S88" t="s">
        <v>248</v>
      </c>
      <c r="T88" t="s">
        <v>285</v>
      </c>
      <c r="U88">
        <v>6.3967619415165357E-3</v>
      </c>
      <c r="V88" t="s">
        <v>153</v>
      </c>
      <c r="AK88">
        <v>2041</v>
      </c>
      <c r="AL88" t="s">
        <v>146</v>
      </c>
      <c r="AM88">
        <v>0.12449999999999999</v>
      </c>
      <c r="AN88" t="s">
        <v>275</v>
      </c>
    </row>
    <row r="89" spans="9:40" x14ac:dyDescent="0.45">
      <c r="I89" t="s">
        <v>163</v>
      </c>
      <c r="J89" t="s">
        <v>306</v>
      </c>
      <c r="K89">
        <v>0</v>
      </c>
      <c r="L89" t="s">
        <v>153</v>
      </c>
      <c r="N89" t="s">
        <v>206</v>
      </c>
      <c r="O89" t="s">
        <v>306</v>
      </c>
      <c r="P89">
        <v>7.1694303296047836E-3</v>
      </c>
      <c r="Q89" t="s">
        <v>153</v>
      </c>
      <c r="S89" t="s">
        <v>248</v>
      </c>
      <c r="T89" t="s">
        <v>306</v>
      </c>
      <c r="U89">
        <v>6.5031987318958998E-3</v>
      </c>
      <c r="V89" t="s">
        <v>153</v>
      </c>
      <c r="AK89">
        <v>2041</v>
      </c>
      <c r="AL89" t="s">
        <v>148</v>
      </c>
      <c r="AM89">
        <v>0.21038000000000001</v>
      </c>
      <c r="AN89" t="s">
        <v>275</v>
      </c>
    </row>
    <row r="90" spans="9:40" x14ac:dyDescent="0.45">
      <c r="I90" t="s">
        <v>163</v>
      </c>
      <c r="J90" t="s">
        <v>307</v>
      </c>
      <c r="K90">
        <v>0</v>
      </c>
      <c r="L90" t="s">
        <v>153</v>
      </c>
      <c r="N90" t="s">
        <v>206</v>
      </c>
      <c r="O90" t="s">
        <v>307</v>
      </c>
      <c r="P90">
        <v>3.1626104222045932E-2</v>
      </c>
      <c r="Q90" t="s">
        <v>153</v>
      </c>
      <c r="S90" t="s">
        <v>248</v>
      </c>
      <c r="T90" t="s">
        <v>307</v>
      </c>
      <c r="U90">
        <v>3.1343109936264678E-2</v>
      </c>
      <c r="V90" t="s">
        <v>153</v>
      </c>
      <c r="AK90">
        <v>2041</v>
      </c>
      <c r="AL90" t="s">
        <v>292</v>
      </c>
      <c r="AM90">
        <v>0.2999</v>
      </c>
      <c r="AN90" t="s">
        <v>275</v>
      </c>
    </row>
    <row r="91" spans="9:40" x14ac:dyDescent="0.45">
      <c r="I91" t="s">
        <v>163</v>
      </c>
      <c r="J91" t="s">
        <v>159</v>
      </c>
      <c r="K91">
        <v>2.2641638376430387E-3</v>
      </c>
      <c r="L91" t="s">
        <v>153</v>
      </c>
      <c r="N91" t="s">
        <v>206</v>
      </c>
      <c r="O91" t="s">
        <v>159</v>
      </c>
      <c r="P91">
        <v>5.6107661233941196E-2</v>
      </c>
      <c r="Q91" t="s">
        <v>153</v>
      </c>
      <c r="S91" t="s">
        <v>248</v>
      </c>
      <c r="T91" t="s">
        <v>159</v>
      </c>
      <c r="U91">
        <v>6.3053219374449271E-2</v>
      </c>
      <c r="V91" t="s">
        <v>153</v>
      </c>
      <c r="AK91">
        <v>2042</v>
      </c>
      <c r="AL91" t="s">
        <v>142</v>
      </c>
      <c r="AM91">
        <v>0.24938333333333337</v>
      </c>
      <c r="AN91" t="s">
        <v>275</v>
      </c>
    </row>
    <row r="92" spans="9:40" x14ac:dyDescent="0.45">
      <c r="I92" t="s">
        <v>163</v>
      </c>
      <c r="J92" t="s">
        <v>160</v>
      </c>
      <c r="K92">
        <v>1.4092402835545125E-2</v>
      </c>
      <c r="L92" t="s">
        <v>153</v>
      </c>
      <c r="N92" t="s">
        <v>206</v>
      </c>
      <c r="O92" t="s">
        <v>160</v>
      </c>
      <c r="P92">
        <v>7.9474829625583894E-3</v>
      </c>
      <c r="Q92" t="s">
        <v>153</v>
      </c>
      <c r="S92" t="s">
        <v>248</v>
      </c>
      <c r="T92" t="s">
        <v>160</v>
      </c>
      <c r="U92">
        <v>9.218971933580386E-3</v>
      </c>
      <c r="V92" t="s">
        <v>153</v>
      </c>
      <c r="AK92">
        <v>2042</v>
      </c>
      <c r="AL92" t="s">
        <v>146</v>
      </c>
      <c r="AM92">
        <v>8.4766666666666657E-2</v>
      </c>
      <c r="AN92" t="s">
        <v>275</v>
      </c>
    </row>
    <row r="93" spans="9:40" x14ac:dyDescent="0.45">
      <c r="I93" t="s">
        <v>163</v>
      </c>
      <c r="J93" t="s">
        <v>161</v>
      </c>
      <c r="K93">
        <v>2.4133695441740904E-2</v>
      </c>
      <c r="L93" t="s">
        <v>153</v>
      </c>
      <c r="N93" t="s">
        <v>206</v>
      </c>
      <c r="O93" t="s">
        <v>161</v>
      </c>
      <c r="P93">
        <v>8.1063767549509266E-3</v>
      </c>
      <c r="Q93" t="s">
        <v>153</v>
      </c>
      <c r="S93" t="s">
        <v>248</v>
      </c>
      <c r="T93" t="s">
        <v>161</v>
      </c>
      <c r="U93">
        <v>8.6141665288313411E-3</v>
      </c>
      <c r="V93" t="s">
        <v>153</v>
      </c>
      <c r="AK93">
        <v>2042</v>
      </c>
      <c r="AL93" t="s">
        <v>148</v>
      </c>
      <c r="AM93">
        <v>0.22286</v>
      </c>
      <c r="AN93" t="s">
        <v>275</v>
      </c>
    </row>
    <row r="94" spans="9:40" x14ac:dyDescent="0.45">
      <c r="I94" t="s">
        <v>163</v>
      </c>
      <c r="J94" t="s">
        <v>286</v>
      </c>
      <c r="K94">
        <v>8.6562937094341402E-2</v>
      </c>
      <c r="L94" t="s">
        <v>153</v>
      </c>
      <c r="N94" t="s">
        <v>206</v>
      </c>
      <c r="O94" t="s">
        <v>286</v>
      </c>
      <c r="P94">
        <v>2.8426752812576447E-2</v>
      </c>
      <c r="Q94" t="s">
        <v>153</v>
      </c>
      <c r="S94" t="s">
        <v>248</v>
      </c>
      <c r="T94" t="s">
        <v>286</v>
      </c>
      <c r="U94">
        <v>2.4869489142092839E-2</v>
      </c>
      <c r="V94" t="s">
        <v>153</v>
      </c>
      <c r="AK94">
        <v>2042</v>
      </c>
      <c r="AL94" t="s">
        <v>292</v>
      </c>
      <c r="AM94">
        <v>0.37259999999999999</v>
      </c>
      <c r="AN94" t="s">
        <v>275</v>
      </c>
    </row>
    <row r="95" spans="9:40" x14ac:dyDescent="0.45">
      <c r="I95" t="s">
        <v>163</v>
      </c>
      <c r="J95" t="s">
        <v>287</v>
      </c>
      <c r="K95">
        <v>0.17270367660196925</v>
      </c>
      <c r="L95" t="s">
        <v>153</v>
      </c>
      <c r="N95" t="s">
        <v>206</v>
      </c>
      <c r="O95" t="s">
        <v>287</v>
      </c>
      <c r="P95">
        <v>8.7164068761446292E-2</v>
      </c>
      <c r="Q95" t="s">
        <v>153</v>
      </c>
      <c r="S95" t="s">
        <v>248</v>
      </c>
      <c r="T95" t="s">
        <v>287</v>
      </c>
      <c r="U95">
        <v>8.3136130247555076E-2</v>
      </c>
      <c r="V95" t="s">
        <v>153</v>
      </c>
      <c r="AK95">
        <v>2043</v>
      </c>
      <c r="AL95" t="s">
        <v>142</v>
      </c>
      <c r="AM95">
        <v>0.37969999999999998</v>
      </c>
      <c r="AN95" t="s">
        <v>275</v>
      </c>
    </row>
    <row r="96" spans="9:40" x14ac:dyDescent="0.45">
      <c r="I96" t="s">
        <v>163</v>
      </c>
      <c r="J96" t="s">
        <v>288</v>
      </c>
      <c r="K96">
        <v>2.0010726692847494E-2</v>
      </c>
      <c r="L96" t="s">
        <v>153</v>
      </c>
      <c r="N96" t="s">
        <v>206</v>
      </c>
      <c r="O96" t="s">
        <v>288</v>
      </c>
      <c r="P96">
        <v>1.6543729516193543E-2</v>
      </c>
      <c r="Q96" t="s">
        <v>153</v>
      </c>
      <c r="S96" t="s">
        <v>248</v>
      </c>
      <c r="T96" t="s">
        <v>288</v>
      </c>
      <c r="U96">
        <v>1.7551868741520957E-2</v>
      </c>
      <c r="V96" t="s">
        <v>153</v>
      </c>
      <c r="AK96">
        <v>2043</v>
      </c>
      <c r="AL96" t="s">
        <v>146</v>
      </c>
      <c r="AM96">
        <v>0.10609999999999999</v>
      </c>
      <c r="AN96" t="s">
        <v>275</v>
      </c>
    </row>
    <row r="97" spans="9:40" x14ac:dyDescent="0.45">
      <c r="I97" t="s">
        <v>163</v>
      </c>
      <c r="J97" t="s">
        <v>308</v>
      </c>
      <c r="K97">
        <v>6.2646217279922912E-3</v>
      </c>
      <c r="L97" t="s">
        <v>153</v>
      </c>
      <c r="N97" t="s">
        <v>206</v>
      </c>
      <c r="O97" t="s">
        <v>308</v>
      </c>
      <c r="P97">
        <v>1.5574658529152168E-2</v>
      </c>
      <c r="Q97" t="s">
        <v>153</v>
      </c>
      <c r="S97" t="s">
        <v>248</v>
      </c>
      <c r="T97" t="s">
        <v>308</v>
      </c>
      <c r="U97">
        <v>1.7134921840495945E-2</v>
      </c>
      <c r="V97" t="s">
        <v>153</v>
      </c>
      <c r="AK97">
        <v>2043</v>
      </c>
      <c r="AL97" t="s">
        <v>148</v>
      </c>
      <c r="AM97">
        <v>0.11499999999999999</v>
      </c>
      <c r="AN97" t="s">
        <v>275</v>
      </c>
    </row>
    <row r="98" spans="9:40" x14ac:dyDescent="0.45">
      <c r="I98" t="s">
        <v>163</v>
      </c>
      <c r="J98" t="s">
        <v>309</v>
      </c>
      <c r="K98">
        <v>0</v>
      </c>
      <c r="L98" t="s">
        <v>153</v>
      </c>
      <c r="N98" t="s">
        <v>206</v>
      </c>
      <c r="O98" t="s">
        <v>309</v>
      </c>
      <c r="P98">
        <v>6.5589428141967096E-2</v>
      </c>
      <c r="Q98" t="s">
        <v>153</v>
      </c>
      <c r="S98" t="s">
        <v>248</v>
      </c>
      <c r="T98" t="s">
        <v>309</v>
      </c>
      <c r="U98">
        <v>7.0871955812795456E-2</v>
      </c>
      <c r="V98" t="s">
        <v>153</v>
      </c>
      <c r="AK98">
        <v>2043</v>
      </c>
      <c r="AL98" t="s">
        <v>292</v>
      </c>
      <c r="AM98">
        <v>0.16059999999999999</v>
      </c>
      <c r="AN98" t="s">
        <v>275</v>
      </c>
    </row>
    <row r="99" spans="9:40" x14ac:dyDescent="0.45">
      <c r="I99" t="s">
        <v>163</v>
      </c>
      <c r="J99" t="s">
        <v>294</v>
      </c>
      <c r="K99">
        <v>2.1893645938562E-3</v>
      </c>
      <c r="L99" t="s">
        <v>153</v>
      </c>
      <c r="N99" t="s">
        <v>206</v>
      </c>
      <c r="O99" t="s">
        <v>294</v>
      </c>
      <c r="P99">
        <v>1.6783373067652776E-2</v>
      </c>
      <c r="Q99" t="s">
        <v>153</v>
      </c>
      <c r="S99" t="s">
        <v>248</v>
      </c>
      <c r="T99" t="s">
        <v>294</v>
      </c>
      <c r="U99">
        <v>1.8010525556378745E-2</v>
      </c>
      <c r="V99" t="s">
        <v>153</v>
      </c>
      <c r="AK99">
        <v>2044</v>
      </c>
      <c r="AL99" t="s">
        <v>142</v>
      </c>
      <c r="AM99">
        <v>0.24704999999999999</v>
      </c>
      <c r="AN99" t="s">
        <v>275</v>
      </c>
    </row>
    <row r="100" spans="9:40" x14ac:dyDescent="0.45">
      <c r="I100" t="s">
        <v>163</v>
      </c>
      <c r="J100" t="s">
        <v>295</v>
      </c>
      <c r="K100">
        <v>5.8352445709922715E-3</v>
      </c>
      <c r="L100" t="s">
        <v>153</v>
      </c>
      <c r="N100" t="s">
        <v>206</v>
      </c>
      <c r="O100" t="s">
        <v>295</v>
      </c>
      <c r="P100">
        <v>1.6216032408593671E-3</v>
      </c>
      <c r="Q100" t="s">
        <v>153</v>
      </c>
      <c r="S100" t="s">
        <v>248</v>
      </c>
      <c r="T100" t="s">
        <v>295</v>
      </c>
      <c r="U100">
        <v>2.0247947171144615E-3</v>
      </c>
      <c r="V100" t="s">
        <v>153</v>
      </c>
      <c r="AK100">
        <v>2044</v>
      </c>
      <c r="AL100" t="s">
        <v>146</v>
      </c>
      <c r="AM100">
        <v>0.20493333333333333</v>
      </c>
      <c r="AN100" t="s">
        <v>275</v>
      </c>
    </row>
    <row r="101" spans="9:40" x14ac:dyDescent="0.45">
      <c r="I101" t="s">
        <v>163</v>
      </c>
      <c r="J101" t="s">
        <v>296</v>
      </c>
      <c r="K101">
        <v>7.955821470404972E-3</v>
      </c>
      <c r="L101" t="s">
        <v>153</v>
      </c>
      <c r="N101" t="s">
        <v>206</v>
      </c>
      <c r="O101" t="s">
        <v>296</v>
      </c>
      <c r="P101">
        <v>1.6594893371979389E-3</v>
      </c>
      <c r="Q101" t="s">
        <v>153</v>
      </c>
      <c r="S101" t="s">
        <v>248</v>
      </c>
      <c r="T101" t="s">
        <v>296</v>
      </c>
      <c r="U101">
        <v>1.817428808851877E-3</v>
      </c>
      <c r="V101" t="s">
        <v>153</v>
      </c>
      <c r="AK101">
        <v>2044</v>
      </c>
      <c r="AL101" t="s">
        <v>148</v>
      </c>
      <c r="AM101">
        <v>0.17626000000000003</v>
      </c>
      <c r="AN101" t="s">
        <v>275</v>
      </c>
    </row>
    <row r="102" spans="9:40" x14ac:dyDescent="0.45">
      <c r="I102" t="s">
        <v>163</v>
      </c>
      <c r="J102" t="s">
        <v>297</v>
      </c>
      <c r="K102">
        <v>2.785359145850947E-2</v>
      </c>
      <c r="L102" t="s">
        <v>153</v>
      </c>
      <c r="N102" t="s">
        <v>206</v>
      </c>
      <c r="O102" t="s">
        <v>297</v>
      </c>
      <c r="P102">
        <v>5.5108284587395582E-3</v>
      </c>
      <c r="Q102" t="s">
        <v>153</v>
      </c>
      <c r="S102" t="s">
        <v>248</v>
      </c>
      <c r="T102" t="s">
        <v>297</v>
      </c>
      <c r="U102">
        <v>5.3396580731975328E-3</v>
      </c>
      <c r="V102" t="s">
        <v>153</v>
      </c>
      <c r="AK102">
        <v>2044</v>
      </c>
      <c r="AL102" t="s">
        <v>292</v>
      </c>
      <c r="AM102">
        <v>0.1706</v>
      </c>
      <c r="AN102" t="s">
        <v>275</v>
      </c>
    </row>
    <row r="103" spans="9:40" x14ac:dyDescent="0.45">
      <c r="I103" t="s">
        <v>163</v>
      </c>
      <c r="J103" t="s">
        <v>298</v>
      </c>
      <c r="K103">
        <v>5.2023251500078561E-2</v>
      </c>
      <c r="L103" t="s">
        <v>153</v>
      </c>
      <c r="N103" t="s">
        <v>206</v>
      </c>
      <c r="O103" t="s">
        <v>298</v>
      </c>
      <c r="P103">
        <v>2.083568771130714E-2</v>
      </c>
      <c r="Q103" t="s">
        <v>153</v>
      </c>
      <c r="S103" t="s">
        <v>248</v>
      </c>
      <c r="T103" t="s">
        <v>298</v>
      </c>
      <c r="U103">
        <v>2.5007998116693995E-2</v>
      </c>
      <c r="V103" t="s">
        <v>153</v>
      </c>
      <c r="AK103">
        <v>2045</v>
      </c>
      <c r="AL103" t="s">
        <v>142</v>
      </c>
      <c r="AM103">
        <v>0.30990000000000001</v>
      </c>
      <c r="AN103" t="s">
        <v>275</v>
      </c>
    </row>
    <row r="104" spans="9:40" x14ac:dyDescent="0.45">
      <c r="I104" t="s">
        <v>163</v>
      </c>
      <c r="J104" t="s">
        <v>299</v>
      </c>
      <c r="K104">
        <v>6.3082729643538513E-3</v>
      </c>
      <c r="L104" t="s">
        <v>153</v>
      </c>
      <c r="N104" t="s">
        <v>206</v>
      </c>
      <c r="O104" t="s">
        <v>299</v>
      </c>
      <c r="P104">
        <v>6.4653003342220825E-3</v>
      </c>
      <c r="Q104" t="s">
        <v>153</v>
      </c>
      <c r="S104" t="s">
        <v>248</v>
      </c>
      <c r="T104" t="s">
        <v>299</v>
      </c>
      <c r="U104">
        <v>5.4856274018052842E-3</v>
      </c>
      <c r="V104" t="s">
        <v>153</v>
      </c>
      <c r="AK104">
        <v>2045</v>
      </c>
      <c r="AL104" t="s">
        <v>146</v>
      </c>
      <c r="AM104">
        <v>0.24406666666666665</v>
      </c>
      <c r="AN104" t="s">
        <v>275</v>
      </c>
    </row>
    <row r="105" spans="9:40" x14ac:dyDescent="0.45">
      <c r="I105" t="s">
        <v>163</v>
      </c>
      <c r="J105" t="s">
        <v>310</v>
      </c>
      <c r="K105">
        <v>4.3019187574836627E-3</v>
      </c>
      <c r="L105" t="s">
        <v>153</v>
      </c>
      <c r="N105" t="s">
        <v>206</v>
      </c>
      <c r="O105" t="s">
        <v>310</v>
      </c>
      <c r="P105">
        <v>6.827856325029474E-3</v>
      </c>
      <c r="Q105" t="s">
        <v>153</v>
      </c>
      <c r="S105" t="s">
        <v>248</v>
      </c>
      <c r="T105" t="s">
        <v>310</v>
      </c>
      <c r="U105">
        <v>5.3252863529002752E-3</v>
      </c>
      <c r="V105" t="s">
        <v>153</v>
      </c>
      <c r="AK105">
        <v>2045</v>
      </c>
      <c r="AL105" t="s">
        <v>148</v>
      </c>
      <c r="AM105">
        <v>0.24423999999999996</v>
      </c>
      <c r="AN105" t="s">
        <v>275</v>
      </c>
    </row>
    <row r="106" spans="9:40" x14ac:dyDescent="0.45">
      <c r="I106" t="s">
        <v>163</v>
      </c>
      <c r="J106" t="s">
        <v>311</v>
      </c>
      <c r="K106">
        <v>7.7758945899088917E-7</v>
      </c>
      <c r="L106" t="s">
        <v>153</v>
      </c>
      <c r="N106" t="s">
        <v>206</v>
      </c>
      <c r="O106" t="s">
        <v>311</v>
      </c>
      <c r="P106">
        <v>2.7410471987260064E-2</v>
      </c>
      <c r="Q106" t="s">
        <v>153</v>
      </c>
      <c r="S106" t="s">
        <v>248</v>
      </c>
      <c r="T106" t="s">
        <v>311</v>
      </c>
      <c r="U106">
        <v>2.3443381666191723E-2</v>
      </c>
      <c r="V106" t="s">
        <v>153</v>
      </c>
      <c r="AK106">
        <v>2045</v>
      </c>
      <c r="AL106" t="s">
        <v>292</v>
      </c>
      <c r="AM106">
        <v>0.53559999999999997</v>
      </c>
      <c r="AN106" t="s">
        <v>275</v>
      </c>
    </row>
    <row r="107" spans="9:40" x14ac:dyDescent="0.45">
      <c r="I107" t="s">
        <v>164</v>
      </c>
      <c r="J107" t="s">
        <v>152</v>
      </c>
      <c r="K107">
        <v>2.3899004630467802E-4</v>
      </c>
      <c r="L107" t="s">
        <v>153</v>
      </c>
      <c r="N107" t="s">
        <v>207</v>
      </c>
      <c r="O107" t="s">
        <v>152</v>
      </c>
      <c r="P107">
        <v>6.5117719849801151E-2</v>
      </c>
      <c r="Q107" t="s">
        <v>153</v>
      </c>
      <c r="S107" t="s">
        <v>249</v>
      </c>
      <c r="T107" t="s">
        <v>152</v>
      </c>
      <c r="U107">
        <v>0.12201109716249264</v>
      </c>
      <c r="V107" t="s">
        <v>153</v>
      </c>
      <c r="AK107">
        <v>2046</v>
      </c>
      <c r="AL107" t="s">
        <v>142</v>
      </c>
      <c r="AM107">
        <v>0.38053333333333333</v>
      </c>
      <c r="AN107" t="s">
        <v>275</v>
      </c>
    </row>
    <row r="108" spans="9:40" x14ac:dyDescent="0.45">
      <c r="I108" t="s">
        <v>164</v>
      </c>
      <c r="J108" t="s">
        <v>154</v>
      </c>
      <c r="K108">
        <v>1.3953975583699639E-2</v>
      </c>
      <c r="L108" t="s">
        <v>153</v>
      </c>
      <c r="N108" t="s">
        <v>207</v>
      </c>
      <c r="O108" t="s">
        <v>154</v>
      </c>
      <c r="P108">
        <v>1.0370340831445623E-2</v>
      </c>
      <c r="Q108" t="s">
        <v>153</v>
      </c>
      <c r="S108" t="s">
        <v>249</v>
      </c>
      <c r="T108" t="s">
        <v>154</v>
      </c>
      <c r="U108">
        <v>1.9362759910787609E-2</v>
      </c>
      <c r="V108" t="s">
        <v>153</v>
      </c>
      <c r="AK108">
        <v>2046</v>
      </c>
      <c r="AL108" t="s">
        <v>146</v>
      </c>
      <c r="AM108">
        <v>5.000000000000001E-2</v>
      </c>
      <c r="AN108" t="s">
        <v>275</v>
      </c>
    </row>
    <row r="109" spans="9:40" x14ac:dyDescent="0.45">
      <c r="I109" t="s">
        <v>164</v>
      </c>
      <c r="J109" t="s">
        <v>155</v>
      </c>
      <c r="K109">
        <v>3.3374492466721306E-2</v>
      </c>
      <c r="L109" t="s">
        <v>153</v>
      </c>
      <c r="N109" t="s">
        <v>207</v>
      </c>
      <c r="O109" t="s">
        <v>155</v>
      </c>
      <c r="P109">
        <v>1.0620416673946989E-2</v>
      </c>
      <c r="Q109" t="s">
        <v>153</v>
      </c>
      <c r="S109" t="s">
        <v>249</v>
      </c>
      <c r="T109" t="s">
        <v>155</v>
      </c>
      <c r="U109">
        <v>1.8882744799444962E-2</v>
      </c>
      <c r="V109" t="s">
        <v>153</v>
      </c>
      <c r="AK109">
        <v>2046</v>
      </c>
      <c r="AL109" t="s">
        <v>148</v>
      </c>
      <c r="AM109">
        <v>0.14857999999999999</v>
      </c>
      <c r="AN109" t="s">
        <v>275</v>
      </c>
    </row>
    <row r="110" spans="9:40" x14ac:dyDescent="0.45">
      <c r="I110" t="s">
        <v>164</v>
      </c>
      <c r="J110" t="s">
        <v>280</v>
      </c>
      <c r="K110">
        <v>0.12277253347546029</v>
      </c>
      <c r="L110" t="s">
        <v>153</v>
      </c>
      <c r="N110" t="s">
        <v>207</v>
      </c>
      <c r="O110" t="s">
        <v>280</v>
      </c>
      <c r="P110">
        <v>4.1112708542869504E-2</v>
      </c>
      <c r="Q110" t="s">
        <v>153</v>
      </c>
      <c r="S110" t="s">
        <v>249</v>
      </c>
      <c r="T110" t="s">
        <v>280</v>
      </c>
      <c r="U110">
        <v>5.4099034088124102E-2</v>
      </c>
      <c r="V110" t="s">
        <v>153</v>
      </c>
      <c r="AK110">
        <v>2046</v>
      </c>
      <c r="AL110" t="s">
        <v>292</v>
      </c>
      <c r="AM110">
        <v>0.53310000000000002</v>
      </c>
      <c r="AN110" t="s">
        <v>275</v>
      </c>
    </row>
    <row r="111" spans="9:40" x14ac:dyDescent="0.45">
      <c r="I111" t="s">
        <v>164</v>
      </c>
      <c r="J111" t="s">
        <v>281</v>
      </c>
      <c r="K111">
        <v>0.24411913990491904</v>
      </c>
      <c r="L111" t="s">
        <v>153</v>
      </c>
      <c r="N111" t="s">
        <v>207</v>
      </c>
      <c r="O111" t="s">
        <v>281</v>
      </c>
      <c r="P111">
        <v>0.14738959772337684</v>
      </c>
      <c r="Q111" t="s">
        <v>153</v>
      </c>
      <c r="S111" t="s">
        <v>249</v>
      </c>
      <c r="T111" t="s">
        <v>281</v>
      </c>
      <c r="U111">
        <v>0.11627076950878656</v>
      </c>
      <c r="V111" t="s">
        <v>153</v>
      </c>
      <c r="AK111">
        <v>2047</v>
      </c>
      <c r="AL111" t="s">
        <v>142</v>
      </c>
      <c r="AM111">
        <v>0.40940000000000004</v>
      </c>
      <c r="AN111" t="s">
        <v>275</v>
      </c>
    </row>
    <row r="112" spans="9:40" x14ac:dyDescent="0.45">
      <c r="I112" t="s">
        <v>164</v>
      </c>
      <c r="J112" t="s">
        <v>282</v>
      </c>
      <c r="K112">
        <v>2.382808345891271E-2</v>
      </c>
      <c r="L112" t="s">
        <v>153</v>
      </c>
      <c r="N112" t="s">
        <v>207</v>
      </c>
      <c r="O112" t="s">
        <v>282</v>
      </c>
      <c r="P112">
        <v>3.1211164177406794E-2</v>
      </c>
      <c r="Q112" t="s">
        <v>153</v>
      </c>
      <c r="S112" t="s">
        <v>249</v>
      </c>
      <c r="T112" t="s">
        <v>282</v>
      </c>
      <c r="U112">
        <v>2.2569987848754657E-2</v>
      </c>
      <c r="V112" t="s">
        <v>153</v>
      </c>
      <c r="AK112">
        <v>2047</v>
      </c>
      <c r="AL112" t="s">
        <v>146</v>
      </c>
      <c r="AM112">
        <v>0.16533333333333333</v>
      </c>
      <c r="AN112" t="s">
        <v>275</v>
      </c>
    </row>
    <row r="113" spans="9:40" x14ac:dyDescent="0.45">
      <c r="I113" t="s">
        <v>164</v>
      </c>
      <c r="J113" t="s">
        <v>304</v>
      </c>
      <c r="K113">
        <v>1.1539615944117338E-2</v>
      </c>
      <c r="L113" t="s">
        <v>153</v>
      </c>
      <c r="N113" t="s">
        <v>207</v>
      </c>
      <c r="O113" t="s">
        <v>304</v>
      </c>
      <c r="P113">
        <v>2.7348806318076239E-2</v>
      </c>
      <c r="Q113" t="s">
        <v>153</v>
      </c>
      <c r="S113" t="s">
        <v>249</v>
      </c>
      <c r="T113" t="s">
        <v>304</v>
      </c>
      <c r="U113">
        <v>2.3033017326380325E-2</v>
      </c>
      <c r="V113" t="s">
        <v>153</v>
      </c>
      <c r="AK113">
        <v>2047</v>
      </c>
      <c r="AL113" t="s">
        <v>148</v>
      </c>
      <c r="AM113">
        <v>0.28315999999999997</v>
      </c>
      <c r="AN113" t="s">
        <v>275</v>
      </c>
    </row>
    <row r="114" spans="9:40" x14ac:dyDescent="0.45">
      <c r="I114" t="s">
        <v>164</v>
      </c>
      <c r="J114" t="s">
        <v>305</v>
      </c>
      <c r="K114">
        <v>0</v>
      </c>
      <c r="L114" t="s">
        <v>153</v>
      </c>
      <c r="N114" t="s">
        <v>207</v>
      </c>
      <c r="O114" t="s">
        <v>305</v>
      </c>
      <c r="P114">
        <v>7.716089252268879E-2</v>
      </c>
      <c r="Q114" t="s">
        <v>153</v>
      </c>
      <c r="S114" t="s">
        <v>249</v>
      </c>
      <c r="T114" t="s">
        <v>305</v>
      </c>
      <c r="U114">
        <v>0.11274880966911073</v>
      </c>
      <c r="V114" t="s">
        <v>153</v>
      </c>
      <c r="AK114">
        <v>2047</v>
      </c>
      <c r="AL114" t="s">
        <v>292</v>
      </c>
      <c r="AM114">
        <v>0.47760000000000002</v>
      </c>
      <c r="AN114" t="s">
        <v>275</v>
      </c>
    </row>
    <row r="115" spans="9:40" x14ac:dyDescent="0.45">
      <c r="I115" t="s">
        <v>164</v>
      </c>
      <c r="J115" t="s">
        <v>156</v>
      </c>
      <c r="K115">
        <v>0</v>
      </c>
      <c r="L115" t="s">
        <v>153</v>
      </c>
      <c r="N115" t="s">
        <v>207</v>
      </c>
      <c r="O115" t="s">
        <v>156</v>
      </c>
      <c r="P115">
        <v>4.2943228105824953E-2</v>
      </c>
      <c r="Q115" t="s">
        <v>153</v>
      </c>
      <c r="S115" t="s">
        <v>249</v>
      </c>
      <c r="T115" t="s">
        <v>156</v>
      </c>
      <c r="U115">
        <v>3.3875441162598996E-2</v>
      </c>
      <c r="V115" t="s">
        <v>153</v>
      </c>
      <c r="AK115">
        <v>2048</v>
      </c>
      <c r="AL115" t="s">
        <v>142</v>
      </c>
      <c r="AM115">
        <v>0.35516666666666669</v>
      </c>
      <c r="AN115" t="s">
        <v>275</v>
      </c>
    </row>
    <row r="116" spans="9:40" x14ac:dyDescent="0.45">
      <c r="I116" t="s">
        <v>164</v>
      </c>
      <c r="J116" t="s">
        <v>157</v>
      </c>
      <c r="K116">
        <v>0</v>
      </c>
      <c r="L116" t="s">
        <v>153</v>
      </c>
      <c r="N116" t="s">
        <v>207</v>
      </c>
      <c r="O116" t="s">
        <v>157</v>
      </c>
      <c r="P116">
        <v>7.1048744823592374E-3</v>
      </c>
      <c r="Q116" t="s">
        <v>153</v>
      </c>
      <c r="S116" t="s">
        <v>249</v>
      </c>
      <c r="T116" t="s">
        <v>157</v>
      </c>
      <c r="U116">
        <v>5.5434411292019465E-3</v>
      </c>
      <c r="V116" t="s">
        <v>153</v>
      </c>
      <c r="AK116">
        <v>2048</v>
      </c>
      <c r="AL116" t="s">
        <v>146</v>
      </c>
      <c r="AM116">
        <v>0.29363333333333336</v>
      </c>
      <c r="AN116" t="s">
        <v>275</v>
      </c>
    </row>
    <row r="117" spans="9:40" x14ac:dyDescent="0.45">
      <c r="I117" t="s">
        <v>164</v>
      </c>
      <c r="J117" t="s">
        <v>158</v>
      </c>
      <c r="K117">
        <v>8.4977927583309836E-3</v>
      </c>
      <c r="L117" t="s">
        <v>153</v>
      </c>
      <c r="N117" t="s">
        <v>207</v>
      </c>
      <c r="O117" t="s">
        <v>158</v>
      </c>
      <c r="P117">
        <v>7.1509564904167853E-3</v>
      </c>
      <c r="Q117" t="s">
        <v>153</v>
      </c>
      <c r="S117" t="s">
        <v>249</v>
      </c>
      <c r="T117" t="s">
        <v>158</v>
      </c>
      <c r="U117">
        <v>5.5119135387227056E-3</v>
      </c>
      <c r="V117" t="s">
        <v>153</v>
      </c>
      <c r="AK117">
        <v>2048</v>
      </c>
      <c r="AL117" t="s">
        <v>148</v>
      </c>
      <c r="AM117">
        <v>0.14809999999999998</v>
      </c>
      <c r="AN117" t="s">
        <v>275</v>
      </c>
    </row>
    <row r="118" spans="9:40" x14ac:dyDescent="0.45">
      <c r="I118" t="s">
        <v>164</v>
      </c>
      <c r="J118" t="s">
        <v>283</v>
      </c>
      <c r="K118">
        <v>3.3034266957285771E-2</v>
      </c>
      <c r="L118" t="s">
        <v>153</v>
      </c>
      <c r="N118" t="s">
        <v>207</v>
      </c>
      <c r="O118" t="s">
        <v>283</v>
      </c>
      <c r="P118">
        <v>2.5101541848545468E-2</v>
      </c>
      <c r="Q118" t="s">
        <v>153</v>
      </c>
      <c r="S118" t="s">
        <v>249</v>
      </c>
      <c r="T118" t="s">
        <v>283</v>
      </c>
      <c r="U118">
        <v>1.6424208370263361E-2</v>
      </c>
      <c r="V118" t="s">
        <v>153</v>
      </c>
      <c r="AK118">
        <v>2048</v>
      </c>
      <c r="AL118" t="s">
        <v>292</v>
      </c>
      <c r="AM118">
        <v>0.13650000000000001</v>
      </c>
      <c r="AN118" t="s">
        <v>275</v>
      </c>
    </row>
    <row r="119" spans="9:40" x14ac:dyDescent="0.45">
      <c r="I119" t="s">
        <v>164</v>
      </c>
      <c r="J119" t="s">
        <v>284</v>
      </c>
      <c r="K119">
        <v>7.1467123261610699E-2</v>
      </c>
      <c r="L119" t="s">
        <v>153</v>
      </c>
      <c r="N119" t="s">
        <v>207</v>
      </c>
      <c r="O119" t="s">
        <v>284</v>
      </c>
      <c r="P119">
        <v>7.6423923469163116E-2</v>
      </c>
      <c r="Q119" t="s">
        <v>153</v>
      </c>
      <c r="S119" t="s">
        <v>249</v>
      </c>
      <c r="T119" t="s">
        <v>284</v>
      </c>
      <c r="U119">
        <v>3.1353527557575582E-2</v>
      </c>
      <c r="V119" t="s">
        <v>153</v>
      </c>
      <c r="AK119">
        <v>2049</v>
      </c>
      <c r="AL119" t="s">
        <v>142</v>
      </c>
      <c r="AM119">
        <v>0.21319999999999997</v>
      </c>
      <c r="AN119" t="s">
        <v>275</v>
      </c>
    </row>
    <row r="120" spans="9:40" x14ac:dyDescent="0.45">
      <c r="I120" t="s">
        <v>164</v>
      </c>
      <c r="J120" t="s">
        <v>285</v>
      </c>
      <c r="K120">
        <v>4.712020139347811E-3</v>
      </c>
      <c r="L120" t="s">
        <v>153</v>
      </c>
      <c r="N120" t="s">
        <v>207</v>
      </c>
      <c r="O120" t="s">
        <v>285</v>
      </c>
      <c r="P120">
        <v>1.0147639404036193E-2</v>
      </c>
      <c r="Q120" t="s">
        <v>153</v>
      </c>
      <c r="S120" t="s">
        <v>249</v>
      </c>
      <c r="T120" t="s">
        <v>285</v>
      </c>
      <c r="U120">
        <v>5.7914683830778448E-3</v>
      </c>
      <c r="V120" t="s">
        <v>153</v>
      </c>
      <c r="AK120">
        <v>2049</v>
      </c>
      <c r="AL120" t="s">
        <v>146</v>
      </c>
      <c r="AM120">
        <v>9.8299999999999998E-2</v>
      </c>
      <c r="AN120" t="s">
        <v>275</v>
      </c>
    </row>
    <row r="121" spans="9:40" x14ac:dyDescent="0.45">
      <c r="I121" t="s">
        <v>164</v>
      </c>
      <c r="J121" t="s">
        <v>306</v>
      </c>
      <c r="K121">
        <v>0</v>
      </c>
      <c r="L121" t="s">
        <v>153</v>
      </c>
      <c r="N121" t="s">
        <v>207</v>
      </c>
      <c r="O121" t="s">
        <v>306</v>
      </c>
      <c r="P121">
        <v>8.9265276373862185E-3</v>
      </c>
      <c r="Q121" t="s">
        <v>153</v>
      </c>
      <c r="S121" t="s">
        <v>249</v>
      </c>
      <c r="T121" t="s">
        <v>306</v>
      </c>
      <c r="U121">
        <v>5.9421489514189726E-3</v>
      </c>
      <c r="V121" t="s">
        <v>153</v>
      </c>
      <c r="AK121">
        <v>2049</v>
      </c>
      <c r="AL121" t="s">
        <v>148</v>
      </c>
      <c r="AM121">
        <v>0.10868</v>
      </c>
      <c r="AN121" t="s">
        <v>275</v>
      </c>
    </row>
    <row r="122" spans="9:40" x14ac:dyDescent="0.45">
      <c r="I122" t="s">
        <v>164</v>
      </c>
      <c r="J122" t="s">
        <v>307</v>
      </c>
      <c r="K122">
        <v>0</v>
      </c>
      <c r="L122" t="s">
        <v>153</v>
      </c>
      <c r="N122" t="s">
        <v>207</v>
      </c>
      <c r="O122" t="s">
        <v>307</v>
      </c>
      <c r="P122">
        <v>3.749950317712597E-2</v>
      </c>
      <c r="Q122" t="s">
        <v>153</v>
      </c>
      <c r="S122" t="s">
        <v>249</v>
      </c>
      <c r="T122" t="s">
        <v>307</v>
      </c>
      <c r="U122">
        <v>2.93689768314041E-2</v>
      </c>
      <c r="V122" t="s">
        <v>153</v>
      </c>
      <c r="AK122">
        <v>2049</v>
      </c>
      <c r="AL122" t="s">
        <v>292</v>
      </c>
      <c r="AM122">
        <v>0.34339999999999998</v>
      </c>
      <c r="AN122" t="s">
        <v>275</v>
      </c>
    </row>
    <row r="123" spans="9:40" x14ac:dyDescent="0.45">
      <c r="I123" t="s">
        <v>164</v>
      </c>
      <c r="J123" t="s">
        <v>159</v>
      </c>
      <c r="K123">
        <v>3.5045265947987012E-3</v>
      </c>
      <c r="L123" t="s">
        <v>153</v>
      </c>
      <c r="N123" t="s">
        <v>207</v>
      </c>
      <c r="O123" t="s">
        <v>159</v>
      </c>
      <c r="P123">
        <v>4.7652803359733487E-2</v>
      </c>
      <c r="Q123" t="s">
        <v>153</v>
      </c>
      <c r="S123" t="s">
        <v>249</v>
      </c>
      <c r="T123" t="s">
        <v>159</v>
      </c>
      <c r="U123">
        <v>7.3468893243862091E-2</v>
      </c>
      <c r="V123" t="s">
        <v>153</v>
      </c>
      <c r="AK123">
        <v>2050</v>
      </c>
      <c r="AL123" t="s">
        <v>142</v>
      </c>
      <c r="AM123">
        <v>0.32680000000000003</v>
      </c>
      <c r="AN123" t="s">
        <v>275</v>
      </c>
    </row>
    <row r="124" spans="9:40" x14ac:dyDescent="0.45">
      <c r="I124" t="s">
        <v>164</v>
      </c>
      <c r="J124" t="s">
        <v>160</v>
      </c>
      <c r="K124">
        <v>1.479308396545452E-2</v>
      </c>
      <c r="L124" t="s">
        <v>153</v>
      </c>
      <c r="N124" t="s">
        <v>207</v>
      </c>
      <c r="O124" t="s">
        <v>160</v>
      </c>
      <c r="P124">
        <v>7.8122975262618953E-3</v>
      </c>
      <c r="Q124" t="s">
        <v>153</v>
      </c>
      <c r="S124" t="s">
        <v>249</v>
      </c>
      <c r="T124" t="s">
        <v>160</v>
      </c>
      <c r="U124">
        <v>1.1883205124838567E-2</v>
      </c>
      <c r="V124" t="s">
        <v>153</v>
      </c>
      <c r="AK124">
        <v>2050</v>
      </c>
      <c r="AL124" t="s">
        <v>146</v>
      </c>
      <c r="AM124">
        <v>0.23246666666666668</v>
      </c>
      <c r="AN124" t="s">
        <v>275</v>
      </c>
    </row>
    <row r="125" spans="9:40" x14ac:dyDescent="0.45">
      <c r="I125" t="s">
        <v>164</v>
      </c>
      <c r="J125" t="s">
        <v>161</v>
      </c>
      <c r="K125">
        <v>2.4153587337699841E-2</v>
      </c>
      <c r="L125" t="s">
        <v>153</v>
      </c>
      <c r="N125" t="s">
        <v>207</v>
      </c>
      <c r="O125" t="s">
        <v>161</v>
      </c>
      <c r="P125">
        <v>8.5179223946782873E-3</v>
      </c>
      <c r="Q125" t="s">
        <v>153</v>
      </c>
      <c r="S125" t="s">
        <v>249</v>
      </c>
      <c r="T125" t="s">
        <v>161</v>
      </c>
      <c r="U125">
        <v>1.1537445013277445E-2</v>
      </c>
      <c r="V125" t="s">
        <v>153</v>
      </c>
      <c r="AK125">
        <v>2050</v>
      </c>
      <c r="AL125" t="s">
        <v>148</v>
      </c>
      <c r="AM125">
        <v>0.13136</v>
      </c>
      <c r="AN125" t="s">
        <v>275</v>
      </c>
    </row>
    <row r="126" spans="9:40" x14ac:dyDescent="0.45">
      <c r="I126" t="s">
        <v>164</v>
      </c>
      <c r="J126" t="s">
        <v>286</v>
      </c>
      <c r="K126">
        <v>8.7658243912796738E-2</v>
      </c>
      <c r="L126" t="s">
        <v>153</v>
      </c>
      <c r="N126" t="s">
        <v>207</v>
      </c>
      <c r="O126" t="s">
        <v>286</v>
      </c>
      <c r="P126">
        <v>3.6750055924239571E-2</v>
      </c>
      <c r="Q126" t="s">
        <v>153</v>
      </c>
      <c r="S126" t="s">
        <v>249</v>
      </c>
      <c r="T126" t="s">
        <v>286</v>
      </c>
      <c r="U126">
        <v>3.3180649636245077E-2</v>
      </c>
      <c r="V126" t="s">
        <v>153</v>
      </c>
      <c r="AK126">
        <v>2050</v>
      </c>
      <c r="AL126" t="s">
        <v>292</v>
      </c>
      <c r="AM126">
        <v>0.1087</v>
      </c>
      <c r="AN126" t="s">
        <v>275</v>
      </c>
    </row>
    <row r="127" spans="9:40" x14ac:dyDescent="0.45">
      <c r="I127" t="s">
        <v>164</v>
      </c>
      <c r="J127" t="s">
        <v>287</v>
      </c>
      <c r="K127">
        <v>0.17408805530019664</v>
      </c>
      <c r="L127" t="s">
        <v>153</v>
      </c>
      <c r="N127" t="s">
        <v>207</v>
      </c>
      <c r="O127" t="s">
        <v>287</v>
      </c>
      <c r="P127">
        <v>0.11205614410956452</v>
      </c>
      <c r="Q127" t="s">
        <v>153</v>
      </c>
      <c r="S127" t="s">
        <v>249</v>
      </c>
      <c r="T127" t="s">
        <v>287</v>
      </c>
      <c r="U127">
        <v>7.2468175704976906E-2</v>
      </c>
      <c r="V127" t="s">
        <v>153</v>
      </c>
    </row>
    <row r="128" spans="9:40" x14ac:dyDescent="0.45">
      <c r="I128" t="s">
        <v>164</v>
      </c>
      <c r="J128" t="s">
        <v>288</v>
      </c>
      <c r="K128">
        <v>1.9249992333544474E-2</v>
      </c>
      <c r="L128" t="s">
        <v>153</v>
      </c>
      <c r="N128" t="s">
        <v>207</v>
      </c>
      <c r="O128" t="s">
        <v>288</v>
      </c>
      <c r="P128">
        <v>1.9449104573548575E-2</v>
      </c>
      <c r="Q128" t="s">
        <v>153</v>
      </c>
      <c r="S128" t="s">
        <v>249</v>
      </c>
      <c r="T128" t="s">
        <v>288</v>
      </c>
      <c r="U128">
        <v>1.3682978627690655E-2</v>
      </c>
      <c r="V128" t="s">
        <v>153</v>
      </c>
    </row>
    <row r="129" spans="9:22" x14ac:dyDescent="0.45">
      <c r="I129" t="s">
        <v>164</v>
      </c>
      <c r="J129" t="s">
        <v>308</v>
      </c>
      <c r="K129">
        <v>4.8123418187420181E-3</v>
      </c>
      <c r="L129" t="s">
        <v>153</v>
      </c>
      <c r="N129" t="s">
        <v>207</v>
      </c>
      <c r="O129" t="s">
        <v>308</v>
      </c>
      <c r="P129">
        <v>1.6112516806003164E-2</v>
      </c>
      <c r="Q129" t="s">
        <v>153</v>
      </c>
      <c r="S129" t="s">
        <v>249</v>
      </c>
      <c r="T129" t="s">
        <v>308</v>
      </c>
      <c r="U129">
        <v>1.3738638137248923E-2</v>
      </c>
      <c r="V129" t="s">
        <v>153</v>
      </c>
    </row>
    <row r="130" spans="9:22" x14ac:dyDescent="0.45">
      <c r="I130" t="s">
        <v>164</v>
      </c>
      <c r="J130" t="s">
        <v>309</v>
      </c>
      <c r="K130">
        <v>0</v>
      </c>
      <c r="L130" t="s">
        <v>153</v>
      </c>
      <c r="N130" t="s">
        <v>207</v>
      </c>
      <c r="O130" t="s">
        <v>309</v>
      </c>
      <c r="P130">
        <v>4.8418680286775526E-2</v>
      </c>
      <c r="Q130" t="s">
        <v>153</v>
      </c>
      <c r="S130" t="s">
        <v>249</v>
      </c>
      <c r="T130" t="s">
        <v>309</v>
      </c>
      <c r="U130">
        <v>6.4680447238533639E-2</v>
      </c>
      <c r="V130" t="s">
        <v>153</v>
      </c>
    </row>
    <row r="131" spans="9:22" x14ac:dyDescent="0.45">
      <c r="I131" t="s">
        <v>164</v>
      </c>
      <c r="J131" t="s">
        <v>294</v>
      </c>
      <c r="K131">
        <v>3.2576498342241984E-3</v>
      </c>
      <c r="L131" t="s">
        <v>153</v>
      </c>
      <c r="N131" t="s">
        <v>207</v>
      </c>
      <c r="O131" t="s">
        <v>294</v>
      </c>
      <c r="P131">
        <v>7.2475252713513202E-3</v>
      </c>
      <c r="Q131" t="s">
        <v>153</v>
      </c>
      <c r="S131" t="s">
        <v>249</v>
      </c>
      <c r="T131" t="s">
        <v>294</v>
      </c>
      <c r="U131">
        <v>1.956564931629292E-2</v>
      </c>
      <c r="V131" t="s">
        <v>153</v>
      </c>
    </row>
    <row r="132" spans="9:22" x14ac:dyDescent="0.45">
      <c r="I132" t="s">
        <v>164</v>
      </c>
      <c r="J132" t="s">
        <v>295</v>
      </c>
      <c r="K132">
        <v>5.7031720440442659E-3</v>
      </c>
      <c r="L132" t="s">
        <v>153</v>
      </c>
      <c r="N132" t="s">
        <v>207</v>
      </c>
      <c r="O132" t="s">
        <v>295</v>
      </c>
      <c r="P132">
        <v>1.1082625461522127E-3</v>
      </c>
      <c r="Q132" t="s">
        <v>153</v>
      </c>
      <c r="S132" t="s">
        <v>249</v>
      </c>
      <c r="T132" t="s">
        <v>295</v>
      </c>
      <c r="U132">
        <v>2.941483397901774E-3</v>
      </c>
      <c r="V132" t="s">
        <v>153</v>
      </c>
    </row>
    <row r="133" spans="9:22" x14ac:dyDescent="0.45">
      <c r="I133" t="s">
        <v>164</v>
      </c>
      <c r="J133" t="s">
        <v>296</v>
      </c>
      <c r="K133">
        <v>7.6780149864130775E-3</v>
      </c>
      <c r="L133" t="s">
        <v>153</v>
      </c>
      <c r="N133" t="s">
        <v>207</v>
      </c>
      <c r="O133" t="s">
        <v>296</v>
      </c>
      <c r="P133">
        <v>1.3662412041065756E-3</v>
      </c>
      <c r="Q133" t="s">
        <v>153</v>
      </c>
      <c r="S133" t="s">
        <v>249</v>
      </c>
      <c r="T133" t="s">
        <v>296</v>
      </c>
      <c r="U133">
        <v>2.8646890476518127E-3</v>
      </c>
      <c r="V133" t="s">
        <v>153</v>
      </c>
    </row>
    <row r="134" spans="9:22" x14ac:dyDescent="0.45">
      <c r="I134" t="s">
        <v>164</v>
      </c>
      <c r="J134" t="s">
        <v>297</v>
      </c>
      <c r="K134">
        <v>2.744355094275933E-2</v>
      </c>
      <c r="L134" t="s">
        <v>153</v>
      </c>
      <c r="N134" t="s">
        <v>207</v>
      </c>
      <c r="O134" t="s">
        <v>297</v>
      </c>
      <c r="P134">
        <v>6.4814581931221379E-3</v>
      </c>
      <c r="Q134" t="s">
        <v>153</v>
      </c>
      <c r="S134" t="s">
        <v>249</v>
      </c>
      <c r="T134" t="s">
        <v>297</v>
      </c>
      <c r="U134">
        <v>8.348397135868494E-3</v>
      </c>
      <c r="V134" t="s">
        <v>153</v>
      </c>
    </row>
    <row r="135" spans="9:22" x14ac:dyDescent="0.45">
      <c r="I135" t="s">
        <v>164</v>
      </c>
      <c r="J135" t="s">
        <v>298</v>
      </c>
      <c r="K135">
        <v>5.0574440946426838E-2</v>
      </c>
      <c r="L135" t="s">
        <v>153</v>
      </c>
      <c r="N135" t="s">
        <v>207</v>
      </c>
      <c r="O135" t="s">
        <v>298</v>
      </c>
      <c r="P135">
        <v>3.0830247685479758E-2</v>
      </c>
      <c r="Q135" t="s">
        <v>153</v>
      </c>
      <c r="S135" t="s">
        <v>249</v>
      </c>
      <c r="T135" t="s">
        <v>298</v>
      </c>
      <c r="U135">
        <v>2.0243595370763489E-2</v>
      </c>
      <c r="V135" t="s">
        <v>153</v>
      </c>
    </row>
    <row r="136" spans="9:22" x14ac:dyDescent="0.45">
      <c r="I136" t="s">
        <v>164</v>
      </c>
      <c r="J136" t="s">
        <v>299</v>
      </c>
      <c r="K136">
        <v>5.7683893710299356E-3</v>
      </c>
      <c r="L136" t="s">
        <v>153</v>
      </c>
      <c r="N136" t="s">
        <v>207</v>
      </c>
      <c r="O136" t="s">
        <v>299</v>
      </c>
      <c r="P136">
        <v>8.5311148102583476E-3</v>
      </c>
      <c r="Q136" t="s">
        <v>153</v>
      </c>
      <c r="S136" t="s">
        <v>249</v>
      </c>
      <c r="T136" t="s">
        <v>299</v>
      </c>
      <c r="U136">
        <v>4.1677229743966263E-3</v>
      </c>
      <c r="V136" t="s">
        <v>153</v>
      </c>
    </row>
    <row r="137" spans="9:22" x14ac:dyDescent="0.45">
      <c r="I137" t="s">
        <v>164</v>
      </c>
      <c r="J137" t="s">
        <v>310</v>
      </c>
      <c r="K137">
        <v>3.776916615157183E-3</v>
      </c>
      <c r="L137" t="s">
        <v>153</v>
      </c>
      <c r="N137" t="s">
        <v>207</v>
      </c>
      <c r="O137" t="s">
        <v>310</v>
      </c>
      <c r="P137">
        <v>7.2035321602822618E-3</v>
      </c>
      <c r="Q137" t="s">
        <v>153</v>
      </c>
      <c r="S137" t="s">
        <v>249</v>
      </c>
      <c r="T137" t="s">
        <v>310</v>
      </c>
      <c r="U137">
        <v>4.2447957444504986E-3</v>
      </c>
      <c r="V137" t="s">
        <v>153</v>
      </c>
    </row>
    <row r="138" spans="9:22" x14ac:dyDescent="0.45">
      <c r="I138" t="s">
        <v>164</v>
      </c>
      <c r="J138" t="s">
        <v>311</v>
      </c>
      <c r="K138">
        <v>0</v>
      </c>
      <c r="L138" t="s">
        <v>153</v>
      </c>
      <c r="N138" t="s">
        <v>207</v>
      </c>
      <c r="O138" t="s">
        <v>311</v>
      </c>
      <c r="P138">
        <v>1.4832251893973612E-2</v>
      </c>
      <c r="Q138" t="s">
        <v>153</v>
      </c>
      <c r="S138" t="s">
        <v>249</v>
      </c>
      <c r="T138" t="s">
        <v>311</v>
      </c>
      <c r="U138">
        <v>2.0193888047855043E-2</v>
      </c>
      <c r="V138" t="s">
        <v>153</v>
      </c>
    </row>
    <row r="139" spans="9:22" x14ac:dyDescent="0.45">
      <c r="I139" t="s">
        <v>165</v>
      </c>
      <c r="J139" t="s">
        <v>152</v>
      </c>
      <c r="K139">
        <v>2.3315906656124224E-5</v>
      </c>
      <c r="L139" t="s">
        <v>153</v>
      </c>
      <c r="N139" t="s">
        <v>208</v>
      </c>
      <c r="O139" t="s">
        <v>152</v>
      </c>
      <c r="P139">
        <v>6.9591448358817892E-2</v>
      </c>
      <c r="Q139" t="s">
        <v>153</v>
      </c>
      <c r="S139" t="s">
        <v>250</v>
      </c>
      <c r="T139" t="s">
        <v>152</v>
      </c>
      <c r="U139">
        <v>0.10465145423975312</v>
      </c>
      <c r="V139" t="s">
        <v>153</v>
      </c>
    </row>
    <row r="140" spans="9:22" x14ac:dyDescent="0.45">
      <c r="I140" t="s">
        <v>165</v>
      </c>
      <c r="J140" t="s">
        <v>154</v>
      </c>
      <c r="K140">
        <v>1.3635917322656796E-2</v>
      </c>
      <c r="L140" t="s">
        <v>153</v>
      </c>
      <c r="N140" t="s">
        <v>208</v>
      </c>
      <c r="O140" t="s">
        <v>154</v>
      </c>
      <c r="P140">
        <v>1.2305978981033631E-2</v>
      </c>
      <c r="Q140" t="s">
        <v>153</v>
      </c>
      <c r="S140" t="s">
        <v>250</v>
      </c>
      <c r="T140" t="s">
        <v>154</v>
      </c>
      <c r="U140">
        <v>1.574164469684217E-2</v>
      </c>
      <c r="V140" t="s">
        <v>153</v>
      </c>
    </row>
    <row r="141" spans="9:22" x14ac:dyDescent="0.45">
      <c r="I141" t="s">
        <v>165</v>
      </c>
      <c r="J141" t="s">
        <v>155</v>
      </c>
      <c r="K141">
        <v>3.363188117390447E-2</v>
      </c>
      <c r="L141" t="s">
        <v>153</v>
      </c>
      <c r="N141" t="s">
        <v>208</v>
      </c>
      <c r="O141" t="s">
        <v>155</v>
      </c>
      <c r="P141">
        <v>1.2951083046186727E-2</v>
      </c>
      <c r="Q141" t="s">
        <v>153</v>
      </c>
      <c r="S141" t="s">
        <v>250</v>
      </c>
      <c r="T141" t="s">
        <v>155</v>
      </c>
      <c r="U141">
        <v>1.5203827514430753E-2</v>
      </c>
      <c r="V141" t="s">
        <v>153</v>
      </c>
    </row>
    <row r="142" spans="9:22" x14ac:dyDescent="0.45">
      <c r="I142" t="s">
        <v>165</v>
      </c>
      <c r="J142" t="s">
        <v>280</v>
      </c>
      <c r="K142">
        <v>0.12551506964046155</v>
      </c>
      <c r="L142" t="s">
        <v>153</v>
      </c>
      <c r="N142" t="s">
        <v>208</v>
      </c>
      <c r="O142" t="s">
        <v>280</v>
      </c>
      <c r="P142">
        <v>4.251174742107152E-2</v>
      </c>
      <c r="Q142" t="s">
        <v>153</v>
      </c>
      <c r="S142" t="s">
        <v>250</v>
      </c>
      <c r="T142" t="s">
        <v>280</v>
      </c>
      <c r="U142">
        <v>4.3884393597402933E-2</v>
      </c>
      <c r="V142" t="s">
        <v>153</v>
      </c>
    </row>
    <row r="143" spans="9:22" x14ac:dyDescent="0.45">
      <c r="I143" t="s">
        <v>165</v>
      </c>
      <c r="J143" t="s">
        <v>281</v>
      </c>
      <c r="K143">
        <v>0.24396541724896184</v>
      </c>
      <c r="L143" t="s">
        <v>153</v>
      </c>
      <c r="N143" t="s">
        <v>208</v>
      </c>
      <c r="O143" t="s">
        <v>281</v>
      </c>
      <c r="P143">
        <v>0.13183662021829728</v>
      </c>
      <c r="Q143" t="s">
        <v>153</v>
      </c>
      <c r="S143" t="s">
        <v>250</v>
      </c>
      <c r="T143" t="s">
        <v>281</v>
      </c>
      <c r="U143">
        <v>0.13231939057862419</v>
      </c>
      <c r="V143" t="s">
        <v>153</v>
      </c>
    </row>
    <row r="144" spans="9:22" x14ac:dyDescent="0.45">
      <c r="I144" t="s">
        <v>165</v>
      </c>
      <c r="J144" t="s">
        <v>282</v>
      </c>
      <c r="K144">
        <v>2.2871376925041698E-2</v>
      </c>
      <c r="L144" t="s">
        <v>153</v>
      </c>
      <c r="N144" t="s">
        <v>208</v>
      </c>
      <c r="O144" t="s">
        <v>282</v>
      </c>
      <c r="P144">
        <v>2.9770091177218176E-2</v>
      </c>
      <c r="Q144" t="s">
        <v>153</v>
      </c>
      <c r="S144" t="s">
        <v>250</v>
      </c>
      <c r="T144" t="s">
        <v>282</v>
      </c>
      <c r="U144">
        <v>2.7082107458999537E-2</v>
      </c>
      <c r="V144" t="s">
        <v>153</v>
      </c>
    </row>
    <row r="145" spans="9:22" x14ac:dyDescent="0.45">
      <c r="I145" t="s">
        <v>165</v>
      </c>
      <c r="J145" t="s">
        <v>304</v>
      </c>
      <c r="K145">
        <v>1.0219633297402941E-2</v>
      </c>
      <c r="L145" t="s">
        <v>153</v>
      </c>
      <c r="N145" t="s">
        <v>208</v>
      </c>
      <c r="O145" t="s">
        <v>304</v>
      </c>
      <c r="P145">
        <v>3.182039150844615E-2</v>
      </c>
      <c r="Q145" t="s">
        <v>153</v>
      </c>
      <c r="S145" t="s">
        <v>250</v>
      </c>
      <c r="T145" t="s">
        <v>304</v>
      </c>
      <c r="U145">
        <v>2.6398008135535736E-2</v>
      </c>
      <c r="V145" t="s">
        <v>153</v>
      </c>
    </row>
    <row r="146" spans="9:22" x14ac:dyDescent="0.45">
      <c r="I146" t="s">
        <v>165</v>
      </c>
      <c r="J146" t="s">
        <v>305</v>
      </c>
      <c r="K146">
        <v>0</v>
      </c>
      <c r="L146" t="s">
        <v>153</v>
      </c>
      <c r="N146" t="s">
        <v>208</v>
      </c>
      <c r="O146" t="s">
        <v>305</v>
      </c>
      <c r="P146">
        <v>9.9484643710153378E-2</v>
      </c>
      <c r="Q146" t="s">
        <v>153</v>
      </c>
      <c r="S146" t="s">
        <v>250</v>
      </c>
      <c r="T146" t="s">
        <v>305</v>
      </c>
      <c r="U146">
        <v>0.11283242141955437</v>
      </c>
      <c r="V146" t="s">
        <v>153</v>
      </c>
    </row>
    <row r="147" spans="9:22" x14ac:dyDescent="0.45">
      <c r="I147" t="s">
        <v>165</v>
      </c>
      <c r="J147" t="s">
        <v>156</v>
      </c>
      <c r="K147">
        <v>0</v>
      </c>
      <c r="L147" t="s">
        <v>153</v>
      </c>
      <c r="N147" t="s">
        <v>208</v>
      </c>
      <c r="O147" t="s">
        <v>156</v>
      </c>
      <c r="P147">
        <v>4.9837186813132844E-2</v>
      </c>
      <c r="Q147" t="s">
        <v>153</v>
      </c>
      <c r="S147" t="s">
        <v>250</v>
      </c>
      <c r="T147" t="s">
        <v>156</v>
      </c>
      <c r="U147">
        <v>3.144046634785256E-2</v>
      </c>
      <c r="V147" t="s">
        <v>153</v>
      </c>
    </row>
    <row r="148" spans="9:22" x14ac:dyDescent="0.45">
      <c r="I148" t="s">
        <v>165</v>
      </c>
      <c r="J148" t="s">
        <v>157</v>
      </c>
      <c r="K148">
        <v>0</v>
      </c>
      <c r="L148" t="s">
        <v>153</v>
      </c>
      <c r="N148" t="s">
        <v>208</v>
      </c>
      <c r="O148" t="s">
        <v>157</v>
      </c>
      <c r="P148">
        <v>8.937504652704412E-3</v>
      </c>
      <c r="Q148" t="s">
        <v>153</v>
      </c>
      <c r="S148" t="s">
        <v>250</v>
      </c>
      <c r="T148" t="s">
        <v>157</v>
      </c>
      <c r="U148">
        <v>5.113451824359746E-3</v>
      </c>
      <c r="V148" t="s">
        <v>153</v>
      </c>
    </row>
    <row r="149" spans="9:22" x14ac:dyDescent="0.45">
      <c r="I149" t="s">
        <v>165</v>
      </c>
      <c r="J149" t="s">
        <v>158</v>
      </c>
      <c r="K149">
        <v>8.641589280492112E-3</v>
      </c>
      <c r="L149" t="s">
        <v>153</v>
      </c>
      <c r="N149" t="s">
        <v>208</v>
      </c>
      <c r="O149" t="s">
        <v>158</v>
      </c>
      <c r="P149">
        <v>9.1431574357597831E-3</v>
      </c>
      <c r="Q149" t="s">
        <v>153</v>
      </c>
      <c r="S149" t="s">
        <v>250</v>
      </c>
      <c r="T149" t="s">
        <v>158</v>
      </c>
      <c r="U149">
        <v>5.1593554322430357E-3</v>
      </c>
      <c r="V149" t="s">
        <v>153</v>
      </c>
    </row>
    <row r="150" spans="9:22" x14ac:dyDescent="0.45">
      <c r="I150" t="s">
        <v>165</v>
      </c>
      <c r="J150" t="s">
        <v>283</v>
      </c>
      <c r="K150">
        <v>3.5067340885891023E-2</v>
      </c>
      <c r="L150" t="s">
        <v>153</v>
      </c>
      <c r="N150" t="s">
        <v>208</v>
      </c>
      <c r="O150" t="s">
        <v>283</v>
      </c>
      <c r="P150">
        <v>2.8792146324689714E-2</v>
      </c>
      <c r="Q150" t="s">
        <v>153</v>
      </c>
      <c r="S150" t="s">
        <v>250</v>
      </c>
      <c r="T150" t="s">
        <v>283</v>
      </c>
      <c r="U150">
        <v>1.496626515820762E-2</v>
      </c>
      <c r="V150" t="s">
        <v>153</v>
      </c>
    </row>
    <row r="151" spans="9:22" x14ac:dyDescent="0.45">
      <c r="I151" t="s">
        <v>165</v>
      </c>
      <c r="J151" t="s">
        <v>284</v>
      </c>
      <c r="K151">
        <v>7.5110653436605709E-2</v>
      </c>
      <c r="L151" t="s">
        <v>153</v>
      </c>
      <c r="N151" t="s">
        <v>208</v>
      </c>
      <c r="O151" t="s">
        <v>284</v>
      </c>
      <c r="P151">
        <v>7.4435725365642802E-2</v>
      </c>
      <c r="Q151" t="s">
        <v>153</v>
      </c>
      <c r="S151" t="s">
        <v>250</v>
      </c>
      <c r="T151" t="s">
        <v>284</v>
      </c>
      <c r="U151">
        <v>3.1782532777551713E-2</v>
      </c>
      <c r="V151" t="s">
        <v>153</v>
      </c>
    </row>
    <row r="152" spans="9:22" x14ac:dyDescent="0.45">
      <c r="I152" t="s">
        <v>165</v>
      </c>
      <c r="J152" t="s">
        <v>285</v>
      </c>
      <c r="K152">
        <v>5.4931372745535174E-3</v>
      </c>
      <c r="L152" t="s">
        <v>153</v>
      </c>
      <c r="N152" t="s">
        <v>208</v>
      </c>
      <c r="O152" t="s">
        <v>285</v>
      </c>
      <c r="P152">
        <v>9.6737072535508332E-3</v>
      </c>
      <c r="Q152" t="s">
        <v>153</v>
      </c>
      <c r="S152" t="s">
        <v>250</v>
      </c>
      <c r="T152" t="s">
        <v>285</v>
      </c>
      <c r="U152">
        <v>6.6753018508023138E-3</v>
      </c>
      <c r="V152" t="s">
        <v>153</v>
      </c>
    </row>
    <row r="153" spans="9:22" x14ac:dyDescent="0.45">
      <c r="I153" t="s">
        <v>165</v>
      </c>
      <c r="J153" t="s">
        <v>306</v>
      </c>
      <c r="K153">
        <v>0</v>
      </c>
      <c r="L153" t="s">
        <v>153</v>
      </c>
      <c r="N153" t="s">
        <v>208</v>
      </c>
      <c r="O153" t="s">
        <v>306</v>
      </c>
      <c r="P153">
        <v>9.163247185884427E-3</v>
      </c>
      <c r="Q153" t="s">
        <v>153</v>
      </c>
      <c r="S153" t="s">
        <v>250</v>
      </c>
      <c r="T153" t="s">
        <v>306</v>
      </c>
      <c r="U153">
        <v>6.6371991788273183E-3</v>
      </c>
      <c r="V153" t="s">
        <v>153</v>
      </c>
    </row>
    <row r="154" spans="9:22" x14ac:dyDescent="0.45">
      <c r="I154" t="s">
        <v>165</v>
      </c>
      <c r="J154" t="s">
        <v>307</v>
      </c>
      <c r="K154">
        <v>0</v>
      </c>
      <c r="L154" t="s">
        <v>153</v>
      </c>
      <c r="N154" t="s">
        <v>208</v>
      </c>
      <c r="O154" t="s">
        <v>307</v>
      </c>
      <c r="P154">
        <v>4.2777368843699974E-2</v>
      </c>
      <c r="Q154" t="s">
        <v>153</v>
      </c>
      <c r="S154" t="s">
        <v>250</v>
      </c>
      <c r="T154" t="s">
        <v>307</v>
      </c>
      <c r="U154">
        <v>3.0077957191426568E-2</v>
      </c>
      <c r="V154" t="s">
        <v>153</v>
      </c>
    </row>
    <row r="155" spans="9:22" x14ac:dyDescent="0.45">
      <c r="I155" t="s">
        <v>165</v>
      </c>
      <c r="J155" t="s">
        <v>159</v>
      </c>
      <c r="K155">
        <v>2.8471462065583699E-3</v>
      </c>
      <c r="L155" t="s">
        <v>153</v>
      </c>
      <c r="N155" t="s">
        <v>208</v>
      </c>
      <c r="O155" t="s">
        <v>159</v>
      </c>
      <c r="P155">
        <v>3.9793517451378685E-2</v>
      </c>
      <c r="Q155" t="s">
        <v>153</v>
      </c>
      <c r="S155" t="s">
        <v>250</v>
      </c>
      <c r="T155" t="s">
        <v>159</v>
      </c>
      <c r="U155">
        <v>6.3562329435810319E-2</v>
      </c>
      <c r="V155" t="s">
        <v>153</v>
      </c>
    </row>
    <row r="156" spans="9:22" x14ac:dyDescent="0.45">
      <c r="I156" t="s">
        <v>165</v>
      </c>
      <c r="J156" t="s">
        <v>160</v>
      </c>
      <c r="K156">
        <v>1.516401957970299E-2</v>
      </c>
      <c r="L156" t="s">
        <v>153</v>
      </c>
      <c r="N156" t="s">
        <v>208</v>
      </c>
      <c r="O156" t="s">
        <v>160</v>
      </c>
      <c r="P156">
        <v>7.378122067984356E-3</v>
      </c>
      <c r="Q156" t="s">
        <v>153</v>
      </c>
      <c r="S156" t="s">
        <v>250</v>
      </c>
      <c r="T156" t="s">
        <v>160</v>
      </c>
      <c r="U156">
        <v>9.3318718939984051E-3</v>
      </c>
      <c r="V156" t="s">
        <v>153</v>
      </c>
    </row>
    <row r="157" spans="9:22" x14ac:dyDescent="0.45">
      <c r="I157" t="s">
        <v>165</v>
      </c>
      <c r="J157" t="s">
        <v>161</v>
      </c>
      <c r="K157">
        <v>2.4945700130686966E-2</v>
      </c>
      <c r="L157" t="s">
        <v>153</v>
      </c>
      <c r="N157" t="s">
        <v>208</v>
      </c>
      <c r="O157" t="s">
        <v>161</v>
      </c>
      <c r="P157">
        <v>7.7526977645800592E-3</v>
      </c>
      <c r="Q157" t="s">
        <v>153</v>
      </c>
      <c r="S157" t="s">
        <v>250</v>
      </c>
      <c r="T157" t="s">
        <v>161</v>
      </c>
      <c r="U157">
        <v>8.7447292354438707E-3</v>
      </c>
      <c r="V157" t="s">
        <v>153</v>
      </c>
    </row>
    <row r="158" spans="9:22" x14ac:dyDescent="0.45">
      <c r="I158" t="s">
        <v>165</v>
      </c>
      <c r="J158" t="s">
        <v>286</v>
      </c>
      <c r="K158">
        <v>8.9266461824671073E-2</v>
      </c>
      <c r="L158" t="s">
        <v>153</v>
      </c>
      <c r="N158" t="s">
        <v>208</v>
      </c>
      <c r="O158" t="s">
        <v>286</v>
      </c>
      <c r="P158">
        <v>3.0910853857199907E-2</v>
      </c>
      <c r="Q158" t="s">
        <v>153</v>
      </c>
      <c r="S158" t="s">
        <v>250</v>
      </c>
      <c r="T158" t="s">
        <v>286</v>
      </c>
      <c r="U158">
        <v>2.6645259535713246E-2</v>
      </c>
      <c r="V158" t="s">
        <v>153</v>
      </c>
    </row>
    <row r="159" spans="9:22" x14ac:dyDescent="0.45">
      <c r="I159" t="s">
        <v>165</v>
      </c>
      <c r="J159" t="s">
        <v>287</v>
      </c>
      <c r="K159">
        <v>0.17256003291651836</v>
      </c>
      <c r="L159" t="s">
        <v>153</v>
      </c>
      <c r="N159" t="s">
        <v>208</v>
      </c>
      <c r="O159" t="s">
        <v>287</v>
      </c>
      <c r="P159">
        <v>9.1119568771796181E-2</v>
      </c>
      <c r="Q159" t="s">
        <v>153</v>
      </c>
      <c r="S159" t="s">
        <v>250</v>
      </c>
      <c r="T159" t="s">
        <v>287</v>
      </c>
      <c r="U159">
        <v>9.0456342980771584E-2</v>
      </c>
      <c r="V159" t="s">
        <v>153</v>
      </c>
    </row>
    <row r="160" spans="9:22" x14ac:dyDescent="0.45">
      <c r="I160" t="s">
        <v>165</v>
      </c>
      <c r="J160" t="s">
        <v>288</v>
      </c>
      <c r="K160">
        <v>1.7824655502969456E-2</v>
      </c>
      <c r="L160" t="s">
        <v>153</v>
      </c>
      <c r="N160" t="s">
        <v>208</v>
      </c>
      <c r="O160" t="s">
        <v>288</v>
      </c>
      <c r="P160">
        <v>1.9974530773539681E-2</v>
      </c>
      <c r="Q160" t="s">
        <v>153</v>
      </c>
      <c r="S160" t="s">
        <v>250</v>
      </c>
      <c r="T160" t="s">
        <v>288</v>
      </c>
      <c r="U160">
        <v>1.7974634603846552E-2</v>
      </c>
      <c r="V160" t="s">
        <v>153</v>
      </c>
    </row>
    <row r="161" spans="9:22" x14ac:dyDescent="0.45">
      <c r="I161" t="s">
        <v>165</v>
      </c>
      <c r="J161" t="s">
        <v>308</v>
      </c>
      <c r="K161">
        <v>3.6611497358139339E-3</v>
      </c>
      <c r="L161" t="s">
        <v>153</v>
      </c>
      <c r="N161" t="s">
        <v>208</v>
      </c>
      <c r="O161" t="s">
        <v>308</v>
      </c>
      <c r="P161">
        <v>2.0385047980172214E-2</v>
      </c>
      <c r="Q161" t="s">
        <v>153</v>
      </c>
      <c r="S161" t="s">
        <v>250</v>
      </c>
      <c r="T161" t="s">
        <v>308</v>
      </c>
      <c r="U161">
        <v>1.7391643970871149E-2</v>
      </c>
      <c r="V161" t="s">
        <v>153</v>
      </c>
    </row>
    <row r="162" spans="9:22" x14ac:dyDescent="0.45">
      <c r="I162" t="s">
        <v>165</v>
      </c>
      <c r="J162" t="s">
        <v>309</v>
      </c>
      <c r="K162">
        <v>0</v>
      </c>
      <c r="L162" t="s">
        <v>153</v>
      </c>
      <c r="N162" t="s">
        <v>208</v>
      </c>
      <c r="O162" t="s">
        <v>309</v>
      </c>
      <c r="P162">
        <v>5.5680362786574338E-2</v>
      </c>
      <c r="Q162" t="s">
        <v>153</v>
      </c>
      <c r="S162" t="s">
        <v>250</v>
      </c>
      <c r="T162" t="s">
        <v>309</v>
      </c>
      <c r="U162">
        <v>7.2066497629288559E-2</v>
      </c>
      <c r="V162" t="s">
        <v>153</v>
      </c>
    </row>
    <row r="163" spans="9:22" x14ac:dyDescent="0.45">
      <c r="I163" t="s">
        <v>165</v>
      </c>
      <c r="J163" t="s">
        <v>294</v>
      </c>
      <c r="K163">
        <v>2.701854656113575E-3</v>
      </c>
      <c r="L163" t="s">
        <v>153</v>
      </c>
      <c r="N163" t="s">
        <v>208</v>
      </c>
      <c r="O163" t="s">
        <v>294</v>
      </c>
      <c r="P163">
        <v>5.3440971328594326E-3</v>
      </c>
      <c r="Q163" t="s">
        <v>153</v>
      </c>
      <c r="S163" t="s">
        <v>250</v>
      </c>
      <c r="T163" t="s">
        <v>294</v>
      </c>
      <c r="U163">
        <v>1.6143924069735079E-2</v>
      </c>
      <c r="V163" t="s">
        <v>153</v>
      </c>
    </row>
    <row r="164" spans="9:22" x14ac:dyDescent="0.45">
      <c r="I164" t="s">
        <v>165</v>
      </c>
      <c r="J164" t="s">
        <v>295</v>
      </c>
      <c r="K164">
        <v>5.3056588378994516E-3</v>
      </c>
      <c r="L164" t="s">
        <v>153</v>
      </c>
      <c r="N164" t="s">
        <v>208</v>
      </c>
      <c r="O164" t="s">
        <v>295</v>
      </c>
      <c r="P164">
        <v>8.1154521733734061E-4</v>
      </c>
      <c r="Q164" t="s">
        <v>153</v>
      </c>
      <c r="S164" t="s">
        <v>250</v>
      </c>
      <c r="T164" t="s">
        <v>295</v>
      </c>
      <c r="U164">
        <v>2.2995515033651269E-3</v>
      </c>
      <c r="V164" t="s">
        <v>153</v>
      </c>
    </row>
    <row r="165" spans="9:22" x14ac:dyDescent="0.45">
      <c r="I165" t="s">
        <v>165</v>
      </c>
      <c r="J165" t="s">
        <v>296</v>
      </c>
      <c r="K165">
        <v>7.2647616725561651E-3</v>
      </c>
      <c r="L165" t="s">
        <v>153</v>
      </c>
      <c r="N165" t="s">
        <v>208</v>
      </c>
      <c r="O165" t="s">
        <v>296</v>
      </c>
      <c r="P165">
        <v>9.2453718916405965E-4</v>
      </c>
      <c r="Q165" t="s">
        <v>153</v>
      </c>
      <c r="S165" t="s">
        <v>250</v>
      </c>
      <c r="T165" t="s">
        <v>296</v>
      </c>
      <c r="U165">
        <v>2.2506306292514144E-3</v>
      </c>
      <c r="V165" t="s">
        <v>153</v>
      </c>
    </row>
    <row r="166" spans="9:22" x14ac:dyDescent="0.45">
      <c r="I166" t="s">
        <v>165</v>
      </c>
      <c r="J166" t="s">
        <v>297</v>
      </c>
      <c r="K166">
        <v>2.7026137272799577E-2</v>
      </c>
      <c r="L166" t="s">
        <v>153</v>
      </c>
      <c r="N166" t="s">
        <v>208</v>
      </c>
      <c r="O166" t="s">
        <v>297</v>
      </c>
      <c r="P166">
        <v>3.6083411262018161E-3</v>
      </c>
      <c r="Q166" t="s">
        <v>153</v>
      </c>
      <c r="S166" t="s">
        <v>250</v>
      </c>
      <c r="T166" t="s">
        <v>297</v>
      </c>
      <c r="U166">
        <v>7.4788531729235094E-3</v>
      </c>
      <c r="V166" t="s">
        <v>153</v>
      </c>
    </row>
    <row r="167" spans="9:22" x14ac:dyDescent="0.45">
      <c r="I167" t="s">
        <v>165</v>
      </c>
      <c r="J167" t="s">
        <v>298</v>
      </c>
      <c r="K167">
        <v>4.8358306153839507E-2</v>
      </c>
      <c r="L167" t="s">
        <v>153</v>
      </c>
      <c r="N167" t="s">
        <v>208</v>
      </c>
      <c r="O167" t="s">
        <v>298</v>
      </c>
      <c r="P167">
        <v>2.0865835334853585E-2</v>
      </c>
      <c r="Q167" t="s">
        <v>153</v>
      </c>
      <c r="S167" t="s">
        <v>250</v>
      </c>
      <c r="T167" t="s">
        <v>298</v>
      </c>
      <c r="U167">
        <v>2.5930215773274715E-2</v>
      </c>
      <c r="V167" t="s">
        <v>153</v>
      </c>
    </row>
    <row r="168" spans="9:22" x14ac:dyDescent="0.45">
      <c r="I168" t="s">
        <v>165</v>
      </c>
      <c r="J168" t="s">
        <v>299</v>
      </c>
      <c r="K168">
        <v>5.4197082447121417E-3</v>
      </c>
      <c r="L168" t="s">
        <v>153</v>
      </c>
      <c r="N168" t="s">
        <v>208</v>
      </c>
      <c r="O168" t="s">
        <v>299</v>
      </c>
      <c r="P168">
        <v>6.9832127876456335E-3</v>
      </c>
      <c r="Q168" t="s">
        <v>153</v>
      </c>
      <c r="S168" t="s">
        <v>250</v>
      </c>
      <c r="T168" t="s">
        <v>299</v>
      </c>
      <c r="U168">
        <v>5.0420840243854776E-3</v>
      </c>
      <c r="V168" t="s">
        <v>153</v>
      </c>
    </row>
    <row r="169" spans="9:22" x14ac:dyDescent="0.45">
      <c r="I169" t="s">
        <v>165</v>
      </c>
      <c r="J169" t="s">
        <v>310</v>
      </c>
      <c r="K169">
        <v>3.4790748725284926E-3</v>
      </c>
      <c r="L169" t="s">
        <v>153</v>
      </c>
      <c r="N169" t="s">
        <v>208</v>
      </c>
      <c r="O169" t="s">
        <v>310</v>
      </c>
      <c r="P169">
        <v>6.977019788647597E-3</v>
      </c>
      <c r="Q169" t="s">
        <v>153</v>
      </c>
      <c r="S169" t="s">
        <v>250</v>
      </c>
      <c r="T169" t="s">
        <v>310</v>
      </c>
      <c r="U169">
        <v>4.7797874012658285E-3</v>
      </c>
      <c r="V169" t="s">
        <v>153</v>
      </c>
    </row>
    <row r="170" spans="9:22" x14ac:dyDescent="0.45">
      <c r="I170" t="s">
        <v>165</v>
      </c>
      <c r="J170" t="s">
        <v>311</v>
      </c>
      <c r="K170">
        <v>0</v>
      </c>
      <c r="L170" t="s">
        <v>153</v>
      </c>
      <c r="N170" t="s">
        <v>208</v>
      </c>
      <c r="O170" t="s">
        <v>311</v>
      </c>
      <c r="P170">
        <v>1.8458661673774853E-2</v>
      </c>
      <c r="Q170" t="s">
        <v>153</v>
      </c>
      <c r="S170" t="s">
        <v>250</v>
      </c>
      <c r="T170" t="s">
        <v>311</v>
      </c>
      <c r="U170">
        <v>1.9935866737643856E-2</v>
      </c>
      <c r="V170" t="s">
        <v>153</v>
      </c>
    </row>
    <row r="171" spans="9:22" x14ac:dyDescent="0.45">
      <c r="I171" t="s">
        <v>166</v>
      </c>
      <c r="J171" t="s">
        <v>152</v>
      </c>
      <c r="K171">
        <v>0</v>
      </c>
      <c r="L171" t="s">
        <v>153</v>
      </c>
      <c r="N171" t="s">
        <v>209</v>
      </c>
      <c r="O171" t="s">
        <v>152</v>
      </c>
      <c r="P171">
        <v>8.9287787781869257E-2</v>
      </c>
      <c r="Q171" t="s">
        <v>153</v>
      </c>
      <c r="S171" t="s">
        <v>251</v>
      </c>
      <c r="T171" t="s">
        <v>152</v>
      </c>
      <c r="U171">
        <v>0.11976450757501333</v>
      </c>
      <c r="V171" t="s">
        <v>153</v>
      </c>
    </row>
    <row r="172" spans="9:22" x14ac:dyDescent="0.45">
      <c r="I172" t="s">
        <v>166</v>
      </c>
      <c r="J172" t="s">
        <v>154</v>
      </c>
      <c r="K172">
        <v>7.446714139793217E-3</v>
      </c>
      <c r="L172" t="s">
        <v>153</v>
      </c>
      <c r="N172" t="s">
        <v>209</v>
      </c>
      <c r="O172" t="s">
        <v>154</v>
      </c>
      <c r="P172">
        <v>1.3267110608230557E-2</v>
      </c>
      <c r="Q172" t="s">
        <v>153</v>
      </c>
      <c r="S172" t="s">
        <v>251</v>
      </c>
      <c r="T172" t="s">
        <v>154</v>
      </c>
      <c r="U172">
        <v>1.8476987070706455E-2</v>
      </c>
      <c r="V172" t="s">
        <v>153</v>
      </c>
    </row>
    <row r="173" spans="9:22" x14ac:dyDescent="0.45">
      <c r="I173" t="s">
        <v>166</v>
      </c>
      <c r="J173" t="s">
        <v>155</v>
      </c>
      <c r="K173">
        <v>2.7413525945185622E-2</v>
      </c>
      <c r="L173" t="s">
        <v>153</v>
      </c>
      <c r="N173" t="s">
        <v>209</v>
      </c>
      <c r="O173" t="s">
        <v>155</v>
      </c>
      <c r="P173">
        <v>1.2826294268300082E-2</v>
      </c>
      <c r="Q173" t="s">
        <v>153</v>
      </c>
      <c r="S173" t="s">
        <v>251</v>
      </c>
      <c r="T173" t="s">
        <v>155</v>
      </c>
      <c r="U173">
        <v>1.7862912931598151E-2</v>
      </c>
      <c r="V173" t="s">
        <v>153</v>
      </c>
    </row>
    <row r="174" spans="9:22" x14ac:dyDescent="0.45">
      <c r="I174" t="s">
        <v>166</v>
      </c>
      <c r="J174" t="s">
        <v>280</v>
      </c>
      <c r="K174">
        <v>0.12105219213789625</v>
      </c>
      <c r="L174" t="s">
        <v>153</v>
      </c>
      <c r="N174" t="s">
        <v>209</v>
      </c>
      <c r="O174" t="s">
        <v>280</v>
      </c>
      <c r="P174">
        <v>4.1847621783685444E-2</v>
      </c>
      <c r="Q174" t="s">
        <v>153</v>
      </c>
      <c r="S174" t="s">
        <v>251</v>
      </c>
      <c r="T174" t="s">
        <v>280</v>
      </c>
      <c r="U174">
        <v>5.1053400649466951E-2</v>
      </c>
      <c r="V174" t="s">
        <v>153</v>
      </c>
    </row>
    <row r="175" spans="9:22" x14ac:dyDescent="0.45">
      <c r="I175" t="s">
        <v>166</v>
      </c>
      <c r="J175" t="s">
        <v>281</v>
      </c>
      <c r="K175">
        <v>0.25156630604303448</v>
      </c>
      <c r="L175" t="s">
        <v>153</v>
      </c>
      <c r="N175" t="s">
        <v>209</v>
      </c>
      <c r="O175" t="s">
        <v>281</v>
      </c>
      <c r="P175">
        <v>0.12015691945576434</v>
      </c>
      <c r="Q175" t="s">
        <v>153</v>
      </c>
      <c r="S175" t="s">
        <v>251</v>
      </c>
      <c r="T175" t="s">
        <v>281</v>
      </c>
      <c r="U175">
        <v>0.12106464996838767</v>
      </c>
      <c r="V175" t="s">
        <v>153</v>
      </c>
    </row>
    <row r="176" spans="9:22" x14ac:dyDescent="0.45">
      <c r="I176" t="s">
        <v>166</v>
      </c>
      <c r="J176" t="s">
        <v>282</v>
      </c>
      <c r="K176">
        <v>3.2947893493069182E-2</v>
      </c>
      <c r="L176" t="s">
        <v>153</v>
      </c>
      <c r="N176" t="s">
        <v>209</v>
      </c>
      <c r="O176" t="s">
        <v>282</v>
      </c>
      <c r="P176">
        <v>2.3515678571248772E-2</v>
      </c>
      <c r="Q176" t="s">
        <v>153</v>
      </c>
      <c r="S176" t="s">
        <v>251</v>
      </c>
      <c r="T176" t="s">
        <v>282</v>
      </c>
      <c r="U176">
        <v>2.3636405272696556E-2</v>
      </c>
      <c r="V176" t="s">
        <v>153</v>
      </c>
    </row>
    <row r="177" spans="9:22" x14ac:dyDescent="0.45">
      <c r="I177" t="s">
        <v>166</v>
      </c>
      <c r="J177" t="s">
        <v>304</v>
      </c>
      <c r="K177">
        <v>1.7039233597011802E-2</v>
      </c>
      <c r="L177" t="s">
        <v>153</v>
      </c>
      <c r="N177" t="s">
        <v>209</v>
      </c>
      <c r="O177" t="s">
        <v>304</v>
      </c>
      <c r="P177">
        <v>2.5531120201462053E-2</v>
      </c>
      <c r="Q177" t="s">
        <v>153</v>
      </c>
      <c r="S177" t="s">
        <v>251</v>
      </c>
      <c r="T177" t="s">
        <v>304</v>
      </c>
      <c r="U177">
        <v>2.3648736976957081E-2</v>
      </c>
      <c r="V177" t="s">
        <v>153</v>
      </c>
    </row>
    <row r="178" spans="9:22" x14ac:dyDescent="0.45">
      <c r="I178" t="s">
        <v>166</v>
      </c>
      <c r="J178" t="s">
        <v>305</v>
      </c>
      <c r="K178">
        <v>4.7992601708210635E-3</v>
      </c>
      <c r="L178" t="s">
        <v>153</v>
      </c>
      <c r="N178" t="s">
        <v>209</v>
      </c>
      <c r="O178" t="s">
        <v>305</v>
      </c>
      <c r="P178">
        <v>0.11697668836435238</v>
      </c>
      <c r="Q178" t="s">
        <v>153</v>
      </c>
      <c r="S178" t="s">
        <v>251</v>
      </c>
      <c r="T178" t="s">
        <v>305</v>
      </c>
      <c r="U178">
        <v>0.11100375553842057</v>
      </c>
      <c r="V178" t="s">
        <v>153</v>
      </c>
    </row>
    <row r="179" spans="9:22" x14ac:dyDescent="0.45">
      <c r="I179" t="s">
        <v>166</v>
      </c>
      <c r="J179" t="s">
        <v>156</v>
      </c>
      <c r="K179">
        <v>0</v>
      </c>
      <c r="L179" t="s">
        <v>153</v>
      </c>
      <c r="N179" t="s">
        <v>209</v>
      </c>
      <c r="O179" t="s">
        <v>156</v>
      </c>
      <c r="P179">
        <v>4.6490896579248119E-2</v>
      </c>
      <c r="Q179" t="s">
        <v>153</v>
      </c>
      <c r="S179" t="s">
        <v>251</v>
      </c>
      <c r="T179" t="s">
        <v>156</v>
      </c>
      <c r="U179">
        <v>3.2334930070483742E-2</v>
      </c>
      <c r="V179" t="s">
        <v>153</v>
      </c>
    </row>
    <row r="180" spans="9:22" x14ac:dyDescent="0.45">
      <c r="I180" t="s">
        <v>166</v>
      </c>
      <c r="J180" t="s">
        <v>157</v>
      </c>
      <c r="K180">
        <v>0</v>
      </c>
      <c r="L180" t="s">
        <v>153</v>
      </c>
      <c r="N180" t="s">
        <v>209</v>
      </c>
      <c r="O180" t="s">
        <v>157</v>
      </c>
      <c r="P180">
        <v>7.6460344083344005E-3</v>
      </c>
      <c r="Q180" t="s">
        <v>153</v>
      </c>
      <c r="S180" t="s">
        <v>251</v>
      </c>
      <c r="T180" t="s">
        <v>157</v>
      </c>
      <c r="U180">
        <v>5.2378560028173305E-3</v>
      </c>
      <c r="V180" t="s">
        <v>153</v>
      </c>
    </row>
    <row r="181" spans="9:22" x14ac:dyDescent="0.45">
      <c r="I181" t="s">
        <v>166</v>
      </c>
      <c r="J181" t="s">
        <v>158</v>
      </c>
      <c r="K181">
        <v>1.6422227028177407E-3</v>
      </c>
      <c r="L181" t="s">
        <v>153</v>
      </c>
      <c r="N181" t="s">
        <v>209</v>
      </c>
      <c r="O181" t="s">
        <v>158</v>
      </c>
      <c r="P181">
        <v>7.6926434201663643E-3</v>
      </c>
      <c r="Q181" t="s">
        <v>153</v>
      </c>
      <c r="S181" t="s">
        <v>251</v>
      </c>
      <c r="T181" t="s">
        <v>158</v>
      </c>
      <c r="U181">
        <v>5.1872324930597813E-3</v>
      </c>
      <c r="V181" t="s">
        <v>153</v>
      </c>
    </row>
    <row r="182" spans="9:22" x14ac:dyDescent="0.45">
      <c r="I182" t="s">
        <v>166</v>
      </c>
      <c r="J182" t="s">
        <v>283</v>
      </c>
      <c r="K182">
        <v>2.9896384628238216E-2</v>
      </c>
      <c r="L182" t="s">
        <v>153</v>
      </c>
      <c r="N182" t="s">
        <v>209</v>
      </c>
      <c r="O182" t="s">
        <v>283</v>
      </c>
      <c r="P182">
        <v>2.3819431165029863E-2</v>
      </c>
      <c r="Q182" t="s">
        <v>153</v>
      </c>
      <c r="S182" t="s">
        <v>251</v>
      </c>
      <c r="T182" t="s">
        <v>283</v>
      </c>
      <c r="U182">
        <v>1.5171643256122476E-2</v>
      </c>
      <c r="V182" t="s">
        <v>153</v>
      </c>
    </row>
    <row r="183" spans="9:22" x14ac:dyDescent="0.45">
      <c r="I183" t="s">
        <v>166</v>
      </c>
      <c r="J183" t="s">
        <v>284</v>
      </c>
      <c r="K183">
        <v>6.8745191764145425E-2</v>
      </c>
      <c r="L183" t="s">
        <v>153</v>
      </c>
      <c r="N183" t="s">
        <v>209</v>
      </c>
      <c r="O183" t="s">
        <v>284</v>
      </c>
      <c r="P183">
        <v>6.2958878664925291E-2</v>
      </c>
      <c r="Q183" t="s">
        <v>153</v>
      </c>
      <c r="S183" t="s">
        <v>251</v>
      </c>
      <c r="T183" t="s">
        <v>284</v>
      </c>
      <c r="U183">
        <v>3.024378742878342E-2</v>
      </c>
      <c r="V183" t="s">
        <v>153</v>
      </c>
    </row>
    <row r="184" spans="9:22" x14ac:dyDescent="0.45">
      <c r="I184" t="s">
        <v>166</v>
      </c>
      <c r="J184" t="s">
        <v>285</v>
      </c>
      <c r="K184">
        <v>7.5380403628430778E-3</v>
      </c>
      <c r="L184" t="s">
        <v>153</v>
      </c>
      <c r="N184" t="s">
        <v>209</v>
      </c>
      <c r="O184" t="s">
        <v>285</v>
      </c>
      <c r="P184">
        <v>9.2547956418261249E-3</v>
      </c>
      <c r="Q184" t="s">
        <v>153</v>
      </c>
      <c r="S184" t="s">
        <v>251</v>
      </c>
      <c r="T184" t="s">
        <v>285</v>
      </c>
      <c r="U184">
        <v>6.1251462623150175E-3</v>
      </c>
      <c r="V184" t="s">
        <v>153</v>
      </c>
    </row>
    <row r="185" spans="9:22" x14ac:dyDescent="0.45">
      <c r="I185" t="s">
        <v>166</v>
      </c>
      <c r="J185" t="s">
        <v>306</v>
      </c>
      <c r="K185">
        <v>0</v>
      </c>
      <c r="L185" t="s">
        <v>153</v>
      </c>
      <c r="N185" t="s">
        <v>209</v>
      </c>
      <c r="O185" t="s">
        <v>306</v>
      </c>
      <c r="P185">
        <v>8.8154862842858197E-3</v>
      </c>
      <c r="Q185" t="s">
        <v>153</v>
      </c>
      <c r="S185" t="s">
        <v>251</v>
      </c>
      <c r="T185" t="s">
        <v>306</v>
      </c>
      <c r="U185">
        <v>6.2181322915701069E-3</v>
      </c>
      <c r="V185" t="s">
        <v>153</v>
      </c>
    </row>
    <row r="186" spans="9:22" x14ac:dyDescent="0.45">
      <c r="I186" t="s">
        <v>166</v>
      </c>
      <c r="J186" t="s">
        <v>307</v>
      </c>
      <c r="K186">
        <v>0</v>
      </c>
      <c r="L186" t="s">
        <v>153</v>
      </c>
      <c r="N186" t="s">
        <v>209</v>
      </c>
      <c r="O186" t="s">
        <v>307</v>
      </c>
      <c r="P186">
        <v>4.0820749596964287E-2</v>
      </c>
      <c r="Q186" t="s">
        <v>153</v>
      </c>
      <c r="S186" t="s">
        <v>251</v>
      </c>
      <c r="T186" t="s">
        <v>307</v>
      </c>
      <c r="U186">
        <v>2.934869853495168E-2</v>
      </c>
      <c r="V186" t="s">
        <v>153</v>
      </c>
    </row>
    <row r="187" spans="9:22" x14ac:dyDescent="0.45">
      <c r="I187" t="s">
        <v>166</v>
      </c>
      <c r="J187" t="s">
        <v>159</v>
      </c>
      <c r="K187">
        <v>0</v>
      </c>
      <c r="L187" t="s">
        <v>153</v>
      </c>
      <c r="N187" t="s">
        <v>209</v>
      </c>
      <c r="O187" t="s">
        <v>159</v>
      </c>
      <c r="P187">
        <v>5.401334582095893E-2</v>
      </c>
      <c r="Q187" t="s">
        <v>153</v>
      </c>
      <c r="S187" t="s">
        <v>251</v>
      </c>
      <c r="T187" t="s">
        <v>159</v>
      </c>
      <c r="U187">
        <v>7.2504539243784277E-2</v>
      </c>
      <c r="V187" t="s">
        <v>153</v>
      </c>
    </row>
    <row r="188" spans="9:22" x14ac:dyDescent="0.45">
      <c r="I188" t="s">
        <v>166</v>
      </c>
      <c r="J188" t="s">
        <v>160</v>
      </c>
      <c r="K188">
        <v>1.0544847873811856E-2</v>
      </c>
      <c r="L188" t="s">
        <v>153</v>
      </c>
      <c r="N188" t="s">
        <v>209</v>
      </c>
      <c r="O188" t="s">
        <v>160</v>
      </c>
      <c r="P188">
        <v>8.3520988775064326E-3</v>
      </c>
      <c r="Q188" t="s">
        <v>153</v>
      </c>
      <c r="S188" t="s">
        <v>251</v>
      </c>
      <c r="T188" t="s">
        <v>160</v>
      </c>
      <c r="U188">
        <v>1.1637930887614504E-2</v>
      </c>
      <c r="V188" t="s">
        <v>153</v>
      </c>
    </row>
    <row r="189" spans="9:22" x14ac:dyDescent="0.45">
      <c r="I189" t="s">
        <v>166</v>
      </c>
      <c r="J189" t="s">
        <v>161</v>
      </c>
      <c r="K189">
        <v>2.1771982319091027E-2</v>
      </c>
      <c r="L189" t="s">
        <v>153</v>
      </c>
      <c r="N189" t="s">
        <v>209</v>
      </c>
      <c r="O189" t="s">
        <v>161</v>
      </c>
      <c r="P189">
        <v>8.3824578392243439E-3</v>
      </c>
      <c r="Q189" t="s">
        <v>153</v>
      </c>
      <c r="S189" t="s">
        <v>251</v>
      </c>
      <c r="T189" t="s">
        <v>161</v>
      </c>
      <c r="U189">
        <v>1.117988280761013E-2</v>
      </c>
      <c r="V189" t="s">
        <v>153</v>
      </c>
    </row>
    <row r="190" spans="9:22" x14ac:dyDescent="0.45">
      <c r="I190" t="s">
        <v>166</v>
      </c>
      <c r="J190" t="s">
        <v>286</v>
      </c>
      <c r="K190">
        <v>8.3427478621133241E-2</v>
      </c>
      <c r="L190" t="s">
        <v>153</v>
      </c>
      <c r="N190" t="s">
        <v>209</v>
      </c>
      <c r="O190" t="s">
        <v>286</v>
      </c>
      <c r="P190">
        <v>3.0198895994092197E-2</v>
      </c>
      <c r="Q190" t="s">
        <v>153</v>
      </c>
      <c r="S190" t="s">
        <v>251</v>
      </c>
      <c r="T190" t="s">
        <v>286</v>
      </c>
      <c r="U190">
        <v>3.2046416219230781E-2</v>
      </c>
      <c r="V190" t="s">
        <v>153</v>
      </c>
    </row>
    <row r="191" spans="9:22" x14ac:dyDescent="0.45">
      <c r="I191" t="s">
        <v>166</v>
      </c>
      <c r="J191" t="s">
        <v>287</v>
      </c>
      <c r="K191">
        <v>0.17370192543050653</v>
      </c>
      <c r="L191" t="s">
        <v>153</v>
      </c>
      <c r="N191" t="s">
        <v>209</v>
      </c>
      <c r="O191" t="s">
        <v>287</v>
      </c>
      <c r="P191">
        <v>8.3054371789058792E-2</v>
      </c>
      <c r="Q191" t="s">
        <v>153</v>
      </c>
      <c r="S191" t="s">
        <v>251</v>
      </c>
      <c r="T191" t="s">
        <v>287</v>
      </c>
      <c r="U191">
        <v>7.8409475653735822E-2</v>
      </c>
      <c r="V191" t="s">
        <v>153</v>
      </c>
    </row>
    <row r="192" spans="9:22" x14ac:dyDescent="0.45">
      <c r="I192" t="s">
        <v>166</v>
      </c>
      <c r="J192" t="s">
        <v>288</v>
      </c>
      <c r="K192">
        <v>2.2188432022394365E-2</v>
      </c>
      <c r="L192" t="s">
        <v>153</v>
      </c>
      <c r="N192" t="s">
        <v>209</v>
      </c>
      <c r="O192" t="s">
        <v>288</v>
      </c>
      <c r="P192">
        <v>1.5726242057667136E-2</v>
      </c>
      <c r="Q192" t="s">
        <v>153</v>
      </c>
      <c r="S192" t="s">
        <v>251</v>
      </c>
      <c r="T192" t="s">
        <v>288</v>
      </c>
      <c r="U192">
        <v>1.4958383689762227E-2</v>
      </c>
      <c r="V192" t="s">
        <v>153</v>
      </c>
    </row>
    <row r="193" spans="9:22" x14ac:dyDescent="0.45">
      <c r="I193" t="s">
        <v>166</v>
      </c>
      <c r="J193" t="s">
        <v>308</v>
      </c>
      <c r="K193">
        <v>1.1098653841901888E-2</v>
      </c>
      <c r="L193" t="s">
        <v>153</v>
      </c>
      <c r="N193" t="s">
        <v>209</v>
      </c>
      <c r="O193" t="s">
        <v>308</v>
      </c>
      <c r="P193">
        <v>1.6010906662257986E-2</v>
      </c>
      <c r="Q193" t="s">
        <v>153</v>
      </c>
      <c r="S193" t="s">
        <v>251</v>
      </c>
      <c r="T193" t="s">
        <v>308</v>
      </c>
      <c r="U193">
        <v>1.4797729975753448E-2</v>
      </c>
      <c r="V193" t="s">
        <v>153</v>
      </c>
    </row>
    <row r="194" spans="9:22" x14ac:dyDescent="0.45">
      <c r="I194" t="s">
        <v>166</v>
      </c>
      <c r="J194" t="s">
        <v>309</v>
      </c>
      <c r="K194">
        <v>0</v>
      </c>
      <c r="L194" t="s">
        <v>153</v>
      </c>
      <c r="N194" t="s">
        <v>209</v>
      </c>
      <c r="O194" t="s">
        <v>309</v>
      </c>
      <c r="P194">
        <v>6.6172103466087095E-2</v>
      </c>
      <c r="Q194" t="s">
        <v>153</v>
      </c>
      <c r="S194" t="s">
        <v>251</v>
      </c>
      <c r="T194" t="s">
        <v>309</v>
      </c>
      <c r="U194">
        <v>6.6312086107927229E-2</v>
      </c>
      <c r="V194" t="s">
        <v>153</v>
      </c>
    </row>
    <row r="195" spans="9:22" x14ac:dyDescent="0.45">
      <c r="I195" t="s">
        <v>166</v>
      </c>
      <c r="J195" t="s">
        <v>294</v>
      </c>
      <c r="K195">
        <v>0</v>
      </c>
      <c r="L195" t="s">
        <v>153</v>
      </c>
      <c r="N195" t="s">
        <v>209</v>
      </c>
      <c r="O195" t="s">
        <v>294</v>
      </c>
      <c r="P195">
        <v>1.1324325049199859E-2</v>
      </c>
      <c r="Q195" t="s">
        <v>153</v>
      </c>
      <c r="S195" t="s">
        <v>251</v>
      </c>
      <c r="T195" t="s">
        <v>294</v>
      </c>
      <c r="U195">
        <v>1.8368057635080304E-2</v>
      </c>
      <c r="V195" t="s">
        <v>153</v>
      </c>
    </row>
    <row r="196" spans="9:22" x14ac:dyDescent="0.45">
      <c r="I196" t="s">
        <v>166</v>
      </c>
      <c r="J196" t="s">
        <v>295</v>
      </c>
      <c r="K196">
        <v>5.2178785500875714E-3</v>
      </c>
      <c r="L196" t="s">
        <v>153</v>
      </c>
      <c r="N196" t="s">
        <v>209</v>
      </c>
      <c r="O196" t="s">
        <v>295</v>
      </c>
      <c r="P196">
        <v>1.1731238857039126E-3</v>
      </c>
      <c r="Q196" t="s">
        <v>153</v>
      </c>
      <c r="S196" t="s">
        <v>251</v>
      </c>
      <c r="T196" t="s">
        <v>295</v>
      </c>
      <c r="U196">
        <v>2.7714994825550668E-3</v>
      </c>
      <c r="V196" t="s">
        <v>153</v>
      </c>
    </row>
    <row r="197" spans="9:22" x14ac:dyDescent="0.45">
      <c r="I197" t="s">
        <v>166</v>
      </c>
      <c r="J197" t="s">
        <v>296</v>
      </c>
      <c r="K197">
        <v>7.7805182301910782E-3</v>
      </c>
      <c r="L197" t="s">
        <v>153</v>
      </c>
      <c r="N197" t="s">
        <v>209</v>
      </c>
      <c r="O197" t="s">
        <v>296</v>
      </c>
      <c r="P197">
        <v>1.2498313459652747E-3</v>
      </c>
      <c r="Q197" t="s">
        <v>153</v>
      </c>
      <c r="S197" t="s">
        <v>251</v>
      </c>
      <c r="T197" t="s">
        <v>296</v>
      </c>
      <c r="U197">
        <v>2.7321264599685755E-3</v>
      </c>
      <c r="V197" t="s">
        <v>153</v>
      </c>
    </row>
    <row r="198" spans="9:22" x14ac:dyDescent="0.45">
      <c r="I198" t="s">
        <v>166</v>
      </c>
      <c r="J198" t="s">
        <v>297</v>
      </c>
      <c r="K198">
        <v>2.7257285238248691E-2</v>
      </c>
      <c r="L198" t="s">
        <v>153</v>
      </c>
      <c r="N198" t="s">
        <v>209</v>
      </c>
      <c r="O198" t="s">
        <v>297</v>
      </c>
      <c r="P198">
        <v>4.0908716491590801E-3</v>
      </c>
      <c r="Q198" t="s">
        <v>153</v>
      </c>
      <c r="S198" t="s">
        <v>251</v>
      </c>
      <c r="T198" t="s">
        <v>297</v>
      </c>
      <c r="U198">
        <v>8.3914144183131114E-3</v>
      </c>
      <c r="V198" t="s">
        <v>153</v>
      </c>
    </row>
    <row r="199" spans="9:22" x14ac:dyDescent="0.45">
      <c r="I199" t="s">
        <v>166</v>
      </c>
      <c r="J199" t="s">
        <v>298</v>
      </c>
      <c r="K199">
        <v>5.3315385700303357E-2</v>
      </c>
      <c r="L199" t="s">
        <v>153</v>
      </c>
      <c r="N199" t="s">
        <v>209</v>
      </c>
      <c r="O199" t="s">
        <v>298</v>
      </c>
      <c r="P199">
        <v>1.4438547728577293E-2</v>
      </c>
      <c r="Q199" t="s">
        <v>153</v>
      </c>
      <c r="S199" t="s">
        <v>251</v>
      </c>
      <c r="T199" t="s">
        <v>298</v>
      </c>
      <c r="U199">
        <v>2.1527547763773931E-2</v>
      </c>
      <c r="V199" t="s">
        <v>153</v>
      </c>
    </row>
    <row r="200" spans="9:22" x14ac:dyDescent="0.45">
      <c r="I200" t="s">
        <v>166</v>
      </c>
      <c r="J200" t="s">
        <v>299</v>
      </c>
      <c r="K200">
        <v>6.8644419732605899E-3</v>
      </c>
      <c r="L200" t="s">
        <v>153</v>
      </c>
      <c r="N200" t="s">
        <v>209</v>
      </c>
      <c r="O200" t="s">
        <v>299</v>
      </c>
      <c r="P200">
        <v>4.6788478251827328E-3</v>
      </c>
      <c r="Q200" t="s">
        <v>153</v>
      </c>
      <c r="S200" t="s">
        <v>251</v>
      </c>
      <c r="T200" t="s">
        <v>299</v>
      </c>
      <c r="U200">
        <v>4.2493864822585672E-3</v>
      </c>
      <c r="V200" t="s">
        <v>153</v>
      </c>
    </row>
    <row r="201" spans="9:22" x14ac:dyDescent="0.45">
      <c r="I201" t="s">
        <v>166</v>
      </c>
      <c r="J201" t="s">
        <v>310</v>
      </c>
      <c r="K201">
        <v>5.0644334176850022E-3</v>
      </c>
      <c r="L201" t="s">
        <v>153</v>
      </c>
      <c r="N201" t="s">
        <v>209</v>
      </c>
      <c r="O201" t="s">
        <v>310</v>
      </c>
      <c r="P201">
        <v>5.7404451455628711E-3</v>
      </c>
      <c r="Q201" t="s">
        <v>153</v>
      </c>
      <c r="S201" t="s">
        <v>251</v>
      </c>
      <c r="T201" t="s">
        <v>310</v>
      </c>
      <c r="U201">
        <v>4.2533885180468861E-3</v>
      </c>
      <c r="V201" t="s">
        <v>153</v>
      </c>
    </row>
    <row r="202" spans="9:22" x14ac:dyDescent="0.45">
      <c r="I202" t="s">
        <v>166</v>
      </c>
      <c r="J202" t="s">
        <v>311</v>
      </c>
      <c r="K202">
        <v>1.6797717965306848E-3</v>
      </c>
      <c r="L202" t="s">
        <v>153</v>
      </c>
      <c r="N202" t="s">
        <v>209</v>
      </c>
      <c r="O202" t="s">
        <v>311</v>
      </c>
      <c r="P202">
        <v>2.4485448068106052E-2</v>
      </c>
      <c r="Q202" t="s">
        <v>153</v>
      </c>
      <c r="S202" t="s">
        <v>251</v>
      </c>
      <c r="T202" t="s">
        <v>311</v>
      </c>
      <c r="U202">
        <v>1.9481352331235085E-2</v>
      </c>
      <c r="V202" t="s">
        <v>153</v>
      </c>
    </row>
    <row r="203" spans="9:22" x14ac:dyDescent="0.45">
      <c r="I203" t="s">
        <v>167</v>
      </c>
      <c r="J203" t="s">
        <v>152</v>
      </c>
      <c r="K203">
        <v>0</v>
      </c>
      <c r="L203" t="s">
        <v>153</v>
      </c>
      <c r="N203" t="s">
        <v>210</v>
      </c>
      <c r="O203" t="s">
        <v>152</v>
      </c>
      <c r="P203">
        <v>5.803434055592014E-2</v>
      </c>
      <c r="Q203" t="s">
        <v>153</v>
      </c>
      <c r="S203" t="s">
        <v>252</v>
      </c>
      <c r="T203" t="s">
        <v>152</v>
      </c>
      <c r="U203">
        <v>0.10154583096240408</v>
      </c>
      <c r="V203" t="s">
        <v>153</v>
      </c>
    </row>
    <row r="204" spans="9:22" x14ac:dyDescent="0.45">
      <c r="I204" t="s">
        <v>167</v>
      </c>
      <c r="J204" t="s">
        <v>154</v>
      </c>
      <c r="K204">
        <v>9.7249917357243865E-3</v>
      </c>
      <c r="L204" t="s">
        <v>153</v>
      </c>
      <c r="N204" t="s">
        <v>210</v>
      </c>
      <c r="O204" t="s">
        <v>154</v>
      </c>
      <c r="P204">
        <v>9.806994210198575E-3</v>
      </c>
      <c r="Q204" t="s">
        <v>153</v>
      </c>
      <c r="S204" t="s">
        <v>252</v>
      </c>
      <c r="T204" t="s">
        <v>154</v>
      </c>
      <c r="U204">
        <v>1.6575584607542219E-2</v>
      </c>
      <c r="V204" t="s">
        <v>153</v>
      </c>
    </row>
    <row r="205" spans="9:22" x14ac:dyDescent="0.45">
      <c r="I205" t="s">
        <v>167</v>
      </c>
      <c r="J205" t="s">
        <v>155</v>
      </c>
      <c r="K205">
        <v>2.9514981991541175E-2</v>
      </c>
      <c r="L205" t="s">
        <v>153</v>
      </c>
      <c r="N205" t="s">
        <v>210</v>
      </c>
      <c r="O205" t="s">
        <v>155</v>
      </c>
      <c r="P205">
        <v>9.8752801216870252E-3</v>
      </c>
      <c r="Q205" t="s">
        <v>153</v>
      </c>
      <c r="S205" t="s">
        <v>252</v>
      </c>
      <c r="T205" t="s">
        <v>155</v>
      </c>
      <c r="U205">
        <v>1.6591397003064078E-2</v>
      </c>
      <c r="V205" t="s">
        <v>153</v>
      </c>
    </row>
    <row r="206" spans="9:22" x14ac:dyDescent="0.45">
      <c r="I206" t="s">
        <v>167</v>
      </c>
      <c r="J206" t="s">
        <v>280</v>
      </c>
      <c r="K206">
        <v>0.1221684421149824</v>
      </c>
      <c r="L206" t="s">
        <v>153</v>
      </c>
      <c r="N206" t="s">
        <v>210</v>
      </c>
      <c r="O206" t="s">
        <v>280</v>
      </c>
      <c r="P206">
        <v>3.3703845216199686E-2</v>
      </c>
      <c r="Q206" t="s">
        <v>153</v>
      </c>
      <c r="S206" t="s">
        <v>252</v>
      </c>
      <c r="T206" t="s">
        <v>280</v>
      </c>
      <c r="U206">
        <v>5.0738679530297336E-2</v>
      </c>
      <c r="V206" t="s">
        <v>153</v>
      </c>
    </row>
    <row r="207" spans="9:22" x14ac:dyDescent="0.45">
      <c r="I207" t="s">
        <v>167</v>
      </c>
      <c r="J207" t="s">
        <v>281</v>
      </c>
      <c r="K207">
        <v>0.25057005421389694</v>
      </c>
      <c r="L207" t="s">
        <v>153</v>
      </c>
      <c r="N207" t="s">
        <v>210</v>
      </c>
      <c r="O207" t="s">
        <v>281</v>
      </c>
      <c r="P207">
        <v>0.14719074084435713</v>
      </c>
      <c r="Q207" t="s">
        <v>153</v>
      </c>
      <c r="S207" t="s">
        <v>252</v>
      </c>
      <c r="T207" t="s">
        <v>281</v>
      </c>
      <c r="U207">
        <v>0.11426463615680738</v>
      </c>
      <c r="V207" t="s">
        <v>153</v>
      </c>
    </row>
    <row r="208" spans="9:22" x14ac:dyDescent="0.45">
      <c r="I208" t="s">
        <v>167</v>
      </c>
      <c r="J208" t="s">
        <v>282</v>
      </c>
      <c r="K208">
        <v>3.2127511515312047E-2</v>
      </c>
      <c r="L208" t="s">
        <v>153</v>
      </c>
      <c r="N208" t="s">
        <v>210</v>
      </c>
      <c r="O208" t="s">
        <v>282</v>
      </c>
      <c r="P208">
        <v>1.7464768662853798E-2</v>
      </c>
      <c r="Q208" t="s">
        <v>153</v>
      </c>
      <c r="S208" t="s">
        <v>252</v>
      </c>
      <c r="T208" t="s">
        <v>282</v>
      </c>
      <c r="U208">
        <v>2.0864871028943417E-2</v>
      </c>
      <c r="V208" t="s">
        <v>153</v>
      </c>
    </row>
    <row r="209" spans="9:22" x14ac:dyDescent="0.45">
      <c r="I209" t="s">
        <v>167</v>
      </c>
      <c r="J209" t="s">
        <v>304</v>
      </c>
      <c r="K209">
        <v>1.6887347001260145E-2</v>
      </c>
      <c r="L209" t="s">
        <v>153</v>
      </c>
      <c r="N209" t="s">
        <v>210</v>
      </c>
      <c r="O209" t="s">
        <v>304</v>
      </c>
      <c r="P209">
        <v>1.3543357933402585E-2</v>
      </c>
      <c r="Q209" t="s">
        <v>153</v>
      </c>
      <c r="S209" t="s">
        <v>252</v>
      </c>
      <c r="T209" t="s">
        <v>304</v>
      </c>
      <c r="U209">
        <v>2.054923924449821E-2</v>
      </c>
      <c r="V209" t="s">
        <v>153</v>
      </c>
    </row>
    <row r="210" spans="9:22" x14ac:dyDescent="0.45">
      <c r="I210" t="s">
        <v>167</v>
      </c>
      <c r="J210" t="s">
        <v>305</v>
      </c>
      <c r="K210">
        <v>4.0614946563306605E-3</v>
      </c>
      <c r="L210" t="s">
        <v>153</v>
      </c>
      <c r="N210" t="s">
        <v>210</v>
      </c>
      <c r="O210" t="s">
        <v>305</v>
      </c>
      <c r="P210">
        <v>5.2709659665367566E-2</v>
      </c>
      <c r="Q210" t="s">
        <v>153</v>
      </c>
      <c r="S210" t="s">
        <v>252</v>
      </c>
      <c r="T210" t="s">
        <v>305</v>
      </c>
      <c r="U210">
        <v>9.3603441746969454E-2</v>
      </c>
      <c r="V210" t="s">
        <v>153</v>
      </c>
    </row>
    <row r="211" spans="9:22" x14ac:dyDescent="0.45">
      <c r="I211" t="s">
        <v>167</v>
      </c>
      <c r="J211" t="s">
        <v>156</v>
      </c>
      <c r="K211">
        <v>0</v>
      </c>
      <c r="L211" t="s">
        <v>153</v>
      </c>
      <c r="N211" t="s">
        <v>210</v>
      </c>
      <c r="O211" t="s">
        <v>156</v>
      </c>
      <c r="P211">
        <v>4.7300752135597861E-2</v>
      </c>
      <c r="Q211" t="s">
        <v>153</v>
      </c>
      <c r="S211" t="s">
        <v>252</v>
      </c>
      <c r="T211" t="s">
        <v>156</v>
      </c>
      <c r="U211">
        <v>4.7742520661097007E-2</v>
      </c>
      <c r="V211" t="s">
        <v>153</v>
      </c>
    </row>
    <row r="212" spans="9:22" x14ac:dyDescent="0.45">
      <c r="I212" t="s">
        <v>167</v>
      </c>
      <c r="J212" t="s">
        <v>157</v>
      </c>
      <c r="K212">
        <v>0</v>
      </c>
      <c r="L212" t="s">
        <v>153</v>
      </c>
      <c r="N212" t="s">
        <v>210</v>
      </c>
      <c r="O212" t="s">
        <v>157</v>
      </c>
      <c r="P212">
        <v>7.333391308145417E-3</v>
      </c>
      <c r="Q212" t="s">
        <v>153</v>
      </c>
      <c r="S212" t="s">
        <v>252</v>
      </c>
      <c r="T212" t="s">
        <v>157</v>
      </c>
      <c r="U212">
        <v>8.0831346557981194E-3</v>
      </c>
      <c r="V212" t="s">
        <v>153</v>
      </c>
    </row>
    <row r="213" spans="9:22" x14ac:dyDescent="0.45">
      <c r="I213" t="s">
        <v>167</v>
      </c>
      <c r="J213" t="s">
        <v>158</v>
      </c>
      <c r="K213">
        <v>2.0671119961976955E-3</v>
      </c>
      <c r="L213" t="s">
        <v>153</v>
      </c>
      <c r="N213" t="s">
        <v>210</v>
      </c>
      <c r="O213" t="s">
        <v>158</v>
      </c>
      <c r="P213">
        <v>6.9985541132956859E-3</v>
      </c>
      <c r="Q213" t="s">
        <v>153</v>
      </c>
      <c r="S213" t="s">
        <v>252</v>
      </c>
      <c r="T213" t="s">
        <v>158</v>
      </c>
      <c r="U213">
        <v>7.9793468955026217E-3</v>
      </c>
      <c r="V213" t="s">
        <v>153</v>
      </c>
    </row>
    <row r="214" spans="9:22" x14ac:dyDescent="0.45">
      <c r="I214" t="s">
        <v>167</v>
      </c>
      <c r="J214" t="s">
        <v>283</v>
      </c>
      <c r="K214">
        <v>2.7987530537450709E-2</v>
      </c>
      <c r="L214" t="s">
        <v>153</v>
      </c>
      <c r="N214" t="s">
        <v>210</v>
      </c>
      <c r="O214" t="s">
        <v>283</v>
      </c>
      <c r="P214">
        <v>1.9535176598866767E-2</v>
      </c>
      <c r="Q214" t="s">
        <v>153</v>
      </c>
      <c r="S214" t="s">
        <v>252</v>
      </c>
      <c r="T214" t="s">
        <v>283</v>
      </c>
      <c r="U214">
        <v>2.2522074921445454E-2</v>
      </c>
      <c r="V214" t="s">
        <v>153</v>
      </c>
    </row>
    <row r="215" spans="9:22" x14ac:dyDescent="0.45">
      <c r="I215" t="s">
        <v>167</v>
      </c>
      <c r="J215" t="s">
        <v>284</v>
      </c>
      <c r="K215">
        <v>6.5096553823734318E-2</v>
      </c>
      <c r="L215" t="s">
        <v>153</v>
      </c>
      <c r="N215" t="s">
        <v>210</v>
      </c>
      <c r="O215" t="s">
        <v>284</v>
      </c>
      <c r="P215">
        <v>9.5938394645774069E-2</v>
      </c>
      <c r="Q215" t="s">
        <v>153</v>
      </c>
      <c r="S215" t="s">
        <v>252</v>
      </c>
      <c r="T215" t="s">
        <v>284</v>
      </c>
      <c r="U215">
        <v>4.1996420812059565E-2</v>
      </c>
      <c r="V215" t="s">
        <v>153</v>
      </c>
    </row>
    <row r="216" spans="9:22" x14ac:dyDescent="0.45">
      <c r="I216" t="s">
        <v>167</v>
      </c>
      <c r="J216" t="s">
        <v>285</v>
      </c>
      <c r="K216">
        <v>7.2439528171806935E-3</v>
      </c>
      <c r="L216" t="s">
        <v>153</v>
      </c>
      <c r="N216" t="s">
        <v>210</v>
      </c>
      <c r="O216" t="s">
        <v>285</v>
      </c>
      <c r="P216">
        <v>9.8337972025361858E-3</v>
      </c>
      <c r="Q216" t="s">
        <v>153</v>
      </c>
      <c r="S216" t="s">
        <v>252</v>
      </c>
      <c r="T216" t="s">
        <v>285</v>
      </c>
      <c r="U216">
        <v>7.994567403712417E-3</v>
      </c>
      <c r="V216" t="s">
        <v>153</v>
      </c>
    </row>
    <row r="217" spans="9:22" x14ac:dyDescent="0.45">
      <c r="I217" t="s">
        <v>167</v>
      </c>
      <c r="J217" t="s">
        <v>306</v>
      </c>
      <c r="K217">
        <v>0</v>
      </c>
      <c r="L217" t="s">
        <v>153</v>
      </c>
      <c r="N217" t="s">
        <v>210</v>
      </c>
      <c r="O217" t="s">
        <v>306</v>
      </c>
      <c r="P217">
        <v>7.8647209298619222E-3</v>
      </c>
      <c r="Q217" t="s">
        <v>153</v>
      </c>
      <c r="S217" t="s">
        <v>252</v>
      </c>
      <c r="T217" t="s">
        <v>306</v>
      </c>
      <c r="U217">
        <v>8.0793774928606538E-3</v>
      </c>
      <c r="V217" t="s">
        <v>153</v>
      </c>
    </row>
    <row r="218" spans="9:22" x14ac:dyDescent="0.45">
      <c r="I218" t="s">
        <v>167</v>
      </c>
      <c r="J218" t="s">
        <v>307</v>
      </c>
      <c r="K218">
        <v>0</v>
      </c>
      <c r="L218" t="s">
        <v>153</v>
      </c>
      <c r="N218" t="s">
        <v>210</v>
      </c>
      <c r="O218" t="s">
        <v>307</v>
      </c>
      <c r="P218">
        <v>3.1800159453118905E-2</v>
      </c>
      <c r="Q218" t="s">
        <v>153</v>
      </c>
      <c r="S218" t="s">
        <v>252</v>
      </c>
      <c r="T218" t="s">
        <v>307</v>
      </c>
      <c r="U218">
        <v>3.9539774098160133E-2</v>
      </c>
      <c r="V218" t="s">
        <v>153</v>
      </c>
    </row>
    <row r="219" spans="9:22" x14ac:dyDescent="0.45">
      <c r="I219" t="s">
        <v>167</v>
      </c>
      <c r="J219" t="s">
        <v>159</v>
      </c>
      <c r="K219">
        <v>4.4006162839017178E-5</v>
      </c>
      <c r="L219" t="s">
        <v>153</v>
      </c>
      <c r="N219" t="s">
        <v>210</v>
      </c>
      <c r="O219" t="s">
        <v>159</v>
      </c>
      <c r="P219">
        <v>5.5781138122643882E-2</v>
      </c>
      <c r="Q219" t="s">
        <v>153</v>
      </c>
      <c r="S219" t="s">
        <v>252</v>
      </c>
      <c r="T219" t="s">
        <v>159</v>
      </c>
      <c r="U219">
        <v>7.3451400797347216E-2</v>
      </c>
      <c r="V219" t="s">
        <v>153</v>
      </c>
    </row>
    <row r="220" spans="9:22" x14ac:dyDescent="0.45">
      <c r="I220" t="s">
        <v>167</v>
      </c>
      <c r="J220" t="s">
        <v>160</v>
      </c>
      <c r="K220">
        <v>1.2197892796503176E-2</v>
      </c>
      <c r="L220" t="s">
        <v>153</v>
      </c>
      <c r="N220" t="s">
        <v>210</v>
      </c>
      <c r="O220" t="s">
        <v>160</v>
      </c>
      <c r="P220">
        <v>9.0747124598331737E-3</v>
      </c>
      <c r="Q220" t="s">
        <v>153</v>
      </c>
      <c r="S220" t="s">
        <v>252</v>
      </c>
      <c r="T220" t="s">
        <v>160</v>
      </c>
      <c r="U220">
        <v>1.2935828436297018E-2</v>
      </c>
      <c r="V220" t="s">
        <v>153</v>
      </c>
    </row>
    <row r="221" spans="9:22" x14ac:dyDescent="0.45">
      <c r="I221" t="s">
        <v>167</v>
      </c>
      <c r="J221" t="s">
        <v>161</v>
      </c>
      <c r="K221">
        <v>2.2972028095942162E-2</v>
      </c>
      <c r="L221" t="s">
        <v>153</v>
      </c>
      <c r="N221" t="s">
        <v>210</v>
      </c>
      <c r="O221" t="s">
        <v>161</v>
      </c>
      <c r="P221">
        <v>8.7979532459285647E-3</v>
      </c>
      <c r="Q221" t="s">
        <v>153</v>
      </c>
      <c r="S221" t="s">
        <v>252</v>
      </c>
      <c r="T221" t="s">
        <v>161</v>
      </c>
      <c r="U221">
        <v>1.2850180972865607E-2</v>
      </c>
      <c r="V221" t="s">
        <v>153</v>
      </c>
    </row>
    <row r="222" spans="9:22" x14ac:dyDescent="0.45">
      <c r="I222" t="s">
        <v>167</v>
      </c>
      <c r="J222" t="s">
        <v>286</v>
      </c>
      <c r="K222">
        <v>8.445344325675383E-2</v>
      </c>
      <c r="L222" t="s">
        <v>153</v>
      </c>
      <c r="N222" t="s">
        <v>210</v>
      </c>
      <c r="O222" t="s">
        <v>286</v>
      </c>
      <c r="P222">
        <v>4.9250172965313123E-2</v>
      </c>
      <c r="Q222" t="s">
        <v>153</v>
      </c>
      <c r="S222" t="s">
        <v>252</v>
      </c>
      <c r="T222" t="s">
        <v>286</v>
      </c>
      <c r="U222">
        <v>3.8126570852779235E-2</v>
      </c>
      <c r="V222" t="s">
        <v>153</v>
      </c>
    </row>
    <row r="223" spans="9:22" x14ac:dyDescent="0.45">
      <c r="I223" t="s">
        <v>167</v>
      </c>
      <c r="J223" t="s">
        <v>287</v>
      </c>
      <c r="K223">
        <v>0.17330331597908516</v>
      </c>
      <c r="L223" t="s">
        <v>153</v>
      </c>
      <c r="N223" t="s">
        <v>210</v>
      </c>
      <c r="O223" t="s">
        <v>287</v>
      </c>
      <c r="P223">
        <v>0.19077525176967575</v>
      </c>
      <c r="Q223" t="s">
        <v>153</v>
      </c>
      <c r="S223" t="s">
        <v>252</v>
      </c>
      <c r="T223" t="s">
        <v>287</v>
      </c>
      <c r="U223">
        <v>8.72450436637391E-2</v>
      </c>
      <c r="V223" t="s">
        <v>153</v>
      </c>
    </row>
    <row r="224" spans="9:22" x14ac:dyDescent="0.45">
      <c r="I224" t="s">
        <v>167</v>
      </c>
      <c r="J224" t="s">
        <v>288</v>
      </c>
      <c r="K224">
        <v>2.1864836306637891E-2</v>
      </c>
      <c r="L224" t="s">
        <v>153</v>
      </c>
      <c r="N224" t="s">
        <v>210</v>
      </c>
      <c r="O224" t="s">
        <v>288</v>
      </c>
      <c r="P224">
        <v>2.2272644493498479E-2</v>
      </c>
      <c r="Q224" t="s">
        <v>153</v>
      </c>
      <c r="S224" t="s">
        <v>252</v>
      </c>
      <c r="T224" t="s">
        <v>288</v>
      </c>
      <c r="U224">
        <v>1.4943936744048052E-2</v>
      </c>
      <c r="V224" t="s">
        <v>153</v>
      </c>
    </row>
    <row r="225" spans="9:22" x14ac:dyDescent="0.45">
      <c r="I225" t="s">
        <v>167</v>
      </c>
      <c r="J225" t="s">
        <v>308</v>
      </c>
      <c r="K225">
        <v>9.5774725308283258E-3</v>
      </c>
      <c r="L225" t="s">
        <v>153</v>
      </c>
      <c r="N225" t="s">
        <v>210</v>
      </c>
      <c r="O225" t="s">
        <v>308</v>
      </c>
      <c r="P225">
        <v>1.4934755487138312E-2</v>
      </c>
      <c r="Q225" t="s">
        <v>153</v>
      </c>
      <c r="S225" t="s">
        <v>252</v>
      </c>
      <c r="T225" t="s">
        <v>308</v>
      </c>
      <c r="U225">
        <v>1.4431323235108495E-2</v>
      </c>
      <c r="V225" t="s">
        <v>153</v>
      </c>
    </row>
    <row r="226" spans="9:22" x14ac:dyDescent="0.45">
      <c r="I226" t="s">
        <v>167</v>
      </c>
      <c r="J226" t="s">
        <v>309</v>
      </c>
      <c r="K226">
        <v>0</v>
      </c>
      <c r="L226" t="s">
        <v>153</v>
      </c>
      <c r="N226" t="s">
        <v>210</v>
      </c>
      <c r="O226" t="s">
        <v>309</v>
      </c>
      <c r="P226">
        <v>4.4110596460244768E-2</v>
      </c>
      <c r="Q226" t="s">
        <v>153</v>
      </c>
      <c r="S226" t="s">
        <v>252</v>
      </c>
      <c r="T226" t="s">
        <v>309</v>
      </c>
      <c r="U226">
        <v>6.2884559450108998E-2</v>
      </c>
      <c r="V226" t="s">
        <v>153</v>
      </c>
    </row>
    <row r="227" spans="9:22" x14ac:dyDescent="0.45">
      <c r="I227" t="s">
        <v>167</v>
      </c>
      <c r="J227" t="s">
        <v>294</v>
      </c>
      <c r="K227">
        <v>4.9588414494160945E-5</v>
      </c>
      <c r="L227" t="s">
        <v>153</v>
      </c>
      <c r="N227" t="s">
        <v>210</v>
      </c>
      <c r="O227" t="s">
        <v>294</v>
      </c>
      <c r="P227">
        <v>3.5441271452820388E-3</v>
      </c>
      <c r="Q227" t="s">
        <v>153</v>
      </c>
      <c r="S227" t="s">
        <v>252</v>
      </c>
      <c r="T227" t="s">
        <v>294</v>
      </c>
      <c r="U227">
        <v>1.3796814941894657E-2</v>
      </c>
      <c r="V227" t="s">
        <v>153</v>
      </c>
    </row>
    <row r="228" spans="9:22" x14ac:dyDescent="0.45">
      <c r="I228" t="s">
        <v>167</v>
      </c>
      <c r="J228" t="s">
        <v>295</v>
      </c>
      <c r="K228">
        <v>5.6290162922397668E-3</v>
      </c>
      <c r="L228" t="s">
        <v>153</v>
      </c>
      <c r="N228" t="s">
        <v>210</v>
      </c>
      <c r="O228" t="s">
        <v>295</v>
      </c>
      <c r="P228">
        <v>4.6882558742301412E-4</v>
      </c>
      <c r="Q228" t="s">
        <v>153</v>
      </c>
      <c r="S228" t="s">
        <v>252</v>
      </c>
      <c r="T228" t="s">
        <v>295</v>
      </c>
      <c r="U228">
        <v>2.2857384237439252E-3</v>
      </c>
      <c r="V228" t="s">
        <v>153</v>
      </c>
    </row>
    <row r="229" spans="9:22" x14ac:dyDescent="0.45">
      <c r="I229" t="s">
        <v>167</v>
      </c>
      <c r="J229" t="s">
        <v>296</v>
      </c>
      <c r="K229">
        <v>7.9238783464887601E-3</v>
      </c>
      <c r="L229" t="s">
        <v>153</v>
      </c>
      <c r="N229" t="s">
        <v>210</v>
      </c>
      <c r="O229" t="s">
        <v>296</v>
      </c>
      <c r="P229">
        <v>3.3702076028127343E-4</v>
      </c>
      <c r="Q229" t="s">
        <v>153</v>
      </c>
      <c r="S229" t="s">
        <v>252</v>
      </c>
      <c r="T229" t="s">
        <v>296</v>
      </c>
      <c r="U229">
        <v>2.3364584573032699E-3</v>
      </c>
      <c r="V229" t="s">
        <v>153</v>
      </c>
    </row>
    <row r="230" spans="9:22" x14ac:dyDescent="0.45">
      <c r="I230" t="s">
        <v>167</v>
      </c>
      <c r="J230" t="s">
        <v>297</v>
      </c>
      <c r="K230">
        <v>2.781049778491488E-2</v>
      </c>
      <c r="L230" t="s">
        <v>153</v>
      </c>
      <c r="N230" t="s">
        <v>210</v>
      </c>
      <c r="O230" t="s">
        <v>297</v>
      </c>
      <c r="P230">
        <v>3.61223896333521E-3</v>
      </c>
      <c r="Q230" t="s">
        <v>153</v>
      </c>
      <c r="S230" t="s">
        <v>252</v>
      </c>
      <c r="T230" t="s">
        <v>297</v>
      </c>
      <c r="U230">
        <v>7.8200802105526483E-3</v>
      </c>
      <c r="V230" t="s">
        <v>153</v>
      </c>
    </row>
    <row r="231" spans="9:22" x14ac:dyDescent="0.45">
      <c r="I231" t="s">
        <v>167</v>
      </c>
      <c r="J231" t="s">
        <v>298</v>
      </c>
      <c r="K231">
        <v>5.3792150517948556E-2</v>
      </c>
      <c r="L231" t="s">
        <v>153</v>
      </c>
      <c r="N231" t="s">
        <v>210</v>
      </c>
      <c r="O231" t="s">
        <v>298</v>
      </c>
      <c r="P231">
        <v>1.9457158636077051E-2</v>
      </c>
      <c r="Q231" t="s">
        <v>153</v>
      </c>
      <c r="S231" t="s">
        <v>252</v>
      </c>
      <c r="T231" t="s">
        <v>298</v>
      </c>
      <c r="U231">
        <v>1.8631727374870236E-2</v>
      </c>
      <c r="V231" t="s">
        <v>153</v>
      </c>
    </row>
    <row r="232" spans="9:22" x14ac:dyDescent="0.45">
      <c r="I232" t="s">
        <v>167</v>
      </c>
      <c r="J232" t="s">
        <v>299</v>
      </c>
      <c r="K232">
        <v>6.7205537299951969E-3</v>
      </c>
      <c r="L232" t="s">
        <v>153</v>
      </c>
      <c r="N232" t="s">
        <v>210</v>
      </c>
      <c r="O232" t="s">
        <v>299</v>
      </c>
      <c r="P232">
        <v>2.3763841565450769E-3</v>
      </c>
      <c r="Q232" t="s">
        <v>153</v>
      </c>
      <c r="S232" t="s">
        <v>252</v>
      </c>
      <c r="T232" t="s">
        <v>299</v>
      </c>
      <c r="U232">
        <v>3.037625804924829E-3</v>
      </c>
      <c r="V232" t="s">
        <v>153</v>
      </c>
    </row>
    <row r="233" spans="9:22" x14ac:dyDescent="0.45">
      <c r="I233" t="s">
        <v>167</v>
      </c>
      <c r="J233" t="s">
        <v>310</v>
      </c>
      <c r="K233">
        <v>4.8626744823660898E-3</v>
      </c>
      <c r="L233" t="s">
        <v>153</v>
      </c>
      <c r="N233" t="s">
        <v>210</v>
      </c>
      <c r="O233" t="s">
        <v>310</v>
      </c>
      <c r="P233">
        <v>1.5428026576208025E-3</v>
      </c>
      <c r="Q233" t="s">
        <v>153</v>
      </c>
      <c r="S233" t="s">
        <v>252</v>
      </c>
      <c r="T233" t="s">
        <v>310</v>
      </c>
      <c r="U233">
        <v>2.8910175723465743E-3</v>
      </c>
      <c r="V233" t="s">
        <v>153</v>
      </c>
    </row>
    <row r="234" spans="9:22" x14ac:dyDescent="0.45">
      <c r="I234" t="s">
        <v>167</v>
      </c>
      <c r="J234" t="s">
        <v>311</v>
      </c>
      <c r="K234">
        <v>1.3486728993521724E-3</v>
      </c>
      <c r="L234" t="s">
        <v>153</v>
      </c>
      <c r="N234" t="s">
        <v>210</v>
      </c>
      <c r="O234" t="s">
        <v>311</v>
      </c>
      <c r="P234">
        <v>4.7302834919763712E-3</v>
      </c>
      <c r="Q234" t="s">
        <v>153</v>
      </c>
      <c r="S234" t="s">
        <v>252</v>
      </c>
      <c r="T234" t="s">
        <v>311</v>
      </c>
      <c r="U234">
        <v>1.3660795840904247E-2</v>
      </c>
      <c r="V234" t="s">
        <v>153</v>
      </c>
    </row>
    <row r="235" spans="9:22" x14ac:dyDescent="0.45">
      <c r="I235" t="s">
        <v>168</v>
      </c>
      <c r="J235" t="s">
        <v>152</v>
      </c>
      <c r="K235">
        <v>0</v>
      </c>
      <c r="L235" t="s">
        <v>153</v>
      </c>
      <c r="N235" t="s">
        <v>211</v>
      </c>
      <c r="O235" t="s">
        <v>152</v>
      </c>
      <c r="P235">
        <v>8.4183607140301667E-2</v>
      </c>
      <c r="Q235" t="s">
        <v>153</v>
      </c>
      <c r="S235" t="s">
        <v>253</v>
      </c>
      <c r="T235" t="s">
        <v>152</v>
      </c>
      <c r="U235">
        <v>0.10887354149877997</v>
      </c>
      <c r="V235" t="s">
        <v>153</v>
      </c>
    </row>
    <row r="236" spans="9:22" x14ac:dyDescent="0.45">
      <c r="I236" t="s">
        <v>168</v>
      </c>
      <c r="J236" t="s">
        <v>154</v>
      </c>
      <c r="K236">
        <v>6.5459936133221673E-3</v>
      </c>
      <c r="L236" t="s">
        <v>153</v>
      </c>
      <c r="N236" t="s">
        <v>211</v>
      </c>
      <c r="O236" t="s">
        <v>154</v>
      </c>
      <c r="P236">
        <v>1.2206664005943339E-2</v>
      </c>
      <c r="Q236" t="s">
        <v>153</v>
      </c>
      <c r="S236" t="s">
        <v>253</v>
      </c>
      <c r="T236" t="s">
        <v>154</v>
      </c>
      <c r="U236">
        <v>1.6944502445764252E-2</v>
      </c>
      <c r="V236" t="s">
        <v>153</v>
      </c>
    </row>
    <row r="237" spans="9:22" x14ac:dyDescent="0.45">
      <c r="I237" t="s">
        <v>168</v>
      </c>
      <c r="J237" t="s">
        <v>155</v>
      </c>
      <c r="K237">
        <v>2.9958278039873339E-2</v>
      </c>
      <c r="L237" t="s">
        <v>153</v>
      </c>
      <c r="N237" t="s">
        <v>211</v>
      </c>
      <c r="O237" t="s">
        <v>155</v>
      </c>
      <c r="P237">
        <v>1.1668820339255983E-2</v>
      </c>
      <c r="Q237" t="s">
        <v>153</v>
      </c>
      <c r="S237" t="s">
        <v>253</v>
      </c>
      <c r="T237" t="s">
        <v>155</v>
      </c>
      <c r="U237">
        <v>1.6580661019530873E-2</v>
      </c>
      <c r="V237" t="s">
        <v>153</v>
      </c>
    </row>
    <row r="238" spans="9:22" x14ac:dyDescent="0.45">
      <c r="I238" t="s">
        <v>168</v>
      </c>
      <c r="J238" t="s">
        <v>280</v>
      </c>
      <c r="K238">
        <v>0.12342436429739348</v>
      </c>
      <c r="L238" t="s">
        <v>153</v>
      </c>
      <c r="N238" t="s">
        <v>211</v>
      </c>
      <c r="O238" t="s">
        <v>280</v>
      </c>
      <c r="P238">
        <v>3.0474863399941841E-2</v>
      </c>
      <c r="Q238" t="s">
        <v>153</v>
      </c>
      <c r="S238" t="s">
        <v>253</v>
      </c>
      <c r="T238" t="s">
        <v>280</v>
      </c>
      <c r="U238">
        <v>5.0261009439346443E-2</v>
      </c>
      <c r="V238" t="s">
        <v>153</v>
      </c>
    </row>
    <row r="239" spans="9:22" x14ac:dyDescent="0.45">
      <c r="I239" t="s">
        <v>168</v>
      </c>
      <c r="J239" t="s">
        <v>281</v>
      </c>
      <c r="K239">
        <v>0.25358548596656305</v>
      </c>
      <c r="L239" t="s">
        <v>153</v>
      </c>
      <c r="N239" t="s">
        <v>211</v>
      </c>
      <c r="O239" t="s">
        <v>281</v>
      </c>
      <c r="P239">
        <v>8.9580363256478737E-2</v>
      </c>
      <c r="Q239" t="s">
        <v>153</v>
      </c>
      <c r="S239" t="s">
        <v>253</v>
      </c>
      <c r="T239" t="s">
        <v>281</v>
      </c>
      <c r="U239">
        <v>0.11325121311305981</v>
      </c>
      <c r="V239" t="s">
        <v>153</v>
      </c>
    </row>
    <row r="240" spans="9:22" x14ac:dyDescent="0.45">
      <c r="I240" t="s">
        <v>168</v>
      </c>
      <c r="J240" t="s">
        <v>282</v>
      </c>
      <c r="K240">
        <v>3.1433160465456307E-2</v>
      </c>
      <c r="L240" t="s">
        <v>153</v>
      </c>
      <c r="N240" t="s">
        <v>211</v>
      </c>
      <c r="O240" t="s">
        <v>282</v>
      </c>
      <c r="P240">
        <v>1.5512162481132808E-2</v>
      </c>
      <c r="Q240" t="s">
        <v>153</v>
      </c>
      <c r="S240" t="s">
        <v>253</v>
      </c>
      <c r="T240" t="s">
        <v>282</v>
      </c>
      <c r="U240">
        <v>2.1794200239951326E-2</v>
      </c>
      <c r="V240" t="s">
        <v>153</v>
      </c>
    </row>
    <row r="241" spans="9:22" x14ac:dyDescent="0.45">
      <c r="I241" t="s">
        <v>168</v>
      </c>
      <c r="J241" t="s">
        <v>304</v>
      </c>
      <c r="K241">
        <v>1.4489032664878788E-2</v>
      </c>
      <c r="L241" t="s">
        <v>153</v>
      </c>
      <c r="N241" t="s">
        <v>211</v>
      </c>
      <c r="O241" t="s">
        <v>304</v>
      </c>
      <c r="P241">
        <v>1.6783422862701434E-2</v>
      </c>
      <c r="Q241" t="s">
        <v>153</v>
      </c>
      <c r="S241" t="s">
        <v>253</v>
      </c>
      <c r="T241" t="s">
        <v>304</v>
      </c>
      <c r="U241">
        <v>2.1607976386331704E-2</v>
      </c>
      <c r="V241" t="s">
        <v>153</v>
      </c>
    </row>
    <row r="242" spans="9:22" x14ac:dyDescent="0.45">
      <c r="I242" t="s">
        <v>168</v>
      </c>
      <c r="J242" t="s">
        <v>305</v>
      </c>
      <c r="K242">
        <v>0</v>
      </c>
      <c r="L242" t="s">
        <v>153</v>
      </c>
      <c r="N242" t="s">
        <v>211</v>
      </c>
      <c r="O242" t="s">
        <v>305</v>
      </c>
      <c r="P242">
        <v>9.6614208488552636E-2</v>
      </c>
      <c r="Q242" t="s">
        <v>153</v>
      </c>
      <c r="S242" t="s">
        <v>253</v>
      </c>
      <c r="T242" t="s">
        <v>305</v>
      </c>
      <c r="U242">
        <v>0.10374115824078327</v>
      </c>
      <c r="V242" t="s">
        <v>153</v>
      </c>
    </row>
    <row r="243" spans="9:22" x14ac:dyDescent="0.45">
      <c r="I243" t="s">
        <v>168</v>
      </c>
      <c r="J243" t="s">
        <v>156</v>
      </c>
      <c r="K243">
        <v>0</v>
      </c>
      <c r="L243" t="s">
        <v>153</v>
      </c>
      <c r="N243" t="s">
        <v>211</v>
      </c>
      <c r="O243" t="s">
        <v>156</v>
      </c>
      <c r="P243">
        <v>5.7132558587104552E-2</v>
      </c>
      <c r="Q243" t="s">
        <v>153</v>
      </c>
      <c r="S243" t="s">
        <v>253</v>
      </c>
      <c r="T243" t="s">
        <v>156</v>
      </c>
      <c r="U243">
        <v>3.1498576607594655E-2</v>
      </c>
      <c r="V243" t="s">
        <v>153</v>
      </c>
    </row>
    <row r="244" spans="9:22" x14ac:dyDescent="0.45">
      <c r="I244" t="s">
        <v>168</v>
      </c>
      <c r="J244" t="s">
        <v>157</v>
      </c>
      <c r="K244">
        <v>0</v>
      </c>
      <c r="L244" t="s">
        <v>153</v>
      </c>
      <c r="N244" t="s">
        <v>211</v>
      </c>
      <c r="O244" t="s">
        <v>157</v>
      </c>
      <c r="P244">
        <v>8.27146364786451E-3</v>
      </c>
      <c r="Q244" t="s">
        <v>153</v>
      </c>
      <c r="S244" t="s">
        <v>253</v>
      </c>
      <c r="T244" t="s">
        <v>157</v>
      </c>
      <c r="U244">
        <v>5.2797220577729693E-3</v>
      </c>
      <c r="V244" t="s">
        <v>153</v>
      </c>
    </row>
    <row r="245" spans="9:22" x14ac:dyDescent="0.45">
      <c r="I245" t="s">
        <v>168</v>
      </c>
      <c r="J245" t="s">
        <v>158</v>
      </c>
      <c r="K245">
        <v>4.0727539941591171E-3</v>
      </c>
      <c r="L245" t="s">
        <v>153</v>
      </c>
      <c r="N245" t="s">
        <v>211</v>
      </c>
      <c r="O245" t="s">
        <v>158</v>
      </c>
      <c r="P245">
        <v>7.704205566797428E-3</v>
      </c>
      <c r="Q245" t="s">
        <v>153</v>
      </c>
      <c r="S245" t="s">
        <v>253</v>
      </c>
      <c r="T245" t="s">
        <v>158</v>
      </c>
      <c r="U245">
        <v>5.2800089382240793E-3</v>
      </c>
      <c r="V245" t="s">
        <v>153</v>
      </c>
    </row>
    <row r="246" spans="9:22" x14ac:dyDescent="0.45">
      <c r="I246" t="s">
        <v>168</v>
      </c>
      <c r="J246" t="s">
        <v>283</v>
      </c>
      <c r="K246">
        <v>3.4998541180779302E-2</v>
      </c>
      <c r="L246" t="s">
        <v>153</v>
      </c>
      <c r="N246" t="s">
        <v>211</v>
      </c>
      <c r="O246" t="s">
        <v>283</v>
      </c>
      <c r="P246">
        <v>1.8638230817087844E-2</v>
      </c>
      <c r="Q246" t="s">
        <v>153</v>
      </c>
      <c r="S246" t="s">
        <v>253</v>
      </c>
      <c r="T246" t="s">
        <v>283</v>
      </c>
      <c r="U246">
        <v>1.7146350128607817E-2</v>
      </c>
      <c r="V246" t="s">
        <v>153</v>
      </c>
    </row>
    <row r="247" spans="9:22" x14ac:dyDescent="0.45">
      <c r="I247" t="s">
        <v>168</v>
      </c>
      <c r="J247" t="s">
        <v>284</v>
      </c>
      <c r="K247">
        <v>7.7314250721328304E-2</v>
      </c>
      <c r="L247" t="s">
        <v>153</v>
      </c>
      <c r="N247" t="s">
        <v>211</v>
      </c>
      <c r="O247" t="s">
        <v>284</v>
      </c>
      <c r="P247">
        <v>6.2090808190007486E-2</v>
      </c>
      <c r="Q247" t="s">
        <v>153</v>
      </c>
      <c r="S247" t="s">
        <v>253</v>
      </c>
      <c r="T247" t="s">
        <v>284</v>
      </c>
      <c r="U247">
        <v>4.3156233180607663E-2</v>
      </c>
      <c r="V247" t="s">
        <v>153</v>
      </c>
    </row>
    <row r="248" spans="9:22" x14ac:dyDescent="0.45">
      <c r="I248" t="s">
        <v>168</v>
      </c>
      <c r="J248" t="s">
        <v>285</v>
      </c>
      <c r="K248">
        <v>8.3753362130951359E-3</v>
      </c>
      <c r="L248" t="s">
        <v>153</v>
      </c>
      <c r="N248" t="s">
        <v>211</v>
      </c>
      <c r="O248" t="s">
        <v>285</v>
      </c>
      <c r="P248">
        <v>8.1947202403230262E-3</v>
      </c>
      <c r="Q248" t="s">
        <v>153</v>
      </c>
      <c r="S248" t="s">
        <v>253</v>
      </c>
      <c r="T248" t="s">
        <v>285</v>
      </c>
      <c r="U248">
        <v>8.2319512818804595E-3</v>
      </c>
      <c r="V248" t="s">
        <v>153</v>
      </c>
    </row>
    <row r="249" spans="9:22" x14ac:dyDescent="0.45">
      <c r="I249" t="s">
        <v>168</v>
      </c>
      <c r="J249" t="s">
        <v>306</v>
      </c>
      <c r="K249">
        <v>0</v>
      </c>
      <c r="L249" t="s">
        <v>153</v>
      </c>
      <c r="N249" t="s">
        <v>211</v>
      </c>
      <c r="O249" t="s">
        <v>306</v>
      </c>
      <c r="P249">
        <v>8.3556325186156521E-3</v>
      </c>
      <c r="Q249" t="s">
        <v>153</v>
      </c>
      <c r="S249" t="s">
        <v>253</v>
      </c>
      <c r="T249" t="s">
        <v>306</v>
      </c>
      <c r="U249">
        <v>8.0546672126603873E-3</v>
      </c>
      <c r="V249" t="s">
        <v>153</v>
      </c>
    </row>
    <row r="250" spans="9:22" x14ac:dyDescent="0.45">
      <c r="I250" t="s">
        <v>168</v>
      </c>
      <c r="J250" t="s">
        <v>307</v>
      </c>
      <c r="K250">
        <v>0</v>
      </c>
      <c r="L250" t="s">
        <v>153</v>
      </c>
      <c r="N250" t="s">
        <v>211</v>
      </c>
      <c r="O250" t="s">
        <v>307</v>
      </c>
      <c r="P250">
        <v>4.7831924507695751E-2</v>
      </c>
      <c r="Q250" t="s">
        <v>153</v>
      </c>
      <c r="S250" t="s">
        <v>253</v>
      </c>
      <c r="T250" t="s">
        <v>307</v>
      </c>
      <c r="U250">
        <v>3.7066421778658244E-2</v>
      </c>
      <c r="V250" t="s">
        <v>153</v>
      </c>
    </row>
    <row r="251" spans="9:22" x14ac:dyDescent="0.45">
      <c r="I251" t="s">
        <v>168</v>
      </c>
      <c r="J251" t="s">
        <v>159</v>
      </c>
      <c r="K251">
        <v>0</v>
      </c>
      <c r="L251" t="s">
        <v>153</v>
      </c>
      <c r="N251" t="s">
        <v>211</v>
      </c>
      <c r="O251" t="s">
        <v>159</v>
      </c>
      <c r="P251">
        <v>8.4086573034165016E-2</v>
      </c>
      <c r="Q251" t="s">
        <v>153</v>
      </c>
      <c r="S251" t="s">
        <v>253</v>
      </c>
      <c r="T251" t="s">
        <v>159</v>
      </c>
      <c r="U251">
        <v>7.2506485076875613E-2</v>
      </c>
      <c r="V251" t="s">
        <v>153</v>
      </c>
    </row>
    <row r="252" spans="9:22" x14ac:dyDescent="0.45">
      <c r="I252" t="s">
        <v>168</v>
      </c>
      <c r="J252" t="s">
        <v>160</v>
      </c>
      <c r="K252">
        <v>1.0142138068136056E-2</v>
      </c>
      <c r="L252" t="s">
        <v>153</v>
      </c>
      <c r="N252" t="s">
        <v>211</v>
      </c>
      <c r="O252" t="s">
        <v>160</v>
      </c>
      <c r="P252">
        <v>1.1100760179399058E-2</v>
      </c>
      <c r="Q252" t="s">
        <v>153</v>
      </c>
      <c r="S252" t="s">
        <v>253</v>
      </c>
      <c r="T252" t="s">
        <v>160</v>
      </c>
      <c r="U252">
        <v>1.1394239875574235E-2</v>
      </c>
      <c r="V252" t="s">
        <v>153</v>
      </c>
    </row>
    <row r="253" spans="9:22" x14ac:dyDescent="0.45">
      <c r="I253" t="s">
        <v>168</v>
      </c>
      <c r="J253" t="s">
        <v>161</v>
      </c>
      <c r="K253">
        <v>2.2360222642457871E-2</v>
      </c>
      <c r="L253" t="s">
        <v>153</v>
      </c>
      <c r="N253" t="s">
        <v>211</v>
      </c>
      <c r="O253" t="s">
        <v>161</v>
      </c>
      <c r="P253">
        <v>9.7879896246306306E-3</v>
      </c>
      <c r="Q253" t="s">
        <v>153</v>
      </c>
      <c r="S253" t="s">
        <v>253</v>
      </c>
      <c r="T253" t="s">
        <v>161</v>
      </c>
      <c r="U253">
        <v>1.1072088636695513E-2</v>
      </c>
      <c r="V253" t="s">
        <v>153</v>
      </c>
    </row>
    <row r="254" spans="9:22" x14ac:dyDescent="0.45">
      <c r="I254" t="s">
        <v>168</v>
      </c>
      <c r="J254" t="s">
        <v>286</v>
      </c>
      <c r="K254">
        <v>8.6560964670423332E-2</v>
      </c>
      <c r="L254" t="s">
        <v>153</v>
      </c>
      <c r="N254" t="s">
        <v>211</v>
      </c>
      <c r="O254" t="s">
        <v>286</v>
      </c>
      <c r="P254">
        <v>3.3184681906045933E-2</v>
      </c>
      <c r="Q254" t="s">
        <v>153</v>
      </c>
      <c r="S254" t="s">
        <v>253</v>
      </c>
      <c r="T254" t="s">
        <v>286</v>
      </c>
      <c r="U254">
        <v>3.4491033684580646E-2</v>
      </c>
      <c r="V254" t="s">
        <v>153</v>
      </c>
    </row>
    <row r="255" spans="9:22" x14ac:dyDescent="0.45">
      <c r="I255" t="s">
        <v>168</v>
      </c>
      <c r="J255" t="s">
        <v>287</v>
      </c>
      <c r="K255">
        <v>0.17500460160641249</v>
      </c>
      <c r="L255" t="s">
        <v>153</v>
      </c>
      <c r="N255" t="s">
        <v>211</v>
      </c>
      <c r="O255" t="s">
        <v>287</v>
      </c>
      <c r="P255">
        <v>0.10921773548106871</v>
      </c>
      <c r="Q255" t="s">
        <v>153</v>
      </c>
      <c r="S255" t="s">
        <v>253</v>
      </c>
      <c r="T255" t="s">
        <v>287</v>
      </c>
      <c r="U255">
        <v>8.7207302318280874E-2</v>
      </c>
      <c r="V255" t="s">
        <v>153</v>
      </c>
    </row>
    <row r="256" spans="9:22" x14ac:dyDescent="0.45">
      <c r="I256" t="s">
        <v>168</v>
      </c>
      <c r="J256" t="s">
        <v>288</v>
      </c>
      <c r="K256">
        <v>2.0102968275382421E-2</v>
      </c>
      <c r="L256" t="s">
        <v>153</v>
      </c>
      <c r="N256" t="s">
        <v>211</v>
      </c>
      <c r="O256" t="s">
        <v>288</v>
      </c>
      <c r="P256">
        <v>1.7462794918915597E-2</v>
      </c>
      <c r="Q256" t="s">
        <v>153</v>
      </c>
      <c r="S256" t="s">
        <v>253</v>
      </c>
      <c r="T256" t="s">
        <v>288</v>
      </c>
      <c r="U256">
        <v>1.6164640288297533E-2</v>
      </c>
      <c r="V256" t="s">
        <v>153</v>
      </c>
    </row>
    <row r="257" spans="9:22" x14ac:dyDescent="0.45">
      <c r="I257" t="s">
        <v>168</v>
      </c>
      <c r="J257" t="s">
        <v>308</v>
      </c>
      <c r="K257">
        <v>8.4049315476786776E-3</v>
      </c>
      <c r="L257" t="s">
        <v>153</v>
      </c>
      <c r="N257" t="s">
        <v>211</v>
      </c>
      <c r="O257" t="s">
        <v>308</v>
      </c>
      <c r="P257">
        <v>1.5928037362698023E-2</v>
      </c>
      <c r="Q257" t="s">
        <v>153</v>
      </c>
      <c r="S257" t="s">
        <v>253</v>
      </c>
      <c r="T257" t="s">
        <v>308</v>
      </c>
      <c r="U257">
        <v>1.5865781358462193E-2</v>
      </c>
      <c r="V257" t="s">
        <v>153</v>
      </c>
    </row>
    <row r="258" spans="9:22" x14ac:dyDescent="0.45">
      <c r="I258" t="s">
        <v>168</v>
      </c>
      <c r="J258" t="s">
        <v>309</v>
      </c>
      <c r="K258">
        <v>0</v>
      </c>
      <c r="L258" t="s">
        <v>153</v>
      </c>
      <c r="N258" t="s">
        <v>211</v>
      </c>
      <c r="O258" t="s">
        <v>309</v>
      </c>
      <c r="P258">
        <v>8.293778258875141E-2</v>
      </c>
      <c r="Q258" t="s">
        <v>153</v>
      </c>
      <c r="S258" t="s">
        <v>253</v>
      </c>
      <c r="T258" t="s">
        <v>309</v>
      </c>
      <c r="U258">
        <v>7.4526599839802227E-2</v>
      </c>
      <c r="V258" t="s">
        <v>153</v>
      </c>
    </row>
    <row r="259" spans="9:22" x14ac:dyDescent="0.45">
      <c r="I259" t="s">
        <v>168</v>
      </c>
      <c r="J259" t="s">
        <v>294</v>
      </c>
      <c r="K259">
        <v>0</v>
      </c>
      <c r="L259" t="s">
        <v>153</v>
      </c>
      <c r="N259" t="s">
        <v>211</v>
      </c>
      <c r="O259" t="s">
        <v>294</v>
      </c>
      <c r="P259">
        <v>1.2130051775119341E-2</v>
      </c>
      <c r="Q259" t="s">
        <v>153</v>
      </c>
      <c r="S259" t="s">
        <v>253</v>
      </c>
      <c r="T259" t="s">
        <v>294</v>
      </c>
      <c r="U259">
        <v>1.6912338991024029E-2</v>
      </c>
      <c r="V259" t="s">
        <v>153</v>
      </c>
    </row>
    <row r="260" spans="9:22" x14ac:dyDescent="0.45">
      <c r="I260" t="s">
        <v>168</v>
      </c>
      <c r="J260" t="s">
        <v>295</v>
      </c>
      <c r="K260">
        <v>4.0913300786165575E-3</v>
      </c>
      <c r="L260" t="s">
        <v>153</v>
      </c>
      <c r="N260" t="s">
        <v>211</v>
      </c>
      <c r="O260" t="s">
        <v>295</v>
      </c>
      <c r="P260">
        <v>1.67254057909642E-3</v>
      </c>
      <c r="Q260" t="s">
        <v>153</v>
      </c>
      <c r="S260" t="s">
        <v>253</v>
      </c>
      <c r="T260" t="s">
        <v>295</v>
      </c>
      <c r="U260">
        <v>2.6457510739961248E-3</v>
      </c>
      <c r="V260" t="s">
        <v>153</v>
      </c>
    </row>
    <row r="261" spans="9:22" x14ac:dyDescent="0.45">
      <c r="I261" t="s">
        <v>168</v>
      </c>
      <c r="J261" t="s">
        <v>296</v>
      </c>
      <c r="K261">
        <v>6.5004738014824669E-3</v>
      </c>
      <c r="L261" t="s">
        <v>153</v>
      </c>
      <c r="N261" t="s">
        <v>211</v>
      </c>
      <c r="O261" t="s">
        <v>296</v>
      </c>
      <c r="P261">
        <v>1.4283470889797747E-3</v>
      </c>
      <c r="Q261" t="s">
        <v>153</v>
      </c>
      <c r="S261" t="s">
        <v>253</v>
      </c>
      <c r="T261" t="s">
        <v>296</v>
      </c>
      <c r="U261">
        <v>2.5557443264484893E-3</v>
      </c>
      <c r="V261" t="s">
        <v>153</v>
      </c>
    </row>
    <row r="262" spans="9:22" x14ac:dyDescent="0.45">
      <c r="I262" t="s">
        <v>168</v>
      </c>
      <c r="J262" t="s">
        <v>297</v>
      </c>
      <c r="K262">
        <v>2.4567738364332629E-2</v>
      </c>
      <c r="L262" t="s">
        <v>153</v>
      </c>
      <c r="N262" t="s">
        <v>211</v>
      </c>
      <c r="O262" t="s">
        <v>297</v>
      </c>
      <c r="P262">
        <v>5.7346432100319096E-3</v>
      </c>
      <c r="Q262" t="s">
        <v>153</v>
      </c>
      <c r="S262" t="s">
        <v>253</v>
      </c>
      <c r="T262" t="s">
        <v>297</v>
      </c>
      <c r="U262">
        <v>7.2675694052691418E-3</v>
      </c>
      <c r="V262" t="s">
        <v>153</v>
      </c>
    </row>
    <row r="263" spans="9:22" x14ac:dyDescent="0.45">
      <c r="I263" t="s">
        <v>168</v>
      </c>
      <c r="J263" t="s">
        <v>298</v>
      </c>
      <c r="K263">
        <v>4.8124608908913027E-2</v>
      </c>
      <c r="L263" t="s">
        <v>153</v>
      </c>
      <c r="N263" t="s">
        <v>211</v>
      </c>
      <c r="O263" t="s">
        <v>298</v>
      </c>
      <c r="P263">
        <v>2.042256395605372E-2</v>
      </c>
      <c r="Q263" t="s">
        <v>153</v>
      </c>
      <c r="S263" t="s">
        <v>253</v>
      </c>
      <c r="T263" t="s">
        <v>298</v>
      </c>
      <c r="U263">
        <v>1.6097332302587031E-2</v>
      </c>
      <c r="V263" t="s">
        <v>153</v>
      </c>
    </row>
    <row r="264" spans="9:22" x14ac:dyDescent="0.45">
      <c r="I264" t="s">
        <v>168</v>
      </c>
      <c r="J264" t="s">
        <v>299</v>
      </c>
      <c r="K264">
        <v>6.0469372660680257E-3</v>
      </c>
      <c r="L264" t="s">
        <v>153</v>
      </c>
      <c r="N264" t="s">
        <v>211</v>
      </c>
      <c r="O264" t="s">
        <v>299</v>
      </c>
      <c r="P264">
        <v>3.1819577387174583E-3</v>
      </c>
      <c r="Q264" t="s">
        <v>153</v>
      </c>
      <c r="S264" t="s">
        <v>253</v>
      </c>
      <c r="T264" t="s">
        <v>299</v>
      </c>
      <c r="U264">
        <v>3.184060481138542E-3</v>
      </c>
      <c r="V264" t="s">
        <v>153</v>
      </c>
    </row>
    <row r="265" spans="9:22" x14ac:dyDescent="0.45">
      <c r="I265" t="s">
        <v>168</v>
      </c>
      <c r="J265" t="s">
        <v>310</v>
      </c>
      <c r="K265">
        <v>3.8958876132511055E-3</v>
      </c>
      <c r="L265" t="s">
        <v>153</v>
      </c>
      <c r="N265" t="s">
        <v>211</v>
      </c>
      <c r="O265" t="s">
        <v>310</v>
      </c>
      <c r="P265">
        <v>2.5837210103521104E-3</v>
      </c>
      <c r="Q265" t="s">
        <v>153</v>
      </c>
      <c r="S265" t="s">
        <v>253</v>
      </c>
      <c r="T265" t="s">
        <v>310</v>
      </c>
      <c r="U265">
        <v>3.3312090115471373E-3</v>
      </c>
      <c r="V265" t="s">
        <v>153</v>
      </c>
    </row>
    <row r="266" spans="9:22" x14ac:dyDescent="0.45">
      <c r="I266" t="s">
        <v>168</v>
      </c>
      <c r="J266" t="s">
        <v>311</v>
      </c>
      <c r="K266">
        <v>0</v>
      </c>
      <c r="L266" t="s">
        <v>153</v>
      </c>
      <c r="N266" t="s">
        <v>211</v>
      </c>
      <c r="O266" t="s">
        <v>311</v>
      </c>
      <c r="P266">
        <v>1.3896163496173092E-2</v>
      </c>
      <c r="Q266" t="s">
        <v>153</v>
      </c>
      <c r="S266" t="s">
        <v>253</v>
      </c>
      <c r="T266" t="s">
        <v>311</v>
      </c>
      <c r="U266">
        <v>1.6009629759865449E-2</v>
      </c>
      <c r="V266" t="s">
        <v>153</v>
      </c>
    </row>
    <row r="267" spans="9:22" x14ac:dyDescent="0.45">
      <c r="I267" t="s">
        <v>169</v>
      </c>
      <c r="J267" t="s">
        <v>152</v>
      </c>
      <c r="K267">
        <v>0</v>
      </c>
      <c r="L267" t="s">
        <v>153</v>
      </c>
      <c r="N267" t="s">
        <v>212</v>
      </c>
      <c r="O267" t="s">
        <v>152</v>
      </c>
      <c r="P267">
        <v>9.8825914550621938E-2</v>
      </c>
      <c r="Q267" t="s">
        <v>153</v>
      </c>
      <c r="S267" t="s">
        <v>254</v>
      </c>
      <c r="T267" t="s">
        <v>152</v>
      </c>
      <c r="U267">
        <v>0.10380719722585337</v>
      </c>
      <c r="V267" t="s">
        <v>153</v>
      </c>
    </row>
    <row r="268" spans="9:22" x14ac:dyDescent="0.45">
      <c r="I268" t="s">
        <v>169</v>
      </c>
      <c r="J268" t="s">
        <v>154</v>
      </c>
      <c r="K268">
        <v>8.8278524864373511E-3</v>
      </c>
      <c r="L268" t="s">
        <v>153</v>
      </c>
      <c r="N268" t="s">
        <v>212</v>
      </c>
      <c r="O268" t="s">
        <v>154</v>
      </c>
      <c r="P268">
        <v>1.4418602280925764E-2</v>
      </c>
      <c r="Q268" t="s">
        <v>153</v>
      </c>
      <c r="S268" t="s">
        <v>254</v>
      </c>
      <c r="T268" t="s">
        <v>154</v>
      </c>
      <c r="U268">
        <v>1.622385276739147E-2</v>
      </c>
      <c r="V268" t="s">
        <v>153</v>
      </c>
    </row>
    <row r="269" spans="9:22" x14ac:dyDescent="0.45">
      <c r="I269" t="s">
        <v>169</v>
      </c>
      <c r="J269" t="s">
        <v>155</v>
      </c>
      <c r="K269">
        <v>3.0462005412309517E-2</v>
      </c>
      <c r="L269" t="s">
        <v>153</v>
      </c>
      <c r="N269" t="s">
        <v>212</v>
      </c>
      <c r="O269" t="s">
        <v>155</v>
      </c>
      <c r="P269">
        <v>1.3762433386944708E-2</v>
      </c>
      <c r="Q269" t="s">
        <v>153</v>
      </c>
      <c r="S269" t="s">
        <v>254</v>
      </c>
      <c r="T269" t="s">
        <v>155</v>
      </c>
      <c r="U269">
        <v>1.6030210529414009E-2</v>
      </c>
      <c r="V269" t="s">
        <v>153</v>
      </c>
    </row>
    <row r="270" spans="9:22" x14ac:dyDescent="0.45">
      <c r="I270" t="s">
        <v>169</v>
      </c>
      <c r="J270" t="s">
        <v>280</v>
      </c>
      <c r="K270">
        <v>0.12264132420212771</v>
      </c>
      <c r="L270" t="s">
        <v>153</v>
      </c>
      <c r="N270" t="s">
        <v>212</v>
      </c>
      <c r="O270" t="s">
        <v>280</v>
      </c>
      <c r="P270">
        <v>3.1949247864799128E-2</v>
      </c>
      <c r="Q270" t="s">
        <v>153</v>
      </c>
      <c r="S270" t="s">
        <v>254</v>
      </c>
      <c r="T270" t="s">
        <v>280</v>
      </c>
      <c r="U270">
        <v>4.8385297344671653E-2</v>
      </c>
      <c r="V270" t="s">
        <v>153</v>
      </c>
    </row>
    <row r="271" spans="9:22" x14ac:dyDescent="0.45">
      <c r="I271" t="s">
        <v>169</v>
      </c>
      <c r="J271" t="s">
        <v>281</v>
      </c>
      <c r="K271">
        <v>0.25021571965921519</v>
      </c>
      <c r="L271" t="s">
        <v>153</v>
      </c>
      <c r="N271" t="s">
        <v>212</v>
      </c>
      <c r="O271" t="s">
        <v>281</v>
      </c>
      <c r="P271">
        <v>7.0798485215496823E-2</v>
      </c>
      <c r="Q271" t="s">
        <v>153</v>
      </c>
      <c r="S271" t="s">
        <v>254</v>
      </c>
      <c r="T271" t="s">
        <v>281</v>
      </c>
      <c r="U271">
        <v>0.11325237008556918</v>
      </c>
      <c r="V271" t="s">
        <v>153</v>
      </c>
    </row>
    <row r="272" spans="9:22" x14ac:dyDescent="0.45">
      <c r="I272" t="s">
        <v>169</v>
      </c>
      <c r="J272" t="s">
        <v>282</v>
      </c>
      <c r="K272">
        <v>3.1245541210079959E-2</v>
      </c>
      <c r="L272" t="s">
        <v>153</v>
      </c>
      <c r="N272" t="s">
        <v>212</v>
      </c>
      <c r="O272" t="s">
        <v>282</v>
      </c>
      <c r="P272">
        <v>1.2785192354424154E-2</v>
      </c>
      <c r="Q272" t="s">
        <v>153</v>
      </c>
      <c r="S272" t="s">
        <v>254</v>
      </c>
      <c r="T272" t="s">
        <v>282</v>
      </c>
      <c r="U272">
        <v>2.1418929865014088E-2</v>
      </c>
      <c r="V272" t="s">
        <v>153</v>
      </c>
    </row>
    <row r="273" spans="9:22" x14ac:dyDescent="0.45">
      <c r="I273" t="s">
        <v>169</v>
      </c>
      <c r="J273" t="s">
        <v>304</v>
      </c>
      <c r="K273">
        <v>1.4856330659418028E-2</v>
      </c>
      <c r="L273" t="s">
        <v>153</v>
      </c>
      <c r="N273" t="s">
        <v>212</v>
      </c>
      <c r="O273" t="s">
        <v>304</v>
      </c>
      <c r="P273">
        <v>1.5338603998371522E-2</v>
      </c>
      <c r="Q273" t="s">
        <v>153</v>
      </c>
      <c r="S273" t="s">
        <v>254</v>
      </c>
      <c r="T273" t="s">
        <v>304</v>
      </c>
      <c r="U273">
        <v>2.1322614413875819E-2</v>
      </c>
      <c r="V273" t="s">
        <v>153</v>
      </c>
    </row>
    <row r="274" spans="9:22" x14ac:dyDescent="0.45">
      <c r="I274" t="s">
        <v>169</v>
      </c>
      <c r="J274" t="s">
        <v>305</v>
      </c>
      <c r="K274">
        <v>5.6875701763644127E-4</v>
      </c>
      <c r="L274" t="s">
        <v>153</v>
      </c>
      <c r="N274" t="s">
        <v>212</v>
      </c>
      <c r="O274" t="s">
        <v>305</v>
      </c>
      <c r="P274">
        <v>0.10671934569322107</v>
      </c>
      <c r="Q274" t="s">
        <v>153</v>
      </c>
      <c r="S274" t="s">
        <v>254</v>
      </c>
      <c r="T274" t="s">
        <v>305</v>
      </c>
      <c r="U274">
        <v>0.10100217867422127</v>
      </c>
      <c r="V274" t="s">
        <v>153</v>
      </c>
    </row>
    <row r="275" spans="9:22" x14ac:dyDescent="0.45">
      <c r="I275" t="s">
        <v>169</v>
      </c>
      <c r="J275" t="s">
        <v>156</v>
      </c>
      <c r="K275">
        <v>0</v>
      </c>
      <c r="L275" t="s">
        <v>153</v>
      </c>
      <c r="N275" t="s">
        <v>212</v>
      </c>
      <c r="O275" t="s">
        <v>156</v>
      </c>
      <c r="P275">
        <v>5.8648030632875742E-2</v>
      </c>
      <c r="Q275" t="s">
        <v>153</v>
      </c>
      <c r="S275" t="s">
        <v>254</v>
      </c>
      <c r="T275" t="s">
        <v>156</v>
      </c>
      <c r="U275">
        <v>3.6505758359738766E-2</v>
      </c>
      <c r="V275" t="s">
        <v>153</v>
      </c>
    </row>
    <row r="276" spans="9:22" x14ac:dyDescent="0.45">
      <c r="I276" t="s">
        <v>169</v>
      </c>
      <c r="J276" t="s">
        <v>157</v>
      </c>
      <c r="K276">
        <v>0</v>
      </c>
      <c r="L276" t="s">
        <v>153</v>
      </c>
      <c r="N276" t="s">
        <v>212</v>
      </c>
      <c r="O276" t="s">
        <v>157</v>
      </c>
      <c r="P276">
        <v>8.3618314647079684E-3</v>
      </c>
      <c r="Q276" t="s">
        <v>153</v>
      </c>
      <c r="S276" t="s">
        <v>254</v>
      </c>
      <c r="T276" t="s">
        <v>157</v>
      </c>
      <c r="U276">
        <v>6.6326171847763083E-3</v>
      </c>
      <c r="V276" t="s">
        <v>153</v>
      </c>
    </row>
    <row r="277" spans="9:22" x14ac:dyDescent="0.45">
      <c r="I277" t="s">
        <v>169</v>
      </c>
      <c r="J277" t="s">
        <v>158</v>
      </c>
      <c r="K277">
        <v>3.7745480434329681E-3</v>
      </c>
      <c r="L277" t="s">
        <v>153</v>
      </c>
      <c r="N277" t="s">
        <v>212</v>
      </c>
      <c r="O277" t="s">
        <v>158</v>
      </c>
      <c r="P277">
        <v>7.9011069628963301E-3</v>
      </c>
      <c r="Q277" t="s">
        <v>153</v>
      </c>
      <c r="S277" t="s">
        <v>254</v>
      </c>
      <c r="T277" t="s">
        <v>158</v>
      </c>
      <c r="U277">
        <v>6.7660708367009168E-3</v>
      </c>
      <c r="V277" t="s">
        <v>153</v>
      </c>
    </row>
    <row r="278" spans="9:22" x14ac:dyDescent="0.45">
      <c r="I278" t="s">
        <v>169</v>
      </c>
      <c r="J278" t="s">
        <v>283</v>
      </c>
      <c r="K278">
        <v>3.3187077902733654E-2</v>
      </c>
      <c r="L278" t="s">
        <v>153</v>
      </c>
      <c r="N278" t="s">
        <v>212</v>
      </c>
      <c r="O278" t="s">
        <v>283</v>
      </c>
      <c r="P278">
        <v>1.7103844961183445E-2</v>
      </c>
      <c r="Q278" t="s">
        <v>153</v>
      </c>
      <c r="S278" t="s">
        <v>254</v>
      </c>
      <c r="T278" t="s">
        <v>283</v>
      </c>
      <c r="U278">
        <v>2.0114714003267385E-2</v>
      </c>
      <c r="V278" t="s">
        <v>153</v>
      </c>
    </row>
    <row r="279" spans="9:22" x14ac:dyDescent="0.45">
      <c r="I279" t="s">
        <v>169</v>
      </c>
      <c r="J279" t="s">
        <v>284</v>
      </c>
      <c r="K279">
        <v>7.3445080937493842E-2</v>
      </c>
      <c r="L279" t="s">
        <v>153</v>
      </c>
      <c r="N279" t="s">
        <v>212</v>
      </c>
      <c r="O279" t="s">
        <v>284</v>
      </c>
      <c r="P279">
        <v>4.2411550897560921E-2</v>
      </c>
      <c r="Q279" t="s">
        <v>153</v>
      </c>
      <c r="S279" t="s">
        <v>254</v>
      </c>
      <c r="T279" t="s">
        <v>284</v>
      </c>
      <c r="U279">
        <v>4.3786127304263227E-2</v>
      </c>
      <c r="V279" t="s">
        <v>153</v>
      </c>
    </row>
    <row r="280" spans="9:22" x14ac:dyDescent="0.45">
      <c r="I280" t="s">
        <v>169</v>
      </c>
      <c r="J280" t="s">
        <v>285</v>
      </c>
      <c r="K280">
        <v>8.1283067808335888E-3</v>
      </c>
      <c r="L280" t="s">
        <v>153</v>
      </c>
      <c r="N280" t="s">
        <v>212</v>
      </c>
      <c r="O280" t="s">
        <v>285</v>
      </c>
      <c r="P280">
        <v>6.0506975431278932E-3</v>
      </c>
      <c r="Q280" t="s">
        <v>153</v>
      </c>
      <c r="S280" t="s">
        <v>254</v>
      </c>
      <c r="T280" t="s">
        <v>285</v>
      </c>
      <c r="U280">
        <v>8.2360995269678047E-3</v>
      </c>
      <c r="V280" t="s">
        <v>153</v>
      </c>
    </row>
    <row r="281" spans="9:22" x14ac:dyDescent="0.45">
      <c r="I281" t="s">
        <v>169</v>
      </c>
      <c r="J281" t="s">
        <v>306</v>
      </c>
      <c r="K281">
        <v>0</v>
      </c>
      <c r="L281" t="s">
        <v>153</v>
      </c>
      <c r="N281" t="s">
        <v>212</v>
      </c>
      <c r="O281" t="s">
        <v>306</v>
      </c>
      <c r="P281">
        <v>7.4097835679420706E-3</v>
      </c>
      <c r="Q281" t="s">
        <v>153</v>
      </c>
      <c r="S281" t="s">
        <v>254</v>
      </c>
      <c r="T281" t="s">
        <v>306</v>
      </c>
      <c r="U281">
        <v>7.9794016294285185E-3</v>
      </c>
      <c r="V281" t="s">
        <v>153</v>
      </c>
    </row>
    <row r="282" spans="9:22" x14ac:dyDescent="0.45">
      <c r="I282" t="s">
        <v>169</v>
      </c>
      <c r="J282" t="s">
        <v>307</v>
      </c>
      <c r="K282">
        <v>0</v>
      </c>
      <c r="L282" t="s">
        <v>153</v>
      </c>
      <c r="N282" t="s">
        <v>212</v>
      </c>
      <c r="O282" t="s">
        <v>307</v>
      </c>
      <c r="P282">
        <v>5.0114190789886832E-2</v>
      </c>
      <c r="Q282" t="s">
        <v>153</v>
      </c>
      <c r="S282" t="s">
        <v>254</v>
      </c>
      <c r="T282" t="s">
        <v>307</v>
      </c>
      <c r="U282">
        <v>3.6168956833852746E-2</v>
      </c>
      <c r="V282" t="s">
        <v>153</v>
      </c>
    </row>
    <row r="283" spans="9:22" x14ac:dyDescent="0.45">
      <c r="I283" t="s">
        <v>169</v>
      </c>
      <c r="J283" t="s">
        <v>159</v>
      </c>
      <c r="K283">
        <v>1.914520541028179E-6</v>
      </c>
      <c r="L283" t="s">
        <v>153</v>
      </c>
      <c r="N283" t="s">
        <v>212</v>
      </c>
      <c r="O283" t="s">
        <v>159</v>
      </c>
      <c r="P283">
        <v>0.10373478250391646</v>
      </c>
      <c r="Q283" t="s">
        <v>153</v>
      </c>
      <c r="S283" t="s">
        <v>254</v>
      </c>
      <c r="T283" t="s">
        <v>159</v>
      </c>
      <c r="U283">
        <v>7.1720111568281994E-2</v>
      </c>
      <c r="V283" t="s">
        <v>153</v>
      </c>
    </row>
    <row r="284" spans="9:22" x14ac:dyDescent="0.45">
      <c r="I284" t="s">
        <v>169</v>
      </c>
      <c r="J284" t="s">
        <v>160</v>
      </c>
      <c r="K284">
        <v>1.1658633767486897E-2</v>
      </c>
      <c r="L284" t="s">
        <v>153</v>
      </c>
      <c r="N284" t="s">
        <v>212</v>
      </c>
      <c r="O284" t="s">
        <v>160</v>
      </c>
      <c r="P284">
        <v>1.3944256907536319E-2</v>
      </c>
      <c r="Q284" t="s">
        <v>153</v>
      </c>
      <c r="S284" t="s">
        <v>254</v>
      </c>
      <c r="T284" t="s">
        <v>160</v>
      </c>
      <c r="U284">
        <v>1.1847638236318609E-2</v>
      </c>
      <c r="V284" t="s">
        <v>153</v>
      </c>
    </row>
    <row r="285" spans="9:22" x14ac:dyDescent="0.45">
      <c r="I285" t="s">
        <v>169</v>
      </c>
      <c r="J285" t="s">
        <v>161</v>
      </c>
      <c r="K285">
        <v>2.2946978905843709E-2</v>
      </c>
      <c r="L285" t="s">
        <v>153</v>
      </c>
      <c r="N285" t="s">
        <v>212</v>
      </c>
      <c r="O285" t="s">
        <v>161</v>
      </c>
      <c r="P285">
        <v>1.2004670920321462E-2</v>
      </c>
      <c r="Q285" t="s">
        <v>153</v>
      </c>
      <c r="S285" t="s">
        <v>254</v>
      </c>
      <c r="T285" t="s">
        <v>161</v>
      </c>
      <c r="U285">
        <v>1.2152957098022795E-2</v>
      </c>
      <c r="V285" t="s">
        <v>153</v>
      </c>
    </row>
    <row r="286" spans="9:22" x14ac:dyDescent="0.45">
      <c r="I286" t="s">
        <v>169</v>
      </c>
      <c r="J286" t="s">
        <v>286</v>
      </c>
      <c r="K286">
        <v>8.5752192568478228E-2</v>
      </c>
      <c r="L286" t="s">
        <v>153</v>
      </c>
      <c r="N286" t="s">
        <v>212</v>
      </c>
      <c r="O286" t="s">
        <v>286</v>
      </c>
      <c r="P286">
        <v>3.2019263731321655E-2</v>
      </c>
      <c r="Q286" t="s">
        <v>153</v>
      </c>
      <c r="S286" t="s">
        <v>254</v>
      </c>
      <c r="T286" t="s">
        <v>286</v>
      </c>
      <c r="U286">
        <v>3.8045266052940598E-2</v>
      </c>
      <c r="V286" t="s">
        <v>153</v>
      </c>
    </row>
    <row r="287" spans="9:22" x14ac:dyDescent="0.45">
      <c r="I287" t="s">
        <v>169</v>
      </c>
      <c r="J287" t="s">
        <v>287</v>
      </c>
      <c r="K287">
        <v>0.17328507519435374</v>
      </c>
      <c r="L287" t="s">
        <v>153</v>
      </c>
      <c r="N287" t="s">
        <v>212</v>
      </c>
      <c r="O287" t="s">
        <v>287</v>
      </c>
      <c r="P287">
        <v>8.8058848740018819E-2</v>
      </c>
      <c r="Q287" t="s">
        <v>153</v>
      </c>
      <c r="S287" t="s">
        <v>254</v>
      </c>
      <c r="T287" t="s">
        <v>287</v>
      </c>
      <c r="U287">
        <v>9.6239672670583268E-2</v>
      </c>
      <c r="V287" t="s">
        <v>153</v>
      </c>
    </row>
    <row r="288" spans="9:22" x14ac:dyDescent="0.45">
      <c r="I288" t="s">
        <v>169</v>
      </c>
      <c r="J288" t="s">
        <v>288</v>
      </c>
      <c r="K288">
        <v>2.0661070017308249E-2</v>
      </c>
      <c r="L288" t="s">
        <v>153</v>
      </c>
      <c r="N288" t="s">
        <v>212</v>
      </c>
      <c r="O288" t="s">
        <v>288</v>
      </c>
      <c r="P288">
        <v>1.4956331959434323E-2</v>
      </c>
      <c r="Q288" t="s">
        <v>153</v>
      </c>
      <c r="S288" t="s">
        <v>254</v>
      </c>
      <c r="T288" t="s">
        <v>288</v>
      </c>
      <c r="U288">
        <v>1.6435198637606171E-2</v>
      </c>
      <c r="V288" t="s">
        <v>153</v>
      </c>
    </row>
    <row r="289" spans="9:22" x14ac:dyDescent="0.45">
      <c r="I289" t="s">
        <v>169</v>
      </c>
      <c r="J289" t="s">
        <v>308</v>
      </c>
      <c r="K289">
        <v>8.113534039071198E-3</v>
      </c>
      <c r="L289" t="s">
        <v>153</v>
      </c>
      <c r="N289" t="s">
        <v>212</v>
      </c>
      <c r="O289" t="s">
        <v>308</v>
      </c>
      <c r="P289">
        <v>1.5004364227250764E-2</v>
      </c>
      <c r="Q289" t="s">
        <v>153</v>
      </c>
      <c r="S289" t="s">
        <v>254</v>
      </c>
      <c r="T289" t="s">
        <v>308</v>
      </c>
      <c r="U289">
        <v>1.5549759578904872E-2</v>
      </c>
      <c r="V289" t="s">
        <v>153</v>
      </c>
    </row>
    <row r="290" spans="9:22" x14ac:dyDescent="0.45">
      <c r="I290" t="s">
        <v>169</v>
      </c>
      <c r="J290" t="s">
        <v>309</v>
      </c>
      <c r="K290">
        <v>0</v>
      </c>
      <c r="L290" t="s">
        <v>153</v>
      </c>
      <c r="N290" t="s">
        <v>212</v>
      </c>
      <c r="O290" t="s">
        <v>309</v>
      </c>
      <c r="P290">
        <v>9.7175499513639907E-2</v>
      </c>
      <c r="Q290" t="s">
        <v>153</v>
      </c>
      <c r="S290" t="s">
        <v>254</v>
      </c>
      <c r="T290" t="s">
        <v>309</v>
      </c>
      <c r="U290">
        <v>6.8382916889721812E-2</v>
      </c>
      <c r="V290" t="s">
        <v>153</v>
      </c>
    </row>
    <row r="291" spans="9:22" x14ac:dyDescent="0.45">
      <c r="I291" t="s">
        <v>169</v>
      </c>
      <c r="J291" t="s">
        <v>294</v>
      </c>
      <c r="K291">
        <v>1.9959087429018029E-6</v>
      </c>
      <c r="L291" t="s">
        <v>153</v>
      </c>
      <c r="N291" t="s">
        <v>212</v>
      </c>
      <c r="O291" t="s">
        <v>294</v>
      </c>
      <c r="P291">
        <v>1.5716645597607177E-2</v>
      </c>
      <c r="Q291" t="s">
        <v>153</v>
      </c>
      <c r="S291" t="s">
        <v>254</v>
      </c>
      <c r="T291" t="s">
        <v>294</v>
      </c>
      <c r="U291">
        <v>1.4091645599392537E-2</v>
      </c>
      <c r="V291" t="s">
        <v>153</v>
      </c>
    </row>
    <row r="292" spans="9:22" x14ac:dyDescent="0.45">
      <c r="I292" t="s">
        <v>169</v>
      </c>
      <c r="J292" t="s">
        <v>295</v>
      </c>
      <c r="K292">
        <v>5.1371826643392638E-3</v>
      </c>
      <c r="L292" t="s">
        <v>153</v>
      </c>
      <c r="N292" t="s">
        <v>212</v>
      </c>
      <c r="O292" t="s">
        <v>295</v>
      </c>
      <c r="P292">
        <v>2.4314237595536806E-3</v>
      </c>
      <c r="Q292" t="s">
        <v>153</v>
      </c>
      <c r="S292" t="s">
        <v>254</v>
      </c>
      <c r="T292" t="s">
        <v>295</v>
      </c>
      <c r="U292">
        <v>2.2962877763506502E-3</v>
      </c>
      <c r="V292" t="s">
        <v>153</v>
      </c>
    </row>
    <row r="293" spans="9:22" x14ac:dyDescent="0.45">
      <c r="I293" t="s">
        <v>169</v>
      </c>
      <c r="J293" t="s">
        <v>296</v>
      </c>
      <c r="K293">
        <v>7.4819022239858311E-3</v>
      </c>
      <c r="L293" t="s">
        <v>153</v>
      </c>
      <c r="N293" t="s">
        <v>212</v>
      </c>
      <c r="O293" t="s">
        <v>296</v>
      </c>
      <c r="P293">
        <v>1.922600522280162E-3</v>
      </c>
      <c r="Q293" t="s">
        <v>153</v>
      </c>
      <c r="S293" t="s">
        <v>254</v>
      </c>
      <c r="T293" t="s">
        <v>296</v>
      </c>
      <c r="U293">
        <v>2.2702778522572173E-3</v>
      </c>
      <c r="V293" t="s">
        <v>153</v>
      </c>
    </row>
    <row r="294" spans="9:22" x14ac:dyDescent="0.45">
      <c r="I294" t="s">
        <v>169</v>
      </c>
      <c r="J294" t="s">
        <v>297</v>
      </c>
      <c r="K294">
        <v>2.6693662508494632E-2</v>
      </c>
      <c r="L294" t="s">
        <v>153</v>
      </c>
      <c r="N294" t="s">
        <v>212</v>
      </c>
      <c r="O294" t="s">
        <v>297</v>
      </c>
      <c r="P294">
        <v>5.7344145156382215E-3</v>
      </c>
      <c r="Q294" t="s">
        <v>153</v>
      </c>
      <c r="S294" t="s">
        <v>254</v>
      </c>
      <c r="T294" t="s">
        <v>297</v>
      </c>
      <c r="U294">
        <v>7.1903458858688478E-3</v>
      </c>
      <c r="V294" t="s">
        <v>153</v>
      </c>
    </row>
    <row r="295" spans="9:22" x14ac:dyDescent="0.45">
      <c r="I295" t="s">
        <v>169</v>
      </c>
      <c r="J295" t="s">
        <v>298</v>
      </c>
      <c r="K295">
        <v>5.0444252564261986E-2</v>
      </c>
      <c r="L295" t="s">
        <v>153</v>
      </c>
      <c r="N295" t="s">
        <v>212</v>
      </c>
      <c r="O295" t="s">
        <v>298</v>
      </c>
      <c r="P295">
        <v>1.6119840530088608E-2</v>
      </c>
      <c r="Q295" t="s">
        <v>153</v>
      </c>
      <c r="S295" t="s">
        <v>254</v>
      </c>
      <c r="T295" t="s">
        <v>298</v>
      </c>
      <c r="U295">
        <v>1.7143846196280472E-2</v>
      </c>
      <c r="V295" t="s">
        <v>153</v>
      </c>
    </row>
    <row r="296" spans="9:22" x14ac:dyDescent="0.45">
      <c r="I296" t="s">
        <v>169</v>
      </c>
      <c r="J296" t="s">
        <v>299</v>
      </c>
      <c r="K296">
        <v>6.1632433088556395E-3</v>
      </c>
      <c r="L296" t="s">
        <v>153</v>
      </c>
      <c r="N296" t="s">
        <v>212</v>
      </c>
      <c r="O296" t="s">
        <v>299</v>
      </c>
      <c r="P296">
        <v>2.3635178355151153E-3</v>
      </c>
      <c r="Q296" t="s">
        <v>153</v>
      </c>
      <c r="S296" t="s">
        <v>254</v>
      </c>
      <c r="T296" t="s">
        <v>299</v>
      </c>
      <c r="U296">
        <v>3.16585674247731E-3</v>
      </c>
      <c r="V296" t="s">
        <v>153</v>
      </c>
    </row>
    <row r="297" spans="9:22" x14ac:dyDescent="0.45">
      <c r="I297" t="s">
        <v>169</v>
      </c>
      <c r="J297" t="s">
        <v>310</v>
      </c>
      <c r="K297">
        <v>4.2509769342489213E-3</v>
      </c>
      <c r="L297" t="s">
        <v>153</v>
      </c>
      <c r="N297" t="s">
        <v>212</v>
      </c>
      <c r="O297" t="s">
        <v>310</v>
      </c>
      <c r="P297">
        <v>2.1250406606779177E-3</v>
      </c>
      <c r="Q297" t="s">
        <v>153</v>
      </c>
      <c r="S297" t="s">
        <v>254</v>
      </c>
      <c r="T297" t="s">
        <v>310</v>
      </c>
      <c r="U297">
        <v>3.0275916950979385E-3</v>
      </c>
      <c r="V297" t="s">
        <v>153</v>
      </c>
    </row>
    <row r="298" spans="9:22" x14ac:dyDescent="0.45">
      <c r="I298" t="s">
        <v>169</v>
      </c>
      <c r="J298" t="s">
        <v>311</v>
      </c>
      <c r="K298">
        <v>5.4840562270108406E-5</v>
      </c>
      <c r="L298" t="s">
        <v>153</v>
      </c>
      <c r="N298" t="s">
        <v>212</v>
      </c>
      <c r="O298" t="s">
        <v>311</v>
      </c>
      <c r="P298">
        <v>1.4089635910206936E-2</v>
      </c>
      <c r="Q298" t="s">
        <v>153</v>
      </c>
      <c r="S298" t="s">
        <v>254</v>
      </c>
      <c r="T298" t="s">
        <v>311</v>
      </c>
      <c r="U298">
        <v>1.2808230934885183E-2</v>
      </c>
      <c r="V298" t="s">
        <v>153</v>
      </c>
    </row>
    <row r="299" spans="9:22" x14ac:dyDescent="0.45">
      <c r="I299" t="s">
        <v>170</v>
      </c>
      <c r="J299" t="s">
        <v>152</v>
      </c>
      <c r="K299">
        <v>0</v>
      </c>
      <c r="L299" t="s">
        <v>153</v>
      </c>
      <c r="N299" t="s">
        <v>213</v>
      </c>
      <c r="O299" t="s">
        <v>152</v>
      </c>
      <c r="P299">
        <v>6.8779147777429245E-2</v>
      </c>
      <c r="Q299" t="s">
        <v>153</v>
      </c>
      <c r="S299" t="s">
        <v>255</v>
      </c>
      <c r="T299" t="s">
        <v>152</v>
      </c>
      <c r="U299">
        <v>0.10025535153206697</v>
      </c>
      <c r="V299" t="s">
        <v>153</v>
      </c>
    </row>
    <row r="300" spans="9:22" x14ac:dyDescent="0.45">
      <c r="I300" t="s">
        <v>170</v>
      </c>
      <c r="J300" t="s">
        <v>154</v>
      </c>
      <c r="K300">
        <v>7.2097730118541913E-3</v>
      </c>
      <c r="L300" t="s">
        <v>153</v>
      </c>
      <c r="N300" t="s">
        <v>213</v>
      </c>
      <c r="O300" t="s">
        <v>154</v>
      </c>
      <c r="P300">
        <v>9.5380465420852895E-3</v>
      </c>
      <c r="Q300" t="s">
        <v>153</v>
      </c>
      <c r="S300" t="s">
        <v>255</v>
      </c>
      <c r="T300" t="s">
        <v>154</v>
      </c>
      <c r="U300">
        <v>1.6079357939387577E-2</v>
      </c>
      <c r="V300" t="s">
        <v>153</v>
      </c>
    </row>
    <row r="301" spans="9:22" x14ac:dyDescent="0.45">
      <c r="I301" t="s">
        <v>170</v>
      </c>
      <c r="J301" t="s">
        <v>155</v>
      </c>
      <c r="K301">
        <v>2.3221723256321439E-2</v>
      </c>
      <c r="L301" t="s">
        <v>153</v>
      </c>
      <c r="N301" t="s">
        <v>213</v>
      </c>
      <c r="O301" t="s">
        <v>155</v>
      </c>
      <c r="P301">
        <v>9.3994955918659338E-3</v>
      </c>
      <c r="Q301" t="s">
        <v>153</v>
      </c>
      <c r="S301" t="s">
        <v>255</v>
      </c>
      <c r="T301" t="s">
        <v>155</v>
      </c>
      <c r="U301">
        <v>1.6006657669516602E-2</v>
      </c>
      <c r="V301" t="s">
        <v>153</v>
      </c>
    </row>
    <row r="302" spans="9:22" x14ac:dyDescent="0.45">
      <c r="I302" t="s">
        <v>170</v>
      </c>
      <c r="J302" t="s">
        <v>280</v>
      </c>
      <c r="K302">
        <v>0.11413639671352423</v>
      </c>
      <c r="L302" t="s">
        <v>153</v>
      </c>
      <c r="N302" t="s">
        <v>213</v>
      </c>
      <c r="O302" t="s">
        <v>280</v>
      </c>
      <c r="P302">
        <v>2.9021436827289113E-2</v>
      </c>
      <c r="Q302" t="s">
        <v>153</v>
      </c>
      <c r="S302" t="s">
        <v>255</v>
      </c>
      <c r="T302" t="s">
        <v>280</v>
      </c>
      <c r="U302">
        <v>4.9023407569436656E-2</v>
      </c>
      <c r="V302" t="s">
        <v>153</v>
      </c>
    </row>
    <row r="303" spans="9:22" x14ac:dyDescent="0.45">
      <c r="I303" t="s">
        <v>170</v>
      </c>
      <c r="J303" t="s">
        <v>281</v>
      </c>
      <c r="K303">
        <v>0.25835368429945482</v>
      </c>
      <c r="L303" t="s">
        <v>153</v>
      </c>
      <c r="N303" t="s">
        <v>213</v>
      </c>
      <c r="O303" t="s">
        <v>281</v>
      </c>
      <c r="P303">
        <v>0.11195098915585583</v>
      </c>
      <c r="Q303" t="s">
        <v>153</v>
      </c>
      <c r="S303" t="s">
        <v>255</v>
      </c>
      <c r="T303" t="s">
        <v>281</v>
      </c>
      <c r="U303">
        <v>0.10322371786900544</v>
      </c>
      <c r="V303" t="s">
        <v>153</v>
      </c>
    </row>
    <row r="304" spans="9:22" x14ac:dyDescent="0.45">
      <c r="I304" t="s">
        <v>170</v>
      </c>
      <c r="J304" t="s">
        <v>282</v>
      </c>
      <c r="K304">
        <v>3.5986347800085486E-2</v>
      </c>
      <c r="L304" t="s">
        <v>153</v>
      </c>
      <c r="N304" t="s">
        <v>213</v>
      </c>
      <c r="O304" t="s">
        <v>282</v>
      </c>
      <c r="P304">
        <v>2.8528324761367501E-2</v>
      </c>
      <c r="Q304" t="s">
        <v>153</v>
      </c>
      <c r="S304" t="s">
        <v>255</v>
      </c>
      <c r="T304" t="s">
        <v>282</v>
      </c>
      <c r="U304">
        <v>2.0613564558335407E-2</v>
      </c>
      <c r="V304" t="s">
        <v>153</v>
      </c>
    </row>
    <row r="305" spans="9:22" x14ac:dyDescent="0.45">
      <c r="I305" t="s">
        <v>170</v>
      </c>
      <c r="J305" t="s">
        <v>304</v>
      </c>
      <c r="K305">
        <v>2.0710353575563029E-2</v>
      </c>
      <c r="L305" t="s">
        <v>153</v>
      </c>
      <c r="N305" t="s">
        <v>213</v>
      </c>
      <c r="O305" t="s">
        <v>304</v>
      </c>
      <c r="P305">
        <v>2.8007438026234621E-2</v>
      </c>
      <c r="Q305" t="s">
        <v>153</v>
      </c>
      <c r="S305" t="s">
        <v>255</v>
      </c>
      <c r="T305" t="s">
        <v>304</v>
      </c>
      <c r="U305">
        <v>2.141355545106086E-2</v>
      </c>
      <c r="V305" t="s">
        <v>153</v>
      </c>
    </row>
    <row r="306" spans="9:22" x14ac:dyDescent="0.45">
      <c r="I306" t="s">
        <v>170</v>
      </c>
      <c r="J306" t="s">
        <v>305</v>
      </c>
      <c r="K306">
        <v>7.8873871656973769E-3</v>
      </c>
      <c r="L306" t="s">
        <v>153</v>
      </c>
      <c r="N306" t="s">
        <v>213</v>
      </c>
      <c r="O306" t="s">
        <v>305</v>
      </c>
      <c r="P306">
        <v>9.521768850369576E-2</v>
      </c>
      <c r="Q306" t="s">
        <v>153</v>
      </c>
      <c r="S306" t="s">
        <v>255</v>
      </c>
      <c r="T306" t="s">
        <v>305</v>
      </c>
      <c r="U306">
        <v>0.10443540685755308</v>
      </c>
      <c r="V306" t="s">
        <v>153</v>
      </c>
    </row>
    <row r="307" spans="9:22" x14ac:dyDescent="0.45">
      <c r="I307" t="s">
        <v>170</v>
      </c>
      <c r="J307" t="s">
        <v>156</v>
      </c>
      <c r="K307">
        <v>0</v>
      </c>
      <c r="L307" t="s">
        <v>153</v>
      </c>
      <c r="N307" t="s">
        <v>213</v>
      </c>
      <c r="O307" t="s">
        <v>156</v>
      </c>
      <c r="P307">
        <v>4.3923269887295682E-2</v>
      </c>
      <c r="Q307" t="s">
        <v>153</v>
      </c>
      <c r="S307" t="s">
        <v>255</v>
      </c>
      <c r="T307" t="s">
        <v>156</v>
      </c>
      <c r="U307">
        <v>3.8373964942523056E-2</v>
      </c>
      <c r="V307" t="s">
        <v>153</v>
      </c>
    </row>
    <row r="308" spans="9:22" x14ac:dyDescent="0.45">
      <c r="I308" t="s">
        <v>170</v>
      </c>
      <c r="J308" t="s">
        <v>157</v>
      </c>
      <c r="K308">
        <v>0</v>
      </c>
      <c r="L308" t="s">
        <v>153</v>
      </c>
      <c r="N308" t="s">
        <v>213</v>
      </c>
      <c r="O308" t="s">
        <v>157</v>
      </c>
      <c r="P308">
        <v>6.0218649605789428E-3</v>
      </c>
      <c r="Q308" t="s">
        <v>153</v>
      </c>
      <c r="S308" t="s">
        <v>255</v>
      </c>
      <c r="T308" t="s">
        <v>157</v>
      </c>
      <c r="U308">
        <v>6.2298039896008552E-3</v>
      </c>
      <c r="V308" t="s">
        <v>153</v>
      </c>
    </row>
    <row r="309" spans="9:22" x14ac:dyDescent="0.45">
      <c r="I309" t="s">
        <v>170</v>
      </c>
      <c r="J309" t="s">
        <v>158</v>
      </c>
      <c r="K309">
        <v>3.8399041985056243E-4</v>
      </c>
      <c r="L309" t="s">
        <v>153</v>
      </c>
      <c r="N309" t="s">
        <v>213</v>
      </c>
      <c r="O309" t="s">
        <v>158</v>
      </c>
      <c r="P309">
        <v>5.6645283300195744E-3</v>
      </c>
      <c r="Q309" t="s">
        <v>153</v>
      </c>
      <c r="S309" t="s">
        <v>255</v>
      </c>
      <c r="T309" t="s">
        <v>158</v>
      </c>
      <c r="U309">
        <v>6.1966516877318759E-3</v>
      </c>
      <c r="V309" t="s">
        <v>153</v>
      </c>
    </row>
    <row r="310" spans="9:22" x14ac:dyDescent="0.45">
      <c r="I310" t="s">
        <v>170</v>
      </c>
      <c r="J310" t="s">
        <v>283</v>
      </c>
      <c r="K310">
        <v>2.34416499152134E-2</v>
      </c>
      <c r="L310" t="s">
        <v>153</v>
      </c>
      <c r="N310" t="s">
        <v>213</v>
      </c>
      <c r="O310" t="s">
        <v>283</v>
      </c>
      <c r="P310">
        <v>1.2615089093406201E-2</v>
      </c>
      <c r="Q310" t="s">
        <v>153</v>
      </c>
      <c r="S310" t="s">
        <v>255</v>
      </c>
      <c r="T310" t="s">
        <v>283</v>
      </c>
      <c r="U310">
        <v>1.8144347686392611E-2</v>
      </c>
      <c r="V310" t="s">
        <v>153</v>
      </c>
    </row>
    <row r="311" spans="9:22" x14ac:dyDescent="0.45">
      <c r="I311" t="s">
        <v>170</v>
      </c>
      <c r="J311" t="s">
        <v>284</v>
      </c>
      <c r="K311">
        <v>6.0448017884011697E-2</v>
      </c>
      <c r="L311" t="s">
        <v>153</v>
      </c>
      <c r="N311" t="s">
        <v>213</v>
      </c>
      <c r="O311" t="s">
        <v>284</v>
      </c>
      <c r="P311">
        <v>3.5349841283709868E-2</v>
      </c>
      <c r="Q311" t="s">
        <v>153</v>
      </c>
      <c r="S311" t="s">
        <v>255</v>
      </c>
      <c r="T311" t="s">
        <v>284</v>
      </c>
      <c r="U311">
        <v>3.7563368883180515E-2</v>
      </c>
      <c r="V311" t="s">
        <v>153</v>
      </c>
    </row>
    <row r="312" spans="9:22" x14ac:dyDescent="0.45">
      <c r="I312" t="s">
        <v>170</v>
      </c>
      <c r="J312" t="s">
        <v>285</v>
      </c>
      <c r="K312">
        <v>7.1399367752862011E-3</v>
      </c>
      <c r="L312" t="s">
        <v>153</v>
      </c>
      <c r="N312" t="s">
        <v>213</v>
      </c>
      <c r="O312" t="s">
        <v>285</v>
      </c>
      <c r="P312">
        <v>8.8104972248211118E-3</v>
      </c>
      <c r="Q312" t="s">
        <v>153</v>
      </c>
      <c r="S312" t="s">
        <v>255</v>
      </c>
      <c r="T312" t="s">
        <v>285</v>
      </c>
      <c r="U312">
        <v>7.5571731619499564E-3</v>
      </c>
      <c r="V312" t="s">
        <v>153</v>
      </c>
    </row>
    <row r="313" spans="9:22" x14ac:dyDescent="0.45">
      <c r="I313" t="s">
        <v>170</v>
      </c>
      <c r="J313" t="s">
        <v>306</v>
      </c>
      <c r="K313">
        <v>0</v>
      </c>
      <c r="L313" t="s">
        <v>153</v>
      </c>
      <c r="N313" t="s">
        <v>213</v>
      </c>
      <c r="O313" t="s">
        <v>306</v>
      </c>
      <c r="P313">
        <v>8.8559783773457489E-3</v>
      </c>
      <c r="Q313" t="s">
        <v>153</v>
      </c>
      <c r="S313" t="s">
        <v>255</v>
      </c>
      <c r="T313" t="s">
        <v>306</v>
      </c>
      <c r="U313">
        <v>7.7817959786973916E-3</v>
      </c>
      <c r="V313" t="s">
        <v>153</v>
      </c>
    </row>
    <row r="314" spans="9:22" x14ac:dyDescent="0.45">
      <c r="I314" t="s">
        <v>170</v>
      </c>
      <c r="J314" t="s">
        <v>307</v>
      </c>
      <c r="K314">
        <v>0</v>
      </c>
      <c r="L314" t="s">
        <v>153</v>
      </c>
      <c r="N314" t="s">
        <v>213</v>
      </c>
      <c r="O314" t="s">
        <v>307</v>
      </c>
      <c r="P314">
        <v>3.8312812138631427E-2</v>
      </c>
      <c r="Q314" t="s">
        <v>153</v>
      </c>
      <c r="S314" t="s">
        <v>255</v>
      </c>
      <c r="T314" t="s">
        <v>307</v>
      </c>
      <c r="U314">
        <v>3.7725322831856194E-2</v>
      </c>
      <c r="V314" t="s">
        <v>153</v>
      </c>
    </row>
    <row r="315" spans="9:22" x14ac:dyDescent="0.45">
      <c r="I315" t="s">
        <v>170</v>
      </c>
      <c r="J315" t="s">
        <v>159</v>
      </c>
      <c r="K315">
        <v>0</v>
      </c>
      <c r="L315" t="s">
        <v>153</v>
      </c>
      <c r="N315" t="s">
        <v>213</v>
      </c>
      <c r="O315" t="s">
        <v>159</v>
      </c>
      <c r="P315">
        <v>5.9582349369648381E-2</v>
      </c>
      <c r="Q315" t="s">
        <v>153</v>
      </c>
      <c r="S315" t="s">
        <v>255</v>
      </c>
      <c r="T315" t="s">
        <v>159</v>
      </c>
      <c r="U315">
        <v>8.6100853084170745E-2</v>
      </c>
      <c r="V315" t="s">
        <v>153</v>
      </c>
    </row>
    <row r="316" spans="9:22" x14ac:dyDescent="0.45">
      <c r="I316" t="s">
        <v>170</v>
      </c>
      <c r="J316" t="s">
        <v>160</v>
      </c>
      <c r="K316">
        <v>9.7035191778439608E-3</v>
      </c>
      <c r="L316" t="s">
        <v>153</v>
      </c>
      <c r="N316" t="s">
        <v>213</v>
      </c>
      <c r="O316" t="s">
        <v>160</v>
      </c>
      <c r="P316">
        <v>1.0347557450113058E-2</v>
      </c>
      <c r="Q316" t="s">
        <v>153</v>
      </c>
      <c r="S316" t="s">
        <v>255</v>
      </c>
      <c r="T316" t="s">
        <v>160</v>
      </c>
      <c r="U316">
        <v>1.4071731307327156E-2</v>
      </c>
      <c r="V316" t="s">
        <v>153</v>
      </c>
    </row>
    <row r="317" spans="9:22" x14ac:dyDescent="0.45">
      <c r="I317" t="s">
        <v>170</v>
      </c>
      <c r="J317" t="s">
        <v>161</v>
      </c>
      <c r="K317">
        <v>1.9397389060703929E-2</v>
      </c>
      <c r="L317" t="s">
        <v>153</v>
      </c>
      <c r="N317" t="s">
        <v>213</v>
      </c>
      <c r="O317" t="s">
        <v>161</v>
      </c>
      <c r="P317">
        <v>9.6185346511182598E-3</v>
      </c>
      <c r="Q317" t="s">
        <v>153</v>
      </c>
      <c r="S317" t="s">
        <v>255</v>
      </c>
      <c r="T317" t="s">
        <v>161</v>
      </c>
      <c r="U317">
        <v>1.3762306084826238E-2</v>
      </c>
      <c r="V317" t="s">
        <v>153</v>
      </c>
    </row>
    <row r="318" spans="9:22" x14ac:dyDescent="0.45">
      <c r="I318" t="s">
        <v>170</v>
      </c>
      <c r="J318" t="s">
        <v>286</v>
      </c>
      <c r="K318">
        <v>7.9073678567356601E-2</v>
      </c>
      <c r="L318" t="s">
        <v>153</v>
      </c>
      <c r="N318" t="s">
        <v>213</v>
      </c>
      <c r="O318" t="s">
        <v>286</v>
      </c>
      <c r="P318">
        <v>3.2939322307282179E-2</v>
      </c>
      <c r="Q318" t="s">
        <v>153</v>
      </c>
      <c r="S318" t="s">
        <v>255</v>
      </c>
      <c r="T318" t="s">
        <v>286</v>
      </c>
      <c r="U318">
        <v>4.0896182574191864E-2</v>
      </c>
      <c r="V318" t="s">
        <v>153</v>
      </c>
    </row>
    <row r="319" spans="9:22" x14ac:dyDescent="0.45">
      <c r="I319" t="s">
        <v>170</v>
      </c>
      <c r="J319" t="s">
        <v>287</v>
      </c>
      <c r="K319">
        <v>0.1725174313085395</v>
      </c>
      <c r="L319" t="s">
        <v>153</v>
      </c>
      <c r="N319" t="s">
        <v>213</v>
      </c>
      <c r="O319" t="s">
        <v>287</v>
      </c>
      <c r="P319">
        <v>0.12821360296742959</v>
      </c>
      <c r="Q319" t="s">
        <v>153</v>
      </c>
      <c r="S319" t="s">
        <v>255</v>
      </c>
      <c r="T319" t="s">
        <v>287</v>
      </c>
      <c r="U319">
        <v>8.4752065967538107E-2</v>
      </c>
      <c r="V319" t="s">
        <v>153</v>
      </c>
    </row>
    <row r="320" spans="9:22" x14ac:dyDescent="0.45">
      <c r="I320" t="s">
        <v>170</v>
      </c>
      <c r="J320" t="s">
        <v>288</v>
      </c>
      <c r="K320">
        <v>2.269154203445739E-2</v>
      </c>
      <c r="L320" t="s">
        <v>153</v>
      </c>
      <c r="N320" t="s">
        <v>213</v>
      </c>
      <c r="O320" t="s">
        <v>288</v>
      </c>
      <c r="P320">
        <v>2.8985868964953473E-2</v>
      </c>
      <c r="Q320" t="s">
        <v>153</v>
      </c>
      <c r="S320" t="s">
        <v>255</v>
      </c>
      <c r="T320" t="s">
        <v>288</v>
      </c>
      <c r="U320">
        <v>1.623169773858003E-2</v>
      </c>
      <c r="V320" t="s">
        <v>153</v>
      </c>
    </row>
    <row r="321" spans="9:22" x14ac:dyDescent="0.45">
      <c r="I321" t="s">
        <v>170</v>
      </c>
      <c r="J321" t="s">
        <v>308</v>
      </c>
      <c r="K321">
        <v>1.325657015026478E-2</v>
      </c>
      <c r="L321" t="s">
        <v>153</v>
      </c>
      <c r="N321" t="s">
        <v>213</v>
      </c>
      <c r="O321" t="s">
        <v>308</v>
      </c>
      <c r="P321">
        <v>2.9674718742710191E-2</v>
      </c>
      <c r="Q321" t="s">
        <v>153</v>
      </c>
      <c r="S321" t="s">
        <v>255</v>
      </c>
      <c r="T321" t="s">
        <v>308</v>
      </c>
      <c r="U321">
        <v>1.6536655370069313E-2</v>
      </c>
      <c r="V321" t="s">
        <v>153</v>
      </c>
    </row>
    <row r="322" spans="9:22" x14ac:dyDescent="0.45">
      <c r="I322" t="s">
        <v>170</v>
      </c>
      <c r="J322" t="s">
        <v>309</v>
      </c>
      <c r="K322">
        <v>3.0805873371123716E-4</v>
      </c>
      <c r="L322" t="s">
        <v>153</v>
      </c>
      <c r="N322" t="s">
        <v>213</v>
      </c>
      <c r="O322" t="s">
        <v>309</v>
      </c>
      <c r="P322">
        <v>9.357044830063703E-2</v>
      </c>
      <c r="Q322" t="s">
        <v>153</v>
      </c>
      <c r="S322" t="s">
        <v>255</v>
      </c>
      <c r="T322" t="s">
        <v>309</v>
      </c>
      <c r="U322">
        <v>8.0852855694024922E-2</v>
      </c>
      <c r="V322" t="s">
        <v>153</v>
      </c>
    </row>
    <row r="323" spans="9:22" x14ac:dyDescent="0.45">
      <c r="I323" t="s">
        <v>170</v>
      </c>
      <c r="J323" t="s">
        <v>294</v>
      </c>
      <c r="K323">
        <v>0</v>
      </c>
      <c r="L323" t="s">
        <v>153</v>
      </c>
      <c r="N323" t="s">
        <v>213</v>
      </c>
      <c r="O323" t="s">
        <v>294</v>
      </c>
      <c r="P323">
        <v>1.0003377027793359E-2</v>
      </c>
      <c r="Q323" t="s">
        <v>153</v>
      </c>
      <c r="S323" t="s">
        <v>255</v>
      </c>
      <c r="T323" t="s">
        <v>294</v>
      </c>
      <c r="U323">
        <v>1.2559717768030394E-2</v>
      </c>
      <c r="V323" t="s">
        <v>153</v>
      </c>
    </row>
    <row r="324" spans="9:22" x14ac:dyDescent="0.45">
      <c r="I324" t="s">
        <v>170</v>
      </c>
      <c r="J324" t="s">
        <v>295</v>
      </c>
      <c r="K324">
        <v>5.3604329359122176E-3</v>
      </c>
      <c r="L324" t="s">
        <v>153</v>
      </c>
      <c r="N324" t="s">
        <v>213</v>
      </c>
      <c r="O324" t="s">
        <v>295</v>
      </c>
      <c r="P324">
        <v>1.220431043088434E-3</v>
      </c>
      <c r="Q324" t="s">
        <v>153</v>
      </c>
      <c r="S324" t="s">
        <v>255</v>
      </c>
      <c r="T324" t="s">
        <v>295</v>
      </c>
      <c r="U324">
        <v>2.1271959778600882E-3</v>
      </c>
      <c r="V324" t="s">
        <v>153</v>
      </c>
    </row>
    <row r="325" spans="9:22" x14ac:dyDescent="0.45">
      <c r="I325" t="s">
        <v>170</v>
      </c>
      <c r="J325" t="s">
        <v>296</v>
      </c>
      <c r="K325">
        <v>7.887087686692126E-3</v>
      </c>
      <c r="L325" t="s">
        <v>153</v>
      </c>
      <c r="N325" t="s">
        <v>213</v>
      </c>
      <c r="O325" t="s">
        <v>296</v>
      </c>
      <c r="P325">
        <v>1.2211420634191689E-3</v>
      </c>
      <c r="Q325" t="s">
        <v>153</v>
      </c>
      <c r="S325" t="s">
        <v>255</v>
      </c>
      <c r="T325" t="s">
        <v>296</v>
      </c>
      <c r="U325">
        <v>2.1596141082794395E-3</v>
      </c>
      <c r="V325" t="s">
        <v>153</v>
      </c>
    </row>
    <row r="326" spans="9:22" x14ac:dyDescent="0.45">
      <c r="I326" t="s">
        <v>170</v>
      </c>
      <c r="J326" t="s">
        <v>297</v>
      </c>
      <c r="K326">
        <v>2.9157917430564992E-2</v>
      </c>
      <c r="L326" t="s">
        <v>153</v>
      </c>
      <c r="N326" t="s">
        <v>213</v>
      </c>
      <c r="O326" t="s">
        <v>297</v>
      </c>
      <c r="P326">
        <v>6.2674050037064269E-3</v>
      </c>
      <c r="Q326" t="s">
        <v>153</v>
      </c>
      <c r="S326" t="s">
        <v>255</v>
      </c>
      <c r="T326" t="s">
        <v>297</v>
      </c>
      <c r="U326">
        <v>6.6936029195355474E-3</v>
      </c>
      <c r="V326" t="s">
        <v>153</v>
      </c>
    </row>
    <row r="327" spans="9:22" x14ac:dyDescent="0.45">
      <c r="I327" t="s">
        <v>170</v>
      </c>
      <c r="J327" t="s">
        <v>298</v>
      </c>
      <c r="K327">
        <v>6.1703700864886128E-2</v>
      </c>
      <c r="L327" t="s">
        <v>153</v>
      </c>
      <c r="N327" t="s">
        <v>213</v>
      </c>
      <c r="O327" t="s">
        <v>298</v>
      </c>
      <c r="P327">
        <v>2.1742445557023513E-2</v>
      </c>
      <c r="Q327" t="s">
        <v>153</v>
      </c>
      <c r="S327" t="s">
        <v>255</v>
      </c>
      <c r="T327" t="s">
        <v>298</v>
      </c>
      <c r="U327">
        <v>1.383084021681941E-2</v>
      </c>
      <c r="V327" t="s">
        <v>153</v>
      </c>
    </row>
    <row r="328" spans="9:22" x14ac:dyDescent="0.45">
      <c r="I328" t="s">
        <v>170</v>
      </c>
      <c r="J328" t="s">
        <v>299</v>
      </c>
      <c r="K328">
        <v>8.8709419411947387E-3</v>
      </c>
      <c r="L328" t="s">
        <v>153</v>
      </c>
      <c r="N328" t="s">
        <v>213</v>
      </c>
      <c r="O328" t="s">
        <v>299</v>
      </c>
      <c r="P328">
        <v>5.914216601198008E-3</v>
      </c>
      <c r="Q328" t="s">
        <v>153</v>
      </c>
      <c r="S328" t="s">
        <v>255</v>
      </c>
      <c r="T328" t="s">
        <v>299</v>
      </c>
      <c r="U328">
        <v>2.648330785472385E-3</v>
      </c>
      <c r="V328" t="s">
        <v>153</v>
      </c>
    </row>
    <row r="329" spans="9:22" x14ac:dyDescent="0.45">
      <c r="I329" t="s">
        <v>170</v>
      </c>
      <c r="J329" t="s">
        <v>310</v>
      </c>
      <c r="K329">
        <v>7.0321657070854986E-3</v>
      </c>
      <c r="L329" t="s">
        <v>153</v>
      </c>
      <c r="N329" t="s">
        <v>213</v>
      </c>
      <c r="O329" t="s">
        <v>310</v>
      </c>
      <c r="P329">
        <v>5.2868330976353775E-3</v>
      </c>
      <c r="Q329" t="s">
        <v>153</v>
      </c>
      <c r="S329" t="s">
        <v>255</v>
      </c>
      <c r="T329" t="s">
        <v>310</v>
      </c>
      <c r="U329">
        <v>2.7728304329227211E-3</v>
      </c>
      <c r="V329" t="s">
        <v>153</v>
      </c>
    </row>
    <row r="330" spans="9:22" x14ac:dyDescent="0.45">
      <c r="I330" t="s">
        <v>170</v>
      </c>
      <c r="J330" t="s">
        <v>311</v>
      </c>
      <c r="K330">
        <v>4.1203035839240468E-3</v>
      </c>
      <c r="L330" t="s">
        <v>153</v>
      </c>
      <c r="N330" t="s">
        <v>213</v>
      </c>
      <c r="O330" t="s">
        <v>311</v>
      </c>
      <c r="P330">
        <v>1.5415298370613898E-2</v>
      </c>
      <c r="Q330" t="s">
        <v>153</v>
      </c>
      <c r="S330" t="s">
        <v>255</v>
      </c>
      <c r="T330" t="s">
        <v>311</v>
      </c>
      <c r="U330">
        <v>1.3380071362052461E-2</v>
      </c>
      <c r="V330" t="s">
        <v>153</v>
      </c>
    </row>
    <row r="331" spans="9:22" x14ac:dyDescent="0.45">
      <c r="I331" t="s">
        <v>171</v>
      </c>
      <c r="J331" t="s">
        <v>152</v>
      </c>
      <c r="K331">
        <v>0</v>
      </c>
      <c r="L331" t="s">
        <v>153</v>
      </c>
      <c r="N331" t="s">
        <v>214</v>
      </c>
      <c r="O331" t="s">
        <v>152</v>
      </c>
      <c r="P331">
        <v>7.9722838935080198E-2</v>
      </c>
      <c r="Q331" t="s">
        <v>153</v>
      </c>
      <c r="S331" t="s">
        <v>256</v>
      </c>
      <c r="T331" t="s">
        <v>152</v>
      </c>
      <c r="U331">
        <v>0.10362258868853841</v>
      </c>
      <c r="V331" t="s">
        <v>153</v>
      </c>
    </row>
    <row r="332" spans="9:22" x14ac:dyDescent="0.45">
      <c r="I332" t="s">
        <v>171</v>
      </c>
      <c r="J332" t="s">
        <v>154</v>
      </c>
      <c r="K332">
        <v>9.0892139921714236E-3</v>
      </c>
      <c r="L332" t="s">
        <v>153</v>
      </c>
      <c r="N332" t="s">
        <v>214</v>
      </c>
      <c r="O332" t="s">
        <v>154</v>
      </c>
      <c r="P332">
        <v>1.3001220721411442E-2</v>
      </c>
      <c r="Q332" t="s">
        <v>153</v>
      </c>
      <c r="S332" t="s">
        <v>256</v>
      </c>
      <c r="T332" t="s">
        <v>154</v>
      </c>
      <c r="U332">
        <v>1.7064617352588303E-2</v>
      </c>
      <c r="V332" t="s">
        <v>153</v>
      </c>
    </row>
    <row r="333" spans="9:22" x14ac:dyDescent="0.45">
      <c r="I333" t="s">
        <v>171</v>
      </c>
      <c r="J333" t="s">
        <v>155</v>
      </c>
      <c r="K333">
        <v>2.7219566253791721E-2</v>
      </c>
      <c r="L333" t="s">
        <v>153</v>
      </c>
      <c r="N333" t="s">
        <v>214</v>
      </c>
      <c r="O333" t="s">
        <v>155</v>
      </c>
      <c r="P333">
        <v>1.2515840508006987E-2</v>
      </c>
      <c r="Q333" t="s">
        <v>153</v>
      </c>
      <c r="S333" t="s">
        <v>256</v>
      </c>
      <c r="T333" t="s">
        <v>155</v>
      </c>
      <c r="U333">
        <v>1.6981003479897679E-2</v>
      </c>
      <c r="V333" t="s">
        <v>153</v>
      </c>
    </row>
    <row r="334" spans="9:22" x14ac:dyDescent="0.45">
      <c r="I334" t="s">
        <v>171</v>
      </c>
      <c r="J334" t="s">
        <v>280</v>
      </c>
      <c r="K334">
        <v>0.11921285364402096</v>
      </c>
      <c r="L334" t="s">
        <v>153</v>
      </c>
      <c r="N334" t="s">
        <v>214</v>
      </c>
      <c r="O334" t="s">
        <v>280</v>
      </c>
      <c r="P334">
        <v>2.9866859091563724E-2</v>
      </c>
      <c r="Q334" t="s">
        <v>153</v>
      </c>
      <c r="S334" t="s">
        <v>256</v>
      </c>
      <c r="T334" t="s">
        <v>280</v>
      </c>
      <c r="U334">
        <v>5.1676908344156093E-2</v>
      </c>
      <c r="V334" t="s">
        <v>153</v>
      </c>
    </row>
    <row r="335" spans="9:22" x14ac:dyDescent="0.45">
      <c r="I335" t="s">
        <v>171</v>
      </c>
      <c r="J335" t="s">
        <v>281</v>
      </c>
      <c r="K335">
        <v>0.25229430224763044</v>
      </c>
      <c r="L335" t="s">
        <v>153</v>
      </c>
      <c r="N335" t="s">
        <v>214</v>
      </c>
      <c r="O335" t="s">
        <v>281</v>
      </c>
      <c r="P335">
        <v>8.1580037215466944E-2</v>
      </c>
      <c r="Q335" t="s">
        <v>153</v>
      </c>
      <c r="S335" t="s">
        <v>256</v>
      </c>
      <c r="T335" t="s">
        <v>281</v>
      </c>
      <c r="U335">
        <v>0.11139849467658533</v>
      </c>
      <c r="V335" t="s">
        <v>153</v>
      </c>
    </row>
    <row r="336" spans="9:22" x14ac:dyDescent="0.45">
      <c r="I336" t="s">
        <v>171</v>
      </c>
      <c r="J336" t="s">
        <v>282</v>
      </c>
      <c r="K336">
        <v>3.4382879406051871E-2</v>
      </c>
      <c r="L336" t="s">
        <v>153</v>
      </c>
      <c r="N336" t="s">
        <v>214</v>
      </c>
      <c r="O336" t="s">
        <v>282</v>
      </c>
      <c r="P336">
        <v>1.7586340542126187E-2</v>
      </c>
      <c r="Q336" t="s">
        <v>153</v>
      </c>
      <c r="S336" t="s">
        <v>256</v>
      </c>
      <c r="T336" t="s">
        <v>282</v>
      </c>
      <c r="U336">
        <v>2.1284460139335892E-2</v>
      </c>
      <c r="V336" t="s">
        <v>153</v>
      </c>
    </row>
    <row r="337" spans="9:22" x14ac:dyDescent="0.45">
      <c r="I337" t="s">
        <v>171</v>
      </c>
      <c r="J337" t="s">
        <v>304</v>
      </c>
      <c r="K337">
        <v>1.8786586355302844E-2</v>
      </c>
      <c r="L337" t="s">
        <v>153</v>
      </c>
      <c r="N337" t="s">
        <v>214</v>
      </c>
      <c r="O337" t="s">
        <v>304</v>
      </c>
      <c r="P337">
        <v>2.0186558807750637E-2</v>
      </c>
      <c r="Q337" t="s">
        <v>153</v>
      </c>
      <c r="S337" t="s">
        <v>256</v>
      </c>
      <c r="T337" t="s">
        <v>304</v>
      </c>
      <c r="U337">
        <v>2.1478195779568391E-2</v>
      </c>
      <c r="V337" t="s">
        <v>153</v>
      </c>
    </row>
    <row r="338" spans="9:22" x14ac:dyDescent="0.45">
      <c r="I338" t="s">
        <v>171</v>
      </c>
      <c r="J338" t="s">
        <v>305</v>
      </c>
      <c r="K338">
        <v>6.2553884596811974E-3</v>
      </c>
      <c r="L338" t="s">
        <v>153</v>
      </c>
      <c r="N338" t="s">
        <v>214</v>
      </c>
      <c r="O338" t="s">
        <v>305</v>
      </c>
      <c r="P338">
        <v>9.0953625303946017E-2</v>
      </c>
      <c r="Q338" t="s">
        <v>153</v>
      </c>
      <c r="S338" t="s">
        <v>256</v>
      </c>
      <c r="T338" t="s">
        <v>305</v>
      </c>
      <c r="U338">
        <v>0.10000692574386877</v>
      </c>
      <c r="V338" t="s">
        <v>153</v>
      </c>
    </row>
    <row r="339" spans="9:22" x14ac:dyDescent="0.45">
      <c r="I339" t="s">
        <v>171</v>
      </c>
      <c r="J339" t="s">
        <v>156</v>
      </c>
      <c r="K339">
        <v>0</v>
      </c>
      <c r="L339" t="s">
        <v>153</v>
      </c>
      <c r="N339" t="s">
        <v>214</v>
      </c>
      <c r="O339" t="s">
        <v>156</v>
      </c>
      <c r="P339">
        <v>6.7912080303031239E-2</v>
      </c>
      <c r="Q339" t="s">
        <v>153</v>
      </c>
      <c r="S339" t="s">
        <v>256</v>
      </c>
      <c r="T339" t="s">
        <v>156</v>
      </c>
      <c r="U339">
        <v>3.7554599407588707E-2</v>
      </c>
      <c r="V339" t="s">
        <v>153</v>
      </c>
    </row>
    <row r="340" spans="9:22" x14ac:dyDescent="0.45">
      <c r="I340" t="s">
        <v>171</v>
      </c>
      <c r="J340" t="s">
        <v>157</v>
      </c>
      <c r="K340">
        <v>0</v>
      </c>
      <c r="L340" t="s">
        <v>153</v>
      </c>
      <c r="N340" t="s">
        <v>214</v>
      </c>
      <c r="O340" t="s">
        <v>157</v>
      </c>
      <c r="P340">
        <v>1.1423862266731723E-2</v>
      </c>
      <c r="Q340" t="s">
        <v>153</v>
      </c>
      <c r="S340" t="s">
        <v>256</v>
      </c>
      <c r="T340" t="s">
        <v>157</v>
      </c>
      <c r="U340">
        <v>6.1090269936895977E-3</v>
      </c>
      <c r="V340" t="s">
        <v>153</v>
      </c>
    </row>
    <row r="341" spans="9:22" x14ac:dyDescent="0.45">
      <c r="I341" t="s">
        <v>171</v>
      </c>
      <c r="J341" t="s">
        <v>158</v>
      </c>
      <c r="K341">
        <v>7.7193152871038158E-4</v>
      </c>
      <c r="L341" t="s">
        <v>153</v>
      </c>
      <c r="N341" t="s">
        <v>214</v>
      </c>
      <c r="O341" t="s">
        <v>158</v>
      </c>
      <c r="P341">
        <v>1.0993141937450324E-2</v>
      </c>
      <c r="Q341" t="s">
        <v>153</v>
      </c>
      <c r="S341" t="s">
        <v>256</v>
      </c>
      <c r="T341" t="s">
        <v>158</v>
      </c>
      <c r="U341">
        <v>6.16353247817751E-3</v>
      </c>
      <c r="V341" t="s">
        <v>153</v>
      </c>
    </row>
    <row r="342" spans="9:22" x14ac:dyDescent="0.45">
      <c r="I342" t="s">
        <v>171</v>
      </c>
      <c r="J342" t="s">
        <v>283</v>
      </c>
      <c r="K342">
        <v>2.4289152288917471E-2</v>
      </c>
      <c r="L342" t="s">
        <v>153</v>
      </c>
      <c r="N342" t="s">
        <v>214</v>
      </c>
      <c r="O342" t="s">
        <v>283</v>
      </c>
      <c r="P342">
        <v>2.4458439331519189E-2</v>
      </c>
      <c r="Q342" t="s">
        <v>153</v>
      </c>
      <c r="S342" t="s">
        <v>256</v>
      </c>
      <c r="T342" t="s">
        <v>283</v>
      </c>
      <c r="U342">
        <v>1.8721143211931614E-2</v>
      </c>
      <c r="V342" t="s">
        <v>153</v>
      </c>
    </row>
    <row r="343" spans="9:22" x14ac:dyDescent="0.45">
      <c r="I343" t="s">
        <v>171</v>
      </c>
      <c r="J343" t="s">
        <v>284</v>
      </c>
      <c r="K343">
        <v>5.9930313693622388E-2</v>
      </c>
      <c r="L343" t="s">
        <v>153</v>
      </c>
      <c r="N343" t="s">
        <v>214</v>
      </c>
      <c r="O343" t="s">
        <v>284</v>
      </c>
      <c r="P343">
        <v>4.9967828867667506E-2</v>
      </c>
      <c r="Q343" t="s">
        <v>153</v>
      </c>
      <c r="S343" t="s">
        <v>256</v>
      </c>
      <c r="T343" t="s">
        <v>284</v>
      </c>
      <c r="U343">
        <v>4.042207459664264E-2</v>
      </c>
      <c r="V343" t="s">
        <v>153</v>
      </c>
    </row>
    <row r="344" spans="9:22" x14ac:dyDescent="0.45">
      <c r="I344" t="s">
        <v>171</v>
      </c>
      <c r="J344" t="s">
        <v>285</v>
      </c>
      <c r="K344">
        <v>7.2085436884927034E-3</v>
      </c>
      <c r="L344" t="s">
        <v>153</v>
      </c>
      <c r="N344" t="s">
        <v>214</v>
      </c>
      <c r="O344" t="s">
        <v>285</v>
      </c>
      <c r="P344">
        <v>7.4841094906323733E-3</v>
      </c>
      <c r="Q344" t="s">
        <v>153</v>
      </c>
      <c r="S344" t="s">
        <v>256</v>
      </c>
      <c r="T344" t="s">
        <v>285</v>
      </c>
      <c r="U344">
        <v>7.550333650419158E-3</v>
      </c>
      <c r="V344" t="s">
        <v>153</v>
      </c>
    </row>
    <row r="345" spans="9:22" x14ac:dyDescent="0.45">
      <c r="I345" t="s">
        <v>171</v>
      </c>
      <c r="J345" t="s">
        <v>306</v>
      </c>
      <c r="K345">
        <v>0</v>
      </c>
      <c r="L345" t="s">
        <v>153</v>
      </c>
      <c r="N345" t="s">
        <v>214</v>
      </c>
      <c r="O345" t="s">
        <v>306</v>
      </c>
      <c r="P345">
        <v>9.1427597948908531E-3</v>
      </c>
      <c r="Q345" t="s">
        <v>153</v>
      </c>
      <c r="S345" t="s">
        <v>256</v>
      </c>
      <c r="T345" t="s">
        <v>306</v>
      </c>
      <c r="U345">
        <v>7.7238944461034669E-3</v>
      </c>
      <c r="V345" t="s">
        <v>153</v>
      </c>
    </row>
    <row r="346" spans="9:22" x14ac:dyDescent="0.45">
      <c r="I346" t="s">
        <v>171</v>
      </c>
      <c r="J346" t="s">
        <v>307</v>
      </c>
      <c r="K346">
        <v>0</v>
      </c>
      <c r="L346" t="s">
        <v>153</v>
      </c>
      <c r="N346" t="s">
        <v>214</v>
      </c>
      <c r="O346" t="s">
        <v>307</v>
      </c>
      <c r="P346">
        <v>5.0238730639010659E-2</v>
      </c>
      <c r="Q346" t="s">
        <v>153</v>
      </c>
      <c r="S346" t="s">
        <v>256</v>
      </c>
      <c r="T346" t="s">
        <v>307</v>
      </c>
      <c r="U346">
        <v>3.7803319569650613E-2</v>
      </c>
      <c r="V346" t="s">
        <v>153</v>
      </c>
    </row>
    <row r="347" spans="9:22" x14ac:dyDescent="0.45">
      <c r="I347" t="s">
        <v>171</v>
      </c>
      <c r="J347" t="s">
        <v>159</v>
      </c>
      <c r="K347">
        <v>0</v>
      </c>
      <c r="L347" t="s">
        <v>153</v>
      </c>
      <c r="N347" t="s">
        <v>214</v>
      </c>
      <c r="O347" t="s">
        <v>159</v>
      </c>
      <c r="P347">
        <v>7.9343874543349749E-2</v>
      </c>
      <c r="Q347" t="s">
        <v>153</v>
      </c>
      <c r="S347" t="s">
        <v>256</v>
      </c>
      <c r="T347" t="s">
        <v>159</v>
      </c>
      <c r="U347">
        <v>7.9992263119515211E-2</v>
      </c>
      <c r="V347" t="s">
        <v>153</v>
      </c>
    </row>
    <row r="348" spans="9:22" x14ac:dyDescent="0.45">
      <c r="I348" t="s">
        <v>171</v>
      </c>
      <c r="J348" t="s">
        <v>160</v>
      </c>
      <c r="K348">
        <v>1.1093704213616362E-2</v>
      </c>
      <c r="L348" t="s">
        <v>153</v>
      </c>
      <c r="N348" t="s">
        <v>214</v>
      </c>
      <c r="O348" t="s">
        <v>160</v>
      </c>
      <c r="P348">
        <v>1.3094817787687231E-2</v>
      </c>
      <c r="Q348" t="s">
        <v>153</v>
      </c>
      <c r="S348" t="s">
        <v>256</v>
      </c>
      <c r="T348" t="s">
        <v>160</v>
      </c>
      <c r="U348">
        <v>1.300585685175736E-2</v>
      </c>
      <c r="V348" t="s">
        <v>153</v>
      </c>
    </row>
    <row r="349" spans="9:22" x14ac:dyDescent="0.45">
      <c r="I349" t="s">
        <v>171</v>
      </c>
      <c r="J349" t="s">
        <v>161</v>
      </c>
      <c r="K349">
        <v>2.1367935956370692E-2</v>
      </c>
      <c r="L349" t="s">
        <v>153</v>
      </c>
      <c r="N349" t="s">
        <v>214</v>
      </c>
      <c r="O349" t="s">
        <v>161</v>
      </c>
      <c r="P349">
        <v>1.1668593116159627E-2</v>
      </c>
      <c r="Q349" t="s">
        <v>153</v>
      </c>
      <c r="S349" t="s">
        <v>256</v>
      </c>
      <c r="T349" t="s">
        <v>161</v>
      </c>
      <c r="U349">
        <v>1.2796171173847879E-2</v>
      </c>
      <c r="V349" t="s">
        <v>153</v>
      </c>
    </row>
    <row r="350" spans="9:22" x14ac:dyDescent="0.45">
      <c r="I350" t="s">
        <v>171</v>
      </c>
      <c r="J350" t="s">
        <v>286</v>
      </c>
      <c r="K350">
        <v>8.2324890474346976E-2</v>
      </c>
      <c r="L350" t="s">
        <v>153</v>
      </c>
      <c r="N350" t="s">
        <v>214</v>
      </c>
      <c r="O350" t="s">
        <v>286</v>
      </c>
      <c r="P350">
        <v>3.3720542297398348E-2</v>
      </c>
      <c r="Q350" t="s">
        <v>153</v>
      </c>
      <c r="S350" t="s">
        <v>256</v>
      </c>
      <c r="T350" t="s">
        <v>286</v>
      </c>
      <c r="U350">
        <v>3.7694882224642172E-2</v>
      </c>
      <c r="V350" t="s">
        <v>153</v>
      </c>
    </row>
    <row r="351" spans="9:22" x14ac:dyDescent="0.45">
      <c r="I351" t="s">
        <v>171</v>
      </c>
      <c r="J351" t="s">
        <v>287</v>
      </c>
      <c r="K351">
        <v>0.17346499827984921</v>
      </c>
      <c r="L351" t="s">
        <v>153</v>
      </c>
      <c r="N351" t="s">
        <v>214</v>
      </c>
      <c r="O351" t="s">
        <v>287</v>
      </c>
      <c r="P351">
        <v>0.10019715769460197</v>
      </c>
      <c r="Q351" t="s">
        <v>153</v>
      </c>
      <c r="S351" t="s">
        <v>256</v>
      </c>
      <c r="T351" t="s">
        <v>287</v>
      </c>
      <c r="U351">
        <v>8.3371052142633503E-2</v>
      </c>
      <c r="V351" t="s">
        <v>153</v>
      </c>
    </row>
    <row r="352" spans="9:22" x14ac:dyDescent="0.45">
      <c r="I352" t="s">
        <v>171</v>
      </c>
      <c r="J352" t="s">
        <v>288</v>
      </c>
      <c r="K352">
        <v>2.211480275330013E-2</v>
      </c>
      <c r="L352" t="s">
        <v>153</v>
      </c>
      <c r="N352" t="s">
        <v>214</v>
      </c>
      <c r="O352" t="s">
        <v>288</v>
      </c>
      <c r="P352">
        <v>1.994777709044069E-2</v>
      </c>
      <c r="Q352" t="s">
        <v>153</v>
      </c>
      <c r="S352" t="s">
        <v>256</v>
      </c>
      <c r="T352" t="s">
        <v>288</v>
      </c>
      <c r="U352">
        <v>1.5283531587254397E-2</v>
      </c>
      <c r="V352" t="s">
        <v>153</v>
      </c>
    </row>
    <row r="353" spans="9:22" x14ac:dyDescent="0.45">
      <c r="I353" t="s">
        <v>171</v>
      </c>
      <c r="J353" t="s">
        <v>308</v>
      </c>
      <c r="K353">
        <v>1.1435014332767397E-2</v>
      </c>
      <c r="L353" t="s">
        <v>153</v>
      </c>
      <c r="N353" t="s">
        <v>214</v>
      </c>
      <c r="O353" t="s">
        <v>308</v>
      </c>
      <c r="P353">
        <v>2.2278844812477404E-2</v>
      </c>
      <c r="Q353" t="s">
        <v>153</v>
      </c>
      <c r="S353" t="s">
        <v>256</v>
      </c>
      <c r="T353" t="s">
        <v>308</v>
      </c>
      <c r="U353">
        <v>1.5573444733390186E-2</v>
      </c>
      <c r="V353" t="s">
        <v>153</v>
      </c>
    </row>
    <row r="354" spans="9:22" x14ac:dyDescent="0.45">
      <c r="I354" t="s">
        <v>171</v>
      </c>
      <c r="J354" t="s">
        <v>309</v>
      </c>
      <c r="K354">
        <v>3.4310607542094648E-7</v>
      </c>
      <c r="L354" t="s">
        <v>153</v>
      </c>
      <c r="N354" t="s">
        <v>214</v>
      </c>
      <c r="O354" t="s">
        <v>309</v>
      </c>
      <c r="P354">
        <v>9.1832655736548779E-2</v>
      </c>
      <c r="Q354" t="s">
        <v>153</v>
      </c>
      <c r="S354" t="s">
        <v>256</v>
      </c>
      <c r="T354" t="s">
        <v>309</v>
      </c>
      <c r="U354">
        <v>7.4566596399653476E-2</v>
      </c>
      <c r="V354" t="s">
        <v>153</v>
      </c>
    </row>
    <row r="355" spans="9:22" x14ac:dyDescent="0.45">
      <c r="I355" t="s">
        <v>171</v>
      </c>
      <c r="J355" t="s">
        <v>294</v>
      </c>
      <c r="K355">
        <v>0</v>
      </c>
      <c r="L355" t="s">
        <v>153</v>
      </c>
      <c r="N355" t="s">
        <v>214</v>
      </c>
      <c r="O355" t="s">
        <v>294</v>
      </c>
      <c r="P355">
        <v>7.7876439246140046E-3</v>
      </c>
      <c r="Q355" t="s">
        <v>153</v>
      </c>
      <c r="S355" t="s">
        <v>256</v>
      </c>
      <c r="T355" t="s">
        <v>294</v>
      </c>
      <c r="U355">
        <v>1.4479695990058328E-2</v>
      </c>
      <c r="V355" t="s">
        <v>153</v>
      </c>
    </row>
    <row r="356" spans="9:22" x14ac:dyDescent="0.45">
      <c r="I356" t="s">
        <v>171</v>
      </c>
      <c r="J356" t="s">
        <v>295</v>
      </c>
      <c r="K356">
        <v>5.8137371430786898E-3</v>
      </c>
      <c r="L356" t="s">
        <v>153</v>
      </c>
      <c r="N356" t="s">
        <v>214</v>
      </c>
      <c r="O356" t="s">
        <v>295</v>
      </c>
      <c r="P356">
        <v>1.1805329964756899E-3</v>
      </c>
      <c r="Q356" t="s">
        <v>153</v>
      </c>
      <c r="S356" t="s">
        <v>256</v>
      </c>
      <c r="T356" t="s">
        <v>295</v>
      </c>
      <c r="U356">
        <v>2.4093480954972199E-3</v>
      </c>
      <c r="V356" t="s">
        <v>153</v>
      </c>
    </row>
    <row r="357" spans="9:22" x14ac:dyDescent="0.45">
      <c r="I357" t="s">
        <v>171</v>
      </c>
      <c r="J357" t="s">
        <v>296</v>
      </c>
      <c r="K357">
        <v>8.1583053884913773E-3</v>
      </c>
      <c r="L357" t="s">
        <v>153</v>
      </c>
      <c r="N357" t="s">
        <v>214</v>
      </c>
      <c r="O357" t="s">
        <v>296</v>
      </c>
      <c r="P357">
        <v>1.0320315242465115E-3</v>
      </c>
      <c r="Q357" t="s">
        <v>153</v>
      </c>
      <c r="S357" t="s">
        <v>256</v>
      </c>
      <c r="T357" t="s">
        <v>296</v>
      </c>
      <c r="U357">
        <v>2.4563009602133635E-3</v>
      </c>
      <c r="V357" t="s">
        <v>153</v>
      </c>
    </row>
    <row r="358" spans="9:22" x14ac:dyDescent="0.45">
      <c r="I358" t="s">
        <v>171</v>
      </c>
      <c r="J358" t="s">
        <v>297</v>
      </c>
      <c r="K358">
        <v>2.9527785652136443E-2</v>
      </c>
      <c r="L358" t="s">
        <v>153</v>
      </c>
      <c r="N358" t="s">
        <v>214</v>
      </c>
      <c r="O358" t="s">
        <v>297</v>
      </c>
      <c r="P358">
        <v>4.2607576044845167E-3</v>
      </c>
      <c r="Q358" t="s">
        <v>153</v>
      </c>
      <c r="S358" t="s">
        <v>256</v>
      </c>
      <c r="T358" t="s">
        <v>297</v>
      </c>
      <c r="U358">
        <v>7.5949010625548799E-3</v>
      </c>
      <c r="V358" t="s">
        <v>153</v>
      </c>
    </row>
    <row r="359" spans="9:22" x14ac:dyDescent="0.45">
      <c r="I359" t="s">
        <v>171</v>
      </c>
      <c r="J359" t="s">
        <v>298</v>
      </c>
      <c r="K359">
        <v>5.7825164670039404E-2</v>
      </c>
      <c r="L359" t="s">
        <v>153</v>
      </c>
      <c r="N359" t="s">
        <v>214</v>
      </c>
      <c r="O359" t="s">
        <v>298</v>
      </c>
      <c r="P359">
        <v>1.4928646493724423E-2</v>
      </c>
      <c r="Q359" t="s">
        <v>153</v>
      </c>
      <c r="S359" t="s">
        <v>256</v>
      </c>
      <c r="T359" t="s">
        <v>298</v>
      </c>
      <c r="U359">
        <v>1.641405476451422E-2</v>
      </c>
      <c r="V359" t="s">
        <v>153</v>
      </c>
    </row>
    <row r="360" spans="9:22" x14ac:dyDescent="0.45">
      <c r="I360" t="s">
        <v>171</v>
      </c>
      <c r="J360" t="s">
        <v>299</v>
      </c>
      <c r="K360">
        <v>7.9650528841799188E-3</v>
      </c>
      <c r="L360" t="s">
        <v>153</v>
      </c>
      <c r="N360" t="s">
        <v>214</v>
      </c>
      <c r="O360" t="s">
        <v>299</v>
      </c>
      <c r="P360">
        <v>3.6475081381455478E-3</v>
      </c>
      <c r="Q360" t="s">
        <v>153</v>
      </c>
      <c r="S360" t="s">
        <v>256</v>
      </c>
      <c r="T360" t="s">
        <v>299</v>
      </c>
      <c r="U360">
        <v>2.9541666964505065E-3</v>
      </c>
      <c r="V360" t="s">
        <v>153</v>
      </c>
    </row>
    <row r="361" spans="9:22" x14ac:dyDescent="0.45">
      <c r="I361" t="s">
        <v>171</v>
      </c>
      <c r="J361" t="s">
        <v>310</v>
      </c>
      <c r="K361">
        <v>6.1774684886665588E-3</v>
      </c>
      <c r="L361" t="s">
        <v>153</v>
      </c>
      <c r="N361" t="s">
        <v>214</v>
      </c>
      <c r="O361" t="s">
        <v>310</v>
      </c>
      <c r="P361">
        <v>3.8704765334173674E-3</v>
      </c>
      <c r="Q361" t="s">
        <v>153</v>
      </c>
      <c r="S361" t="s">
        <v>256</v>
      </c>
      <c r="T361" t="s">
        <v>310</v>
      </c>
      <c r="U361">
        <v>2.8944604785974444E-3</v>
      </c>
      <c r="V361" t="s">
        <v>153</v>
      </c>
    </row>
    <row r="362" spans="9:22" x14ac:dyDescent="0.45">
      <c r="I362" t="s">
        <v>171</v>
      </c>
      <c r="J362" t="s">
        <v>311</v>
      </c>
      <c r="K362">
        <v>3.2900650986879758E-3</v>
      </c>
      <c r="L362" t="s">
        <v>153</v>
      </c>
      <c r="N362" t="s">
        <v>214</v>
      </c>
      <c r="O362" t="s">
        <v>311</v>
      </c>
      <c r="P362">
        <v>1.4173865949943984E-2</v>
      </c>
      <c r="Q362" t="s">
        <v>153</v>
      </c>
      <c r="S362" t="s">
        <v>256</v>
      </c>
      <c r="T362" t="s">
        <v>311</v>
      </c>
      <c r="U362">
        <v>1.2952155160678084E-2</v>
      </c>
      <c r="V362" t="s">
        <v>153</v>
      </c>
    </row>
    <row r="363" spans="9:22" x14ac:dyDescent="0.45">
      <c r="I363" t="s">
        <v>172</v>
      </c>
      <c r="J363" t="s">
        <v>152</v>
      </c>
      <c r="K363">
        <v>0</v>
      </c>
      <c r="L363" t="s">
        <v>153</v>
      </c>
      <c r="N363" t="s">
        <v>215</v>
      </c>
      <c r="O363" t="s">
        <v>152</v>
      </c>
      <c r="P363">
        <v>9.2255144175524897E-2</v>
      </c>
      <c r="Q363" t="s">
        <v>153</v>
      </c>
      <c r="S363" t="s">
        <v>257</v>
      </c>
      <c r="T363" t="s">
        <v>152</v>
      </c>
      <c r="U363">
        <v>0.11040078861044068</v>
      </c>
      <c r="V363" t="s">
        <v>153</v>
      </c>
    </row>
    <row r="364" spans="9:22" x14ac:dyDescent="0.45">
      <c r="I364" t="s">
        <v>172</v>
      </c>
      <c r="J364" t="s">
        <v>154</v>
      </c>
      <c r="K364">
        <v>5.906106435818282E-3</v>
      </c>
      <c r="L364" t="s">
        <v>153</v>
      </c>
      <c r="N364" t="s">
        <v>215</v>
      </c>
      <c r="O364" t="s">
        <v>154</v>
      </c>
      <c r="P364">
        <v>1.590061470858908E-2</v>
      </c>
      <c r="Q364" t="s">
        <v>153</v>
      </c>
      <c r="S364" t="s">
        <v>257</v>
      </c>
      <c r="T364" t="s">
        <v>154</v>
      </c>
      <c r="U364">
        <v>1.7933884817177378E-2</v>
      </c>
      <c r="V364" t="s">
        <v>153</v>
      </c>
    </row>
    <row r="365" spans="9:22" x14ac:dyDescent="0.45">
      <c r="I365" t="s">
        <v>172</v>
      </c>
      <c r="J365" t="s">
        <v>155</v>
      </c>
      <c r="K365">
        <v>2.2309510441255415E-2</v>
      </c>
      <c r="L365" t="s">
        <v>153</v>
      </c>
      <c r="N365" t="s">
        <v>215</v>
      </c>
      <c r="O365" t="s">
        <v>155</v>
      </c>
      <c r="P365">
        <v>1.6133832749471867E-2</v>
      </c>
      <c r="Q365" t="s">
        <v>153</v>
      </c>
      <c r="S365" t="s">
        <v>257</v>
      </c>
      <c r="T365" t="s">
        <v>155</v>
      </c>
      <c r="U365">
        <v>1.7707940586862706E-2</v>
      </c>
      <c r="V365" t="s">
        <v>153</v>
      </c>
    </row>
    <row r="366" spans="9:22" x14ac:dyDescent="0.45">
      <c r="I366" t="s">
        <v>172</v>
      </c>
      <c r="J366" t="s">
        <v>280</v>
      </c>
      <c r="K366">
        <v>0.1128069570424788</v>
      </c>
      <c r="L366" t="s">
        <v>153</v>
      </c>
      <c r="N366" t="s">
        <v>215</v>
      </c>
      <c r="O366" t="s">
        <v>280</v>
      </c>
      <c r="P366">
        <v>4.9079928726278144E-2</v>
      </c>
      <c r="Q366" t="s">
        <v>153</v>
      </c>
      <c r="S366" t="s">
        <v>257</v>
      </c>
      <c r="T366" t="s">
        <v>280</v>
      </c>
      <c r="U366">
        <v>5.3720991457451052E-2</v>
      </c>
      <c r="V366" t="s">
        <v>153</v>
      </c>
    </row>
    <row r="367" spans="9:22" x14ac:dyDescent="0.45">
      <c r="I367" t="s">
        <v>172</v>
      </c>
      <c r="J367" t="s">
        <v>281</v>
      </c>
      <c r="K367">
        <v>0.25821481814749858</v>
      </c>
      <c r="L367" t="s">
        <v>153</v>
      </c>
      <c r="N367" t="s">
        <v>215</v>
      </c>
      <c r="O367" t="s">
        <v>281</v>
      </c>
      <c r="P367">
        <v>0.12375531031097423</v>
      </c>
      <c r="Q367" t="s">
        <v>153</v>
      </c>
      <c r="S367" t="s">
        <v>257</v>
      </c>
      <c r="T367" t="s">
        <v>281</v>
      </c>
      <c r="U367">
        <v>0.11105002350649805</v>
      </c>
      <c r="V367" t="s">
        <v>153</v>
      </c>
    </row>
    <row r="368" spans="9:22" x14ac:dyDescent="0.45">
      <c r="I368" t="s">
        <v>172</v>
      </c>
      <c r="J368" t="s">
        <v>282</v>
      </c>
      <c r="K368">
        <v>3.581020798877501E-2</v>
      </c>
      <c r="L368" t="s">
        <v>153</v>
      </c>
      <c r="N368" t="s">
        <v>215</v>
      </c>
      <c r="O368" t="s">
        <v>282</v>
      </c>
      <c r="P368">
        <v>2.428576108594007E-2</v>
      </c>
      <c r="Q368" t="s">
        <v>153</v>
      </c>
      <c r="S368" t="s">
        <v>257</v>
      </c>
      <c r="T368" t="s">
        <v>282</v>
      </c>
      <c r="U368">
        <v>2.049989556529944E-2</v>
      </c>
      <c r="V368" t="s">
        <v>153</v>
      </c>
    </row>
    <row r="369" spans="9:22" x14ac:dyDescent="0.45">
      <c r="I369" t="s">
        <v>172</v>
      </c>
      <c r="J369" t="s">
        <v>304</v>
      </c>
      <c r="K369">
        <v>2.0377651058609871E-2</v>
      </c>
      <c r="L369" t="s">
        <v>153</v>
      </c>
      <c r="N369" t="s">
        <v>215</v>
      </c>
      <c r="O369" t="s">
        <v>304</v>
      </c>
      <c r="P369">
        <v>2.3587688790238974E-2</v>
      </c>
      <c r="Q369" t="s">
        <v>153</v>
      </c>
      <c r="S369" t="s">
        <v>257</v>
      </c>
      <c r="T369" t="s">
        <v>304</v>
      </c>
      <c r="U369">
        <v>2.0776283267004373E-2</v>
      </c>
      <c r="V369" t="s">
        <v>153</v>
      </c>
    </row>
    <row r="370" spans="9:22" x14ac:dyDescent="0.45">
      <c r="I370" t="s">
        <v>172</v>
      </c>
      <c r="J370" t="s">
        <v>305</v>
      </c>
      <c r="K370">
        <v>7.1902114523459942E-3</v>
      </c>
      <c r="L370" t="s">
        <v>153</v>
      </c>
      <c r="N370" t="s">
        <v>215</v>
      </c>
      <c r="O370" t="s">
        <v>305</v>
      </c>
      <c r="P370">
        <v>8.8697605515063407E-2</v>
      </c>
      <c r="Q370" t="s">
        <v>153</v>
      </c>
      <c r="S370" t="s">
        <v>257</v>
      </c>
      <c r="T370" t="s">
        <v>305</v>
      </c>
      <c r="U370">
        <v>0.10085280120094053</v>
      </c>
      <c r="V370" t="s">
        <v>153</v>
      </c>
    </row>
    <row r="371" spans="9:22" x14ac:dyDescent="0.45">
      <c r="I371" t="s">
        <v>172</v>
      </c>
      <c r="J371" t="s">
        <v>156</v>
      </c>
      <c r="K371">
        <v>0</v>
      </c>
      <c r="L371" t="s">
        <v>153</v>
      </c>
      <c r="N371" t="s">
        <v>215</v>
      </c>
      <c r="O371" t="s">
        <v>156</v>
      </c>
      <c r="P371">
        <v>5.1761345901088621E-2</v>
      </c>
      <c r="Q371" t="s">
        <v>153</v>
      </c>
      <c r="S371" t="s">
        <v>257</v>
      </c>
      <c r="T371" t="s">
        <v>156</v>
      </c>
      <c r="U371">
        <v>3.8336156562259867E-2</v>
      </c>
      <c r="V371" t="s">
        <v>153</v>
      </c>
    </row>
    <row r="372" spans="9:22" x14ac:dyDescent="0.45">
      <c r="I372" t="s">
        <v>172</v>
      </c>
      <c r="J372" t="s">
        <v>157</v>
      </c>
      <c r="K372">
        <v>0</v>
      </c>
      <c r="L372" t="s">
        <v>153</v>
      </c>
      <c r="N372" t="s">
        <v>215</v>
      </c>
      <c r="O372" t="s">
        <v>157</v>
      </c>
      <c r="P372">
        <v>9.2595252935707244E-3</v>
      </c>
      <c r="Q372" t="s">
        <v>153</v>
      </c>
      <c r="S372" t="s">
        <v>257</v>
      </c>
      <c r="T372" t="s">
        <v>157</v>
      </c>
      <c r="U372">
        <v>6.0238606620631662E-3</v>
      </c>
      <c r="V372" t="s">
        <v>153</v>
      </c>
    </row>
    <row r="373" spans="9:22" x14ac:dyDescent="0.45">
      <c r="I373" t="s">
        <v>172</v>
      </c>
      <c r="J373" t="s">
        <v>158</v>
      </c>
      <c r="K373">
        <v>5.9806611483514038E-4</v>
      </c>
      <c r="L373" t="s">
        <v>153</v>
      </c>
      <c r="N373" t="s">
        <v>215</v>
      </c>
      <c r="O373" t="s">
        <v>158</v>
      </c>
      <c r="P373">
        <v>9.4284077770138558E-3</v>
      </c>
      <c r="Q373" t="s">
        <v>153</v>
      </c>
      <c r="S373" t="s">
        <v>257</v>
      </c>
      <c r="T373" t="s">
        <v>158</v>
      </c>
      <c r="U373">
        <v>6.0587070443577145E-3</v>
      </c>
      <c r="V373" t="s">
        <v>153</v>
      </c>
    </row>
    <row r="374" spans="9:22" x14ac:dyDescent="0.45">
      <c r="I374" t="s">
        <v>172</v>
      </c>
      <c r="J374" t="s">
        <v>283</v>
      </c>
      <c r="K374">
        <v>2.5157630985203783E-2</v>
      </c>
      <c r="L374" t="s">
        <v>153</v>
      </c>
      <c r="N374" t="s">
        <v>215</v>
      </c>
      <c r="O374" t="s">
        <v>283</v>
      </c>
      <c r="P374">
        <v>2.652671831464648E-2</v>
      </c>
      <c r="Q374" t="s">
        <v>153</v>
      </c>
      <c r="S374" t="s">
        <v>257</v>
      </c>
      <c r="T374" t="s">
        <v>283</v>
      </c>
      <c r="U374">
        <v>1.872750334705826E-2</v>
      </c>
      <c r="V374" t="s">
        <v>153</v>
      </c>
    </row>
    <row r="375" spans="9:22" x14ac:dyDescent="0.45">
      <c r="I375" t="s">
        <v>172</v>
      </c>
      <c r="J375" t="s">
        <v>284</v>
      </c>
      <c r="K375">
        <v>6.3156173693287299E-2</v>
      </c>
      <c r="L375" t="s">
        <v>153</v>
      </c>
      <c r="N375" t="s">
        <v>215</v>
      </c>
      <c r="O375" t="s">
        <v>284</v>
      </c>
      <c r="P375">
        <v>5.358136177531346E-2</v>
      </c>
      <c r="Q375" t="s">
        <v>153</v>
      </c>
      <c r="S375" t="s">
        <v>257</v>
      </c>
      <c r="T375" t="s">
        <v>284</v>
      </c>
      <c r="U375">
        <v>3.9544778610734625E-2</v>
      </c>
      <c r="V375" t="s">
        <v>153</v>
      </c>
    </row>
    <row r="376" spans="9:22" x14ac:dyDescent="0.45">
      <c r="I376" t="s">
        <v>172</v>
      </c>
      <c r="J376" t="s">
        <v>285</v>
      </c>
      <c r="K376">
        <v>7.5194916731752314E-3</v>
      </c>
      <c r="L376" t="s">
        <v>153</v>
      </c>
      <c r="N376" t="s">
        <v>215</v>
      </c>
      <c r="O376" t="s">
        <v>285</v>
      </c>
      <c r="P376">
        <v>8.2702674088778461E-3</v>
      </c>
      <c r="Q376" t="s">
        <v>153</v>
      </c>
      <c r="S376" t="s">
        <v>257</v>
      </c>
      <c r="T376" t="s">
        <v>285</v>
      </c>
      <c r="U376">
        <v>7.96325347071105E-3</v>
      </c>
      <c r="V376" t="s">
        <v>153</v>
      </c>
    </row>
    <row r="377" spans="9:22" x14ac:dyDescent="0.45">
      <c r="I377" t="s">
        <v>172</v>
      </c>
      <c r="J377" t="s">
        <v>306</v>
      </c>
      <c r="K377">
        <v>0</v>
      </c>
      <c r="L377" t="s">
        <v>153</v>
      </c>
      <c r="N377" t="s">
        <v>215</v>
      </c>
      <c r="O377" t="s">
        <v>306</v>
      </c>
      <c r="P377">
        <v>8.0172834061121856E-3</v>
      </c>
      <c r="Q377" t="s">
        <v>153</v>
      </c>
      <c r="S377" t="s">
        <v>257</v>
      </c>
      <c r="T377" t="s">
        <v>306</v>
      </c>
      <c r="U377">
        <v>8.0770186402334947E-3</v>
      </c>
      <c r="V377" t="s">
        <v>153</v>
      </c>
    </row>
    <row r="378" spans="9:22" x14ac:dyDescent="0.45">
      <c r="I378" t="s">
        <v>172</v>
      </c>
      <c r="J378" t="s">
        <v>307</v>
      </c>
      <c r="K378">
        <v>0</v>
      </c>
      <c r="L378" t="s">
        <v>153</v>
      </c>
      <c r="N378" t="s">
        <v>215</v>
      </c>
      <c r="O378" t="s">
        <v>307</v>
      </c>
      <c r="P378">
        <v>3.7698936093625575E-2</v>
      </c>
      <c r="Q378" t="s">
        <v>153</v>
      </c>
      <c r="S378" t="s">
        <v>257</v>
      </c>
      <c r="T378" t="s">
        <v>307</v>
      </c>
      <c r="U378">
        <v>3.8565977831019213E-2</v>
      </c>
      <c r="V378" t="s">
        <v>153</v>
      </c>
    </row>
    <row r="379" spans="9:22" x14ac:dyDescent="0.45">
      <c r="I379" t="s">
        <v>172</v>
      </c>
      <c r="J379" t="s">
        <v>159</v>
      </c>
      <c r="K379">
        <v>0</v>
      </c>
      <c r="L379" t="s">
        <v>153</v>
      </c>
      <c r="N379" t="s">
        <v>215</v>
      </c>
      <c r="O379" t="s">
        <v>159</v>
      </c>
      <c r="P379">
        <v>6.1600149114492915E-2</v>
      </c>
      <c r="Q379" t="s">
        <v>153</v>
      </c>
      <c r="S379" t="s">
        <v>257</v>
      </c>
      <c r="T379" t="s">
        <v>159</v>
      </c>
      <c r="U379">
        <v>7.5693677244527482E-2</v>
      </c>
      <c r="V379" t="s">
        <v>153</v>
      </c>
    </row>
    <row r="380" spans="9:22" x14ac:dyDescent="0.45">
      <c r="I380" t="s">
        <v>172</v>
      </c>
      <c r="J380" t="s">
        <v>160</v>
      </c>
      <c r="K380">
        <v>8.7265107325836169E-3</v>
      </c>
      <c r="L380" t="s">
        <v>153</v>
      </c>
      <c r="N380" t="s">
        <v>215</v>
      </c>
      <c r="O380" t="s">
        <v>160</v>
      </c>
      <c r="P380">
        <v>1.0518939019503669E-2</v>
      </c>
      <c r="Q380" t="s">
        <v>153</v>
      </c>
      <c r="S380" t="s">
        <v>257</v>
      </c>
      <c r="T380" t="s">
        <v>160</v>
      </c>
      <c r="U380">
        <v>1.1950365144626478E-2</v>
      </c>
      <c r="V380" t="s">
        <v>153</v>
      </c>
    </row>
    <row r="381" spans="9:22" x14ac:dyDescent="0.45">
      <c r="I381" t="s">
        <v>172</v>
      </c>
      <c r="J381" t="s">
        <v>161</v>
      </c>
      <c r="K381">
        <v>1.9086697746953644E-2</v>
      </c>
      <c r="L381" t="s">
        <v>153</v>
      </c>
      <c r="N381" t="s">
        <v>215</v>
      </c>
      <c r="O381" t="s">
        <v>161</v>
      </c>
      <c r="P381">
        <v>1.0455436225351132E-2</v>
      </c>
      <c r="Q381" t="s">
        <v>153</v>
      </c>
      <c r="S381" t="s">
        <v>257</v>
      </c>
      <c r="T381" t="s">
        <v>161</v>
      </c>
      <c r="U381">
        <v>1.1763893932418114E-2</v>
      </c>
      <c r="V381" t="s">
        <v>153</v>
      </c>
    </row>
    <row r="382" spans="9:22" x14ac:dyDescent="0.45">
      <c r="I382" t="s">
        <v>172</v>
      </c>
      <c r="J382" t="s">
        <v>286</v>
      </c>
      <c r="K382">
        <v>7.9089630474995232E-2</v>
      </c>
      <c r="L382" t="s">
        <v>153</v>
      </c>
      <c r="N382" t="s">
        <v>215</v>
      </c>
      <c r="O382" t="s">
        <v>286</v>
      </c>
      <c r="P382">
        <v>3.3456519261773822E-2</v>
      </c>
      <c r="Q382" t="s">
        <v>153</v>
      </c>
      <c r="S382" t="s">
        <v>257</v>
      </c>
      <c r="T382" t="s">
        <v>286</v>
      </c>
      <c r="U382">
        <v>3.498594594161742E-2</v>
      </c>
      <c r="V382" t="s">
        <v>153</v>
      </c>
    </row>
    <row r="383" spans="9:22" x14ac:dyDescent="0.45">
      <c r="I383" t="s">
        <v>172</v>
      </c>
      <c r="J383" t="s">
        <v>287</v>
      </c>
      <c r="K383">
        <v>0.17779778986146449</v>
      </c>
      <c r="L383" t="s">
        <v>153</v>
      </c>
      <c r="N383" t="s">
        <v>215</v>
      </c>
      <c r="O383" t="s">
        <v>287</v>
      </c>
      <c r="P383">
        <v>9.1666769249818369E-2</v>
      </c>
      <c r="Q383" t="s">
        <v>153</v>
      </c>
      <c r="S383" t="s">
        <v>257</v>
      </c>
      <c r="T383" t="s">
        <v>287</v>
      </c>
      <c r="U383">
        <v>7.659296059900339E-2</v>
      </c>
      <c r="V383" t="s">
        <v>153</v>
      </c>
    </row>
    <row r="384" spans="9:22" x14ac:dyDescent="0.45">
      <c r="I384" t="s">
        <v>172</v>
      </c>
      <c r="J384" t="s">
        <v>288</v>
      </c>
      <c r="K384">
        <v>2.3470109497105027E-2</v>
      </c>
      <c r="L384" t="s">
        <v>153</v>
      </c>
      <c r="N384" t="s">
        <v>215</v>
      </c>
      <c r="O384" t="s">
        <v>288</v>
      </c>
      <c r="P384">
        <v>1.8253418113149521E-2</v>
      </c>
      <c r="Q384" t="s">
        <v>153</v>
      </c>
      <c r="S384" t="s">
        <v>257</v>
      </c>
      <c r="T384" t="s">
        <v>288</v>
      </c>
      <c r="U384">
        <v>1.4459297091785747E-2</v>
      </c>
      <c r="V384" t="s">
        <v>153</v>
      </c>
    </row>
    <row r="385" spans="9:22" x14ac:dyDescent="0.45">
      <c r="I385" t="s">
        <v>172</v>
      </c>
      <c r="J385" t="s">
        <v>308</v>
      </c>
      <c r="K385">
        <v>1.3815157435524337E-2</v>
      </c>
      <c r="L385" t="s">
        <v>153</v>
      </c>
      <c r="N385" t="s">
        <v>215</v>
      </c>
      <c r="O385" t="s">
        <v>308</v>
      </c>
      <c r="P385">
        <v>1.6920794424314486E-2</v>
      </c>
      <c r="Q385" t="s">
        <v>153</v>
      </c>
      <c r="S385" t="s">
        <v>257</v>
      </c>
      <c r="T385" t="s">
        <v>308</v>
      </c>
      <c r="U385">
        <v>1.4629567600740729E-2</v>
      </c>
      <c r="V385" t="s">
        <v>153</v>
      </c>
    </row>
    <row r="386" spans="9:22" x14ac:dyDescent="0.45">
      <c r="I386" t="s">
        <v>172</v>
      </c>
      <c r="J386" t="s">
        <v>309</v>
      </c>
      <c r="K386">
        <v>1.3700321044524179E-5</v>
      </c>
      <c r="L386" t="s">
        <v>153</v>
      </c>
      <c r="N386" t="s">
        <v>215</v>
      </c>
      <c r="O386" t="s">
        <v>309</v>
      </c>
      <c r="P386">
        <v>5.8080618345107138E-2</v>
      </c>
      <c r="Q386" t="s">
        <v>153</v>
      </c>
      <c r="S386" t="s">
        <v>257</v>
      </c>
      <c r="T386" t="s">
        <v>309</v>
      </c>
      <c r="U386">
        <v>7.1698004509298641E-2</v>
      </c>
      <c r="V386" t="s">
        <v>153</v>
      </c>
    </row>
    <row r="387" spans="9:22" x14ac:dyDescent="0.45">
      <c r="I387" t="s">
        <v>172</v>
      </c>
      <c r="J387" t="s">
        <v>294</v>
      </c>
      <c r="K387">
        <v>0</v>
      </c>
      <c r="L387" t="s">
        <v>153</v>
      </c>
      <c r="N387" t="s">
        <v>215</v>
      </c>
      <c r="O387" t="s">
        <v>294</v>
      </c>
      <c r="P387">
        <v>9.45986114198504E-3</v>
      </c>
      <c r="Q387" t="s">
        <v>153</v>
      </c>
      <c r="S387" t="s">
        <v>257</v>
      </c>
      <c r="T387" t="s">
        <v>294</v>
      </c>
      <c r="U387">
        <v>1.8558055258218284E-2</v>
      </c>
      <c r="V387" t="s">
        <v>153</v>
      </c>
    </row>
    <row r="388" spans="9:22" x14ac:dyDescent="0.45">
      <c r="I388" t="s">
        <v>172</v>
      </c>
      <c r="J388" t="s">
        <v>295</v>
      </c>
      <c r="K388">
        <v>4.4841279598309206E-3</v>
      </c>
      <c r="L388" t="s">
        <v>153</v>
      </c>
      <c r="N388" t="s">
        <v>215</v>
      </c>
      <c r="O388" t="s">
        <v>295</v>
      </c>
      <c r="P388">
        <v>1.4985385637033566E-3</v>
      </c>
      <c r="Q388" t="s">
        <v>153</v>
      </c>
      <c r="S388" t="s">
        <v>257</v>
      </c>
      <c r="T388" t="s">
        <v>295</v>
      </c>
      <c r="U388">
        <v>3.0683938470570543E-3</v>
      </c>
      <c r="V388" t="s">
        <v>153</v>
      </c>
    </row>
    <row r="389" spans="9:22" x14ac:dyDescent="0.45">
      <c r="I389" t="s">
        <v>172</v>
      </c>
      <c r="J389" t="s">
        <v>296</v>
      </c>
      <c r="K389">
        <v>6.864194211464239E-3</v>
      </c>
      <c r="L389" t="s">
        <v>153</v>
      </c>
      <c r="N389" t="s">
        <v>215</v>
      </c>
      <c r="O389" t="s">
        <v>296</v>
      </c>
      <c r="P389">
        <v>1.5607735109115011E-3</v>
      </c>
      <c r="Q389" t="s">
        <v>153</v>
      </c>
      <c r="S389" t="s">
        <v>257</v>
      </c>
      <c r="T389" t="s">
        <v>296</v>
      </c>
      <c r="U389">
        <v>2.9997637328523937E-3</v>
      </c>
      <c r="V389" t="s">
        <v>153</v>
      </c>
    </row>
    <row r="390" spans="9:22" x14ac:dyDescent="0.45">
      <c r="I390" t="s">
        <v>172</v>
      </c>
      <c r="J390" t="s">
        <v>297</v>
      </c>
      <c r="K390">
        <v>2.7667428580064907E-2</v>
      </c>
      <c r="L390" t="s">
        <v>153</v>
      </c>
      <c r="N390" t="s">
        <v>215</v>
      </c>
      <c r="O390" t="s">
        <v>297</v>
      </c>
      <c r="P390">
        <v>5.7181812670214589E-3</v>
      </c>
      <c r="Q390" t="s">
        <v>153</v>
      </c>
      <c r="S390" t="s">
        <v>257</v>
      </c>
      <c r="T390" t="s">
        <v>297</v>
      </c>
      <c r="U390">
        <v>8.4870245646504056E-3</v>
      </c>
      <c r="V390" t="s">
        <v>153</v>
      </c>
    </row>
    <row r="391" spans="9:22" x14ac:dyDescent="0.45">
      <c r="I391" t="s">
        <v>172</v>
      </c>
      <c r="J391" t="s">
        <v>298</v>
      </c>
      <c r="K391">
        <v>6.0523697192512937E-2</v>
      </c>
      <c r="L391" t="s">
        <v>153</v>
      </c>
      <c r="N391" t="s">
        <v>215</v>
      </c>
      <c r="O391" t="s">
        <v>298</v>
      </c>
      <c r="P391">
        <v>2.1030766075728371E-2</v>
      </c>
      <c r="Q391" t="s">
        <v>153</v>
      </c>
      <c r="S391" t="s">
        <v>257</v>
      </c>
      <c r="T391" t="s">
        <v>298</v>
      </c>
      <c r="U391">
        <v>1.6712359010422492E-2</v>
      </c>
      <c r="V391" t="s">
        <v>153</v>
      </c>
    </row>
    <row r="392" spans="9:22" x14ac:dyDescent="0.45">
      <c r="I392" t="s">
        <v>172</v>
      </c>
      <c r="J392" t="s">
        <v>299</v>
      </c>
      <c r="K392">
        <v>8.6591398216413901E-3</v>
      </c>
      <c r="L392" t="s">
        <v>153</v>
      </c>
      <c r="N392" t="s">
        <v>215</v>
      </c>
      <c r="O392" t="s">
        <v>299</v>
      </c>
      <c r="P392">
        <v>4.3752647865793167E-3</v>
      </c>
      <c r="Q392" t="s">
        <v>153</v>
      </c>
      <c r="S392" t="s">
        <v>257</v>
      </c>
      <c r="T392" t="s">
        <v>299</v>
      </c>
      <c r="U392">
        <v>3.0788414719453865E-3</v>
      </c>
      <c r="V392" t="s">
        <v>153</v>
      </c>
    </row>
    <row r="393" spans="9:22" x14ac:dyDescent="0.45">
      <c r="I393" t="s">
        <v>172</v>
      </c>
      <c r="J393" t="s">
        <v>310</v>
      </c>
      <c r="K393">
        <v>6.8720398254832754E-3</v>
      </c>
      <c r="L393" t="s">
        <v>153</v>
      </c>
      <c r="N393" t="s">
        <v>215</v>
      </c>
      <c r="O393" t="s">
        <v>310</v>
      </c>
      <c r="P393">
        <v>4.0053640838419481E-3</v>
      </c>
      <c r="Q393" t="s">
        <v>153</v>
      </c>
      <c r="S393" t="s">
        <v>257</v>
      </c>
      <c r="T393" t="s">
        <v>310</v>
      </c>
      <c r="U393">
        <v>3.1486501000998618E-3</v>
      </c>
      <c r="V393" t="s">
        <v>153</v>
      </c>
    </row>
    <row r="394" spans="9:22" x14ac:dyDescent="0.45">
      <c r="I394" t="s">
        <v>172</v>
      </c>
      <c r="J394" t="s">
        <v>311</v>
      </c>
      <c r="K394">
        <v>3.882951306048064E-3</v>
      </c>
      <c r="L394" t="s">
        <v>153</v>
      </c>
      <c r="N394" t="s">
        <v>215</v>
      </c>
      <c r="O394" t="s">
        <v>311</v>
      </c>
      <c r="P394">
        <v>1.3158874784391036E-2</v>
      </c>
      <c r="Q394" t="s">
        <v>153</v>
      </c>
      <c r="S394" t="s">
        <v>257</v>
      </c>
      <c r="T394" t="s">
        <v>311</v>
      </c>
      <c r="U394">
        <v>1.5933334770628728E-2</v>
      </c>
      <c r="V394" t="s">
        <v>153</v>
      </c>
    </row>
    <row r="395" spans="9:22" x14ac:dyDescent="0.45">
      <c r="I395" t="s">
        <v>173</v>
      </c>
      <c r="J395" t="s">
        <v>152</v>
      </c>
      <c r="K395">
        <v>0</v>
      </c>
      <c r="L395" t="s">
        <v>153</v>
      </c>
      <c r="N395" t="s">
        <v>216</v>
      </c>
      <c r="O395" t="s">
        <v>152</v>
      </c>
      <c r="P395">
        <v>8.5260782760652479E-2</v>
      </c>
      <c r="Q395" t="s">
        <v>153</v>
      </c>
      <c r="S395" t="s">
        <v>258</v>
      </c>
      <c r="T395" t="s">
        <v>152</v>
      </c>
      <c r="U395">
        <v>0.10548478361814213</v>
      </c>
      <c r="V395" t="s">
        <v>153</v>
      </c>
    </row>
    <row r="396" spans="9:22" x14ac:dyDescent="0.45">
      <c r="I396" t="s">
        <v>173</v>
      </c>
      <c r="J396" t="s">
        <v>154</v>
      </c>
      <c r="K396">
        <v>7.8588576603606831E-3</v>
      </c>
      <c r="L396" t="s">
        <v>153</v>
      </c>
      <c r="N396" t="s">
        <v>216</v>
      </c>
      <c r="O396" t="s">
        <v>154</v>
      </c>
      <c r="P396">
        <v>1.3743865498928899E-2</v>
      </c>
      <c r="Q396" t="s">
        <v>153</v>
      </c>
      <c r="S396" t="s">
        <v>258</v>
      </c>
      <c r="T396" t="s">
        <v>154</v>
      </c>
      <c r="U396">
        <v>1.7407043865529489E-2</v>
      </c>
      <c r="V396" t="s">
        <v>153</v>
      </c>
    </row>
    <row r="397" spans="9:22" x14ac:dyDescent="0.45">
      <c r="I397" t="s">
        <v>173</v>
      </c>
      <c r="J397" t="s">
        <v>155</v>
      </c>
      <c r="K397">
        <v>2.6940136997395565E-2</v>
      </c>
      <c r="L397" t="s">
        <v>153</v>
      </c>
      <c r="N397" t="s">
        <v>216</v>
      </c>
      <c r="O397" t="s">
        <v>155</v>
      </c>
      <c r="P397">
        <v>1.3802626355315206E-2</v>
      </c>
      <c r="Q397" t="s">
        <v>153</v>
      </c>
      <c r="S397" t="s">
        <v>258</v>
      </c>
      <c r="T397" t="s">
        <v>155</v>
      </c>
      <c r="U397">
        <v>1.708403903496902E-2</v>
      </c>
      <c r="V397" t="s">
        <v>153</v>
      </c>
    </row>
    <row r="398" spans="9:22" x14ac:dyDescent="0.45">
      <c r="I398" t="s">
        <v>173</v>
      </c>
      <c r="J398" t="s">
        <v>280</v>
      </c>
      <c r="K398">
        <v>0.12013507456248913</v>
      </c>
      <c r="L398" t="s">
        <v>153</v>
      </c>
      <c r="N398" t="s">
        <v>216</v>
      </c>
      <c r="O398" t="s">
        <v>280</v>
      </c>
      <c r="P398">
        <v>4.4731121944605906E-2</v>
      </c>
      <c r="Q398" t="s">
        <v>153</v>
      </c>
      <c r="S398" t="s">
        <v>258</v>
      </c>
      <c r="T398" t="s">
        <v>280</v>
      </c>
      <c r="U398">
        <v>4.9949728537619129E-2</v>
      </c>
      <c r="V398" t="s">
        <v>153</v>
      </c>
    </row>
    <row r="399" spans="9:22" x14ac:dyDescent="0.45">
      <c r="I399" t="s">
        <v>173</v>
      </c>
      <c r="J399" t="s">
        <v>281</v>
      </c>
      <c r="K399">
        <v>0.25261948225800257</v>
      </c>
      <c r="L399" t="s">
        <v>153</v>
      </c>
      <c r="N399" t="s">
        <v>216</v>
      </c>
      <c r="O399" t="s">
        <v>281</v>
      </c>
      <c r="P399">
        <v>0.13156238775369958</v>
      </c>
      <c r="Q399" t="s">
        <v>153</v>
      </c>
      <c r="S399" t="s">
        <v>258</v>
      </c>
      <c r="T399" t="s">
        <v>281</v>
      </c>
      <c r="U399">
        <v>0.10029573815162451</v>
      </c>
      <c r="V399" t="s">
        <v>153</v>
      </c>
    </row>
    <row r="400" spans="9:22" x14ac:dyDescent="0.45">
      <c r="I400" t="s">
        <v>173</v>
      </c>
      <c r="J400" t="s">
        <v>282</v>
      </c>
      <c r="K400">
        <v>3.4504750732847131E-2</v>
      </c>
      <c r="L400" t="s">
        <v>153</v>
      </c>
      <c r="N400" t="s">
        <v>216</v>
      </c>
      <c r="O400" t="s">
        <v>282</v>
      </c>
      <c r="P400">
        <v>2.6463667965210307E-2</v>
      </c>
      <c r="Q400" t="s">
        <v>153</v>
      </c>
      <c r="S400" t="s">
        <v>258</v>
      </c>
      <c r="T400" t="s">
        <v>282</v>
      </c>
      <c r="U400">
        <v>1.7537586354900599E-2</v>
      </c>
      <c r="V400" t="s">
        <v>153</v>
      </c>
    </row>
    <row r="401" spans="9:22" x14ac:dyDescent="0.45">
      <c r="I401" t="s">
        <v>173</v>
      </c>
      <c r="J401" t="s">
        <v>304</v>
      </c>
      <c r="K401">
        <v>1.9035604173444968E-2</v>
      </c>
      <c r="L401" t="s">
        <v>153</v>
      </c>
      <c r="N401" t="s">
        <v>216</v>
      </c>
      <c r="O401" t="s">
        <v>304</v>
      </c>
      <c r="P401">
        <v>2.3663597528395398E-2</v>
      </c>
      <c r="Q401" t="s">
        <v>153</v>
      </c>
      <c r="S401" t="s">
        <v>258</v>
      </c>
      <c r="T401" t="s">
        <v>304</v>
      </c>
      <c r="U401">
        <v>1.7597298342030526E-2</v>
      </c>
      <c r="V401" t="s">
        <v>153</v>
      </c>
    </row>
    <row r="402" spans="9:22" x14ac:dyDescent="0.45">
      <c r="I402" t="s">
        <v>173</v>
      </c>
      <c r="J402" t="s">
        <v>305</v>
      </c>
      <c r="K402">
        <v>6.0915547171952241E-3</v>
      </c>
      <c r="L402" t="s">
        <v>153</v>
      </c>
      <c r="N402" t="s">
        <v>216</v>
      </c>
      <c r="O402" t="s">
        <v>305</v>
      </c>
      <c r="P402">
        <v>8.5940954571455425E-2</v>
      </c>
      <c r="Q402" t="s">
        <v>153</v>
      </c>
      <c r="S402" t="s">
        <v>258</v>
      </c>
      <c r="T402" t="s">
        <v>305</v>
      </c>
      <c r="U402">
        <v>8.5826220920372537E-2</v>
      </c>
      <c r="V402" t="s">
        <v>153</v>
      </c>
    </row>
    <row r="403" spans="9:22" x14ac:dyDescent="0.45">
      <c r="I403" t="s">
        <v>173</v>
      </c>
      <c r="J403" t="s">
        <v>156</v>
      </c>
      <c r="K403">
        <v>0</v>
      </c>
      <c r="L403" t="s">
        <v>153</v>
      </c>
      <c r="N403" t="s">
        <v>216</v>
      </c>
      <c r="O403" t="s">
        <v>156</v>
      </c>
      <c r="P403">
        <v>4.0399717691700789E-2</v>
      </c>
      <c r="Q403" t="s">
        <v>153</v>
      </c>
      <c r="S403" t="s">
        <v>258</v>
      </c>
      <c r="T403" t="s">
        <v>156</v>
      </c>
      <c r="U403">
        <v>5.2274311867223332E-2</v>
      </c>
      <c r="V403" t="s">
        <v>153</v>
      </c>
    </row>
    <row r="404" spans="9:22" x14ac:dyDescent="0.45">
      <c r="I404" t="s">
        <v>173</v>
      </c>
      <c r="J404" t="s">
        <v>157</v>
      </c>
      <c r="K404">
        <v>0</v>
      </c>
      <c r="L404" t="s">
        <v>153</v>
      </c>
      <c r="N404" t="s">
        <v>216</v>
      </c>
      <c r="O404" t="s">
        <v>157</v>
      </c>
      <c r="P404">
        <v>6.8152759113775212E-3</v>
      </c>
      <c r="Q404" t="s">
        <v>153</v>
      </c>
      <c r="S404" t="s">
        <v>258</v>
      </c>
      <c r="T404" t="s">
        <v>157</v>
      </c>
      <c r="U404">
        <v>8.5315856575878916E-3</v>
      </c>
      <c r="V404" t="s">
        <v>153</v>
      </c>
    </row>
    <row r="405" spans="9:22" x14ac:dyDescent="0.45">
      <c r="I405" t="s">
        <v>173</v>
      </c>
      <c r="J405" t="s">
        <v>158</v>
      </c>
      <c r="K405">
        <v>1.0168215580179652E-3</v>
      </c>
      <c r="L405" t="s">
        <v>153</v>
      </c>
      <c r="N405" t="s">
        <v>216</v>
      </c>
      <c r="O405" t="s">
        <v>158</v>
      </c>
      <c r="P405">
        <v>6.9434647758041031E-3</v>
      </c>
      <c r="Q405" t="s">
        <v>153</v>
      </c>
      <c r="S405" t="s">
        <v>258</v>
      </c>
      <c r="T405" t="s">
        <v>158</v>
      </c>
      <c r="U405">
        <v>8.4334626080726661E-3</v>
      </c>
      <c r="V405" t="s">
        <v>153</v>
      </c>
    </row>
    <row r="406" spans="9:22" x14ac:dyDescent="0.45">
      <c r="I406" t="s">
        <v>173</v>
      </c>
      <c r="J406" t="s">
        <v>283</v>
      </c>
      <c r="K406">
        <v>2.6048390482911892E-2</v>
      </c>
      <c r="L406" t="s">
        <v>153</v>
      </c>
      <c r="N406" t="s">
        <v>216</v>
      </c>
      <c r="O406" t="s">
        <v>283</v>
      </c>
      <c r="P406">
        <v>2.1340082818362732E-2</v>
      </c>
      <c r="Q406" t="s">
        <v>153</v>
      </c>
      <c r="S406" t="s">
        <v>258</v>
      </c>
      <c r="T406" t="s">
        <v>283</v>
      </c>
      <c r="U406">
        <v>2.5068929191949588E-2</v>
      </c>
      <c r="V406" t="s">
        <v>153</v>
      </c>
    </row>
    <row r="407" spans="9:22" x14ac:dyDescent="0.45">
      <c r="I407" t="s">
        <v>173</v>
      </c>
      <c r="J407" t="s">
        <v>284</v>
      </c>
      <c r="K407">
        <v>6.2317869260281829E-2</v>
      </c>
      <c r="L407" t="s">
        <v>153</v>
      </c>
      <c r="N407" t="s">
        <v>216</v>
      </c>
      <c r="O407" t="s">
        <v>284</v>
      </c>
      <c r="P407">
        <v>5.290540284784697E-2</v>
      </c>
      <c r="Q407" t="s">
        <v>153</v>
      </c>
      <c r="S407" t="s">
        <v>258</v>
      </c>
      <c r="T407" t="s">
        <v>284</v>
      </c>
      <c r="U407">
        <v>5.0078833766636091E-2</v>
      </c>
      <c r="V407" t="s">
        <v>153</v>
      </c>
    </row>
    <row r="408" spans="9:22" x14ac:dyDescent="0.45">
      <c r="I408" t="s">
        <v>173</v>
      </c>
      <c r="J408" t="s">
        <v>285</v>
      </c>
      <c r="K408">
        <v>7.310578143554289E-3</v>
      </c>
      <c r="L408" t="s">
        <v>153</v>
      </c>
      <c r="N408" t="s">
        <v>216</v>
      </c>
      <c r="O408" t="s">
        <v>285</v>
      </c>
      <c r="P408">
        <v>9.000684454154766E-3</v>
      </c>
      <c r="Q408" t="s">
        <v>153</v>
      </c>
      <c r="S408" t="s">
        <v>258</v>
      </c>
      <c r="T408" t="s">
        <v>285</v>
      </c>
      <c r="U408">
        <v>7.9183946926510117E-3</v>
      </c>
      <c r="V408" t="s">
        <v>153</v>
      </c>
    </row>
    <row r="409" spans="9:22" x14ac:dyDescent="0.45">
      <c r="I409" t="s">
        <v>173</v>
      </c>
      <c r="J409" t="s">
        <v>306</v>
      </c>
      <c r="K409">
        <v>0</v>
      </c>
      <c r="L409" t="s">
        <v>153</v>
      </c>
      <c r="N409" t="s">
        <v>216</v>
      </c>
      <c r="O409" t="s">
        <v>306</v>
      </c>
      <c r="P409">
        <v>8.6710314627957401E-3</v>
      </c>
      <c r="Q409" t="s">
        <v>153</v>
      </c>
      <c r="S409" t="s">
        <v>258</v>
      </c>
      <c r="T409" t="s">
        <v>306</v>
      </c>
      <c r="U409">
        <v>7.9523030930367233E-3</v>
      </c>
      <c r="V409" t="s">
        <v>153</v>
      </c>
    </row>
    <row r="410" spans="9:22" x14ac:dyDescent="0.45">
      <c r="I410" t="s">
        <v>173</v>
      </c>
      <c r="J410" t="s">
        <v>307</v>
      </c>
      <c r="K410">
        <v>0</v>
      </c>
      <c r="L410" t="s">
        <v>153</v>
      </c>
      <c r="N410" t="s">
        <v>216</v>
      </c>
      <c r="O410" t="s">
        <v>307</v>
      </c>
      <c r="P410">
        <v>3.8171947661262286E-2</v>
      </c>
      <c r="Q410" t="s">
        <v>153</v>
      </c>
      <c r="S410" t="s">
        <v>258</v>
      </c>
      <c r="T410" t="s">
        <v>307</v>
      </c>
      <c r="U410">
        <v>4.1178954401211922E-2</v>
      </c>
      <c r="V410" t="s">
        <v>153</v>
      </c>
    </row>
    <row r="411" spans="9:22" x14ac:dyDescent="0.45">
      <c r="I411" t="s">
        <v>173</v>
      </c>
      <c r="J411" t="s">
        <v>159</v>
      </c>
      <c r="K411">
        <v>0</v>
      </c>
      <c r="L411" t="s">
        <v>153</v>
      </c>
      <c r="N411" t="s">
        <v>216</v>
      </c>
      <c r="O411" t="s">
        <v>159</v>
      </c>
      <c r="P411">
        <v>5.9807498550745797E-2</v>
      </c>
      <c r="Q411" t="s">
        <v>153</v>
      </c>
      <c r="S411" t="s">
        <v>258</v>
      </c>
      <c r="T411" t="s">
        <v>159</v>
      </c>
      <c r="U411">
        <v>8.0763952410378648E-2</v>
      </c>
      <c r="V411" t="s">
        <v>153</v>
      </c>
    </row>
    <row r="412" spans="9:22" x14ac:dyDescent="0.45">
      <c r="I412" t="s">
        <v>173</v>
      </c>
      <c r="J412" t="s">
        <v>160</v>
      </c>
      <c r="K412">
        <v>1.068655735306114E-2</v>
      </c>
      <c r="L412" t="s">
        <v>153</v>
      </c>
      <c r="N412" t="s">
        <v>216</v>
      </c>
      <c r="O412" t="s">
        <v>160</v>
      </c>
      <c r="P412">
        <v>9.4756939219455914E-3</v>
      </c>
      <c r="Q412" t="s">
        <v>153</v>
      </c>
      <c r="S412" t="s">
        <v>258</v>
      </c>
      <c r="T412" t="s">
        <v>160</v>
      </c>
      <c r="U412">
        <v>1.3285039905655818E-2</v>
      </c>
      <c r="V412" t="s">
        <v>153</v>
      </c>
    </row>
    <row r="413" spans="9:22" x14ac:dyDescent="0.45">
      <c r="I413" t="s">
        <v>173</v>
      </c>
      <c r="J413" t="s">
        <v>161</v>
      </c>
      <c r="K413">
        <v>2.0814426172923863E-2</v>
      </c>
      <c r="L413" t="s">
        <v>153</v>
      </c>
      <c r="N413" t="s">
        <v>216</v>
      </c>
      <c r="O413" t="s">
        <v>161</v>
      </c>
      <c r="P413">
        <v>9.9091749868712494E-3</v>
      </c>
      <c r="Q413" t="s">
        <v>153</v>
      </c>
      <c r="S413" t="s">
        <v>258</v>
      </c>
      <c r="T413" t="s">
        <v>161</v>
      </c>
      <c r="U413">
        <v>1.3120834543543024E-2</v>
      </c>
      <c r="V413" t="s">
        <v>153</v>
      </c>
    </row>
    <row r="414" spans="9:22" x14ac:dyDescent="0.45">
      <c r="I414" t="s">
        <v>173</v>
      </c>
      <c r="J414" t="s">
        <v>286</v>
      </c>
      <c r="K414">
        <v>8.2017030317372383E-2</v>
      </c>
      <c r="L414" t="s">
        <v>153</v>
      </c>
      <c r="N414" t="s">
        <v>216</v>
      </c>
      <c r="O414" t="s">
        <v>286</v>
      </c>
      <c r="P414">
        <v>3.4563712995126256E-2</v>
      </c>
      <c r="Q414" t="s">
        <v>153</v>
      </c>
      <c r="S414" t="s">
        <v>258</v>
      </c>
      <c r="T414" t="s">
        <v>286</v>
      </c>
      <c r="U414">
        <v>3.884538600881627E-2</v>
      </c>
      <c r="V414" t="s">
        <v>153</v>
      </c>
    </row>
    <row r="415" spans="9:22" x14ac:dyDescent="0.45">
      <c r="I415" t="s">
        <v>173</v>
      </c>
      <c r="J415" t="s">
        <v>287</v>
      </c>
      <c r="K415">
        <v>0.17471791004911244</v>
      </c>
      <c r="L415" t="s">
        <v>153</v>
      </c>
      <c r="N415" t="s">
        <v>216</v>
      </c>
      <c r="O415" t="s">
        <v>287</v>
      </c>
      <c r="P415">
        <v>9.5721230674132671E-2</v>
      </c>
      <c r="Q415" t="s">
        <v>153</v>
      </c>
      <c r="S415" t="s">
        <v>258</v>
      </c>
      <c r="T415" t="s">
        <v>287</v>
      </c>
      <c r="U415">
        <v>8.0719475032301702E-2</v>
      </c>
      <c r="V415" t="s">
        <v>153</v>
      </c>
    </row>
    <row r="416" spans="9:22" x14ac:dyDescent="0.45">
      <c r="I416" t="s">
        <v>173</v>
      </c>
      <c r="J416" t="s">
        <v>288</v>
      </c>
      <c r="K416">
        <v>2.27110053484403E-2</v>
      </c>
      <c r="L416" t="s">
        <v>153</v>
      </c>
      <c r="N416" t="s">
        <v>216</v>
      </c>
      <c r="O416" t="s">
        <v>288</v>
      </c>
      <c r="P416">
        <v>1.7421121256253481E-2</v>
      </c>
      <c r="Q416" t="s">
        <v>153</v>
      </c>
      <c r="S416" t="s">
        <v>258</v>
      </c>
      <c r="T416" t="s">
        <v>288</v>
      </c>
      <c r="U416">
        <v>1.4103290411395897E-2</v>
      </c>
      <c r="V416" t="s">
        <v>153</v>
      </c>
    </row>
    <row r="417" spans="9:22" x14ac:dyDescent="0.45">
      <c r="I417" t="s">
        <v>173</v>
      </c>
      <c r="J417" t="s">
        <v>308</v>
      </c>
      <c r="K417">
        <v>1.1882318415781308E-2</v>
      </c>
      <c r="L417" t="s">
        <v>153</v>
      </c>
      <c r="N417" t="s">
        <v>216</v>
      </c>
      <c r="O417" t="s">
        <v>308</v>
      </c>
      <c r="P417">
        <v>1.5470337081695257E-2</v>
      </c>
      <c r="Q417" t="s">
        <v>153</v>
      </c>
      <c r="S417" t="s">
        <v>258</v>
      </c>
      <c r="T417" t="s">
        <v>308</v>
      </c>
      <c r="U417">
        <v>1.4072638242459964E-2</v>
      </c>
      <c r="V417" t="s">
        <v>153</v>
      </c>
    </row>
    <row r="418" spans="9:22" x14ac:dyDescent="0.45">
      <c r="I418" t="s">
        <v>173</v>
      </c>
      <c r="J418" t="s">
        <v>309</v>
      </c>
      <c r="K418">
        <v>0</v>
      </c>
      <c r="L418" t="s">
        <v>153</v>
      </c>
      <c r="N418" t="s">
        <v>216</v>
      </c>
      <c r="O418" t="s">
        <v>309</v>
      </c>
      <c r="P418">
        <v>5.8487373367150347E-2</v>
      </c>
      <c r="Q418" t="s">
        <v>153</v>
      </c>
      <c r="S418" t="s">
        <v>258</v>
      </c>
      <c r="T418" t="s">
        <v>309</v>
      </c>
      <c r="U418">
        <v>6.7798485824272336E-2</v>
      </c>
      <c r="V418" t="s">
        <v>153</v>
      </c>
    </row>
    <row r="419" spans="9:22" x14ac:dyDescent="0.45">
      <c r="I419" t="s">
        <v>173</v>
      </c>
      <c r="J419" t="s">
        <v>294</v>
      </c>
      <c r="K419">
        <v>0</v>
      </c>
      <c r="L419" t="s">
        <v>153</v>
      </c>
      <c r="N419" t="s">
        <v>216</v>
      </c>
      <c r="O419" t="s">
        <v>294</v>
      </c>
      <c r="P419">
        <v>1.4982236716969457E-2</v>
      </c>
      <c r="Q419" t="s">
        <v>153</v>
      </c>
      <c r="S419" t="s">
        <v>258</v>
      </c>
      <c r="T419" t="s">
        <v>294</v>
      </c>
      <c r="U419">
        <v>1.5808640559552407E-2</v>
      </c>
      <c r="V419" t="s">
        <v>153</v>
      </c>
    </row>
    <row r="420" spans="9:22" x14ac:dyDescent="0.45">
      <c r="I420" t="s">
        <v>173</v>
      </c>
      <c r="J420" t="s">
        <v>295</v>
      </c>
      <c r="K420">
        <v>5.3302609602717595E-3</v>
      </c>
      <c r="L420" t="s">
        <v>153</v>
      </c>
      <c r="N420" t="s">
        <v>216</v>
      </c>
      <c r="O420" t="s">
        <v>295</v>
      </c>
      <c r="P420">
        <v>2.4694926850018129E-3</v>
      </c>
      <c r="Q420" t="s">
        <v>153</v>
      </c>
      <c r="S420" t="s">
        <v>258</v>
      </c>
      <c r="T420" t="s">
        <v>295</v>
      </c>
      <c r="U420">
        <v>2.5526472380832557E-3</v>
      </c>
      <c r="V420" t="s">
        <v>153</v>
      </c>
    </row>
    <row r="421" spans="9:22" x14ac:dyDescent="0.45">
      <c r="I421" t="s">
        <v>173</v>
      </c>
      <c r="J421" t="s">
        <v>296</v>
      </c>
      <c r="K421">
        <v>7.7102400012322341E-3</v>
      </c>
      <c r="L421" t="s">
        <v>153</v>
      </c>
      <c r="N421" t="s">
        <v>216</v>
      </c>
      <c r="O421" t="s">
        <v>296</v>
      </c>
      <c r="P421">
        <v>2.683786154714065E-3</v>
      </c>
      <c r="Q421" t="s">
        <v>153</v>
      </c>
      <c r="S421" t="s">
        <v>258</v>
      </c>
      <c r="T421" t="s">
        <v>296</v>
      </c>
      <c r="U421">
        <v>2.5585305008878362E-3</v>
      </c>
      <c r="V421" t="s">
        <v>153</v>
      </c>
    </row>
    <row r="422" spans="9:22" x14ac:dyDescent="0.45">
      <c r="I422" t="s">
        <v>173</v>
      </c>
      <c r="J422" t="s">
        <v>297</v>
      </c>
      <c r="K422">
        <v>2.7874809436897328E-2</v>
      </c>
      <c r="L422" t="s">
        <v>153</v>
      </c>
      <c r="N422" t="s">
        <v>216</v>
      </c>
      <c r="O422" t="s">
        <v>297</v>
      </c>
      <c r="P422">
        <v>9.4935977476674014E-3</v>
      </c>
      <c r="Q422" t="s">
        <v>153</v>
      </c>
      <c r="S422" t="s">
        <v>258</v>
      </c>
      <c r="T422" t="s">
        <v>297</v>
      </c>
      <c r="U422">
        <v>7.8450239708127353E-3</v>
      </c>
      <c r="V422" t="s">
        <v>153</v>
      </c>
    </row>
    <row r="423" spans="9:22" x14ac:dyDescent="0.45">
      <c r="I423" t="s">
        <v>173</v>
      </c>
      <c r="J423" t="s">
        <v>298</v>
      </c>
      <c r="K423">
        <v>5.6033432648497992E-2</v>
      </c>
      <c r="L423" t="s">
        <v>153</v>
      </c>
      <c r="N423" t="s">
        <v>216</v>
      </c>
      <c r="O423" t="s">
        <v>298</v>
      </c>
      <c r="P423">
        <v>3.1407254673367128E-2</v>
      </c>
      <c r="Q423" t="s">
        <v>153</v>
      </c>
      <c r="S423" t="s">
        <v>258</v>
      </c>
      <c r="T423" t="s">
        <v>298</v>
      </c>
      <c r="U423">
        <v>1.5326579837855398E-2</v>
      </c>
      <c r="V423" t="s">
        <v>153</v>
      </c>
    </row>
    <row r="424" spans="9:22" x14ac:dyDescent="0.45">
      <c r="I424" t="s">
        <v>173</v>
      </c>
      <c r="J424" t="s">
        <v>299</v>
      </c>
      <c r="K424">
        <v>7.4055421015063677E-3</v>
      </c>
      <c r="L424" t="s">
        <v>153</v>
      </c>
      <c r="N424" t="s">
        <v>216</v>
      </c>
      <c r="O424" t="s">
        <v>299</v>
      </c>
      <c r="P424">
        <v>6.0415609877201241E-3</v>
      </c>
      <c r="Q424" t="s">
        <v>153</v>
      </c>
      <c r="S424" t="s">
        <v>258</v>
      </c>
      <c r="T424" t="s">
        <v>299</v>
      </c>
      <c r="U424">
        <v>2.9376324984503729E-3</v>
      </c>
      <c r="V424" t="s">
        <v>153</v>
      </c>
    </row>
    <row r="425" spans="9:22" x14ac:dyDescent="0.45">
      <c r="I425" t="s">
        <v>173</v>
      </c>
      <c r="J425" t="s">
        <v>310</v>
      </c>
      <c r="K425">
        <v>6.0290537950878596E-3</v>
      </c>
      <c r="L425" t="s">
        <v>153</v>
      </c>
      <c r="N425" t="s">
        <v>216</v>
      </c>
      <c r="O425" t="s">
        <v>310</v>
      </c>
      <c r="P425">
        <v>5.2350890163213497E-3</v>
      </c>
      <c r="Q425" t="s">
        <v>153</v>
      </c>
      <c r="S425" t="s">
        <v>258</v>
      </c>
      <c r="T425" t="s">
        <v>310</v>
      </c>
      <c r="U425">
        <v>3.0326297473779636E-3</v>
      </c>
      <c r="V425" t="s">
        <v>153</v>
      </c>
    </row>
    <row r="426" spans="9:22" x14ac:dyDescent="0.45">
      <c r="I426" t="s">
        <v>173</v>
      </c>
      <c r="J426" t="s">
        <v>311</v>
      </c>
      <c r="K426">
        <v>2.9082928533159542E-3</v>
      </c>
      <c r="L426" t="s">
        <v>153</v>
      </c>
      <c r="N426" t="s">
        <v>216</v>
      </c>
      <c r="O426" t="s">
        <v>311</v>
      </c>
      <c r="P426">
        <v>1.7414227182745892E-2</v>
      </c>
      <c r="Q426" t="s">
        <v>153</v>
      </c>
      <c r="S426" t="s">
        <v>258</v>
      </c>
      <c r="T426" t="s">
        <v>311</v>
      </c>
      <c r="U426">
        <v>1.4609999164600172E-2</v>
      </c>
      <c r="V426" t="s">
        <v>153</v>
      </c>
    </row>
    <row r="427" spans="9:22" x14ac:dyDescent="0.45">
      <c r="I427" t="s">
        <v>174</v>
      </c>
      <c r="J427" t="s">
        <v>152</v>
      </c>
      <c r="K427">
        <v>0</v>
      </c>
      <c r="L427" t="s">
        <v>153</v>
      </c>
      <c r="N427" t="s">
        <v>217</v>
      </c>
      <c r="O427" t="s">
        <v>152</v>
      </c>
      <c r="P427">
        <v>7.8439147510087195E-2</v>
      </c>
      <c r="Q427" t="s">
        <v>153</v>
      </c>
      <c r="S427" t="s">
        <v>259</v>
      </c>
      <c r="T427" t="s">
        <v>152</v>
      </c>
      <c r="U427">
        <v>0.10283421059631652</v>
      </c>
      <c r="V427" t="s">
        <v>153</v>
      </c>
    </row>
    <row r="428" spans="9:22" x14ac:dyDescent="0.45">
      <c r="I428" t="s">
        <v>174</v>
      </c>
      <c r="J428" t="s">
        <v>154</v>
      </c>
      <c r="K428">
        <v>5.6377509847257033E-3</v>
      </c>
      <c r="L428" t="s">
        <v>153</v>
      </c>
      <c r="N428" t="s">
        <v>217</v>
      </c>
      <c r="O428" t="s">
        <v>154</v>
      </c>
      <c r="P428">
        <v>1.327609064793569E-2</v>
      </c>
      <c r="Q428" t="s">
        <v>153</v>
      </c>
      <c r="S428" t="s">
        <v>259</v>
      </c>
      <c r="T428" t="s">
        <v>154</v>
      </c>
      <c r="U428">
        <v>1.6563725427850673E-2</v>
      </c>
      <c r="V428" t="s">
        <v>153</v>
      </c>
    </row>
    <row r="429" spans="9:22" x14ac:dyDescent="0.45">
      <c r="I429" t="s">
        <v>174</v>
      </c>
      <c r="J429" t="s">
        <v>155</v>
      </c>
      <c r="K429">
        <v>2.4450866102746504E-2</v>
      </c>
      <c r="L429" t="s">
        <v>153</v>
      </c>
      <c r="N429" t="s">
        <v>217</v>
      </c>
      <c r="O429" t="s">
        <v>155</v>
      </c>
      <c r="P429">
        <v>1.422285788940298E-2</v>
      </c>
      <c r="Q429" t="s">
        <v>153</v>
      </c>
      <c r="S429" t="s">
        <v>259</v>
      </c>
      <c r="T429" t="s">
        <v>155</v>
      </c>
      <c r="U429">
        <v>1.6345713696088445E-2</v>
      </c>
      <c r="V429" t="s">
        <v>153</v>
      </c>
    </row>
    <row r="430" spans="9:22" x14ac:dyDescent="0.45">
      <c r="I430" t="s">
        <v>174</v>
      </c>
      <c r="J430" t="s">
        <v>280</v>
      </c>
      <c r="K430">
        <v>0.11739293978019025</v>
      </c>
      <c r="L430" t="s">
        <v>153</v>
      </c>
      <c r="N430" t="s">
        <v>217</v>
      </c>
      <c r="O430" t="s">
        <v>280</v>
      </c>
      <c r="P430">
        <v>4.8942234753163144E-2</v>
      </c>
      <c r="Q430" t="s">
        <v>153</v>
      </c>
      <c r="S430" t="s">
        <v>259</v>
      </c>
      <c r="T430" t="s">
        <v>280</v>
      </c>
      <c r="U430">
        <v>4.8514089258914407E-2</v>
      </c>
      <c r="V430" t="s">
        <v>153</v>
      </c>
    </row>
    <row r="431" spans="9:22" x14ac:dyDescent="0.45">
      <c r="I431" t="s">
        <v>174</v>
      </c>
      <c r="J431" t="s">
        <v>281</v>
      </c>
      <c r="K431">
        <v>0.2549396589765231</v>
      </c>
      <c r="L431" t="s">
        <v>153</v>
      </c>
      <c r="N431" t="s">
        <v>217</v>
      </c>
      <c r="O431" t="s">
        <v>281</v>
      </c>
      <c r="P431">
        <v>0.14617166535317833</v>
      </c>
      <c r="Q431" t="s">
        <v>153</v>
      </c>
      <c r="S431" t="s">
        <v>259</v>
      </c>
      <c r="T431" t="s">
        <v>281</v>
      </c>
      <c r="U431">
        <v>0.10231666372749636</v>
      </c>
      <c r="V431" t="s">
        <v>153</v>
      </c>
    </row>
    <row r="432" spans="9:22" x14ac:dyDescent="0.45">
      <c r="I432" t="s">
        <v>174</v>
      </c>
      <c r="J432" t="s">
        <v>282</v>
      </c>
      <c r="K432">
        <v>3.5033308489171557E-2</v>
      </c>
      <c r="L432" t="s">
        <v>153</v>
      </c>
      <c r="N432" t="s">
        <v>217</v>
      </c>
      <c r="O432" t="s">
        <v>282</v>
      </c>
      <c r="P432">
        <v>2.4568421967652299E-2</v>
      </c>
      <c r="Q432" t="s">
        <v>153</v>
      </c>
      <c r="S432" t="s">
        <v>259</v>
      </c>
      <c r="T432" t="s">
        <v>282</v>
      </c>
      <c r="U432">
        <v>1.8738694608612775E-2</v>
      </c>
      <c r="V432" t="s">
        <v>153</v>
      </c>
    </row>
    <row r="433" spans="9:22" x14ac:dyDescent="0.45">
      <c r="I433" t="s">
        <v>174</v>
      </c>
      <c r="J433" t="s">
        <v>304</v>
      </c>
      <c r="K433">
        <v>1.9851103039850371E-2</v>
      </c>
      <c r="L433" t="s">
        <v>153</v>
      </c>
      <c r="N433" t="s">
        <v>217</v>
      </c>
      <c r="O433" t="s">
        <v>304</v>
      </c>
      <c r="P433">
        <v>2.1910781704269747E-2</v>
      </c>
      <c r="Q433" t="s">
        <v>153</v>
      </c>
      <c r="S433" t="s">
        <v>259</v>
      </c>
      <c r="T433" t="s">
        <v>304</v>
      </c>
      <c r="U433">
        <v>1.8619368423139399E-2</v>
      </c>
      <c r="V433" t="s">
        <v>153</v>
      </c>
    </row>
    <row r="434" spans="9:22" x14ac:dyDescent="0.45">
      <c r="I434" t="s">
        <v>174</v>
      </c>
      <c r="J434" t="s">
        <v>305</v>
      </c>
      <c r="K434">
        <v>6.7139451396375635E-3</v>
      </c>
      <c r="L434" t="s">
        <v>153</v>
      </c>
      <c r="N434" t="s">
        <v>217</v>
      </c>
      <c r="O434" t="s">
        <v>305</v>
      </c>
      <c r="P434">
        <v>8.0388023948547327E-2</v>
      </c>
      <c r="Q434" t="s">
        <v>153</v>
      </c>
      <c r="S434" t="s">
        <v>259</v>
      </c>
      <c r="T434" t="s">
        <v>305</v>
      </c>
      <c r="U434">
        <v>8.9434211871917441E-2</v>
      </c>
      <c r="V434" t="s">
        <v>153</v>
      </c>
    </row>
    <row r="435" spans="9:22" x14ac:dyDescent="0.45">
      <c r="I435" t="s">
        <v>174</v>
      </c>
      <c r="J435" t="s">
        <v>156</v>
      </c>
      <c r="K435">
        <v>0</v>
      </c>
      <c r="L435" t="s">
        <v>153</v>
      </c>
      <c r="N435" t="s">
        <v>217</v>
      </c>
      <c r="O435" t="s">
        <v>156</v>
      </c>
      <c r="P435">
        <v>4.8868683577923594E-2</v>
      </c>
      <c r="Q435" t="s">
        <v>153</v>
      </c>
      <c r="S435" t="s">
        <v>259</v>
      </c>
      <c r="T435" t="s">
        <v>156</v>
      </c>
      <c r="U435">
        <v>5.1830576140717607E-2</v>
      </c>
      <c r="V435" t="s">
        <v>153</v>
      </c>
    </row>
    <row r="436" spans="9:22" x14ac:dyDescent="0.45">
      <c r="I436" t="s">
        <v>174</v>
      </c>
      <c r="J436" t="s">
        <v>157</v>
      </c>
      <c r="K436">
        <v>0</v>
      </c>
      <c r="L436" t="s">
        <v>153</v>
      </c>
      <c r="N436" t="s">
        <v>217</v>
      </c>
      <c r="O436" t="s">
        <v>157</v>
      </c>
      <c r="P436">
        <v>7.5003670934798575E-3</v>
      </c>
      <c r="Q436" t="s">
        <v>153</v>
      </c>
      <c r="S436" t="s">
        <v>259</v>
      </c>
      <c r="T436" t="s">
        <v>157</v>
      </c>
      <c r="U436">
        <v>8.4881114467395165E-3</v>
      </c>
      <c r="V436" t="s">
        <v>153</v>
      </c>
    </row>
    <row r="437" spans="9:22" x14ac:dyDescent="0.45">
      <c r="I437" t="s">
        <v>174</v>
      </c>
      <c r="J437" t="s">
        <v>158</v>
      </c>
      <c r="K437">
        <v>7.8548264019656178E-4</v>
      </c>
      <c r="L437" t="s">
        <v>153</v>
      </c>
      <c r="N437" t="s">
        <v>217</v>
      </c>
      <c r="O437" t="s">
        <v>158</v>
      </c>
      <c r="P437">
        <v>7.5257958638916128E-3</v>
      </c>
      <c r="Q437" t="s">
        <v>153</v>
      </c>
      <c r="S437" t="s">
        <v>259</v>
      </c>
      <c r="T437" t="s">
        <v>158</v>
      </c>
      <c r="U437">
        <v>8.4876067088108728E-3</v>
      </c>
      <c r="V437" t="s">
        <v>153</v>
      </c>
    </row>
    <row r="438" spans="9:22" x14ac:dyDescent="0.45">
      <c r="I438" t="s">
        <v>174</v>
      </c>
      <c r="J438" t="s">
        <v>283</v>
      </c>
      <c r="K438">
        <v>2.7342582601231638E-2</v>
      </c>
      <c r="L438" t="s">
        <v>153</v>
      </c>
      <c r="N438" t="s">
        <v>217</v>
      </c>
      <c r="O438" t="s">
        <v>283</v>
      </c>
      <c r="P438">
        <v>2.4478461980623388E-2</v>
      </c>
      <c r="Q438" t="s">
        <v>153</v>
      </c>
      <c r="S438" t="s">
        <v>259</v>
      </c>
      <c r="T438" t="s">
        <v>283</v>
      </c>
      <c r="U438">
        <v>2.5497975183208416E-2</v>
      </c>
      <c r="V438" t="s">
        <v>153</v>
      </c>
    </row>
    <row r="439" spans="9:22" x14ac:dyDescent="0.45">
      <c r="I439" t="s">
        <v>174</v>
      </c>
      <c r="J439" t="s">
        <v>284</v>
      </c>
      <c r="K439">
        <v>6.5917899508185843E-2</v>
      </c>
      <c r="L439" t="s">
        <v>153</v>
      </c>
      <c r="N439" t="s">
        <v>217</v>
      </c>
      <c r="O439" t="s">
        <v>284</v>
      </c>
      <c r="P439">
        <v>6.9204791764054849E-2</v>
      </c>
      <c r="Q439" t="s">
        <v>153</v>
      </c>
      <c r="S439" t="s">
        <v>259</v>
      </c>
      <c r="T439" t="s">
        <v>284</v>
      </c>
      <c r="U439">
        <v>4.9888524409230049E-2</v>
      </c>
      <c r="V439" t="s">
        <v>153</v>
      </c>
    </row>
    <row r="440" spans="9:22" x14ac:dyDescent="0.45">
      <c r="I440" t="s">
        <v>174</v>
      </c>
      <c r="J440" t="s">
        <v>285</v>
      </c>
      <c r="K440">
        <v>7.6805402911067286E-3</v>
      </c>
      <c r="L440" t="s">
        <v>153</v>
      </c>
      <c r="N440" t="s">
        <v>217</v>
      </c>
      <c r="O440" t="s">
        <v>285</v>
      </c>
      <c r="P440">
        <v>9.0878601865297427E-3</v>
      </c>
      <c r="Q440" t="s">
        <v>153</v>
      </c>
      <c r="S440" t="s">
        <v>259</v>
      </c>
      <c r="T440" t="s">
        <v>285</v>
      </c>
      <c r="U440">
        <v>8.3185715651208463E-3</v>
      </c>
      <c r="V440" t="s">
        <v>153</v>
      </c>
    </row>
    <row r="441" spans="9:22" x14ac:dyDescent="0.45">
      <c r="I441" t="s">
        <v>174</v>
      </c>
      <c r="J441" t="s">
        <v>306</v>
      </c>
      <c r="K441">
        <v>0</v>
      </c>
      <c r="L441" t="s">
        <v>153</v>
      </c>
      <c r="N441" t="s">
        <v>217</v>
      </c>
      <c r="O441" t="s">
        <v>306</v>
      </c>
      <c r="P441">
        <v>8.7678668460252403E-3</v>
      </c>
      <c r="Q441" t="s">
        <v>153</v>
      </c>
      <c r="S441" t="s">
        <v>259</v>
      </c>
      <c r="T441" t="s">
        <v>306</v>
      </c>
      <c r="U441">
        <v>8.4284210286257582E-3</v>
      </c>
      <c r="V441" t="s">
        <v>153</v>
      </c>
    </row>
    <row r="442" spans="9:22" x14ac:dyDescent="0.45">
      <c r="I442" t="s">
        <v>174</v>
      </c>
      <c r="J442" t="s">
        <v>307</v>
      </c>
      <c r="K442">
        <v>0</v>
      </c>
      <c r="L442" t="s">
        <v>153</v>
      </c>
      <c r="N442" t="s">
        <v>217</v>
      </c>
      <c r="O442" t="s">
        <v>307</v>
      </c>
      <c r="P442">
        <v>4.4031648021300065E-2</v>
      </c>
      <c r="Q442" t="s">
        <v>153</v>
      </c>
      <c r="S442" t="s">
        <v>259</v>
      </c>
      <c r="T442" t="s">
        <v>307</v>
      </c>
      <c r="U442">
        <v>4.2297091465908675E-2</v>
      </c>
      <c r="V442" t="s">
        <v>153</v>
      </c>
    </row>
    <row r="443" spans="9:22" x14ac:dyDescent="0.45">
      <c r="I443" t="s">
        <v>174</v>
      </c>
      <c r="J443" t="s">
        <v>159</v>
      </c>
      <c r="K443">
        <v>0</v>
      </c>
      <c r="L443" t="s">
        <v>153</v>
      </c>
      <c r="N443" t="s">
        <v>217</v>
      </c>
      <c r="O443" t="s">
        <v>159</v>
      </c>
      <c r="P443">
        <v>4.9341554862491185E-2</v>
      </c>
      <c r="Q443" t="s">
        <v>153</v>
      </c>
      <c r="S443" t="s">
        <v>259</v>
      </c>
      <c r="T443" t="s">
        <v>159</v>
      </c>
      <c r="U443">
        <v>7.5738795879615656E-2</v>
      </c>
      <c r="V443" t="s">
        <v>153</v>
      </c>
    </row>
    <row r="444" spans="9:22" x14ac:dyDescent="0.45">
      <c r="I444" t="s">
        <v>174</v>
      </c>
      <c r="J444" t="s">
        <v>160</v>
      </c>
      <c r="K444">
        <v>8.7138113138486937E-3</v>
      </c>
      <c r="L444" t="s">
        <v>153</v>
      </c>
      <c r="N444" t="s">
        <v>217</v>
      </c>
      <c r="O444" t="s">
        <v>160</v>
      </c>
      <c r="P444">
        <v>8.4341286970298773E-3</v>
      </c>
      <c r="Q444" t="s">
        <v>153</v>
      </c>
      <c r="S444" t="s">
        <v>259</v>
      </c>
      <c r="T444" t="s">
        <v>160</v>
      </c>
      <c r="U444">
        <v>1.2461029586444719E-2</v>
      </c>
      <c r="V444" t="s">
        <v>153</v>
      </c>
    </row>
    <row r="445" spans="9:22" x14ac:dyDescent="0.45">
      <c r="I445" t="s">
        <v>174</v>
      </c>
      <c r="J445" t="s">
        <v>161</v>
      </c>
      <c r="K445">
        <v>1.990802000463051E-2</v>
      </c>
      <c r="L445" t="s">
        <v>153</v>
      </c>
      <c r="N445" t="s">
        <v>217</v>
      </c>
      <c r="O445" t="s">
        <v>161</v>
      </c>
      <c r="P445">
        <v>8.942158774536595E-3</v>
      </c>
      <c r="Q445" t="s">
        <v>153</v>
      </c>
      <c r="S445" t="s">
        <v>259</v>
      </c>
      <c r="T445" t="s">
        <v>161</v>
      </c>
      <c r="U445">
        <v>1.2413659772702495E-2</v>
      </c>
      <c r="V445" t="s">
        <v>153</v>
      </c>
    </row>
    <row r="446" spans="9:22" x14ac:dyDescent="0.45">
      <c r="I446" t="s">
        <v>174</v>
      </c>
      <c r="J446" t="s">
        <v>286</v>
      </c>
      <c r="K446">
        <v>8.0439582544879984E-2</v>
      </c>
      <c r="L446" t="s">
        <v>153</v>
      </c>
      <c r="N446" t="s">
        <v>217</v>
      </c>
      <c r="O446" t="s">
        <v>286</v>
      </c>
      <c r="P446">
        <v>3.6529651353215911E-2</v>
      </c>
      <c r="Q446" t="s">
        <v>153</v>
      </c>
      <c r="S446" t="s">
        <v>259</v>
      </c>
      <c r="T446" t="s">
        <v>286</v>
      </c>
      <c r="U446">
        <v>3.7583999447167823E-2</v>
      </c>
      <c r="V446" t="s">
        <v>153</v>
      </c>
    </row>
    <row r="447" spans="9:22" x14ac:dyDescent="0.45">
      <c r="I447" t="s">
        <v>174</v>
      </c>
      <c r="J447" t="s">
        <v>287</v>
      </c>
      <c r="K447">
        <v>0.17471098113520536</v>
      </c>
      <c r="L447" t="s">
        <v>153</v>
      </c>
      <c r="N447" t="s">
        <v>217</v>
      </c>
      <c r="O447" t="s">
        <v>287</v>
      </c>
      <c r="P447">
        <v>0.10129584683990962</v>
      </c>
      <c r="Q447" t="s">
        <v>153</v>
      </c>
      <c r="S447" t="s">
        <v>259</v>
      </c>
      <c r="T447" t="s">
        <v>287</v>
      </c>
      <c r="U447">
        <v>8.0425874752996854E-2</v>
      </c>
      <c r="V447" t="s">
        <v>153</v>
      </c>
    </row>
    <row r="448" spans="9:22" x14ac:dyDescent="0.45">
      <c r="I448" t="s">
        <v>174</v>
      </c>
      <c r="J448" t="s">
        <v>288</v>
      </c>
      <c r="K448">
        <v>2.3165820319371703E-2</v>
      </c>
      <c r="L448" t="s">
        <v>153</v>
      </c>
      <c r="N448" t="s">
        <v>217</v>
      </c>
      <c r="O448" t="s">
        <v>288</v>
      </c>
      <c r="P448">
        <v>1.5775559272605055E-2</v>
      </c>
      <c r="Q448" t="s">
        <v>153</v>
      </c>
      <c r="S448" t="s">
        <v>259</v>
      </c>
      <c r="T448" t="s">
        <v>288</v>
      </c>
      <c r="U448">
        <v>1.4263647477309304E-2</v>
      </c>
      <c r="V448" t="s">
        <v>153</v>
      </c>
    </row>
    <row r="449" spans="9:22" x14ac:dyDescent="0.45">
      <c r="I449" t="s">
        <v>174</v>
      </c>
      <c r="J449" t="s">
        <v>308</v>
      </c>
      <c r="K449">
        <v>1.3865446329734637E-2</v>
      </c>
      <c r="L449" t="s">
        <v>153</v>
      </c>
      <c r="N449" t="s">
        <v>217</v>
      </c>
      <c r="O449" t="s">
        <v>308</v>
      </c>
      <c r="P449">
        <v>1.384937435889053E-2</v>
      </c>
      <c r="Q449" t="s">
        <v>153</v>
      </c>
      <c r="S449" t="s">
        <v>259</v>
      </c>
      <c r="T449" t="s">
        <v>308</v>
      </c>
      <c r="U449">
        <v>1.4195867345815077E-2</v>
      </c>
      <c r="V449" t="s">
        <v>153</v>
      </c>
    </row>
    <row r="450" spans="9:22" x14ac:dyDescent="0.45">
      <c r="I450" t="s">
        <v>174</v>
      </c>
      <c r="J450" t="s">
        <v>309</v>
      </c>
      <c r="K450">
        <v>2.9651228377018718E-7</v>
      </c>
      <c r="L450" t="s">
        <v>153</v>
      </c>
      <c r="N450" t="s">
        <v>217</v>
      </c>
      <c r="O450" t="s">
        <v>309</v>
      </c>
      <c r="P450">
        <v>5.0045253480769707E-2</v>
      </c>
      <c r="Q450" t="s">
        <v>153</v>
      </c>
      <c r="S450" t="s">
        <v>259</v>
      </c>
      <c r="T450" t="s">
        <v>309</v>
      </c>
      <c r="U450">
        <v>6.7135890199829296E-2</v>
      </c>
      <c r="V450" t="s">
        <v>153</v>
      </c>
    </row>
    <row r="451" spans="9:22" x14ac:dyDescent="0.45">
      <c r="I451" t="s">
        <v>174</v>
      </c>
      <c r="J451" t="s">
        <v>294</v>
      </c>
      <c r="K451">
        <v>0</v>
      </c>
      <c r="L451" t="s">
        <v>153</v>
      </c>
      <c r="N451" t="s">
        <v>217</v>
      </c>
      <c r="O451" t="s">
        <v>294</v>
      </c>
      <c r="P451">
        <v>9.0314962616087433E-3</v>
      </c>
      <c r="Q451" t="s">
        <v>153</v>
      </c>
      <c r="S451" t="s">
        <v>259</v>
      </c>
      <c r="T451" t="s">
        <v>294</v>
      </c>
      <c r="U451">
        <v>1.6648182926482527E-2</v>
      </c>
      <c r="V451" t="s">
        <v>153</v>
      </c>
    </row>
    <row r="452" spans="9:22" x14ac:dyDescent="0.45">
      <c r="I452" t="s">
        <v>174</v>
      </c>
      <c r="J452" t="s">
        <v>295</v>
      </c>
      <c r="K452">
        <v>4.8673626942780423E-3</v>
      </c>
      <c r="L452" t="s">
        <v>153</v>
      </c>
      <c r="N452" t="s">
        <v>217</v>
      </c>
      <c r="O452" t="s">
        <v>295</v>
      </c>
      <c r="P452">
        <v>1.3942678016838263E-3</v>
      </c>
      <c r="Q452" t="s">
        <v>153</v>
      </c>
      <c r="S452" t="s">
        <v>259</v>
      </c>
      <c r="T452" t="s">
        <v>295</v>
      </c>
      <c r="U452">
        <v>2.7293271337728415E-3</v>
      </c>
      <c r="V452" t="s">
        <v>153</v>
      </c>
    </row>
    <row r="453" spans="9:22" x14ac:dyDescent="0.45">
      <c r="I453" t="s">
        <v>174</v>
      </c>
      <c r="J453" t="s">
        <v>296</v>
      </c>
      <c r="K453">
        <v>7.5090934385403044E-3</v>
      </c>
      <c r="L453" t="s">
        <v>153</v>
      </c>
      <c r="N453" t="s">
        <v>217</v>
      </c>
      <c r="O453" t="s">
        <v>296</v>
      </c>
      <c r="P453">
        <v>1.6545330923239201E-3</v>
      </c>
      <c r="Q453" t="s">
        <v>153</v>
      </c>
      <c r="S453" t="s">
        <v>259</v>
      </c>
      <c r="T453" t="s">
        <v>296</v>
      </c>
      <c r="U453">
        <v>2.8009459931577444E-3</v>
      </c>
      <c r="V453" t="s">
        <v>153</v>
      </c>
    </row>
    <row r="454" spans="9:22" x14ac:dyDescent="0.45">
      <c r="I454" t="s">
        <v>174</v>
      </c>
      <c r="J454" t="s">
        <v>297</v>
      </c>
      <c r="K454">
        <v>2.7547609019875751E-2</v>
      </c>
      <c r="L454" t="s">
        <v>153</v>
      </c>
      <c r="N454" t="s">
        <v>217</v>
      </c>
      <c r="O454" t="s">
        <v>297</v>
      </c>
      <c r="P454">
        <v>6.6095679551990468E-3</v>
      </c>
      <c r="Q454" t="s">
        <v>153</v>
      </c>
      <c r="S454" t="s">
        <v>259</v>
      </c>
      <c r="T454" t="s">
        <v>297</v>
      </c>
      <c r="U454">
        <v>8.5279104269347442E-3</v>
      </c>
      <c r="V454" t="s">
        <v>153</v>
      </c>
    </row>
    <row r="455" spans="9:22" x14ac:dyDescent="0.45">
      <c r="I455" t="s">
        <v>174</v>
      </c>
      <c r="J455" t="s">
        <v>298</v>
      </c>
      <c r="K455">
        <v>5.6225400892651607E-2</v>
      </c>
      <c r="L455" t="s">
        <v>153</v>
      </c>
      <c r="N455" t="s">
        <v>217</v>
      </c>
      <c r="O455" t="s">
        <v>298</v>
      </c>
      <c r="P455">
        <v>2.6942042406784973E-2</v>
      </c>
      <c r="Q455" t="s">
        <v>153</v>
      </c>
      <c r="S455" t="s">
        <v>259</v>
      </c>
      <c r="T455" t="s">
        <v>298</v>
      </c>
      <c r="U455">
        <v>1.6867350743564241E-2</v>
      </c>
      <c r="V455" t="s">
        <v>153</v>
      </c>
    </row>
    <row r="456" spans="9:22" x14ac:dyDescent="0.45">
      <c r="I456" t="s">
        <v>174</v>
      </c>
      <c r="J456" t="s">
        <v>299</v>
      </c>
      <c r="K456">
        <v>7.8161252380948981E-3</v>
      </c>
      <c r="L456" t="s">
        <v>153</v>
      </c>
      <c r="N456" t="s">
        <v>217</v>
      </c>
      <c r="O456" t="s">
        <v>299</v>
      </c>
      <c r="P456">
        <v>5.1821293694676333E-3</v>
      </c>
      <c r="Q456" t="s">
        <v>153</v>
      </c>
      <c r="S456" t="s">
        <v>259</v>
      </c>
      <c r="T456" t="s">
        <v>299</v>
      </c>
      <c r="U456">
        <v>3.232768019374692E-3</v>
      </c>
      <c r="V456" t="s">
        <v>153</v>
      </c>
    </row>
    <row r="457" spans="9:22" x14ac:dyDescent="0.45">
      <c r="I457" t="s">
        <v>174</v>
      </c>
      <c r="J457" t="s">
        <v>310</v>
      </c>
      <c r="K457">
        <v>6.2271256935236847E-3</v>
      </c>
      <c r="L457" t="s">
        <v>153</v>
      </c>
      <c r="N457" t="s">
        <v>217</v>
      </c>
      <c r="O457" t="s">
        <v>310</v>
      </c>
      <c r="P457">
        <v>4.3781539494279417E-3</v>
      </c>
      <c r="Q457" t="s">
        <v>153</v>
      </c>
      <c r="S457" t="s">
        <v>259</v>
      </c>
      <c r="T457" t="s">
        <v>310</v>
      </c>
      <c r="U457">
        <v>3.2499479120606666E-3</v>
      </c>
      <c r="V457" t="s">
        <v>153</v>
      </c>
    </row>
    <row r="458" spans="9:22" x14ac:dyDescent="0.45">
      <c r="I458" t="s">
        <v>174</v>
      </c>
      <c r="J458" t="s">
        <v>311</v>
      </c>
      <c r="K458">
        <v>3.2572473095182921E-3</v>
      </c>
      <c r="L458" t="s">
        <v>153</v>
      </c>
      <c r="N458" t="s">
        <v>217</v>
      </c>
      <c r="O458" t="s">
        <v>311</v>
      </c>
      <c r="P458">
        <v>1.3209582415993282E-2</v>
      </c>
      <c r="Q458" t="s">
        <v>153</v>
      </c>
      <c r="S458" t="s">
        <v>259</v>
      </c>
      <c r="T458" t="s">
        <v>311</v>
      </c>
      <c r="U458">
        <v>1.512124682407171E-2</v>
      </c>
      <c r="V458" t="s">
        <v>153</v>
      </c>
    </row>
    <row r="459" spans="9:22" x14ac:dyDescent="0.45">
      <c r="I459" t="s">
        <v>175</v>
      </c>
      <c r="J459" t="s">
        <v>152</v>
      </c>
      <c r="K459">
        <v>1.0737955909436534E-3</v>
      </c>
      <c r="L459" t="s">
        <v>153</v>
      </c>
      <c r="N459" t="s">
        <v>218</v>
      </c>
      <c r="O459" t="s">
        <v>152</v>
      </c>
      <c r="P459">
        <v>8.3853625107397481E-2</v>
      </c>
      <c r="Q459" t="s">
        <v>153</v>
      </c>
      <c r="S459" t="s">
        <v>260</v>
      </c>
      <c r="T459" t="s">
        <v>152</v>
      </c>
      <c r="U459">
        <v>9.3998960635410508E-2</v>
      </c>
      <c r="V459" t="s">
        <v>153</v>
      </c>
    </row>
    <row r="460" spans="9:22" x14ac:dyDescent="0.45">
      <c r="I460" t="s">
        <v>175</v>
      </c>
      <c r="J460" t="s">
        <v>154</v>
      </c>
      <c r="K460">
        <v>1.2381720640122844E-2</v>
      </c>
      <c r="L460" t="s">
        <v>153</v>
      </c>
      <c r="N460" t="s">
        <v>218</v>
      </c>
      <c r="O460" t="s">
        <v>154</v>
      </c>
      <c r="P460">
        <v>1.3070638679659673E-2</v>
      </c>
      <c r="Q460" t="s">
        <v>153</v>
      </c>
      <c r="S460" t="s">
        <v>260</v>
      </c>
      <c r="T460" t="s">
        <v>154</v>
      </c>
      <c r="U460">
        <v>1.5104541040209007E-2</v>
      </c>
      <c r="V460" t="s">
        <v>153</v>
      </c>
    </row>
    <row r="461" spans="9:22" x14ac:dyDescent="0.45">
      <c r="I461" t="s">
        <v>175</v>
      </c>
      <c r="J461" t="s">
        <v>155</v>
      </c>
      <c r="K461">
        <v>2.9435220288847531E-2</v>
      </c>
      <c r="L461" t="s">
        <v>153</v>
      </c>
      <c r="N461" t="s">
        <v>218</v>
      </c>
      <c r="O461" t="s">
        <v>155</v>
      </c>
      <c r="P461">
        <v>1.3039645992555072E-2</v>
      </c>
      <c r="Q461" t="s">
        <v>153</v>
      </c>
      <c r="S461" t="s">
        <v>260</v>
      </c>
      <c r="T461" t="s">
        <v>155</v>
      </c>
      <c r="U461">
        <v>1.498252163141907E-2</v>
      </c>
      <c r="V461" t="s">
        <v>153</v>
      </c>
    </row>
    <row r="462" spans="9:22" x14ac:dyDescent="0.45">
      <c r="I462" t="s">
        <v>175</v>
      </c>
      <c r="J462" t="s">
        <v>280</v>
      </c>
      <c r="K462">
        <v>0.11951417054685924</v>
      </c>
      <c r="L462" t="s">
        <v>153</v>
      </c>
      <c r="N462" t="s">
        <v>218</v>
      </c>
      <c r="O462" t="s">
        <v>280</v>
      </c>
      <c r="P462">
        <v>3.6416345583544937E-2</v>
      </c>
      <c r="Q462" t="s">
        <v>153</v>
      </c>
      <c r="S462" t="s">
        <v>260</v>
      </c>
      <c r="T462" t="s">
        <v>280</v>
      </c>
      <c r="U462">
        <v>4.6111968379316554E-2</v>
      </c>
      <c r="V462" t="s">
        <v>153</v>
      </c>
    </row>
    <row r="463" spans="9:22" x14ac:dyDescent="0.45">
      <c r="I463" t="s">
        <v>175</v>
      </c>
      <c r="J463" t="s">
        <v>281</v>
      </c>
      <c r="K463">
        <v>0.25585836832374476</v>
      </c>
      <c r="L463" t="s">
        <v>153</v>
      </c>
      <c r="N463" t="s">
        <v>218</v>
      </c>
      <c r="O463" t="s">
        <v>281</v>
      </c>
      <c r="P463">
        <v>9.9964014057888809E-2</v>
      </c>
      <c r="Q463" t="s">
        <v>153</v>
      </c>
      <c r="S463" t="s">
        <v>260</v>
      </c>
      <c r="T463" t="s">
        <v>281</v>
      </c>
      <c r="U463">
        <v>0.11861702112462763</v>
      </c>
      <c r="V463" t="s">
        <v>153</v>
      </c>
    </row>
    <row r="464" spans="9:22" x14ac:dyDescent="0.45">
      <c r="I464" t="s">
        <v>175</v>
      </c>
      <c r="J464" t="s">
        <v>282</v>
      </c>
      <c r="K464">
        <v>2.5260394044721687E-2</v>
      </c>
      <c r="L464" t="s">
        <v>153</v>
      </c>
      <c r="N464" t="s">
        <v>218</v>
      </c>
      <c r="O464" t="s">
        <v>282</v>
      </c>
      <c r="P464">
        <v>2.5884354027172467E-2</v>
      </c>
      <c r="Q464" t="s">
        <v>153</v>
      </c>
      <c r="S464" t="s">
        <v>260</v>
      </c>
      <c r="T464" t="s">
        <v>282</v>
      </c>
      <c r="U464">
        <v>2.3370100634535238E-2</v>
      </c>
      <c r="V464" t="s">
        <v>153</v>
      </c>
    </row>
    <row r="465" spans="9:22" x14ac:dyDescent="0.45">
      <c r="I465" t="s">
        <v>175</v>
      </c>
      <c r="J465" t="s">
        <v>304</v>
      </c>
      <c r="K465">
        <v>1.3381775735245139E-2</v>
      </c>
      <c r="L465" t="s">
        <v>153</v>
      </c>
      <c r="N465" t="s">
        <v>218</v>
      </c>
      <c r="O465" t="s">
        <v>304</v>
      </c>
      <c r="P465">
        <v>2.6631228120579865E-2</v>
      </c>
      <c r="Q465" t="s">
        <v>153</v>
      </c>
      <c r="S465" t="s">
        <v>260</v>
      </c>
      <c r="T465" t="s">
        <v>304</v>
      </c>
      <c r="U465">
        <v>2.2023891688901641E-2</v>
      </c>
      <c r="V465" t="s">
        <v>153</v>
      </c>
    </row>
    <row r="466" spans="9:22" x14ac:dyDescent="0.45">
      <c r="I466" t="s">
        <v>175</v>
      </c>
      <c r="J466" t="s">
        <v>305</v>
      </c>
      <c r="K466">
        <v>3.01824199284108E-6</v>
      </c>
      <c r="L466" t="s">
        <v>153</v>
      </c>
      <c r="N466" t="s">
        <v>218</v>
      </c>
      <c r="O466" t="s">
        <v>305</v>
      </c>
      <c r="P466">
        <v>9.8691643757734898E-2</v>
      </c>
      <c r="Q466" t="s">
        <v>153</v>
      </c>
      <c r="S466" t="s">
        <v>260</v>
      </c>
      <c r="T466" t="s">
        <v>305</v>
      </c>
      <c r="U466">
        <v>8.9522848098290725E-2</v>
      </c>
      <c r="V466" t="s">
        <v>153</v>
      </c>
    </row>
    <row r="467" spans="9:22" x14ac:dyDescent="0.45">
      <c r="I467" t="s">
        <v>175</v>
      </c>
      <c r="J467" t="s">
        <v>156</v>
      </c>
      <c r="K467">
        <v>0</v>
      </c>
      <c r="L467" t="s">
        <v>153</v>
      </c>
      <c r="N467" t="s">
        <v>218</v>
      </c>
      <c r="O467" t="s">
        <v>156</v>
      </c>
      <c r="P467">
        <v>4.5604815875741445E-2</v>
      </c>
      <c r="Q467" t="s">
        <v>153</v>
      </c>
      <c r="S467" t="s">
        <v>260</v>
      </c>
      <c r="T467" t="s">
        <v>156</v>
      </c>
      <c r="U467">
        <v>4.2398942860162041E-2</v>
      </c>
      <c r="V467" t="s">
        <v>153</v>
      </c>
    </row>
    <row r="468" spans="9:22" x14ac:dyDescent="0.45">
      <c r="I468" t="s">
        <v>175</v>
      </c>
      <c r="J468" t="s">
        <v>157</v>
      </c>
      <c r="K468">
        <v>0</v>
      </c>
      <c r="L468" t="s">
        <v>153</v>
      </c>
      <c r="N468" t="s">
        <v>218</v>
      </c>
      <c r="O468" t="s">
        <v>157</v>
      </c>
      <c r="P468">
        <v>8.2856254019190931E-3</v>
      </c>
      <c r="Q468" t="s">
        <v>153</v>
      </c>
      <c r="S468" t="s">
        <v>260</v>
      </c>
      <c r="T468" t="s">
        <v>157</v>
      </c>
      <c r="U468">
        <v>7.2118782330268926E-3</v>
      </c>
      <c r="V468" t="s">
        <v>153</v>
      </c>
    </row>
    <row r="469" spans="9:22" x14ac:dyDescent="0.45">
      <c r="I469" t="s">
        <v>175</v>
      </c>
      <c r="J469" t="s">
        <v>158</v>
      </c>
      <c r="K469">
        <v>4.3357584633228474E-3</v>
      </c>
      <c r="L469" t="s">
        <v>153</v>
      </c>
      <c r="N469" t="s">
        <v>218</v>
      </c>
      <c r="O469" t="s">
        <v>158</v>
      </c>
      <c r="P469">
        <v>8.2569519510549659E-3</v>
      </c>
      <c r="Q469" t="s">
        <v>153</v>
      </c>
      <c r="S469" t="s">
        <v>260</v>
      </c>
      <c r="T469" t="s">
        <v>158</v>
      </c>
      <c r="U469">
        <v>7.3170691630702342E-3</v>
      </c>
      <c r="V469" t="s">
        <v>153</v>
      </c>
    </row>
    <row r="470" spans="9:22" x14ac:dyDescent="0.45">
      <c r="I470" t="s">
        <v>175</v>
      </c>
      <c r="J470" t="s">
        <v>283</v>
      </c>
      <c r="K470">
        <v>2.9095076943245698E-2</v>
      </c>
      <c r="L470" t="s">
        <v>153</v>
      </c>
      <c r="N470" t="s">
        <v>218</v>
      </c>
      <c r="O470" t="s">
        <v>283</v>
      </c>
      <c r="P470">
        <v>1.7829671612551282E-2</v>
      </c>
      <c r="Q470" t="s">
        <v>153</v>
      </c>
      <c r="S470" t="s">
        <v>260</v>
      </c>
      <c r="T470" t="s">
        <v>283</v>
      </c>
      <c r="U470">
        <v>2.2184154657620209E-2</v>
      </c>
      <c r="V470" t="s">
        <v>153</v>
      </c>
    </row>
    <row r="471" spans="9:22" x14ac:dyDescent="0.45">
      <c r="I471" t="s">
        <v>175</v>
      </c>
      <c r="J471" t="s">
        <v>284</v>
      </c>
      <c r="K471">
        <v>6.4911156526816421E-2</v>
      </c>
      <c r="L471" t="s">
        <v>153</v>
      </c>
      <c r="N471" t="s">
        <v>218</v>
      </c>
      <c r="O471" t="s">
        <v>284</v>
      </c>
      <c r="P471">
        <v>3.3455471818189406E-2</v>
      </c>
      <c r="Q471" t="s">
        <v>153</v>
      </c>
      <c r="S471" t="s">
        <v>260</v>
      </c>
      <c r="T471" t="s">
        <v>284</v>
      </c>
      <c r="U471">
        <v>4.9690663788827243E-2</v>
      </c>
      <c r="V471" t="s">
        <v>153</v>
      </c>
    </row>
    <row r="472" spans="9:22" x14ac:dyDescent="0.45">
      <c r="I472" t="s">
        <v>175</v>
      </c>
      <c r="J472" t="s">
        <v>285</v>
      </c>
      <c r="K472">
        <v>3.0882664564303693E-3</v>
      </c>
      <c r="L472" t="s">
        <v>153</v>
      </c>
      <c r="N472" t="s">
        <v>218</v>
      </c>
      <c r="O472" t="s">
        <v>285</v>
      </c>
      <c r="P472">
        <v>9.9088899836218478E-3</v>
      </c>
      <c r="Q472" t="s">
        <v>153</v>
      </c>
      <c r="S472" t="s">
        <v>260</v>
      </c>
      <c r="T472" t="s">
        <v>285</v>
      </c>
      <c r="U472">
        <v>8.6349311790809395E-3</v>
      </c>
      <c r="V472" t="s">
        <v>153</v>
      </c>
    </row>
    <row r="473" spans="9:22" x14ac:dyDescent="0.45">
      <c r="I473" t="s">
        <v>175</v>
      </c>
      <c r="J473" t="s">
        <v>306</v>
      </c>
      <c r="K473">
        <v>0</v>
      </c>
      <c r="L473" t="s">
        <v>153</v>
      </c>
      <c r="N473" t="s">
        <v>218</v>
      </c>
      <c r="O473" t="s">
        <v>306</v>
      </c>
      <c r="P473">
        <v>1.0739870853460318E-2</v>
      </c>
      <c r="Q473" t="s">
        <v>153</v>
      </c>
      <c r="S473" t="s">
        <v>260</v>
      </c>
      <c r="T473" t="s">
        <v>306</v>
      </c>
      <c r="U473">
        <v>8.5385995263001675E-3</v>
      </c>
      <c r="V473" t="s">
        <v>153</v>
      </c>
    </row>
    <row r="474" spans="9:22" x14ac:dyDescent="0.45">
      <c r="I474" t="s">
        <v>175</v>
      </c>
      <c r="J474" t="s">
        <v>307</v>
      </c>
      <c r="K474">
        <v>0</v>
      </c>
      <c r="L474" t="s">
        <v>153</v>
      </c>
      <c r="N474" t="s">
        <v>218</v>
      </c>
      <c r="O474" t="s">
        <v>307</v>
      </c>
      <c r="P474">
        <v>3.9804612210815785E-2</v>
      </c>
      <c r="Q474" t="s">
        <v>153</v>
      </c>
      <c r="S474" t="s">
        <v>260</v>
      </c>
      <c r="T474" t="s">
        <v>307</v>
      </c>
      <c r="U474">
        <v>3.8556887726270563E-2</v>
      </c>
      <c r="V474" t="s">
        <v>153</v>
      </c>
    </row>
    <row r="475" spans="9:22" x14ac:dyDescent="0.45">
      <c r="I475" t="s">
        <v>175</v>
      </c>
      <c r="J475" t="s">
        <v>159</v>
      </c>
      <c r="K475">
        <v>3.8241679861416977E-3</v>
      </c>
      <c r="L475" t="s">
        <v>153</v>
      </c>
      <c r="N475" t="s">
        <v>218</v>
      </c>
      <c r="O475" t="s">
        <v>159</v>
      </c>
      <c r="P475">
        <v>6.8214316215160845E-2</v>
      </c>
      <c r="Q475" t="s">
        <v>153</v>
      </c>
      <c r="S475" t="s">
        <v>260</v>
      </c>
      <c r="T475" t="s">
        <v>159</v>
      </c>
      <c r="U475">
        <v>6.6241445198086932E-2</v>
      </c>
      <c r="V475" t="s">
        <v>153</v>
      </c>
    </row>
    <row r="476" spans="9:22" x14ac:dyDescent="0.45">
      <c r="I476" t="s">
        <v>175</v>
      </c>
      <c r="J476" t="s">
        <v>160</v>
      </c>
      <c r="K476">
        <v>1.3515249600998763E-2</v>
      </c>
      <c r="L476" t="s">
        <v>153</v>
      </c>
      <c r="N476" t="s">
        <v>218</v>
      </c>
      <c r="O476" t="s">
        <v>160</v>
      </c>
      <c r="P476">
        <v>1.0195226734573522E-2</v>
      </c>
      <c r="Q476" t="s">
        <v>153</v>
      </c>
      <c r="S476" t="s">
        <v>260</v>
      </c>
      <c r="T476" t="s">
        <v>160</v>
      </c>
      <c r="U476">
        <v>1.0706642219692641E-2</v>
      </c>
      <c r="V476" t="s">
        <v>153</v>
      </c>
    </row>
    <row r="477" spans="9:22" x14ac:dyDescent="0.45">
      <c r="I477" t="s">
        <v>175</v>
      </c>
      <c r="J477" t="s">
        <v>161</v>
      </c>
      <c r="K477">
        <v>2.2832184072834345E-2</v>
      </c>
      <c r="L477" t="s">
        <v>153</v>
      </c>
      <c r="N477" t="s">
        <v>218</v>
      </c>
      <c r="O477" t="s">
        <v>161</v>
      </c>
      <c r="P477">
        <v>9.9568328084411861E-3</v>
      </c>
      <c r="Q477" t="s">
        <v>153</v>
      </c>
      <c r="S477" t="s">
        <v>260</v>
      </c>
      <c r="T477" t="s">
        <v>161</v>
      </c>
      <c r="U477">
        <v>1.0825172540525929E-2</v>
      </c>
      <c r="V477" t="s">
        <v>153</v>
      </c>
    </row>
    <row r="478" spans="9:22" x14ac:dyDescent="0.45">
      <c r="I478" t="s">
        <v>175</v>
      </c>
      <c r="J478" t="s">
        <v>286</v>
      </c>
      <c r="K478">
        <v>8.6956913351459039E-2</v>
      </c>
      <c r="L478" t="s">
        <v>153</v>
      </c>
      <c r="N478" t="s">
        <v>218</v>
      </c>
      <c r="O478" t="s">
        <v>286</v>
      </c>
      <c r="P478">
        <v>2.9344658528075853E-2</v>
      </c>
      <c r="Q478" t="s">
        <v>153</v>
      </c>
      <c r="S478" t="s">
        <v>260</v>
      </c>
      <c r="T478" t="s">
        <v>286</v>
      </c>
      <c r="U478">
        <v>3.5426691728060615E-2</v>
      </c>
      <c r="V478" t="s">
        <v>153</v>
      </c>
    </row>
    <row r="479" spans="9:22" x14ac:dyDescent="0.45">
      <c r="I479" t="s">
        <v>175</v>
      </c>
      <c r="J479" t="s">
        <v>287</v>
      </c>
      <c r="K479">
        <v>0.17862878837577106</v>
      </c>
      <c r="L479" t="s">
        <v>153</v>
      </c>
      <c r="N479" t="s">
        <v>218</v>
      </c>
      <c r="O479" t="s">
        <v>287</v>
      </c>
      <c r="P479">
        <v>9.8239802451856054E-2</v>
      </c>
      <c r="Q479" t="s">
        <v>153</v>
      </c>
      <c r="S479" t="s">
        <v>260</v>
      </c>
      <c r="T479" t="s">
        <v>287</v>
      </c>
      <c r="U479">
        <v>8.7904074517360417E-2</v>
      </c>
      <c r="V479" t="s">
        <v>153</v>
      </c>
    </row>
    <row r="480" spans="9:22" x14ac:dyDescent="0.45">
      <c r="I480" t="s">
        <v>175</v>
      </c>
      <c r="J480" t="s">
        <v>288</v>
      </c>
      <c r="K480">
        <v>1.9984312794107641E-2</v>
      </c>
      <c r="L480" t="s">
        <v>153</v>
      </c>
      <c r="N480" t="s">
        <v>218</v>
      </c>
      <c r="O480" t="s">
        <v>288</v>
      </c>
      <c r="P480">
        <v>2.6008101641529158E-2</v>
      </c>
      <c r="Q480" t="s">
        <v>153</v>
      </c>
      <c r="S480" t="s">
        <v>260</v>
      </c>
      <c r="T480" t="s">
        <v>288</v>
      </c>
      <c r="U480">
        <v>1.6210990257968474E-2</v>
      </c>
      <c r="V480" t="s">
        <v>153</v>
      </c>
    </row>
    <row r="481" spans="9:22" x14ac:dyDescent="0.45">
      <c r="I481" t="s">
        <v>175</v>
      </c>
      <c r="J481" t="s">
        <v>308</v>
      </c>
      <c r="K481">
        <v>5.4682788663014716E-3</v>
      </c>
      <c r="L481" t="s">
        <v>153</v>
      </c>
      <c r="N481" t="s">
        <v>218</v>
      </c>
      <c r="O481" t="s">
        <v>308</v>
      </c>
      <c r="P481">
        <v>2.7362657669874231E-2</v>
      </c>
      <c r="Q481" t="s">
        <v>153</v>
      </c>
      <c r="S481" t="s">
        <v>260</v>
      </c>
      <c r="T481" t="s">
        <v>308</v>
      </c>
      <c r="U481">
        <v>1.536533067638709E-2</v>
      </c>
      <c r="V481" t="s">
        <v>153</v>
      </c>
    </row>
    <row r="482" spans="9:22" x14ac:dyDescent="0.45">
      <c r="I482" t="s">
        <v>175</v>
      </c>
      <c r="J482" t="s">
        <v>309</v>
      </c>
      <c r="K482">
        <v>0</v>
      </c>
      <c r="L482" t="s">
        <v>153</v>
      </c>
      <c r="N482" t="s">
        <v>218</v>
      </c>
      <c r="O482" t="s">
        <v>309</v>
      </c>
      <c r="P482">
        <v>0.10234884870040024</v>
      </c>
      <c r="Q482" t="s">
        <v>153</v>
      </c>
      <c r="S482" t="s">
        <v>260</v>
      </c>
      <c r="T482" t="s">
        <v>309</v>
      </c>
      <c r="U482">
        <v>6.3224798351755054E-2</v>
      </c>
      <c r="V482" t="s">
        <v>153</v>
      </c>
    </row>
    <row r="483" spans="9:22" x14ac:dyDescent="0.45">
      <c r="I483" t="s">
        <v>175</v>
      </c>
      <c r="J483" t="s">
        <v>294</v>
      </c>
      <c r="K483">
        <v>2.7953628374645114E-3</v>
      </c>
      <c r="L483" t="s">
        <v>153</v>
      </c>
      <c r="N483" t="s">
        <v>218</v>
      </c>
      <c r="O483" t="s">
        <v>294</v>
      </c>
      <c r="P483">
        <v>1.0494141302201356E-2</v>
      </c>
      <c r="Q483" t="s">
        <v>153</v>
      </c>
      <c r="S483" t="s">
        <v>260</v>
      </c>
      <c r="T483" t="s">
        <v>294</v>
      </c>
      <c r="U483">
        <v>1.7275245748886107E-2</v>
      </c>
      <c r="V483" t="s">
        <v>153</v>
      </c>
    </row>
    <row r="484" spans="9:22" x14ac:dyDescent="0.45">
      <c r="I484" t="s">
        <v>175</v>
      </c>
      <c r="J484" t="s">
        <v>295</v>
      </c>
      <c r="K484">
        <v>4.9875451733935308E-3</v>
      </c>
      <c r="L484" t="s">
        <v>153</v>
      </c>
      <c r="N484" t="s">
        <v>218</v>
      </c>
      <c r="O484" t="s">
        <v>295</v>
      </c>
      <c r="P484">
        <v>1.2786760565003817E-3</v>
      </c>
      <c r="Q484" t="s">
        <v>153</v>
      </c>
      <c r="S484" t="s">
        <v>260</v>
      </c>
      <c r="T484" t="s">
        <v>295</v>
      </c>
      <c r="U484">
        <v>2.8802004348819393E-3</v>
      </c>
      <c r="V484" t="s">
        <v>153</v>
      </c>
    </row>
    <row r="485" spans="9:22" x14ac:dyDescent="0.45">
      <c r="I485" t="s">
        <v>175</v>
      </c>
      <c r="J485" t="s">
        <v>296</v>
      </c>
      <c r="K485">
        <v>7.010200104880732E-3</v>
      </c>
      <c r="L485" t="s">
        <v>153</v>
      </c>
      <c r="N485" t="s">
        <v>218</v>
      </c>
      <c r="O485" t="s">
        <v>296</v>
      </c>
      <c r="P485">
        <v>1.2491989069849864E-3</v>
      </c>
      <c r="Q485" t="s">
        <v>153</v>
      </c>
      <c r="S485" t="s">
        <v>260</v>
      </c>
      <c r="T485" t="s">
        <v>296</v>
      </c>
      <c r="U485">
        <v>3.0432568157962724E-3</v>
      </c>
      <c r="V485" t="s">
        <v>153</v>
      </c>
    </row>
    <row r="486" spans="9:22" x14ac:dyDescent="0.45">
      <c r="I486" t="s">
        <v>175</v>
      </c>
      <c r="J486" t="s">
        <v>297</v>
      </c>
      <c r="K486">
        <v>2.7161358603698137E-2</v>
      </c>
      <c r="L486" t="s">
        <v>153</v>
      </c>
      <c r="N486" t="s">
        <v>218</v>
      </c>
      <c r="O486" t="s">
        <v>297</v>
      </c>
      <c r="P486">
        <v>5.2395849903718716E-3</v>
      </c>
      <c r="Q486" t="s">
        <v>153</v>
      </c>
      <c r="S486" t="s">
        <v>260</v>
      </c>
      <c r="T486" t="s">
        <v>297</v>
      </c>
      <c r="U486">
        <v>9.8342774224751128E-3</v>
      </c>
      <c r="V486" t="s">
        <v>153</v>
      </c>
    </row>
    <row r="487" spans="9:22" x14ac:dyDescent="0.45">
      <c r="I487" t="s">
        <v>175</v>
      </c>
      <c r="J487" t="s">
        <v>298</v>
      </c>
      <c r="K487">
        <v>5.7050920773660939E-2</v>
      </c>
      <c r="L487" t="s">
        <v>153</v>
      </c>
      <c r="N487" t="s">
        <v>218</v>
      </c>
      <c r="O487" t="s">
        <v>298</v>
      </c>
      <c r="P487">
        <v>1.7076216374458497E-2</v>
      </c>
      <c r="Q487" t="s">
        <v>153</v>
      </c>
      <c r="S487" t="s">
        <v>260</v>
      </c>
      <c r="T487" t="s">
        <v>298</v>
      </c>
      <c r="U487">
        <v>2.5918363308008813E-2</v>
      </c>
      <c r="V487" t="s">
        <v>153</v>
      </c>
    </row>
    <row r="488" spans="9:22" x14ac:dyDescent="0.45">
      <c r="I488" t="s">
        <v>175</v>
      </c>
      <c r="J488" t="s">
        <v>299</v>
      </c>
      <c r="K488">
        <v>6.7390537342010446E-3</v>
      </c>
      <c r="L488" t="s">
        <v>153</v>
      </c>
      <c r="N488" t="s">
        <v>218</v>
      </c>
      <c r="O488" t="s">
        <v>299</v>
      </c>
      <c r="P488">
        <v>3.8756807410523261E-3</v>
      </c>
      <c r="Q488" t="s">
        <v>153</v>
      </c>
      <c r="S488" t="s">
        <v>260</v>
      </c>
      <c r="T488" t="s">
        <v>299</v>
      </c>
      <c r="U488">
        <v>4.8137430471964964E-3</v>
      </c>
      <c r="V488" t="s">
        <v>153</v>
      </c>
    </row>
    <row r="489" spans="9:22" x14ac:dyDescent="0.45">
      <c r="I489" t="s">
        <v>175</v>
      </c>
      <c r="J489" t="s">
        <v>310</v>
      </c>
      <c r="K489">
        <v>4.7069419227955414E-3</v>
      </c>
      <c r="L489" t="s">
        <v>153</v>
      </c>
      <c r="N489" t="s">
        <v>218</v>
      </c>
      <c r="O489" t="s">
        <v>310</v>
      </c>
      <c r="P489">
        <v>3.718578581735835E-3</v>
      </c>
      <c r="Q489" t="s">
        <v>153</v>
      </c>
      <c r="S489" t="s">
        <v>260</v>
      </c>
      <c r="T489" t="s">
        <v>310</v>
      </c>
      <c r="U489">
        <v>4.4560518267873399E-3</v>
      </c>
      <c r="V489" t="s">
        <v>153</v>
      </c>
    </row>
    <row r="490" spans="9:22" x14ac:dyDescent="0.45">
      <c r="I490" t="s">
        <v>175</v>
      </c>
      <c r="J490" t="s">
        <v>311</v>
      </c>
      <c r="K490">
        <v>0</v>
      </c>
      <c r="L490" t="s">
        <v>153</v>
      </c>
      <c r="N490" t="s">
        <v>218</v>
      </c>
      <c r="O490" t="s">
        <v>311</v>
      </c>
      <c r="P490">
        <v>1.3960073262893417E-2</v>
      </c>
      <c r="Q490" t="s">
        <v>153</v>
      </c>
      <c r="S490" t="s">
        <v>260</v>
      </c>
      <c r="T490" t="s">
        <v>311</v>
      </c>
      <c r="U490">
        <v>1.7608735539059003E-2</v>
      </c>
      <c r="V490" t="s">
        <v>153</v>
      </c>
    </row>
    <row r="491" spans="9:22" x14ac:dyDescent="0.45">
      <c r="I491" t="s">
        <v>176</v>
      </c>
      <c r="J491" t="s">
        <v>152</v>
      </c>
      <c r="K491">
        <v>9.674990897929885E-4</v>
      </c>
      <c r="L491" t="s">
        <v>153</v>
      </c>
      <c r="N491" t="s">
        <v>219</v>
      </c>
      <c r="O491" t="s">
        <v>152</v>
      </c>
      <c r="P491">
        <v>9.9319399675443315E-2</v>
      </c>
      <c r="Q491" t="s">
        <v>153</v>
      </c>
      <c r="S491" t="s">
        <v>261</v>
      </c>
      <c r="T491" t="s">
        <v>152</v>
      </c>
      <c r="U491">
        <v>0.10971027722800167</v>
      </c>
      <c r="V491" t="s">
        <v>153</v>
      </c>
    </row>
    <row r="492" spans="9:22" x14ac:dyDescent="0.45">
      <c r="I492" t="s">
        <v>176</v>
      </c>
      <c r="J492" t="s">
        <v>154</v>
      </c>
      <c r="K492">
        <v>1.2789222302489977E-2</v>
      </c>
      <c r="L492" t="s">
        <v>153</v>
      </c>
      <c r="N492" t="s">
        <v>219</v>
      </c>
      <c r="O492" t="s">
        <v>154</v>
      </c>
      <c r="P492">
        <v>1.5962236603561875E-2</v>
      </c>
      <c r="Q492" t="s">
        <v>153</v>
      </c>
      <c r="S492" t="s">
        <v>261</v>
      </c>
      <c r="T492" t="s">
        <v>154</v>
      </c>
      <c r="U492">
        <v>1.726906173330265E-2</v>
      </c>
      <c r="V492" t="s">
        <v>153</v>
      </c>
    </row>
    <row r="493" spans="9:22" x14ac:dyDescent="0.45">
      <c r="I493" t="s">
        <v>176</v>
      </c>
      <c r="J493" t="s">
        <v>155</v>
      </c>
      <c r="K493">
        <v>3.1273712491385636E-2</v>
      </c>
      <c r="L493" t="s">
        <v>153</v>
      </c>
      <c r="N493" t="s">
        <v>219</v>
      </c>
      <c r="O493" t="s">
        <v>155</v>
      </c>
      <c r="P493">
        <v>1.559887371294142E-2</v>
      </c>
      <c r="Q493" t="s">
        <v>153</v>
      </c>
      <c r="S493" t="s">
        <v>261</v>
      </c>
      <c r="T493" t="s">
        <v>155</v>
      </c>
      <c r="U493">
        <v>1.699339894823201E-2</v>
      </c>
      <c r="V493" t="s">
        <v>153</v>
      </c>
    </row>
    <row r="494" spans="9:22" x14ac:dyDescent="0.45">
      <c r="I494" t="s">
        <v>176</v>
      </c>
      <c r="J494" t="s">
        <v>280</v>
      </c>
      <c r="K494">
        <v>0.11996798193345316</v>
      </c>
      <c r="L494" t="s">
        <v>153</v>
      </c>
      <c r="N494" t="s">
        <v>219</v>
      </c>
      <c r="O494" t="s">
        <v>280</v>
      </c>
      <c r="P494">
        <v>4.8744383779963256E-2</v>
      </c>
      <c r="Q494" t="s">
        <v>153</v>
      </c>
      <c r="S494" t="s">
        <v>261</v>
      </c>
      <c r="T494" t="s">
        <v>280</v>
      </c>
      <c r="U494">
        <v>5.0377587136606339E-2</v>
      </c>
      <c r="V494" t="s">
        <v>153</v>
      </c>
    </row>
    <row r="495" spans="9:22" x14ac:dyDescent="0.45">
      <c r="I495" t="s">
        <v>176</v>
      </c>
      <c r="J495" t="s">
        <v>281</v>
      </c>
      <c r="K495">
        <v>0.24976939629859246</v>
      </c>
      <c r="L495" t="s">
        <v>153</v>
      </c>
      <c r="N495" t="s">
        <v>219</v>
      </c>
      <c r="O495" t="s">
        <v>281</v>
      </c>
      <c r="P495">
        <v>0.10879393808157614</v>
      </c>
      <c r="Q495" t="s">
        <v>153</v>
      </c>
      <c r="S495" t="s">
        <v>261</v>
      </c>
      <c r="T495" t="s">
        <v>281</v>
      </c>
      <c r="U495">
        <v>0.10746497383656921</v>
      </c>
      <c r="V495" t="s">
        <v>153</v>
      </c>
    </row>
    <row r="496" spans="9:22" x14ac:dyDescent="0.45">
      <c r="I496" t="s">
        <v>176</v>
      </c>
      <c r="J496" t="s">
        <v>282</v>
      </c>
      <c r="K496">
        <v>2.3585886586866597E-2</v>
      </c>
      <c r="L496" t="s">
        <v>153</v>
      </c>
      <c r="N496" t="s">
        <v>219</v>
      </c>
      <c r="O496" t="s">
        <v>282</v>
      </c>
      <c r="P496">
        <v>2.3099649340689084E-2</v>
      </c>
      <c r="Q496" t="s">
        <v>153</v>
      </c>
      <c r="S496" t="s">
        <v>261</v>
      </c>
      <c r="T496" t="s">
        <v>282</v>
      </c>
      <c r="U496">
        <v>2.0041047453831291E-2</v>
      </c>
      <c r="V496" t="s">
        <v>153</v>
      </c>
    </row>
    <row r="497" spans="9:22" x14ac:dyDescent="0.45">
      <c r="I497" t="s">
        <v>176</v>
      </c>
      <c r="J497" t="s">
        <v>304</v>
      </c>
      <c r="K497">
        <v>1.2082007492051015E-2</v>
      </c>
      <c r="L497" t="s">
        <v>153</v>
      </c>
      <c r="N497" t="s">
        <v>219</v>
      </c>
      <c r="O497" t="s">
        <v>304</v>
      </c>
      <c r="P497">
        <v>2.4031711182470959E-2</v>
      </c>
      <c r="Q497" t="s">
        <v>153</v>
      </c>
      <c r="S497" t="s">
        <v>261</v>
      </c>
      <c r="T497" t="s">
        <v>304</v>
      </c>
      <c r="U497">
        <v>1.9979892887860101E-2</v>
      </c>
      <c r="V497" t="s">
        <v>153</v>
      </c>
    </row>
    <row r="498" spans="9:22" x14ac:dyDescent="0.45">
      <c r="I498" t="s">
        <v>176</v>
      </c>
      <c r="J498" t="s">
        <v>305</v>
      </c>
      <c r="K498">
        <v>0</v>
      </c>
      <c r="L498" t="s">
        <v>153</v>
      </c>
      <c r="N498" t="s">
        <v>219</v>
      </c>
      <c r="O498" t="s">
        <v>305</v>
      </c>
      <c r="P498">
        <v>0.10396484799129824</v>
      </c>
      <c r="Q498" t="s">
        <v>153</v>
      </c>
      <c r="S498" t="s">
        <v>261</v>
      </c>
      <c r="T498" t="s">
        <v>305</v>
      </c>
      <c r="U498">
        <v>9.6728793826657181E-2</v>
      </c>
      <c r="V498" t="s">
        <v>153</v>
      </c>
    </row>
    <row r="499" spans="9:22" x14ac:dyDescent="0.45">
      <c r="I499" t="s">
        <v>176</v>
      </c>
      <c r="J499" t="s">
        <v>156</v>
      </c>
      <c r="K499">
        <v>0</v>
      </c>
      <c r="L499" t="s">
        <v>153</v>
      </c>
      <c r="N499" t="s">
        <v>219</v>
      </c>
      <c r="O499" t="s">
        <v>156</v>
      </c>
      <c r="P499">
        <v>3.5509337825517504E-2</v>
      </c>
      <c r="Q499" t="s">
        <v>153</v>
      </c>
      <c r="S499" t="s">
        <v>261</v>
      </c>
      <c r="T499" t="s">
        <v>156</v>
      </c>
      <c r="U499">
        <v>4.7401244116630818E-2</v>
      </c>
      <c r="V499" t="s">
        <v>153</v>
      </c>
    </row>
    <row r="500" spans="9:22" x14ac:dyDescent="0.45">
      <c r="I500" t="s">
        <v>176</v>
      </c>
      <c r="J500" t="s">
        <v>157</v>
      </c>
      <c r="K500">
        <v>0</v>
      </c>
      <c r="L500" t="s">
        <v>153</v>
      </c>
      <c r="N500" t="s">
        <v>219</v>
      </c>
      <c r="O500" t="s">
        <v>157</v>
      </c>
      <c r="P500">
        <v>5.5360563420669721E-3</v>
      </c>
      <c r="Q500" t="s">
        <v>153</v>
      </c>
      <c r="S500" t="s">
        <v>261</v>
      </c>
      <c r="T500" t="s">
        <v>157</v>
      </c>
      <c r="U500">
        <v>8.1304097938680875E-3</v>
      </c>
      <c r="V500" t="s">
        <v>153</v>
      </c>
    </row>
    <row r="501" spans="9:22" x14ac:dyDescent="0.45">
      <c r="I501" t="s">
        <v>176</v>
      </c>
      <c r="J501" t="s">
        <v>158</v>
      </c>
      <c r="K501">
        <v>7.6297469484627057E-3</v>
      </c>
      <c r="L501" t="s">
        <v>153</v>
      </c>
      <c r="N501" t="s">
        <v>219</v>
      </c>
      <c r="O501" t="s">
        <v>158</v>
      </c>
      <c r="P501">
        <v>5.5491543540858853E-3</v>
      </c>
      <c r="Q501" t="s">
        <v>153</v>
      </c>
      <c r="S501" t="s">
        <v>261</v>
      </c>
      <c r="T501" t="s">
        <v>158</v>
      </c>
      <c r="U501">
        <v>8.1023473285763981E-3</v>
      </c>
      <c r="V501" t="s">
        <v>153</v>
      </c>
    </row>
    <row r="502" spans="9:22" x14ac:dyDescent="0.45">
      <c r="I502" t="s">
        <v>176</v>
      </c>
      <c r="J502" t="s">
        <v>283</v>
      </c>
      <c r="K502">
        <v>3.2592951468023046E-2</v>
      </c>
      <c r="L502" t="s">
        <v>153</v>
      </c>
      <c r="N502" t="s">
        <v>219</v>
      </c>
      <c r="O502" t="s">
        <v>283</v>
      </c>
      <c r="P502">
        <v>1.4652028918829928E-2</v>
      </c>
      <c r="Q502" t="s">
        <v>153</v>
      </c>
      <c r="S502" t="s">
        <v>261</v>
      </c>
      <c r="T502" t="s">
        <v>283</v>
      </c>
      <c r="U502">
        <v>2.3754125969103024E-2</v>
      </c>
      <c r="V502" t="s">
        <v>153</v>
      </c>
    </row>
    <row r="503" spans="9:22" x14ac:dyDescent="0.45">
      <c r="I503" t="s">
        <v>176</v>
      </c>
      <c r="J503" t="s">
        <v>284</v>
      </c>
      <c r="K503">
        <v>6.978434520559508E-2</v>
      </c>
      <c r="L503" t="s">
        <v>153</v>
      </c>
      <c r="N503" t="s">
        <v>219</v>
      </c>
      <c r="O503" t="s">
        <v>284</v>
      </c>
      <c r="P503">
        <v>3.3040736046951756E-2</v>
      </c>
      <c r="Q503" t="s">
        <v>153</v>
      </c>
      <c r="S503" t="s">
        <v>261</v>
      </c>
      <c r="T503" t="s">
        <v>284</v>
      </c>
      <c r="U503">
        <v>4.5166247271071623E-2</v>
      </c>
      <c r="V503" t="s">
        <v>153</v>
      </c>
    </row>
    <row r="504" spans="9:22" x14ac:dyDescent="0.45">
      <c r="I504" t="s">
        <v>176</v>
      </c>
      <c r="J504" t="s">
        <v>285</v>
      </c>
      <c r="K504">
        <v>3.4509510915026798E-3</v>
      </c>
      <c r="L504" t="s">
        <v>153</v>
      </c>
      <c r="N504" t="s">
        <v>219</v>
      </c>
      <c r="O504" t="s">
        <v>285</v>
      </c>
      <c r="P504">
        <v>8.3294626513720285E-3</v>
      </c>
      <c r="Q504" t="s">
        <v>153</v>
      </c>
      <c r="S504" t="s">
        <v>261</v>
      </c>
      <c r="T504" t="s">
        <v>285</v>
      </c>
      <c r="U504">
        <v>7.5599085767415006E-3</v>
      </c>
      <c r="V504" t="s">
        <v>153</v>
      </c>
    </row>
    <row r="505" spans="9:22" x14ac:dyDescent="0.45">
      <c r="I505" t="s">
        <v>176</v>
      </c>
      <c r="J505" t="s">
        <v>306</v>
      </c>
      <c r="K505">
        <v>0</v>
      </c>
      <c r="L505" t="s">
        <v>153</v>
      </c>
      <c r="N505" t="s">
        <v>219</v>
      </c>
      <c r="O505" t="s">
        <v>306</v>
      </c>
      <c r="P505">
        <v>8.939271906279217E-3</v>
      </c>
      <c r="Q505" t="s">
        <v>153</v>
      </c>
      <c r="S505" t="s">
        <v>261</v>
      </c>
      <c r="T505" t="s">
        <v>306</v>
      </c>
      <c r="U505">
        <v>7.6093883644494749E-3</v>
      </c>
      <c r="V505" t="s">
        <v>153</v>
      </c>
    </row>
    <row r="506" spans="9:22" x14ac:dyDescent="0.45">
      <c r="I506" t="s">
        <v>176</v>
      </c>
      <c r="J506" t="s">
        <v>307</v>
      </c>
      <c r="K506">
        <v>0</v>
      </c>
      <c r="L506" t="s">
        <v>153</v>
      </c>
      <c r="N506" t="s">
        <v>219</v>
      </c>
      <c r="O506" t="s">
        <v>307</v>
      </c>
      <c r="P506">
        <v>3.8159782312174741E-2</v>
      </c>
      <c r="Q506" t="s">
        <v>153</v>
      </c>
      <c r="S506" t="s">
        <v>261</v>
      </c>
      <c r="T506" t="s">
        <v>307</v>
      </c>
      <c r="U506">
        <v>3.8734673580457686E-2</v>
      </c>
      <c r="V506" t="s">
        <v>153</v>
      </c>
    </row>
    <row r="507" spans="9:22" x14ac:dyDescent="0.45">
      <c r="I507" t="s">
        <v>176</v>
      </c>
      <c r="J507" t="s">
        <v>159</v>
      </c>
      <c r="K507">
        <v>3.8799422414234849E-3</v>
      </c>
      <c r="L507" t="s">
        <v>153</v>
      </c>
      <c r="N507" t="s">
        <v>219</v>
      </c>
      <c r="O507" t="s">
        <v>159</v>
      </c>
      <c r="P507">
        <v>7.8027820347281243E-2</v>
      </c>
      <c r="Q507" t="s">
        <v>153</v>
      </c>
      <c r="S507" t="s">
        <v>261</v>
      </c>
      <c r="T507" t="s">
        <v>159</v>
      </c>
      <c r="U507">
        <v>6.9601727744750694E-2</v>
      </c>
      <c r="V507" t="s">
        <v>153</v>
      </c>
    </row>
    <row r="508" spans="9:22" x14ac:dyDescent="0.45">
      <c r="I508" t="s">
        <v>176</v>
      </c>
      <c r="J508" t="s">
        <v>160</v>
      </c>
      <c r="K508">
        <v>1.4465103405026507E-2</v>
      </c>
      <c r="L508" t="s">
        <v>153</v>
      </c>
      <c r="N508" t="s">
        <v>219</v>
      </c>
      <c r="O508" t="s">
        <v>160</v>
      </c>
      <c r="P508">
        <v>1.187594553126935E-2</v>
      </c>
      <c r="Q508" t="s">
        <v>153</v>
      </c>
      <c r="S508" t="s">
        <v>261</v>
      </c>
      <c r="T508" t="s">
        <v>160</v>
      </c>
      <c r="U508">
        <v>1.1568935021336853E-2</v>
      </c>
      <c r="V508" t="s">
        <v>153</v>
      </c>
    </row>
    <row r="509" spans="9:22" x14ac:dyDescent="0.45">
      <c r="I509" t="s">
        <v>176</v>
      </c>
      <c r="J509" t="s">
        <v>161</v>
      </c>
      <c r="K509">
        <v>2.3900132733267087E-2</v>
      </c>
      <c r="L509" t="s">
        <v>153</v>
      </c>
      <c r="N509" t="s">
        <v>219</v>
      </c>
      <c r="O509" t="s">
        <v>161</v>
      </c>
      <c r="P509">
        <v>1.1513269348935186E-2</v>
      </c>
      <c r="Q509" t="s">
        <v>153</v>
      </c>
      <c r="S509" t="s">
        <v>261</v>
      </c>
      <c r="T509" t="s">
        <v>161</v>
      </c>
      <c r="U509">
        <v>1.1566697073638161E-2</v>
      </c>
      <c r="V509" t="s">
        <v>153</v>
      </c>
    </row>
    <row r="510" spans="9:22" x14ac:dyDescent="0.45">
      <c r="I510" t="s">
        <v>176</v>
      </c>
      <c r="J510" t="s">
        <v>286</v>
      </c>
      <c r="K510">
        <v>8.8760563842404425E-2</v>
      </c>
      <c r="L510" t="s">
        <v>153</v>
      </c>
      <c r="N510" t="s">
        <v>219</v>
      </c>
      <c r="O510" t="s">
        <v>286</v>
      </c>
      <c r="P510">
        <v>3.5870845726903737E-2</v>
      </c>
      <c r="Q510" t="s">
        <v>153</v>
      </c>
      <c r="S510" t="s">
        <v>261</v>
      </c>
      <c r="T510" t="s">
        <v>286</v>
      </c>
      <c r="U510">
        <v>3.5001915128022497E-2</v>
      </c>
      <c r="V510" t="s">
        <v>153</v>
      </c>
    </row>
    <row r="511" spans="9:22" x14ac:dyDescent="0.45">
      <c r="I511" t="s">
        <v>176</v>
      </c>
      <c r="J511" t="s">
        <v>287</v>
      </c>
      <c r="K511">
        <v>0.17767005827083285</v>
      </c>
      <c r="L511" t="s">
        <v>153</v>
      </c>
      <c r="N511" t="s">
        <v>219</v>
      </c>
      <c r="O511" t="s">
        <v>287</v>
      </c>
      <c r="P511">
        <v>8.7370045653086356E-2</v>
      </c>
      <c r="Q511" t="s">
        <v>153</v>
      </c>
      <c r="S511" t="s">
        <v>261</v>
      </c>
      <c r="T511" t="s">
        <v>287</v>
      </c>
      <c r="U511">
        <v>7.2698854980017338E-2</v>
      </c>
      <c r="V511" t="s">
        <v>153</v>
      </c>
    </row>
    <row r="512" spans="9:22" x14ac:dyDescent="0.45">
      <c r="I512" t="s">
        <v>176</v>
      </c>
      <c r="J512" t="s">
        <v>288</v>
      </c>
      <c r="K512">
        <v>1.9241471781524459E-2</v>
      </c>
      <c r="L512" t="s">
        <v>153</v>
      </c>
      <c r="N512" t="s">
        <v>219</v>
      </c>
      <c r="O512" t="s">
        <v>288</v>
      </c>
      <c r="P512">
        <v>1.8812097138851222E-2</v>
      </c>
      <c r="Q512" t="s">
        <v>153</v>
      </c>
      <c r="S512" t="s">
        <v>261</v>
      </c>
      <c r="T512" t="s">
        <v>288</v>
      </c>
      <c r="U512">
        <v>1.3252706643311381E-2</v>
      </c>
      <c r="V512" t="s">
        <v>153</v>
      </c>
    </row>
    <row r="513" spans="9:22" x14ac:dyDescent="0.45">
      <c r="I513" t="s">
        <v>176</v>
      </c>
      <c r="J513" t="s">
        <v>308</v>
      </c>
      <c r="K513">
        <v>5.0173989343744764E-3</v>
      </c>
      <c r="L513" t="s">
        <v>153</v>
      </c>
      <c r="N513" t="s">
        <v>219</v>
      </c>
      <c r="O513" t="s">
        <v>308</v>
      </c>
      <c r="P513">
        <v>1.9624106102972858E-2</v>
      </c>
      <c r="Q513" t="s">
        <v>153</v>
      </c>
      <c r="S513" t="s">
        <v>261</v>
      </c>
      <c r="T513" t="s">
        <v>308</v>
      </c>
      <c r="U513">
        <v>1.3228118691607386E-2</v>
      </c>
      <c r="V513" t="s">
        <v>153</v>
      </c>
    </row>
    <row r="514" spans="9:22" x14ac:dyDescent="0.45">
      <c r="I514" t="s">
        <v>176</v>
      </c>
      <c r="J514" t="s">
        <v>309</v>
      </c>
      <c r="K514">
        <v>0</v>
      </c>
      <c r="L514" t="s">
        <v>153</v>
      </c>
      <c r="N514" t="s">
        <v>219</v>
      </c>
      <c r="O514" t="s">
        <v>309</v>
      </c>
      <c r="P514">
        <v>8.5510494983184818E-2</v>
      </c>
      <c r="Q514" t="s">
        <v>153</v>
      </c>
      <c r="S514" t="s">
        <v>261</v>
      </c>
      <c r="T514" t="s">
        <v>309</v>
      </c>
      <c r="U514">
        <v>6.2724638876455199E-2</v>
      </c>
      <c r="V514" t="s">
        <v>153</v>
      </c>
    </row>
    <row r="515" spans="9:22" x14ac:dyDescent="0.45">
      <c r="I515" t="s">
        <v>176</v>
      </c>
      <c r="J515" t="s">
        <v>294</v>
      </c>
      <c r="K515">
        <v>2.8848123750816932E-3</v>
      </c>
      <c r="L515" t="s">
        <v>153</v>
      </c>
      <c r="N515" t="s">
        <v>219</v>
      </c>
      <c r="O515" t="s">
        <v>294</v>
      </c>
      <c r="P515">
        <v>1.4597964454807228E-2</v>
      </c>
      <c r="Q515" t="s">
        <v>153</v>
      </c>
      <c r="S515" t="s">
        <v>261</v>
      </c>
      <c r="T515" t="s">
        <v>294</v>
      </c>
      <c r="U515">
        <v>2.0846939597279828E-2</v>
      </c>
      <c r="V515" t="s">
        <v>153</v>
      </c>
    </row>
    <row r="516" spans="9:22" x14ac:dyDescent="0.45">
      <c r="I516" t="s">
        <v>176</v>
      </c>
      <c r="J516" t="s">
        <v>295</v>
      </c>
      <c r="K516">
        <v>5.191693893154067E-3</v>
      </c>
      <c r="L516" t="s">
        <v>153</v>
      </c>
      <c r="N516" t="s">
        <v>219</v>
      </c>
      <c r="O516" t="s">
        <v>295</v>
      </c>
      <c r="P516">
        <v>2.1115326552980365E-3</v>
      </c>
      <c r="Q516" t="s">
        <v>153</v>
      </c>
      <c r="S516" t="s">
        <v>261</v>
      </c>
      <c r="T516" t="s">
        <v>295</v>
      </c>
      <c r="U516">
        <v>3.426200593950041E-3</v>
      </c>
      <c r="V516" t="s">
        <v>153</v>
      </c>
    </row>
    <row r="517" spans="9:22" x14ac:dyDescent="0.45">
      <c r="I517" t="s">
        <v>176</v>
      </c>
      <c r="J517" t="s">
        <v>296</v>
      </c>
      <c r="K517">
        <v>7.0554028704053976E-3</v>
      </c>
      <c r="L517" t="s">
        <v>153</v>
      </c>
      <c r="N517" t="s">
        <v>219</v>
      </c>
      <c r="O517" t="s">
        <v>296</v>
      </c>
      <c r="P517">
        <v>2.1209387211637712E-3</v>
      </c>
      <c r="Q517" t="s">
        <v>153</v>
      </c>
      <c r="S517" t="s">
        <v>261</v>
      </c>
      <c r="T517" t="s">
        <v>296</v>
      </c>
      <c r="U517">
        <v>3.3726944587305343E-3</v>
      </c>
      <c r="V517" t="s">
        <v>153</v>
      </c>
    </row>
    <row r="518" spans="9:22" x14ac:dyDescent="0.45">
      <c r="I518" t="s">
        <v>176</v>
      </c>
      <c r="J518" t="s">
        <v>297</v>
      </c>
      <c r="K518">
        <v>2.6973328193708589E-2</v>
      </c>
      <c r="L518" t="s">
        <v>153</v>
      </c>
      <c r="N518" t="s">
        <v>219</v>
      </c>
      <c r="O518" t="s">
        <v>297</v>
      </c>
      <c r="P518">
        <v>7.2118311981749228E-3</v>
      </c>
      <c r="Q518" t="s">
        <v>153</v>
      </c>
      <c r="S518" t="s">
        <v>261</v>
      </c>
      <c r="T518" t="s">
        <v>297</v>
      </c>
      <c r="U518">
        <v>1.0211886028429996E-2</v>
      </c>
      <c r="V518" t="s">
        <v>153</v>
      </c>
    </row>
    <row r="519" spans="9:22" x14ac:dyDescent="0.45">
      <c r="I519" t="s">
        <v>176</v>
      </c>
      <c r="J519" t="s">
        <v>298</v>
      </c>
      <c r="K519">
        <v>5.1797508010439815E-2</v>
      </c>
      <c r="L519" t="s">
        <v>153</v>
      </c>
      <c r="N519" t="s">
        <v>219</v>
      </c>
      <c r="O519" t="s">
        <v>298</v>
      </c>
      <c r="P519">
        <v>1.5984951776121203E-2</v>
      </c>
      <c r="Q519" t="s">
        <v>153</v>
      </c>
      <c r="S519" t="s">
        <v>261</v>
      </c>
      <c r="T519" t="s">
        <v>298</v>
      </c>
      <c r="U519">
        <v>2.0827101044713265E-2</v>
      </c>
      <c r="V519" t="s">
        <v>153</v>
      </c>
    </row>
    <row r="520" spans="9:22" x14ac:dyDescent="0.45">
      <c r="I520" t="s">
        <v>176</v>
      </c>
      <c r="J520" t="s">
        <v>299</v>
      </c>
      <c r="K520">
        <v>5.552943319805383E-3</v>
      </c>
      <c r="L520" t="s">
        <v>153</v>
      </c>
      <c r="N520" t="s">
        <v>219</v>
      </c>
      <c r="O520" t="s">
        <v>299</v>
      </c>
      <c r="P520">
        <v>3.0988253885476987E-3</v>
      </c>
      <c r="Q520" t="s">
        <v>153</v>
      </c>
      <c r="S520" t="s">
        <v>261</v>
      </c>
      <c r="T520" t="s">
        <v>299</v>
      </c>
      <c r="U520">
        <v>3.9038914875078818E-3</v>
      </c>
      <c r="V520" t="s">
        <v>153</v>
      </c>
    </row>
    <row r="521" spans="9:22" x14ac:dyDescent="0.45">
      <c r="I521" t="s">
        <v>176</v>
      </c>
      <c r="J521" t="s">
        <v>310</v>
      </c>
      <c r="K521">
        <v>3.7159392203362663E-3</v>
      </c>
      <c r="L521" t="s">
        <v>153</v>
      </c>
      <c r="N521" t="s">
        <v>219</v>
      </c>
      <c r="O521" t="s">
        <v>310</v>
      </c>
      <c r="P521">
        <v>3.0271385640959231E-3</v>
      </c>
      <c r="Q521" t="s">
        <v>153</v>
      </c>
      <c r="S521" t="s">
        <v>261</v>
      </c>
      <c r="T521" t="s">
        <v>310</v>
      </c>
      <c r="U521">
        <v>3.9016032563082993E-3</v>
      </c>
      <c r="V521" t="s">
        <v>153</v>
      </c>
    </row>
    <row r="522" spans="9:22" x14ac:dyDescent="0.45">
      <c r="I522" t="s">
        <v>176</v>
      </c>
      <c r="J522" t="s">
        <v>311</v>
      </c>
      <c r="K522">
        <v>0</v>
      </c>
      <c r="L522" t="s">
        <v>153</v>
      </c>
      <c r="N522" t="s">
        <v>219</v>
      </c>
      <c r="O522" t="s">
        <v>311</v>
      </c>
      <c r="P522">
        <v>1.4011321684082909E-2</v>
      </c>
      <c r="Q522" t="s">
        <v>153</v>
      </c>
      <c r="S522" t="s">
        <v>261</v>
      </c>
      <c r="T522" t="s">
        <v>311</v>
      </c>
      <c r="U522">
        <v>1.8842711321979354E-2</v>
      </c>
      <c r="V522" t="s">
        <v>153</v>
      </c>
    </row>
    <row r="523" spans="9:22" x14ac:dyDescent="0.45">
      <c r="I523" t="s">
        <v>177</v>
      </c>
      <c r="J523" t="s">
        <v>152</v>
      </c>
      <c r="K523">
        <v>2.0902103641522375E-4</v>
      </c>
      <c r="L523" t="s">
        <v>153</v>
      </c>
      <c r="N523" t="s">
        <v>220</v>
      </c>
      <c r="O523" t="s">
        <v>152</v>
      </c>
      <c r="P523">
        <v>9.6005204998190888E-2</v>
      </c>
      <c r="Q523" t="s">
        <v>153</v>
      </c>
      <c r="S523" t="s">
        <v>262</v>
      </c>
      <c r="T523" t="s">
        <v>152</v>
      </c>
      <c r="U523">
        <v>0.10736334332544252</v>
      </c>
      <c r="V523" t="s">
        <v>153</v>
      </c>
    </row>
    <row r="524" spans="9:22" x14ac:dyDescent="0.45">
      <c r="I524" t="s">
        <v>177</v>
      </c>
      <c r="J524" t="s">
        <v>154</v>
      </c>
      <c r="K524">
        <v>1.159687463177606E-2</v>
      </c>
      <c r="L524" t="s">
        <v>153</v>
      </c>
      <c r="N524" t="s">
        <v>220</v>
      </c>
      <c r="O524" t="s">
        <v>154</v>
      </c>
      <c r="P524">
        <v>1.8181256821231871E-2</v>
      </c>
      <c r="Q524" t="s">
        <v>153</v>
      </c>
      <c r="S524" t="s">
        <v>262</v>
      </c>
      <c r="T524" t="s">
        <v>154</v>
      </c>
      <c r="U524">
        <v>1.7577532212319752E-2</v>
      </c>
      <c r="V524" t="s">
        <v>153</v>
      </c>
    </row>
    <row r="525" spans="9:22" x14ac:dyDescent="0.45">
      <c r="I525" t="s">
        <v>177</v>
      </c>
      <c r="J525" t="s">
        <v>155</v>
      </c>
      <c r="K525">
        <v>2.8968773428635606E-2</v>
      </c>
      <c r="L525" t="s">
        <v>153</v>
      </c>
      <c r="N525" t="s">
        <v>220</v>
      </c>
      <c r="O525" t="s">
        <v>155</v>
      </c>
      <c r="P525">
        <v>1.8033189177896841E-2</v>
      </c>
      <c r="Q525" t="s">
        <v>153</v>
      </c>
      <c r="S525" t="s">
        <v>262</v>
      </c>
      <c r="T525" t="s">
        <v>155</v>
      </c>
      <c r="U525">
        <v>1.7607568353012241E-2</v>
      </c>
      <c r="V525" t="s">
        <v>153</v>
      </c>
    </row>
    <row r="526" spans="9:22" x14ac:dyDescent="0.45">
      <c r="I526" t="s">
        <v>177</v>
      </c>
      <c r="J526" t="s">
        <v>280</v>
      </c>
      <c r="K526">
        <v>0.11924933390134031</v>
      </c>
      <c r="L526" t="s">
        <v>153</v>
      </c>
      <c r="N526" t="s">
        <v>220</v>
      </c>
      <c r="O526" t="s">
        <v>280</v>
      </c>
      <c r="P526">
        <v>4.7486496227082627E-2</v>
      </c>
      <c r="Q526" t="s">
        <v>153</v>
      </c>
      <c r="S526" t="s">
        <v>262</v>
      </c>
      <c r="T526" t="s">
        <v>280</v>
      </c>
      <c r="U526">
        <v>5.2516617045640139E-2</v>
      </c>
      <c r="V526" t="s">
        <v>153</v>
      </c>
    </row>
    <row r="527" spans="9:22" x14ac:dyDescent="0.45">
      <c r="I527" t="s">
        <v>177</v>
      </c>
      <c r="J527" t="s">
        <v>281</v>
      </c>
      <c r="K527">
        <v>0.25319749995548957</v>
      </c>
      <c r="L527" t="s">
        <v>153</v>
      </c>
      <c r="N527" t="s">
        <v>220</v>
      </c>
      <c r="O527" t="s">
        <v>281</v>
      </c>
      <c r="P527">
        <v>0.12932428461534537</v>
      </c>
      <c r="Q527" t="s">
        <v>153</v>
      </c>
      <c r="S527" t="s">
        <v>262</v>
      </c>
      <c r="T527" t="s">
        <v>281</v>
      </c>
      <c r="U527">
        <v>0.10964208059045767</v>
      </c>
      <c r="V527" t="s">
        <v>153</v>
      </c>
    </row>
    <row r="528" spans="9:22" x14ac:dyDescent="0.45">
      <c r="I528" t="s">
        <v>177</v>
      </c>
      <c r="J528" t="s">
        <v>282</v>
      </c>
      <c r="K528">
        <v>2.6832166786692882E-2</v>
      </c>
      <c r="L528" t="s">
        <v>153</v>
      </c>
      <c r="N528" t="s">
        <v>220</v>
      </c>
      <c r="O528" t="s">
        <v>282</v>
      </c>
      <c r="P528">
        <v>2.5460495075131283E-2</v>
      </c>
      <c r="Q528" t="s">
        <v>153</v>
      </c>
      <c r="S528" t="s">
        <v>262</v>
      </c>
      <c r="T528" t="s">
        <v>282</v>
      </c>
      <c r="U528">
        <v>1.8549889239096153E-2</v>
      </c>
      <c r="V528" t="s">
        <v>153</v>
      </c>
    </row>
    <row r="529" spans="9:22" x14ac:dyDescent="0.45">
      <c r="I529" t="s">
        <v>177</v>
      </c>
      <c r="J529" t="s">
        <v>304</v>
      </c>
      <c r="K529">
        <v>1.4542044636619799E-2</v>
      </c>
      <c r="L529" t="s">
        <v>153</v>
      </c>
      <c r="N529" t="s">
        <v>220</v>
      </c>
      <c r="O529" t="s">
        <v>304</v>
      </c>
      <c r="P529">
        <v>2.2644358704145873E-2</v>
      </c>
      <c r="Q529" t="s">
        <v>153</v>
      </c>
      <c r="S529" t="s">
        <v>262</v>
      </c>
      <c r="T529" t="s">
        <v>304</v>
      </c>
      <c r="U529">
        <v>1.8320615902846459E-2</v>
      </c>
      <c r="V529" t="s">
        <v>153</v>
      </c>
    </row>
    <row r="530" spans="9:22" x14ac:dyDescent="0.45">
      <c r="I530" t="s">
        <v>177</v>
      </c>
      <c r="J530" t="s">
        <v>305</v>
      </c>
      <c r="K530">
        <v>1.256734194692893E-4</v>
      </c>
      <c r="L530" t="s">
        <v>153</v>
      </c>
      <c r="N530" t="s">
        <v>220</v>
      </c>
      <c r="O530" t="s">
        <v>305</v>
      </c>
      <c r="P530">
        <v>7.7227180701148701E-2</v>
      </c>
      <c r="Q530" t="s">
        <v>153</v>
      </c>
      <c r="S530" t="s">
        <v>262</v>
      </c>
      <c r="T530" t="s">
        <v>305</v>
      </c>
      <c r="U530">
        <v>9.0622355930441725E-2</v>
      </c>
      <c r="V530" t="s">
        <v>153</v>
      </c>
    </row>
    <row r="531" spans="9:22" x14ac:dyDescent="0.45">
      <c r="I531" t="s">
        <v>177</v>
      </c>
      <c r="J531" t="s">
        <v>156</v>
      </c>
      <c r="K531">
        <v>0</v>
      </c>
      <c r="L531" t="s">
        <v>153</v>
      </c>
      <c r="N531" t="s">
        <v>220</v>
      </c>
      <c r="O531" t="s">
        <v>156</v>
      </c>
      <c r="P531">
        <v>4.3018008758571896E-2</v>
      </c>
      <c r="Q531" t="s">
        <v>153</v>
      </c>
      <c r="S531" t="s">
        <v>262</v>
      </c>
      <c r="T531" t="s">
        <v>156</v>
      </c>
      <c r="U531">
        <v>4.9198357525885576E-2</v>
      </c>
      <c r="V531" t="s">
        <v>153</v>
      </c>
    </row>
    <row r="532" spans="9:22" x14ac:dyDescent="0.45">
      <c r="I532" t="s">
        <v>177</v>
      </c>
      <c r="J532" t="s">
        <v>157</v>
      </c>
      <c r="K532">
        <v>0</v>
      </c>
      <c r="L532" t="s">
        <v>153</v>
      </c>
      <c r="N532" t="s">
        <v>220</v>
      </c>
      <c r="O532" t="s">
        <v>157</v>
      </c>
      <c r="P532">
        <v>8.8884190523191384E-3</v>
      </c>
      <c r="Q532" t="s">
        <v>153</v>
      </c>
      <c r="S532" t="s">
        <v>262</v>
      </c>
      <c r="T532" t="s">
        <v>157</v>
      </c>
      <c r="U532">
        <v>8.3492434442855069E-3</v>
      </c>
      <c r="V532" t="s">
        <v>153</v>
      </c>
    </row>
    <row r="533" spans="9:22" x14ac:dyDescent="0.45">
      <c r="I533" t="s">
        <v>177</v>
      </c>
      <c r="J533" t="s">
        <v>158</v>
      </c>
      <c r="K533">
        <v>4.2411395733398674E-3</v>
      </c>
      <c r="L533" t="s">
        <v>153</v>
      </c>
      <c r="N533" t="s">
        <v>220</v>
      </c>
      <c r="O533" t="s">
        <v>158</v>
      </c>
      <c r="P533">
        <v>9.2301360870104526E-3</v>
      </c>
      <c r="Q533" t="s">
        <v>153</v>
      </c>
      <c r="S533" t="s">
        <v>262</v>
      </c>
      <c r="T533" t="s">
        <v>158</v>
      </c>
      <c r="U533">
        <v>8.2851668334557559E-3</v>
      </c>
      <c r="V533" t="s">
        <v>153</v>
      </c>
    </row>
    <row r="534" spans="9:22" x14ac:dyDescent="0.45">
      <c r="I534" t="s">
        <v>177</v>
      </c>
      <c r="J534" t="s">
        <v>283</v>
      </c>
      <c r="K534">
        <v>3.0018673590938929E-2</v>
      </c>
      <c r="L534" t="s">
        <v>153</v>
      </c>
      <c r="N534" t="s">
        <v>220</v>
      </c>
      <c r="O534" t="s">
        <v>283</v>
      </c>
      <c r="P534">
        <v>2.4252704747248187E-2</v>
      </c>
      <c r="Q534" t="s">
        <v>153</v>
      </c>
      <c r="S534" t="s">
        <v>262</v>
      </c>
      <c r="T534" t="s">
        <v>283</v>
      </c>
      <c r="U534">
        <v>2.4528247882240374E-2</v>
      </c>
      <c r="V534" t="s">
        <v>153</v>
      </c>
    </row>
    <row r="535" spans="9:22" x14ac:dyDescent="0.45">
      <c r="I535" t="s">
        <v>177</v>
      </c>
      <c r="J535" t="s">
        <v>284</v>
      </c>
      <c r="K535">
        <v>6.6835601553925469E-2</v>
      </c>
      <c r="L535" t="s">
        <v>153</v>
      </c>
      <c r="N535" t="s">
        <v>220</v>
      </c>
      <c r="O535" t="s">
        <v>284</v>
      </c>
      <c r="P535">
        <v>4.9391576955462174E-2</v>
      </c>
      <c r="Q535" t="s">
        <v>153</v>
      </c>
      <c r="S535" t="s">
        <v>262</v>
      </c>
      <c r="T535" t="s">
        <v>284</v>
      </c>
      <c r="U535">
        <v>4.5183832758447708E-2</v>
      </c>
      <c r="V535" t="s">
        <v>153</v>
      </c>
    </row>
    <row r="536" spans="9:22" x14ac:dyDescent="0.45">
      <c r="I536" t="s">
        <v>177</v>
      </c>
      <c r="J536" t="s">
        <v>285</v>
      </c>
      <c r="K536">
        <v>4.5703747749145148E-3</v>
      </c>
      <c r="L536" t="s">
        <v>153</v>
      </c>
      <c r="N536" t="s">
        <v>220</v>
      </c>
      <c r="O536" t="s">
        <v>285</v>
      </c>
      <c r="P536">
        <v>7.8220450327034768E-3</v>
      </c>
      <c r="Q536" t="s">
        <v>153</v>
      </c>
      <c r="S536" t="s">
        <v>262</v>
      </c>
      <c r="T536" t="s">
        <v>285</v>
      </c>
      <c r="U536">
        <v>7.3024240375997845E-3</v>
      </c>
      <c r="V536" t="s">
        <v>153</v>
      </c>
    </row>
    <row r="537" spans="9:22" x14ac:dyDescent="0.45">
      <c r="I537" t="s">
        <v>177</v>
      </c>
      <c r="J537" t="s">
        <v>306</v>
      </c>
      <c r="K537">
        <v>0</v>
      </c>
      <c r="L537" t="s">
        <v>153</v>
      </c>
      <c r="N537" t="s">
        <v>220</v>
      </c>
      <c r="O537" t="s">
        <v>306</v>
      </c>
      <c r="P537">
        <v>5.9074668328778857E-3</v>
      </c>
      <c r="Q537" t="s">
        <v>153</v>
      </c>
      <c r="S537" t="s">
        <v>262</v>
      </c>
      <c r="T537" t="s">
        <v>306</v>
      </c>
      <c r="U537">
        <v>7.5038648163340983E-3</v>
      </c>
      <c r="V537" t="s">
        <v>153</v>
      </c>
    </row>
    <row r="538" spans="9:22" x14ac:dyDescent="0.45">
      <c r="I538" t="s">
        <v>177</v>
      </c>
      <c r="J538" t="s">
        <v>307</v>
      </c>
      <c r="K538">
        <v>0</v>
      </c>
      <c r="L538" t="s">
        <v>153</v>
      </c>
      <c r="N538" t="s">
        <v>220</v>
      </c>
      <c r="O538" t="s">
        <v>307</v>
      </c>
      <c r="P538">
        <v>1.846830238981715E-2</v>
      </c>
      <c r="Q538" t="s">
        <v>153</v>
      </c>
      <c r="S538" t="s">
        <v>262</v>
      </c>
      <c r="T538" t="s">
        <v>307</v>
      </c>
      <c r="U538">
        <v>4.0324413552216581E-2</v>
      </c>
      <c r="V538" t="s">
        <v>153</v>
      </c>
    </row>
    <row r="539" spans="9:22" x14ac:dyDescent="0.45">
      <c r="I539" t="s">
        <v>177</v>
      </c>
      <c r="J539" t="s">
        <v>159</v>
      </c>
      <c r="K539">
        <v>3.0727037328790651E-3</v>
      </c>
      <c r="L539" t="s">
        <v>153</v>
      </c>
      <c r="N539" t="s">
        <v>220</v>
      </c>
      <c r="O539" t="s">
        <v>159</v>
      </c>
      <c r="P539">
        <v>6.3794554751011617E-2</v>
      </c>
      <c r="Q539" t="s">
        <v>153</v>
      </c>
      <c r="S539" t="s">
        <v>262</v>
      </c>
      <c r="T539" t="s">
        <v>159</v>
      </c>
      <c r="U539">
        <v>7.7368583195169524E-2</v>
      </c>
      <c r="V539" t="s">
        <v>153</v>
      </c>
    </row>
    <row r="540" spans="9:22" x14ac:dyDescent="0.45">
      <c r="I540" t="s">
        <v>177</v>
      </c>
      <c r="J540" t="s">
        <v>160</v>
      </c>
      <c r="K540">
        <v>1.2829219137195015E-2</v>
      </c>
      <c r="L540" t="s">
        <v>153</v>
      </c>
      <c r="N540" t="s">
        <v>220</v>
      </c>
      <c r="O540" t="s">
        <v>160</v>
      </c>
      <c r="P540">
        <v>1.1302145153570598E-2</v>
      </c>
      <c r="Q540" t="s">
        <v>153</v>
      </c>
      <c r="S540" t="s">
        <v>262</v>
      </c>
      <c r="T540" t="s">
        <v>160</v>
      </c>
      <c r="U540">
        <v>1.2653746966336008E-2</v>
      </c>
      <c r="V540" t="s">
        <v>153</v>
      </c>
    </row>
    <row r="541" spans="9:22" x14ac:dyDescent="0.45">
      <c r="I541" t="s">
        <v>177</v>
      </c>
      <c r="J541" t="s">
        <v>161</v>
      </c>
      <c r="K541">
        <v>2.305263283944586E-2</v>
      </c>
      <c r="L541" t="s">
        <v>153</v>
      </c>
      <c r="N541" t="s">
        <v>220</v>
      </c>
      <c r="O541" t="s">
        <v>161</v>
      </c>
      <c r="P541">
        <v>1.1898514117137075E-2</v>
      </c>
      <c r="Q541" t="s">
        <v>153</v>
      </c>
      <c r="S541" t="s">
        <v>262</v>
      </c>
      <c r="T541" t="s">
        <v>161</v>
      </c>
      <c r="U541">
        <v>1.2450440342071142E-2</v>
      </c>
      <c r="V541" t="s">
        <v>153</v>
      </c>
    </row>
    <row r="542" spans="9:22" x14ac:dyDescent="0.45">
      <c r="I542" t="s">
        <v>177</v>
      </c>
      <c r="J542" t="s">
        <v>286</v>
      </c>
      <c r="K542">
        <v>8.7611875095122874E-2</v>
      </c>
      <c r="L542" t="s">
        <v>153</v>
      </c>
      <c r="N542" t="s">
        <v>220</v>
      </c>
      <c r="O542" t="s">
        <v>286</v>
      </c>
      <c r="P542">
        <v>3.684623569072687E-2</v>
      </c>
      <c r="Q542" t="s">
        <v>153</v>
      </c>
      <c r="S542" t="s">
        <v>262</v>
      </c>
      <c r="T542" t="s">
        <v>286</v>
      </c>
      <c r="U542">
        <v>3.735333352109451E-2</v>
      </c>
      <c r="V542" t="s">
        <v>153</v>
      </c>
    </row>
    <row r="543" spans="9:22" x14ac:dyDescent="0.45">
      <c r="I543" t="s">
        <v>177</v>
      </c>
      <c r="J543" t="s">
        <v>287</v>
      </c>
      <c r="K543">
        <v>0.1792006594336957</v>
      </c>
      <c r="L543" t="s">
        <v>153</v>
      </c>
      <c r="N543" t="s">
        <v>220</v>
      </c>
      <c r="O543" t="s">
        <v>287</v>
      </c>
      <c r="P543">
        <v>0.12442797734734344</v>
      </c>
      <c r="Q543" t="s">
        <v>153</v>
      </c>
      <c r="S543" t="s">
        <v>262</v>
      </c>
      <c r="T543" t="s">
        <v>287</v>
      </c>
      <c r="U543">
        <v>7.674692096606818E-2</v>
      </c>
      <c r="V543" t="s">
        <v>153</v>
      </c>
    </row>
    <row r="544" spans="9:22" x14ac:dyDescent="0.45">
      <c r="I544" t="s">
        <v>177</v>
      </c>
      <c r="J544" t="s">
        <v>288</v>
      </c>
      <c r="K544">
        <v>2.0788763847453068E-2</v>
      </c>
      <c r="L544" t="s">
        <v>153</v>
      </c>
      <c r="N544" t="s">
        <v>220</v>
      </c>
      <c r="O544" t="s">
        <v>288</v>
      </c>
      <c r="P544">
        <v>2.5889250338742058E-2</v>
      </c>
      <c r="Q544" t="s">
        <v>153</v>
      </c>
      <c r="S544" t="s">
        <v>262</v>
      </c>
      <c r="T544" t="s">
        <v>288</v>
      </c>
      <c r="U544">
        <v>1.3147685043908999E-2</v>
      </c>
      <c r="V544" t="s">
        <v>153</v>
      </c>
    </row>
    <row r="545" spans="9:22" x14ac:dyDescent="0.45">
      <c r="I545" t="s">
        <v>177</v>
      </c>
      <c r="J545" t="s">
        <v>308</v>
      </c>
      <c r="K545">
        <v>6.4364415143902121E-3</v>
      </c>
      <c r="L545" t="s">
        <v>153</v>
      </c>
      <c r="N545" t="s">
        <v>220</v>
      </c>
      <c r="O545" t="s">
        <v>308</v>
      </c>
      <c r="P545">
        <v>2.1409485513168802E-2</v>
      </c>
      <c r="Q545" t="s">
        <v>153</v>
      </c>
      <c r="S545" t="s">
        <v>262</v>
      </c>
      <c r="T545" t="s">
        <v>308</v>
      </c>
      <c r="U545">
        <v>1.3031315234146912E-2</v>
      </c>
      <c r="V545" t="s">
        <v>153</v>
      </c>
    </row>
    <row r="546" spans="9:22" x14ac:dyDescent="0.45">
      <c r="I546" t="s">
        <v>177</v>
      </c>
      <c r="J546" t="s">
        <v>309</v>
      </c>
      <c r="K546">
        <v>0</v>
      </c>
      <c r="L546" t="s">
        <v>153</v>
      </c>
      <c r="N546" t="s">
        <v>220</v>
      </c>
      <c r="O546" t="s">
        <v>309</v>
      </c>
      <c r="P546">
        <v>5.6984597094766089E-2</v>
      </c>
      <c r="Q546" t="s">
        <v>153</v>
      </c>
      <c r="S546" t="s">
        <v>262</v>
      </c>
      <c r="T546" t="s">
        <v>309</v>
      </c>
      <c r="U546">
        <v>6.3564278886325515E-2</v>
      </c>
      <c r="V546" t="s">
        <v>153</v>
      </c>
    </row>
    <row r="547" spans="9:22" x14ac:dyDescent="0.45">
      <c r="I547" t="s">
        <v>177</v>
      </c>
      <c r="J547" t="s">
        <v>294</v>
      </c>
      <c r="K547">
        <v>2.8429873810600498E-3</v>
      </c>
      <c r="L547" t="s">
        <v>153</v>
      </c>
      <c r="N547" t="s">
        <v>220</v>
      </c>
      <c r="O547" t="s">
        <v>294</v>
      </c>
      <c r="P547">
        <v>4.811070464717679E-3</v>
      </c>
      <c r="Q547" t="s">
        <v>153</v>
      </c>
      <c r="S547" t="s">
        <v>262</v>
      </c>
      <c r="T547" t="s">
        <v>294</v>
      </c>
      <c r="U547">
        <v>1.6807145256966291E-2</v>
      </c>
      <c r="V547" t="s">
        <v>153</v>
      </c>
    </row>
    <row r="548" spans="9:22" x14ac:dyDescent="0.45">
      <c r="I548" t="s">
        <v>177</v>
      </c>
      <c r="J548" t="s">
        <v>295</v>
      </c>
      <c r="K548">
        <v>5.1262666163348399E-3</v>
      </c>
      <c r="L548" t="s">
        <v>153</v>
      </c>
      <c r="N548" t="s">
        <v>220</v>
      </c>
      <c r="O548" t="s">
        <v>295</v>
      </c>
      <c r="P548">
        <v>6.5609300855226454E-4</v>
      </c>
      <c r="Q548" t="s">
        <v>153</v>
      </c>
      <c r="S548" t="s">
        <v>262</v>
      </c>
      <c r="T548" t="s">
        <v>295</v>
      </c>
      <c r="U548">
        <v>2.8401678829068902E-3</v>
      </c>
      <c r="V548" t="s">
        <v>153</v>
      </c>
    </row>
    <row r="549" spans="9:22" x14ac:dyDescent="0.45">
      <c r="I549" t="s">
        <v>177</v>
      </c>
      <c r="J549" t="s">
        <v>296</v>
      </c>
      <c r="K549">
        <v>7.1974198291352258E-3</v>
      </c>
      <c r="L549" t="s">
        <v>153</v>
      </c>
      <c r="N549" t="s">
        <v>220</v>
      </c>
      <c r="O549" t="s">
        <v>296</v>
      </c>
      <c r="P549">
        <v>6.2194368106434556E-4</v>
      </c>
      <c r="Q549" t="s">
        <v>153</v>
      </c>
      <c r="S549" t="s">
        <v>262</v>
      </c>
      <c r="T549" t="s">
        <v>296</v>
      </c>
      <c r="U549">
        <v>2.8331407180130245E-3</v>
      </c>
      <c r="V549" t="s">
        <v>153</v>
      </c>
    </row>
    <row r="550" spans="9:22" x14ac:dyDescent="0.45">
      <c r="I550" t="s">
        <v>177</v>
      </c>
      <c r="J550" t="s">
        <v>297</v>
      </c>
      <c r="K550">
        <v>2.8050706548675274E-2</v>
      </c>
      <c r="L550" t="s">
        <v>153</v>
      </c>
      <c r="N550" t="s">
        <v>220</v>
      </c>
      <c r="O550" t="s">
        <v>297</v>
      </c>
      <c r="P550">
        <v>2.6971735710135348E-3</v>
      </c>
      <c r="Q550" t="s">
        <v>153</v>
      </c>
      <c r="S550" t="s">
        <v>262</v>
      </c>
      <c r="T550" t="s">
        <v>297</v>
      </c>
      <c r="U550">
        <v>8.8237047161154082E-3</v>
      </c>
      <c r="V550" t="s">
        <v>153</v>
      </c>
    </row>
    <row r="551" spans="9:22" x14ac:dyDescent="0.45">
      <c r="I551" t="s">
        <v>177</v>
      </c>
      <c r="J551" t="s">
        <v>298</v>
      </c>
      <c r="K551">
        <v>5.3385555489861979E-2</v>
      </c>
      <c r="L551" t="s">
        <v>153</v>
      </c>
      <c r="N551" t="s">
        <v>220</v>
      </c>
      <c r="O551" t="s">
        <v>298</v>
      </c>
      <c r="P551">
        <v>1.9853340388810391E-2</v>
      </c>
      <c r="Q551" t="s">
        <v>153</v>
      </c>
      <c r="S551" t="s">
        <v>262</v>
      </c>
      <c r="T551" t="s">
        <v>298</v>
      </c>
      <c r="U551">
        <v>1.9228250163236382E-2</v>
      </c>
      <c r="V551" t="s">
        <v>153</v>
      </c>
    </row>
    <row r="552" spans="9:22" x14ac:dyDescent="0.45">
      <c r="I552" t="s">
        <v>177</v>
      </c>
      <c r="J552" t="s">
        <v>299</v>
      </c>
      <c r="K552">
        <v>5.8109297133633313E-3</v>
      </c>
      <c r="L552" t="s">
        <v>153</v>
      </c>
      <c r="N552" t="s">
        <v>220</v>
      </c>
      <c r="O552" t="s">
        <v>299</v>
      </c>
      <c r="P552">
        <v>4.6353241593753355E-3</v>
      </c>
      <c r="Q552" t="s">
        <v>153</v>
      </c>
      <c r="S552" t="s">
        <v>262</v>
      </c>
      <c r="T552" t="s">
        <v>299</v>
      </c>
      <c r="U552">
        <v>3.2309332558491592E-3</v>
      </c>
      <c r="V552" t="s">
        <v>153</v>
      </c>
    </row>
    <row r="553" spans="9:22" x14ac:dyDescent="0.45">
      <c r="I553" t="s">
        <v>177</v>
      </c>
      <c r="J553" t="s">
        <v>310</v>
      </c>
      <c r="K553">
        <v>4.2066615318319582E-3</v>
      </c>
      <c r="L553" t="s">
        <v>153</v>
      </c>
      <c r="N553" t="s">
        <v>220</v>
      </c>
      <c r="O553" t="s">
        <v>310</v>
      </c>
      <c r="P553">
        <v>3.8282832751328115E-3</v>
      </c>
      <c r="Q553" t="s">
        <v>153</v>
      </c>
      <c r="S553" t="s">
        <v>262</v>
      </c>
      <c r="T553" t="s">
        <v>310</v>
      </c>
      <c r="U553">
        <v>3.1087733792382966E-3</v>
      </c>
      <c r="V553" t="s">
        <v>153</v>
      </c>
    </row>
    <row r="554" spans="9:22" x14ac:dyDescent="0.45">
      <c r="I554" t="s">
        <v>177</v>
      </c>
      <c r="J554" t="s">
        <v>311</v>
      </c>
      <c r="K554">
        <v>0</v>
      </c>
      <c r="L554" t="s">
        <v>153</v>
      </c>
      <c r="N554" t="s">
        <v>220</v>
      </c>
      <c r="O554" t="s">
        <v>311</v>
      </c>
      <c r="P554">
        <v>9.0028852686827639E-3</v>
      </c>
      <c r="Q554" t="s">
        <v>153</v>
      </c>
      <c r="S554" t="s">
        <v>262</v>
      </c>
      <c r="T554" t="s">
        <v>311</v>
      </c>
      <c r="U554">
        <v>1.393602702283339E-2</v>
      </c>
      <c r="V554" t="s">
        <v>153</v>
      </c>
    </row>
    <row r="555" spans="9:22" x14ac:dyDescent="0.45">
      <c r="I555" t="s">
        <v>178</v>
      </c>
      <c r="J555" t="s">
        <v>152</v>
      </c>
      <c r="K555">
        <v>0</v>
      </c>
      <c r="L555" t="s">
        <v>153</v>
      </c>
      <c r="N555" t="s">
        <v>221</v>
      </c>
      <c r="O555" t="s">
        <v>152</v>
      </c>
      <c r="P555">
        <v>0.10083788460461161</v>
      </c>
      <c r="Q555" t="s">
        <v>153</v>
      </c>
      <c r="S555" t="s">
        <v>263</v>
      </c>
      <c r="T555" t="s">
        <v>152</v>
      </c>
      <c r="U555">
        <v>0.10220764232043197</v>
      </c>
      <c r="V555" t="s">
        <v>153</v>
      </c>
    </row>
    <row r="556" spans="9:22" x14ac:dyDescent="0.45">
      <c r="I556" t="s">
        <v>178</v>
      </c>
      <c r="J556" t="s">
        <v>154</v>
      </c>
      <c r="K556">
        <v>6.9971203820154244E-3</v>
      </c>
      <c r="L556" t="s">
        <v>153</v>
      </c>
      <c r="N556" t="s">
        <v>221</v>
      </c>
      <c r="O556" t="s">
        <v>154</v>
      </c>
      <c r="P556">
        <v>1.6034905777897682E-2</v>
      </c>
      <c r="Q556" t="s">
        <v>153</v>
      </c>
      <c r="S556" t="s">
        <v>263</v>
      </c>
      <c r="T556" t="s">
        <v>154</v>
      </c>
      <c r="U556">
        <v>1.6708954217574352E-2</v>
      </c>
      <c r="V556" t="s">
        <v>153</v>
      </c>
    </row>
    <row r="557" spans="9:22" x14ac:dyDescent="0.45">
      <c r="I557" t="s">
        <v>178</v>
      </c>
      <c r="J557" t="s">
        <v>155</v>
      </c>
      <c r="K557">
        <v>2.205821604030609E-2</v>
      </c>
      <c r="L557" t="s">
        <v>153</v>
      </c>
      <c r="N557" t="s">
        <v>221</v>
      </c>
      <c r="O557" t="s">
        <v>155</v>
      </c>
      <c r="P557">
        <v>1.5919714906298024E-2</v>
      </c>
      <c r="Q557" t="s">
        <v>153</v>
      </c>
      <c r="S557" t="s">
        <v>263</v>
      </c>
      <c r="T557" t="s">
        <v>155</v>
      </c>
      <c r="U557">
        <v>1.6815385465173523E-2</v>
      </c>
      <c r="V557" t="s">
        <v>153</v>
      </c>
    </row>
    <row r="558" spans="9:22" x14ac:dyDescent="0.45">
      <c r="I558" t="s">
        <v>178</v>
      </c>
      <c r="J558" t="s">
        <v>280</v>
      </c>
      <c r="K558">
        <v>0.11263193961368753</v>
      </c>
      <c r="L558" t="s">
        <v>153</v>
      </c>
      <c r="N558" t="s">
        <v>221</v>
      </c>
      <c r="O558" t="s">
        <v>280</v>
      </c>
      <c r="P558">
        <v>4.8713585205453387E-2</v>
      </c>
      <c r="Q558" t="s">
        <v>153</v>
      </c>
      <c r="S558" t="s">
        <v>263</v>
      </c>
      <c r="T558" t="s">
        <v>280</v>
      </c>
      <c r="U558">
        <v>5.1579396279144762E-2</v>
      </c>
      <c r="V558" t="s">
        <v>153</v>
      </c>
    </row>
    <row r="559" spans="9:22" x14ac:dyDescent="0.45">
      <c r="I559" t="s">
        <v>178</v>
      </c>
      <c r="J559" t="s">
        <v>281</v>
      </c>
      <c r="K559">
        <v>0.26081216478652497</v>
      </c>
      <c r="L559" t="s">
        <v>153</v>
      </c>
      <c r="N559" t="s">
        <v>221</v>
      </c>
      <c r="O559" t="s">
        <v>281</v>
      </c>
      <c r="P559">
        <v>0.11940884266817467</v>
      </c>
      <c r="Q559" t="s">
        <v>153</v>
      </c>
      <c r="S559" t="s">
        <v>263</v>
      </c>
      <c r="T559" t="s">
        <v>281</v>
      </c>
      <c r="U559">
        <v>0.11443733975946041</v>
      </c>
      <c r="V559" t="s">
        <v>153</v>
      </c>
    </row>
    <row r="560" spans="9:22" x14ac:dyDescent="0.45">
      <c r="I560" t="s">
        <v>178</v>
      </c>
      <c r="J560" t="s">
        <v>282</v>
      </c>
      <c r="K560">
        <v>3.2857332007494945E-2</v>
      </c>
      <c r="L560" t="s">
        <v>153</v>
      </c>
      <c r="N560" t="s">
        <v>221</v>
      </c>
      <c r="O560" t="s">
        <v>282</v>
      </c>
      <c r="P560">
        <v>2.3048043413853653E-2</v>
      </c>
      <c r="Q560" t="s">
        <v>153</v>
      </c>
      <c r="S560" t="s">
        <v>263</v>
      </c>
      <c r="T560" t="s">
        <v>282</v>
      </c>
      <c r="U560">
        <v>2.0375828781427786E-2</v>
      </c>
      <c r="V560" t="s">
        <v>153</v>
      </c>
    </row>
    <row r="561" spans="9:22" x14ac:dyDescent="0.45">
      <c r="I561" t="s">
        <v>178</v>
      </c>
      <c r="J561" t="s">
        <v>304</v>
      </c>
      <c r="K561">
        <v>1.8198174302930862E-2</v>
      </c>
      <c r="L561" t="s">
        <v>153</v>
      </c>
      <c r="N561" t="s">
        <v>221</v>
      </c>
      <c r="O561" t="s">
        <v>304</v>
      </c>
      <c r="P561">
        <v>2.2474161879587409E-2</v>
      </c>
      <c r="Q561" t="s">
        <v>153</v>
      </c>
      <c r="S561" t="s">
        <v>263</v>
      </c>
      <c r="T561" t="s">
        <v>304</v>
      </c>
      <c r="U561">
        <v>1.9827409845809101E-2</v>
      </c>
      <c r="V561" t="s">
        <v>153</v>
      </c>
    </row>
    <row r="562" spans="9:22" x14ac:dyDescent="0.45">
      <c r="I562" t="s">
        <v>178</v>
      </c>
      <c r="J562" t="s">
        <v>305</v>
      </c>
      <c r="K562">
        <v>5.9300699404713922E-3</v>
      </c>
      <c r="L562" t="s">
        <v>153</v>
      </c>
      <c r="N562" t="s">
        <v>221</v>
      </c>
      <c r="O562" t="s">
        <v>305</v>
      </c>
      <c r="P562">
        <v>0.10113838619451176</v>
      </c>
      <c r="Q562" t="s">
        <v>153</v>
      </c>
      <c r="S562" t="s">
        <v>263</v>
      </c>
      <c r="T562" t="s">
        <v>305</v>
      </c>
      <c r="U562">
        <v>8.9874984181077658E-2</v>
      </c>
      <c r="V562" t="s">
        <v>153</v>
      </c>
    </row>
    <row r="563" spans="9:22" x14ac:dyDescent="0.45">
      <c r="I563" t="s">
        <v>178</v>
      </c>
      <c r="J563" t="s">
        <v>156</v>
      </c>
      <c r="K563">
        <v>0</v>
      </c>
      <c r="L563" t="s">
        <v>153</v>
      </c>
      <c r="N563" t="s">
        <v>221</v>
      </c>
      <c r="O563" t="s">
        <v>156</v>
      </c>
      <c r="P563">
        <v>3.3276263873719514E-2</v>
      </c>
      <c r="Q563" t="s">
        <v>153</v>
      </c>
      <c r="S563" t="s">
        <v>263</v>
      </c>
      <c r="T563" t="s">
        <v>156</v>
      </c>
      <c r="U563">
        <v>5.0428315527717746E-2</v>
      </c>
      <c r="V563" t="s">
        <v>153</v>
      </c>
    </row>
    <row r="564" spans="9:22" x14ac:dyDescent="0.45">
      <c r="I564" t="s">
        <v>178</v>
      </c>
      <c r="J564" t="s">
        <v>157</v>
      </c>
      <c r="K564">
        <v>0</v>
      </c>
      <c r="L564" t="s">
        <v>153</v>
      </c>
      <c r="N564" t="s">
        <v>221</v>
      </c>
      <c r="O564" t="s">
        <v>157</v>
      </c>
      <c r="P564">
        <v>6.2510543595952917E-3</v>
      </c>
      <c r="Q564" t="s">
        <v>153</v>
      </c>
      <c r="S564" t="s">
        <v>263</v>
      </c>
      <c r="T564" t="s">
        <v>157</v>
      </c>
      <c r="U564">
        <v>8.257712979969899E-3</v>
      </c>
      <c r="V564" t="s">
        <v>153</v>
      </c>
    </row>
    <row r="565" spans="9:22" x14ac:dyDescent="0.45">
      <c r="I565" t="s">
        <v>178</v>
      </c>
      <c r="J565" t="s">
        <v>158</v>
      </c>
      <c r="K565">
        <v>9.259320652001765E-4</v>
      </c>
      <c r="L565" t="s">
        <v>153</v>
      </c>
      <c r="N565" t="s">
        <v>221</v>
      </c>
      <c r="O565" t="s">
        <v>158</v>
      </c>
      <c r="P565">
        <v>6.4943595190346641E-3</v>
      </c>
      <c r="Q565" t="s">
        <v>153</v>
      </c>
      <c r="S565" t="s">
        <v>263</v>
      </c>
      <c r="T565" t="s">
        <v>158</v>
      </c>
      <c r="U565">
        <v>8.1966412157458077E-3</v>
      </c>
      <c r="V565" t="s">
        <v>153</v>
      </c>
    </row>
    <row r="566" spans="9:22" x14ac:dyDescent="0.45">
      <c r="I566" t="s">
        <v>178</v>
      </c>
      <c r="J566" t="s">
        <v>283</v>
      </c>
      <c r="K566">
        <v>2.5331382256073752E-2</v>
      </c>
      <c r="L566" t="s">
        <v>153</v>
      </c>
      <c r="N566" t="s">
        <v>221</v>
      </c>
      <c r="O566" t="s">
        <v>283</v>
      </c>
      <c r="P566">
        <v>1.9084628606998714E-2</v>
      </c>
      <c r="Q566" t="s">
        <v>153</v>
      </c>
      <c r="S566" t="s">
        <v>263</v>
      </c>
      <c r="T566" t="s">
        <v>283</v>
      </c>
      <c r="U566">
        <v>2.3489001489001786E-2</v>
      </c>
      <c r="V566" t="s">
        <v>153</v>
      </c>
    </row>
    <row r="567" spans="9:22" x14ac:dyDescent="0.45">
      <c r="I567" t="s">
        <v>178</v>
      </c>
      <c r="J567" t="s">
        <v>284</v>
      </c>
      <c r="K567">
        <v>6.2134399410480552E-2</v>
      </c>
      <c r="L567" t="s">
        <v>153</v>
      </c>
      <c r="N567" t="s">
        <v>221</v>
      </c>
      <c r="O567" t="s">
        <v>284</v>
      </c>
      <c r="P567">
        <v>4.1597785383437669E-2</v>
      </c>
      <c r="Q567" t="s">
        <v>153</v>
      </c>
      <c r="S567" t="s">
        <v>263</v>
      </c>
      <c r="T567" t="s">
        <v>284</v>
      </c>
      <c r="U567">
        <v>4.3668043507289867E-2</v>
      </c>
      <c r="V567" t="s">
        <v>153</v>
      </c>
    </row>
    <row r="568" spans="9:22" x14ac:dyDescent="0.45">
      <c r="I568" t="s">
        <v>178</v>
      </c>
      <c r="J568" t="s">
        <v>285</v>
      </c>
      <c r="K568">
        <v>6.8125143895632649E-3</v>
      </c>
      <c r="L568" t="s">
        <v>153</v>
      </c>
      <c r="N568" t="s">
        <v>221</v>
      </c>
      <c r="O568" t="s">
        <v>285</v>
      </c>
      <c r="P568">
        <v>8.0493924418498144E-3</v>
      </c>
      <c r="Q568" t="s">
        <v>153</v>
      </c>
      <c r="S568" t="s">
        <v>263</v>
      </c>
      <c r="T568" t="s">
        <v>285</v>
      </c>
      <c r="U568">
        <v>7.5751218676286779E-3</v>
      </c>
      <c r="V568" t="s">
        <v>153</v>
      </c>
    </row>
    <row r="569" spans="9:22" x14ac:dyDescent="0.45">
      <c r="I569" t="s">
        <v>178</v>
      </c>
      <c r="J569" t="s">
        <v>306</v>
      </c>
      <c r="K569">
        <v>0</v>
      </c>
      <c r="L569" t="s">
        <v>153</v>
      </c>
      <c r="N569" t="s">
        <v>221</v>
      </c>
      <c r="O569" t="s">
        <v>306</v>
      </c>
      <c r="P569">
        <v>7.5706994980834098E-3</v>
      </c>
      <c r="Q569" t="s">
        <v>153</v>
      </c>
      <c r="S569" t="s">
        <v>263</v>
      </c>
      <c r="T569" t="s">
        <v>306</v>
      </c>
      <c r="U569">
        <v>7.8449849318625205E-3</v>
      </c>
      <c r="V569" t="s">
        <v>153</v>
      </c>
    </row>
    <row r="570" spans="9:22" x14ac:dyDescent="0.45">
      <c r="I570" t="s">
        <v>178</v>
      </c>
      <c r="J570" t="s">
        <v>307</v>
      </c>
      <c r="K570">
        <v>0</v>
      </c>
      <c r="L570" t="s">
        <v>153</v>
      </c>
      <c r="N570" t="s">
        <v>221</v>
      </c>
      <c r="O570" t="s">
        <v>307</v>
      </c>
      <c r="P570">
        <v>3.2318932341756652E-2</v>
      </c>
      <c r="Q570" t="s">
        <v>153</v>
      </c>
      <c r="S570" t="s">
        <v>263</v>
      </c>
      <c r="T570" t="s">
        <v>307</v>
      </c>
      <c r="U570">
        <v>4.1865890152592768E-2</v>
      </c>
      <c r="V570" t="s">
        <v>153</v>
      </c>
    </row>
    <row r="571" spans="9:22" x14ac:dyDescent="0.45">
      <c r="I571" t="s">
        <v>178</v>
      </c>
      <c r="J571" t="s">
        <v>159</v>
      </c>
      <c r="K571">
        <v>3.055130580401244E-4</v>
      </c>
      <c r="L571" t="s">
        <v>153</v>
      </c>
      <c r="N571" t="s">
        <v>221</v>
      </c>
      <c r="O571" t="s">
        <v>159</v>
      </c>
      <c r="P571">
        <v>6.9115237663760959E-2</v>
      </c>
      <c r="Q571" t="s">
        <v>153</v>
      </c>
      <c r="S571" t="s">
        <v>263</v>
      </c>
      <c r="T571" t="s">
        <v>159</v>
      </c>
      <c r="U571">
        <v>7.5456410760181572E-2</v>
      </c>
      <c r="V571" t="s">
        <v>153</v>
      </c>
    </row>
    <row r="572" spans="9:22" x14ac:dyDescent="0.45">
      <c r="I572" t="s">
        <v>178</v>
      </c>
      <c r="J572" t="s">
        <v>160</v>
      </c>
      <c r="K572">
        <v>9.5564511667348331E-3</v>
      </c>
      <c r="L572" t="s">
        <v>153</v>
      </c>
      <c r="N572" t="s">
        <v>221</v>
      </c>
      <c r="O572" t="s">
        <v>160</v>
      </c>
      <c r="P572">
        <v>1.1381376325229361E-2</v>
      </c>
      <c r="Q572" t="s">
        <v>153</v>
      </c>
      <c r="S572" t="s">
        <v>263</v>
      </c>
      <c r="T572" t="s">
        <v>160</v>
      </c>
      <c r="U572">
        <v>1.2034882368584144E-2</v>
      </c>
      <c r="V572" t="s">
        <v>153</v>
      </c>
    </row>
    <row r="573" spans="9:22" x14ac:dyDescent="0.45">
      <c r="I573" t="s">
        <v>178</v>
      </c>
      <c r="J573" t="s">
        <v>161</v>
      </c>
      <c r="K573">
        <v>1.9837543007930891E-2</v>
      </c>
      <c r="L573" t="s">
        <v>153</v>
      </c>
      <c r="N573" t="s">
        <v>221</v>
      </c>
      <c r="O573" t="s">
        <v>161</v>
      </c>
      <c r="P573">
        <v>1.1682801803121316E-2</v>
      </c>
      <c r="Q573" t="s">
        <v>153</v>
      </c>
      <c r="S573" t="s">
        <v>263</v>
      </c>
      <c r="T573" t="s">
        <v>161</v>
      </c>
      <c r="U573">
        <v>1.1884556447730663E-2</v>
      </c>
      <c r="V573" t="s">
        <v>153</v>
      </c>
    </row>
    <row r="574" spans="9:22" x14ac:dyDescent="0.45">
      <c r="I574" t="s">
        <v>178</v>
      </c>
      <c r="J574" t="s">
        <v>286</v>
      </c>
      <c r="K574">
        <v>8.1727987904627139E-2</v>
      </c>
      <c r="L574" t="s">
        <v>153</v>
      </c>
      <c r="N574" t="s">
        <v>221</v>
      </c>
      <c r="O574" t="s">
        <v>286</v>
      </c>
      <c r="P574">
        <v>3.7055625139009916E-2</v>
      </c>
      <c r="Q574" t="s">
        <v>153</v>
      </c>
      <c r="S574" t="s">
        <v>263</v>
      </c>
      <c r="T574" t="s">
        <v>286</v>
      </c>
      <c r="U574">
        <v>3.5911602964101522E-2</v>
      </c>
      <c r="V574" t="s">
        <v>153</v>
      </c>
    </row>
    <row r="575" spans="9:22" x14ac:dyDescent="0.45">
      <c r="I575" t="s">
        <v>178</v>
      </c>
      <c r="J575" t="s">
        <v>287</v>
      </c>
      <c r="K575">
        <v>0.17954502634596176</v>
      </c>
      <c r="L575" t="s">
        <v>153</v>
      </c>
      <c r="N575" t="s">
        <v>221</v>
      </c>
      <c r="O575" t="s">
        <v>287</v>
      </c>
      <c r="P575">
        <v>0.10084809637619352</v>
      </c>
      <c r="Q575" t="s">
        <v>153</v>
      </c>
      <c r="S575" t="s">
        <v>263</v>
      </c>
      <c r="T575" t="s">
        <v>287</v>
      </c>
      <c r="U575">
        <v>8.0806031097823763E-2</v>
      </c>
      <c r="V575" t="s">
        <v>153</v>
      </c>
    </row>
    <row r="576" spans="9:22" x14ac:dyDescent="0.45">
      <c r="I576" t="s">
        <v>178</v>
      </c>
      <c r="J576" t="s">
        <v>288</v>
      </c>
      <c r="K576">
        <v>2.2076388559772602E-2</v>
      </c>
      <c r="L576" t="s">
        <v>153</v>
      </c>
      <c r="N576" t="s">
        <v>221</v>
      </c>
      <c r="O576" t="s">
        <v>288</v>
      </c>
      <c r="P576">
        <v>1.7864241276054068E-2</v>
      </c>
      <c r="Q576" t="s">
        <v>153</v>
      </c>
      <c r="S576" t="s">
        <v>263</v>
      </c>
      <c r="T576" t="s">
        <v>288</v>
      </c>
      <c r="U576">
        <v>1.420136665852334E-2</v>
      </c>
      <c r="V576" t="s">
        <v>153</v>
      </c>
    </row>
    <row r="577" spans="9:22" x14ac:dyDescent="0.45">
      <c r="I577" t="s">
        <v>178</v>
      </c>
      <c r="J577" t="s">
        <v>308</v>
      </c>
      <c r="K577">
        <v>1.1094307965659128E-2</v>
      </c>
      <c r="L577" t="s">
        <v>153</v>
      </c>
      <c r="N577" t="s">
        <v>221</v>
      </c>
      <c r="O577" t="s">
        <v>308</v>
      </c>
      <c r="P577">
        <v>1.6639659819365386E-2</v>
      </c>
      <c r="Q577" t="s">
        <v>153</v>
      </c>
      <c r="S577" t="s">
        <v>263</v>
      </c>
      <c r="T577" t="s">
        <v>308</v>
      </c>
      <c r="U577">
        <v>1.358349619191326E-2</v>
      </c>
      <c r="V577" t="s">
        <v>153</v>
      </c>
    </row>
    <row r="578" spans="9:22" x14ac:dyDescent="0.45">
      <c r="I578" t="s">
        <v>178</v>
      </c>
      <c r="J578" t="s">
        <v>309</v>
      </c>
      <c r="K578">
        <v>2.6817726631611215E-5</v>
      </c>
      <c r="L578" t="s">
        <v>153</v>
      </c>
      <c r="N578" t="s">
        <v>221</v>
      </c>
      <c r="O578" t="s">
        <v>309</v>
      </c>
      <c r="P578">
        <v>7.0209585142954473E-2</v>
      </c>
      <c r="Q578" t="s">
        <v>153</v>
      </c>
      <c r="S578" t="s">
        <v>263</v>
      </c>
      <c r="T578" t="s">
        <v>309</v>
      </c>
      <c r="U578">
        <v>6.2050490365387997E-2</v>
      </c>
      <c r="V578" t="s">
        <v>153</v>
      </c>
    </row>
    <row r="579" spans="9:22" x14ac:dyDescent="0.45">
      <c r="I579" t="s">
        <v>178</v>
      </c>
      <c r="J579" t="s">
        <v>294</v>
      </c>
      <c r="K579">
        <v>3.2450811425368425E-4</v>
      </c>
      <c r="L579" t="s">
        <v>153</v>
      </c>
      <c r="N579" t="s">
        <v>221</v>
      </c>
      <c r="O579" t="s">
        <v>294</v>
      </c>
      <c r="P579">
        <v>1.2861804021907022E-2</v>
      </c>
      <c r="Q579" t="s">
        <v>153</v>
      </c>
      <c r="S579" t="s">
        <v>263</v>
      </c>
      <c r="T579" t="s">
        <v>294</v>
      </c>
      <c r="U579">
        <v>1.503884196054704E-2</v>
      </c>
      <c r="V579" t="s">
        <v>153</v>
      </c>
    </row>
    <row r="580" spans="9:22" x14ac:dyDescent="0.45">
      <c r="I580" t="s">
        <v>178</v>
      </c>
      <c r="J580" t="s">
        <v>295</v>
      </c>
      <c r="K580">
        <v>4.4628393216408239E-3</v>
      </c>
      <c r="L580" t="s">
        <v>153</v>
      </c>
      <c r="N580" t="s">
        <v>221</v>
      </c>
      <c r="O580" t="s">
        <v>295</v>
      </c>
      <c r="P580">
        <v>1.9961127973543891E-3</v>
      </c>
      <c r="Q580" t="s">
        <v>153</v>
      </c>
      <c r="S580" t="s">
        <v>263</v>
      </c>
      <c r="T580" t="s">
        <v>295</v>
      </c>
      <c r="U580">
        <v>2.5890136226470652E-3</v>
      </c>
      <c r="V580" t="s">
        <v>153</v>
      </c>
    </row>
    <row r="581" spans="9:22" x14ac:dyDescent="0.45">
      <c r="I581" t="s">
        <v>178</v>
      </c>
      <c r="J581" t="s">
        <v>296</v>
      </c>
      <c r="K581">
        <v>6.7479837919225448E-3</v>
      </c>
      <c r="L581" t="s">
        <v>153</v>
      </c>
      <c r="N581" t="s">
        <v>221</v>
      </c>
      <c r="O581" t="s">
        <v>296</v>
      </c>
      <c r="P581">
        <v>2.023956472445325E-3</v>
      </c>
      <c r="Q581" t="s">
        <v>153</v>
      </c>
      <c r="S581" t="s">
        <v>263</v>
      </c>
      <c r="T581" t="s">
        <v>296</v>
      </c>
      <c r="U581">
        <v>2.6782319730936917E-3</v>
      </c>
      <c r="V581" t="s">
        <v>153</v>
      </c>
    </row>
    <row r="582" spans="9:22" x14ac:dyDescent="0.45">
      <c r="I582" t="s">
        <v>178</v>
      </c>
      <c r="J582" t="s">
        <v>297</v>
      </c>
      <c r="K582">
        <v>2.7490979178334665E-2</v>
      </c>
      <c r="L582" t="s">
        <v>153</v>
      </c>
      <c r="N582" t="s">
        <v>221</v>
      </c>
      <c r="O582" t="s">
        <v>297</v>
      </c>
      <c r="P582">
        <v>6.9637331802528714E-3</v>
      </c>
      <c r="Q582" t="s">
        <v>153</v>
      </c>
      <c r="S582" t="s">
        <v>263</v>
      </c>
      <c r="T582" t="s">
        <v>297</v>
      </c>
      <c r="U582">
        <v>8.6074811737092242E-3</v>
      </c>
      <c r="V582" t="s">
        <v>153</v>
      </c>
    </row>
    <row r="583" spans="9:22" x14ac:dyDescent="0.45">
      <c r="I583" t="s">
        <v>178</v>
      </c>
      <c r="J583" t="s">
        <v>298</v>
      </c>
      <c r="K583">
        <v>6.3354276726271613E-2</v>
      </c>
      <c r="L583" t="s">
        <v>153</v>
      </c>
      <c r="N583" t="s">
        <v>221</v>
      </c>
      <c r="O583" t="s">
        <v>298</v>
      </c>
      <c r="P583">
        <v>1.8682192320368593E-2</v>
      </c>
      <c r="Q583" t="s">
        <v>153</v>
      </c>
      <c r="S583" t="s">
        <v>263</v>
      </c>
      <c r="T583" t="s">
        <v>298</v>
      </c>
      <c r="U583">
        <v>2.0762807679912874E-2</v>
      </c>
      <c r="V583" t="s">
        <v>153</v>
      </c>
    </row>
    <row r="584" spans="9:22" x14ac:dyDescent="0.45">
      <c r="I584" t="s">
        <v>178</v>
      </c>
      <c r="J584" t="s">
        <v>299</v>
      </c>
      <c r="K584">
        <v>8.6128548548318681E-3</v>
      </c>
      <c r="L584" t="s">
        <v>153</v>
      </c>
      <c r="N584" t="s">
        <v>221</v>
      </c>
      <c r="O584" t="s">
        <v>299</v>
      </c>
      <c r="P584">
        <v>3.5361674971489607E-3</v>
      </c>
      <c r="Q584" t="s">
        <v>153</v>
      </c>
      <c r="S584" t="s">
        <v>263</v>
      </c>
      <c r="T584" t="s">
        <v>299</v>
      </c>
      <c r="U584">
        <v>3.5162369243464759E-3</v>
      </c>
      <c r="V584" t="s">
        <v>153</v>
      </c>
    </row>
    <row r="585" spans="9:22" x14ac:dyDescent="0.45">
      <c r="I585" t="s">
        <v>178</v>
      </c>
      <c r="J585" t="s">
        <v>310</v>
      </c>
      <c r="K585">
        <v>6.5177349473075716E-3</v>
      </c>
      <c r="L585" t="s">
        <v>153</v>
      </c>
      <c r="N585" t="s">
        <v>221</v>
      </c>
      <c r="O585" t="s">
        <v>310</v>
      </c>
      <c r="P585">
        <v>3.3944819054321086E-3</v>
      </c>
      <c r="Q585" t="s">
        <v>153</v>
      </c>
      <c r="S585" t="s">
        <v>263</v>
      </c>
      <c r="T585" t="s">
        <v>310</v>
      </c>
      <c r="U585">
        <v>3.3870764412580094E-3</v>
      </c>
      <c r="V585" t="s">
        <v>153</v>
      </c>
    </row>
    <row r="586" spans="9:22" x14ac:dyDescent="0.45">
      <c r="I586" t="s">
        <v>178</v>
      </c>
      <c r="J586" t="s">
        <v>311</v>
      </c>
      <c r="K586">
        <v>3.6295421353275876E-3</v>
      </c>
      <c r="L586" t="s">
        <v>153</v>
      </c>
      <c r="N586" t="s">
        <v>221</v>
      </c>
      <c r="O586" t="s">
        <v>311</v>
      </c>
      <c r="P586">
        <v>1.3526287584543323E-2</v>
      </c>
      <c r="Q586" t="s">
        <v>153</v>
      </c>
      <c r="S586" t="s">
        <v>263</v>
      </c>
      <c r="T586" t="s">
        <v>311</v>
      </c>
      <c r="U586">
        <v>1.4338820848332908E-2</v>
      </c>
      <c r="V586" t="s">
        <v>153</v>
      </c>
    </row>
    <row r="587" spans="9:22" x14ac:dyDescent="0.45">
      <c r="I587" t="s">
        <v>179</v>
      </c>
      <c r="J587" t="s">
        <v>152</v>
      </c>
      <c r="K587">
        <v>0</v>
      </c>
      <c r="L587" t="s">
        <v>153</v>
      </c>
      <c r="N587" t="s">
        <v>222</v>
      </c>
      <c r="O587" t="s">
        <v>152</v>
      </c>
      <c r="P587">
        <v>9.0274270742967025E-2</v>
      </c>
      <c r="Q587" t="s">
        <v>153</v>
      </c>
      <c r="S587" t="s">
        <v>264</v>
      </c>
      <c r="T587" t="s">
        <v>152</v>
      </c>
      <c r="U587">
        <v>0.10393220776282876</v>
      </c>
      <c r="V587" t="s">
        <v>153</v>
      </c>
    </row>
    <row r="588" spans="9:22" x14ac:dyDescent="0.45">
      <c r="I588" t="s">
        <v>179</v>
      </c>
      <c r="J588" t="s">
        <v>154</v>
      </c>
      <c r="K588">
        <v>9.0557003876813955E-3</v>
      </c>
      <c r="L588" t="s">
        <v>153</v>
      </c>
      <c r="N588" t="s">
        <v>222</v>
      </c>
      <c r="O588" t="s">
        <v>154</v>
      </c>
      <c r="P588">
        <v>1.4372669184685853E-2</v>
      </c>
      <c r="Q588" t="s">
        <v>153</v>
      </c>
      <c r="S588" t="s">
        <v>264</v>
      </c>
      <c r="T588" t="s">
        <v>154</v>
      </c>
      <c r="U588">
        <v>1.7200524072846467E-2</v>
      </c>
      <c r="V588" t="s">
        <v>153</v>
      </c>
    </row>
    <row r="589" spans="9:22" x14ac:dyDescent="0.45">
      <c r="I589" t="s">
        <v>179</v>
      </c>
      <c r="J589" t="s">
        <v>155</v>
      </c>
      <c r="K589">
        <v>2.5269219294055612E-2</v>
      </c>
      <c r="L589" t="s">
        <v>153</v>
      </c>
      <c r="N589" t="s">
        <v>222</v>
      </c>
      <c r="O589" t="s">
        <v>155</v>
      </c>
      <c r="P589">
        <v>1.4407007186615533E-2</v>
      </c>
      <c r="Q589" t="s">
        <v>153</v>
      </c>
      <c r="S589" t="s">
        <v>264</v>
      </c>
      <c r="T589" t="s">
        <v>155</v>
      </c>
      <c r="U589">
        <v>1.6859796753932135E-2</v>
      </c>
      <c r="V589" t="s">
        <v>153</v>
      </c>
    </row>
    <row r="590" spans="9:22" x14ac:dyDescent="0.45">
      <c r="I590" t="s">
        <v>179</v>
      </c>
      <c r="J590" t="s">
        <v>280</v>
      </c>
      <c r="K590">
        <v>0.11732172198242545</v>
      </c>
      <c r="L590" t="s">
        <v>153</v>
      </c>
      <c r="N590" t="s">
        <v>222</v>
      </c>
      <c r="O590" t="s">
        <v>280</v>
      </c>
      <c r="P590">
        <v>4.4595638736585237E-2</v>
      </c>
      <c r="Q590" t="s">
        <v>153</v>
      </c>
      <c r="S590" t="s">
        <v>264</v>
      </c>
      <c r="T590" t="s">
        <v>280</v>
      </c>
      <c r="U590">
        <v>4.9723991965140782E-2</v>
      </c>
      <c r="V590" t="s">
        <v>153</v>
      </c>
    </row>
    <row r="591" spans="9:22" x14ac:dyDescent="0.45">
      <c r="I591" t="s">
        <v>179</v>
      </c>
      <c r="J591" t="s">
        <v>281</v>
      </c>
      <c r="K591">
        <v>0.25378635120543946</v>
      </c>
      <c r="L591" t="s">
        <v>153</v>
      </c>
      <c r="N591" t="s">
        <v>222</v>
      </c>
      <c r="O591" t="s">
        <v>281</v>
      </c>
      <c r="P591">
        <v>0.12971388861376656</v>
      </c>
      <c r="Q591" t="s">
        <v>153</v>
      </c>
      <c r="S591" t="s">
        <v>264</v>
      </c>
      <c r="T591" t="s">
        <v>281</v>
      </c>
      <c r="U591">
        <v>0.10504878403010399</v>
      </c>
      <c r="V591" t="s">
        <v>153</v>
      </c>
    </row>
    <row r="592" spans="9:22" x14ac:dyDescent="0.45">
      <c r="I592" t="s">
        <v>179</v>
      </c>
      <c r="J592" t="s">
        <v>282</v>
      </c>
      <c r="K592">
        <v>3.0578130111228865E-2</v>
      </c>
      <c r="L592" t="s">
        <v>153</v>
      </c>
      <c r="N592" t="s">
        <v>222</v>
      </c>
      <c r="O592" t="s">
        <v>282</v>
      </c>
      <c r="P592">
        <v>2.7114748538464604E-2</v>
      </c>
      <c r="Q592" t="s">
        <v>153</v>
      </c>
      <c r="S592" t="s">
        <v>264</v>
      </c>
      <c r="T592" t="s">
        <v>282</v>
      </c>
      <c r="U592">
        <v>1.8851401791817608E-2</v>
      </c>
      <c r="V592" t="s">
        <v>153</v>
      </c>
    </row>
    <row r="593" spans="9:22" x14ac:dyDescent="0.45">
      <c r="I593" t="s">
        <v>179</v>
      </c>
      <c r="J593" t="s">
        <v>304</v>
      </c>
      <c r="K593">
        <v>1.736957750217644E-2</v>
      </c>
      <c r="L593" t="s">
        <v>153</v>
      </c>
      <c r="N593" t="s">
        <v>222</v>
      </c>
      <c r="O593" t="s">
        <v>304</v>
      </c>
      <c r="P593">
        <v>2.4745473531315558E-2</v>
      </c>
      <c r="Q593" t="s">
        <v>153</v>
      </c>
      <c r="S593" t="s">
        <v>264</v>
      </c>
      <c r="T593" t="s">
        <v>304</v>
      </c>
      <c r="U593">
        <v>1.8595284054606847E-2</v>
      </c>
      <c r="V593" t="s">
        <v>153</v>
      </c>
    </row>
    <row r="594" spans="9:22" x14ac:dyDescent="0.45">
      <c r="I594" t="s">
        <v>179</v>
      </c>
      <c r="J594" t="s">
        <v>305</v>
      </c>
      <c r="K594">
        <v>5.1806009877482006E-3</v>
      </c>
      <c r="L594" t="s">
        <v>153</v>
      </c>
      <c r="N594" t="s">
        <v>222</v>
      </c>
      <c r="O594" t="s">
        <v>305</v>
      </c>
      <c r="P594">
        <v>9.7991982469910477E-2</v>
      </c>
      <c r="Q594" t="s">
        <v>153</v>
      </c>
      <c r="S594" t="s">
        <v>264</v>
      </c>
      <c r="T594" t="s">
        <v>305</v>
      </c>
      <c r="U594">
        <v>8.8082543042984601E-2</v>
      </c>
      <c r="V594" t="s">
        <v>153</v>
      </c>
    </row>
    <row r="595" spans="9:22" x14ac:dyDescent="0.45">
      <c r="I595" t="s">
        <v>179</v>
      </c>
      <c r="J595" t="s">
        <v>156</v>
      </c>
      <c r="K595">
        <v>0</v>
      </c>
      <c r="L595" t="s">
        <v>153</v>
      </c>
      <c r="N595" t="s">
        <v>222</v>
      </c>
      <c r="O595" t="s">
        <v>156</v>
      </c>
      <c r="P595">
        <v>2.6241365048358549E-2</v>
      </c>
      <c r="Q595" t="s">
        <v>153</v>
      </c>
      <c r="S595" t="s">
        <v>264</v>
      </c>
      <c r="T595" t="s">
        <v>156</v>
      </c>
      <c r="U595">
        <v>4.943531719446366E-2</v>
      </c>
      <c r="V595" t="s">
        <v>153</v>
      </c>
    </row>
    <row r="596" spans="9:22" x14ac:dyDescent="0.45">
      <c r="I596" t="s">
        <v>179</v>
      </c>
      <c r="J596" t="s">
        <v>157</v>
      </c>
      <c r="K596">
        <v>0</v>
      </c>
      <c r="L596" t="s">
        <v>153</v>
      </c>
      <c r="N596" t="s">
        <v>222</v>
      </c>
      <c r="O596" t="s">
        <v>157</v>
      </c>
      <c r="P596">
        <v>5.0591534073772789E-3</v>
      </c>
      <c r="Q596" t="s">
        <v>153</v>
      </c>
      <c r="S596" t="s">
        <v>264</v>
      </c>
      <c r="T596" t="s">
        <v>157</v>
      </c>
      <c r="U596">
        <v>8.3673513836559719E-3</v>
      </c>
      <c r="V596" t="s">
        <v>153</v>
      </c>
    </row>
    <row r="597" spans="9:22" x14ac:dyDescent="0.45">
      <c r="I597" t="s">
        <v>179</v>
      </c>
      <c r="J597" t="s">
        <v>158</v>
      </c>
      <c r="K597">
        <v>1.4649191722468464E-3</v>
      </c>
      <c r="L597" t="s">
        <v>153</v>
      </c>
      <c r="N597" t="s">
        <v>222</v>
      </c>
      <c r="O597" t="s">
        <v>158</v>
      </c>
      <c r="P597">
        <v>5.3041034462571607E-3</v>
      </c>
      <c r="Q597" t="s">
        <v>153</v>
      </c>
      <c r="S597" t="s">
        <v>264</v>
      </c>
      <c r="T597" t="s">
        <v>158</v>
      </c>
      <c r="U597">
        <v>8.2908280215312248E-3</v>
      </c>
      <c r="V597" t="s">
        <v>153</v>
      </c>
    </row>
    <row r="598" spans="9:22" x14ac:dyDescent="0.45">
      <c r="I598" t="s">
        <v>179</v>
      </c>
      <c r="J598" t="s">
        <v>283</v>
      </c>
      <c r="K598">
        <v>2.624759855281494E-2</v>
      </c>
      <c r="L598" t="s">
        <v>153</v>
      </c>
      <c r="N598" t="s">
        <v>222</v>
      </c>
      <c r="O598" t="s">
        <v>283</v>
      </c>
      <c r="P598">
        <v>1.557389823073377E-2</v>
      </c>
      <c r="Q598" t="s">
        <v>153</v>
      </c>
      <c r="S598" t="s">
        <v>264</v>
      </c>
      <c r="T598" t="s">
        <v>283</v>
      </c>
      <c r="U598">
        <v>2.4471880907249142E-2</v>
      </c>
      <c r="V598" t="s">
        <v>153</v>
      </c>
    </row>
    <row r="599" spans="9:22" x14ac:dyDescent="0.45">
      <c r="I599" t="s">
        <v>179</v>
      </c>
      <c r="J599" t="s">
        <v>284</v>
      </c>
      <c r="K599">
        <v>6.2306749625360133E-2</v>
      </c>
      <c r="L599" t="s">
        <v>153</v>
      </c>
      <c r="N599" t="s">
        <v>222</v>
      </c>
      <c r="O599" t="s">
        <v>284</v>
      </c>
      <c r="P599">
        <v>4.1180774394487279E-2</v>
      </c>
      <c r="Q599" t="s">
        <v>153</v>
      </c>
      <c r="S599" t="s">
        <v>264</v>
      </c>
      <c r="T599" t="s">
        <v>284</v>
      </c>
      <c r="U599">
        <v>4.6114767075661471E-2</v>
      </c>
      <c r="V599" t="s">
        <v>153</v>
      </c>
    </row>
    <row r="600" spans="9:22" x14ac:dyDescent="0.45">
      <c r="I600" t="s">
        <v>179</v>
      </c>
      <c r="J600" t="s">
        <v>285</v>
      </c>
      <c r="K600">
        <v>5.8140544704099366E-3</v>
      </c>
      <c r="L600" t="s">
        <v>153</v>
      </c>
      <c r="N600" t="s">
        <v>222</v>
      </c>
      <c r="O600" t="s">
        <v>285</v>
      </c>
      <c r="P600">
        <v>8.5802551102672955E-3</v>
      </c>
      <c r="Q600" t="s">
        <v>153</v>
      </c>
      <c r="S600" t="s">
        <v>264</v>
      </c>
      <c r="T600" t="s">
        <v>285</v>
      </c>
      <c r="U600">
        <v>7.724536216835302E-3</v>
      </c>
      <c r="V600" t="s">
        <v>153</v>
      </c>
    </row>
    <row r="601" spans="9:22" x14ac:dyDescent="0.45">
      <c r="I601" t="s">
        <v>179</v>
      </c>
      <c r="J601" t="s">
        <v>306</v>
      </c>
      <c r="K601">
        <v>0</v>
      </c>
      <c r="L601" t="s">
        <v>153</v>
      </c>
      <c r="N601" t="s">
        <v>222</v>
      </c>
      <c r="O601" t="s">
        <v>306</v>
      </c>
      <c r="P601">
        <v>7.2555519907114259E-3</v>
      </c>
      <c r="Q601" t="s">
        <v>153</v>
      </c>
      <c r="S601" t="s">
        <v>264</v>
      </c>
      <c r="T601" t="s">
        <v>306</v>
      </c>
      <c r="U601">
        <v>7.7698411980902946E-3</v>
      </c>
      <c r="V601" t="s">
        <v>153</v>
      </c>
    </row>
    <row r="602" spans="9:22" x14ac:dyDescent="0.45">
      <c r="I602" t="s">
        <v>179</v>
      </c>
      <c r="J602" t="s">
        <v>307</v>
      </c>
      <c r="K602">
        <v>0</v>
      </c>
      <c r="L602" t="s">
        <v>153</v>
      </c>
      <c r="N602" t="s">
        <v>222</v>
      </c>
      <c r="O602" t="s">
        <v>307</v>
      </c>
      <c r="P602">
        <v>2.6411391190588683E-2</v>
      </c>
      <c r="Q602" t="s">
        <v>153</v>
      </c>
      <c r="S602" t="s">
        <v>264</v>
      </c>
      <c r="T602" t="s">
        <v>307</v>
      </c>
      <c r="U602">
        <v>3.9495487677941733E-2</v>
      </c>
      <c r="V602" t="s">
        <v>153</v>
      </c>
    </row>
    <row r="603" spans="9:22" x14ac:dyDescent="0.45">
      <c r="I603" t="s">
        <v>179</v>
      </c>
      <c r="J603" t="s">
        <v>159</v>
      </c>
      <c r="K603">
        <v>1.2347652009048837E-3</v>
      </c>
      <c r="L603" t="s">
        <v>153</v>
      </c>
      <c r="N603" t="s">
        <v>222</v>
      </c>
      <c r="O603" t="s">
        <v>159</v>
      </c>
      <c r="P603">
        <v>6.6455690657780619E-2</v>
      </c>
      <c r="Q603" t="s">
        <v>153</v>
      </c>
      <c r="S603" t="s">
        <v>264</v>
      </c>
      <c r="T603" t="s">
        <v>159</v>
      </c>
      <c r="U603">
        <v>7.7745960484307292E-2</v>
      </c>
      <c r="V603" t="s">
        <v>153</v>
      </c>
    </row>
    <row r="604" spans="9:22" x14ac:dyDescent="0.45">
      <c r="I604" t="s">
        <v>179</v>
      </c>
      <c r="J604" t="s">
        <v>160</v>
      </c>
      <c r="K604">
        <v>1.0473233896575819E-2</v>
      </c>
      <c r="L604" t="s">
        <v>153</v>
      </c>
      <c r="N604" t="s">
        <v>222</v>
      </c>
      <c r="O604" t="s">
        <v>160</v>
      </c>
      <c r="P604">
        <v>1.0954241625903095E-2</v>
      </c>
      <c r="Q604" t="s">
        <v>153</v>
      </c>
      <c r="S604" t="s">
        <v>264</v>
      </c>
      <c r="T604" t="s">
        <v>160</v>
      </c>
      <c r="U604">
        <v>1.2183081683033404E-2</v>
      </c>
      <c r="V604" t="s">
        <v>153</v>
      </c>
    </row>
    <row r="605" spans="9:22" x14ac:dyDescent="0.45">
      <c r="I605" t="s">
        <v>179</v>
      </c>
      <c r="J605" t="s">
        <v>161</v>
      </c>
      <c r="K605">
        <v>2.0871269006636186E-2</v>
      </c>
      <c r="L605" t="s">
        <v>153</v>
      </c>
      <c r="N605" t="s">
        <v>222</v>
      </c>
      <c r="O605" t="s">
        <v>161</v>
      </c>
      <c r="P605">
        <v>1.126830598334758E-2</v>
      </c>
      <c r="Q605" t="s">
        <v>153</v>
      </c>
      <c r="S605" t="s">
        <v>264</v>
      </c>
      <c r="T605" t="s">
        <v>161</v>
      </c>
      <c r="U605">
        <v>1.2053040571109484E-2</v>
      </c>
      <c r="V605" t="s">
        <v>153</v>
      </c>
    </row>
    <row r="606" spans="9:22" x14ac:dyDescent="0.45">
      <c r="I606" t="s">
        <v>179</v>
      </c>
      <c r="J606" t="s">
        <v>286</v>
      </c>
      <c r="K606">
        <v>8.3867705604486156E-2</v>
      </c>
      <c r="L606" t="s">
        <v>153</v>
      </c>
      <c r="N606" t="s">
        <v>222</v>
      </c>
      <c r="O606" t="s">
        <v>286</v>
      </c>
      <c r="P606">
        <v>3.7556317004412747E-2</v>
      </c>
      <c r="Q606" t="s">
        <v>153</v>
      </c>
      <c r="S606" t="s">
        <v>264</v>
      </c>
      <c r="T606" t="s">
        <v>286</v>
      </c>
      <c r="U606">
        <v>3.6253104939620147E-2</v>
      </c>
      <c r="V606" t="s">
        <v>153</v>
      </c>
    </row>
    <row r="607" spans="9:22" x14ac:dyDescent="0.45">
      <c r="I607" t="s">
        <v>179</v>
      </c>
      <c r="J607" t="s">
        <v>287</v>
      </c>
      <c r="K607">
        <v>0.17841803327851005</v>
      </c>
      <c r="L607" t="s">
        <v>153</v>
      </c>
      <c r="N607" t="s">
        <v>222</v>
      </c>
      <c r="O607" t="s">
        <v>287</v>
      </c>
      <c r="P607">
        <v>0.11520929240926588</v>
      </c>
      <c r="Q607" t="s">
        <v>153</v>
      </c>
      <c r="S607" t="s">
        <v>264</v>
      </c>
      <c r="T607" t="s">
        <v>287</v>
      </c>
      <c r="U607">
        <v>8.1064323200923036E-2</v>
      </c>
      <c r="V607" t="s">
        <v>153</v>
      </c>
    </row>
    <row r="608" spans="9:22" x14ac:dyDescent="0.45">
      <c r="I608" t="s">
        <v>179</v>
      </c>
      <c r="J608" t="s">
        <v>288</v>
      </c>
      <c r="K608">
        <v>2.1970670274606356E-2</v>
      </c>
      <c r="L608" t="s">
        <v>153</v>
      </c>
      <c r="N608" t="s">
        <v>222</v>
      </c>
      <c r="O608" t="s">
        <v>288</v>
      </c>
      <c r="P608">
        <v>2.3055824502453588E-2</v>
      </c>
      <c r="Q608" t="s">
        <v>153</v>
      </c>
      <c r="S608" t="s">
        <v>264</v>
      </c>
      <c r="T608" t="s">
        <v>288</v>
      </c>
      <c r="U608">
        <v>1.4212545689362144E-2</v>
      </c>
      <c r="V608" t="s">
        <v>153</v>
      </c>
    </row>
    <row r="609" spans="9:22" x14ac:dyDescent="0.45">
      <c r="I609" t="s">
        <v>179</v>
      </c>
      <c r="J609" t="s">
        <v>308</v>
      </c>
      <c r="K609">
        <v>9.6308476188604313E-3</v>
      </c>
      <c r="L609" t="s">
        <v>153</v>
      </c>
      <c r="N609" t="s">
        <v>222</v>
      </c>
      <c r="O609" t="s">
        <v>308</v>
      </c>
      <c r="P609">
        <v>2.0016891952482029E-2</v>
      </c>
      <c r="Q609" t="s">
        <v>153</v>
      </c>
      <c r="S609" t="s">
        <v>264</v>
      </c>
      <c r="T609" t="s">
        <v>308</v>
      </c>
      <c r="U609">
        <v>1.3963030586769086E-2</v>
      </c>
      <c r="V609" t="s">
        <v>153</v>
      </c>
    </row>
    <row r="610" spans="9:22" x14ac:dyDescent="0.45">
      <c r="I610" t="s">
        <v>179</v>
      </c>
      <c r="J610" t="s">
        <v>309</v>
      </c>
      <c r="K610">
        <v>0</v>
      </c>
      <c r="L610" t="s">
        <v>153</v>
      </c>
      <c r="N610" t="s">
        <v>222</v>
      </c>
      <c r="O610" t="s">
        <v>309</v>
      </c>
      <c r="P610">
        <v>7.3716012429943495E-2</v>
      </c>
      <c r="Q610" t="s">
        <v>153</v>
      </c>
      <c r="S610" t="s">
        <v>264</v>
      </c>
      <c r="T610" t="s">
        <v>309</v>
      </c>
      <c r="U610">
        <v>6.668047085211333E-2</v>
      </c>
      <c r="V610" t="s">
        <v>153</v>
      </c>
    </row>
    <row r="611" spans="9:22" x14ac:dyDescent="0.45">
      <c r="I611" t="s">
        <v>179</v>
      </c>
      <c r="J611" t="s">
        <v>294</v>
      </c>
      <c r="K611">
        <v>1.4666027462535351E-3</v>
      </c>
      <c r="L611" t="s">
        <v>153</v>
      </c>
      <c r="N611" t="s">
        <v>222</v>
      </c>
      <c r="O611" t="s">
        <v>294</v>
      </c>
      <c r="P611">
        <v>1.1400623007948354E-2</v>
      </c>
      <c r="Q611" t="s">
        <v>153</v>
      </c>
      <c r="S611" t="s">
        <v>264</v>
      </c>
      <c r="T611" t="s">
        <v>294</v>
      </c>
      <c r="U611">
        <v>1.7346702812957346E-2</v>
      </c>
      <c r="V611" t="s">
        <v>153</v>
      </c>
    </row>
    <row r="612" spans="9:22" x14ac:dyDescent="0.45">
      <c r="I612" t="s">
        <v>179</v>
      </c>
      <c r="J612" t="s">
        <v>295</v>
      </c>
      <c r="K612">
        <v>5.110941048834858E-3</v>
      </c>
      <c r="L612" t="s">
        <v>153</v>
      </c>
      <c r="N612" t="s">
        <v>222</v>
      </c>
      <c r="O612" t="s">
        <v>295</v>
      </c>
      <c r="P612">
        <v>1.5972193144662109E-3</v>
      </c>
      <c r="Q612" t="s">
        <v>153</v>
      </c>
      <c r="S612" t="s">
        <v>264</v>
      </c>
      <c r="T612" t="s">
        <v>295</v>
      </c>
      <c r="U612">
        <v>2.8452052467967844E-3</v>
      </c>
      <c r="V612" t="s">
        <v>153</v>
      </c>
    </row>
    <row r="613" spans="9:22" x14ac:dyDescent="0.45">
      <c r="I613" t="s">
        <v>179</v>
      </c>
      <c r="J613" t="s">
        <v>296</v>
      </c>
      <c r="K613">
        <v>7.5625584205612304E-3</v>
      </c>
      <c r="L613" t="s">
        <v>153</v>
      </c>
      <c r="N613" t="s">
        <v>222</v>
      </c>
      <c r="O613" t="s">
        <v>296</v>
      </c>
      <c r="P613">
        <v>1.5610160347718307E-3</v>
      </c>
      <c r="Q613" t="s">
        <v>153</v>
      </c>
      <c r="S613" t="s">
        <v>264</v>
      </c>
      <c r="T613" t="s">
        <v>296</v>
      </c>
      <c r="U613">
        <v>2.8451657516738544E-3</v>
      </c>
      <c r="V613" t="s">
        <v>153</v>
      </c>
    </row>
    <row r="614" spans="9:22" x14ac:dyDescent="0.45">
      <c r="I614" t="s">
        <v>179</v>
      </c>
      <c r="J614" t="s">
        <v>297</v>
      </c>
      <c r="K614">
        <v>2.9162750730542392E-2</v>
      </c>
      <c r="L614" t="s">
        <v>153</v>
      </c>
      <c r="N614" t="s">
        <v>222</v>
      </c>
      <c r="O614" t="s">
        <v>297</v>
      </c>
      <c r="P614">
        <v>5.7948034430766824E-3</v>
      </c>
      <c r="Q614" t="s">
        <v>153</v>
      </c>
      <c r="S614" t="s">
        <v>264</v>
      </c>
      <c r="T614" t="s">
        <v>297</v>
      </c>
      <c r="U614">
        <v>8.9604884241546862E-3</v>
      </c>
      <c r="V614" t="s">
        <v>153</v>
      </c>
    </row>
    <row r="615" spans="9:22" x14ac:dyDescent="0.45">
      <c r="I615" t="s">
        <v>179</v>
      </c>
      <c r="J615" t="s">
        <v>298</v>
      </c>
      <c r="K615">
        <v>5.9355396960116873E-2</v>
      </c>
      <c r="L615" t="s">
        <v>153</v>
      </c>
      <c r="N615" t="s">
        <v>222</v>
      </c>
      <c r="O615" t="s">
        <v>298</v>
      </c>
      <c r="P615">
        <v>2.0627272504688716E-2</v>
      </c>
      <c r="Q615" t="s">
        <v>153</v>
      </c>
      <c r="S615" t="s">
        <v>264</v>
      </c>
      <c r="T615" t="s">
        <v>298</v>
      </c>
      <c r="U615">
        <v>2.0567110801771302E-2</v>
      </c>
      <c r="V615" t="s">
        <v>153</v>
      </c>
    </row>
    <row r="616" spans="9:22" x14ac:dyDescent="0.45">
      <c r="I616" t="s">
        <v>179</v>
      </c>
      <c r="J616" t="s">
        <v>299</v>
      </c>
      <c r="K616">
        <v>7.6772709025492696E-3</v>
      </c>
      <c r="L616" t="s">
        <v>153</v>
      </c>
      <c r="N616" t="s">
        <v>222</v>
      </c>
      <c r="O616" t="s">
        <v>299</v>
      </c>
      <c r="P616">
        <v>4.1165908884872567E-3</v>
      </c>
      <c r="Q616" t="s">
        <v>153</v>
      </c>
      <c r="S616" t="s">
        <v>264</v>
      </c>
      <c r="T616" t="s">
        <v>299</v>
      </c>
      <c r="U616">
        <v>3.5476967849846471E-3</v>
      </c>
      <c r="V616" t="s">
        <v>153</v>
      </c>
    </row>
    <row r="617" spans="9:22" x14ac:dyDescent="0.45">
      <c r="I617" t="s">
        <v>179</v>
      </c>
      <c r="J617" t="s">
        <v>310</v>
      </c>
      <c r="K617">
        <v>5.9702626169751104E-3</v>
      </c>
      <c r="L617" t="s">
        <v>153</v>
      </c>
      <c r="N617" t="s">
        <v>222</v>
      </c>
      <c r="O617" t="s">
        <v>310</v>
      </c>
      <c r="P617">
        <v>3.8171110046514821E-3</v>
      </c>
      <c r="Q617" t="s">
        <v>153</v>
      </c>
      <c r="S617" t="s">
        <v>264</v>
      </c>
      <c r="T617" t="s">
        <v>310</v>
      </c>
      <c r="U617">
        <v>3.4870870916856099E-3</v>
      </c>
      <c r="V617" t="s">
        <v>153</v>
      </c>
    </row>
    <row r="618" spans="9:22" x14ac:dyDescent="0.45">
      <c r="I618" t="s">
        <v>179</v>
      </c>
      <c r="J618" t="s">
        <v>311</v>
      </c>
      <c r="K618">
        <v>2.8330684019977769E-3</v>
      </c>
      <c r="L618" t="s">
        <v>153</v>
      </c>
      <c r="N618" t="s">
        <v>222</v>
      </c>
      <c r="O618" t="s">
        <v>311</v>
      </c>
      <c r="P618">
        <v>1.4030615413231411E-2</v>
      </c>
      <c r="Q618" t="s">
        <v>153</v>
      </c>
      <c r="S618" t="s">
        <v>264</v>
      </c>
      <c r="T618" t="s">
        <v>311</v>
      </c>
      <c r="U618">
        <v>1.628044192905042E-2</v>
      </c>
      <c r="V618" t="s">
        <v>153</v>
      </c>
    </row>
    <row r="619" spans="9:22" x14ac:dyDescent="0.45">
      <c r="I619" t="s">
        <v>180</v>
      </c>
      <c r="J619" t="s">
        <v>152</v>
      </c>
      <c r="K619">
        <v>2.4881917165928001E-5</v>
      </c>
      <c r="L619" t="s">
        <v>153</v>
      </c>
      <c r="N619" t="s">
        <v>223</v>
      </c>
      <c r="O619" t="s">
        <v>152</v>
      </c>
      <c r="P619">
        <v>0.11881411479582103</v>
      </c>
      <c r="Q619" t="s">
        <v>153</v>
      </c>
      <c r="S619" t="s">
        <v>265</v>
      </c>
      <c r="T619" t="s">
        <v>152</v>
      </c>
      <c r="U619">
        <v>9.625218574265608E-2</v>
      </c>
      <c r="V619" t="s">
        <v>153</v>
      </c>
    </row>
    <row r="620" spans="9:22" x14ac:dyDescent="0.45">
      <c r="I620" t="s">
        <v>180</v>
      </c>
      <c r="J620" t="s">
        <v>154</v>
      </c>
      <c r="K620">
        <v>1.1143288635594337E-2</v>
      </c>
      <c r="L620" t="s">
        <v>153</v>
      </c>
      <c r="N620" t="s">
        <v>223</v>
      </c>
      <c r="O620" t="s">
        <v>154</v>
      </c>
      <c r="P620">
        <v>1.6504855873030213E-2</v>
      </c>
      <c r="Q620" t="s">
        <v>153</v>
      </c>
      <c r="S620" t="s">
        <v>265</v>
      </c>
      <c r="T620" t="s">
        <v>154</v>
      </c>
      <c r="U620">
        <v>1.586046825800496E-2</v>
      </c>
      <c r="V620" t="s">
        <v>153</v>
      </c>
    </row>
    <row r="621" spans="9:22" x14ac:dyDescent="0.45">
      <c r="I621" t="s">
        <v>180</v>
      </c>
      <c r="J621" t="s">
        <v>155</v>
      </c>
      <c r="K621">
        <v>2.7127471550447257E-2</v>
      </c>
      <c r="L621" t="s">
        <v>153</v>
      </c>
      <c r="N621" t="s">
        <v>223</v>
      </c>
      <c r="O621" t="s">
        <v>155</v>
      </c>
      <c r="P621">
        <v>1.5936975129809915E-2</v>
      </c>
      <c r="Q621" t="s">
        <v>153</v>
      </c>
      <c r="S621" t="s">
        <v>265</v>
      </c>
      <c r="T621" t="s">
        <v>155</v>
      </c>
      <c r="U621">
        <v>1.5920879560161385E-2</v>
      </c>
      <c r="V621" t="s">
        <v>153</v>
      </c>
    </row>
    <row r="622" spans="9:22" x14ac:dyDescent="0.45">
      <c r="I622" t="s">
        <v>180</v>
      </c>
      <c r="J622" t="s">
        <v>280</v>
      </c>
      <c r="K622">
        <v>0.11772453647670379</v>
      </c>
      <c r="L622" t="s">
        <v>153</v>
      </c>
      <c r="N622" t="s">
        <v>223</v>
      </c>
      <c r="O622" t="s">
        <v>280</v>
      </c>
      <c r="P622">
        <v>4.921946546061777E-2</v>
      </c>
      <c r="Q622" t="s">
        <v>153</v>
      </c>
      <c r="S622" t="s">
        <v>265</v>
      </c>
      <c r="T622" t="s">
        <v>280</v>
      </c>
      <c r="U622">
        <v>4.9338480404263474E-2</v>
      </c>
      <c r="V622" t="s">
        <v>153</v>
      </c>
    </row>
    <row r="623" spans="9:22" x14ac:dyDescent="0.45">
      <c r="I623" t="s">
        <v>180</v>
      </c>
      <c r="J623" t="s">
        <v>281</v>
      </c>
      <c r="K623">
        <v>0.25318485601129082</v>
      </c>
      <c r="L623" t="s">
        <v>153</v>
      </c>
      <c r="N623" t="s">
        <v>223</v>
      </c>
      <c r="O623" t="s">
        <v>281</v>
      </c>
      <c r="P623">
        <v>7.4759128283334447E-2</v>
      </c>
      <c r="Q623" t="s">
        <v>153</v>
      </c>
      <c r="S623" t="s">
        <v>265</v>
      </c>
      <c r="T623" t="s">
        <v>281</v>
      </c>
      <c r="U623">
        <v>0.12068718231170503</v>
      </c>
      <c r="V623" t="s">
        <v>153</v>
      </c>
    </row>
    <row r="624" spans="9:22" x14ac:dyDescent="0.45">
      <c r="I624" t="s">
        <v>180</v>
      </c>
      <c r="J624" t="s">
        <v>282</v>
      </c>
      <c r="K624">
        <v>2.8034133828378383E-2</v>
      </c>
      <c r="L624" t="s">
        <v>153</v>
      </c>
      <c r="N624" t="s">
        <v>223</v>
      </c>
      <c r="O624" t="s">
        <v>282</v>
      </c>
      <c r="P624">
        <v>1.5419557326019094E-2</v>
      </c>
      <c r="Q624" t="s">
        <v>153</v>
      </c>
      <c r="S624" t="s">
        <v>265</v>
      </c>
      <c r="T624" t="s">
        <v>282</v>
      </c>
      <c r="U624">
        <v>1.9943809932668349E-2</v>
      </c>
      <c r="V624" t="s">
        <v>153</v>
      </c>
    </row>
    <row r="625" spans="9:22" x14ac:dyDescent="0.45">
      <c r="I625" t="s">
        <v>180</v>
      </c>
      <c r="J625" t="s">
        <v>304</v>
      </c>
      <c r="K625">
        <v>1.5855555271432883E-2</v>
      </c>
      <c r="L625" t="s">
        <v>153</v>
      </c>
      <c r="N625" t="s">
        <v>223</v>
      </c>
      <c r="O625" t="s">
        <v>304</v>
      </c>
      <c r="P625">
        <v>1.8600437699306086E-2</v>
      </c>
      <c r="Q625" t="s">
        <v>153</v>
      </c>
      <c r="S625" t="s">
        <v>265</v>
      </c>
      <c r="T625" t="s">
        <v>304</v>
      </c>
      <c r="U625">
        <v>1.8949224803921503E-2</v>
      </c>
      <c r="V625" t="s">
        <v>153</v>
      </c>
    </row>
    <row r="626" spans="9:22" x14ac:dyDescent="0.45">
      <c r="I626" t="s">
        <v>180</v>
      </c>
      <c r="J626" t="s">
        <v>305</v>
      </c>
      <c r="K626">
        <v>2.9483284661616215E-3</v>
      </c>
      <c r="L626" t="s">
        <v>153</v>
      </c>
      <c r="N626" t="s">
        <v>223</v>
      </c>
      <c r="O626" t="s">
        <v>305</v>
      </c>
      <c r="P626">
        <v>0.11951296606336927</v>
      </c>
      <c r="Q626" t="s">
        <v>153</v>
      </c>
      <c r="S626" t="s">
        <v>265</v>
      </c>
      <c r="T626" t="s">
        <v>305</v>
      </c>
      <c r="U626">
        <v>8.8134125464571736E-2</v>
      </c>
      <c r="V626" t="s">
        <v>153</v>
      </c>
    </row>
    <row r="627" spans="9:22" x14ac:dyDescent="0.45">
      <c r="I627" t="s">
        <v>180</v>
      </c>
      <c r="J627" t="s">
        <v>156</v>
      </c>
      <c r="K627">
        <v>0</v>
      </c>
      <c r="L627" t="s">
        <v>153</v>
      </c>
      <c r="N627" t="s">
        <v>223</v>
      </c>
      <c r="O627" t="s">
        <v>156</v>
      </c>
      <c r="P627">
        <v>3.3721624221585811E-2</v>
      </c>
      <c r="Q627" t="s">
        <v>153</v>
      </c>
      <c r="S627" t="s">
        <v>265</v>
      </c>
      <c r="T627" t="s">
        <v>156</v>
      </c>
      <c r="U627">
        <v>4.8842246282131151E-2</v>
      </c>
      <c r="V627" t="s">
        <v>153</v>
      </c>
    </row>
    <row r="628" spans="9:22" x14ac:dyDescent="0.45">
      <c r="I628" t="s">
        <v>180</v>
      </c>
      <c r="J628" t="s">
        <v>157</v>
      </c>
      <c r="K628">
        <v>0</v>
      </c>
      <c r="L628" t="s">
        <v>153</v>
      </c>
      <c r="N628" t="s">
        <v>223</v>
      </c>
      <c r="O628" t="s">
        <v>157</v>
      </c>
      <c r="P628">
        <v>5.5500657452864756E-3</v>
      </c>
      <c r="Q628" t="s">
        <v>153</v>
      </c>
      <c r="S628" t="s">
        <v>265</v>
      </c>
      <c r="T628" t="s">
        <v>157</v>
      </c>
      <c r="U628">
        <v>7.7328332479945257E-3</v>
      </c>
      <c r="V628" t="s">
        <v>153</v>
      </c>
    </row>
    <row r="629" spans="9:22" x14ac:dyDescent="0.45">
      <c r="I629" t="s">
        <v>180</v>
      </c>
      <c r="J629" t="s">
        <v>158</v>
      </c>
      <c r="K629">
        <v>2.7440104711901115E-3</v>
      </c>
      <c r="L629" t="s">
        <v>153</v>
      </c>
      <c r="N629" t="s">
        <v>223</v>
      </c>
      <c r="O629" t="s">
        <v>158</v>
      </c>
      <c r="P629">
        <v>5.4328072668777391E-3</v>
      </c>
      <c r="Q629" t="s">
        <v>153</v>
      </c>
      <c r="S629" t="s">
        <v>265</v>
      </c>
      <c r="T629" t="s">
        <v>158</v>
      </c>
      <c r="U629">
        <v>7.6779611292684099E-3</v>
      </c>
      <c r="V629" t="s">
        <v>153</v>
      </c>
    </row>
    <row r="630" spans="9:22" x14ac:dyDescent="0.45">
      <c r="I630" t="s">
        <v>180</v>
      </c>
      <c r="J630" t="s">
        <v>283</v>
      </c>
      <c r="K630">
        <v>2.736240009560292E-2</v>
      </c>
      <c r="L630" t="s">
        <v>153</v>
      </c>
      <c r="N630" t="s">
        <v>223</v>
      </c>
      <c r="O630" t="s">
        <v>283</v>
      </c>
      <c r="P630">
        <v>1.5763397692822069E-2</v>
      </c>
      <c r="Q630" t="s">
        <v>153</v>
      </c>
      <c r="S630" t="s">
        <v>265</v>
      </c>
      <c r="T630" t="s">
        <v>283</v>
      </c>
      <c r="U630">
        <v>2.3429372905974431E-2</v>
      </c>
      <c r="V630" t="s">
        <v>153</v>
      </c>
    </row>
    <row r="631" spans="9:22" x14ac:dyDescent="0.45">
      <c r="I631" t="s">
        <v>180</v>
      </c>
      <c r="J631" t="s">
        <v>284</v>
      </c>
      <c r="K631">
        <v>6.3319636777498078E-2</v>
      </c>
      <c r="L631" t="s">
        <v>153</v>
      </c>
      <c r="N631" t="s">
        <v>223</v>
      </c>
      <c r="O631" t="s">
        <v>284</v>
      </c>
      <c r="P631">
        <v>2.7732906994955397E-2</v>
      </c>
      <c r="Q631" t="s">
        <v>153</v>
      </c>
      <c r="S631" t="s">
        <v>265</v>
      </c>
      <c r="T631" t="s">
        <v>284</v>
      </c>
      <c r="U631">
        <v>4.8329937085851149E-2</v>
      </c>
      <c r="V631" t="s">
        <v>153</v>
      </c>
    </row>
    <row r="632" spans="9:22" x14ac:dyDescent="0.45">
      <c r="I632" t="s">
        <v>180</v>
      </c>
      <c r="J632" t="s">
        <v>285</v>
      </c>
      <c r="K632">
        <v>4.4400038149331458E-3</v>
      </c>
      <c r="L632" t="s">
        <v>153</v>
      </c>
      <c r="N632" t="s">
        <v>223</v>
      </c>
      <c r="O632" t="s">
        <v>285</v>
      </c>
      <c r="P632">
        <v>4.49778487445689E-3</v>
      </c>
      <c r="Q632" t="s">
        <v>153</v>
      </c>
      <c r="S632" t="s">
        <v>265</v>
      </c>
      <c r="T632" t="s">
        <v>285</v>
      </c>
      <c r="U632">
        <v>8.0569475923424182E-3</v>
      </c>
      <c r="V632" t="s">
        <v>153</v>
      </c>
    </row>
    <row r="633" spans="9:22" x14ac:dyDescent="0.45">
      <c r="I633" t="s">
        <v>180</v>
      </c>
      <c r="J633" t="s">
        <v>306</v>
      </c>
      <c r="K633">
        <v>0</v>
      </c>
      <c r="L633" t="s">
        <v>153</v>
      </c>
      <c r="N633" t="s">
        <v>223</v>
      </c>
      <c r="O633" t="s">
        <v>306</v>
      </c>
      <c r="P633">
        <v>5.6301821757933071E-3</v>
      </c>
      <c r="Q633" t="s">
        <v>153</v>
      </c>
      <c r="S633" t="s">
        <v>265</v>
      </c>
      <c r="T633" t="s">
        <v>306</v>
      </c>
      <c r="U633">
        <v>8.0080519674690567E-3</v>
      </c>
      <c r="V633" t="s">
        <v>153</v>
      </c>
    </row>
    <row r="634" spans="9:22" x14ac:dyDescent="0.45">
      <c r="I634" t="s">
        <v>180</v>
      </c>
      <c r="J634" t="s">
        <v>307</v>
      </c>
      <c r="K634">
        <v>0</v>
      </c>
      <c r="L634" t="s">
        <v>153</v>
      </c>
      <c r="N634" t="s">
        <v>223</v>
      </c>
      <c r="O634" t="s">
        <v>307</v>
      </c>
      <c r="P634">
        <v>3.1822023503884335E-2</v>
      </c>
      <c r="Q634" t="s">
        <v>153</v>
      </c>
      <c r="S634" t="s">
        <v>265</v>
      </c>
      <c r="T634" t="s">
        <v>307</v>
      </c>
      <c r="U634">
        <v>4.2115792484773942E-2</v>
      </c>
      <c r="V634" t="s">
        <v>153</v>
      </c>
    </row>
    <row r="635" spans="9:22" x14ac:dyDescent="0.45">
      <c r="I635" t="s">
        <v>180</v>
      </c>
      <c r="J635" t="s">
        <v>159</v>
      </c>
      <c r="K635">
        <v>2.7617795537037211E-3</v>
      </c>
      <c r="L635" t="s">
        <v>153</v>
      </c>
      <c r="N635" t="s">
        <v>223</v>
      </c>
      <c r="O635" t="s">
        <v>159</v>
      </c>
      <c r="P635">
        <v>9.1998037052007903E-2</v>
      </c>
      <c r="Q635" t="s">
        <v>153</v>
      </c>
      <c r="S635" t="s">
        <v>265</v>
      </c>
      <c r="T635" t="s">
        <v>159</v>
      </c>
      <c r="U635">
        <v>7.0478028825850483E-2</v>
      </c>
      <c r="V635" t="s">
        <v>153</v>
      </c>
    </row>
    <row r="636" spans="9:22" x14ac:dyDescent="0.45">
      <c r="I636" t="s">
        <v>180</v>
      </c>
      <c r="J636" t="s">
        <v>160</v>
      </c>
      <c r="K636">
        <v>1.2008385330841196E-2</v>
      </c>
      <c r="L636" t="s">
        <v>153</v>
      </c>
      <c r="N636" t="s">
        <v>223</v>
      </c>
      <c r="O636" t="s">
        <v>160</v>
      </c>
      <c r="P636">
        <v>1.3725893733075473E-2</v>
      </c>
      <c r="Q636" t="s">
        <v>153</v>
      </c>
      <c r="S636" t="s">
        <v>265</v>
      </c>
      <c r="T636" t="s">
        <v>160</v>
      </c>
      <c r="U636">
        <v>1.1134110397186578E-2</v>
      </c>
      <c r="V636" t="s">
        <v>153</v>
      </c>
    </row>
    <row r="637" spans="9:22" x14ac:dyDescent="0.45">
      <c r="I637" t="s">
        <v>180</v>
      </c>
      <c r="J637" t="s">
        <v>161</v>
      </c>
      <c r="K637">
        <v>2.1903973849233083E-2</v>
      </c>
      <c r="L637" t="s">
        <v>153</v>
      </c>
      <c r="N637" t="s">
        <v>223</v>
      </c>
      <c r="O637" t="s">
        <v>161</v>
      </c>
      <c r="P637">
        <v>1.3879852032067931E-2</v>
      </c>
      <c r="Q637" t="s">
        <v>153</v>
      </c>
      <c r="S637" t="s">
        <v>265</v>
      </c>
      <c r="T637" t="s">
        <v>161</v>
      </c>
      <c r="U637">
        <v>1.1108249298863043E-2</v>
      </c>
      <c r="V637" t="s">
        <v>153</v>
      </c>
    </row>
    <row r="638" spans="9:22" x14ac:dyDescent="0.45">
      <c r="I638" t="s">
        <v>180</v>
      </c>
      <c r="J638" t="s">
        <v>286</v>
      </c>
      <c r="K638">
        <v>8.488614303044327E-2</v>
      </c>
      <c r="L638" t="s">
        <v>153</v>
      </c>
      <c r="N638" t="s">
        <v>223</v>
      </c>
      <c r="O638" t="s">
        <v>286</v>
      </c>
      <c r="P638">
        <v>3.9854376330842052E-2</v>
      </c>
      <c r="Q638" t="s">
        <v>153</v>
      </c>
      <c r="S638" t="s">
        <v>265</v>
      </c>
      <c r="T638" t="s">
        <v>286</v>
      </c>
      <c r="U638">
        <v>3.5443993720290112E-2</v>
      </c>
      <c r="V638" t="s">
        <v>153</v>
      </c>
    </row>
    <row r="639" spans="9:22" x14ac:dyDescent="0.45">
      <c r="I639" t="s">
        <v>180</v>
      </c>
      <c r="J639" t="s">
        <v>287</v>
      </c>
      <c r="K639">
        <v>0.18014514836754655</v>
      </c>
      <c r="L639" t="s">
        <v>153</v>
      </c>
      <c r="N639" t="s">
        <v>223</v>
      </c>
      <c r="O639" t="s">
        <v>287</v>
      </c>
      <c r="P639">
        <v>6.4201919186916284E-2</v>
      </c>
      <c r="Q639" t="s">
        <v>153</v>
      </c>
      <c r="S639" t="s">
        <v>265</v>
      </c>
      <c r="T639" t="s">
        <v>287</v>
      </c>
      <c r="U639">
        <v>8.4852082445194599E-2</v>
      </c>
      <c r="V639" t="s">
        <v>153</v>
      </c>
    </row>
    <row r="640" spans="9:22" x14ac:dyDescent="0.45">
      <c r="I640" t="s">
        <v>180</v>
      </c>
      <c r="J640" t="s">
        <v>288</v>
      </c>
      <c r="K640">
        <v>2.0948349038943367E-2</v>
      </c>
      <c r="L640" t="s">
        <v>153</v>
      </c>
      <c r="N640" t="s">
        <v>223</v>
      </c>
      <c r="O640" t="s">
        <v>288</v>
      </c>
      <c r="P640">
        <v>1.387136651861761E-2</v>
      </c>
      <c r="Q640" t="s">
        <v>153</v>
      </c>
      <c r="S640" t="s">
        <v>265</v>
      </c>
      <c r="T640" t="s">
        <v>288</v>
      </c>
      <c r="U640">
        <v>1.3938065613938733E-2</v>
      </c>
      <c r="V640" t="s">
        <v>153</v>
      </c>
    </row>
    <row r="641" spans="9:22" x14ac:dyDescent="0.45">
      <c r="I641" t="s">
        <v>180</v>
      </c>
      <c r="J641" t="s">
        <v>308</v>
      </c>
      <c r="K641">
        <v>7.5152672296997704E-3</v>
      </c>
      <c r="L641" t="s">
        <v>153</v>
      </c>
      <c r="N641" t="s">
        <v>223</v>
      </c>
      <c r="O641" t="s">
        <v>308</v>
      </c>
      <c r="P641">
        <v>1.7073970428172183E-2</v>
      </c>
      <c r="Q641" t="s">
        <v>153</v>
      </c>
      <c r="S641" t="s">
        <v>265</v>
      </c>
      <c r="T641" t="s">
        <v>308</v>
      </c>
      <c r="U641">
        <v>1.3260925321261415E-2</v>
      </c>
      <c r="V641" t="s">
        <v>153</v>
      </c>
    </row>
    <row r="642" spans="9:22" x14ac:dyDescent="0.45">
      <c r="I642" t="s">
        <v>180</v>
      </c>
      <c r="J642" t="s">
        <v>309</v>
      </c>
      <c r="K642">
        <v>0</v>
      </c>
      <c r="L642" t="s">
        <v>153</v>
      </c>
      <c r="N642" t="s">
        <v>223</v>
      </c>
      <c r="O642" t="s">
        <v>309</v>
      </c>
      <c r="P642">
        <v>0.10748999287020329</v>
      </c>
      <c r="Q642" t="s">
        <v>153</v>
      </c>
      <c r="S642" t="s">
        <v>265</v>
      </c>
      <c r="T642" t="s">
        <v>309</v>
      </c>
      <c r="U642">
        <v>6.2347521685422722E-2</v>
      </c>
      <c r="V642" t="s">
        <v>153</v>
      </c>
    </row>
    <row r="643" spans="9:22" x14ac:dyDescent="0.45">
      <c r="I643" t="s">
        <v>180</v>
      </c>
      <c r="J643" t="s">
        <v>294</v>
      </c>
      <c r="K643">
        <v>3.0050972930996569E-3</v>
      </c>
      <c r="L643" t="s">
        <v>153</v>
      </c>
      <c r="N643" t="s">
        <v>223</v>
      </c>
      <c r="O643" t="s">
        <v>294</v>
      </c>
      <c r="P643">
        <v>2.0362243801815737E-2</v>
      </c>
      <c r="Q643" t="s">
        <v>153</v>
      </c>
      <c r="S643" t="s">
        <v>265</v>
      </c>
      <c r="T643" t="s">
        <v>294</v>
      </c>
      <c r="U643">
        <v>1.5899877875271497E-2</v>
      </c>
      <c r="V643" t="s">
        <v>153</v>
      </c>
    </row>
    <row r="644" spans="9:22" x14ac:dyDescent="0.45">
      <c r="I644" t="s">
        <v>180</v>
      </c>
      <c r="J644" t="s">
        <v>295</v>
      </c>
      <c r="K644">
        <v>5.4216424126662909E-3</v>
      </c>
      <c r="L644" t="s">
        <v>153</v>
      </c>
      <c r="N644" t="s">
        <v>223</v>
      </c>
      <c r="O644" t="s">
        <v>295</v>
      </c>
      <c r="P644">
        <v>3.003183878865555E-3</v>
      </c>
      <c r="Q644" t="s">
        <v>153</v>
      </c>
      <c r="S644" t="s">
        <v>265</v>
      </c>
      <c r="T644" t="s">
        <v>295</v>
      </c>
      <c r="U644">
        <v>2.4252741182189631E-3</v>
      </c>
      <c r="V644" t="s">
        <v>153</v>
      </c>
    </row>
    <row r="645" spans="9:22" x14ac:dyDescent="0.45">
      <c r="I645" t="s">
        <v>180</v>
      </c>
      <c r="J645" t="s">
        <v>296</v>
      </c>
      <c r="K645">
        <v>7.921641172434303E-3</v>
      </c>
      <c r="L645" t="s">
        <v>153</v>
      </c>
      <c r="N645" t="s">
        <v>223</v>
      </c>
      <c r="O645" t="s">
        <v>296</v>
      </c>
      <c r="P645">
        <v>2.9993751949883253E-3</v>
      </c>
      <c r="Q645" t="s">
        <v>153</v>
      </c>
      <c r="S645" t="s">
        <v>265</v>
      </c>
      <c r="T645" t="s">
        <v>296</v>
      </c>
      <c r="U645">
        <v>2.4490301104268136E-3</v>
      </c>
      <c r="V645" t="s">
        <v>153</v>
      </c>
    </row>
    <row r="646" spans="9:22" x14ac:dyDescent="0.45">
      <c r="I646" t="s">
        <v>180</v>
      </c>
      <c r="J646" t="s">
        <v>297</v>
      </c>
      <c r="K646">
        <v>2.9736905351225782E-2</v>
      </c>
      <c r="L646" t="s">
        <v>153</v>
      </c>
      <c r="N646" t="s">
        <v>223</v>
      </c>
      <c r="O646" t="s">
        <v>297</v>
      </c>
      <c r="P646">
        <v>8.943388631739848E-3</v>
      </c>
      <c r="Q646" t="s">
        <v>153</v>
      </c>
      <c r="S646" t="s">
        <v>265</v>
      </c>
      <c r="T646" t="s">
        <v>297</v>
      </c>
      <c r="U646">
        <v>8.3617600295419394E-3</v>
      </c>
      <c r="V646" t="s">
        <v>153</v>
      </c>
    </row>
    <row r="647" spans="9:22" x14ac:dyDescent="0.45">
      <c r="I647" t="s">
        <v>180</v>
      </c>
      <c r="J647" t="s">
        <v>298</v>
      </c>
      <c r="K647">
        <v>5.6943470481739304E-2</v>
      </c>
      <c r="L647" t="s">
        <v>153</v>
      </c>
      <c r="N647" t="s">
        <v>223</v>
      </c>
      <c r="O647" t="s">
        <v>298</v>
      </c>
      <c r="P647">
        <v>1.5945590133070356E-2</v>
      </c>
      <c r="Q647" t="s">
        <v>153</v>
      </c>
      <c r="S647" t="s">
        <v>265</v>
      </c>
      <c r="T647" t="s">
        <v>298</v>
      </c>
      <c r="U647">
        <v>2.5041321594621791E-2</v>
      </c>
      <c r="V647" t="s">
        <v>153</v>
      </c>
    </row>
    <row r="648" spans="9:22" x14ac:dyDescent="0.45">
      <c r="I648" t="s">
        <v>180</v>
      </c>
      <c r="J648" t="s">
        <v>299</v>
      </c>
      <c r="K648">
        <v>6.9987206884178244E-3</v>
      </c>
      <c r="L648" t="s">
        <v>153</v>
      </c>
      <c r="N648" t="s">
        <v>223</v>
      </c>
      <c r="O648" t="s">
        <v>299</v>
      </c>
      <c r="P648">
        <v>3.426421313024979E-3</v>
      </c>
      <c r="Q648" t="s">
        <v>153</v>
      </c>
      <c r="S648" t="s">
        <v>265</v>
      </c>
      <c r="T648" t="s">
        <v>299</v>
      </c>
      <c r="U648">
        <v>4.1020481111210374E-3</v>
      </c>
      <c r="V648" t="s">
        <v>153</v>
      </c>
    </row>
    <row r="649" spans="9:22" x14ac:dyDescent="0.45">
      <c r="I649" t="s">
        <v>180</v>
      </c>
      <c r="J649" t="s">
        <v>310</v>
      </c>
      <c r="K649">
        <v>5.166781379020071E-3</v>
      </c>
      <c r="L649" t="s">
        <v>153</v>
      </c>
      <c r="N649" t="s">
        <v>223</v>
      </c>
      <c r="O649" t="s">
        <v>310</v>
      </c>
      <c r="P649">
        <v>3.6962343167915115E-3</v>
      </c>
      <c r="Q649" t="s">
        <v>153</v>
      </c>
      <c r="S649" t="s">
        <v>265</v>
      </c>
      <c r="T649" t="s">
        <v>310</v>
      </c>
      <c r="U649">
        <v>3.7534297841764429E-3</v>
      </c>
      <c r="V649" t="s">
        <v>153</v>
      </c>
    </row>
    <row r="650" spans="9:22" x14ac:dyDescent="0.45">
      <c r="I650" t="s">
        <v>180</v>
      </c>
      <c r="J650" t="s">
        <v>311</v>
      </c>
      <c r="K650">
        <v>7.2759150458614758E-4</v>
      </c>
      <c r="L650" t="s">
        <v>153</v>
      </c>
      <c r="N650" t="s">
        <v>223</v>
      </c>
      <c r="O650" t="s">
        <v>311</v>
      </c>
      <c r="P650">
        <v>2.0609861470833036E-2</v>
      </c>
      <c r="Q650" t="s">
        <v>153</v>
      </c>
      <c r="S650" t="s">
        <v>265</v>
      </c>
      <c r="T650" t="s">
        <v>311</v>
      </c>
      <c r="U650">
        <v>1.612478189485873E-2</v>
      </c>
      <c r="V650" t="s">
        <v>153</v>
      </c>
    </row>
    <row r="651" spans="9:22" x14ac:dyDescent="0.45">
      <c r="I651" t="s">
        <v>181</v>
      </c>
      <c r="J651" t="s">
        <v>152</v>
      </c>
      <c r="K651">
        <v>0</v>
      </c>
      <c r="L651" t="s">
        <v>153</v>
      </c>
      <c r="N651" t="s">
        <v>224</v>
      </c>
      <c r="O651" t="s">
        <v>152</v>
      </c>
      <c r="P651">
        <v>0.11547061837750321</v>
      </c>
      <c r="Q651" t="s">
        <v>153</v>
      </c>
    </row>
    <row r="652" spans="9:22" x14ac:dyDescent="0.45">
      <c r="I652" t="s">
        <v>181</v>
      </c>
      <c r="J652" t="s">
        <v>154</v>
      </c>
      <c r="K652">
        <v>1.018004918464714E-2</v>
      </c>
      <c r="L652" t="s">
        <v>153</v>
      </c>
      <c r="N652" t="s">
        <v>224</v>
      </c>
      <c r="O652" t="s">
        <v>154</v>
      </c>
      <c r="P652">
        <v>1.740902036168086E-2</v>
      </c>
      <c r="Q652" t="s">
        <v>153</v>
      </c>
    </row>
    <row r="653" spans="9:22" x14ac:dyDescent="0.45">
      <c r="I653" t="s">
        <v>181</v>
      </c>
      <c r="J653" t="s">
        <v>155</v>
      </c>
      <c r="K653">
        <v>2.7609233499891365E-2</v>
      </c>
      <c r="L653" t="s">
        <v>153</v>
      </c>
      <c r="N653" t="s">
        <v>224</v>
      </c>
      <c r="O653" t="s">
        <v>155</v>
      </c>
      <c r="P653">
        <v>1.6250987377148998E-2</v>
      </c>
      <c r="Q653" t="s">
        <v>153</v>
      </c>
    </row>
    <row r="654" spans="9:22" x14ac:dyDescent="0.45">
      <c r="I654" t="s">
        <v>181</v>
      </c>
      <c r="J654" t="s">
        <v>280</v>
      </c>
      <c r="K654">
        <v>0.11901175644879899</v>
      </c>
      <c r="L654" t="s">
        <v>153</v>
      </c>
      <c r="N654" t="s">
        <v>224</v>
      </c>
      <c r="O654" t="s">
        <v>280</v>
      </c>
      <c r="P654">
        <v>4.6927560138639413E-2</v>
      </c>
      <c r="Q654" t="s">
        <v>153</v>
      </c>
    </row>
    <row r="655" spans="9:22" x14ac:dyDescent="0.45">
      <c r="I655" t="s">
        <v>181</v>
      </c>
      <c r="J655" t="s">
        <v>281</v>
      </c>
      <c r="K655">
        <v>0.25119671054302256</v>
      </c>
      <c r="L655" t="s">
        <v>153</v>
      </c>
      <c r="N655" t="s">
        <v>224</v>
      </c>
      <c r="O655" t="s">
        <v>281</v>
      </c>
      <c r="P655">
        <v>8.3402119611502235E-2</v>
      </c>
      <c r="Q655" t="s">
        <v>153</v>
      </c>
    </row>
    <row r="656" spans="9:22" x14ac:dyDescent="0.45">
      <c r="I656" t="s">
        <v>181</v>
      </c>
      <c r="J656" t="s">
        <v>282</v>
      </c>
      <c r="K656">
        <v>2.9629042948502698E-2</v>
      </c>
      <c r="L656" t="s">
        <v>153</v>
      </c>
      <c r="N656" t="s">
        <v>224</v>
      </c>
      <c r="O656" t="s">
        <v>282</v>
      </c>
      <c r="P656">
        <v>1.8129065440935874E-2</v>
      </c>
      <c r="Q656" t="s">
        <v>153</v>
      </c>
    </row>
    <row r="657" spans="9:17" x14ac:dyDescent="0.45">
      <c r="I657" t="s">
        <v>181</v>
      </c>
      <c r="J657" t="s">
        <v>304</v>
      </c>
      <c r="K657">
        <v>1.6808649694848202E-2</v>
      </c>
      <c r="L657" t="s">
        <v>153</v>
      </c>
      <c r="N657" t="s">
        <v>224</v>
      </c>
      <c r="O657" t="s">
        <v>304</v>
      </c>
      <c r="P657">
        <v>2.1803284378895779E-2</v>
      </c>
      <c r="Q657" t="s">
        <v>153</v>
      </c>
    </row>
    <row r="658" spans="9:17" x14ac:dyDescent="0.45">
      <c r="I658" t="s">
        <v>181</v>
      </c>
      <c r="J658" t="s">
        <v>305</v>
      </c>
      <c r="K658">
        <v>4.2445442524568864E-3</v>
      </c>
      <c r="L658" t="s">
        <v>153</v>
      </c>
      <c r="N658" t="s">
        <v>224</v>
      </c>
      <c r="O658" t="s">
        <v>305</v>
      </c>
      <c r="P658">
        <v>0.12753276594402807</v>
      </c>
      <c r="Q658" t="s">
        <v>153</v>
      </c>
    </row>
    <row r="659" spans="9:17" x14ac:dyDescent="0.45">
      <c r="I659" t="s">
        <v>181</v>
      </c>
      <c r="J659" t="s">
        <v>156</v>
      </c>
      <c r="K659">
        <v>0</v>
      </c>
      <c r="L659" t="s">
        <v>153</v>
      </c>
      <c r="N659" t="s">
        <v>224</v>
      </c>
      <c r="O659" t="s">
        <v>156</v>
      </c>
      <c r="P659">
        <v>4.2616103584070704E-2</v>
      </c>
      <c r="Q659" t="s">
        <v>153</v>
      </c>
    </row>
    <row r="660" spans="9:17" x14ac:dyDescent="0.45">
      <c r="I660" t="s">
        <v>181</v>
      </c>
      <c r="J660" t="s">
        <v>157</v>
      </c>
      <c r="K660">
        <v>0</v>
      </c>
      <c r="L660" t="s">
        <v>153</v>
      </c>
      <c r="N660" t="s">
        <v>224</v>
      </c>
      <c r="O660" t="s">
        <v>157</v>
      </c>
      <c r="P660">
        <v>6.4536391008358472E-3</v>
      </c>
      <c r="Q660" t="s">
        <v>153</v>
      </c>
    </row>
    <row r="661" spans="9:17" x14ac:dyDescent="0.45">
      <c r="I661" t="s">
        <v>181</v>
      </c>
      <c r="J661" t="s">
        <v>158</v>
      </c>
      <c r="K661">
        <v>2.2023845651979682E-3</v>
      </c>
      <c r="L661" t="s">
        <v>153</v>
      </c>
      <c r="N661" t="s">
        <v>224</v>
      </c>
      <c r="O661" t="s">
        <v>158</v>
      </c>
      <c r="P661">
        <v>6.1668805608020147E-3</v>
      </c>
      <c r="Q661" t="s">
        <v>153</v>
      </c>
    </row>
    <row r="662" spans="9:17" x14ac:dyDescent="0.45">
      <c r="I662" t="s">
        <v>181</v>
      </c>
      <c r="J662" t="s">
        <v>283</v>
      </c>
      <c r="K662">
        <v>2.7681661710123328E-2</v>
      </c>
      <c r="L662" t="s">
        <v>153</v>
      </c>
      <c r="N662" t="s">
        <v>224</v>
      </c>
      <c r="O662" t="s">
        <v>283</v>
      </c>
      <c r="P662">
        <v>1.3633535987939109E-2</v>
      </c>
      <c r="Q662" t="s">
        <v>153</v>
      </c>
    </row>
    <row r="663" spans="9:17" x14ac:dyDescent="0.45">
      <c r="I663" t="s">
        <v>181</v>
      </c>
      <c r="J663" t="s">
        <v>284</v>
      </c>
      <c r="K663">
        <v>6.4053807603552199E-2</v>
      </c>
      <c r="L663" t="s">
        <v>153</v>
      </c>
      <c r="N663" t="s">
        <v>224</v>
      </c>
      <c r="O663" t="s">
        <v>284</v>
      </c>
      <c r="P663">
        <v>2.2801087712775444E-2</v>
      </c>
      <c r="Q663" t="s">
        <v>153</v>
      </c>
    </row>
    <row r="664" spans="9:17" x14ac:dyDescent="0.45">
      <c r="I664" t="s">
        <v>181</v>
      </c>
      <c r="J664" t="s">
        <v>285</v>
      </c>
      <c r="K664">
        <v>5.8351808204569113E-3</v>
      </c>
      <c r="L664" t="s">
        <v>153</v>
      </c>
      <c r="N664" t="s">
        <v>224</v>
      </c>
      <c r="O664" t="s">
        <v>285</v>
      </c>
      <c r="P664">
        <v>5.2336388895944568E-3</v>
      </c>
      <c r="Q664" t="s">
        <v>153</v>
      </c>
    </row>
    <row r="665" spans="9:17" x14ac:dyDescent="0.45">
      <c r="I665" t="s">
        <v>181</v>
      </c>
      <c r="J665" t="s">
        <v>306</v>
      </c>
      <c r="K665">
        <v>0</v>
      </c>
      <c r="L665" t="s">
        <v>153</v>
      </c>
      <c r="N665" t="s">
        <v>224</v>
      </c>
      <c r="O665" t="s">
        <v>306</v>
      </c>
      <c r="P665">
        <v>7.4273443859089556E-3</v>
      </c>
      <c r="Q665" t="s">
        <v>153</v>
      </c>
    </row>
    <row r="666" spans="9:17" x14ac:dyDescent="0.45">
      <c r="I666" t="s">
        <v>181</v>
      </c>
      <c r="J666" t="s">
        <v>307</v>
      </c>
      <c r="K666">
        <v>0</v>
      </c>
      <c r="L666" t="s">
        <v>153</v>
      </c>
      <c r="N666" t="s">
        <v>224</v>
      </c>
      <c r="O666" t="s">
        <v>307</v>
      </c>
      <c r="P666">
        <v>4.4238799752684972E-2</v>
      </c>
      <c r="Q666" t="s">
        <v>153</v>
      </c>
    </row>
    <row r="667" spans="9:17" x14ac:dyDescent="0.45">
      <c r="I667" t="s">
        <v>181</v>
      </c>
      <c r="J667" t="s">
        <v>159</v>
      </c>
      <c r="K667">
        <v>1.5681713154863087E-3</v>
      </c>
      <c r="L667" t="s">
        <v>153</v>
      </c>
      <c r="N667" t="s">
        <v>224</v>
      </c>
      <c r="O667" t="s">
        <v>159</v>
      </c>
      <c r="P667">
        <v>8.5027355757372136E-2</v>
      </c>
      <c r="Q667" t="s">
        <v>153</v>
      </c>
    </row>
    <row r="668" spans="9:17" x14ac:dyDescent="0.45">
      <c r="I668" t="s">
        <v>181</v>
      </c>
      <c r="J668" t="s">
        <v>160</v>
      </c>
      <c r="K668">
        <v>1.1735504902044468E-2</v>
      </c>
      <c r="L668" t="s">
        <v>153</v>
      </c>
      <c r="N668" t="s">
        <v>224</v>
      </c>
      <c r="O668" t="s">
        <v>160</v>
      </c>
      <c r="P668">
        <v>1.3499998916062199E-2</v>
      </c>
      <c r="Q668" t="s">
        <v>153</v>
      </c>
    </row>
    <row r="669" spans="9:17" x14ac:dyDescent="0.45">
      <c r="I669" t="s">
        <v>181</v>
      </c>
      <c r="J669" t="s">
        <v>161</v>
      </c>
      <c r="K669">
        <v>2.2308081533604331E-2</v>
      </c>
      <c r="L669" t="s">
        <v>153</v>
      </c>
      <c r="N669" t="s">
        <v>224</v>
      </c>
      <c r="O669" t="s">
        <v>161</v>
      </c>
      <c r="P669">
        <v>1.2797472112521587E-2</v>
      </c>
      <c r="Q669" t="s">
        <v>153</v>
      </c>
    </row>
    <row r="670" spans="9:17" x14ac:dyDescent="0.45">
      <c r="I670" t="s">
        <v>181</v>
      </c>
      <c r="J670" t="s">
        <v>286</v>
      </c>
      <c r="K670">
        <v>8.4917366697662616E-2</v>
      </c>
      <c r="L670" t="s">
        <v>153</v>
      </c>
      <c r="N670" t="s">
        <v>224</v>
      </c>
      <c r="O670" t="s">
        <v>286</v>
      </c>
      <c r="P670">
        <v>3.6141668048388392E-2</v>
      </c>
      <c r="Q670" t="s">
        <v>153</v>
      </c>
    </row>
    <row r="671" spans="9:17" x14ac:dyDescent="0.45">
      <c r="I671" t="s">
        <v>181</v>
      </c>
      <c r="J671" t="s">
        <v>287</v>
      </c>
      <c r="K671">
        <v>0.17769426810428471</v>
      </c>
      <c r="L671" t="s">
        <v>153</v>
      </c>
      <c r="N671" t="s">
        <v>224</v>
      </c>
      <c r="O671" t="s">
        <v>287</v>
      </c>
      <c r="P671">
        <v>6.1913786593627E-2</v>
      </c>
      <c r="Q671" t="s">
        <v>153</v>
      </c>
    </row>
    <row r="672" spans="9:17" x14ac:dyDescent="0.45">
      <c r="I672" t="s">
        <v>181</v>
      </c>
      <c r="J672" t="s">
        <v>288</v>
      </c>
      <c r="K672">
        <v>2.1850321936769165E-2</v>
      </c>
      <c r="L672" t="s">
        <v>153</v>
      </c>
      <c r="N672" t="s">
        <v>224</v>
      </c>
      <c r="O672" t="s">
        <v>288</v>
      </c>
      <c r="P672">
        <v>1.2944538742989375E-2</v>
      </c>
      <c r="Q672" t="s">
        <v>153</v>
      </c>
    </row>
    <row r="673" spans="9:17" x14ac:dyDescent="0.45">
      <c r="I673" t="s">
        <v>181</v>
      </c>
      <c r="J673" t="s">
        <v>308</v>
      </c>
      <c r="K673">
        <v>8.8457676463268679E-3</v>
      </c>
      <c r="L673" t="s">
        <v>153</v>
      </c>
      <c r="N673" t="s">
        <v>224</v>
      </c>
      <c r="O673" t="s">
        <v>308</v>
      </c>
      <c r="P673">
        <v>1.6977063656665039E-2</v>
      </c>
      <c r="Q673" t="s">
        <v>153</v>
      </c>
    </row>
    <row r="674" spans="9:17" x14ac:dyDescent="0.45">
      <c r="I674" t="s">
        <v>181</v>
      </c>
      <c r="J674" t="s">
        <v>309</v>
      </c>
      <c r="K674">
        <v>0</v>
      </c>
      <c r="L674" t="s">
        <v>153</v>
      </c>
      <c r="N674" t="s">
        <v>224</v>
      </c>
      <c r="O674" t="s">
        <v>309</v>
      </c>
      <c r="P674">
        <v>9.9091415025651636E-2</v>
      </c>
      <c r="Q674" t="s">
        <v>153</v>
      </c>
    </row>
    <row r="675" spans="9:17" x14ac:dyDescent="0.45">
      <c r="I675" t="s">
        <v>181</v>
      </c>
      <c r="J675" t="s">
        <v>294</v>
      </c>
      <c r="K675">
        <v>1.647310553749017E-3</v>
      </c>
      <c r="L675" t="s">
        <v>153</v>
      </c>
      <c r="N675" t="s">
        <v>224</v>
      </c>
      <c r="O675" t="s">
        <v>294</v>
      </c>
      <c r="P675">
        <v>1.6639528580976559E-2</v>
      </c>
      <c r="Q675" t="s">
        <v>153</v>
      </c>
    </row>
    <row r="676" spans="9:17" x14ac:dyDescent="0.45">
      <c r="I676" t="s">
        <v>181</v>
      </c>
      <c r="J676" t="s">
        <v>295</v>
      </c>
      <c r="K676">
        <v>5.3248181102917291E-3</v>
      </c>
      <c r="L676" t="s">
        <v>153</v>
      </c>
      <c r="N676" t="s">
        <v>224</v>
      </c>
      <c r="O676" t="s">
        <v>295</v>
      </c>
      <c r="P676">
        <v>2.3249673242417192E-3</v>
      </c>
      <c r="Q676" t="s">
        <v>153</v>
      </c>
    </row>
    <row r="677" spans="9:17" x14ac:dyDescent="0.45">
      <c r="I677" t="s">
        <v>181</v>
      </c>
      <c r="J677" t="s">
        <v>296</v>
      </c>
      <c r="K677">
        <v>7.6688911642738946E-3</v>
      </c>
      <c r="L677" t="s">
        <v>153</v>
      </c>
      <c r="N677" t="s">
        <v>224</v>
      </c>
      <c r="O677" t="s">
        <v>296</v>
      </c>
      <c r="P677">
        <v>2.3645776829870472E-3</v>
      </c>
      <c r="Q677" t="s">
        <v>153</v>
      </c>
    </row>
    <row r="678" spans="9:17" x14ac:dyDescent="0.45">
      <c r="I678" t="s">
        <v>181</v>
      </c>
      <c r="J678" t="s">
        <v>297</v>
      </c>
      <c r="K678">
        <v>2.9203419251187371E-2</v>
      </c>
      <c r="L678" t="s">
        <v>153</v>
      </c>
      <c r="N678" t="s">
        <v>224</v>
      </c>
      <c r="O678" t="s">
        <v>297</v>
      </c>
      <c r="P678">
        <v>7.0492107373186022E-3</v>
      </c>
      <c r="Q678" t="s">
        <v>153</v>
      </c>
    </row>
    <row r="679" spans="9:17" x14ac:dyDescent="0.45">
      <c r="I679" t="s">
        <v>181</v>
      </c>
      <c r="J679" t="s">
        <v>298</v>
      </c>
      <c r="K679">
        <v>5.531610985511283E-2</v>
      </c>
      <c r="L679" t="s">
        <v>153</v>
      </c>
      <c r="N679" t="s">
        <v>224</v>
      </c>
      <c r="O679" t="s">
        <v>298</v>
      </c>
      <c r="P679">
        <v>1.3683988149708273E-2</v>
      </c>
      <c r="Q679" t="s">
        <v>153</v>
      </c>
    </row>
    <row r="680" spans="9:17" x14ac:dyDescent="0.45">
      <c r="I680" t="s">
        <v>181</v>
      </c>
      <c r="J680" t="s">
        <v>299</v>
      </c>
      <c r="K680">
        <v>6.7135287769096016E-3</v>
      </c>
      <c r="L680" t="s">
        <v>153</v>
      </c>
      <c r="N680" t="s">
        <v>224</v>
      </c>
      <c r="O680" t="s">
        <v>299</v>
      </c>
      <c r="P680">
        <v>2.6380462885546518E-3</v>
      </c>
      <c r="Q680" t="s">
        <v>153</v>
      </c>
    </row>
    <row r="681" spans="9:17" x14ac:dyDescent="0.45">
      <c r="I681" t="s">
        <v>181</v>
      </c>
      <c r="J681" t="s">
        <v>310</v>
      </c>
      <c r="K681">
        <v>5.0905374790912103E-3</v>
      </c>
      <c r="L681" t="s">
        <v>153</v>
      </c>
      <c r="N681" t="s">
        <v>224</v>
      </c>
      <c r="O681" t="s">
        <v>310</v>
      </c>
      <c r="P681">
        <v>2.9762480325280991E-3</v>
      </c>
      <c r="Q681" t="s">
        <v>153</v>
      </c>
    </row>
    <row r="682" spans="9:17" x14ac:dyDescent="0.45">
      <c r="I682" t="s">
        <v>181</v>
      </c>
      <c r="J682" t="s">
        <v>311</v>
      </c>
      <c r="K682">
        <v>1.6628814017086936E-3</v>
      </c>
      <c r="L682" t="s">
        <v>153</v>
      </c>
      <c r="N682" t="s">
        <v>224</v>
      </c>
      <c r="O682" t="s">
        <v>311</v>
      </c>
      <c r="P682">
        <v>1.843368274546606E-2</v>
      </c>
      <c r="Q682" t="s">
        <v>153</v>
      </c>
    </row>
    <row r="683" spans="9:17" x14ac:dyDescent="0.45">
      <c r="I683" t="s">
        <v>182</v>
      </c>
      <c r="J683" t="s">
        <v>152</v>
      </c>
      <c r="K683">
        <v>0</v>
      </c>
      <c r="L683" t="s">
        <v>153</v>
      </c>
      <c r="N683" t="s">
        <v>225</v>
      </c>
      <c r="O683" t="s">
        <v>152</v>
      </c>
      <c r="P683">
        <v>8.4757363132011626E-2</v>
      </c>
      <c r="Q683" t="s">
        <v>153</v>
      </c>
    </row>
    <row r="684" spans="9:17" x14ac:dyDescent="0.45">
      <c r="I684" t="s">
        <v>182</v>
      </c>
      <c r="J684" t="s">
        <v>154</v>
      </c>
      <c r="K684">
        <v>1.3517533850442322E-3</v>
      </c>
      <c r="L684" t="s">
        <v>153</v>
      </c>
      <c r="N684" t="s">
        <v>225</v>
      </c>
      <c r="O684" t="s">
        <v>154</v>
      </c>
      <c r="P684">
        <v>9.2448720461171183E-3</v>
      </c>
      <c r="Q684" t="s">
        <v>153</v>
      </c>
    </row>
    <row r="685" spans="9:17" x14ac:dyDescent="0.45">
      <c r="I685" t="s">
        <v>182</v>
      </c>
      <c r="J685" t="s">
        <v>155</v>
      </c>
      <c r="K685">
        <v>1.9668478833817289E-2</v>
      </c>
      <c r="L685" t="s">
        <v>153</v>
      </c>
      <c r="N685" t="s">
        <v>225</v>
      </c>
      <c r="O685" t="s">
        <v>155</v>
      </c>
      <c r="P685">
        <v>8.2305773845748418E-3</v>
      </c>
      <c r="Q685" t="s">
        <v>153</v>
      </c>
    </row>
    <row r="686" spans="9:17" x14ac:dyDescent="0.45">
      <c r="I686" t="s">
        <v>182</v>
      </c>
      <c r="J686" t="s">
        <v>280</v>
      </c>
      <c r="K686">
        <v>0.12177235719657978</v>
      </c>
      <c r="L686" t="s">
        <v>153</v>
      </c>
      <c r="N686" t="s">
        <v>225</v>
      </c>
      <c r="O686" t="s">
        <v>280</v>
      </c>
      <c r="P686">
        <v>2.941298720217694E-2</v>
      </c>
      <c r="Q686" t="s">
        <v>153</v>
      </c>
    </row>
    <row r="687" spans="9:17" x14ac:dyDescent="0.45">
      <c r="I687" t="s">
        <v>182</v>
      </c>
      <c r="J687" t="s">
        <v>281</v>
      </c>
      <c r="K687">
        <v>0.2764785194758676</v>
      </c>
      <c r="L687" t="s">
        <v>153</v>
      </c>
      <c r="N687" t="s">
        <v>225</v>
      </c>
      <c r="O687" t="s">
        <v>281</v>
      </c>
      <c r="P687">
        <v>6.3000119929281118E-2</v>
      </c>
      <c r="Q687" t="s">
        <v>153</v>
      </c>
    </row>
    <row r="688" spans="9:17" x14ac:dyDescent="0.45">
      <c r="I688" t="s">
        <v>182</v>
      </c>
      <c r="J688" t="s">
        <v>282</v>
      </c>
      <c r="K688">
        <v>3.361013986921977E-2</v>
      </c>
      <c r="L688" t="s">
        <v>153</v>
      </c>
      <c r="N688" t="s">
        <v>225</v>
      </c>
      <c r="O688" t="s">
        <v>282</v>
      </c>
      <c r="P688">
        <v>1.4324048393922898E-2</v>
      </c>
      <c r="Q688" t="s">
        <v>153</v>
      </c>
    </row>
    <row r="689" spans="9:17" x14ac:dyDescent="0.45">
      <c r="I689" t="s">
        <v>182</v>
      </c>
      <c r="J689" t="s">
        <v>304</v>
      </c>
      <c r="K689">
        <v>1.7399035179753861E-2</v>
      </c>
      <c r="L689" t="s">
        <v>153</v>
      </c>
      <c r="N689" t="s">
        <v>225</v>
      </c>
      <c r="O689" t="s">
        <v>304</v>
      </c>
      <c r="P689">
        <v>1.9650874615541998E-2</v>
      </c>
      <c r="Q689" t="s">
        <v>153</v>
      </c>
    </row>
    <row r="690" spans="9:17" x14ac:dyDescent="0.45">
      <c r="I690" t="s">
        <v>182</v>
      </c>
      <c r="J690" t="s">
        <v>305</v>
      </c>
      <c r="K690">
        <v>4.2793371909277686E-3</v>
      </c>
      <c r="L690" t="s">
        <v>153</v>
      </c>
      <c r="N690" t="s">
        <v>225</v>
      </c>
      <c r="O690" t="s">
        <v>305</v>
      </c>
      <c r="P690">
        <v>0.14133894172456324</v>
      </c>
      <c r="Q690" t="s">
        <v>153</v>
      </c>
    </row>
    <row r="691" spans="9:17" x14ac:dyDescent="0.45">
      <c r="I691" t="s">
        <v>182</v>
      </c>
      <c r="J691" t="s">
        <v>156</v>
      </c>
      <c r="K691">
        <v>0</v>
      </c>
      <c r="L691" t="s">
        <v>153</v>
      </c>
      <c r="N691" t="s">
        <v>225</v>
      </c>
      <c r="O691" t="s">
        <v>156</v>
      </c>
      <c r="P691">
        <v>2.8942545899818276E-2</v>
      </c>
      <c r="Q691" t="s">
        <v>153</v>
      </c>
    </row>
    <row r="692" spans="9:17" x14ac:dyDescent="0.45">
      <c r="I692" t="s">
        <v>182</v>
      </c>
      <c r="J692" t="s">
        <v>157</v>
      </c>
      <c r="K692">
        <v>0</v>
      </c>
      <c r="L692" t="s">
        <v>153</v>
      </c>
      <c r="N692" t="s">
        <v>225</v>
      </c>
      <c r="O692" t="s">
        <v>157</v>
      </c>
      <c r="P692">
        <v>2.8547945663395056E-3</v>
      </c>
      <c r="Q692" t="s">
        <v>153</v>
      </c>
    </row>
    <row r="693" spans="9:17" x14ac:dyDescent="0.45">
      <c r="I693" t="s">
        <v>182</v>
      </c>
      <c r="J693" t="s">
        <v>158</v>
      </c>
      <c r="K693">
        <v>1.1412835105934619E-3</v>
      </c>
      <c r="L693" t="s">
        <v>153</v>
      </c>
      <c r="N693" t="s">
        <v>225</v>
      </c>
      <c r="O693" t="s">
        <v>158</v>
      </c>
      <c r="P693">
        <v>2.4361004436224565E-3</v>
      </c>
      <c r="Q693" t="s">
        <v>153</v>
      </c>
    </row>
    <row r="694" spans="9:17" x14ac:dyDescent="0.45">
      <c r="I694" t="s">
        <v>182</v>
      </c>
      <c r="J694" t="s">
        <v>283</v>
      </c>
      <c r="K694">
        <v>3.5423112287719688E-2</v>
      </c>
      <c r="L694" t="s">
        <v>153</v>
      </c>
      <c r="N694" t="s">
        <v>225</v>
      </c>
      <c r="O694" t="s">
        <v>283</v>
      </c>
      <c r="P694">
        <v>9.0597806152083876E-3</v>
      </c>
      <c r="Q694" t="s">
        <v>153</v>
      </c>
    </row>
    <row r="695" spans="9:17" x14ac:dyDescent="0.45">
      <c r="I695" t="s">
        <v>182</v>
      </c>
      <c r="J695" t="s">
        <v>284</v>
      </c>
      <c r="K695">
        <v>8.6289018587837066E-2</v>
      </c>
      <c r="L695" t="s">
        <v>153</v>
      </c>
      <c r="N695" t="s">
        <v>225</v>
      </c>
      <c r="O695" t="s">
        <v>284</v>
      </c>
      <c r="P695">
        <v>2.8710105556505865E-2</v>
      </c>
      <c r="Q695" t="s">
        <v>153</v>
      </c>
    </row>
    <row r="696" spans="9:17" x14ac:dyDescent="0.45">
      <c r="I696" t="s">
        <v>182</v>
      </c>
      <c r="J696" t="s">
        <v>285</v>
      </c>
      <c r="K696">
        <v>9.3482580702686398E-3</v>
      </c>
      <c r="L696" t="s">
        <v>153</v>
      </c>
      <c r="N696" t="s">
        <v>225</v>
      </c>
      <c r="O696" t="s">
        <v>285</v>
      </c>
      <c r="P696">
        <v>5.6542677140471844E-3</v>
      </c>
      <c r="Q696" t="s">
        <v>153</v>
      </c>
    </row>
    <row r="697" spans="9:17" x14ac:dyDescent="0.45">
      <c r="I697" t="s">
        <v>182</v>
      </c>
      <c r="J697" t="s">
        <v>306</v>
      </c>
      <c r="K697">
        <v>4.2642887496115579E-4</v>
      </c>
      <c r="L697" t="s">
        <v>153</v>
      </c>
      <c r="N697" t="s">
        <v>225</v>
      </c>
      <c r="O697" t="s">
        <v>306</v>
      </c>
      <c r="P697">
        <v>8.1629819128198559E-3</v>
      </c>
      <c r="Q697" t="s">
        <v>153</v>
      </c>
    </row>
    <row r="698" spans="9:17" x14ac:dyDescent="0.45">
      <c r="I698" t="s">
        <v>182</v>
      </c>
      <c r="J698" t="s">
        <v>307</v>
      </c>
      <c r="K698">
        <v>0</v>
      </c>
      <c r="L698" t="s">
        <v>153</v>
      </c>
      <c r="N698" t="s">
        <v>225</v>
      </c>
      <c r="O698" t="s">
        <v>307</v>
      </c>
      <c r="P698">
        <v>4.60076601358499E-2</v>
      </c>
      <c r="Q698" t="s">
        <v>153</v>
      </c>
    </row>
    <row r="699" spans="9:17" x14ac:dyDescent="0.45">
      <c r="I699" t="s">
        <v>182</v>
      </c>
      <c r="J699" t="s">
        <v>159</v>
      </c>
      <c r="K699">
        <v>0</v>
      </c>
      <c r="L699" t="s">
        <v>153</v>
      </c>
      <c r="N699" t="s">
        <v>225</v>
      </c>
      <c r="O699" t="s">
        <v>159</v>
      </c>
      <c r="P699">
        <v>9.5206015898169405E-2</v>
      </c>
      <c r="Q699" t="s">
        <v>153</v>
      </c>
    </row>
    <row r="700" spans="9:17" x14ac:dyDescent="0.45">
      <c r="I700" t="s">
        <v>182</v>
      </c>
      <c r="J700" t="s">
        <v>160</v>
      </c>
      <c r="K700">
        <v>4.8062945394183711E-3</v>
      </c>
      <c r="L700" t="s">
        <v>153</v>
      </c>
      <c r="N700" t="s">
        <v>225</v>
      </c>
      <c r="O700" t="s">
        <v>160</v>
      </c>
      <c r="P700">
        <v>1.0489137464133661E-2</v>
      </c>
      <c r="Q700" t="s">
        <v>153</v>
      </c>
    </row>
    <row r="701" spans="9:17" x14ac:dyDescent="0.45">
      <c r="I701" t="s">
        <v>182</v>
      </c>
      <c r="J701" t="s">
        <v>161</v>
      </c>
      <c r="K701">
        <v>1.6803482329379501E-2</v>
      </c>
      <c r="L701" t="s">
        <v>153</v>
      </c>
      <c r="N701" t="s">
        <v>225</v>
      </c>
      <c r="O701" t="s">
        <v>161</v>
      </c>
      <c r="P701">
        <v>1.0859245982289859E-2</v>
      </c>
      <c r="Q701" t="s">
        <v>153</v>
      </c>
    </row>
    <row r="702" spans="9:17" x14ac:dyDescent="0.45">
      <c r="I702" t="s">
        <v>182</v>
      </c>
      <c r="J702" t="s">
        <v>286</v>
      </c>
      <c r="K702">
        <v>8.0541211074606378E-2</v>
      </c>
      <c r="L702" t="s">
        <v>153</v>
      </c>
      <c r="N702" t="s">
        <v>225</v>
      </c>
      <c r="O702" t="s">
        <v>286</v>
      </c>
      <c r="P702">
        <v>3.8045113020861485E-2</v>
      </c>
      <c r="Q702" t="s">
        <v>153</v>
      </c>
    </row>
    <row r="703" spans="9:17" x14ac:dyDescent="0.45">
      <c r="I703" t="s">
        <v>182</v>
      </c>
      <c r="J703" t="s">
        <v>287</v>
      </c>
      <c r="K703">
        <v>0.1781929325917096</v>
      </c>
      <c r="L703" t="s">
        <v>153</v>
      </c>
      <c r="N703" t="s">
        <v>225</v>
      </c>
      <c r="O703" t="s">
        <v>287</v>
      </c>
      <c r="P703">
        <v>7.7063566579835902E-2</v>
      </c>
      <c r="Q703" t="s">
        <v>153</v>
      </c>
    </row>
    <row r="704" spans="9:17" x14ac:dyDescent="0.45">
      <c r="I704" t="s">
        <v>182</v>
      </c>
      <c r="J704" t="s">
        <v>288</v>
      </c>
      <c r="K704">
        <v>1.9604737705605266E-2</v>
      </c>
      <c r="L704" t="s">
        <v>153</v>
      </c>
      <c r="N704" t="s">
        <v>225</v>
      </c>
      <c r="O704" t="s">
        <v>288</v>
      </c>
      <c r="P704">
        <v>1.7742635309451138E-2</v>
      </c>
      <c r="Q704" t="s">
        <v>153</v>
      </c>
    </row>
    <row r="705" spans="9:17" x14ac:dyDescent="0.45">
      <c r="I705" t="s">
        <v>182</v>
      </c>
      <c r="J705" t="s">
        <v>308</v>
      </c>
      <c r="K705">
        <v>1.2743418676711613E-2</v>
      </c>
      <c r="L705" t="s">
        <v>153</v>
      </c>
      <c r="N705" t="s">
        <v>225</v>
      </c>
      <c r="O705" t="s">
        <v>308</v>
      </c>
      <c r="P705">
        <v>2.327258328980196E-2</v>
      </c>
      <c r="Q705" t="s">
        <v>153</v>
      </c>
    </row>
    <row r="706" spans="9:17" x14ac:dyDescent="0.45">
      <c r="I706" t="s">
        <v>182</v>
      </c>
      <c r="J706" t="s">
        <v>309</v>
      </c>
      <c r="K706">
        <v>0</v>
      </c>
      <c r="L706" t="s">
        <v>153</v>
      </c>
      <c r="N706" t="s">
        <v>225</v>
      </c>
      <c r="O706" t="s">
        <v>309</v>
      </c>
      <c r="P706">
        <v>0.16551697197417164</v>
      </c>
      <c r="Q706" t="s">
        <v>153</v>
      </c>
    </row>
    <row r="707" spans="9:17" x14ac:dyDescent="0.45">
      <c r="I707" t="s">
        <v>182</v>
      </c>
      <c r="J707" t="s">
        <v>294</v>
      </c>
      <c r="K707">
        <v>0</v>
      </c>
      <c r="L707" t="s">
        <v>153</v>
      </c>
      <c r="N707" t="s">
        <v>225</v>
      </c>
      <c r="O707" t="s">
        <v>294</v>
      </c>
      <c r="P707">
        <v>1.3485123163343833E-2</v>
      </c>
      <c r="Q707" t="s">
        <v>153</v>
      </c>
    </row>
    <row r="708" spans="9:17" x14ac:dyDescent="0.45">
      <c r="I708" t="s">
        <v>182</v>
      </c>
      <c r="J708" t="s">
        <v>295</v>
      </c>
      <c r="K708">
        <v>2.4063588743368164E-3</v>
      </c>
      <c r="L708" t="s">
        <v>153</v>
      </c>
      <c r="N708" t="s">
        <v>225</v>
      </c>
      <c r="O708" t="s">
        <v>295</v>
      </c>
      <c r="P708">
        <v>1.4627566327740883E-3</v>
      </c>
      <c r="Q708" t="s">
        <v>153</v>
      </c>
    </row>
    <row r="709" spans="9:17" x14ac:dyDescent="0.45">
      <c r="I709" t="s">
        <v>182</v>
      </c>
      <c r="J709" t="s">
        <v>296</v>
      </c>
      <c r="K709">
        <v>4.2644983252667868E-3</v>
      </c>
      <c r="L709" t="s">
        <v>153</v>
      </c>
      <c r="N709" t="s">
        <v>225</v>
      </c>
      <c r="O709" t="s">
        <v>296</v>
      </c>
      <c r="P709">
        <v>1.4882443408135073E-3</v>
      </c>
      <c r="Q709" t="s">
        <v>153</v>
      </c>
    </row>
    <row r="710" spans="9:17" x14ac:dyDescent="0.45">
      <c r="I710" t="s">
        <v>182</v>
      </c>
      <c r="J710" t="s">
        <v>297</v>
      </c>
      <c r="K710">
        <v>1.9646999030105458E-2</v>
      </c>
      <c r="L710" t="s">
        <v>153</v>
      </c>
      <c r="N710" t="s">
        <v>225</v>
      </c>
      <c r="O710" t="s">
        <v>297</v>
      </c>
      <c r="P710">
        <v>5.2159879185603884E-3</v>
      </c>
      <c r="Q710" t="s">
        <v>153</v>
      </c>
    </row>
    <row r="711" spans="9:17" x14ac:dyDescent="0.45">
      <c r="I711" t="s">
        <v>182</v>
      </c>
      <c r="J711" t="s">
        <v>298</v>
      </c>
      <c r="K711">
        <v>4.3185659864377834E-2</v>
      </c>
      <c r="L711" t="s">
        <v>153</v>
      </c>
      <c r="N711" t="s">
        <v>225</v>
      </c>
      <c r="O711" t="s">
        <v>298</v>
      </c>
      <c r="P711">
        <v>8.7515568932216847E-3</v>
      </c>
      <c r="Q711" t="s">
        <v>153</v>
      </c>
    </row>
    <row r="712" spans="9:17" x14ac:dyDescent="0.45">
      <c r="I712" t="s">
        <v>182</v>
      </c>
      <c r="J712" t="s">
        <v>299</v>
      </c>
      <c r="K712">
        <v>5.2001497742556963E-3</v>
      </c>
      <c r="L712" t="s">
        <v>153</v>
      </c>
      <c r="N712" t="s">
        <v>225</v>
      </c>
      <c r="O712" t="s">
        <v>299</v>
      </c>
      <c r="P712">
        <v>2.4629879663093874E-3</v>
      </c>
      <c r="Q712" t="s">
        <v>153</v>
      </c>
    </row>
    <row r="713" spans="9:17" x14ac:dyDescent="0.45">
      <c r="I713" t="s">
        <v>182</v>
      </c>
      <c r="J713" t="s">
        <v>310</v>
      </c>
      <c r="K713">
        <v>3.8317866508621764E-3</v>
      </c>
      <c r="L713" t="s">
        <v>153</v>
      </c>
      <c r="N713" t="s">
        <v>225</v>
      </c>
      <c r="O713" t="s">
        <v>310</v>
      </c>
      <c r="P713">
        <v>3.3264283140510605E-3</v>
      </c>
      <c r="Q713" t="s">
        <v>153</v>
      </c>
    </row>
    <row r="714" spans="9:17" x14ac:dyDescent="0.45">
      <c r="I714" t="s">
        <v>182</v>
      </c>
      <c r="J714" t="s">
        <v>311</v>
      </c>
      <c r="K714">
        <v>1.5847481007748988E-3</v>
      </c>
      <c r="L714" t="s">
        <v>153</v>
      </c>
      <c r="N714" t="s">
        <v>225</v>
      </c>
      <c r="O714" t="s">
        <v>311</v>
      </c>
      <c r="P714">
        <v>2.382362397980967E-2</v>
      </c>
      <c r="Q714" t="s">
        <v>153</v>
      </c>
    </row>
    <row r="715" spans="9:17" x14ac:dyDescent="0.45">
      <c r="I715" t="s">
        <v>183</v>
      </c>
      <c r="J715" t="s">
        <v>152</v>
      </c>
      <c r="K715">
        <v>0</v>
      </c>
      <c r="L715" t="s">
        <v>153</v>
      </c>
      <c r="N715" t="s">
        <v>226</v>
      </c>
      <c r="O715" t="s">
        <v>152</v>
      </c>
      <c r="P715">
        <v>0.11652212559731294</v>
      </c>
      <c r="Q715" t="s">
        <v>153</v>
      </c>
    </row>
    <row r="716" spans="9:17" x14ac:dyDescent="0.45">
      <c r="I716" t="s">
        <v>183</v>
      </c>
      <c r="J716" t="s">
        <v>154</v>
      </c>
      <c r="K716">
        <v>1.4065991641940166E-3</v>
      </c>
      <c r="L716" t="s">
        <v>153</v>
      </c>
      <c r="N716" t="s">
        <v>226</v>
      </c>
      <c r="O716" t="s">
        <v>154</v>
      </c>
      <c r="P716">
        <v>1.4211132549590425E-2</v>
      </c>
      <c r="Q716" t="s">
        <v>153</v>
      </c>
    </row>
    <row r="717" spans="9:17" x14ac:dyDescent="0.45">
      <c r="I717" t="s">
        <v>183</v>
      </c>
      <c r="J717" t="s">
        <v>155</v>
      </c>
      <c r="K717">
        <v>1.8233461239357419E-2</v>
      </c>
      <c r="L717" t="s">
        <v>153</v>
      </c>
      <c r="N717" t="s">
        <v>226</v>
      </c>
      <c r="O717" t="s">
        <v>155</v>
      </c>
      <c r="P717">
        <v>1.3036834626421799E-2</v>
      </c>
      <c r="Q717" t="s">
        <v>153</v>
      </c>
    </row>
    <row r="718" spans="9:17" x14ac:dyDescent="0.45">
      <c r="I718" t="s">
        <v>183</v>
      </c>
      <c r="J718" t="s">
        <v>280</v>
      </c>
      <c r="K718">
        <v>0.1228611569130586</v>
      </c>
      <c r="L718" t="s">
        <v>153</v>
      </c>
      <c r="N718" t="s">
        <v>226</v>
      </c>
      <c r="O718" t="s">
        <v>280</v>
      </c>
      <c r="P718">
        <v>4.0577893571811775E-2</v>
      </c>
      <c r="Q718" t="s">
        <v>153</v>
      </c>
    </row>
    <row r="719" spans="9:17" x14ac:dyDescent="0.45">
      <c r="I719" t="s">
        <v>183</v>
      </c>
      <c r="J719" t="s">
        <v>281</v>
      </c>
      <c r="K719">
        <v>0.28106864374320839</v>
      </c>
      <c r="L719" t="s">
        <v>153</v>
      </c>
      <c r="N719" t="s">
        <v>226</v>
      </c>
      <c r="O719" t="s">
        <v>281</v>
      </c>
      <c r="P719">
        <v>5.4690033447322824E-2</v>
      </c>
      <c r="Q719" t="s">
        <v>153</v>
      </c>
    </row>
    <row r="720" spans="9:17" x14ac:dyDescent="0.45">
      <c r="I720" t="s">
        <v>183</v>
      </c>
      <c r="J720" t="s">
        <v>282</v>
      </c>
      <c r="K720">
        <v>3.3091524860674432E-2</v>
      </c>
      <c r="L720" t="s">
        <v>153</v>
      </c>
      <c r="N720" t="s">
        <v>226</v>
      </c>
      <c r="O720" t="s">
        <v>282</v>
      </c>
      <c r="P720">
        <v>1.0377530046178821E-2</v>
      </c>
      <c r="Q720" t="s">
        <v>153</v>
      </c>
    </row>
    <row r="721" spans="9:17" x14ac:dyDescent="0.45">
      <c r="I721" t="s">
        <v>183</v>
      </c>
      <c r="J721" t="s">
        <v>304</v>
      </c>
      <c r="K721">
        <v>1.6368945587613596E-2</v>
      </c>
      <c r="L721" t="s">
        <v>153</v>
      </c>
      <c r="N721" t="s">
        <v>226</v>
      </c>
      <c r="O721" t="s">
        <v>304</v>
      </c>
      <c r="P721">
        <v>1.3815385704084767E-2</v>
      </c>
      <c r="Q721" t="s">
        <v>153</v>
      </c>
    </row>
    <row r="722" spans="9:17" x14ac:dyDescent="0.45">
      <c r="I722" t="s">
        <v>183</v>
      </c>
      <c r="J722" t="s">
        <v>305</v>
      </c>
      <c r="K722">
        <v>3.9791805274585782E-3</v>
      </c>
      <c r="L722" t="s">
        <v>153</v>
      </c>
      <c r="N722" t="s">
        <v>226</v>
      </c>
      <c r="O722" t="s">
        <v>305</v>
      </c>
      <c r="P722">
        <v>0.12546349256434747</v>
      </c>
      <c r="Q722" t="s">
        <v>153</v>
      </c>
    </row>
    <row r="723" spans="9:17" x14ac:dyDescent="0.45">
      <c r="I723" t="s">
        <v>183</v>
      </c>
      <c r="J723" t="s">
        <v>156</v>
      </c>
      <c r="K723">
        <v>0</v>
      </c>
      <c r="L723" t="s">
        <v>153</v>
      </c>
      <c r="N723" t="s">
        <v>226</v>
      </c>
      <c r="O723" t="s">
        <v>156</v>
      </c>
      <c r="P723">
        <v>3.8137315218590789E-2</v>
      </c>
      <c r="Q723" t="s">
        <v>153</v>
      </c>
    </row>
    <row r="724" spans="9:17" x14ac:dyDescent="0.45">
      <c r="I724" t="s">
        <v>183</v>
      </c>
      <c r="J724" t="s">
        <v>157</v>
      </c>
      <c r="K724">
        <v>0</v>
      </c>
      <c r="L724" t="s">
        <v>153</v>
      </c>
      <c r="N724" t="s">
        <v>226</v>
      </c>
      <c r="O724" t="s">
        <v>157</v>
      </c>
      <c r="P724">
        <v>5.5357188586133785E-3</v>
      </c>
      <c r="Q724" t="s">
        <v>153</v>
      </c>
    </row>
    <row r="725" spans="9:17" x14ac:dyDescent="0.45">
      <c r="I725" t="s">
        <v>183</v>
      </c>
      <c r="J725" t="s">
        <v>158</v>
      </c>
      <c r="K725">
        <v>8.4107523799792599E-4</v>
      </c>
      <c r="L725" t="s">
        <v>153</v>
      </c>
      <c r="N725" t="s">
        <v>226</v>
      </c>
      <c r="O725" t="s">
        <v>158</v>
      </c>
      <c r="P725">
        <v>5.2040521313639733E-3</v>
      </c>
      <c r="Q725" t="s">
        <v>153</v>
      </c>
    </row>
    <row r="726" spans="9:17" x14ac:dyDescent="0.45">
      <c r="I726" t="s">
        <v>183</v>
      </c>
      <c r="J726" t="s">
        <v>283</v>
      </c>
      <c r="K726">
        <v>3.5228007392369996E-2</v>
      </c>
      <c r="L726" t="s">
        <v>153</v>
      </c>
      <c r="N726" t="s">
        <v>226</v>
      </c>
      <c r="O726" t="s">
        <v>283</v>
      </c>
      <c r="P726">
        <v>1.3300925388364301E-2</v>
      </c>
      <c r="Q726" t="s">
        <v>153</v>
      </c>
    </row>
    <row r="727" spans="9:17" x14ac:dyDescent="0.45">
      <c r="I727" t="s">
        <v>183</v>
      </c>
      <c r="J727" t="s">
        <v>284</v>
      </c>
      <c r="K727">
        <v>8.7578246034412888E-2</v>
      </c>
      <c r="L727" t="s">
        <v>153</v>
      </c>
      <c r="N727" t="s">
        <v>226</v>
      </c>
      <c r="O727" t="s">
        <v>284</v>
      </c>
      <c r="P727">
        <v>2.2793112828499992E-2</v>
      </c>
      <c r="Q727" t="s">
        <v>153</v>
      </c>
    </row>
    <row r="728" spans="9:17" x14ac:dyDescent="0.45">
      <c r="I728" t="s">
        <v>183</v>
      </c>
      <c r="J728" t="s">
        <v>285</v>
      </c>
      <c r="K728">
        <v>9.8272032563699128E-3</v>
      </c>
      <c r="L728" t="s">
        <v>153</v>
      </c>
      <c r="N728" t="s">
        <v>226</v>
      </c>
      <c r="O728" t="s">
        <v>285</v>
      </c>
      <c r="P728">
        <v>4.0315250594210794E-3</v>
      </c>
      <c r="Q728" t="s">
        <v>153</v>
      </c>
    </row>
    <row r="729" spans="9:17" x14ac:dyDescent="0.45">
      <c r="I729" t="s">
        <v>183</v>
      </c>
      <c r="J729" t="s">
        <v>306</v>
      </c>
      <c r="K729">
        <v>2.9941742216291759E-4</v>
      </c>
      <c r="L729" t="s">
        <v>153</v>
      </c>
      <c r="N729" t="s">
        <v>226</v>
      </c>
      <c r="O729" t="s">
        <v>306</v>
      </c>
      <c r="P729">
        <v>5.6000026835733938E-3</v>
      </c>
      <c r="Q729" t="s">
        <v>153</v>
      </c>
    </row>
    <row r="730" spans="9:17" x14ac:dyDescent="0.45">
      <c r="I730" t="s">
        <v>183</v>
      </c>
      <c r="J730" t="s">
        <v>307</v>
      </c>
      <c r="K730">
        <v>0</v>
      </c>
      <c r="L730" t="s">
        <v>153</v>
      </c>
      <c r="N730" t="s">
        <v>226</v>
      </c>
      <c r="O730" t="s">
        <v>307</v>
      </c>
      <c r="P730">
        <v>4.047417614808696E-2</v>
      </c>
      <c r="Q730" t="s">
        <v>153</v>
      </c>
    </row>
    <row r="731" spans="9:17" x14ac:dyDescent="0.45">
      <c r="I731" t="s">
        <v>183</v>
      </c>
      <c r="J731" t="s">
        <v>159</v>
      </c>
      <c r="K731">
        <v>0</v>
      </c>
      <c r="L731" t="s">
        <v>153</v>
      </c>
      <c r="N731" t="s">
        <v>226</v>
      </c>
      <c r="O731" t="s">
        <v>159</v>
      </c>
      <c r="P731">
        <v>0.10861531754460536</v>
      </c>
      <c r="Q731" t="s">
        <v>153</v>
      </c>
    </row>
    <row r="732" spans="9:17" x14ac:dyDescent="0.45">
      <c r="I732" t="s">
        <v>183</v>
      </c>
      <c r="J732" t="s">
        <v>160</v>
      </c>
      <c r="K732">
        <v>4.3659613382653235E-3</v>
      </c>
      <c r="L732" t="s">
        <v>153</v>
      </c>
      <c r="N732" t="s">
        <v>226</v>
      </c>
      <c r="O732" t="s">
        <v>160</v>
      </c>
      <c r="P732">
        <v>1.4425561297751969E-2</v>
      </c>
      <c r="Q732" t="s">
        <v>153</v>
      </c>
    </row>
    <row r="733" spans="9:17" x14ac:dyDescent="0.45">
      <c r="I733" t="s">
        <v>183</v>
      </c>
      <c r="J733" t="s">
        <v>161</v>
      </c>
      <c r="K733">
        <v>1.6177930846988004E-2</v>
      </c>
      <c r="L733" t="s">
        <v>153</v>
      </c>
      <c r="N733" t="s">
        <v>226</v>
      </c>
      <c r="O733" t="s">
        <v>161</v>
      </c>
      <c r="P733">
        <v>1.4312695215573859E-2</v>
      </c>
      <c r="Q733" t="s">
        <v>153</v>
      </c>
    </row>
    <row r="734" spans="9:17" x14ac:dyDescent="0.45">
      <c r="I734" t="s">
        <v>183</v>
      </c>
      <c r="J734" t="s">
        <v>286</v>
      </c>
      <c r="K734">
        <v>7.9807766056958593E-2</v>
      </c>
      <c r="L734" t="s">
        <v>153</v>
      </c>
      <c r="N734" t="s">
        <v>226</v>
      </c>
      <c r="O734" t="s">
        <v>286</v>
      </c>
      <c r="P734">
        <v>4.3142124294258663E-2</v>
      </c>
      <c r="Q734" t="s">
        <v>153</v>
      </c>
    </row>
    <row r="735" spans="9:17" x14ac:dyDescent="0.45">
      <c r="I735" t="s">
        <v>183</v>
      </c>
      <c r="J735" t="s">
        <v>287</v>
      </c>
      <c r="K735">
        <v>0.17937870430470404</v>
      </c>
      <c r="L735" t="s">
        <v>153</v>
      </c>
      <c r="N735" t="s">
        <v>226</v>
      </c>
      <c r="O735" t="s">
        <v>287</v>
      </c>
      <c r="P735">
        <v>6.4421507035565748E-2</v>
      </c>
      <c r="Q735" t="s">
        <v>153</v>
      </c>
    </row>
    <row r="736" spans="9:17" x14ac:dyDescent="0.45">
      <c r="I736" t="s">
        <v>183</v>
      </c>
      <c r="J736" t="s">
        <v>288</v>
      </c>
      <c r="K736">
        <v>1.935475815835222E-2</v>
      </c>
      <c r="L736" t="s">
        <v>153</v>
      </c>
      <c r="N736" t="s">
        <v>226</v>
      </c>
      <c r="O736" t="s">
        <v>288</v>
      </c>
      <c r="P736">
        <v>1.301089356204178E-2</v>
      </c>
      <c r="Q736" t="s">
        <v>153</v>
      </c>
    </row>
    <row r="737" spans="9:17" x14ac:dyDescent="0.45">
      <c r="I737" t="s">
        <v>183</v>
      </c>
      <c r="J737" t="s">
        <v>308</v>
      </c>
      <c r="K737">
        <v>1.2572768972314852E-2</v>
      </c>
      <c r="L737" t="s">
        <v>153</v>
      </c>
      <c r="N737" t="s">
        <v>226</v>
      </c>
      <c r="O737" t="s">
        <v>308</v>
      </c>
      <c r="P737">
        <v>1.6034992024992128E-2</v>
      </c>
      <c r="Q737" t="s">
        <v>153</v>
      </c>
    </row>
    <row r="738" spans="9:17" x14ac:dyDescent="0.45">
      <c r="I738" t="s">
        <v>183</v>
      </c>
      <c r="J738" t="s">
        <v>309</v>
      </c>
      <c r="K738">
        <v>0</v>
      </c>
      <c r="L738" t="s">
        <v>153</v>
      </c>
      <c r="N738" t="s">
        <v>226</v>
      </c>
      <c r="O738" t="s">
        <v>309</v>
      </c>
      <c r="P738">
        <v>0.12918048053427583</v>
      </c>
      <c r="Q738" t="s">
        <v>153</v>
      </c>
    </row>
    <row r="739" spans="9:17" x14ac:dyDescent="0.45">
      <c r="I739" t="s">
        <v>183</v>
      </c>
      <c r="J739" t="s">
        <v>294</v>
      </c>
      <c r="K739">
        <v>0</v>
      </c>
      <c r="L739" t="s">
        <v>153</v>
      </c>
      <c r="N739" t="s">
        <v>226</v>
      </c>
      <c r="O739" t="s">
        <v>294</v>
      </c>
      <c r="P739">
        <v>1.8470774973755003E-2</v>
      </c>
      <c r="Q739" t="s">
        <v>153</v>
      </c>
    </row>
    <row r="740" spans="9:17" x14ac:dyDescent="0.45">
      <c r="I740" t="s">
        <v>183</v>
      </c>
      <c r="J740" t="s">
        <v>295</v>
      </c>
      <c r="K740">
        <v>1.9995479976976844E-3</v>
      </c>
      <c r="L740" t="s">
        <v>153</v>
      </c>
      <c r="N740" t="s">
        <v>226</v>
      </c>
      <c r="O740" t="s">
        <v>295</v>
      </c>
      <c r="P740">
        <v>2.4789373719860848E-3</v>
      </c>
      <c r="Q740" t="s">
        <v>153</v>
      </c>
    </row>
    <row r="741" spans="9:17" x14ac:dyDescent="0.45">
      <c r="I741" t="s">
        <v>183</v>
      </c>
      <c r="J741" t="s">
        <v>296</v>
      </c>
      <c r="K741">
        <v>3.7867530280690774E-3</v>
      </c>
      <c r="L741" t="s">
        <v>153</v>
      </c>
      <c r="N741" t="s">
        <v>226</v>
      </c>
      <c r="O741" t="s">
        <v>296</v>
      </c>
      <c r="P741">
        <v>2.3614304256412517E-3</v>
      </c>
      <c r="Q741" t="s">
        <v>153</v>
      </c>
    </row>
    <row r="742" spans="9:17" x14ac:dyDescent="0.45">
      <c r="I742" t="s">
        <v>183</v>
      </c>
      <c r="J742" t="s">
        <v>297</v>
      </c>
      <c r="K742">
        <v>1.8809486589253466E-2</v>
      </c>
      <c r="L742" t="s">
        <v>153</v>
      </c>
      <c r="N742" t="s">
        <v>226</v>
      </c>
      <c r="O742" t="s">
        <v>297</v>
      </c>
      <c r="P742">
        <v>8.5220368173279624E-3</v>
      </c>
      <c r="Q742" t="s">
        <v>153</v>
      </c>
    </row>
    <row r="743" spans="9:17" x14ac:dyDescent="0.45">
      <c r="I743" t="s">
        <v>183</v>
      </c>
      <c r="J743" t="s">
        <v>298</v>
      </c>
      <c r="K743">
        <v>4.3013067500620825E-2</v>
      </c>
      <c r="L743" t="s">
        <v>153</v>
      </c>
      <c r="N743" t="s">
        <v>226</v>
      </c>
      <c r="O743" t="s">
        <v>298</v>
      </c>
      <c r="P743">
        <v>1.1491062169212021E-2</v>
      </c>
      <c r="Q743" t="s">
        <v>153</v>
      </c>
    </row>
    <row r="744" spans="9:17" x14ac:dyDescent="0.45">
      <c r="I744" t="s">
        <v>183</v>
      </c>
      <c r="J744" t="s">
        <v>299</v>
      </c>
      <c r="K744">
        <v>4.9261334515871636E-3</v>
      </c>
      <c r="L744" t="s">
        <v>153</v>
      </c>
      <c r="N744" t="s">
        <v>226</v>
      </c>
      <c r="O744" t="s">
        <v>299</v>
      </c>
      <c r="P744">
        <v>2.4161036222749579E-3</v>
      </c>
      <c r="Q744" t="s">
        <v>153</v>
      </c>
    </row>
    <row r="745" spans="9:17" x14ac:dyDescent="0.45">
      <c r="I745" t="s">
        <v>183</v>
      </c>
      <c r="J745" t="s">
        <v>310</v>
      </c>
      <c r="K745">
        <v>3.5672161451773092E-3</v>
      </c>
      <c r="L745" t="s">
        <v>153</v>
      </c>
      <c r="N745" t="s">
        <v>226</v>
      </c>
      <c r="O745" t="s">
        <v>310</v>
      </c>
      <c r="P745">
        <v>3.0724551332146342E-3</v>
      </c>
      <c r="Q745" t="s">
        <v>153</v>
      </c>
    </row>
    <row r="746" spans="9:17" x14ac:dyDescent="0.45">
      <c r="I746" t="s">
        <v>183</v>
      </c>
      <c r="J746" t="s">
        <v>311</v>
      </c>
      <c r="K746">
        <v>1.4564442311333231E-3</v>
      </c>
      <c r="L746" t="s">
        <v>153</v>
      </c>
      <c r="N746" t="s">
        <v>226</v>
      </c>
      <c r="O746" t="s">
        <v>311</v>
      </c>
      <c r="P746">
        <v>2.427237155394036E-2</v>
      </c>
      <c r="Q746" t="s">
        <v>153</v>
      </c>
    </row>
    <row r="747" spans="9:17" x14ac:dyDescent="0.45">
      <c r="I747" t="s">
        <v>184</v>
      </c>
      <c r="J747" t="s">
        <v>152</v>
      </c>
      <c r="K747">
        <v>0</v>
      </c>
      <c r="L747" t="s">
        <v>153</v>
      </c>
      <c r="N747" t="s">
        <v>227</v>
      </c>
      <c r="O747" t="s">
        <v>152</v>
      </c>
      <c r="P747">
        <v>0.13590535205001894</v>
      </c>
      <c r="Q747" t="s">
        <v>153</v>
      </c>
    </row>
    <row r="748" spans="9:17" x14ac:dyDescent="0.45">
      <c r="I748" t="s">
        <v>184</v>
      </c>
      <c r="J748" t="s">
        <v>154</v>
      </c>
      <c r="K748">
        <v>1.0711629177072254E-3</v>
      </c>
      <c r="L748" t="s">
        <v>153</v>
      </c>
      <c r="N748" t="s">
        <v>227</v>
      </c>
      <c r="O748" t="s">
        <v>154</v>
      </c>
      <c r="P748">
        <v>1.7793103994975513E-2</v>
      </c>
      <c r="Q748" t="s">
        <v>153</v>
      </c>
    </row>
    <row r="749" spans="9:17" x14ac:dyDescent="0.45">
      <c r="I749" t="s">
        <v>184</v>
      </c>
      <c r="J749" t="s">
        <v>155</v>
      </c>
      <c r="K749">
        <v>2.0617175261140274E-2</v>
      </c>
      <c r="L749" t="s">
        <v>153</v>
      </c>
      <c r="N749" t="s">
        <v>227</v>
      </c>
      <c r="O749" t="s">
        <v>155</v>
      </c>
      <c r="P749">
        <v>1.607604125524047E-2</v>
      </c>
      <c r="Q749" t="s">
        <v>153</v>
      </c>
    </row>
    <row r="750" spans="9:17" x14ac:dyDescent="0.45">
      <c r="I750" t="s">
        <v>184</v>
      </c>
      <c r="J750" t="s">
        <v>280</v>
      </c>
      <c r="K750">
        <v>0.11817185944643117</v>
      </c>
      <c r="L750" t="s">
        <v>153</v>
      </c>
      <c r="N750" t="s">
        <v>227</v>
      </c>
      <c r="O750" t="s">
        <v>280</v>
      </c>
      <c r="P750">
        <v>4.335746937999703E-2</v>
      </c>
      <c r="Q750" t="s">
        <v>153</v>
      </c>
    </row>
    <row r="751" spans="9:17" x14ac:dyDescent="0.45">
      <c r="I751" t="s">
        <v>184</v>
      </c>
      <c r="J751" t="s">
        <v>281</v>
      </c>
      <c r="K751">
        <v>0.27415793335515065</v>
      </c>
      <c r="L751" t="s">
        <v>153</v>
      </c>
      <c r="N751" t="s">
        <v>227</v>
      </c>
      <c r="O751" t="s">
        <v>281</v>
      </c>
      <c r="P751">
        <v>4.734754044012595E-2</v>
      </c>
      <c r="Q751" t="s">
        <v>153</v>
      </c>
    </row>
    <row r="752" spans="9:17" x14ac:dyDescent="0.45">
      <c r="I752" t="s">
        <v>184</v>
      </c>
      <c r="J752" t="s">
        <v>282</v>
      </c>
      <c r="K752">
        <v>3.4964888381396463E-2</v>
      </c>
      <c r="L752" t="s">
        <v>153</v>
      </c>
      <c r="N752" t="s">
        <v>227</v>
      </c>
      <c r="O752" t="s">
        <v>282</v>
      </c>
      <c r="P752">
        <v>7.1101527058775767E-3</v>
      </c>
      <c r="Q752" t="s">
        <v>153</v>
      </c>
    </row>
    <row r="753" spans="9:17" x14ac:dyDescent="0.45">
      <c r="I753" t="s">
        <v>184</v>
      </c>
      <c r="J753" t="s">
        <v>304</v>
      </c>
      <c r="K753">
        <v>1.9242241957683832E-2</v>
      </c>
      <c r="L753" t="s">
        <v>153</v>
      </c>
      <c r="N753" t="s">
        <v>227</v>
      </c>
      <c r="O753" t="s">
        <v>304</v>
      </c>
      <c r="P753">
        <v>8.780917950080399E-3</v>
      </c>
      <c r="Q753" t="s">
        <v>153</v>
      </c>
    </row>
    <row r="754" spans="9:17" x14ac:dyDescent="0.45">
      <c r="I754" t="s">
        <v>184</v>
      </c>
      <c r="J754" t="s">
        <v>305</v>
      </c>
      <c r="K754">
        <v>4.9224594282310493E-3</v>
      </c>
      <c r="L754" t="s">
        <v>153</v>
      </c>
      <c r="N754" t="s">
        <v>227</v>
      </c>
      <c r="O754" t="s">
        <v>305</v>
      </c>
      <c r="P754">
        <v>8.8593068983301007E-2</v>
      </c>
      <c r="Q754" t="s">
        <v>153</v>
      </c>
    </row>
    <row r="755" spans="9:17" x14ac:dyDescent="0.45">
      <c r="I755" t="s">
        <v>184</v>
      </c>
      <c r="J755" t="s">
        <v>156</v>
      </c>
      <c r="K755">
        <v>0</v>
      </c>
      <c r="L755" t="s">
        <v>153</v>
      </c>
      <c r="N755" t="s">
        <v>227</v>
      </c>
      <c r="O755" t="s">
        <v>156</v>
      </c>
      <c r="P755">
        <v>4.9741605712060835E-2</v>
      </c>
      <c r="Q755" t="s">
        <v>153</v>
      </c>
    </row>
    <row r="756" spans="9:17" x14ac:dyDescent="0.45">
      <c r="I756" t="s">
        <v>184</v>
      </c>
      <c r="J756" t="s">
        <v>157</v>
      </c>
      <c r="K756">
        <v>0</v>
      </c>
      <c r="L756" t="s">
        <v>153</v>
      </c>
      <c r="N756" t="s">
        <v>227</v>
      </c>
      <c r="O756" t="s">
        <v>157</v>
      </c>
      <c r="P756">
        <v>7.0089088642327725E-3</v>
      </c>
      <c r="Q756" t="s">
        <v>153</v>
      </c>
    </row>
    <row r="757" spans="9:17" x14ac:dyDescent="0.45">
      <c r="I757" t="s">
        <v>184</v>
      </c>
      <c r="J757" t="s">
        <v>158</v>
      </c>
      <c r="K757">
        <v>1.0757172085329016E-3</v>
      </c>
      <c r="L757" t="s">
        <v>153</v>
      </c>
      <c r="N757" t="s">
        <v>227</v>
      </c>
      <c r="O757" t="s">
        <v>158</v>
      </c>
      <c r="P757">
        <v>6.6216549997981751E-3</v>
      </c>
      <c r="Q757" t="s">
        <v>153</v>
      </c>
    </row>
    <row r="758" spans="9:17" x14ac:dyDescent="0.45">
      <c r="I758" t="s">
        <v>184</v>
      </c>
      <c r="J758" t="s">
        <v>283</v>
      </c>
      <c r="K758">
        <v>3.4458553360947754E-2</v>
      </c>
      <c r="L758" t="s">
        <v>153</v>
      </c>
      <c r="N758" t="s">
        <v>227</v>
      </c>
      <c r="O758" t="s">
        <v>283</v>
      </c>
      <c r="P758">
        <v>1.4341217495384598E-2</v>
      </c>
      <c r="Q758" t="s">
        <v>153</v>
      </c>
    </row>
    <row r="759" spans="9:17" x14ac:dyDescent="0.45">
      <c r="I759" t="s">
        <v>184</v>
      </c>
      <c r="J759" t="s">
        <v>284</v>
      </c>
      <c r="K759">
        <v>8.6750827276945469E-2</v>
      </c>
      <c r="L759" t="s">
        <v>153</v>
      </c>
      <c r="N759" t="s">
        <v>227</v>
      </c>
      <c r="O759" t="s">
        <v>284</v>
      </c>
      <c r="P759">
        <v>2.1801443825462008E-2</v>
      </c>
      <c r="Q759" t="s">
        <v>153</v>
      </c>
    </row>
    <row r="760" spans="9:17" x14ac:dyDescent="0.45">
      <c r="I760" t="s">
        <v>184</v>
      </c>
      <c r="J760" t="s">
        <v>285</v>
      </c>
      <c r="K760">
        <v>9.2443785202593904E-3</v>
      </c>
      <c r="L760" t="s">
        <v>153</v>
      </c>
      <c r="N760" t="s">
        <v>227</v>
      </c>
      <c r="O760" t="s">
        <v>285</v>
      </c>
      <c r="P760">
        <v>3.3948822586414378E-3</v>
      </c>
      <c r="Q760" t="s">
        <v>153</v>
      </c>
    </row>
    <row r="761" spans="9:17" x14ac:dyDescent="0.45">
      <c r="I761" t="s">
        <v>184</v>
      </c>
      <c r="J761" t="s">
        <v>306</v>
      </c>
      <c r="K761">
        <v>1.171046682724855E-3</v>
      </c>
      <c r="L761" t="s">
        <v>153</v>
      </c>
      <c r="N761" t="s">
        <v>227</v>
      </c>
      <c r="O761" t="s">
        <v>306</v>
      </c>
      <c r="P761">
        <v>4.2930917599479333E-3</v>
      </c>
      <c r="Q761" t="s">
        <v>153</v>
      </c>
    </row>
    <row r="762" spans="9:17" x14ac:dyDescent="0.45">
      <c r="I762" t="s">
        <v>184</v>
      </c>
      <c r="J762" t="s">
        <v>307</v>
      </c>
      <c r="K762">
        <v>0</v>
      </c>
      <c r="L762" t="s">
        <v>153</v>
      </c>
      <c r="N762" t="s">
        <v>227</v>
      </c>
      <c r="O762" t="s">
        <v>307</v>
      </c>
      <c r="P762">
        <v>4.0256186086699494E-2</v>
      </c>
      <c r="Q762" t="s">
        <v>153</v>
      </c>
    </row>
    <row r="763" spans="9:17" x14ac:dyDescent="0.45">
      <c r="I763" t="s">
        <v>184</v>
      </c>
      <c r="J763" t="s">
        <v>159</v>
      </c>
      <c r="K763">
        <v>0</v>
      </c>
      <c r="L763" t="s">
        <v>153</v>
      </c>
      <c r="N763" t="s">
        <v>227</v>
      </c>
      <c r="O763" t="s">
        <v>159</v>
      </c>
      <c r="P763">
        <v>0.13754604731692571</v>
      </c>
      <c r="Q763" t="s">
        <v>153</v>
      </c>
    </row>
    <row r="764" spans="9:17" x14ac:dyDescent="0.45">
      <c r="I764" t="s">
        <v>184</v>
      </c>
      <c r="J764" t="s">
        <v>160</v>
      </c>
      <c r="K764">
        <v>4.8079747920571929E-3</v>
      </c>
      <c r="L764" t="s">
        <v>153</v>
      </c>
      <c r="N764" t="s">
        <v>227</v>
      </c>
      <c r="O764" t="s">
        <v>160</v>
      </c>
      <c r="P764">
        <v>1.9247046614085803E-2</v>
      </c>
      <c r="Q764" t="s">
        <v>153</v>
      </c>
    </row>
    <row r="765" spans="9:17" x14ac:dyDescent="0.45">
      <c r="I765" t="s">
        <v>184</v>
      </c>
      <c r="J765" t="s">
        <v>161</v>
      </c>
      <c r="K765">
        <v>1.7087509152891665E-2</v>
      </c>
      <c r="L765" t="s">
        <v>153</v>
      </c>
      <c r="N765" t="s">
        <v>227</v>
      </c>
      <c r="O765" t="s">
        <v>161</v>
      </c>
      <c r="P765">
        <v>1.8088761414994922E-2</v>
      </c>
      <c r="Q765" t="s">
        <v>153</v>
      </c>
    </row>
    <row r="766" spans="9:17" x14ac:dyDescent="0.45">
      <c r="I766" t="s">
        <v>184</v>
      </c>
      <c r="J766" t="s">
        <v>286</v>
      </c>
      <c r="K766">
        <v>7.9959822439496536E-2</v>
      </c>
      <c r="L766" t="s">
        <v>153</v>
      </c>
      <c r="N766" t="s">
        <v>227</v>
      </c>
      <c r="O766" t="s">
        <v>286</v>
      </c>
      <c r="P766">
        <v>4.95545425399814E-2</v>
      </c>
      <c r="Q766" t="s">
        <v>153</v>
      </c>
    </row>
    <row r="767" spans="9:17" x14ac:dyDescent="0.45">
      <c r="I767" t="s">
        <v>184</v>
      </c>
      <c r="J767" t="s">
        <v>287</v>
      </c>
      <c r="K767">
        <v>0.17960002786306745</v>
      </c>
      <c r="L767" t="s">
        <v>153</v>
      </c>
      <c r="N767" t="s">
        <v>227</v>
      </c>
      <c r="O767" t="s">
        <v>287</v>
      </c>
      <c r="P767">
        <v>6.2120638728129271E-2</v>
      </c>
      <c r="Q767" t="s">
        <v>153</v>
      </c>
    </row>
    <row r="768" spans="9:17" x14ac:dyDescent="0.45">
      <c r="I768" t="s">
        <v>184</v>
      </c>
      <c r="J768" t="s">
        <v>288</v>
      </c>
      <c r="K768">
        <v>2.0554872911716086E-2</v>
      </c>
      <c r="L768" t="s">
        <v>153</v>
      </c>
      <c r="N768" t="s">
        <v>227</v>
      </c>
      <c r="O768" t="s">
        <v>288</v>
      </c>
      <c r="P768">
        <v>9.7206582867215858E-3</v>
      </c>
      <c r="Q768" t="s">
        <v>153</v>
      </c>
    </row>
    <row r="769" spans="9:17" x14ac:dyDescent="0.45">
      <c r="I769" t="s">
        <v>184</v>
      </c>
      <c r="J769" t="s">
        <v>308</v>
      </c>
      <c r="K769">
        <v>1.3287790358972366E-2</v>
      </c>
      <c r="L769" t="s">
        <v>153</v>
      </c>
      <c r="N769" t="s">
        <v>227</v>
      </c>
      <c r="O769" t="s">
        <v>308</v>
      </c>
      <c r="P769">
        <v>1.0609798745679484E-2</v>
      </c>
      <c r="Q769" t="s">
        <v>153</v>
      </c>
    </row>
    <row r="770" spans="9:17" x14ac:dyDescent="0.45">
      <c r="I770" t="s">
        <v>184</v>
      </c>
      <c r="J770" t="s">
        <v>309</v>
      </c>
      <c r="K770">
        <v>0</v>
      </c>
      <c r="L770" t="s">
        <v>153</v>
      </c>
      <c r="N770" t="s">
        <v>227</v>
      </c>
      <c r="O770" t="s">
        <v>309</v>
      </c>
      <c r="P770">
        <v>0.11152053631272046</v>
      </c>
      <c r="Q770" t="s">
        <v>153</v>
      </c>
    </row>
    <row r="771" spans="9:17" x14ac:dyDescent="0.45">
      <c r="I771" t="s">
        <v>184</v>
      </c>
      <c r="J771" t="s">
        <v>294</v>
      </c>
      <c r="K771">
        <v>0</v>
      </c>
      <c r="L771" t="s">
        <v>153</v>
      </c>
      <c r="N771" t="s">
        <v>227</v>
      </c>
      <c r="O771" t="s">
        <v>294</v>
      </c>
      <c r="P771">
        <v>2.1900539966465019E-2</v>
      </c>
      <c r="Q771" t="s">
        <v>153</v>
      </c>
    </row>
    <row r="772" spans="9:17" x14ac:dyDescent="0.45">
      <c r="I772" t="s">
        <v>184</v>
      </c>
      <c r="J772" t="s">
        <v>295</v>
      </c>
      <c r="K772">
        <v>2.2988934173332146E-3</v>
      </c>
      <c r="L772" t="s">
        <v>153</v>
      </c>
      <c r="N772" t="s">
        <v>227</v>
      </c>
      <c r="O772" t="s">
        <v>295</v>
      </c>
      <c r="P772">
        <v>2.6210027503618541E-3</v>
      </c>
      <c r="Q772" t="s">
        <v>153</v>
      </c>
    </row>
    <row r="773" spans="9:17" x14ac:dyDescent="0.45">
      <c r="I773" t="s">
        <v>184</v>
      </c>
      <c r="J773" t="s">
        <v>296</v>
      </c>
      <c r="K773">
        <v>4.1836277171267882E-3</v>
      </c>
      <c r="L773" t="s">
        <v>153</v>
      </c>
      <c r="N773" t="s">
        <v>227</v>
      </c>
      <c r="O773" t="s">
        <v>296</v>
      </c>
      <c r="P773">
        <v>2.8405826502994162E-3</v>
      </c>
      <c r="Q773" t="s">
        <v>153</v>
      </c>
    </row>
    <row r="774" spans="9:17" x14ac:dyDescent="0.45">
      <c r="I774" t="s">
        <v>184</v>
      </c>
      <c r="J774" t="s">
        <v>297</v>
      </c>
      <c r="K774">
        <v>1.9663734695945446E-2</v>
      </c>
      <c r="L774" t="s">
        <v>153</v>
      </c>
      <c r="N774" t="s">
        <v>227</v>
      </c>
      <c r="O774" t="s">
        <v>297</v>
      </c>
      <c r="P774">
        <v>8.2422818923040646E-3</v>
      </c>
      <c r="Q774" t="s">
        <v>153</v>
      </c>
    </row>
    <row r="775" spans="9:17" x14ac:dyDescent="0.45">
      <c r="I775" t="s">
        <v>184</v>
      </c>
      <c r="J775" t="s">
        <v>298</v>
      </c>
      <c r="K775">
        <v>4.2502073372318108E-2</v>
      </c>
      <c r="L775" t="s">
        <v>153</v>
      </c>
      <c r="N775" t="s">
        <v>227</v>
      </c>
      <c r="O775" t="s">
        <v>298</v>
      </c>
      <c r="P775">
        <v>9.390507824624441E-3</v>
      </c>
      <c r="Q775" t="s">
        <v>153</v>
      </c>
    </row>
    <row r="776" spans="9:17" x14ac:dyDescent="0.45">
      <c r="I776" t="s">
        <v>184</v>
      </c>
      <c r="J776" t="s">
        <v>299</v>
      </c>
      <c r="K776">
        <v>5.1230843250162621E-3</v>
      </c>
      <c r="L776" t="s">
        <v>153</v>
      </c>
      <c r="N776" t="s">
        <v>227</v>
      </c>
      <c r="O776" t="s">
        <v>299</v>
      </c>
      <c r="P776">
        <v>2.0026097606993731E-3</v>
      </c>
      <c r="Q776" t="s">
        <v>153</v>
      </c>
    </row>
    <row r="777" spans="9:17" x14ac:dyDescent="0.45">
      <c r="I777" t="s">
        <v>184</v>
      </c>
      <c r="J777" t="s">
        <v>310</v>
      </c>
      <c r="K777">
        <v>3.6785366151195925E-3</v>
      </c>
      <c r="L777" t="s">
        <v>153</v>
      </c>
      <c r="N777" t="s">
        <v>227</v>
      </c>
      <c r="O777" t="s">
        <v>310</v>
      </c>
      <c r="P777">
        <v>2.4204168552201095E-3</v>
      </c>
      <c r="Q777" t="s">
        <v>153</v>
      </c>
    </row>
    <row r="778" spans="9:17" x14ac:dyDescent="0.45">
      <c r="I778" t="s">
        <v>184</v>
      </c>
      <c r="J778" t="s">
        <v>311</v>
      </c>
      <c r="K778">
        <v>1.403808541790606E-3</v>
      </c>
      <c r="L778" t="s">
        <v>153</v>
      </c>
      <c r="N778" t="s">
        <v>227</v>
      </c>
      <c r="O778" t="s">
        <v>311</v>
      </c>
      <c r="P778">
        <v>1.9751390578941593E-2</v>
      </c>
      <c r="Q778" t="s">
        <v>153</v>
      </c>
    </row>
    <row r="779" spans="9:17" x14ac:dyDescent="0.45">
      <c r="I779" t="s">
        <v>185</v>
      </c>
      <c r="J779" t="s">
        <v>152</v>
      </c>
      <c r="K779">
        <v>0</v>
      </c>
      <c r="L779" t="s">
        <v>153</v>
      </c>
      <c r="N779" t="s">
        <v>228</v>
      </c>
      <c r="O779" t="s">
        <v>152</v>
      </c>
      <c r="P779">
        <v>0.11958846436285818</v>
      </c>
      <c r="Q779" t="s">
        <v>153</v>
      </c>
    </row>
    <row r="780" spans="9:17" x14ac:dyDescent="0.45">
      <c r="I780" t="s">
        <v>185</v>
      </c>
      <c r="J780" t="s">
        <v>154</v>
      </c>
      <c r="K780">
        <v>7.6507230475733004E-4</v>
      </c>
      <c r="L780" t="s">
        <v>153</v>
      </c>
      <c r="N780" t="s">
        <v>228</v>
      </c>
      <c r="O780" t="s">
        <v>154</v>
      </c>
      <c r="P780">
        <v>1.499498262149975E-2</v>
      </c>
      <c r="Q780" t="s">
        <v>153</v>
      </c>
    </row>
    <row r="781" spans="9:17" x14ac:dyDescent="0.45">
      <c r="I781" t="s">
        <v>185</v>
      </c>
      <c r="J781" t="s">
        <v>155</v>
      </c>
      <c r="K781">
        <v>1.8506940054430827E-2</v>
      </c>
      <c r="L781" t="s">
        <v>153</v>
      </c>
      <c r="N781" t="s">
        <v>228</v>
      </c>
      <c r="O781" t="s">
        <v>155</v>
      </c>
      <c r="P781">
        <v>1.3011249469723395E-2</v>
      </c>
      <c r="Q781" t="s">
        <v>153</v>
      </c>
    </row>
    <row r="782" spans="9:17" x14ac:dyDescent="0.45">
      <c r="I782" t="s">
        <v>185</v>
      </c>
      <c r="J782" t="s">
        <v>280</v>
      </c>
      <c r="K782">
        <v>0.11628078449765217</v>
      </c>
      <c r="L782" t="s">
        <v>153</v>
      </c>
      <c r="N782" t="s">
        <v>228</v>
      </c>
      <c r="O782" t="s">
        <v>280</v>
      </c>
      <c r="P782">
        <v>3.6121337911298443E-2</v>
      </c>
      <c r="Q782" t="s">
        <v>153</v>
      </c>
    </row>
    <row r="783" spans="9:17" x14ac:dyDescent="0.45">
      <c r="I783" t="s">
        <v>185</v>
      </c>
      <c r="J783" t="s">
        <v>281</v>
      </c>
      <c r="K783">
        <v>0.27384173587210592</v>
      </c>
      <c r="L783" t="s">
        <v>153</v>
      </c>
      <c r="N783" t="s">
        <v>228</v>
      </c>
      <c r="O783" t="s">
        <v>281</v>
      </c>
      <c r="P783">
        <v>5.976049330730171E-2</v>
      </c>
      <c r="Q783" t="s">
        <v>153</v>
      </c>
    </row>
    <row r="784" spans="9:17" x14ac:dyDescent="0.45">
      <c r="I784" t="s">
        <v>185</v>
      </c>
      <c r="J784" t="s">
        <v>282</v>
      </c>
      <c r="K784">
        <v>3.5854175704162369E-2</v>
      </c>
      <c r="L784" t="s">
        <v>153</v>
      </c>
      <c r="N784" t="s">
        <v>228</v>
      </c>
      <c r="O784" t="s">
        <v>282</v>
      </c>
      <c r="P784">
        <v>1.0776304049484074E-2</v>
      </c>
      <c r="Q784" t="s">
        <v>153</v>
      </c>
    </row>
    <row r="785" spans="9:17" x14ac:dyDescent="0.45">
      <c r="I785" t="s">
        <v>185</v>
      </c>
      <c r="J785" t="s">
        <v>304</v>
      </c>
      <c r="K785">
        <v>2.066958261703004E-2</v>
      </c>
      <c r="L785" t="s">
        <v>153</v>
      </c>
      <c r="N785" t="s">
        <v>228</v>
      </c>
      <c r="O785" t="s">
        <v>304</v>
      </c>
      <c r="P785">
        <v>1.2173002088772965E-2</v>
      </c>
      <c r="Q785" t="s">
        <v>153</v>
      </c>
    </row>
    <row r="786" spans="9:17" x14ac:dyDescent="0.45">
      <c r="I786" t="s">
        <v>185</v>
      </c>
      <c r="J786" t="s">
        <v>305</v>
      </c>
      <c r="K786">
        <v>6.0216118120442856E-3</v>
      </c>
      <c r="L786" t="s">
        <v>153</v>
      </c>
      <c r="N786" t="s">
        <v>228</v>
      </c>
      <c r="O786" t="s">
        <v>305</v>
      </c>
      <c r="P786">
        <v>8.8211333929436961E-2</v>
      </c>
      <c r="Q786" t="s">
        <v>153</v>
      </c>
    </row>
    <row r="787" spans="9:17" x14ac:dyDescent="0.45">
      <c r="I787" t="s">
        <v>185</v>
      </c>
      <c r="J787" t="s">
        <v>156</v>
      </c>
      <c r="K787">
        <v>0</v>
      </c>
      <c r="L787" t="s">
        <v>153</v>
      </c>
      <c r="N787" t="s">
        <v>228</v>
      </c>
      <c r="O787" t="s">
        <v>156</v>
      </c>
      <c r="P787">
        <v>5.5426599138629254E-2</v>
      </c>
      <c r="Q787" t="s">
        <v>153</v>
      </c>
    </row>
    <row r="788" spans="9:17" x14ac:dyDescent="0.45">
      <c r="I788" t="s">
        <v>185</v>
      </c>
      <c r="J788" t="s">
        <v>157</v>
      </c>
      <c r="K788">
        <v>0</v>
      </c>
      <c r="L788" t="s">
        <v>153</v>
      </c>
      <c r="N788" t="s">
        <v>228</v>
      </c>
      <c r="O788" t="s">
        <v>157</v>
      </c>
      <c r="P788">
        <v>7.1375281527340743E-3</v>
      </c>
      <c r="Q788" t="s">
        <v>153</v>
      </c>
    </row>
    <row r="789" spans="9:17" x14ac:dyDescent="0.45">
      <c r="I789" t="s">
        <v>185</v>
      </c>
      <c r="J789" t="s">
        <v>158</v>
      </c>
      <c r="K789">
        <v>3.5772625523346332E-4</v>
      </c>
      <c r="L789" t="s">
        <v>153</v>
      </c>
      <c r="N789" t="s">
        <v>228</v>
      </c>
      <c r="O789" t="s">
        <v>158</v>
      </c>
      <c r="P789">
        <v>6.5072935702042778E-3</v>
      </c>
      <c r="Q789" t="s">
        <v>153</v>
      </c>
    </row>
    <row r="790" spans="9:17" x14ac:dyDescent="0.45">
      <c r="I790" t="s">
        <v>185</v>
      </c>
      <c r="J790" t="s">
        <v>283</v>
      </c>
      <c r="K790">
        <v>3.4114240296161932E-2</v>
      </c>
      <c r="L790" t="s">
        <v>153</v>
      </c>
      <c r="N790" t="s">
        <v>228</v>
      </c>
      <c r="O790" t="s">
        <v>283</v>
      </c>
      <c r="P790">
        <v>1.3919983614772861E-2</v>
      </c>
      <c r="Q790" t="s">
        <v>153</v>
      </c>
    </row>
    <row r="791" spans="9:17" x14ac:dyDescent="0.45">
      <c r="I791" t="s">
        <v>185</v>
      </c>
      <c r="J791" t="s">
        <v>284</v>
      </c>
      <c r="K791">
        <v>8.6371776256576868E-2</v>
      </c>
      <c r="L791" t="s">
        <v>153</v>
      </c>
      <c r="N791" t="s">
        <v>228</v>
      </c>
      <c r="O791" t="s">
        <v>284</v>
      </c>
      <c r="P791">
        <v>3.1599232868021181E-2</v>
      </c>
      <c r="Q791" t="s">
        <v>153</v>
      </c>
    </row>
    <row r="792" spans="9:17" x14ac:dyDescent="0.45">
      <c r="I792" t="s">
        <v>185</v>
      </c>
      <c r="J792" t="s">
        <v>285</v>
      </c>
      <c r="K792">
        <v>9.8057845315151285E-3</v>
      </c>
      <c r="L792" t="s">
        <v>153</v>
      </c>
      <c r="N792" t="s">
        <v>228</v>
      </c>
      <c r="O792" t="s">
        <v>285</v>
      </c>
      <c r="P792">
        <v>5.8850778338080329E-3</v>
      </c>
      <c r="Q792" t="s">
        <v>153</v>
      </c>
    </row>
    <row r="793" spans="9:17" x14ac:dyDescent="0.45">
      <c r="I793" t="s">
        <v>185</v>
      </c>
      <c r="J793" t="s">
        <v>306</v>
      </c>
      <c r="K793">
        <v>2.4058863635018977E-3</v>
      </c>
      <c r="L793" t="s">
        <v>153</v>
      </c>
      <c r="N793" t="s">
        <v>228</v>
      </c>
      <c r="O793" t="s">
        <v>306</v>
      </c>
      <c r="P793">
        <v>6.8104705347619247E-3</v>
      </c>
      <c r="Q793" t="s">
        <v>153</v>
      </c>
    </row>
    <row r="794" spans="9:17" x14ac:dyDescent="0.45">
      <c r="I794" t="s">
        <v>185</v>
      </c>
      <c r="J794" t="s">
        <v>307</v>
      </c>
      <c r="K794">
        <v>0</v>
      </c>
      <c r="L794" t="s">
        <v>153</v>
      </c>
      <c r="N794" t="s">
        <v>228</v>
      </c>
      <c r="O794" t="s">
        <v>307</v>
      </c>
      <c r="P794">
        <v>4.2525397802582195E-2</v>
      </c>
      <c r="Q794" t="s">
        <v>153</v>
      </c>
    </row>
    <row r="795" spans="9:17" x14ac:dyDescent="0.45">
      <c r="I795" t="s">
        <v>185</v>
      </c>
      <c r="J795" t="s">
        <v>159</v>
      </c>
      <c r="K795">
        <v>0</v>
      </c>
      <c r="L795" t="s">
        <v>153</v>
      </c>
      <c r="N795" t="s">
        <v>228</v>
      </c>
      <c r="O795" t="s">
        <v>159</v>
      </c>
      <c r="P795">
        <v>0.11913440406668602</v>
      </c>
      <c r="Q795" t="s">
        <v>153</v>
      </c>
    </row>
    <row r="796" spans="9:17" x14ac:dyDescent="0.45">
      <c r="I796" t="s">
        <v>185</v>
      </c>
      <c r="J796" t="s">
        <v>160</v>
      </c>
      <c r="K796">
        <v>4.0857902664398933E-3</v>
      </c>
      <c r="L796" t="s">
        <v>153</v>
      </c>
      <c r="N796" t="s">
        <v>228</v>
      </c>
      <c r="O796" t="s">
        <v>160</v>
      </c>
      <c r="P796">
        <v>1.4335590455351878E-2</v>
      </c>
      <c r="Q796" t="s">
        <v>153</v>
      </c>
    </row>
    <row r="797" spans="9:17" x14ac:dyDescent="0.45">
      <c r="I797" t="s">
        <v>185</v>
      </c>
      <c r="J797" t="s">
        <v>161</v>
      </c>
      <c r="K797">
        <v>1.6117540868897016E-2</v>
      </c>
      <c r="L797" t="s">
        <v>153</v>
      </c>
      <c r="N797" t="s">
        <v>228</v>
      </c>
      <c r="O797" t="s">
        <v>161</v>
      </c>
      <c r="P797">
        <v>1.29696487240765E-2</v>
      </c>
      <c r="Q797" t="s">
        <v>153</v>
      </c>
    </row>
    <row r="798" spans="9:17" x14ac:dyDescent="0.45">
      <c r="I798" t="s">
        <v>185</v>
      </c>
      <c r="J798" t="s">
        <v>286</v>
      </c>
      <c r="K798">
        <v>7.8402671008852176E-2</v>
      </c>
      <c r="L798" t="s">
        <v>153</v>
      </c>
      <c r="N798" t="s">
        <v>228</v>
      </c>
      <c r="O798" t="s">
        <v>286</v>
      </c>
      <c r="P798">
        <v>4.6043768375861716E-2</v>
      </c>
      <c r="Q798" t="s">
        <v>153</v>
      </c>
    </row>
    <row r="799" spans="9:17" x14ac:dyDescent="0.45">
      <c r="I799" t="s">
        <v>185</v>
      </c>
      <c r="J799" t="s">
        <v>287</v>
      </c>
      <c r="K799">
        <v>0.18099953793740758</v>
      </c>
      <c r="L799" t="s">
        <v>153</v>
      </c>
      <c r="N799" t="s">
        <v>228</v>
      </c>
      <c r="O799" t="s">
        <v>287</v>
      </c>
      <c r="P799">
        <v>9.8827799687239926E-2</v>
      </c>
      <c r="Q799" t="s">
        <v>153</v>
      </c>
    </row>
    <row r="800" spans="9:17" x14ac:dyDescent="0.45">
      <c r="I800" t="s">
        <v>185</v>
      </c>
      <c r="J800" t="s">
        <v>288</v>
      </c>
      <c r="K800">
        <v>2.1479553997679118E-2</v>
      </c>
      <c r="L800" t="s">
        <v>153</v>
      </c>
      <c r="N800" t="s">
        <v>228</v>
      </c>
      <c r="O800" t="s">
        <v>288</v>
      </c>
      <c r="P800">
        <v>1.6624455602369574E-2</v>
      </c>
      <c r="Q800" t="s">
        <v>153</v>
      </c>
    </row>
    <row r="801" spans="9:17" x14ac:dyDescent="0.45">
      <c r="I801" t="s">
        <v>185</v>
      </c>
      <c r="J801" t="s">
        <v>308</v>
      </c>
      <c r="K801">
        <v>1.371501730864819E-2</v>
      </c>
      <c r="L801" t="s">
        <v>153</v>
      </c>
      <c r="N801" t="s">
        <v>228</v>
      </c>
      <c r="O801" t="s">
        <v>308</v>
      </c>
      <c r="P801">
        <v>1.4749612234996797E-2</v>
      </c>
      <c r="Q801" t="s">
        <v>153</v>
      </c>
    </row>
    <row r="802" spans="9:17" x14ac:dyDescent="0.45">
      <c r="I802" t="s">
        <v>185</v>
      </c>
      <c r="J802" t="s">
        <v>309</v>
      </c>
      <c r="K802">
        <v>0</v>
      </c>
      <c r="L802" t="s">
        <v>153</v>
      </c>
      <c r="N802" t="s">
        <v>228</v>
      </c>
      <c r="O802" t="s">
        <v>309</v>
      </c>
      <c r="P802">
        <v>0.10175213712529324</v>
      </c>
      <c r="Q802" t="s">
        <v>153</v>
      </c>
    </row>
    <row r="803" spans="9:17" x14ac:dyDescent="0.45">
      <c r="I803" t="s">
        <v>185</v>
      </c>
      <c r="J803" t="s">
        <v>294</v>
      </c>
      <c r="K803">
        <v>0</v>
      </c>
      <c r="L803" t="s">
        <v>153</v>
      </c>
      <c r="N803" t="s">
        <v>228</v>
      </c>
      <c r="O803" t="s">
        <v>294</v>
      </c>
      <c r="P803">
        <v>1.1591552037828183E-2</v>
      </c>
      <c r="Q803" t="s">
        <v>153</v>
      </c>
    </row>
    <row r="804" spans="9:17" x14ac:dyDescent="0.45">
      <c r="I804" t="s">
        <v>185</v>
      </c>
      <c r="J804" t="s">
        <v>295</v>
      </c>
      <c r="K804">
        <v>2.17640311105815E-3</v>
      </c>
      <c r="L804" t="s">
        <v>153</v>
      </c>
      <c r="N804" t="s">
        <v>228</v>
      </c>
      <c r="O804" t="s">
        <v>295</v>
      </c>
      <c r="P804">
        <v>1.9231215142596369E-3</v>
      </c>
      <c r="Q804" t="s">
        <v>153</v>
      </c>
    </row>
    <row r="805" spans="9:17" x14ac:dyDescent="0.45">
      <c r="I805" t="s">
        <v>185</v>
      </c>
      <c r="J805" t="s">
        <v>296</v>
      </c>
      <c r="K805">
        <v>3.9501379093929935E-3</v>
      </c>
      <c r="L805" t="s">
        <v>153</v>
      </c>
      <c r="N805" t="s">
        <v>228</v>
      </c>
      <c r="O805" t="s">
        <v>296</v>
      </c>
      <c r="P805">
        <v>1.9549748445087094E-3</v>
      </c>
      <c r="Q805" t="s">
        <v>153</v>
      </c>
    </row>
    <row r="806" spans="9:17" x14ac:dyDescent="0.45">
      <c r="I806" t="s">
        <v>185</v>
      </c>
      <c r="J806" t="s">
        <v>297</v>
      </c>
      <c r="K806">
        <v>1.907359781531498E-2</v>
      </c>
      <c r="L806" t="s">
        <v>153</v>
      </c>
      <c r="N806" t="s">
        <v>228</v>
      </c>
      <c r="O806" t="s">
        <v>297</v>
      </c>
      <c r="P806">
        <v>6.7917952154899026E-3</v>
      </c>
      <c r="Q806" t="s">
        <v>153</v>
      </c>
    </row>
    <row r="807" spans="9:17" x14ac:dyDescent="0.45">
      <c r="I807" t="s">
        <v>185</v>
      </c>
      <c r="J807" t="s">
        <v>298</v>
      </c>
      <c r="K807">
        <v>4.3489309469591023E-2</v>
      </c>
      <c r="L807" t="s">
        <v>153</v>
      </c>
      <c r="N807" t="s">
        <v>228</v>
      </c>
      <c r="O807" t="s">
        <v>298</v>
      </c>
      <c r="P807">
        <v>1.2865671124083919E-2</v>
      </c>
      <c r="Q807" t="s">
        <v>153</v>
      </c>
    </row>
    <row r="808" spans="9:17" x14ac:dyDescent="0.45">
      <c r="I808" t="s">
        <v>185</v>
      </c>
      <c r="J808" t="s">
        <v>299</v>
      </c>
      <c r="K808">
        <v>5.4533299153452204E-3</v>
      </c>
      <c r="L808" t="s">
        <v>153</v>
      </c>
      <c r="N808" t="s">
        <v>228</v>
      </c>
      <c r="O808" t="s">
        <v>299</v>
      </c>
      <c r="P808">
        <v>1.8846299408468541E-3</v>
      </c>
      <c r="Q808" t="s">
        <v>153</v>
      </c>
    </row>
    <row r="809" spans="9:17" x14ac:dyDescent="0.45">
      <c r="I809" t="s">
        <v>185</v>
      </c>
      <c r="J809" t="s">
        <v>310</v>
      </c>
      <c r="K809">
        <v>3.9859207578215022E-3</v>
      </c>
      <c r="L809" t="s">
        <v>153</v>
      </c>
      <c r="N809" t="s">
        <v>228</v>
      </c>
      <c r="O809" t="s">
        <v>310</v>
      </c>
      <c r="P809">
        <v>1.6957428058736301E-3</v>
      </c>
      <c r="Q809" t="s">
        <v>153</v>
      </c>
    </row>
    <row r="810" spans="9:17" x14ac:dyDescent="0.45">
      <c r="I810" t="s">
        <v>185</v>
      </c>
      <c r="J810" t="s">
        <v>311</v>
      </c>
      <c r="K810">
        <v>2.07587306838215E-3</v>
      </c>
      <c r="L810" t="s">
        <v>153</v>
      </c>
      <c r="N810" t="s">
        <v>228</v>
      </c>
      <c r="O810" t="s">
        <v>311</v>
      </c>
      <c r="P810">
        <v>1.2406344989344884E-2</v>
      </c>
      <c r="Q810" t="s">
        <v>153</v>
      </c>
    </row>
    <row r="811" spans="9:17" x14ac:dyDescent="0.45">
      <c r="I811" t="s">
        <v>186</v>
      </c>
      <c r="J811" t="s">
        <v>152</v>
      </c>
      <c r="K811">
        <v>0</v>
      </c>
      <c r="L811" t="s">
        <v>153</v>
      </c>
      <c r="N811" t="s">
        <v>229</v>
      </c>
      <c r="O811" t="s">
        <v>152</v>
      </c>
      <c r="P811">
        <v>0.11144218099193716</v>
      </c>
      <c r="Q811" t="s">
        <v>153</v>
      </c>
    </row>
    <row r="812" spans="9:17" x14ac:dyDescent="0.45">
      <c r="I812" t="s">
        <v>186</v>
      </c>
      <c r="J812" t="s">
        <v>154</v>
      </c>
      <c r="K812">
        <v>1.124524664385998E-3</v>
      </c>
      <c r="L812" t="s">
        <v>153</v>
      </c>
      <c r="N812" t="s">
        <v>229</v>
      </c>
      <c r="O812" t="s">
        <v>154</v>
      </c>
      <c r="P812">
        <v>1.2431040840708013E-2</v>
      </c>
      <c r="Q812" t="s">
        <v>153</v>
      </c>
    </row>
    <row r="813" spans="9:17" x14ac:dyDescent="0.45">
      <c r="I813" t="s">
        <v>186</v>
      </c>
      <c r="J813" t="s">
        <v>155</v>
      </c>
      <c r="K813">
        <v>1.3369446152804153E-2</v>
      </c>
      <c r="L813" t="s">
        <v>153</v>
      </c>
      <c r="N813" t="s">
        <v>229</v>
      </c>
      <c r="O813" t="s">
        <v>155</v>
      </c>
      <c r="P813">
        <v>1.0773475720064695E-2</v>
      </c>
      <c r="Q813" t="s">
        <v>153</v>
      </c>
    </row>
    <row r="814" spans="9:17" x14ac:dyDescent="0.45">
      <c r="I814" t="s">
        <v>186</v>
      </c>
      <c r="J814" t="s">
        <v>280</v>
      </c>
      <c r="K814">
        <v>0.1161078304112356</v>
      </c>
      <c r="L814" t="s">
        <v>153</v>
      </c>
      <c r="N814" t="s">
        <v>229</v>
      </c>
      <c r="O814" t="s">
        <v>280</v>
      </c>
      <c r="P814">
        <v>3.0670222935699456E-2</v>
      </c>
      <c r="Q814" t="s">
        <v>153</v>
      </c>
    </row>
    <row r="815" spans="9:17" x14ac:dyDescent="0.45">
      <c r="I815" t="s">
        <v>186</v>
      </c>
      <c r="J815" t="s">
        <v>281</v>
      </c>
      <c r="K815">
        <v>0.27293643305725096</v>
      </c>
      <c r="L815" t="s">
        <v>153</v>
      </c>
      <c r="N815" t="s">
        <v>229</v>
      </c>
      <c r="O815" t="s">
        <v>281</v>
      </c>
      <c r="P815">
        <v>6.0562485686635789E-2</v>
      </c>
      <c r="Q815" t="s">
        <v>153</v>
      </c>
    </row>
    <row r="816" spans="9:17" x14ac:dyDescent="0.45">
      <c r="I816" t="s">
        <v>186</v>
      </c>
      <c r="J816" t="s">
        <v>282</v>
      </c>
      <c r="K816">
        <v>3.2612201823653424E-2</v>
      </c>
      <c r="L816" t="s">
        <v>153</v>
      </c>
      <c r="N816" t="s">
        <v>229</v>
      </c>
      <c r="O816" t="s">
        <v>282</v>
      </c>
      <c r="P816">
        <v>1.1237824843702147E-2</v>
      </c>
      <c r="Q816" t="s">
        <v>153</v>
      </c>
    </row>
    <row r="817" spans="9:17" x14ac:dyDescent="0.45">
      <c r="I817" t="s">
        <v>186</v>
      </c>
      <c r="J817" t="s">
        <v>304</v>
      </c>
      <c r="K817">
        <v>1.697164989512449E-2</v>
      </c>
      <c r="L817" t="s">
        <v>153</v>
      </c>
      <c r="N817" t="s">
        <v>229</v>
      </c>
      <c r="O817" t="s">
        <v>304</v>
      </c>
      <c r="P817">
        <v>1.3534401190091397E-2</v>
      </c>
      <c r="Q817" t="s">
        <v>153</v>
      </c>
    </row>
    <row r="818" spans="9:17" x14ac:dyDescent="0.45">
      <c r="I818" t="s">
        <v>186</v>
      </c>
      <c r="J818" t="s">
        <v>305</v>
      </c>
      <c r="K818">
        <v>5.8290746892347978E-3</v>
      </c>
      <c r="L818" t="s">
        <v>153</v>
      </c>
      <c r="N818" t="s">
        <v>229</v>
      </c>
      <c r="O818" t="s">
        <v>305</v>
      </c>
      <c r="P818">
        <v>0.11180387633224564</v>
      </c>
      <c r="Q818" t="s">
        <v>153</v>
      </c>
    </row>
    <row r="819" spans="9:17" x14ac:dyDescent="0.45">
      <c r="I819" t="s">
        <v>186</v>
      </c>
      <c r="J819" t="s">
        <v>156</v>
      </c>
      <c r="K819">
        <v>0</v>
      </c>
      <c r="L819" t="s">
        <v>153</v>
      </c>
      <c r="N819" t="s">
        <v>229</v>
      </c>
      <c r="O819" t="s">
        <v>156</v>
      </c>
      <c r="P819">
        <v>4.2856303857845356E-2</v>
      </c>
      <c r="Q819" t="s">
        <v>153</v>
      </c>
    </row>
    <row r="820" spans="9:17" x14ac:dyDescent="0.45">
      <c r="I820" t="s">
        <v>186</v>
      </c>
      <c r="J820" t="s">
        <v>157</v>
      </c>
      <c r="K820">
        <v>0</v>
      </c>
      <c r="L820" t="s">
        <v>153</v>
      </c>
      <c r="N820" t="s">
        <v>229</v>
      </c>
      <c r="O820" t="s">
        <v>157</v>
      </c>
      <c r="P820">
        <v>4.8734270057263825E-3</v>
      </c>
      <c r="Q820" t="s">
        <v>153</v>
      </c>
    </row>
    <row r="821" spans="9:17" x14ac:dyDescent="0.45">
      <c r="I821" t="s">
        <v>186</v>
      </c>
      <c r="J821" t="s">
        <v>158</v>
      </c>
      <c r="K821">
        <v>1.2686093852325556E-5</v>
      </c>
      <c r="L821" t="s">
        <v>153</v>
      </c>
      <c r="N821" t="s">
        <v>229</v>
      </c>
      <c r="O821" t="s">
        <v>158</v>
      </c>
      <c r="P821">
        <v>4.7424837116448876E-3</v>
      </c>
      <c r="Q821" t="s">
        <v>153</v>
      </c>
    </row>
    <row r="822" spans="9:17" x14ac:dyDescent="0.45">
      <c r="I822" t="s">
        <v>186</v>
      </c>
      <c r="J822" t="s">
        <v>283</v>
      </c>
      <c r="K822">
        <v>3.4692017987991847E-2</v>
      </c>
      <c r="L822" t="s">
        <v>153</v>
      </c>
      <c r="N822" t="s">
        <v>229</v>
      </c>
      <c r="O822" t="s">
        <v>283</v>
      </c>
      <c r="P822">
        <v>1.1841108936070172E-2</v>
      </c>
      <c r="Q822" t="s">
        <v>153</v>
      </c>
    </row>
    <row r="823" spans="9:17" x14ac:dyDescent="0.45">
      <c r="I823" t="s">
        <v>186</v>
      </c>
      <c r="J823" t="s">
        <v>284</v>
      </c>
      <c r="K823">
        <v>9.0224632514825667E-2</v>
      </c>
      <c r="L823" t="s">
        <v>153</v>
      </c>
      <c r="N823" t="s">
        <v>229</v>
      </c>
      <c r="O823" t="s">
        <v>284</v>
      </c>
      <c r="P823">
        <v>2.6395387244340728E-2</v>
      </c>
      <c r="Q823" t="s">
        <v>153</v>
      </c>
    </row>
    <row r="824" spans="9:17" x14ac:dyDescent="0.45">
      <c r="I824" t="s">
        <v>186</v>
      </c>
      <c r="J824" t="s">
        <v>285</v>
      </c>
      <c r="K824">
        <v>1.1337454992936646E-2</v>
      </c>
      <c r="L824" t="s">
        <v>153</v>
      </c>
      <c r="N824" t="s">
        <v>229</v>
      </c>
      <c r="O824" t="s">
        <v>285</v>
      </c>
      <c r="P824">
        <v>4.5384072466538965E-3</v>
      </c>
      <c r="Q824" t="s">
        <v>153</v>
      </c>
    </row>
    <row r="825" spans="9:17" x14ac:dyDescent="0.45">
      <c r="I825" t="s">
        <v>186</v>
      </c>
      <c r="J825" t="s">
        <v>306</v>
      </c>
      <c r="K825">
        <v>2.2680096800737262E-3</v>
      </c>
      <c r="L825" t="s">
        <v>153</v>
      </c>
      <c r="N825" t="s">
        <v>229</v>
      </c>
      <c r="O825" t="s">
        <v>306</v>
      </c>
      <c r="P825">
        <v>6.394216017198708E-3</v>
      </c>
      <c r="Q825" t="s">
        <v>153</v>
      </c>
    </row>
    <row r="826" spans="9:17" x14ac:dyDescent="0.45">
      <c r="I826" t="s">
        <v>186</v>
      </c>
      <c r="J826" t="s">
        <v>307</v>
      </c>
      <c r="K826">
        <v>0</v>
      </c>
      <c r="L826" t="s">
        <v>153</v>
      </c>
      <c r="N826" t="s">
        <v>229</v>
      </c>
      <c r="O826" t="s">
        <v>307</v>
      </c>
      <c r="P826">
        <v>4.6544192395304648E-2</v>
      </c>
      <c r="Q826" t="s">
        <v>153</v>
      </c>
    </row>
    <row r="827" spans="9:17" x14ac:dyDescent="0.45">
      <c r="I827" t="s">
        <v>186</v>
      </c>
      <c r="J827" t="s">
        <v>159</v>
      </c>
      <c r="K827">
        <v>0</v>
      </c>
      <c r="L827" t="s">
        <v>153</v>
      </c>
      <c r="N827" t="s">
        <v>229</v>
      </c>
      <c r="O827" t="s">
        <v>159</v>
      </c>
      <c r="P827">
        <v>0.1207765054766685</v>
      </c>
      <c r="Q827" t="s">
        <v>153</v>
      </c>
    </row>
    <row r="828" spans="9:17" x14ac:dyDescent="0.45">
      <c r="I828" t="s">
        <v>186</v>
      </c>
      <c r="J828" t="s">
        <v>160</v>
      </c>
      <c r="K828">
        <v>3.2616532493251029E-3</v>
      </c>
      <c r="L828" t="s">
        <v>153</v>
      </c>
      <c r="N828" t="s">
        <v>229</v>
      </c>
      <c r="O828" t="s">
        <v>160</v>
      </c>
      <c r="P828">
        <v>1.3055517524409144E-2</v>
      </c>
      <c r="Q828" t="s">
        <v>153</v>
      </c>
    </row>
    <row r="829" spans="9:17" x14ac:dyDescent="0.45">
      <c r="I829" t="s">
        <v>186</v>
      </c>
      <c r="J829" t="s">
        <v>161</v>
      </c>
      <c r="K829">
        <v>1.582825140750967E-2</v>
      </c>
      <c r="L829" t="s">
        <v>153</v>
      </c>
      <c r="N829" t="s">
        <v>229</v>
      </c>
      <c r="O829" t="s">
        <v>161</v>
      </c>
      <c r="P829">
        <v>1.2103161937059653E-2</v>
      </c>
      <c r="Q829" t="s">
        <v>153</v>
      </c>
    </row>
    <row r="830" spans="9:17" x14ac:dyDescent="0.45">
      <c r="I830" t="s">
        <v>186</v>
      </c>
      <c r="J830" t="s">
        <v>286</v>
      </c>
      <c r="K830">
        <v>8.2154989184245117E-2</v>
      </c>
      <c r="L830" t="s">
        <v>153</v>
      </c>
      <c r="N830" t="s">
        <v>229</v>
      </c>
      <c r="O830" t="s">
        <v>286</v>
      </c>
      <c r="P830">
        <v>4.1328796980492605E-2</v>
      </c>
      <c r="Q830" t="s">
        <v>153</v>
      </c>
    </row>
    <row r="831" spans="9:17" x14ac:dyDescent="0.45">
      <c r="I831" t="s">
        <v>186</v>
      </c>
      <c r="J831" t="s">
        <v>287</v>
      </c>
      <c r="K831">
        <v>0.18321694437436634</v>
      </c>
      <c r="L831" t="s">
        <v>153</v>
      </c>
      <c r="N831" t="s">
        <v>229</v>
      </c>
      <c r="O831" t="s">
        <v>287</v>
      </c>
      <c r="P831">
        <v>7.6290533188382151E-2</v>
      </c>
      <c r="Q831" t="s">
        <v>153</v>
      </c>
    </row>
    <row r="832" spans="9:17" x14ac:dyDescent="0.45">
      <c r="I832" t="s">
        <v>186</v>
      </c>
      <c r="J832" t="s">
        <v>288</v>
      </c>
      <c r="K832">
        <v>2.1075715576467195E-2</v>
      </c>
      <c r="L832" t="s">
        <v>153</v>
      </c>
      <c r="N832" t="s">
        <v>229</v>
      </c>
      <c r="O832" t="s">
        <v>288</v>
      </c>
      <c r="P832">
        <v>1.3481968188898139E-2</v>
      </c>
      <c r="Q832" t="s">
        <v>153</v>
      </c>
    </row>
    <row r="833" spans="9:17" x14ac:dyDescent="0.45">
      <c r="I833" t="s">
        <v>186</v>
      </c>
      <c r="J833" t="s">
        <v>308</v>
      </c>
      <c r="K833">
        <v>1.3278848541506953E-2</v>
      </c>
      <c r="L833" t="s">
        <v>153</v>
      </c>
      <c r="N833" t="s">
        <v>229</v>
      </c>
      <c r="O833" t="s">
        <v>308</v>
      </c>
      <c r="P833">
        <v>1.5475885885254679E-2</v>
      </c>
      <c r="Q833" t="s">
        <v>153</v>
      </c>
    </row>
    <row r="834" spans="9:17" x14ac:dyDescent="0.45">
      <c r="I834" t="s">
        <v>186</v>
      </c>
      <c r="J834" t="s">
        <v>309</v>
      </c>
      <c r="K834">
        <v>1.2965272008568871E-4</v>
      </c>
      <c r="L834" t="s">
        <v>153</v>
      </c>
      <c r="N834" t="s">
        <v>229</v>
      </c>
      <c r="O834" t="s">
        <v>309</v>
      </c>
      <c r="P834">
        <v>0.1371647438767398</v>
      </c>
      <c r="Q834" t="s">
        <v>153</v>
      </c>
    </row>
    <row r="835" spans="9:17" x14ac:dyDescent="0.45">
      <c r="I835" t="s">
        <v>186</v>
      </c>
      <c r="J835" t="s">
        <v>294</v>
      </c>
      <c r="K835">
        <v>0</v>
      </c>
      <c r="L835" t="s">
        <v>153</v>
      </c>
      <c r="N835" t="s">
        <v>229</v>
      </c>
      <c r="O835" t="s">
        <v>294</v>
      </c>
      <c r="P835">
        <v>1.5321946110978243E-2</v>
      </c>
      <c r="Q835" t="s">
        <v>153</v>
      </c>
    </row>
    <row r="836" spans="9:17" x14ac:dyDescent="0.45">
      <c r="I836" t="s">
        <v>186</v>
      </c>
      <c r="J836" t="s">
        <v>295</v>
      </c>
      <c r="K836">
        <v>1.255521880347298E-3</v>
      </c>
      <c r="L836" t="s">
        <v>153</v>
      </c>
      <c r="N836" t="s">
        <v>229</v>
      </c>
      <c r="O836" t="s">
        <v>295</v>
      </c>
      <c r="P836">
        <v>1.5599261925747969E-3</v>
      </c>
      <c r="Q836" t="s">
        <v>153</v>
      </c>
    </row>
    <row r="837" spans="9:17" x14ac:dyDescent="0.45">
      <c r="I837" t="s">
        <v>186</v>
      </c>
      <c r="J837" t="s">
        <v>296</v>
      </c>
      <c r="K837">
        <v>2.8510855788999308E-3</v>
      </c>
      <c r="L837" t="s">
        <v>153</v>
      </c>
      <c r="N837" t="s">
        <v>229</v>
      </c>
      <c r="O837" t="s">
        <v>296</v>
      </c>
      <c r="P837">
        <v>1.5320179246674339E-3</v>
      </c>
      <c r="Q837" t="s">
        <v>153</v>
      </c>
    </row>
    <row r="838" spans="9:17" x14ac:dyDescent="0.45">
      <c r="I838" t="s">
        <v>186</v>
      </c>
      <c r="J838" t="s">
        <v>297</v>
      </c>
      <c r="K838">
        <v>2.0791191003277414E-2</v>
      </c>
      <c r="L838" t="s">
        <v>153</v>
      </c>
      <c r="N838" t="s">
        <v>229</v>
      </c>
      <c r="O838" t="s">
        <v>297</v>
      </c>
      <c r="P838">
        <v>5.7604625334766093E-3</v>
      </c>
      <c r="Q838" t="s">
        <v>153</v>
      </c>
    </row>
    <row r="839" spans="9:17" x14ac:dyDescent="0.45">
      <c r="I839" t="s">
        <v>186</v>
      </c>
      <c r="J839" t="s">
        <v>298</v>
      </c>
      <c r="K839">
        <v>4.7496511013559083E-2</v>
      </c>
      <c r="L839" t="s">
        <v>153</v>
      </c>
      <c r="N839" t="s">
        <v>229</v>
      </c>
      <c r="O839" t="s">
        <v>298</v>
      </c>
      <c r="P839">
        <v>8.7882664917865623E-3</v>
      </c>
      <c r="Q839" t="s">
        <v>153</v>
      </c>
    </row>
    <row r="840" spans="9:17" x14ac:dyDescent="0.45">
      <c r="I840" t="s">
        <v>186</v>
      </c>
      <c r="J840" t="s">
        <v>299</v>
      </c>
      <c r="K840">
        <v>5.4118183089939932E-3</v>
      </c>
      <c r="L840" t="s">
        <v>153</v>
      </c>
      <c r="N840" t="s">
        <v>229</v>
      </c>
      <c r="O840" t="s">
        <v>299</v>
      </c>
      <c r="P840">
        <v>1.6665386543021474E-3</v>
      </c>
      <c r="Q840" t="s">
        <v>153</v>
      </c>
    </row>
    <row r="841" spans="9:17" x14ac:dyDescent="0.45">
      <c r="I841" t="s">
        <v>186</v>
      </c>
      <c r="J841" t="s">
        <v>310</v>
      </c>
      <c r="K841">
        <v>3.7117624811761393E-3</v>
      </c>
      <c r="L841" t="s">
        <v>153</v>
      </c>
      <c r="N841" t="s">
        <v>229</v>
      </c>
      <c r="O841" t="s">
        <v>310</v>
      </c>
      <c r="P841">
        <v>2.0218009589453825E-3</v>
      </c>
      <c r="Q841" t="s">
        <v>153</v>
      </c>
    </row>
    <row r="842" spans="9:17" x14ac:dyDescent="0.45">
      <c r="I842" t="s">
        <v>186</v>
      </c>
      <c r="J842" t="s">
        <v>311</v>
      </c>
      <c r="K842">
        <v>2.0500927168713009E-3</v>
      </c>
      <c r="L842" t="s">
        <v>153</v>
      </c>
      <c r="N842" t="s">
        <v>229</v>
      </c>
      <c r="O842" t="s">
        <v>311</v>
      </c>
      <c r="P842">
        <v>2.303089311949541E-2</v>
      </c>
      <c r="Q842" t="s">
        <v>153</v>
      </c>
    </row>
    <row r="843" spans="9:17" x14ac:dyDescent="0.45">
      <c r="I843" t="s">
        <v>187</v>
      </c>
      <c r="J843" t="s">
        <v>152</v>
      </c>
      <c r="K843">
        <v>0</v>
      </c>
      <c r="L843" t="s">
        <v>153</v>
      </c>
      <c r="N843" t="s">
        <v>230</v>
      </c>
      <c r="O843" t="s">
        <v>152</v>
      </c>
      <c r="P843">
        <v>0.13690506094879396</v>
      </c>
      <c r="Q843" t="s">
        <v>153</v>
      </c>
    </row>
    <row r="844" spans="9:17" x14ac:dyDescent="0.45">
      <c r="I844" t="s">
        <v>187</v>
      </c>
      <c r="J844" t="s">
        <v>154</v>
      </c>
      <c r="K844">
        <v>1.3030584013847789E-3</v>
      </c>
      <c r="L844" t="s">
        <v>153</v>
      </c>
      <c r="N844" t="s">
        <v>230</v>
      </c>
      <c r="O844" t="s">
        <v>154</v>
      </c>
      <c r="P844">
        <v>1.7685890032799148E-2</v>
      </c>
      <c r="Q844" t="s">
        <v>153</v>
      </c>
    </row>
    <row r="845" spans="9:17" x14ac:dyDescent="0.45">
      <c r="I845" t="s">
        <v>187</v>
      </c>
      <c r="J845" t="s">
        <v>155</v>
      </c>
      <c r="K845">
        <v>1.3217015322860541E-2</v>
      </c>
      <c r="L845" t="s">
        <v>153</v>
      </c>
      <c r="N845" t="s">
        <v>230</v>
      </c>
      <c r="O845" t="s">
        <v>155</v>
      </c>
      <c r="P845">
        <v>1.5643804677314337E-2</v>
      </c>
      <c r="Q845" t="s">
        <v>153</v>
      </c>
    </row>
    <row r="846" spans="9:17" x14ac:dyDescent="0.45">
      <c r="I846" t="s">
        <v>187</v>
      </c>
      <c r="J846" t="s">
        <v>280</v>
      </c>
      <c r="K846">
        <v>0.11354032551197352</v>
      </c>
      <c r="L846" t="s">
        <v>153</v>
      </c>
      <c r="N846" t="s">
        <v>230</v>
      </c>
      <c r="O846" t="s">
        <v>280</v>
      </c>
      <c r="P846">
        <v>3.3935412560097473E-2</v>
      </c>
      <c r="Q846" t="s">
        <v>153</v>
      </c>
    </row>
    <row r="847" spans="9:17" x14ac:dyDescent="0.45">
      <c r="I847" t="s">
        <v>187</v>
      </c>
      <c r="J847" t="s">
        <v>281</v>
      </c>
      <c r="K847">
        <v>0.27445897676391867</v>
      </c>
      <c r="L847" t="s">
        <v>153</v>
      </c>
      <c r="N847" t="s">
        <v>230</v>
      </c>
      <c r="O847" t="s">
        <v>281</v>
      </c>
      <c r="P847">
        <v>6.0545398409157528E-2</v>
      </c>
      <c r="Q847" t="s">
        <v>153</v>
      </c>
    </row>
    <row r="848" spans="9:17" x14ac:dyDescent="0.45">
      <c r="I848" t="s">
        <v>187</v>
      </c>
      <c r="J848" t="s">
        <v>282</v>
      </c>
      <c r="K848">
        <v>3.3230006383815701E-2</v>
      </c>
      <c r="L848" t="s">
        <v>153</v>
      </c>
      <c r="N848" t="s">
        <v>230</v>
      </c>
      <c r="O848" t="s">
        <v>282</v>
      </c>
      <c r="P848">
        <v>1.0098779609069731E-2</v>
      </c>
      <c r="Q848" t="s">
        <v>153</v>
      </c>
    </row>
    <row r="849" spans="9:17" x14ac:dyDescent="0.45">
      <c r="I849" t="s">
        <v>187</v>
      </c>
      <c r="J849" t="s">
        <v>304</v>
      </c>
      <c r="K849">
        <v>1.6341438318855487E-2</v>
      </c>
      <c r="L849" t="s">
        <v>153</v>
      </c>
      <c r="N849" t="s">
        <v>230</v>
      </c>
      <c r="O849" t="s">
        <v>304</v>
      </c>
      <c r="P849">
        <v>1.0618705325864706E-2</v>
      </c>
      <c r="Q849" t="s">
        <v>153</v>
      </c>
    </row>
    <row r="850" spans="9:17" x14ac:dyDescent="0.45">
      <c r="I850" t="s">
        <v>187</v>
      </c>
      <c r="J850" t="s">
        <v>305</v>
      </c>
      <c r="K850">
        <v>5.475359169648749E-3</v>
      </c>
      <c r="L850" t="s">
        <v>153</v>
      </c>
      <c r="N850" t="s">
        <v>230</v>
      </c>
      <c r="O850" t="s">
        <v>305</v>
      </c>
      <c r="P850">
        <v>9.7199991313647455E-2</v>
      </c>
      <c r="Q850" t="s">
        <v>153</v>
      </c>
    </row>
    <row r="851" spans="9:17" x14ac:dyDescent="0.45">
      <c r="I851" t="s">
        <v>187</v>
      </c>
      <c r="J851" t="s">
        <v>156</v>
      </c>
      <c r="K851">
        <v>0</v>
      </c>
      <c r="L851" t="s">
        <v>153</v>
      </c>
      <c r="N851" t="s">
        <v>230</v>
      </c>
      <c r="O851" t="s">
        <v>156</v>
      </c>
      <c r="P851">
        <v>5.6224059729109876E-2</v>
      </c>
      <c r="Q851" t="s">
        <v>153</v>
      </c>
    </row>
    <row r="852" spans="9:17" x14ac:dyDescent="0.45">
      <c r="I852" t="s">
        <v>187</v>
      </c>
      <c r="J852" t="s">
        <v>157</v>
      </c>
      <c r="K852">
        <v>0</v>
      </c>
      <c r="L852" t="s">
        <v>153</v>
      </c>
      <c r="N852" t="s">
        <v>230</v>
      </c>
      <c r="O852" t="s">
        <v>157</v>
      </c>
      <c r="P852">
        <v>7.1181125034069977E-3</v>
      </c>
      <c r="Q852" t="s">
        <v>153</v>
      </c>
    </row>
    <row r="853" spans="9:17" x14ac:dyDescent="0.45">
      <c r="I853" t="s">
        <v>187</v>
      </c>
      <c r="J853" t="s">
        <v>158</v>
      </c>
      <c r="K853">
        <v>0</v>
      </c>
      <c r="L853" t="s">
        <v>153</v>
      </c>
      <c r="N853" t="s">
        <v>230</v>
      </c>
      <c r="O853" t="s">
        <v>158</v>
      </c>
      <c r="P853">
        <v>6.6324595453038752E-3</v>
      </c>
      <c r="Q853" t="s">
        <v>153</v>
      </c>
    </row>
    <row r="854" spans="9:17" x14ac:dyDescent="0.45">
      <c r="I854" t="s">
        <v>187</v>
      </c>
      <c r="J854" t="s">
        <v>283</v>
      </c>
      <c r="K854">
        <v>3.4704314631805046E-2</v>
      </c>
      <c r="L854" t="s">
        <v>153</v>
      </c>
      <c r="N854" t="s">
        <v>230</v>
      </c>
      <c r="O854" t="s">
        <v>283</v>
      </c>
      <c r="P854">
        <v>1.3207361788741601E-2</v>
      </c>
      <c r="Q854" t="s">
        <v>153</v>
      </c>
    </row>
    <row r="855" spans="9:17" x14ac:dyDescent="0.45">
      <c r="I855" t="s">
        <v>187</v>
      </c>
      <c r="J855" t="s">
        <v>284</v>
      </c>
      <c r="K855">
        <v>8.8538652077566268E-2</v>
      </c>
      <c r="L855" t="s">
        <v>153</v>
      </c>
      <c r="N855" t="s">
        <v>230</v>
      </c>
      <c r="O855" t="s">
        <v>284</v>
      </c>
      <c r="P855">
        <v>3.2719909379063827E-2</v>
      </c>
      <c r="Q855" t="s">
        <v>153</v>
      </c>
    </row>
    <row r="856" spans="9:17" x14ac:dyDescent="0.45">
      <c r="I856" t="s">
        <v>187</v>
      </c>
      <c r="J856" t="s">
        <v>285</v>
      </c>
      <c r="K856">
        <v>1.1370860184548293E-2</v>
      </c>
      <c r="L856" t="s">
        <v>153</v>
      </c>
      <c r="N856" t="s">
        <v>230</v>
      </c>
      <c r="O856" t="s">
        <v>285</v>
      </c>
      <c r="P856">
        <v>4.9986233355611758E-3</v>
      </c>
      <c r="Q856" t="s">
        <v>153</v>
      </c>
    </row>
    <row r="857" spans="9:17" x14ac:dyDescent="0.45">
      <c r="I857" t="s">
        <v>187</v>
      </c>
      <c r="J857" t="s">
        <v>306</v>
      </c>
      <c r="K857">
        <v>1.434568421100289E-3</v>
      </c>
      <c r="L857" t="s">
        <v>153</v>
      </c>
      <c r="N857" t="s">
        <v>230</v>
      </c>
      <c r="O857" t="s">
        <v>306</v>
      </c>
      <c r="P857">
        <v>5.2725179182982439E-3</v>
      </c>
      <c r="Q857" t="s">
        <v>153</v>
      </c>
    </row>
    <row r="858" spans="9:17" x14ac:dyDescent="0.45">
      <c r="I858" t="s">
        <v>187</v>
      </c>
      <c r="J858" t="s">
        <v>307</v>
      </c>
      <c r="K858">
        <v>0</v>
      </c>
      <c r="L858" t="s">
        <v>153</v>
      </c>
      <c r="N858" t="s">
        <v>230</v>
      </c>
      <c r="O858" t="s">
        <v>307</v>
      </c>
      <c r="P858">
        <v>3.5769140911862535E-2</v>
      </c>
      <c r="Q858" t="s">
        <v>153</v>
      </c>
    </row>
    <row r="859" spans="9:17" x14ac:dyDescent="0.45">
      <c r="I859" t="s">
        <v>187</v>
      </c>
      <c r="J859" t="s">
        <v>159</v>
      </c>
      <c r="K859">
        <v>0</v>
      </c>
      <c r="L859" t="s">
        <v>153</v>
      </c>
      <c r="N859" t="s">
        <v>230</v>
      </c>
      <c r="O859" t="s">
        <v>159</v>
      </c>
      <c r="P859">
        <v>0.12505435149535157</v>
      </c>
      <c r="Q859" t="s">
        <v>153</v>
      </c>
    </row>
    <row r="860" spans="9:17" x14ac:dyDescent="0.45">
      <c r="I860" t="s">
        <v>187</v>
      </c>
      <c r="J860" t="s">
        <v>160</v>
      </c>
      <c r="K860">
        <v>3.2556666079813115E-3</v>
      </c>
      <c r="L860" t="s">
        <v>153</v>
      </c>
      <c r="N860" t="s">
        <v>230</v>
      </c>
      <c r="O860" t="s">
        <v>160</v>
      </c>
      <c r="P860">
        <v>1.6328135880371134E-2</v>
      </c>
      <c r="Q860" t="s">
        <v>153</v>
      </c>
    </row>
    <row r="861" spans="9:17" x14ac:dyDescent="0.45">
      <c r="I861" t="s">
        <v>187</v>
      </c>
      <c r="J861" t="s">
        <v>161</v>
      </c>
      <c r="K861">
        <v>1.5256997082528964E-2</v>
      </c>
      <c r="L861" t="s">
        <v>153</v>
      </c>
      <c r="N861" t="s">
        <v>230</v>
      </c>
      <c r="O861" t="s">
        <v>161</v>
      </c>
      <c r="P861">
        <v>1.3670284703024414E-2</v>
      </c>
      <c r="Q861" t="s">
        <v>153</v>
      </c>
    </row>
    <row r="862" spans="9:17" x14ac:dyDescent="0.45">
      <c r="I862" t="s">
        <v>187</v>
      </c>
      <c r="J862" t="s">
        <v>286</v>
      </c>
      <c r="K862">
        <v>7.9403813026252615E-2</v>
      </c>
      <c r="L862" t="s">
        <v>153</v>
      </c>
      <c r="N862" t="s">
        <v>230</v>
      </c>
      <c r="O862" t="s">
        <v>286</v>
      </c>
      <c r="P862">
        <v>3.3067047975002185E-2</v>
      </c>
      <c r="Q862" t="s">
        <v>153</v>
      </c>
    </row>
    <row r="863" spans="9:17" x14ac:dyDescent="0.45">
      <c r="I863" t="s">
        <v>187</v>
      </c>
      <c r="J863" t="s">
        <v>287</v>
      </c>
      <c r="K863">
        <v>0.18484108414407849</v>
      </c>
      <c r="L863" t="s">
        <v>153</v>
      </c>
      <c r="N863" t="s">
        <v>230</v>
      </c>
      <c r="O863" t="s">
        <v>287</v>
      </c>
      <c r="P863">
        <v>8.4612592143415474E-2</v>
      </c>
      <c r="Q863" t="s">
        <v>153</v>
      </c>
    </row>
    <row r="864" spans="9:17" x14ac:dyDescent="0.45">
      <c r="I864" t="s">
        <v>187</v>
      </c>
      <c r="J864" t="s">
        <v>288</v>
      </c>
      <c r="K864">
        <v>2.163426942085124E-2</v>
      </c>
      <c r="L864" t="s">
        <v>153</v>
      </c>
      <c r="N864" t="s">
        <v>230</v>
      </c>
      <c r="O864" t="s">
        <v>288</v>
      </c>
      <c r="P864">
        <v>1.4301695821686536E-2</v>
      </c>
      <c r="Q864" t="s">
        <v>153</v>
      </c>
    </row>
    <row r="865" spans="9:17" x14ac:dyDescent="0.45">
      <c r="I865" t="s">
        <v>187</v>
      </c>
      <c r="J865" t="s">
        <v>308</v>
      </c>
      <c r="K865">
        <v>1.3651762128904614E-2</v>
      </c>
      <c r="L865" t="s">
        <v>153</v>
      </c>
      <c r="N865" t="s">
        <v>230</v>
      </c>
      <c r="O865" t="s">
        <v>308</v>
      </c>
      <c r="P865">
        <v>1.2700829195013617E-2</v>
      </c>
      <c r="Q865" t="s">
        <v>153</v>
      </c>
    </row>
    <row r="866" spans="9:17" x14ac:dyDescent="0.45">
      <c r="I866" t="s">
        <v>187</v>
      </c>
      <c r="J866" t="s">
        <v>309</v>
      </c>
      <c r="K866">
        <v>1.910769002624765E-4</v>
      </c>
      <c r="L866" t="s">
        <v>153</v>
      </c>
      <c r="N866" t="s">
        <v>230</v>
      </c>
      <c r="O866" t="s">
        <v>309</v>
      </c>
      <c r="P866">
        <v>8.8968679900141373E-2</v>
      </c>
      <c r="Q866" t="s">
        <v>153</v>
      </c>
    </row>
    <row r="867" spans="9:17" x14ac:dyDescent="0.45">
      <c r="I867" t="s">
        <v>187</v>
      </c>
      <c r="J867" t="s">
        <v>294</v>
      </c>
      <c r="K867">
        <v>0</v>
      </c>
      <c r="L867" t="s">
        <v>153</v>
      </c>
      <c r="N867" t="s">
        <v>230</v>
      </c>
      <c r="O867" t="s">
        <v>294</v>
      </c>
      <c r="P867">
        <v>2.2675168867530952E-2</v>
      </c>
      <c r="Q867" t="s">
        <v>153</v>
      </c>
    </row>
    <row r="868" spans="9:17" x14ac:dyDescent="0.45">
      <c r="I868" t="s">
        <v>187</v>
      </c>
      <c r="J868" t="s">
        <v>295</v>
      </c>
      <c r="K868">
        <v>1.4249823646245189E-3</v>
      </c>
      <c r="L868" t="s">
        <v>153</v>
      </c>
      <c r="N868" t="s">
        <v>230</v>
      </c>
      <c r="O868" t="s">
        <v>295</v>
      </c>
      <c r="P868">
        <v>2.9580095916435989E-3</v>
      </c>
      <c r="Q868" t="s">
        <v>153</v>
      </c>
    </row>
    <row r="869" spans="9:17" x14ac:dyDescent="0.45">
      <c r="I869" t="s">
        <v>187</v>
      </c>
      <c r="J869" t="s">
        <v>296</v>
      </c>
      <c r="K869">
        <v>3.1149705228217155E-3</v>
      </c>
      <c r="L869" t="s">
        <v>153</v>
      </c>
      <c r="N869" t="s">
        <v>230</v>
      </c>
      <c r="O869" t="s">
        <v>296</v>
      </c>
      <c r="P869">
        <v>2.2179207256293643E-3</v>
      </c>
      <c r="Q869" t="s">
        <v>153</v>
      </c>
    </row>
    <row r="870" spans="9:17" x14ac:dyDescent="0.45">
      <c r="I870" t="s">
        <v>187</v>
      </c>
      <c r="J870" t="s">
        <v>297</v>
      </c>
      <c r="K870">
        <v>2.1618693359018247E-2</v>
      </c>
      <c r="L870" t="s">
        <v>153</v>
      </c>
      <c r="N870" t="s">
        <v>230</v>
      </c>
      <c r="O870" t="s">
        <v>297</v>
      </c>
      <c r="P870">
        <v>5.0593998723633951E-3</v>
      </c>
      <c r="Q870" t="s">
        <v>153</v>
      </c>
    </row>
    <row r="871" spans="9:17" x14ac:dyDescent="0.45">
      <c r="I871" t="s">
        <v>187</v>
      </c>
      <c r="J871" t="s">
        <v>298</v>
      </c>
      <c r="K871">
        <v>5.080460982040276E-2</v>
      </c>
      <c r="L871" t="s">
        <v>153</v>
      </c>
      <c r="N871" t="s">
        <v>230</v>
      </c>
      <c r="O871" t="s">
        <v>298</v>
      </c>
      <c r="P871">
        <v>1.4932231100597253E-2</v>
      </c>
      <c r="Q871" t="s">
        <v>153</v>
      </c>
    </row>
    <row r="872" spans="9:17" x14ac:dyDescent="0.45">
      <c r="I872" t="s">
        <v>187</v>
      </c>
      <c r="J872" t="s">
        <v>299</v>
      </c>
      <c r="K872">
        <v>5.442283907690886E-3</v>
      </c>
      <c r="L872" t="s">
        <v>153</v>
      </c>
      <c r="N872" t="s">
        <v>230</v>
      </c>
      <c r="O872" t="s">
        <v>299</v>
      </c>
      <c r="P872">
        <v>2.5796021903671629E-3</v>
      </c>
      <c r="Q872" t="s">
        <v>153</v>
      </c>
    </row>
    <row r="873" spans="9:17" x14ac:dyDescent="0.45">
      <c r="I873" t="s">
        <v>187</v>
      </c>
      <c r="J873" t="s">
        <v>310</v>
      </c>
      <c r="K873">
        <v>3.7352414052129464E-3</v>
      </c>
      <c r="L873" t="s">
        <v>153</v>
      </c>
      <c r="N873" t="s">
        <v>230</v>
      </c>
      <c r="O873" t="s">
        <v>310</v>
      </c>
      <c r="P873">
        <v>1.9560099600842229E-3</v>
      </c>
      <c r="Q873" t="s">
        <v>153</v>
      </c>
    </row>
    <row r="874" spans="9:17" x14ac:dyDescent="0.45">
      <c r="I874" t="s">
        <v>187</v>
      </c>
      <c r="J874" t="s">
        <v>311</v>
      </c>
      <c r="K874">
        <v>2.0099741218942324E-3</v>
      </c>
      <c r="L874" t="s">
        <v>153</v>
      </c>
      <c r="N874" t="s">
        <v>230</v>
      </c>
      <c r="O874" t="s">
        <v>311</v>
      </c>
      <c r="P874">
        <v>1.4342812589683082E-2</v>
      </c>
      <c r="Q874" t="s">
        <v>153</v>
      </c>
    </row>
    <row r="875" spans="9:17" x14ac:dyDescent="0.45">
      <c r="I875" t="s">
        <v>188</v>
      </c>
      <c r="J875" t="s">
        <v>152</v>
      </c>
      <c r="K875">
        <v>0</v>
      </c>
      <c r="L875" t="s">
        <v>153</v>
      </c>
      <c r="N875" t="s">
        <v>231</v>
      </c>
      <c r="O875" t="s">
        <v>152</v>
      </c>
      <c r="P875">
        <v>0.12612388706198194</v>
      </c>
      <c r="Q875" t="s">
        <v>153</v>
      </c>
    </row>
    <row r="876" spans="9:17" x14ac:dyDescent="0.45">
      <c r="I876" t="s">
        <v>188</v>
      </c>
      <c r="J876" t="s">
        <v>154</v>
      </c>
      <c r="K876">
        <v>2.2647414870390578E-3</v>
      </c>
      <c r="L876" t="s">
        <v>153</v>
      </c>
      <c r="N876" t="s">
        <v>231</v>
      </c>
      <c r="O876" t="s">
        <v>154</v>
      </c>
      <c r="P876">
        <v>2.0182546615978715E-2</v>
      </c>
      <c r="Q876" t="s">
        <v>153</v>
      </c>
    </row>
    <row r="877" spans="9:17" x14ac:dyDescent="0.45">
      <c r="I877" t="s">
        <v>188</v>
      </c>
      <c r="J877" t="s">
        <v>155</v>
      </c>
      <c r="K877">
        <v>1.7118216479668855E-2</v>
      </c>
      <c r="L877" t="s">
        <v>153</v>
      </c>
      <c r="N877" t="s">
        <v>231</v>
      </c>
      <c r="O877" t="s">
        <v>155</v>
      </c>
      <c r="P877">
        <v>1.8472454548448685E-2</v>
      </c>
      <c r="Q877" t="s">
        <v>153</v>
      </c>
    </row>
    <row r="878" spans="9:17" x14ac:dyDescent="0.45">
      <c r="I878" t="s">
        <v>188</v>
      </c>
      <c r="J878" t="s">
        <v>280</v>
      </c>
      <c r="K878">
        <v>0.11648450567768961</v>
      </c>
      <c r="L878" t="s">
        <v>153</v>
      </c>
      <c r="N878" t="s">
        <v>231</v>
      </c>
      <c r="O878" t="s">
        <v>280</v>
      </c>
      <c r="P878">
        <v>4.2538276445097174E-2</v>
      </c>
      <c r="Q878" t="s">
        <v>153</v>
      </c>
    </row>
    <row r="879" spans="9:17" x14ac:dyDescent="0.45">
      <c r="I879" t="s">
        <v>188</v>
      </c>
      <c r="J879" t="s">
        <v>281</v>
      </c>
      <c r="K879">
        <v>0.27663184651594547</v>
      </c>
      <c r="L879" t="s">
        <v>153</v>
      </c>
      <c r="N879" t="s">
        <v>231</v>
      </c>
      <c r="O879" t="s">
        <v>281</v>
      </c>
      <c r="P879">
        <v>5.6828280422423896E-2</v>
      </c>
      <c r="Q879" t="s">
        <v>153</v>
      </c>
    </row>
    <row r="880" spans="9:17" x14ac:dyDescent="0.45">
      <c r="I880" t="s">
        <v>188</v>
      </c>
      <c r="J880" t="s">
        <v>282</v>
      </c>
      <c r="K880">
        <v>3.2189338618228057E-2</v>
      </c>
      <c r="L880" t="s">
        <v>153</v>
      </c>
      <c r="N880" t="s">
        <v>231</v>
      </c>
      <c r="O880" t="s">
        <v>282</v>
      </c>
      <c r="P880">
        <v>8.6041030374099901E-3</v>
      </c>
      <c r="Q880" t="s">
        <v>153</v>
      </c>
    </row>
    <row r="881" spans="9:17" x14ac:dyDescent="0.45">
      <c r="I881" t="s">
        <v>188</v>
      </c>
      <c r="J881" t="s">
        <v>304</v>
      </c>
      <c r="K881">
        <v>1.5383464184237168E-2</v>
      </c>
      <c r="L881" t="s">
        <v>153</v>
      </c>
      <c r="N881" t="s">
        <v>231</v>
      </c>
      <c r="O881" t="s">
        <v>304</v>
      </c>
      <c r="P881">
        <v>9.4319452866137299E-3</v>
      </c>
      <c r="Q881" t="s">
        <v>153</v>
      </c>
    </row>
    <row r="882" spans="9:17" x14ac:dyDescent="0.45">
      <c r="I882" t="s">
        <v>188</v>
      </c>
      <c r="J882" t="s">
        <v>305</v>
      </c>
      <c r="K882">
        <v>4.2890573314101638E-3</v>
      </c>
      <c r="L882" t="s">
        <v>153</v>
      </c>
      <c r="N882" t="s">
        <v>231</v>
      </c>
      <c r="O882" t="s">
        <v>305</v>
      </c>
      <c r="P882">
        <v>8.0912392858985549E-2</v>
      </c>
      <c r="Q882" t="s">
        <v>153</v>
      </c>
    </row>
    <row r="883" spans="9:17" x14ac:dyDescent="0.45">
      <c r="I883" t="s">
        <v>188</v>
      </c>
      <c r="J883" t="s">
        <v>156</v>
      </c>
      <c r="K883">
        <v>0</v>
      </c>
      <c r="L883" t="s">
        <v>153</v>
      </c>
      <c r="N883" t="s">
        <v>231</v>
      </c>
      <c r="O883" t="s">
        <v>156</v>
      </c>
      <c r="P883">
        <v>5.9471904251307155E-2</v>
      </c>
      <c r="Q883" t="s">
        <v>153</v>
      </c>
    </row>
    <row r="884" spans="9:17" x14ac:dyDescent="0.45">
      <c r="I884" t="s">
        <v>188</v>
      </c>
      <c r="J884" t="s">
        <v>157</v>
      </c>
      <c r="K884">
        <v>0</v>
      </c>
      <c r="L884" t="s">
        <v>153</v>
      </c>
      <c r="N884" t="s">
        <v>231</v>
      </c>
      <c r="O884" t="s">
        <v>157</v>
      </c>
      <c r="P884">
        <v>8.7114090572081356E-3</v>
      </c>
      <c r="Q884" t="s">
        <v>153</v>
      </c>
    </row>
    <row r="885" spans="9:17" x14ac:dyDescent="0.45">
      <c r="I885" t="s">
        <v>188</v>
      </c>
      <c r="J885" t="s">
        <v>158</v>
      </c>
      <c r="K885">
        <v>3.4757222413470622E-4</v>
      </c>
      <c r="L885" t="s">
        <v>153</v>
      </c>
      <c r="N885" t="s">
        <v>231</v>
      </c>
      <c r="O885" t="s">
        <v>158</v>
      </c>
      <c r="P885">
        <v>8.4310219186962444E-3</v>
      </c>
      <c r="Q885" t="s">
        <v>153</v>
      </c>
    </row>
    <row r="886" spans="9:17" x14ac:dyDescent="0.45">
      <c r="I886" t="s">
        <v>188</v>
      </c>
      <c r="J886" t="s">
        <v>283</v>
      </c>
      <c r="K886">
        <v>3.4793466823056424E-2</v>
      </c>
      <c r="L886" t="s">
        <v>153</v>
      </c>
      <c r="N886" t="s">
        <v>231</v>
      </c>
      <c r="O886" t="s">
        <v>283</v>
      </c>
      <c r="P886">
        <v>1.8210360305676375E-2</v>
      </c>
      <c r="Q886" t="s">
        <v>153</v>
      </c>
    </row>
    <row r="887" spans="9:17" x14ac:dyDescent="0.45">
      <c r="I887" t="s">
        <v>188</v>
      </c>
      <c r="J887" t="s">
        <v>284</v>
      </c>
      <c r="K887">
        <v>8.5102687486933809E-2</v>
      </c>
      <c r="L887" t="s">
        <v>153</v>
      </c>
      <c r="N887" t="s">
        <v>231</v>
      </c>
      <c r="O887" t="s">
        <v>284</v>
      </c>
      <c r="P887">
        <v>3.3864477517422997E-2</v>
      </c>
      <c r="Q887" t="s">
        <v>153</v>
      </c>
    </row>
    <row r="888" spans="9:17" x14ac:dyDescent="0.45">
      <c r="I888" t="s">
        <v>188</v>
      </c>
      <c r="J888" t="s">
        <v>285</v>
      </c>
      <c r="K888">
        <v>9.620804614834215E-3</v>
      </c>
      <c r="L888" t="s">
        <v>153</v>
      </c>
      <c r="N888" t="s">
        <v>231</v>
      </c>
      <c r="O888" t="s">
        <v>285</v>
      </c>
      <c r="P888">
        <v>5.1221410432305877E-3</v>
      </c>
      <c r="Q888" t="s">
        <v>153</v>
      </c>
    </row>
    <row r="889" spans="9:17" x14ac:dyDescent="0.45">
      <c r="I889" t="s">
        <v>188</v>
      </c>
      <c r="J889" t="s">
        <v>306</v>
      </c>
      <c r="K889">
        <v>0</v>
      </c>
      <c r="L889" t="s">
        <v>153</v>
      </c>
      <c r="N889" t="s">
        <v>231</v>
      </c>
      <c r="O889" t="s">
        <v>306</v>
      </c>
      <c r="P889">
        <v>5.6886463601372866E-3</v>
      </c>
      <c r="Q889" t="s">
        <v>153</v>
      </c>
    </row>
    <row r="890" spans="9:17" x14ac:dyDescent="0.45">
      <c r="I890" t="s">
        <v>188</v>
      </c>
      <c r="J890" t="s">
        <v>307</v>
      </c>
      <c r="K890">
        <v>0</v>
      </c>
      <c r="L890" t="s">
        <v>153</v>
      </c>
      <c r="N890" t="s">
        <v>231</v>
      </c>
      <c r="O890" t="s">
        <v>307</v>
      </c>
      <c r="P890">
        <v>4.175541024913855E-2</v>
      </c>
      <c r="Q890" t="s">
        <v>153</v>
      </c>
    </row>
    <row r="891" spans="9:17" x14ac:dyDescent="0.45">
      <c r="I891" t="s">
        <v>188</v>
      </c>
      <c r="J891" t="s">
        <v>159</v>
      </c>
      <c r="K891">
        <v>0</v>
      </c>
      <c r="L891" t="s">
        <v>153</v>
      </c>
      <c r="N891" t="s">
        <v>231</v>
      </c>
      <c r="O891" t="s">
        <v>159</v>
      </c>
      <c r="P891">
        <v>0.12332316844152827</v>
      </c>
      <c r="Q891" t="s">
        <v>153</v>
      </c>
    </row>
    <row r="892" spans="9:17" x14ac:dyDescent="0.45">
      <c r="I892" t="s">
        <v>188</v>
      </c>
      <c r="J892" t="s">
        <v>160</v>
      </c>
      <c r="K892">
        <v>5.3748520421144034E-3</v>
      </c>
      <c r="L892" t="s">
        <v>153</v>
      </c>
      <c r="N892" t="s">
        <v>231</v>
      </c>
      <c r="O892" t="s">
        <v>160</v>
      </c>
      <c r="P892">
        <v>1.9338581958601192E-2</v>
      </c>
      <c r="Q892" t="s">
        <v>153</v>
      </c>
    </row>
    <row r="893" spans="9:17" x14ac:dyDescent="0.45">
      <c r="I893" t="s">
        <v>188</v>
      </c>
      <c r="J893" t="s">
        <v>161</v>
      </c>
      <c r="K893">
        <v>1.6684949017354702E-2</v>
      </c>
      <c r="L893" t="s">
        <v>153</v>
      </c>
      <c r="N893" t="s">
        <v>231</v>
      </c>
      <c r="O893" t="s">
        <v>161</v>
      </c>
      <c r="P893">
        <v>1.7110687668426789E-2</v>
      </c>
      <c r="Q893" t="s">
        <v>153</v>
      </c>
    </row>
    <row r="894" spans="9:17" x14ac:dyDescent="0.45">
      <c r="I894" t="s">
        <v>188</v>
      </c>
      <c r="J894" t="s">
        <v>286</v>
      </c>
      <c r="K894">
        <v>8.1430172872713119E-2</v>
      </c>
      <c r="L894" t="s">
        <v>153</v>
      </c>
      <c r="N894" t="s">
        <v>231</v>
      </c>
      <c r="O894" t="s">
        <v>286</v>
      </c>
      <c r="P894">
        <v>4.5141498579291651E-2</v>
      </c>
      <c r="Q894" t="s">
        <v>153</v>
      </c>
    </row>
    <row r="895" spans="9:17" x14ac:dyDescent="0.45">
      <c r="I895" t="s">
        <v>188</v>
      </c>
      <c r="J895" t="s">
        <v>287</v>
      </c>
      <c r="K895">
        <v>0.18137444749409956</v>
      </c>
      <c r="L895" t="s">
        <v>153</v>
      </c>
      <c r="N895" t="s">
        <v>231</v>
      </c>
      <c r="O895" t="s">
        <v>287</v>
      </c>
      <c r="P895">
        <v>8.4658579450267793E-2</v>
      </c>
      <c r="Q895" t="s">
        <v>153</v>
      </c>
    </row>
    <row r="896" spans="9:17" x14ac:dyDescent="0.45">
      <c r="I896" t="s">
        <v>188</v>
      </c>
      <c r="J896" t="s">
        <v>288</v>
      </c>
      <c r="K896">
        <v>2.0230264405167803E-2</v>
      </c>
      <c r="L896" t="s">
        <v>153</v>
      </c>
      <c r="N896" t="s">
        <v>231</v>
      </c>
      <c r="O896" t="s">
        <v>288</v>
      </c>
      <c r="P896">
        <v>1.4029296502482035E-2</v>
      </c>
      <c r="Q896" t="s">
        <v>153</v>
      </c>
    </row>
    <row r="897" spans="9:17" x14ac:dyDescent="0.45">
      <c r="I897" t="s">
        <v>188</v>
      </c>
      <c r="J897" t="s">
        <v>308</v>
      </c>
      <c r="K897">
        <v>1.170267257256615E-2</v>
      </c>
      <c r="L897" t="s">
        <v>153</v>
      </c>
      <c r="N897" t="s">
        <v>231</v>
      </c>
      <c r="O897" t="s">
        <v>308</v>
      </c>
      <c r="P897">
        <v>1.2622110851050389E-2</v>
      </c>
      <c r="Q897" t="s">
        <v>153</v>
      </c>
    </row>
    <row r="898" spans="9:17" x14ac:dyDescent="0.45">
      <c r="I898" t="s">
        <v>188</v>
      </c>
      <c r="J898" t="s">
        <v>309</v>
      </c>
      <c r="K898">
        <v>4.3203390208168579E-5</v>
      </c>
      <c r="L898" t="s">
        <v>153</v>
      </c>
      <c r="N898" t="s">
        <v>231</v>
      </c>
      <c r="O898" t="s">
        <v>309</v>
      </c>
      <c r="P898">
        <v>8.2612451414796714E-2</v>
      </c>
      <c r="Q898" t="s">
        <v>153</v>
      </c>
    </row>
    <row r="899" spans="9:17" x14ac:dyDescent="0.45">
      <c r="I899" t="s">
        <v>188</v>
      </c>
      <c r="J899" t="s">
        <v>294</v>
      </c>
      <c r="K899">
        <v>0</v>
      </c>
      <c r="L899" t="s">
        <v>153</v>
      </c>
      <c r="N899" t="s">
        <v>231</v>
      </c>
      <c r="O899" t="s">
        <v>294</v>
      </c>
      <c r="P899">
        <v>1.7109216752614839E-2</v>
      </c>
      <c r="Q899" t="s">
        <v>153</v>
      </c>
    </row>
    <row r="900" spans="9:17" x14ac:dyDescent="0.45">
      <c r="I900" t="s">
        <v>188</v>
      </c>
      <c r="J900" t="s">
        <v>295</v>
      </c>
      <c r="K900">
        <v>1.9022028952303098E-3</v>
      </c>
      <c r="L900" t="s">
        <v>153</v>
      </c>
      <c r="N900" t="s">
        <v>231</v>
      </c>
      <c r="O900" t="s">
        <v>295</v>
      </c>
      <c r="P900">
        <v>2.7723082632392956E-3</v>
      </c>
      <c r="Q900" t="s">
        <v>153</v>
      </c>
    </row>
    <row r="901" spans="9:17" x14ac:dyDescent="0.45">
      <c r="I901" t="s">
        <v>188</v>
      </c>
      <c r="J901" t="s">
        <v>296</v>
      </c>
      <c r="K901">
        <v>3.9466127362797815E-3</v>
      </c>
      <c r="L901" t="s">
        <v>153</v>
      </c>
      <c r="N901" t="s">
        <v>231</v>
      </c>
      <c r="O901" t="s">
        <v>296</v>
      </c>
      <c r="P901">
        <v>2.4208159756916653E-3</v>
      </c>
      <c r="Q901" t="s">
        <v>153</v>
      </c>
    </row>
    <row r="902" spans="9:17" x14ac:dyDescent="0.45">
      <c r="I902" t="s">
        <v>188</v>
      </c>
      <c r="J902" t="s">
        <v>297</v>
      </c>
      <c r="K902">
        <v>2.1815206635445446E-2</v>
      </c>
      <c r="L902" t="s">
        <v>153</v>
      </c>
      <c r="N902" t="s">
        <v>231</v>
      </c>
      <c r="O902" t="s">
        <v>297</v>
      </c>
      <c r="P902">
        <v>6.2627796318555232E-3</v>
      </c>
      <c r="Q902" t="s">
        <v>153</v>
      </c>
    </row>
    <row r="903" spans="9:17" x14ac:dyDescent="0.45">
      <c r="I903" t="s">
        <v>188</v>
      </c>
      <c r="J903" t="s">
        <v>298</v>
      </c>
      <c r="K903">
        <v>5.1585838003871863E-2</v>
      </c>
      <c r="L903" t="s">
        <v>153</v>
      </c>
      <c r="N903" t="s">
        <v>231</v>
      </c>
      <c r="O903" t="s">
        <v>298</v>
      </c>
      <c r="P903">
        <v>1.3204144559615985E-2</v>
      </c>
      <c r="Q903" t="s">
        <v>153</v>
      </c>
    </row>
    <row r="904" spans="9:17" x14ac:dyDescent="0.45">
      <c r="I904" t="s">
        <v>188</v>
      </c>
      <c r="J904" t="s">
        <v>299</v>
      </c>
      <c r="K904">
        <v>4.8251687145442002E-3</v>
      </c>
      <c r="L904" t="s">
        <v>153</v>
      </c>
      <c r="N904" t="s">
        <v>231</v>
      </c>
      <c r="O904" t="s">
        <v>299</v>
      </c>
      <c r="P904">
        <v>2.1077399125164942E-3</v>
      </c>
      <c r="Q904" t="s">
        <v>153</v>
      </c>
    </row>
    <row r="905" spans="9:17" x14ac:dyDescent="0.45">
      <c r="I905" t="s">
        <v>188</v>
      </c>
      <c r="J905" t="s">
        <v>310</v>
      </c>
      <c r="K905">
        <v>3.3148088606915222E-3</v>
      </c>
      <c r="L905" t="s">
        <v>153</v>
      </c>
      <c r="N905" t="s">
        <v>231</v>
      </c>
      <c r="O905" t="s">
        <v>310</v>
      </c>
      <c r="P905">
        <v>1.8329176332545255E-3</v>
      </c>
      <c r="Q905" t="s">
        <v>153</v>
      </c>
    </row>
    <row r="906" spans="9:17" x14ac:dyDescent="0.45">
      <c r="I906" t="s">
        <v>188</v>
      </c>
      <c r="J906" t="s">
        <v>311</v>
      </c>
      <c r="K906">
        <v>1.5438989165354505E-3</v>
      </c>
      <c r="L906" t="s">
        <v>153</v>
      </c>
      <c r="N906" t="s">
        <v>231</v>
      </c>
      <c r="O906" t="s">
        <v>311</v>
      </c>
      <c r="P906">
        <v>1.1104445425009065E-2</v>
      </c>
      <c r="Q906" t="s">
        <v>153</v>
      </c>
    </row>
    <row r="907" spans="9:17" x14ac:dyDescent="0.45">
      <c r="I907" t="s">
        <v>189</v>
      </c>
      <c r="J907" t="s">
        <v>152</v>
      </c>
      <c r="K907">
        <v>0</v>
      </c>
      <c r="L907" t="s">
        <v>153</v>
      </c>
      <c r="N907" t="s">
        <v>232</v>
      </c>
      <c r="O907" t="s">
        <v>152</v>
      </c>
      <c r="P907">
        <v>0.13112172307378181</v>
      </c>
      <c r="Q907" t="s">
        <v>153</v>
      </c>
    </row>
    <row r="908" spans="9:17" x14ac:dyDescent="0.45">
      <c r="I908" t="s">
        <v>189</v>
      </c>
      <c r="J908" t="s">
        <v>154</v>
      </c>
      <c r="K908">
        <v>1.7663631331000763E-3</v>
      </c>
      <c r="L908" t="s">
        <v>153</v>
      </c>
      <c r="N908" t="s">
        <v>232</v>
      </c>
      <c r="O908" t="s">
        <v>154</v>
      </c>
      <c r="P908">
        <v>1.8417314881615205E-2</v>
      </c>
      <c r="Q908" t="s">
        <v>153</v>
      </c>
    </row>
    <row r="909" spans="9:17" x14ac:dyDescent="0.45">
      <c r="I909" t="s">
        <v>189</v>
      </c>
      <c r="J909" t="s">
        <v>155</v>
      </c>
      <c r="K909">
        <v>1.4388216844465607E-2</v>
      </c>
      <c r="L909" t="s">
        <v>153</v>
      </c>
      <c r="N909" t="s">
        <v>232</v>
      </c>
      <c r="O909" t="s">
        <v>155</v>
      </c>
      <c r="P909">
        <v>1.5798849643525948E-2</v>
      </c>
      <c r="Q909" t="s">
        <v>153</v>
      </c>
    </row>
    <row r="910" spans="9:17" x14ac:dyDescent="0.45">
      <c r="I910" t="s">
        <v>189</v>
      </c>
      <c r="J910" t="s">
        <v>280</v>
      </c>
      <c r="K910">
        <v>0.11646563460227052</v>
      </c>
      <c r="L910" t="s">
        <v>153</v>
      </c>
      <c r="N910" t="s">
        <v>232</v>
      </c>
      <c r="O910" t="s">
        <v>280</v>
      </c>
      <c r="P910">
        <v>4.1204000128812569E-2</v>
      </c>
      <c r="Q910" t="s">
        <v>153</v>
      </c>
    </row>
    <row r="911" spans="9:17" x14ac:dyDescent="0.45">
      <c r="I911" t="s">
        <v>189</v>
      </c>
      <c r="J911" t="s">
        <v>281</v>
      </c>
      <c r="K911">
        <v>0.27642435856788911</v>
      </c>
      <c r="L911" t="s">
        <v>153</v>
      </c>
      <c r="N911" t="s">
        <v>232</v>
      </c>
      <c r="O911" t="s">
        <v>281</v>
      </c>
      <c r="P911">
        <v>8.1999864979309861E-2</v>
      </c>
      <c r="Q911" t="s">
        <v>153</v>
      </c>
    </row>
    <row r="912" spans="9:17" x14ac:dyDescent="0.45">
      <c r="I912" t="s">
        <v>189</v>
      </c>
      <c r="J912" t="s">
        <v>282</v>
      </c>
      <c r="K912">
        <v>3.2027332988529521E-2</v>
      </c>
      <c r="L912" t="s">
        <v>153</v>
      </c>
      <c r="N912" t="s">
        <v>232</v>
      </c>
      <c r="O912" t="s">
        <v>282</v>
      </c>
      <c r="P912">
        <v>1.3068389740356253E-2</v>
      </c>
      <c r="Q912" t="s">
        <v>153</v>
      </c>
    </row>
    <row r="913" spans="9:17" x14ac:dyDescent="0.45">
      <c r="I913" t="s">
        <v>189</v>
      </c>
      <c r="J913" t="s">
        <v>304</v>
      </c>
      <c r="K913">
        <v>1.5712769234813379E-2</v>
      </c>
      <c r="L913" t="s">
        <v>153</v>
      </c>
      <c r="N913" t="s">
        <v>232</v>
      </c>
      <c r="O913" t="s">
        <v>304</v>
      </c>
      <c r="P913">
        <v>1.4038448851485245E-2</v>
      </c>
      <c r="Q913" t="s">
        <v>153</v>
      </c>
    </row>
    <row r="914" spans="9:17" x14ac:dyDescent="0.45">
      <c r="I914" t="s">
        <v>189</v>
      </c>
      <c r="J914" t="s">
        <v>305</v>
      </c>
      <c r="K914">
        <v>4.6205870017330068E-3</v>
      </c>
      <c r="L914" t="s">
        <v>153</v>
      </c>
      <c r="N914" t="s">
        <v>232</v>
      </c>
      <c r="O914" t="s">
        <v>305</v>
      </c>
      <c r="P914">
        <v>0.10985596516504879</v>
      </c>
      <c r="Q914" t="s">
        <v>153</v>
      </c>
    </row>
    <row r="915" spans="9:17" x14ac:dyDescent="0.45">
      <c r="I915" t="s">
        <v>189</v>
      </c>
      <c r="J915" t="s">
        <v>156</v>
      </c>
      <c r="K915">
        <v>0</v>
      </c>
      <c r="L915" t="s">
        <v>153</v>
      </c>
      <c r="N915" t="s">
        <v>232</v>
      </c>
      <c r="O915" t="s">
        <v>156</v>
      </c>
      <c r="P915">
        <v>4.5635428034407795E-2</v>
      </c>
      <c r="Q915" t="s">
        <v>153</v>
      </c>
    </row>
    <row r="916" spans="9:17" x14ac:dyDescent="0.45">
      <c r="I916" t="s">
        <v>189</v>
      </c>
      <c r="J916" t="s">
        <v>157</v>
      </c>
      <c r="K916">
        <v>0</v>
      </c>
      <c r="L916" t="s">
        <v>153</v>
      </c>
      <c r="N916" t="s">
        <v>232</v>
      </c>
      <c r="O916" t="s">
        <v>157</v>
      </c>
      <c r="P916">
        <v>7.3727645567416393E-3</v>
      </c>
      <c r="Q916" t="s">
        <v>153</v>
      </c>
    </row>
    <row r="917" spans="9:17" x14ac:dyDescent="0.45">
      <c r="I917" t="s">
        <v>189</v>
      </c>
      <c r="J917" t="s">
        <v>158</v>
      </c>
      <c r="K917">
        <v>2.148285320049247E-5</v>
      </c>
      <c r="L917" t="s">
        <v>153</v>
      </c>
      <c r="N917" t="s">
        <v>232</v>
      </c>
      <c r="O917" t="s">
        <v>158</v>
      </c>
      <c r="P917">
        <v>7.1279579780503359E-3</v>
      </c>
      <c r="Q917" t="s">
        <v>153</v>
      </c>
    </row>
    <row r="918" spans="9:17" x14ac:dyDescent="0.45">
      <c r="I918" t="s">
        <v>189</v>
      </c>
      <c r="J918" t="s">
        <v>283</v>
      </c>
      <c r="K918">
        <v>3.5533045083592188E-2</v>
      </c>
      <c r="L918" t="s">
        <v>153</v>
      </c>
      <c r="N918" t="s">
        <v>232</v>
      </c>
      <c r="O918" t="s">
        <v>283</v>
      </c>
      <c r="P918">
        <v>1.5296903230902967E-2</v>
      </c>
      <c r="Q918" t="s">
        <v>153</v>
      </c>
    </row>
    <row r="919" spans="9:17" x14ac:dyDescent="0.45">
      <c r="I919" t="s">
        <v>189</v>
      </c>
      <c r="J919" t="s">
        <v>284</v>
      </c>
      <c r="K919">
        <v>8.9021934682637083E-2</v>
      </c>
      <c r="L919" t="s">
        <v>153</v>
      </c>
      <c r="N919" t="s">
        <v>232</v>
      </c>
      <c r="O919" t="s">
        <v>284</v>
      </c>
      <c r="P919">
        <v>4.2260569571083019E-2</v>
      </c>
      <c r="Q919" t="s">
        <v>153</v>
      </c>
    </row>
    <row r="920" spans="9:17" x14ac:dyDescent="0.45">
      <c r="I920" t="s">
        <v>189</v>
      </c>
      <c r="J920" t="s">
        <v>285</v>
      </c>
      <c r="K920">
        <v>1.0994237158892037E-2</v>
      </c>
      <c r="L920" t="s">
        <v>153</v>
      </c>
      <c r="N920" t="s">
        <v>232</v>
      </c>
      <c r="O920" t="s">
        <v>285</v>
      </c>
      <c r="P920">
        <v>6.1785808213965536E-3</v>
      </c>
      <c r="Q920" t="s">
        <v>153</v>
      </c>
    </row>
    <row r="921" spans="9:17" x14ac:dyDescent="0.45">
      <c r="I921" t="s">
        <v>189</v>
      </c>
      <c r="J921" t="s">
        <v>306</v>
      </c>
      <c r="K921">
        <v>2.9824858036700547E-4</v>
      </c>
      <c r="L921" t="s">
        <v>153</v>
      </c>
      <c r="N921" t="s">
        <v>232</v>
      </c>
      <c r="O921" t="s">
        <v>306</v>
      </c>
      <c r="P921">
        <v>7.1775134087865549E-3</v>
      </c>
      <c r="Q921" t="s">
        <v>153</v>
      </c>
    </row>
    <row r="922" spans="9:17" x14ac:dyDescent="0.45">
      <c r="I922" t="s">
        <v>189</v>
      </c>
      <c r="J922" t="s">
        <v>307</v>
      </c>
      <c r="K922">
        <v>0</v>
      </c>
      <c r="L922" t="s">
        <v>153</v>
      </c>
      <c r="N922" t="s">
        <v>232</v>
      </c>
      <c r="O922" t="s">
        <v>307</v>
      </c>
      <c r="P922">
        <v>4.4195601171853852E-2</v>
      </c>
      <c r="Q922" t="s">
        <v>153</v>
      </c>
    </row>
    <row r="923" spans="9:17" x14ac:dyDescent="0.45">
      <c r="I923" t="s">
        <v>189</v>
      </c>
      <c r="J923" t="s">
        <v>159</v>
      </c>
      <c r="K923">
        <v>0</v>
      </c>
      <c r="L923" t="s">
        <v>153</v>
      </c>
      <c r="N923" t="s">
        <v>232</v>
      </c>
      <c r="O923" t="s">
        <v>159</v>
      </c>
      <c r="P923">
        <v>8.3341463148597278E-2</v>
      </c>
      <c r="Q923" t="s">
        <v>153</v>
      </c>
    </row>
    <row r="924" spans="9:17" x14ac:dyDescent="0.45">
      <c r="I924" t="s">
        <v>189</v>
      </c>
      <c r="J924" t="s">
        <v>160</v>
      </c>
      <c r="K924">
        <v>3.7885699585151486E-3</v>
      </c>
      <c r="L924" t="s">
        <v>153</v>
      </c>
      <c r="N924" t="s">
        <v>232</v>
      </c>
      <c r="O924" t="s">
        <v>160</v>
      </c>
      <c r="P924">
        <v>1.1224051971508971E-2</v>
      </c>
      <c r="Q924" t="s">
        <v>153</v>
      </c>
    </row>
    <row r="925" spans="9:17" x14ac:dyDescent="0.45">
      <c r="I925" t="s">
        <v>189</v>
      </c>
      <c r="J925" t="s">
        <v>161</v>
      </c>
      <c r="K925">
        <v>1.5781745760609082E-2</v>
      </c>
      <c r="L925" t="s">
        <v>153</v>
      </c>
      <c r="N925" t="s">
        <v>232</v>
      </c>
      <c r="O925" t="s">
        <v>161</v>
      </c>
      <c r="P925">
        <v>9.725649615884048E-3</v>
      </c>
      <c r="Q925" t="s">
        <v>153</v>
      </c>
    </row>
    <row r="926" spans="9:17" x14ac:dyDescent="0.45">
      <c r="I926" t="s">
        <v>189</v>
      </c>
      <c r="J926" t="s">
        <v>286</v>
      </c>
      <c r="K926">
        <v>7.9859724041541666E-2</v>
      </c>
      <c r="L926" t="s">
        <v>153</v>
      </c>
      <c r="N926" t="s">
        <v>232</v>
      </c>
      <c r="O926" t="s">
        <v>286</v>
      </c>
      <c r="P926">
        <v>2.9232529715938382E-2</v>
      </c>
      <c r="Q926" t="s">
        <v>153</v>
      </c>
    </row>
    <row r="927" spans="9:17" x14ac:dyDescent="0.45">
      <c r="I927" t="s">
        <v>189</v>
      </c>
      <c r="J927" t="s">
        <v>287</v>
      </c>
      <c r="K927">
        <v>0.18101965930089861</v>
      </c>
      <c r="L927" t="s">
        <v>153</v>
      </c>
      <c r="N927" t="s">
        <v>232</v>
      </c>
      <c r="O927" t="s">
        <v>287</v>
      </c>
      <c r="P927">
        <v>8.381224610337891E-2</v>
      </c>
      <c r="Q927" t="s">
        <v>153</v>
      </c>
    </row>
    <row r="928" spans="9:17" x14ac:dyDescent="0.45">
      <c r="I928" t="s">
        <v>189</v>
      </c>
      <c r="J928" t="s">
        <v>288</v>
      </c>
      <c r="K928">
        <v>2.0370976677416684E-2</v>
      </c>
      <c r="L928" t="s">
        <v>153</v>
      </c>
      <c r="N928" t="s">
        <v>232</v>
      </c>
      <c r="O928" t="s">
        <v>288</v>
      </c>
      <c r="P928">
        <v>1.3796233870070382E-2</v>
      </c>
      <c r="Q928" t="s">
        <v>153</v>
      </c>
    </row>
    <row r="929" spans="9:17" x14ac:dyDescent="0.45">
      <c r="I929" t="s">
        <v>189</v>
      </c>
      <c r="J929" t="s">
        <v>308</v>
      </c>
      <c r="K929">
        <v>1.3261109934084374E-2</v>
      </c>
      <c r="L929" t="s">
        <v>153</v>
      </c>
      <c r="N929" t="s">
        <v>232</v>
      </c>
      <c r="O929" t="s">
        <v>308</v>
      </c>
      <c r="P929">
        <v>1.4122909460036182E-2</v>
      </c>
      <c r="Q929" t="s">
        <v>153</v>
      </c>
    </row>
    <row r="930" spans="9:17" x14ac:dyDescent="0.45">
      <c r="I930" t="s">
        <v>189</v>
      </c>
      <c r="J930" t="s">
        <v>309</v>
      </c>
      <c r="K930">
        <v>2.2749914454669418E-4</v>
      </c>
      <c r="L930" t="s">
        <v>153</v>
      </c>
      <c r="N930" t="s">
        <v>232</v>
      </c>
      <c r="O930" t="s">
        <v>309</v>
      </c>
      <c r="P930">
        <v>8.4328131654643187E-2</v>
      </c>
      <c r="Q930" t="s">
        <v>153</v>
      </c>
    </row>
    <row r="931" spans="9:17" x14ac:dyDescent="0.45">
      <c r="I931" t="s">
        <v>189</v>
      </c>
      <c r="J931" t="s">
        <v>294</v>
      </c>
      <c r="K931">
        <v>0</v>
      </c>
      <c r="L931" t="s">
        <v>153</v>
      </c>
      <c r="N931" t="s">
        <v>232</v>
      </c>
      <c r="O931" t="s">
        <v>294</v>
      </c>
      <c r="P931">
        <v>2.0149813426877723E-2</v>
      </c>
      <c r="Q931" t="s">
        <v>153</v>
      </c>
    </row>
    <row r="932" spans="9:17" x14ac:dyDescent="0.45">
      <c r="I932" t="s">
        <v>189</v>
      </c>
      <c r="J932" t="s">
        <v>295</v>
      </c>
      <c r="K932">
        <v>1.7213976402660174E-3</v>
      </c>
      <c r="L932" t="s">
        <v>153</v>
      </c>
      <c r="N932" t="s">
        <v>232</v>
      </c>
      <c r="O932" t="s">
        <v>295</v>
      </c>
      <c r="P932">
        <v>2.0809456753210945E-3</v>
      </c>
      <c r="Q932" t="s">
        <v>153</v>
      </c>
    </row>
    <row r="933" spans="9:17" x14ac:dyDescent="0.45">
      <c r="I933" t="s">
        <v>189</v>
      </c>
      <c r="J933" t="s">
        <v>296</v>
      </c>
      <c r="K933">
        <v>3.6277657802479277E-3</v>
      </c>
      <c r="L933" t="s">
        <v>153</v>
      </c>
      <c r="N933" t="s">
        <v>232</v>
      </c>
      <c r="O933" t="s">
        <v>296</v>
      </c>
      <c r="P933">
        <v>1.8730420272293313E-3</v>
      </c>
      <c r="Q933" t="s">
        <v>153</v>
      </c>
    </row>
    <row r="934" spans="9:17" x14ac:dyDescent="0.45">
      <c r="I934" t="s">
        <v>189</v>
      </c>
      <c r="J934" t="s">
        <v>297</v>
      </c>
      <c r="K934">
        <v>2.280352950718836E-2</v>
      </c>
      <c r="L934" t="s">
        <v>153</v>
      </c>
      <c r="N934" t="s">
        <v>232</v>
      </c>
      <c r="O934" t="s">
        <v>297</v>
      </c>
      <c r="P934">
        <v>4.1920088096855657E-3</v>
      </c>
      <c r="Q934" t="s">
        <v>153</v>
      </c>
    </row>
    <row r="935" spans="9:17" x14ac:dyDescent="0.45">
      <c r="I935" t="s">
        <v>189</v>
      </c>
      <c r="J935" t="s">
        <v>298</v>
      </c>
      <c r="K935">
        <v>5.0703612274275243E-2</v>
      </c>
      <c r="L935" t="s">
        <v>153</v>
      </c>
      <c r="N935" t="s">
        <v>232</v>
      </c>
      <c r="O935" t="s">
        <v>298</v>
      </c>
      <c r="P935">
        <v>1.3353020631569856E-2</v>
      </c>
      <c r="Q935" t="s">
        <v>153</v>
      </c>
    </row>
    <row r="936" spans="9:17" x14ac:dyDescent="0.45">
      <c r="I936" t="s">
        <v>189</v>
      </c>
      <c r="J936" t="s">
        <v>299</v>
      </c>
      <c r="K936">
        <v>4.7674994401353983E-3</v>
      </c>
      <c r="L936" t="s">
        <v>153</v>
      </c>
      <c r="N936" t="s">
        <v>232</v>
      </c>
      <c r="O936" t="s">
        <v>299</v>
      </c>
      <c r="P936">
        <v>2.7446084283641197E-3</v>
      </c>
      <c r="Q936" t="s">
        <v>153</v>
      </c>
    </row>
    <row r="937" spans="9:17" x14ac:dyDescent="0.45">
      <c r="I937" t="s">
        <v>189</v>
      </c>
      <c r="J937" t="s">
        <v>310</v>
      </c>
      <c r="K937">
        <v>3.1529690907027052E-3</v>
      </c>
      <c r="L937" t="s">
        <v>153</v>
      </c>
      <c r="N937" t="s">
        <v>232</v>
      </c>
      <c r="O937" t="s">
        <v>310</v>
      </c>
      <c r="P937">
        <v>2.7837371005020343E-3</v>
      </c>
      <c r="Q937" t="s">
        <v>153</v>
      </c>
    </row>
    <row r="938" spans="9:17" x14ac:dyDescent="0.45">
      <c r="I938" t="s">
        <v>189</v>
      </c>
      <c r="J938" t="s">
        <v>311</v>
      </c>
      <c r="K938">
        <v>1.6397307180819054E-3</v>
      </c>
      <c r="L938" t="s">
        <v>153</v>
      </c>
      <c r="N938" t="s">
        <v>232</v>
      </c>
      <c r="O938" t="s">
        <v>311</v>
      </c>
      <c r="P938">
        <v>2.2489733123231315E-2</v>
      </c>
      <c r="Q938" t="s">
        <v>153</v>
      </c>
    </row>
    <row r="939" spans="9:17" x14ac:dyDescent="0.45">
      <c r="I939" t="s">
        <v>190</v>
      </c>
      <c r="J939" t="s">
        <v>152</v>
      </c>
      <c r="K939">
        <v>0</v>
      </c>
      <c r="L939" t="s">
        <v>153</v>
      </c>
      <c r="N939" t="s">
        <v>233</v>
      </c>
      <c r="O939" t="s">
        <v>152</v>
      </c>
      <c r="P939">
        <v>0.11451279728960936</v>
      </c>
      <c r="Q939" t="s">
        <v>153</v>
      </c>
    </row>
    <row r="940" spans="9:17" x14ac:dyDescent="0.45">
      <c r="I940" t="s">
        <v>190</v>
      </c>
      <c r="J940" t="s">
        <v>154</v>
      </c>
      <c r="K940">
        <v>1.4315920231247768E-3</v>
      </c>
      <c r="L940" t="s">
        <v>153</v>
      </c>
      <c r="N940" t="s">
        <v>233</v>
      </c>
      <c r="O940" t="s">
        <v>154</v>
      </c>
      <c r="P940">
        <v>1.8084261552654076E-2</v>
      </c>
      <c r="Q940" t="s">
        <v>153</v>
      </c>
    </row>
    <row r="941" spans="9:17" x14ac:dyDescent="0.45">
      <c r="I941" t="s">
        <v>190</v>
      </c>
      <c r="J941" t="s">
        <v>155</v>
      </c>
      <c r="K941">
        <v>1.4016746790117413E-2</v>
      </c>
      <c r="L941" t="s">
        <v>153</v>
      </c>
      <c r="N941" t="s">
        <v>233</v>
      </c>
      <c r="O941" t="s">
        <v>155</v>
      </c>
      <c r="P941">
        <v>1.7013318606685243E-2</v>
      </c>
      <c r="Q941" t="s">
        <v>153</v>
      </c>
    </row>
    <row r="942" spans="9:17" x14ac:dyDescent="0.45">
      <c r="I942" t="s">
        <v>190</v>
      </c>
      <c r="J942" t="s">
        <v>280</v>
      </c>
      <c r="K942">
        <v>0.11711323654371454</v>
      </c>
      <c r="L942" t="s">
        <v>153</v>
      </c>
      <c r="N942" t="s">
        <v>233</v>
      </c>
      <c r="O942" t="s">
        <v>280</v>
      </c>
      <c r="P942">
        <v>4.2827190912889106E-2</v>
      </c>
      <c r="Q942" t="s">
        <v>153</v>
      </c>
    </row>
    <row r="943" spans="9:17" x14ac:dyDescent="0.45">
      <c r="I943" t="s">
        <v>190</v>
      </c>
      <c r="J943" t="s">
        <v>281</v>
      </c>
      <c r="K943">
        <v>0.27997549826246165</v>
      </c>
      <c r="L943" t="s">
        <v>153</v>
      </c>
      <c r="N943" t="s">
        <v>233</v>
      </c>
      <c r="O943" t="s">
        <v>281</v>
      </c>
      <c r="P943">
        <v>8.860095370587831E-2</v>
      </c>
      <c r="Q943" t="s">
        <v>153</v>
      </c>
    </row>
    <row r="944" spans="9:17" x14ac:dyDescent="0.45">
      <c r="I944" t="s">
        <v>190</v>
      </c>
      <c r="J944" t="s">
        <v>282</v>
      </c>
      <c r="K944">
        <v>3.2908863089941433E-2</v>
      </c>
      <c r="L944" t="s">
        <v>153</v>
      </c>
      <c r="N944" t="s">
        <v>233</v>
      </c>
      <c r="O944" t="s">
        <v>282</v>
      </c>
      <c r="P944">
        <v>1.3365569783372368E-2</v>
      </c>
      <c r="Q944" t="s">
        <v>153</v>
      </c>
    </row>
    <row r="945" spans="9:17" x14ac:dyDescent="0.45">
      <c r="I945" t="s">
        <v>190</v>
      </c>
      <c r="J945" t="s">
        <v>304</v>
      </c>
      <c r="K945">
        <v>1.6223544060965576E-2</v>
      </c>
      <c r="L945" t="s">
        <v>153</v>
      </c>
      <c r="N945" t="s">
        <v>233</v>
      </c>
      <c r="O945" t="s">
        <v>304</v>
      </c>
      <c r="P945">
        <v>1.3090803604471707E-2</v>
      </c>
      <c r="Q945" t="s">
        <v>153</v>
      </c>
    </row>
    <row r="946" spans="9:17" x14ac:dyDescent="0.45">
      <c r="I946" t="s">
        <v>190</v>
      </c>
      <c r="J946" t="s">
        <v>305</v>
      </c>
      <c r="K946">
        <v>4.3647444855149974E-3</v>
      </c>
      <c r="L946" t="s">
        <v>153</v>
      </c>
      <c r="N946" t="s">
        <v>233</v>
      </c>
      <c r="O946" t="s">
        <v>305</v>
      </c>
      <c r="P946">
        <v>9.1347541850504421E-2</v>
      </c>
      <c r="Q946" t="s">
        <v>153</v>
      </c>
    </row>
    <row r="947" spans="9:17" x14ac:dyDescent="0.45">
      <c r="I947" t="s">
        <v>190</v>
      </c>
      <c r="J947" t="s">
        <v>156</v>
      </c>
      <c r="K947">
        <v>0</v>
      </c>
      <c r="L947" t="s">
        <v>153</v>
      </c>
      <c r="N947" t="s">
        <v>233</v>
      </c>
      <c r="O947" t="s">
        <v>156</v>
      </c>
      <c r="P947">
        <v>4.687800258711796E-2</v>
      </c>
      <c r="Q947" t="s">
        <v>153</v>
      </c>
    </row>
    <row r="948" spans="9:17" x14ac:dyDescent="0.45">
      <c r="I948" t="s">
        <v>190</v>
      </c>
      <c r="J948" t="s">
        <v>157</v>
      </c>
      <c r="K948">
        <v>0</v>
      </c>
      <c r="L948" t="s">
        <v>153</v>
      </c>
      <c r="N948" t="s">
        <v>233</v>
      </c>
      <c r="O948" t="s">
        <v>157</v>
      </c>
      <c r="P948">
        <v>7.6583032082655506E-3</v>
      </c>
      <c r="Q948" t="s">
        <v>153</v>
      </c>
    </row>
    <row r="949" spans="9:17" x14ac:dyDescent="0.45">
      <c r="I949" t="s">
        <v>190</v>
      </c>
      <c r="J949" t="s">
        <v>158</v>
      </c>
      <c r="K949">
        <v>1.5106694675928872E-4</v>
      </c>
      <c r="L949" t="s">
        <v>153</v>
      </c>
      <c r="N949" t="s">
        <v>233</v>
      </c>
      <c r="O949" t="s">
        <v>158</v>
      </c>
      <c r="P949">
        <v>7.882050610285787E-3</v>
      </c>
      <c r="Q949" t="s">
        <v>153</v>
      </c>
    </row>
    <row r="950" spans="9:17" x14ac:dyDescent="0.45">
      <c r="I950" t="s">
        <v>190</v>
      </c>
      <c r="J950" t="s">
        <v>283</v>
      </c>
      <c r="K950">
        <v>3.6087349939962834E-2</v>
      </c>
      <c r="L950" t="s">
        <v>153</v>
      </c>
      <c r="N950" t="s">
        <v>233</v>
      </c>
      <c r="O950" t="s">
        <v>283</v>
      </c>
      <c r="P950">
        <v>1.7789117756900067E-2</v>
      </c>
      <c r="Q950" t="s">
        <v>153</v>
      </c>
    </row>
    <row r="951" spans="9:17" x14ac:dyDescent="0.45">
      <c r="I951" t="s">
        <v>190</v>
      </c>
      <c r="J951" t="s">
        <v>284</v>
      </c>
      <c r="K951">
        <v>9.0953477090786036E-2</v>
      </c>
      <c r="L951" t="s">
        <v>153</v>
      </c>
      <c r="N951" t="s">
        <v>233</v>
      </c>
      <c r="O951" t="s">
        <v>284</v>
      </c>
      <c r="P951">
        <v>4.4371119534658193E-2</v>
      </c>
      <c r="Q951" t="s">
        <v>153</v>
      </c>
    </row>
    <row r="952" spans="9:17" x14ac:dyDescent="0.45">
      <c r="I952" t="s">
        <v>190</v>
      </c>
      <c r="J952" t="s">
        <v>285</v>
      </c>
      <c r="K952">
        <v>1.0811939252943799E-2</v>
      </c>
      <c r="L952" t="s">
        <v>153</v>
      </c>
      <c r="N952" t="s">
        <v>233</v>
      </c>
      <c r="O952" t="s">
        <v>285</v>
      </c>
      <c r="P952">
        <v>6.8673448310958953E-3</v>
      </c>
      <c r="Q952" t="s">
        <v>153</v>
      </c>
    </row>
    <row r="953" spans="9:17" x14ac:dyDescent="0.45">
      <c r="I953" t="s">
        <v>190</v>
      </c>
      <c r="J953" t="s">
        <v>306</v>
      </c>
      <c r="K953">
        <v>2.9402452748982291E-4</v>
      </c>
      <c r="L953" t="s">
        <v>153</v>
      </c>
      <c r="N953" t="s">
        <v>233</v>
      </c>
      <c r="O953" t="s">
        <v>306</v>
      </c>
      <c r="P953">
        <v>6.3857376326245932E-3</v>
      </c>
      <c r="Q953" t="s">
        <v>153</v>
      </c>
    </row>
    <row r="954" spans="9:17" x14ac:dyDescent="0.45">
      <c r="I954" t="s">
        <v>190</v>
      </c>
      <c r="J954" t="s">
        <v>307</v>
      </c>
      <c r="K954">
        <v>0</v>
      </c>
      <c r="L954" t="s">
        <v>153</v>
      </c>
      <c r="N954" t="s">
        <v>233</v>
      </c>
      <c r="O954" t="s">
        <v>307</v>
      </c>
      <c r="P954">
        <v>4.0455054045174112E-2</v>
      </c>
      <c r="Q954" t="s">
        <v>153</v>
      </c>
    </row>
    <row r="955" spans="9:17" x14ac:dyDescent="0.45">
      <c r="I955" t="s">
        <v>190</v>
      </c>
      <c r="J955" t="s">
        <v>159</v>
      </c>
      <c r="K955">
        <v>0</v>
      </c>
      <c r="L955" t="s">
        <v>153</v>
      </c>
      <c r="N955" t="s">
        <v>233</v>
      </c>
      <c r="O955" t="s">
        <v>159</v>
      </c>
      <c r="P955">
        <v>9.070044449319814E-2</v>
      </c>
      <c r="Q955" t="s">
        <v>153</v>
      </c>
    </row>
    <row r="956" spans="9:17" x14ac:dyDescent="0.45">
      <c r="I956" t="s">
        <v>190</v>
      </c>
      <c r="J956" t="s">
        <v>160</v>
      </c>
      <c r="K956">
        <v>3.5046656737381214E-3</v>
      </c>
      <c r="L956" t="s">
        <v>153</v>
      </c>
      <c r="N956" t="s">
        <v>233</v>
      </c>
      <c r="O956" t="s">
        <v>160</v>
      </c>
      <c r="P956">
        <v>1.3963230166560186E-2</v>
      </c>
      <c r="Q956" t="s">
        <v>153</v>
      </c>
    </row>
    <row r="957" spans="9:17" x14ac:dyDescent="0.45">
      <c r="I957" t="s">
        <v>190</v>
      </c>
      <c r="J957" t="s">
        <v>161</v>
      </c>
      <c r="K957">
        <v>1.5598427716559119E-2</v>
      </c>
      <c r="L957" t="s">
        <v>153</v>
      </c>
      <c r="N957" t="s">
        <v>233</v>
      </c>
      <c r="O957" t="s">
        <v>161</v>
      </c>
      <c r="P957">
        <v>1.2616391605786492E-2</v>
      </c>
      <c r="Q957" t="s">
        <v>153</v>
      </c>
    </row>
    <row r="958" spans="9:17" x14ac:dyDescent="0.45">
      <c r="I958" t="s">
        <v>190</v>
      </c>
      <c r="J958" t="s">
        <v>286</v>
      </c>
      <c r="K958">
        <v>8.0157607364753511E-2</v>
      </c>
      <c r="L958" t="s">
        <v>153</v>
      </c>
      <c r="N958" t="s">
        <v>233</v>
      </c>
      <c r="O958" t="s">
        <v>286</v>
      </c>
      <c r="P958">
        <v>3.3738631628325473E-2</v>
      </c>
      <c r="Q958" t="s">
        <v>153</v>
      </c>
    </row>
    <row r="959" spans="9:17" x14ac:dyDescent="0.45">
      <c r="I959" t="s">
        <v>190</v>
      </c>
      <c r="J959" t="s">
        <v>287</v>
      </c>
      <c r="K959">
        <v>0.1807167687037656</v>
      </c>
      <c r="L959" t="s">
        <v>153</v>
      </c>
      <c r="N959" t="s">
        <v>233</v>
      </c>
      <c r="O959" t="s">
        <v>287</v>
      </c>
      <c r="P959">
        <v>9.5515154874995872E-2</v>
      </c>
      <c r="Q959" t="s">
        <v>153</v>
      </c>
    </row>
    <row r="960" spans="9:17" x14ac:dyDescent="0.45">
      <c r="I960" t="s">
        <v>190</v>
      </c>
      <c r="J960" t="s">
        <v>288</v>
      </c>
      <c r="K960">
        <v>2.0388719651490927E-2</v>
      </c>
      <c r="L960" t="s">
        <v>153</v>
      </c>
      <c r="N960" t="s">
        <v>233</v>
      </c>
      <c r="O960" t="s">
        <v>288</v>
      </c>
      <c r="P960">
        <v>1.6890791233558997E-2</v>
      </c>
      <c r="Q960" t="s">
        <v>153</v>
      </c>
    </row>
    <row r="961" spans="9:17" x14ac:dyDescent="0.45">
      <c r="I961" t="s">
        <v>190</v>
      </c>
      <c r="J961" t="s">
        <v>308</v>
      </c>
      <c r="K961">
        <v>1.3083037247959292E-2</v>
      </c>
      <c r="L961" t="s">
        <v>153</v>
      </c>
      <c r="N961" t="s">
        <v>233</v>
      </c>
      <c r="O961" t="s">
        <v>308</v>
      </c>
      <c r="P961">
        <v>1.4880384384942958E-2</v>
      </c>
      <c r="Q961" t="s">
        <v>153</v>
      </c>
    </row>
    <row r="962" spans="9:17" x14ac:dyDescent="0.45">
      <c r="I962" t="s">
        <v>190</v>
      </c>
      <c r="J962" t="s">
        <v>309</v>
      </c>
      <c r="K962">
        <v>3.209018510600174E-5</v>
      </c>
      <c r="L962" t="s">
        <v>153</v>
      </c>
      <c r="N962" t="s">
        <v>233</v>
      </c>
      <c r="O962" t="s">
        <v>309</v>
      </c>
      <c r="P962">
        <v>8.4909504240090042E-2</v>
      </c>
      <c r="Q962" t="s">
        <v>153</v>
      </c>
    </row>
    <row r="963" spans="9:17" x14ac:dyDescent="0.45">
      <c r="I963" t="s">
        <v>190</v>
      </c>
      <c r="J963" t="s">
        <v>294</v>
      </c>
      <c r="K963">
        <v>0</v>
      </c>
      <c r="L963" t="s">
        <v>153</v>
      </c>
      <c r="N963" t="s">
        <v>233</v>
      </c>
      <c r="O963" t="s">
        <v>294</v>
      </c>
      <c r="P963">
        <v>1.6576216077855737E-2</v>
      </c>
      <c r="Q963" t="s">
        <v>153</v>
      </c>
    </row>
    <row r="964" spans="9:17" x14ac:dyDescent="0.45">
      <c r="I964" t="s">
        <v>190</v>
      </c>
      <c r="J964" t="s">
        <v>295</v>
      </c>
      <c r="K964">
        <v>1.2438837359679592E-3</v>
      </c>
      <c r="L964" t="s">
        <v>153</v>
      </c>
      <c r="N964" t="s">
        <v>233</v>
      </c>
      <c r="O964" t="s">
        <v>295</v>
      </c>
      <c r="P964">
        <v>2.2735166243095469E-3</v>
      </c>
      <c r="Q964" t="s">
        <v>153</v>
      </c>
    </row>
    <row r="965" spans="9:17" x14ac:dyDescent="0.45">
      <c r="I965" t="s">
        <v>190</v>
      </c>
      <c r="J965" t="s">
        <v>296</v>
      </c>
      <c r="K965">
        <v>2.8555630918837222E-3</v>
      </c>
      <c r="L965" t="s">
        <v>153</v>
      </c>
      <c r="N965" t="s">
        <v>233</v>
      </c>
      <c r="O965" t="s">
        <v>296</v>
      </c>
      <c r="P965">
        <v>1.6995904358506815E-3</v>
      </c>
      <c r="Q965" t="s">
        <v>153</v>
      </c>
    </row>
    <row r="966" spans="9:17" x14ac:dyDescent="0.45">
      <c r="I966" t="s">
        <v>190</v>
      </c>
      <c r="J966" t="s">
        <v>297</v>
      </c>
      <c r="K966">
        <v>2.0485748380980127E-2</v>
      </c>
      <c r="L966" t="s">
        <v>153</v>
      </c>
      <c r="N966" t="s">
        <v>233</v>
      </c>
      <c r="O966" t="s">
        <v>297</v>
      </c>
      <c r="P966">
        <v>4.8889199708507247E-3</v>
      </c>
      <c r="Q966" t="s">
        <v>153</v>
      </c>
    </row>
    <row r="967" spans="9:17" x14ac:dyDescent="0.45">
      <c r="I967" t="s">
        <v>190</v>
      </c>
      <c r="J967" t="s">
        <v>298</v>
      </c>
      <c r="K967">
        <v>4.8540913043529171E-2</v>
      </c>
      <c r="L967" t="s">
        <v>153</v>
      </c>
      <c r="N967" t="s">
        <v>233</v>
      </c>
      <c r="O967" t="s">
        <v>298</v>
      </c>
      <c r="P967">
        <v>1.2147311646097416E-2</v>
      </c>
      <c r="Q967" t="s">
        <v>153</v>
      </c>
    </row>
    <row r="968" spans="9:17" x14ac:dyDescent="0.45">
      <c r="I968" t="s">
        <v>190</v>
      </c>
      <c r="J968" t="s">
        <v>299</v>
      </c>
      <c r="K968">
        <v>4.5939900540297382E-3</v>
      </c>
      <c r="L968" t="s">
        <v>153</v>
      </c>
      <c r="N968" t="s">
        <v>233</v>
      </c>
      <c r="O968" t="s">
        <v>299</v>
      </c>
      <c r="P968">
        <v>2.5466239878154961E-3</v>
      </c>
      <c r="Q968" t="s">
        <v>153</v>
      </c>
    </row>
    <row r="969" spans="9:17" x14ac:dyDescent="0.45">
      <c r="I969" t="s">
        <v>190</v>
      </c>
      <c r="J969" t="s">
        <v>310</v>
      </c>
      <c r="K969">
        <v>2.8981283014530308E-3</v>
      </c>
      <c r="L969" t="s">
        <v>153</v>
      </c>
      <c r="N969" t="s">
        <v>233</v>
      </c>
      <c r="O969" t="s">
        <v>310</v>
      </c>
      <c r="P969">
        <v>2.2207564536896344E-3</v>
      </c>
      <c r="Q969" t="s">
        <v>153</v>
      </c>
    </row>
    <row r="970" spans="9:17" x14ac:dyDescent="0.45">
      <c r="I970" t="s">
        <v>190</v>
      </c>
      <c r="J970" t="s">
        <v>311</v>
      </c>
      <c r="K970">
        <v>1.5683738350016926E-3</v>
      </c>
      <c r="L970" t="s">
        <v>153</v>
      </c>
      <c r="N970" t="s">
        <v>233</v>
      </c>
      <c r="O970" t="s">
        <v>311</v>
      </c>
      <c r="P970">
        <v>1.7303364663884001E-2</v>
      </c>
      <c r="Q970" t="s">
        <v>153</v>
      </c>
    </row>
    <row r="971" spans="9:17" x14ac:dyDescent="0.45">
      <c r="I971" t="s">
        <v>191</v>
      </c>
      <c r="J971" t="s">
        <v>152</v>
      </c>
      <c r="K971">
        <v>0</v>
      </c>
      <c r="L971" t="s">
        <v>153</v>
      </c>
      <c r="N971" t="s">
        <v>234</v>
      </c>
      <c r="O971" t="s">
        <v>152</v>
      </c>
      <c r="P971">
        <v>0.13449387307117694</v>
      </c>
      <c r="Q971" t="s">
        <v>153</v>
      </c>
    </row>
    <row r="972" spans="9:17" x14ac:dyDescent="0.45">
      <c r="I972" t="s">
        <v>191</v>
      </c>
      <c r="J972" t="s">
        <v>154</v>
      </c>
      <c r="K972">
        <v>2.2722963971238712E-3</v>
      </c>
      <c r="L972" t="s">
        <v>153</v>
      </c>
      <c r="N972" t="s">
        <v>234</v>
      </c>
      <c r="O972" t="s">
        <v>154</v>
      </c>
      <c r="P972">
        <v>2.118778291258502E-2</v>
      </c>
      <c r="Q972" t="s">
        <v>153</v>
      </c>
    </row>
    <row r="973" spans="9:17" x14ac:dyDescent="0.45">
      <c r="I973" t="s">
        <v>191</v>
      </c>
      <c r="J973" t="s">
        <v>155</v>
      </c>
      <c r="K973">
        <v>1.7604057447741146E-2</v>
      </c>
      <c r="L973" t="s">
        <v>153</v>
      </c>
      <c r="N973" t="s">
        <v>234</v>
      </c>
      <c r="O973" t="s">
        <v>155</v>
      </c>
      <c r="P973">
        <v>1.8616099908940895E-2</v>
      </c>
      <c r="Q973" t="s">
        <v>153</v>
      </c>
    </row>
    <row r="974" spans="9:17" x14ac:dyDescent="0.45">
      <c r="I974" t="s">
        <v>191</v>
      </c>
      <c r="J974" t="s">
        <v>280</v>
      </c>
      <c r="K974">
        <v>0.11957286638334219</v>
      </c>
      <c r="L974" t="s">
        <v>153</v>
      </c>
      <c r="N974" t="s">
        <v>234</v>
      </c>
      <c r="O974" t="s">
        <v>280</v>
      </c>
      <c r="P974">
        <v>4.7757176110690421E-2</v>
      </c>
      <c r="Q974" t="s">
        <v>153</v>
      </c>
    </row>
    <row r="975" spans="9:17" x14ac:dyDescent="0.45">
      <c r="I975" t="s">
        <v>191</v>
      </c>
      <c r="J975" t="s">
        <v>281</v>
      </c>
      <c r="K975">
        <v>0.28085730022143679</v>
      </c>
      <c r="L975" t="s">
        <v>153</v>
      </c>
      <c r="N975" t="s">
        <v>234</v>
      </c>
      <c r="O975" t="s">
        <v>281</v>
      </c>
      <c r="P975">
        <v>6.6771804620798125E-2</v>
      </c>
      <c r="Q975" t="s">
        <v>153</v>
      </c>
    </row>
    <row r="976" spans="9:17" x14ac:dyDescent="0.45">
      <c r="I976" t="s">
        <v>191</v>
      </c>
      <c r="J976" t="s">
        <v>282</v>
      </c>
      <c r="K976">
        <v>3.2652782102586146E-2</v>
      </c>
      <c r="L976" t="s">
        <v>153</v>
      </c>
      <c r="N976" t="s">
        <v>234</v>
      </c>
      <c r="O976" t="s">
        <v>282</v>
      </c>
      <c r="P976">
        <v>8.9609533990615067E-3</v>
      </c>
      <c r="Q976" t="s">
        <v>153</v>
      </c>
    </row>
    <row r="977" spans="9:17" x14ac:dyDescent="0.45">
      <c r="I977" t="s">
        <v>191</v>
      </c>
      <c r="J977" t="s">
        <v>304</v>
      </c>
      <c r="K977">
        <v>1.60757138049064E-2</v>
      </c>
      <c r="L977" t="s">
        <v>153</v>
      </c>
      <c r="N977" t="s">
        <v>234</v>
      </c>
      <c r="O977" t="s">
        <v>304</v>
      </c>
      <c r="P977">
        <v>1.063791206916438E-2</v>
      </c>
      <c r="Q977" t="s">
        <v>153</v>
      </c>
    </row>
    <row r="978" spans="9:17" x14ac:dyDescent="0.45">
      <c r="I978" t="s">
        <v>191</v>
      </c>
      <c r="J978" t="s">
        <v>305</v>
      </c>
      <c r="K978">
        <v>4.2498311421146984E-3</v>
      </c>
      <c r="L978" t="s">
        <v>153</v>
      </c>
      <c r="N978" t="s">
        <v>234</v>
      </c>
      <c r="O978" t="s">
        <v>305</v>
      </c>
      <c r="P978">
        <v>9.3915365385629432E-2</v>
      </c>
      <c r="Q978" t="s">
        <v>153</v>
      </c>
    </row>
    <row r="979" spans="9:17" x14ac:dyDescent="0.45">
      <c r="I979" t="s">
        <v>191</v>
      </c>
      <c r="J979" t="s">
        <v>156</v>
      </c>
      <c r="K979">
        <v>0</v>
      </c>
      <c r="L979" t="s">
        <v>153</v>
      </c>
      <c r="N979" t="s">
        <v>234</v>
      </c>
      <c r="O979" t="s">
        <v>156</v>
      </c>
      <c r="P979">
        <v>5.5961131778555051E-2</v>
      </c>
      <c r="Q979" t="s">
        <v>153</v>
      </c>
    </row>
    <row r="980" spans="9:17" x14ac:dyDescent="0.45">
      <c r="I980" t="s">
        <v>191</v>
      </c>
      <c r="J980" t="s">
        <v>157</v>
      </c>
      <c r="K980">
        <v>0</v>
      </c>
      <c r="L980" t="s">
        <v>153</v>
      </c>
      <c r="N980" t="s">
        <v>234</v>
      </c>
      <c r="O980" t="s">
        <v>157</v>
      </c>
      <c r="P980">
        <v>9.6882226208709638E-3</v>
      </c>
      <c r="Q980" t="s">
        <v>153</v>
      </c>
    </row>
    <row r="981" spans="9:17" x14ac:dyDescent="0.45">
      <c r="I981" t="s">
        <v>191</v>
      </c>
      <c r="J981" t="s">
        <v>158</v>
      </c>
      <c r="K981">
        <v>8.9566769170607073E-4</v>
      </c>
      <c r="L981" t="s">
        <v>153</v>
      </c>
      <c r="N981" t="s">
        <v>234</v>
      </c>
      <c r="O981" t="s">
        <v>158</v>
      </c>
      <c r="P981">
        <v>9.3623242597569538E-3</v>
      </c>
      <c r="Q981" t="s">
        <v>153</v>
      </c>
    </row>
    <row r="982" spans="9:17" x14ac:dyDescent="0.45">
      <c r="I982" t="s">
        <v>191</v>
      </c>
      <c r="J982" t="s">
        <v>283</v>
      </c>
      <c r="K982">
        <v>3.6168638013545487E-2</v>
      </c>
      <c r="L982" t="s">
        <v>153</v>
      </c>
      <c r="N982" t="s">
        <v>234</v>
      </c>
      <c r="O982" t="s">
        <v>283</v>
      </c>
      <c r="P982">
        <v>1.952345115405156E-2</v>
      </c>
      <c r="Q982" t="s">
        <v>153</v>
      </c>
    </row>
    <row r="983" spans="9:17" x14ac:dyDescent="0.45">
      <c r="I983" t="s">
        <v>191</v>
      </c>
      <c r="J983" t="s">
        <v>284</v>
      </c>
      <c r="K983">
        <v>8.7523401983587629E-2</v>
      </c>
      <c r="L983" t="s">
        <v>153</v>
      </c>
      <c r="N983" t="s">
        <v>234</v>
      </c>
      <c r="O983" t="s">
        <v>284</v>
      </c>
      <c r="P983">
        <v>4.3528460444382668E-2</v>
      </c>
      <c r="Q983" t="s">
        <v>153</v>
      </c>
    </row>
    <row r="984" spans="9:17" x14ac:dyDescent="0.45">
      <c r="I984" t="s">
        <v>191</v>
      </c>
      <c r="J984" t="s">
        <v>285</v>
      </c>
      <c r="K984">
        <v>9.6882514258139884E-3</v>
      </c>
      <c r="L984" t="s">
        <v>153</v>
      </c>
      <c r="N984" t="s">
        <v>234</v>
      </c>
      <c r="O984" t="s">
        <v>285</v>
      </c>
      <c r="P984">
        <v>5.7483967098461266E-3</v>
      </c>
      <c r="Q984" t="s">
        <v>153</v>
      </c>
    </row>
    <row r="985" spans="9:17" x14ac:dyDescent="0.45">
      <c r="I985" t="s">
        <v>191</v>
      </c>
      <c r="J985" t="s">
        <v>306</v>
      </c>
      <c r="K985">
        <v>0</v>
      </c>
      <c r="L985" t="s">
        <v>153</v>
      </c>
      <c r="N985" t="s">
        <v>234</v>
      </c>
      <c r="O985" t="s">
        <v>306</v>
      </c>
      <c r="P985">
        <v>6.8552267806388121E-3</v>
      </c>
      <c r="Q985" t="s">
        <v>153</v>
      </c>
    </row>
    <row r="986" spans="9:17" x14ac:dyDescent="0.45">
      <c r="I986" t="s">
        <v>191</v>
      </c>
      <c r="J986" t="s">
        <v>307</v>
      </c>
      <c r="K986">
        <v>0</v>
      </c>
      <c r="L986" t="s">
        <v>153</v>
      </c>
      <c r="N986" t="s">
        <v>234</v>
      </c>
      <c r="O986" t="s">
        <v>307</v>
      </c>
      <c r="P986">
        <v>4.5158268343991288E-2</v>
      </c>
      <c r="Q986" t="s">
        <v>153</v>
      </c>
    </row>
    <row r="987" spans="9:17" x14ac:dyDescent="0.45">
      <c r="I987" t="s">
        <v>191</v>
      </c>
      <c r="J987" t="s">
        <v>159</v>
      </c>
      <c r="K987">
        <v>0</v>
      </c>
      <c r="L987" t="s">
        <v>153</v>
      </c>
      <c r="N987" t="s">
        <v>234</v>
      </c>
      <c r="O987" t="s">
        <v>159</v>
      </c>
      <c r="P987">
        <v>0.10079237290242672</v>
      </c>
      <c r="Q987" t="s">
        <v>153</v>
      </c>
    </row>
    <row r="988" spans="9:17" x14ac:dyDescent="0.45">
      <c r="I988" t="s">
        <v>191</v>
      </c>
      <c r="J988" t="s">
        <v>160</v>
      </c>
      <c r="K988">
        <v>5.0861144738643983E-3</v>
      </c>
      <c r="L988" t="s">
        <v>153</v>
      </c>
      <c r="N988" t="s">
        <v>234</v>
      </c>
      <c r="O988" t="s">
        <v>160</v>
      </c>
      <c r="P988">
        <v>1.4920776840557155E-2</v>
      </c>
      <c r="Q988" t="s">
        <v>153</v>
      </c>
    </row>
    <row r="989" spans="9:17" x14ac:dyDescent="0.45">
      <c r="I989" t="s">
        <v>191</v>
      </c>
      <c r="J989" t="s">
        <v>161</v>
      </c>
      <c r="K989">
        <v>1.6622179654108626E-2</v>
      </c>
      <c r="L989" t="s">
        <v>153</v>
      </c>
      <c r="N989" t="s">
        <v>234</v>
      </c>
      <c r="O989" t="s">
        <v>161</v>
      </c>
      <c r="P989">
        <v>1.2791632711485838E-2</v>
      </c>
      <c r="Q989" t="s">
        <v>153</v>
      </c>
    </row>
    <row r="990" spans="9:17" x14ac:dyDescent="0.45">
      <c r="I990" t="s">
        <v>191</v>
      </c>
      <c r="J990" t="s">
        <v>286</v>
      </c>
      <c r="K990">
        <v>8.174839330088117E-2</v>
      </c>
      <c r="L990" t="s">
        <v>153</v>
      </c>
      <c r="N990" t="s">
        <v>234</v>
      </c>
      <c r="O990" t="s">
        <v>286</v>
      </c>
      <c r="P990">
        <v>3.4542367197559862E-2</v>
      </c>
      <c r="Q990" t="s">
        <v>153</v>
      </c>
    </row>
    <row r="991" spans="9:17" x14ac:dyDescent="0.45">
      <c r="I991" t="s">
        <v>191</v>
      </c>
      <c r="J991" t="s">
        <v>287</v>
      </c>
      <c r="K991">
        <v>0.17791565268802942</v>
      </c>
      <c r="L991" t="s">
        <v>153</v>
      </c>
      <c r="N991" t="s">
        <v>234</v>
      </c>
      <c r="O991" t="s">
        <v>287</v>
      </c>
      <c r="P991">
        <v>8.0661354163866217E-2</v>
      </c>
      <c r="Q991" t="s">
        <v>153</v>
      </c>
    </row>
    <row r="992" spans="9:17" x14ac:dyDescent="0.45">
      <c r="I992" t="s">
        <v>191</v>
      </c>
      <c r="J992" t="s">
        <v>288</v>
      </c>
      <c r="K992">
        <v>1.9407940785786712E-2</v>
      </c>
      <c r="L992" t="s">
        <v>153</v>
      </c>
      <c r="N992" t="s">
        <v>234</v>
      </c>
      <c r="O992" t="s">
        <v>288</v>
      </c>
      <c r="P992">
        <v>1.1121560298451178E-2</v>
      </c>
      <c r="Q992" t="s">
        <v>153</v>
      </c>
    </row>
    <row r="993" spans="9:17" x14ac:dyDescent="0.45">
      <c r="I993" t="s">
        <v>191</v>
      </c>
      <c r="J993" t="s">
        <v>308</v>
      </c>
      <c r="K993">
        <v>1.1497606570930853E-2</v>
      </c>
      <c r="L993" t="s">
        <v>153</v>
      </c>
      <c r="N993" t="s">
        <v>234</v>
      </c>
      <c r="O993" t="s">
        <v>308</v>
      </c>
      <c r="P993">
        <v>1.2102460263676744E-2</v>
      </c>
      <c r="Q993" t="s">
        <v>153</v>
      </c>
    </row>
    <row r="994" spans="9:17" x14ac:dyDescent="0.45">
      <c r="I994" t="s">
        <v>191</v>
      </c>
      <c r="J994" t="s">
        <v>309</v>
      </c>
      <c r="K994">
        <v>0</v>
      </c>
      <c r="L994" t="s">
        <v>153</v>
      </c>
      <c r="N994" t="s">
        <v>234</v>
      </c>
      <c r="O994" t="s">
        <v>309</v>
      </c>
      <c r="P994">
        <v>8.2554245292754555E-2</v>
      </c>
      <c r="Q994" t="s">
        <v>153</v>
      </c>
    </row>
    <row r="995" spans="9:17" x14ac:dyDescent="0.45">
      <c r="I995" t="s">
        <v>191</v>
      </c>
      <c r="J995" t="s">
        <v>294</v>
      </c>
      <c r="K995">
        <v>0</v>
      </c>
      <c r="L995" t="s">
        <v>153</v>
      </c>
      <c r="N995" t="s">
        <v>234</v>
      </c>
      <c r="O995" t="s">
        <v>294</v>
      </c>
      <c r="P995">
        <v>1.6239701793688589E-2</v>
      </c>
      <c r="Q995" t="s">
        <v>153</v>
      </c>
    </row>
    <row r="996" spans="9:17" x14ac:dyDescent="0.45">
      <c r="I996" t="s">
        <v>191</v>
      </c>
      <c r="J996" t="s">
        <v>295</v>
      </c>
      <c r="K996">
        <v>1.5772580474366158E-3</v>
      </c>
      <c r="L996" t="s">
        <v>153</v>
      </c>
      <c r="N996" t="s">
        <v>234</v>
      </c>
      <c r="O996" t="s">
        <v>295</v>
      </c>
      <c r="P996">
        <v>1.694192240471623E-3</v>
      </c>
      <c r="Q996" t="s">
        <v>153</v>
      </c>
    </row>
    <row r="997" spans="9:17" x14ac:dyDescent="0.45">
      <c r="I997" t="s">
        <v>191</v>
      </c>
      <c r="J997" t="s">
        <v>296</v>
      </c>
      <c r="K997">
        <v>3.1160522625962726E-3</v>
      </c>
      <c r="L997" t="s">
        <v>153</v>
      </c>
      <c r="N997" t="s">
        <v>234</v>
      </c>
      <c r="O997" t="s">
        <v>296</v>
      </c>
      <c r="P997">
        <v>1.6098936854587397E-3</v>
      </c>
      <c r="Q997" t="s">
        <v>153</v>
      </c>
    </row>
    <row r="998" spans="9:17" x14ac:dyDescent="0.45">
      <c r="I998" t="s">
        <v>191</v>
      </c>
      <c r="J998" t="s">
        <v>297</v>
      </c>
      <c r="K998">
        <v>1.81610070345532E-2</v>
      </c>
      <c r="L998" t="s">
        <v>153</v>
      </c>
      <c r="N998" t="s">
        <v>234</v>
      </c>
      <c r="O998" t="s">
        <v>297</v>
      </c>
      <c r="P998">
        <v>4.0307654094504462E-3</v>
      </c>
      <c r="Q998" t="s">
        <v>153</v>
      </c>
    </row>
    <row r="999" spans="9:17" x14ac:dyDescent="0.45">
      <c r="I999" t="s">
        <v>191</v>
      </c>
      <c r="J999" t="s">
        <v>298</v>
      </c>
      <c r="K999">
        <v>4.7665933578169763E-2</v>
      </c>
      <c r="L999" t="s">
        <v>153</v>
      </c>
      <c r="N999" t="s">
        <v>234</v>
      </c>
      <c r="O999" t="s">
        <v>298</v>
      </c>
      <c r="P999">
        <v>1.2149449917887046E-2</v>
      </c>
      <c r="Q999" t="s">
        <v>153</v>
      </c>
    </row>
    <row r="1000" spans="9:17" x14ac:dyDescent="0.45">
      <c r="I1000" t="s">
        <v>191</v>
      </c>
      <c r="J1000" t="s">
        <v>299</v>
      </c>
      <c r="K1000">
        <v>4.779252494345106E-3</v>
      </c>
      <c r="L1000" t="s">
        <v>153</v>
      </c>
      <c r="N1000" t="s">
        <v>234</v>
      </c>
      <c r="O1000" t="s">
        <v>299</v>
      </c>
      <c r="P1000">
        <v>1.8284707811983285E-3</v>
      </c>
      <c r="Q1000" t="s">
        <v>153</v>
      </c>
    </row>
    <row r="1001" spans="9:17" x14ac:dyDescent="0.45">
      <c r="I1001" t="s">
        <v>191</v>
      </c>
      <c r="J1001" t="s">
        <v>310</v>
      </c>
      <c r="K1001">
        <v>3.1960443280125441E-3</v>
      </c>
      <c r="L1001" t="s">
        <v>153</v>
      </c>
      <c r="N1001" t="s">
        <v>234</v>
      </c>
      <c r="O1001" t="s">
        <v>310</v>
      </c>
      <c r="P1001">
        <v>1.8045261325808429E-3</v>
      </c>
      <c r="Q1001" t="s">
        <v>153</v>
      </c>
    </row>
    <row r="1002" spans="9:17" x14ac:dyDescent="0.45">
      <c r="I1002" t="s">
        <v>191</v>
      </c>
      <c r="J1002" t="s">
        <v>311</v>
      </c>
      <c r="K1002">
        <v>1.6657581673811797E-3</v>
      </c>
      <c r="L1002" t="s">
        <v>153</v>
      </c>
      <c r="N1002" t="s">
        <v>234</v>
      </c>
      <c r="O1002" t="s">
        <v>311</v>
      </c>
      <c r="P1002">
        <v>1.2989780798343913E-2</v>
      </c>
      <c r="Q1002" t="s">
        <v>153</v>
      </c>
    </row>
    <row r="1003" spans="9:17" x14ac:dyDescent="0.45">
      <c r="I1003" t="s">
        <v>192</v>
      </c>
      <c r="J1003" t="s">
        <v>152</v>
      </c>
      <c r="K1003">
        <v>0</v>
      </c>
      <c r="L1003" t="s">
        <v>153</v>
      </c>
      <c r="N1003" t="s">
        <v>235</v>
      </c>
      <c r="O1003" t="s">
        <v>152</v>
      </c>
      <c r="P1003">
        <v>0.15002327872809584</v>
      </c>
      <c r="Q1003" t="s">
        <v>153</v>
      </c>
    </row>
    <row r="1004" spans="9:17" x14ac:dyDescent="0.45">
      <c r="I1004" t="s">
        <v>192</v>
      </c>
      <c r="J1004" t="s">
        <v>154</v>
      </c>
      <c r="K1004">
        <v>2.2517821771321526E-3</v>
      </c>
      <c r="L1004" t="s">
        <v>153</v>
      </c>
      <c r="N1004" t="s">
        <v>235</v>
      </c>
      <c r="O1004" t="s">
        <v>154</v>
      </c>
      <c r="P1004">
        <v>2.270564097488378E-2</v>
      </c>
      <c r="Q1004" t="s">
        <v>153</v>
      </c>
    </row>
    <row r="1005" spans="9:17" x14ac:dyDescent="0.45">
      <c r="I1005" t="s">
        <v>192</v>
      </c>
      <c r="J1005" t="s">
        <v>155</v>
      </c>
      <c r="K1005">
        <v>1.4524057064465372E-2</v>
      </c>
      <c r="L1005" t="s">
        <v>153</v>
      </c>
      <c r="N1005" t="s">
        <v>235</v>
      </c>
      <c r="O1005" t="s">
        <v>155</v>
      </c>
      <c r="P1005">
        <v>1.9523134281523837E-2</v>
      </c>
      <c r="Q1005" t="s">
        <v>153</v>
      </c>
    </row>
    <row r="1006" spans="9:17" x14ac:dyDescent="0.45">
      <c r="I1006" t="s">
        <v>192</v>
      </c>
      <c r="J1006" t="s">
        <v>280</v>
      </c>
      <c r="K1006">
        <v>0.11452941237705663</v>
      </c>
      <c r="L1006" t="s">
        <v>153</v>
      </c>
      <c r="N1006" t="s">
        <v>235</v>
      </c>
      <c r="O1006" t="s">
        <v>280</v>
      </c>
      <c r="P1006">
        <v>4.5676634296759347E-2</v>
      </c>
      <c r="Q1006" t="s">
        <v>153</v>
      </c>
    </row>
    <row r="1007" spans="9:17" x14ac:dyDescent="0.45">
      <c r="I1007" t="s">
        <v>192</v>
      </c>
      <c r="J1007" t="s">
        <v>281</v>
      </c>
      <c r="K1007">
        <v>0.27166654003712909</v>
      </c>
      <c r="L1007" t="s">
        <v>153</v>
      </c>
      <c r="N1007" t="s">
        <v>235</v>
      </c>
      <c r="O1007" t="s">
        <v>281</v>
      </c>
      <c r="P1007">
        <v>5.0684062909007011E-2</v>
      </c>
      <c r="Q1007" t="s">
        <v>153</v>
      </c>
    </row>
    <row r="1008" spans="9:17" x14ac:dyDescent="0.45">
      <c r="I1008" t="s">
        <v>192</v>
      </c>
      <c r="J1008" t="s">
        <v>282</v>
      </c>
      <c r="K1008">
        <v>3.0972367754393767E-2</v>
      </c>
      <c r="L1008" t="s">
        <v>153</v>
      </c>
      <c r="N1008" t="s">
        <v>235</v>
      </c>
      <c r="O1008" t="s">
        <v>282</v>
      </c>
      <c r="P1008">
        <v>7.2516917804167098E-3</v>
      </c>
      <c r="Q1008" t="s">
        <v>153</v>
      </c>
    </row>
    <row r="1009" spans="9:17" x14ac:dyDescent="0.45">
      <c r="I1009" t="s">
        <v>192</v>
      </c>
      <c r="J1009" t="s">
        <v>304</v>
      </c>
      <c r="K1009">
        <v>1.4397168273516781E-2</v>
      </c>
      <c r="L1009" t="s">
        <v>153</v>
      </c>
      <c r="N1009" t="s">
        <v>235</v>
      </c>
      <c r="O1009" t="s">
        <v>304</v>
      </c>
      <c r="P1009">
        <v>9.403293409518905E-3</v>
      </c>
      <c r="Q1009" t="s">
        <v>153</v>
      </c>
    </row>
    <row r="1010" spans="9:17" x14ac:dyDescent="0.45">
      <c r="I1010" t="s">
        <v>192</v>
      </c>
      <c r="J1010" t="s">
        <v>305</v>
      </c>
      <c r="K1010">
        <v>4.3509630314676759E-3</v>
      </c>
      <c r="L1010" t="s">
        <v>153</v>
      </c>
      <c r="N1010" t="s">
        <v>235</v>
      </c>
      <c r="O1010" t="s">
        <v>305</v>
      </c>
      <c r="P1010">
        <v>9.9224751248843696E-2</v>
      </c>
      <c r="Q1010" t="s">
        <v>153</v>
      </c>
    </row>
    <row r="1011" spans="9:17" x14ac:dyDescent="0.45">
      <c r="I1011" t="s">
        <v>192</v>
      </c>
      <c r="J1011" t="s">
        <v>156</v>
      </c>
      <c r="K1011">
        <v>0</v>
      </c>
      <c r="L1011" t="s">
        <v>153</v>
      </c>
      <c r="N1011" t="s">
        <v>235</v>
      </c>
      <c r="O1011" t="s">
        <v>156</v>
      </c>
      <c r="P1011">
        <v>6.3036842486165534E-2</v>
      </c>
      <c r="Q1011" t="s">
        <v>153</v>
      </c>
    </row>
    <row r="1012" spans="9:17" x14ac:dyDescent="0.45">
      <c r="I1012" t="s">
        <v>192</v>
      </c>
      <c r="J1012" t="s">
        <v>157</v>
      </c>
      <c r="K1012">
        <v>0</v>
      </c>
      <c r="L1012" t="s">
        <v>153</v>
      </c>
      <c r="N1012" t="s">
        <v>235</v>
      </c>
      <c r="O1012" t="s">
        <v>157</v>
      </c>
      <c r="P1012">
        <v>1.0203995519775817E-2</v>
      </c>
      <c r="Q1012" t="s">
        <v>153</v>
      </c>
    </row>
    <row r="1013" spans="9:17" x14ac:dyDescent="0.45">
      <c r="I1013" t="s">
        <v>192</v>
      </c>
      <c r="J1013" t="s">
        <v>158</v>
      </c>
      <c r="K1013">
        <v>0</v>
      </c>
      <c r="L1013" t="s">
        <v>153</v>
      </c>
      <c r="N1013" t="s">
        <v>235</v>
      </c>
      <c r="O1013" t="s">
        <v>158</v>
      </c>
      <c r="P1013">
        <v>9.8655819385166897E-3</v>
      </c>
      <c r="Q1013" t="s">
        <v>153</v>
      </c>
    </row>
    <row r="1014" spans="9:17" x14ac:dyDescent="0.45">
      <c r="I1014" t="s">
        <v>192</v>
      </c>
      <c r="J1014" t="s">
        <v>283</v>
      </c>
      <c r="K1014">
        <v>3.4859489668599392E-2</v>
      </c>
      <c r="L1014" t="s">
        <v>153</v>
      </c>
      <c r="N1014" t="s">
        <v>235</v>
      </c>
      <c r="O1014" t="s">
        <v>283</v>
      </c>
      <c r="P1014">
        <v>1.8894020587131685E-2</v>
      </c>
      <c r="Q1014" t="s">
        <v>153</v>
      </c>
    </row>
    <row r="1015" spans="9:17" x14ac:dyDescent="0.45">
      <c r="I1015" t="s">
        <v>192</v>
      </c>
      <c r="J1015" t="s">
        <v>284</v>
      </c>
      <c r="K1015">
        <v>8.3414557965576785E-2</v>
      </c>
      <c r="L1015" t="s">
        <v>153</v>
      </c>
      <c r="N1015" t="s">
        <v>235</v>
      </c>
      <c r="O1015" t="s">
        <v>284</v>
      </c>
      <c r="P1015">
        <v>3.3930138702743327E-2</v>
      </c>
      <c r="Q1015" t="s">
        <v>153</v>
      </c>
    </row>
    <row r="1016" spans="9:17" x14ac:dyDescent="0.45">
      <c r="I1016" t="s">
        <v>192</v>
      </c>
      <c r="J1016" t="s">
        <v>285</v>
      </c>
      <c r="K1016">
        <v>9.5883506874205032E-3</v>
      </c>
      <c r="L1016" t="s">
        <v>153</v>
      </c>
      <c r="N1016" t="s">
        <v>235</v>
      </c>
      <c r="O1016" t="s">
        <v>285</v>
      </c>
      <c r="P1016">
        <v>4.4037601511861275E-3</v>
      </c>
      <c r="Q1016" t="s">
        <v>153</v>
      </c>
    </row>
    <row r="1017" spans="9:17" x14ac:dyDescent="0.45">
      <c r="I1017" t="s">
        <v>192</v>
      </c>
      <c r="J1017" t="s">
        <v>306</v>
      </c>
      <c r="K1017">
        <v>1.2193348972984583E-4</v>
      </c>
      <c r="L1017" t="s">
        <v>153</v>
      </c>
      <c r="N1017" t="s">
        <v>235</v>
      </c>
      <c r="O1017" t="s">
        <v>306</v>
      </c>
      <c r="P1017">
        <v>5.5998525338623898E-3</v>
      </c>
      <c r="Q1017" t="s">
        <v>153</v>
      </c>
    </row>
    <row r="1018" spans="9:17" x14ac:dyDescent="0.45">
      <c r="I1018" t="s">
        <v>192</v>
      </c>
      <c r="J1018" t="s">
        <v>307</v>
      </c>
      <c r="K1018">
        <v>0</v>
      </c>
      <c r="L1018" t="s">
        <v>153</v>
      </c>
      <c r="N1018" t="s">
        <v>235</v>
      </c>
      <c r="O1018" t="s">
        <v>307</v>
      </c>
      <c r="P1018">
        <v>4.7244731301371752E-2</v>
      </c>
      <c r="Q1018" t="s">
        <v>153</v>
      </c>
    </row>
    <row r="1019" spans="9:17" x14ac:dyDescent="0.45">
      <c r="I1019" t="s">
        <v>192</v>
      </c>
      <c r="J1019" t="s">
        <v>159</v>
      </c>
      <c r="K1019">
        <v>0</v>
      </c>
      <c r="L1019" t="s">
        <v>153</v>
      </c>
      <c r="N1019" t="s">
        <v>235</v>
      </c>
      <c r="O1019" t="s">
        <v>159</v>
      </c>
      <c r="P1019">
        <v>0.11372765009107989</v>
      </c>
      <c r="Q1019" t="s">
        <v>153</v>
      </c>
    </row>
    <row r="1020" spans="9:17" x14ac:dyDescent="0.45">
      <c r="I1020" t="s">
        <v>192</v>
      </c>
      <c r="J1020" t="s">
        <v>160</v>
      </c>
      <c r="K1020">
        <v>5.0530501132420398E-3</v>
      </c>
      <c r="L1020" t="s">
        <v>153</v>
      </c>
      <c r="N1020" t="s">
        <v>235</v>
      </c>
      <c r="O1020" t="s">
        <v>160</v>
      </c>
      <c r="P1020">
        <v>1.714730526636175E-2</v>
      </c>
      <c r="Q1020" t="s">
        <v>153</v>
      </c>
    </row>
    <row r="1021" spans="9:17" x14ac:dyDescent="0.45">
      <c r="I1021" t="s">
        <v>192</v>
      </c>
      <c r="J1021" t="s">
        <v>161</v>
      </c>
      <c r="K1021">
        <v>1.6573242105044576E-2</v>
      </c>
      <c r="L1021" t="s">
        <v>153</v>
      </c>
      <c r="N1021" t="s">
        <v>235</v>
      </c>
      <c r="O1021" t="s">
        <v>161</v>
      </c>
      <c r="P1021">
        <v>1.3753076233086395E-2</v>
      </c>
      <c r="Q1021" t="s">
        <v>153</v>
      </c>
    </row>
    <row r="1022" spans="9:17" x14ac:dyDescent="0.45">
      <c r="I1022" t="s">
        <v>192</v>
      </c>
      <c r="J1022" t="s">
        <v>286</v>
      </c>
      <c r="K1022">
        <v>8.3848800362732498E-2</v>
      </c>
      <c r="L1022" t="s">
        <v>153</v>
      </c>
      <c r="N1022" t="s">
        <v>235</v>
      </c>
      <c r="O1022" t="s">
        <v>286</v>
      </c>
      <c r="P1022">
        <v>3.4285324213106455E-2</v>
      </c>
      <c r="Q1022" t="s">
        <v>153</v>
      </c>
    </row>
    <row r="1023" spans="9:17" x14ac:dyDescent="0.45">
      <c r="I1023" t="s">
        <v>192</v>
      </c>
      <c r="J1023" t="s">
        <v>287</v>
      </c>
      <c r="K1023">
        <v>0.18810292356144642</v>
      </c>
      <c r="L1023" t="s">
        <v>153</v>
      </c>
      <c r="N1023" t="s">
        <v>235</v>
      </c>
      <c r="O1023" t="s">
        <v>287</v>
      </c>
      <c r="P1023">
        <v>6.2303791496697604E-2</v>
      </c>
      <c r="Q1023" t="s">
        <v>153</v>
      </c>
    </row>
    <row r="1024" spans="9:17" x14ac:dyDescent="0.45">
      <c r="I1024" t="s">
        <v>192</v>
      </c>
      <c r="J1024" t="s">
        <v>288</v>
      </c>
      <c r="K1024">
        <v>2.027445861892057E-2</v>
      </c>
      <c r="L1024" t="s">
        <v>153</v>
      </c>
      <c r="N1024" t="s">
        <v>235</v>
      </c>
      <c r="O1024" t="s">
        <v>288</v>
      </c>
      <c r="P1024">
        <v>1.015186232731915E-2</v>
      </c>
      <c r="Q1024" t="s">
        <v>153</v>
      </c>
    </row>
    <row r="1025" spans="9:17" x14ac:dyDescent="0.45">
      <c r="I1025" t="s">
        <v>192</v>
      </c>
      <c r="J1025" t="s">
        <v>308</v>
      </c>
      <c r="K1025">
        <v>1.297157298732376E-2</v>
      </c>
      <c r="L1025" t="s">
        <v>153</v>
      </c>
      <c r="N1025" t="s">
        <v>235</v>
      </c>
      <c r="O1025" t="s">
        <v>308</v>
      </c>
      <c r="P1025">
        <v>1.1590179659684114E-2</v>
      </c>
      <c r="Q1025" t="s">
        <v>153</v>
      </c>
    </row>
    <row r="1026" spans="9:17" x14ac:dyDescent="0.45">
      <c r="I1026" t="s">
        <v>192</v>
      </c>
      <c r="J1026" t="s">
        <v>309</v>
      </c>
      <c r="K1026">
        <v>7.6113791389196888E-4</v>
      </c>
      <c r="L1026" t="s">
        <v>153</v>
      </c>
      <c r="N1026" t="s">
        <v>235</v>
      </c>
      <c r="O1026" t="s">
        <v>309</v>
      </c>
      <c r="P1026">
        <v>8.4858182613240449E-2</v>
      </c>
      <c r="Q1026" t="s">
        <v>153</v>
      </c>
    </row>
    <row r="1027" spans="9:17" x14ac:dyDescent="0.45">
      <c r="I1027" t="s">
        <v>192</v>
      </c>
      <c r="J1027" t="s">
        <v>294</v>
      </c>
      <c r="K1027">
        <v>0</v>
      </c>
      <c r="L1027" t="s">
        <v>153</v>
      </c>
      <c r="N1027" t="s">
        <v>235</v>
      </c>
      <c r="O1027" t="s">
        <v>294</v>
      </c>
      <c r="P1027">
        <v>1.8240360462919922E-2</v>
      </c>
      <c r="Q1027" t="s">
        <v>153</v>
      </c>
    </row>
    <row r="1028" spans="9:17" x14ac:dyDescent="0.45">
      <c r="I1028" t="s">
        <v>192</v>
      </c>
      <c r="J1028" t="s">
        <v>295</v>
      </c>
      <c r="K1028">
        <v>2.4739306714429308E-3</v>
      </c>
      <c r="L1028" t="s">
        <v>153</v>
      </c>
      <c r="N1028" t="s">
        <v>235</v>
      </c>
      <c r="O1028" t="s">
        <v>295</v>
      </c>
      <c r="P1028">
        <v>2.3591890605468135E-3</v>
      </c>
      <c r="Q1028" t="s">
        <v>153</v>
      </c>
    </row>
    <row r="1029" spans="9:17" x14ac:dyDescent="0.45">
      <c r="I1029" t="s">
        <v>192</v>
      </c>
      <c r="J1029" t="s">
        <v>296</v>
      </c>
      <c r="K1029">
        <v>4.6956198612916437E-3</v>
      </c>
      <c r="L1029" t="s">
        <v>153</v>
      </c>
      <c r="N1029" t="s">
        <v>235</v>
      </c>
      <c r="O1029" t="s">
        <v>296</v>
      </c>
      <c r="P1029">
        <v>2.2356882660159003E-3</v>
      </c>
      <c r="Q1029" t="s">
        <v>153</v>
      </c>
    </row>
    <row r="1030" spans="9:17" x14ac:dyDescent="0.45">
      <c r="I1030" t="s">
        <v>192</v>
      </c>
      <c r="J1030" t="s">
        <v>297</v>
      </c>
      <c r="K1030">
        <v>2.3122282954218643E-2</v>
      </c>
      <c r="L1030" t="s">
        <v>153</v>
      </c>
      <c r="N1030" t="s">
        <v>235</v>
      </c>
      <c r="O1030" t="s">
        <v>297</v>
      </c>
      <c r="P1030">
        <v>5.3092017626804036E-3</v>
      </c>
      <c r="Q1030" t="s">
        <v>153</v>
      </c>
    </row>
    <row r="1031" spans="9:17" x14ac:dyDescent="0.45">
      <c r="I1031" t="s">
        <v>192</v>
      </c>
      <c r="J1031" t="s">
        <v>298</v>
      </c>
      <c r="K1031">
        <v>5.1211758599825054E-2</v>
      </c>
      <c r="L1031" t="s">
        <v>153</v>
      </c>
      <c r="N1031" t="s">
        <v>235</v>
      </c>
      <c r="O1031" t="s">
        <v>298</v>
      </c>
      <c r="P1031">
        <v>8.0355035693058727E-3</v>
      </c>
      <c r="Q1031" t="s">
        <v>153</v>
      </c>
    </row>
    <row r="1032" spans="9:17" x14ac:dyDescent="0.45">
      <c r="I1032" t="s">
        <v>192</v>
      </c>
      <c r="J1032" t="s">
        <v>299</v>
      </c>
      <c r="K1032">
        <v>4.8589868250194148E-3</v>
      </c>
      <c r="L1032" t="s">
        <v>153</v>
      </c>
      <c r="N1032" t="s">
        <v>235</v>
      </c>
      <c r="O1032" t="s">
        <v>299</v>
      </c>
      <c r="P1032">
        <v>1.4526437921307737E-3</v>
      </c>
      <c r="Q1032" t="s">
        <v>153</v>
      </c>
    </row>
    <row r="1033" spans="9:17" x14ac:dyDescent="0.45">
      <c r="I1033" t="s">
        <v>192</v>
      </c>
      <c r="J1033" t="s">
        <v>310</v>
      </c>
      <c r="K1033">
        <v>3.467038153112301E-3</v>
      </c>
      <c r="L1033" t="s">
        <v>153</v>
      </c>
      <c r="N1033" t="s">
        <v>235</v>
      </c>
      <c r="O1033" t="s">
        <v>310</v>
      </c>
      <c r="P1033">
        <v>1.8294228960442863E-3</v>
      </c>
      <c r="Q1033" t="s">
        <v>153</v>
      </c>
    </row>
    <row r="1034" spans="9:17" x14ac:dyDescent="0.45">
      <c r="I1034" t="s">
        <v>192</v>
      </c>
      <c r="J1034" t="s">
        <v>311</v>
      </c>
      <c r="K1034">
        <v>1.9085747459977806E-3</v>
      </c>
      <c r="L1034" t="s">
        <v>153</v>
      </c>
      <c r="N1034" t="s">
        <v>235</v>
      </c>
      <c r="O1034" t="s">
        <v>311</v>
      </c>
      <c r="P1034">
        <v>1.5049207439976165E-2</v>
      </c>
      <c r="Q1034" t="s">
        <v>153</v>
      </c>
    </row>
    <row r="1035" spans="9:17" x14ac:dyDescent="0.45">
      <c r="I1035" t="s">
        <v>193</v>
      </c>
      <c r="J1035" t="s">
        <v>152</v>
      </c>
      <c r="K1035">
        <v>0</v>
      </c>
      <c r="L1035" t="s">
        <v>153</v>
      </c>
      <c r="N1035" t="s">
        <v>236</v>
      </c>
      <c r="O1035" t="s">
        <v>152</v>
      </c>
      <c r="P1035">
        <v>0.14900048694397272</v>
      </c>
      <c r="Q1035" t="s">
        <v>153</v>
      </c>
    </row>
    <row r="1036" spans="9:17" x14ac:dyDescent="0.45">
      <c r="I1036" t="s">
        <v>193</v>
      </c>
      <c r="J1036" t="s">
        <v>154</v>
      </c>
      <c r="K1036">
        <v>1.7041629307088997E-3</v>
      </c>
      <c r="L1036" t="s">
        <v>153</v>
      </c>
      <c r="N1036" t="s">
        <v>236</v>
      </c>
      <c r="O1036" t="s">
        <v>154</v>
      </c>
      <c r="P1036">
        <v>2.3143058942144214E-2</v>
      </c>
      <c r="Q1036" t="s">
        <v>153</v>
      </c>
    </row>
    <row r="1037" spans="9:17" x14ac:dyDescent="0.45">
      <c r="I1037" t="s">
        <v>193</v>
      </c>
      <c r="J1037" t="s">
        <v>155</v>
      </c>
      <c r="K1037">
        <v>1.3630356283252059E-2</v>
      </c>
      <c r="L1037" t="s">
        <v>153</v>
      </c>
      <c r="N1037" t="s">
        <v>236</v>
      </c>
      <c r="O1037" t="s">
        <v>155</v>
      </c>
      <c r="P1037">
        <v>2.0661465903244768E-2</v>
      </c>
      <c r="Q1037" t="s">
        <v>153</v>
      </c>
    </row>
    <row r="1038" spans="9:17" x14ac:dyDescent="0.45">
      <c r="I1038" t="s">
        <v>193</v>
      </c>
      <c r="J1038" t="s">
        <v>280</v>
      </c>
      <c r="K1038">
        <v>0.11594119917325443</v>
      </c>
      <c r="L1038" t="s">
        <v>153</v>
      </c>
      <c r="N1038" t="s">
        <v>236</v>
      </c>
      <c r="O1038" t="s">
        <v>280</v>
      </c>
      <c r="P1038">
        <v>5.2673346684388417E-2</v>
      </c>
      <c r="Q1038" t="s">
        <v>153</v>
      </c>
    </row>
    <row r="1039" spans="9:17" x14ac:dyDescent="0.45">
      <c r="I1039" t="s">
        <v>193</v>
      </c>
      <c r="J1039" t="s">
        <v>281</v>
      </c>
      <c r="K1039">
        <v>0.26533831152237447</v>
      </c>
      <c r="L1039" t="s">
        <v>153</v>
      </c>
      <c r="N1039" t="s">
        <v>236</v>
      </c>
      <c r="O1039" t="s">
        <v>281</v>
      </c>
      <c r="P1039">
        <v>6.9224164154331191E-2</v>
      </c>
      <c r="Q1039" t="s">
        <v>153</v>
      </c>
    </row>
    <row r="1040" spans="9:17" x14ac:dyDescent="0.45">
      <c r="I1040" t="s">
        <v>193</v>
      </c>
      <c r="J1040" t="s">
        <v>282</v>
      </c>
      <c r="K1040">
        <v>3.0987388262789132E-2</v>
      </c>
      <c r="L1040" t="s">
        <v>153</v>
      </c>
      <c r="N1040" t="s">
        <v>236</v>
      </c>
      <c r="O1040" t="s">
        <v>282</v>
      </c>
      <c r="P1040">
        <v>9.4497627569769729E-3</v>
      </c>
      <c r="Q1040" t="s">
        <v>153</v>
      </c>
    </row>
    <row r="1041" spans="9:17" x14ac:dyDescent="0.45">
      <c r="I1041" t="s">
        <v>193</v>
      </c>
      <c r="J1041" t="s">
        <v>304</v>
      </c>
      <c r="K1041">
        <v>1.4958411619709372E-2</v>
      </c>
      <c r="L1041" t="s">
        <v>153</v>
      </c>
      <c r="N1041" t="s">
        <v>236</v>
      </c>
      <c r="O1041" t="s">
        <v>304</v>
      </c>
      <c r="P1041">
        <v>1.0891088974423608E-2</v>
      </c>
      <c r="Q1041" t="s">
        <v>153</v>
      </c>
    </row>
    <row r="1042" spans="9:17" x14ac:dyDescent="0.45">
      <c r="I1042" t="s">
        <v>193</v>
      </c>
      <c r="J1042" t="s">
        <v>305</v>
      </c>
      <c r="K1042">
        <v>5.2199172121653696E-3</v>
      </c>
      <c r="L1042" t="s">
        <v>153</v>
      </c>
      <c r="N1042" t="s">
        <v>236</v>
      </c>
      <c r="O1042" t="s">
        <v>305</v>
      </c>
      <c r="P1042">
        <v>0.10072830171857607</v>
      </c>
      <c r="Q1042" t="s">
        <v>153</v>
      </c>
    </row>
    <row r="1043" spans="9:17" x14ac:dyDescent="0.45">
      <c r="I1043" t="s">
        <v>193</v>
      </c>
      <c r="J1043" t="s">
        <v>156</v>
      </c>
      <c r="K1043">
        <v>0</v>
      </c>
      <c r="L1043" t="s">
        <v>153</v>
      </c>
      <c r="N1043" t="s">
        <v>236</v>
      </c>
      <c r="O1043" t="s">
        <v>156</v>
      </c>
      <c r="P1043">
        <v>5.7375242002928643E-2</v>
      </c>
      <c r="Q1043" t="s">
        <v>153</v>
      </c>
    </row>
    <row r="1044" spans="9:17" x14ac:dyDescent="0.45">
      <c r="I1044" t="s">
        <v>193</v>
      </c>
      <c r="J1044" t="s">
        <v>157</v>
      </c>
      <c r="K1044">
        <v>0</v>
      </c>
      <c r="L1044" t="s">
        <v>153</v>
      </c>
      <c r="N1044" t="s">
        <v>236</v>
      </c>
      <c r="O1044" t="s">
        <v>157</v>
      </c>
      <c r="P1044">
        <v>9.7876371749704861E-3</v>
      </c>
      <c r="Q1044" t="s">
        <v>153</v>
      </c>
    </row>
    <row r="1045" spans="9:17" x14ac:dyDescent="0.45">
      <c r="I1045" t="s">
        <v>193</v>
      </c>
      <c r="J1045" t="s">
        <v>158</v>
      </c>
      <c r="K1045">
        <v>0</v>
      </c>
      <c r="L1045" t="s">
        <v>153</v>
      </c>
      <c r="N1045" t="s">
        <v>236</v>
      </c>
      <c r="O1045" t="s">
        <v>158</v>
      </c>
      <c r="P1045">
        <v>9.7019037923936832E-3</v>
      </c>
      <c r="Q1045" t="s">
        <v>153</v>
      </c>
    </row>
    <row r="1046" spans="9:17" x14ac:dyDescent="0.45">
      <c r="I1046" t="s">
        <v>193</v>
      </c>
      <c r="J1046" t="s">
        <v>283</v>
      </c>
      <c r="K1046">
        <v>3.6065764803869332E-2</v>
      </c>
      <c r="L1046" t="s">
        <v>153</v>
      </c>
      <c r="N1046" t="s">
        <v>236</v>
      </c>
      <c r="O1046" t="s">
        <v>283</v>
      </c>
      <c r="P1046">
        <v>2.0736258929134516E-2</v>
      </c>
      <c r="Q1046" t="s">
        <v>153</v>
      </c>
    </row>
    <row r="1047" spans="9:17" x14ac:dyDescent="0.45">
      <c r="I1047" t="s">
        <v>193</v>
      </c>
      <c r="J1047" t="s">
        <v>284</v>
      </c>
      <c r="K1047">
        <v>8.5070105720111311E-2</v>
      </c>
      <c r="L1047" t="s">
        <v>153</v>
      </c>
      <c r="N1047" t="s">
        <v>236</v>
      </c>
      <c r="O1047" t="s">
        <v>284</v>
      </c>
      <c r="P1047">
        <v>3.9165182123682467E-2</v>
      </c>
      <c r="Q1047" t="s">
        <v>153</v>
      </c>
    </row>
    <row r="1048" spans="9:17" x14ac:dyDescent="0.45">
      <c r="I1048" t="s">
        <v>193</v>
      </c>
      <c r="J1048" t="s">
        <v>285</v>
      </c>
      <c r="K1048">
        <v>1.11050592737058E-2</v>
      </c>
      <c r="L1048" t="s">
        <v>153</v>
      </c>
      <c r="N1048" t="s">
        <v>236</v>
      </c>
      <c r="O1048" t="s">
        <v>285</v>
      </c>
      <c r="P1048">
        <v>4.9110654673225384E-3</v>
      </c>
      <c r="Q1048" t="s">
        <v>153</v>
      </c>
    </row>
    <row r="1049" spans="9:17" x14ac:dyDescent="0.45">
      <c r="I1049" t="s">
        <v>193</v>
      </c>
      <c r="J1049" t="s">
        <v>306</v>
      </c>
      <c r="K1049">
        <v>1.4558663218004193E-3</v>
      </c>
      <c r="L1049" t="s">
        <v>153</v>
      </c>
      <c r="N1049" t="s">
        <v>236</v>
      </c>
      <c r="O1049" t="s">
        <v>306</v>
      </c>
      <c r="P1049">
        <v>5.5314878575082136E-3</v>
      </c>
      <c r="Q1049" t="s">
        <v>153</v>
      </c>
    </row>
    <row r="1050" spans="9:17" x14ac:dyDescent="0.45">
      <c r="I1050" t="s">
        <v>193</v>
      </c>
      <c r="J1050" t="s">
        <v>307</v>
      </c>
      <c r="K1050">
        <v>0</v>
      </c>
      <c r="L1050" t="s">
        <v>153</v>
      </c>
      <c r="N1050" t="s">
        <v>236</v>
      </c>
      <c r="O1050" t="s">
        <v>307</v>
      </c>
      <c r="P1050">
        <v>4.0287645190208103E-2</v>
      </c>
      <c r="Q1050" t="s">
        <v>153</v>
      </c>
    </row>
    <row r="1051" spans="9:17" x14ac:dyDescent="0.45">
      <c r="I1051" t="s">
        <v>193</v>
      </c>
      <c r="J1051" t="s">
        <v>159</v>
      </c>
      <c r="K1051">
        <v>0</v>
      </c>
      <c r="L1051" t="s">
        <v>153</v>
      </c>
      <c r="N1051" t="s">
        <v>236</v>
      </c>
      <c r="O1051" t="s">
        <v>159</v>
      </c>
      <c r="P1051">
        <v>9.9513789764757735E-2</v>
      </c>
      <c r="Q1051" t="s">
        <v>153</v>
      </c>
    </row>
    <row r="1052" spans="9:17" x14ac:dyDescent="0.45">
      <c r="I1052" t="s">
        <v>193</v>
      </c>
      <c r="J1052" t="s">
        <v>160</v>
      </c>
      <c r="K1052">
        <v>4.3976678979886089E-3</v>
      </c>
      <c r="L1052" t="s">
        <v>153</v>
      </c>
      <c r="N1052" t="s">
        <v>236</v>
      </c>
      <c r="O1052" t="s">
        <v>160</v>
      </c>
      <c r="P1052">
        <v>1.4798102616064329E-2</v>
      </c>
      <c r="Q1052" t="s">
        <v>153</v>
      </c>
    </row>
    <row r="1053" spans="9:17" x14ac:dyDescent="0.45">
      <c r="I1053" t="s">
        <v>193</v>
      </c>
      <c r="J1053" t="s">
        <v>161</v>
      </c>
      <c r="K1053">
        <v>1.6629967754563577E-2</v>
      </c>
      <c r="L1053" t="s">
        <v>153</v>
      </c>
      <c r="N1053" t="s">
        <v>236</v>
      </c>
      <c r="O1053" t="s">
        <v>161</v>
      </c>
      <c r="P1053">
        <v>1.1530135243767212E-2</v>
      </c>
      <c r="Q1053" t="s">
        <v>153</v>
      </c>
    </row>
    <row r="1054" spans="9:17" x14ac:dyDescent="0.45">
      <c r="I1054" t="s">
        <v>193</v>
      </c>
      <c r="J1054" t="s">
        <v>286</v>
      </c>
      <c r="K1054">
        <v>8.4855770945120271E-2</v>
      </c>
      <c r="L1054" t="s">
        <v>153</v>
      </c>
      <c r="N1054" t="s">
        <v>236</v>
      </c>
      <c r="O1054" t="s">
        <v>286</v>
      </c>
      <c r="P1054">
        <v>2.783078568711669E-2</v>
      </c>
      <c r="Q1054" t="s">
        <v>153</v>
      </c>
    </row>
    <row r="1055" spans="9:17" x14ac:dyDescent="0.45">
      <c r="I1055" t="s">
        <v>193</v>
      </c>
      <c r="J1055" t="s">
        <v>287</v>
      </c>
      <c r="K1055">
        <v>0.1843020545315267</v>
      </c>
      <c r="L1055" t="s">
        <v>153</v>
      </c>
      <c r="N1055" t="s">
        <v>236</v>
      </c>
      <c r="O1055" t="s">
        <v>287</v>
      </c>
      <c r="P1055">
        <v>6.2006774165984976E-2</v>
      </c>
      <c r="Q1055" t="s">
        <v>153</v>
      </c>
    </row>
    <row r="1056" spans="9:17" x14ac:dyDescent="0.45">
      <c r="I1056" t="s">
        <v>193</v>
      </c>
      <c r="J1056" t="s">
        <v>288</v>
      </c>
      <c r="K1056">
        <v>2.163535421816248E-2</v>
      </c>
      <c r="L1056" t="s">
        <v>153</v>
      </c>
      <c r="N1056" t="s">
        <v>236</v>
      </c>
      <c r="O1056" t="s">
        <v>288</v>
      </c>
      <c r="P1056">
        <v>1.1010475789489126E-2</v>
      </c>
      <c r="Q1056" t="s">
        <v>153</v>
      </c>
    </row>
    <row r="1057" spans="9:17" x14ac:dyDescent="0.45">
      <c r="I1057" t="s">
        <v>193</v>
      </c>
      <c r="J1057" t="s">
        <v>308</v>
      </c>
      <c r="K1057">
        <v>1.4856189836973357E-2</v>
      </c>
      <c r="L1057" t="s">
        <v>153</v>
      </c>
      <c r="N1057" t="s">
        <v>236</v>
      </c>
      <c r="O1057" t="s">
        <v>308</v>
      </c>
      <c r="P1057">
        <v>1.1299010240368222E-2</v>
      </c>
      <c r="Q1057" t="s">
        <v>153</v>
      </c>
    </row>
    <row r="1058" spans="9:17" x14ac:dyDescent="0.45">
      <c r="I1058" t="s">
        <v>193</v>
      </c>
      <c r="J1058" t="s">
        <v>309</v>
      </c>
      <c r="K1058">
        <v>8.9477858368178643E-4</v>
      </c>
      <c r="L1058" t="s">
        <v>153</v>
      </c>
      <c r="N1058" t="s">
        <v>236</v>
      </c>
      <c r="O1058" t="s">
        <v>309</v>
      </c>
      <c r="P1058">
        <v>7.5383449199364405E-2</v>
      </c>
      <c r="Q1058" t="s">
        <v>153</v>
      </c>
    </row>
    <row r="1059" spans="9:17" x14ac:dyDescent="0.45">
      <c r="I1059" t="s">
        <v>193</v>
      </c>
      <c r="J1059" t="s">
        <v>294</v>
      </c>
      <c r="K1059">
        <v>0</v>
      </c>
      <c r="L1059" t="s">
        <v>153</v>
      </c>
      <c r="N1059" t="s">
        <v>236</v>
      </c>
      <c r="O1059" t="s">
        <v>294</v>
      </c>
      <c r="P1059">
        <v>2.3568217790688711E-2</v>
      </c>
      <c r="Q1059" t="s">
        <v>153</v>
      </c>
    </row>
    <row r="1060" spans="9:17" x14ac:dyDescent="0.45">
      <c r="I1060" t="s">
        <v>193</v>
      </c>
      <c r="J1060" t="s">
        <v>295</v>
      </c>
      <c r="K1060">
        <v>2.3636712263179335E-3</v>
      </c>
      <c r="L1060" t="s">
        <v>153</v>
      </c>
      <c r="N1060" t="s">
        <v>236</v>
      </c>
      <c r="O1060" t="s">
        <v>295</v>
      </c>
      <c r="P1060">
        <v>2.8927414723023694E-3</v>
      </c>
      <c r="Q1060" t="s">
        <v>153</v>
      </c>
    </row>
    <row r="1061" spans="9:17" x14ac:dyDescent="0.45">
      <c r="I1061" t="s">
        <v>193</v>
      </c>
      <c r="J1061" t="s">
        <v>296</v>
      </c>
      <c r="K1061">
        <v>4.5658893849153852E-3</v>
      </c>
      <c r="L1061" t="s">
        <v>153</v>
      </c>
      <c r="N1061" t="s">
        <v>236</v>
      </c>
      <c r="O1061" t="s">
        <v>296</v>
      </c>
      <c r="P1061">
        <v>2.3622464684132333E-3</v>
      </c>
      <c r="Q1061" t="s">
        <v>153</v>
      </c>
    </row>
    <row r="1062" spans="9:17" x14ac:dyDescent="0.45">
      <c r="I1062" t="s">
        <v>193</v>
      </c>
      <c r="J1062" t="s">
        <v>297</v>
      </c>
      <c r="K1062">
        <v>2.3801149895355991E-2</v>
      </c>
      <c r="L1062" t="s">
        <v>153</v>
      </c>
      <c r="N1062" t="s">
        <v>236</v>
      </c>
      <c r="O1062" t="s">
        <v>297</v>
      </c>
      <c r="P1062">
        <v>5.4308340260301093E-3</v>
      </c>
      <c r="Q1062" t="s">
        <v>153</v>
      </c>
    </row>
    <row r="1063" spans="9:17" x14ac:dyDescent="0.45">
      <c r="I1063" t="s">
        <v>193</v>
      </c>
      <c r="J1063" t="s">
        <v>298</v>
      </c>
      <c r="K1063">
        <v>5.0267353632127983E-2</v>
      </c>
      <c r="L1063" t="s">
        <v>153</v>
      </c>
      <c r="N1063" t="s">
        <v>236</v>
      </c>
      <c r="O1063" t="s">
        <v>298</v>
      </c>
      <c r="P1063">
        <v>8.569791261580622E-3</v>
      </c>
      <c r="Q1063" t="s">
        <v>153</v>
      </c>
    </row>
    <row r="1064" spans="9:17" x14ac:dyDescent="0.45">
      <c r="I1064" t="s">
        <v>193</v>
      </c>
      <c r="J1064" t="s">
        <v>299</v>
      </c>
      <c r="K1064">
        <v>4.8065756399251628E-3</v>
      </c>
      <c r="L1064" t="s">
        <v>153</v>
      </c>
      <c r="N1064" t="s">
        <v>236</v>
      </c>
      <c r="O1064" t="s">
        <v>299</v>
      </c>
      <c r="P1064">
        <v>1.6611421128200818E-3</v>
      </c>
      <c r="Q1064" t="s">
        <v>153</v>
      </c>
    </row>
    <row r="1065" spans="9:17" x14ac:dyDescent="0.45">
      <c r="I1065" t="s">
        <v>193</v>
      </c>
      <c r="J1065" t="s">
        <v>310</v>
      </c>
      <c r="K1065">
        <v>3.4234000109253748E-3</v>
      </c>
      <c r="L1065" t="s">
        <v>153</v>
      </c>
      <c r="N1065" t="s">
        <v>236</v>
      </c>
      <c r="O1065" t="s">
        <v>310</v>
      </c>
      <c r="P1065">
        <v>1.9488270751205979E-3</v>
      </c>
      <c r="Q1065" t="s">
        <v>153</v>
      </c>
    </row>
    <row r="1066" spans="9:17" x14ac:dyDescent="0.45">
      <c r="I1066" t="s">
        <v>193</v>
      </c>
      <c r="J1066" t="s">
        <v>311</v>
      </c>
      <c r="K1066">
        <v>1.7236333186766511E-3</v>
      </c>
      <c r="L1066" t="s">
        <v>153</v>
      </c>
      <c r="N1066" t="s">
        <v>236</v>
      </c>
      <c r="O1066" t="s">
        <v>311</v>
      </c>
      <c r="P1066">
        <v>1.6925578469921931E-2</v>
      </c>
      <c r="Q1066" t="s">
        <v>153</v>
      </c>
    </row>
    <row r="1067" spans="9:17" x14ac:dyDescent="0.45">
      <c r="I1067" t="s">
        <v>194</v>
      </c>
      <c r="J1067" t="s">
        <v>152</v>
      </c>
      <c r="K1067">
        <v>0</v>
      </c>
      <c r="L1067" t="s">
        <v>153</v>
      </c>
      <c r="N1067" t="s">
        <v>237</v>
      </c>
      <c r="O1067" t="s">
        <v>152</v>
      </c>
      <c r="P1067">
        <v>0.13199025700696557</v>
      </c>
      <c r="Q1067" t="s">
        <v>153</v>
      </c>
    </row>
    <row r="1068" spans="9:17" x14ac:dyDescent="0.45">
      <c r="I1068" t="s">
        <v>194</v>
      </c>
      <c r="J1068" t="s">
        <v>154</v>
      </c>
      <c r="K1068">
        <v>1.5182137587739933E-3</v>
      </c>
      <c r="L1068" t="s">
        <v>153</v>
      </c>
      <c r="N1068" t="s">
        <v>237</v>
      </c>
      <c r="O1068" t="s">
        <v>154</v>
      </c>
      <c r="P1068">
        <v>2.2425439485695392E-2</v>
      </c>
      <c r="Q1068" t="s">
        <v>153</v>
      </c>
    </row>
    <row r="1069" spans="9:17" x14ac:dyDescent="0.45">
      <c r="I1069" t="s">
        <v>194</v>
      </c>
      <c r="J1069" t="s">
        <v>155</v>
      </c>
      <c r="K1069">
        <v>1.1142245730606579E-2</v>
      </c>
      <c r="L1069" t="s">
        <v>153</v>
      </c>
      <c r="N1069" t="s">
        <v>237</v>
      </c>
      <c r="O1069" t="s">
        <v>155</v>
      </c>
      <c r="P1069">
        <v>2.0154510213409884E-2</v>
      </c>
      <c r="Q1069" t="s">
        <v>153</v>
      </c>
    </row>
    <row r="1070" spans="9:17" x14ac:dyDescent="0.45">
      <c r="I1070" t="s">
        <v>194</v>
      </c>
      <c r="J1070" t="s">
        <v>280</v>
      </c>
      <c r="K1070">
        <v>0.10853141404679204</v>
      </c>
      <c r="L1070" t="s">
        <v>153</v>
      </c>
      <c r="N1070" t="s">
        <v>237</v>
      </c>
      <c r="O1070" t="s">
        <v>280</v>
      </c>
      <c r="P1070">
        <v>5.6082892782492358E-2</v>
      </c>
      <c r="Q1070" t="s">
        <v>153</v>
      </c>
    </row>
    <row r="1071" spans="9:17" x14ac:dyDescent="0.45">
      <c r="I1071" t="s">
        <v>194</v>
      </c>
      <c r="J1071" t="s">
        <v>281</v>
      </c>
      <c r="K1071">
        <v>0.26410581795653676</v>
      </c>
      <c r="L1071" t="s">
        <v>153</v>
      </c>
      <c r="N1071" t="s">
        <v>237</v>
      </c>
      <c r="O1071" t="s">
        <v>281</v>
      </c>
      <c r="P1071">
        <v>9.56226634476674E-2</v>
      </c>
      <c r="Q1071" t="s">
        <v>153</v>
      </c>
    </row>
    <row r="1072" spans="9:17" x14ac:dyDescent="0.45">
      <c r="I1072" t="s">
        <v>194</v>
      </c>
      <c r="J1072" t="s">
        <v>282</v>
      </c>
      <c r="K1072">
        <v>3.2432240964834685E-2</v>
      </c>
      <c r="L1072" t="s">
        <v>153</v>
      </c>
      <c r="N1072" t="s">
        <v>237</v>
      </c>
      <c r="O1072" t="s">
        <v>282</v>
      </c>
      <c r="P1072">
        <v>1.3476097700325464E-2</v>
      </c>
      <c r="Q1072" t="s">
        <v>153</v>
      </c>
    </row>
    <row r="1073" spans="9:17" x14ac:dyDescent="0.45">
      <c r="I1073" t="s">
        <v>194</v>
      </c>
      <c r="J1073" t="s">
        <v>304</v>
      </c>
      <c r="K1073">
        <v>1.6616182568621352E-2</v>
      </c>
      <c r="L1073" t="s">
        <v>153</v>
      </c>
      <c r="N1073" t="s">
        <v>237</v>
      </c>
      <c r="O1073" t="s">
        <v>304</v>
      </c>
      <c r="P1073">
        <v>1.4018777403280927E-2</v>
      </c>
      <c r="Q1073" t="s">
        <v>153</v>
      </c>
    </row>
    <row r="1074" spans="9:17" x14ac:dyDescent="0.45">
      <c r="I1074" t="s">
        <v>194</v>
      </c>
      <c r="J1074" t="s">
        <v>305</v>
      </c>
      <c r="K1074">
        <v>6.3871948544327612E-3</v>
      </c>
      <c r="L1074" t="s">
        <v>153</v>
      </c>
      <c r="N1074" t="s">
        <v>237</v>
      </c>
      <c r="O1074" t="s">
        <v>305</v>
      </c>
      <c r="P1074">
        <v>9.51193017519118E-2</v>
      </c>
      <c r="Q1074" t="s">
        <v>153</v>
      </c>
    </row>
    <row r="1075" spans="9:17" x14ac:dyDescent="0.45">
      <c r="I1075" t="s">
        <v>194</v>
      </c>
      <c r="J1075" t="s">
        <v>156</v>
      </c>
      <c r="K1075">
        <v>0</v>
      </c>
      <c r="L1075" t="s">
        <v>153</v>
      </c>
      <c r="N1075" t="s">
        <v>237</v>
      </c>
      <c r="O1075" t="s">
        <v>156</v>
      </c>
      <c r="P1075">
        <v>5.0706369882495592E-2</v>
      </c>
      <c r="Q1075" t="s">
        <v>153</v>
      </c>
    </row>
    <row r="1076" spans="9:17" x14ac:dyDescent="0.45">
      <c r="I1076" t="s">
        <v>194</v>
      </c>
      <c r="J1076" t="s">
        <v>157</v>
      </c>
      <c r="K1076">
        <v>0</v>
      </c>
      <c r="L1076" t="s">
        <v>153</v>
      </c>
      <c r="N1076" t="s">
        <v>237</v>
      </c>
      <c r="O1076" t="s">
        <v>157</v>
      </c>
      <c r="P1076">
        <v>8.8546313109476634E-3</v>
      </c>
      <c r="Q1076" t="s">
        <v>153</v>
      </c>
    </row>
    <row r="1077" spans="9:17" x14ac:dyDescent="0.45">
      <c r="I1077" t="s">
        <v>194</v>
      </c>
      <c r="J1077" t="s">
        <v>158</v>
      </c>
      <c r="K1077">
        <v>0</v>
      </c>
      <c r="L1077" t="s">
        <v>153</v>
      </c>
      <c r="N1077" t="s">
        <v>237</v>
      </c>
      <c r="O1077" t="s">
        <v>158</v>
      </c>
      <c r="P1077">
        <v>8.8383185256320149E-3</v>
      </c>
      <c r="Q1077" t="s">
        <v>153</v>
      </c>
    </row>
    <row r="1078" spans="9:17" x14ac:dyDescent="0.45">
      <c r="I1078" t="s">
        <v>194</v>
      </c>
      <c r="J1078" t="s">
        <v>283</v>
      </c>
      <c r="K1078">
        <v>3.4112124708176317E-2</v>
      </c>
      <c r="L1078" t="s">
        <v>153</v>
      </c>
      <c r="N1078" t="s">
        <v>237</v>
      </c>
      <c r="O1078" t="s">
        <v>283</v>
      </c>
      <c r="P1078">
        <v>2.1548084195937268E-2</v>
      </c>
      <c r="Q1078" t="s">
        <v>153</v>
      </c>
    </row>
    <row r="1079" spans="9:17" x14ac:dyDescent="0.45">
      <c r="I1079" t="s">
        <v>194</v>
      </c>
      <c r="J1079" t="s">
        <v>284</v>
      </c>
      <c r="K1079">
        <v>8.0402435719472504E-2</v>
      </c>
      <c r="L1079" t="s">
        <v>153</v>
      </c>
      <c r="N1079" t="s">
        <v>237</v>
      </c>
      <c r="O1079" t="s">
        <v>284</v>
      </c>
      <c r="P1079">
        <v>4.8808927223695592E-2</v>
      </c>
      <c r="Q1079" t="s">
        <v>153</v>
      </c>
    </row>
    <row r="1080" spans="9:17" x14ac:dyDescent="0.45">
      <c r="I1080" t="s">
        <v>194</v>
      </c>
      <c r="J1080" t="s">
        <v>285</v>
      </c>
      <c r="K1080">
        <v>1.0303203270807084E-2</v>
      </c>
      <c r="L1080" t="s">
        <v>153</v>
      </c>
      <c r="N1080" t="s">
        <v>237</v>
      </c>
      <c r="O1080" t="s">
        <v>285</v>
      </c>
      <c r="P1080">
        <v>6.4854768850686906E-3</v>
      </c>
      <c r="Q1080" t="s">
        <v>153</v>
      </c>
    </row>
    <row r="1081" spans="9:17" x14ac:dyDescent="0.45">
      <c r="I1081" t="s">
        <v>194</v>
      </c>
      <c r="J1081" t="s">
        <v>306</v>
      </c>
      <c r="K1081">
        <v>1.4441904935597804E-3</v>
      </c>
      <c r="L1081" t="s">
        <v>153</v>
      </c>
      <c r="N1081" t="s">
        <v>237</v>
      </c>
      <c r="O1081" t="s">
        <v>306</v>
      </c>
      <c r="P1081">
        <v>7.0305340193654049E-3</v>
      </c>
      <c r="Q1081" t="s">
        <v>153</v>
      </c>
    </row>
    <row r="1082" spans="9:17" x14ac:dyDescent="0.45">
      <c r="I1082" t="s">
        <v>194</v>
      </c>
      <c r="J1082" t="s">
        <v>307</v>
      </c>
      <c r="K1082">
        <v>0</v>
      </c>
      <c r="L1082" t="s">
        <v>153</v>
      </c>
      <c r="N1082" t="s">
        <v>237</v>
      </c>
      <c r="O1082" t="s">
        <v>307</v>
      </c>
      <c r="P1082">
        <v>4.0373339913949181E-2</v>
      </c>
      <c r="Q1082" t="s">
        <v>153</v>
      </c>
    </row>
    <row r="1083" spans="9:17" x14ac:dyDescent="0.45">
      <c r="I1083" t="s">
        <v>194</v>
      </c>
      <c r="J1083" t="s">
        <v>159</v>
      </c>
      <c r="K1083">
        <v>0</v>
      </c>
      <c r="L1083" t="s">
        <v>153</v>
      </c>
      <c r="N1083" t="s">
        <v>237</v>
      </c>
      <c r="O1083" t="s">
        <v>159</v>
      </c>
      <c r="P1083">
        <v>7.3399705662964734E-2</v>
      </c>
      <c r="Q1083" t="s">
        <v>153</v>
      </c>
    </row>
    <row r="1084" spans="9:17" x14ac:dyDescent="0.45">
      <c r="I1084" t="s">
        <v>194</v>
      </c>
      <c r="J1084" t="s">
        <v>160</v>
      </c>
      <c r="K1084">
        <v>4.3679381929816585E-3</v>
      </c>
      <c r="L1084" t="s">
        <v>153</v>
      </c>
      <c r="N1084" t="s">
        <v>237</v>
      </c>
      <c r="O1084" t="s">
        <v>160</v>
      </c>
      <c r="P1084">
        <v>1.0911107632386445E-2</v>
      </c>
      <c r="Q1084" t="s">
        <v>153</v>
      </c>
    </row>
    <row r="1085" spans="9:17" x14ac:dyDescent="0.45">
      <c r="I1085" t="s">
        <v>194</v>
      </c>
      <c r="J1085" t="s">
        <v>161</v>
      </c>
      <c r="K1085">
        <v>1.5822427027891061E-2</v>
      </c>
      <c r="L1085" t="s">
        <v>153</v>
      </c>
      <c r="N1085" t="s">
        <v>237</v>
      </c>
      <c r="O1085" t="s">
        <v>161</v>
      </c>
      <c r="P1085">
        <v>9.5145576818332512E-3</v>
      </c>
      <c r="Q1085" t="s">
        <v>153</v>
      </c>
    </row>
    <row r="1086" spans="9:17" x14ac:dyDescent="0.45">
      <c r="I1086" t="s">
        <v>194</v>
      </c>
      <c r="J1086" t="s">
        <v>286</v>
      </c>
      <c r="K1086">
        <v>8.6490949784360394E-2</v>
      </c>
      <c r="L1086" t="s">
        <v>153</v>
      </c>
      <c r="N1086" t="s">
        <v>237</v>
      </c>
      <c r="O1086" t="s">
        <v>286</v>
      </c>
      <c r="P1086">
        <v>2.8981139432104317E-2</v>
      </c>
      <c r="Q1086" t="s">
        <v>153</v>
      </c>
    </row>
    <row r="1087" spans="9:17" x14ac:dyDescent="0.45">
      <c r="I1087" t="s">
        <v>194</v>
      </c>
      <c r="J1087" t="s">
        <v>287</v>
      </c>
      <c r="K1087">
        <v>0.19188000743903097</v>
      </c>
      <c r="L1087" t="s">
        <v>153</v>
      </c>
      <c r="N1087" t="s">
        <v>237</v>
      </c>
      <c r="O1087" t="s">
        <v>287</v>
      </c>
      <c r="P1087">
        <v>8.0881166731808729E-2</v>
      </c>
      <c r="Q1087" t="s">
        <v>153</v>
      </c>
    </row>
    <row r="1088" spans="9:17" x14ac:dyDescent="0.45">
      <c r="I1088" t="s">
        <v>194</v>
      </c>
      <c r="J1088" t="s">
        <v>288</v>
      </c>
      <c r="K1088">
        <v>2.3406109749220957E-2</v>
      </c>
      <c r="L1088" t="s">
        <v>153</v>
      </c>
      <c r="N1088" t="s">
        <v>237</v>
      </c>
      <c r="O1088" t="s">
        <v>288</v>
      </c>
      <c r="P1088">
        <v>1.3082258166590983E-2</v>
      </c>
      <c r="Q1088" t="s">
        <v>153</v>
      </c>
    </row>
    <row r="1089" spans="9:17" x14ac:dyDescent="0.45">
      <c r="I1089" t="s">
        <v>194</v>
      </c>
      <c r="J1089" t="s">
        <v>308</v>
      </c>
      <c r="K1089">
        <v>1.6014866211484444E-2</v>
      </c>
      <c r="L1089" t="s">
        <v>153</v>
      </c>
      <c r="N1089" t="s">
        <v>237</v>
      </c>
      <c r="O1089" t="s">
        <v>308</v>
      </c>
      <c r="P1089">
        <v>1.2597796109302051E-2</v>
      </c>
      <c r="Q1089" t="s">
        <v>153</v>
      </c>
    </row>
    <row r="1090" spans="9:17" x14ac:dyDescent="0.45">
      <c r="I1090" t="s">
        <v>194</v>
      </c>
      <c r="J1090" t="s">
        <v>309</v>
      </c>
      <c r="K1090">
        <v>2.0464561831904995E-3</v>
      </c>
      <c r="L1090" t="s">
        <v>153</v>
      </c>
      <c r="N1090" t="s">
        <v>237</v>
      </c>
      <c r="O1090" t="s">
        <v>309</v>
      </c>
      <c r="P1090">
        <v>6.5111489014976071E-2</v>
      </c>
      <c r="Q1090" t="s">
        <v>153</v>
      </c>
    </row>
    <row r="1091" spans="9:17" x14ac:dyDescent="0.45">
      <c r="I1091" t="s">
        <v>194</v>
      </c>
      <c r="J1091" t="s">
        <v>294</v>
      </c>
      <c r="K1091">
        <v>0</v>
      </c>
      <c r="L1091" t="s">
        <v>153</v>
      </c>
      <c r="N1091" t="s">
        <v>237</v>
      </c>
      <c r="O1091" t="s">
        <v>294</v>
      </c>
      <c r="P1091">
        <v>2.0562934742517965E-2</v>
      </c>
      <c r="Q1091" t="s">
        <v>153</v>
      </c>
    </row>
    <row r="1092" spans="9:17" x14ac:dyDescent="0.45">
      <c r="I1092" t="s">
        <v>194</v>
      </c>
      <c r="J1092" t="s">
        <v>295</v>
      </c>
      <c r="K1092">
        <v>2.1169982535886242E-3</v>
      </c>
      <c r="L1092" t="s">
        <v>153</v>
      </c>
      <c r="N1092" t="s">
        <v>237</v>
      </c>
      <c r="O1092" t="s">
        <v>295</v>
      </c>
      <c r="P1092">
        <v>2.2529719920558701E-3</v>
      </c>
      <c r="Q1092" t="s">
        <v>153</v>
      </c>
    </row>
    <row r="1093" spans="9:17" x14ac:dyDescent="0.45">
      <c r="I1093" t="s">
        <v>194</v>
      </c>
      <c r="J1093" t="s">
        <v>296</v>
      </c>
      <c r="K1093">
        <v>4.076901926084983E-3</v>
      </c>
      <c r="L1093" t="s">
        <v>153</v>
      </c>
      <c r="N1093" t="s">
        <v>237</v>
      </c>
      <c r="O1093" t="s">
        <v>296</v>
      </c>
      <c r="P1093">
        <v>2.0972437732099006E-3</v>
      </c>
      <c r="Q1093" t="s">
        <v>153</v>
      </c>
    </row>
    <row r="1094" spans="9:17" x14ac:dyDescent="0.45">
      <c r="I1094" t="s">
        <v>194</v>
      </c>
      <c r="J1094" t="s">
        <v>297</v>
      </c>
      <c r="K1094">
        <v>2.1782242902640411E-2</v>
      </c>
      <c r="L1094" t="s">
        <v>153</v>
      </c>
      <c r="N1094" t="s">
        <v>237</v>
      </c>
      <c r="O1094" t="s">
        <v>297</v>
      </c>
      <c r="P1094">
        <v>5.2395486289453733E-3</v>
      </c>
      <c r="Q1094" t="s">
        <v>153</v>
      </c>
    </row>
    <row r="1095" spans="9:17" x14ac:dyDescent="0.45">
      <c r="I1095" t="s">
        <v>194</v>
      </c>
      <c r="J1095" t="s">
        <v>298</v>
      </c>
      <c r="K1095">
        <v>5.2691032744472767E-2</v>
      </c>
      <c r="L1095" t="s">
        <v>153</v>
      </c>
      <c r="N1095" t="s">
        <v>237</v>
      </c>
      <c r="O1095" t="s">
        <v>298</v>
      </c>
      <c r="P1095">
        <v>1.299275283252656E-2</v>
      </c>
      <c r="Q1095" t="s">
        <v>153</v>
      </c>
    </row>
    <row r="1096" spans="9:17" x14ac:dyDescent="0.45">
      <c r="I1096" t="s">
        <v>194</v>
      </c>
      <c r="J1096" t="s">
        <v>299</v>
      </c>
      <c r="K1096">
        <v>5.6821513779937603E-3</v>
      </c>
      <c r="L1096" t="s">
        <v>153</v>
      </c>
      <c r="N1096" t="s">
        <v>237</v>
      </c>
      <c r="O1096" t="s">
        <v>299</v>
      </c>
      <c r="P1096">
        <v>2.2437223182216084E-3</v>
      </c>
      <c r="Q1096" t="s">
        <v>153</v>
      </c>
    </row>
    <row r="1097" spans="9:17" x14ac:dyDescent="0.45">
      <c r="I1097" t="s">
        <v>194</v>
      </c>
      <c r="J1097" t="s">
        <v>310</v>
      </c>
      <c r="K1097">
        <v>4.3222999727036233E-3</v>
      </c>
      <c r="L1097" t="s">
        <v>153</v>
      </c>
      <c r="N1097" t="s">
        <v>237</v>
      </c>
      <c r="O1097" t="s">
        <v>310</v>
      </c>
      <c r="P1097">
        <v>2.1007458237878168E-3</v>
      </c>
      <c r="Q1097" t="s">
        <v>153</v>
      </c>
    </row>
    <row r="1098" spans="9:17" x14ac:dyDescent="0.45">
      <c r="I1098" t="s">
        <v>194</v>
      </c>
      <c r="J1098" t="s">
        <v>311</v>
      </c>
      <c r="K1098">
        <v>2.3043541617428554E-3</v>
      </c>
      <c r="L1098" t="s">
        <v>153</v>
      </c>
      <c r="N1098" t="s">
        <v>237</v>
      </c>
      <c r="O1098" t="s">
        <v>311</v>
      </c>
      <c r="P1098">
        <v>1.6495237707929915E-2</v>
      </c>
      <c r="Q1098" t="s">
        <v>153</v>
      </c>
    </row>
    <row r="1099" spans="9:17" x14ac:dyDescent="0.45">
      <c r="I1099" t="s">
        <v>195</v>
      </c>
      <c r="J1099" t="s">
        <v>152</v>
      </c>
      <c r="K1099">
        <v>0</v>
      </c>
      <c r="L1099" t="s">
        <v>153</v>
      </c>
      <c r="N1099" t="s">
        <v>238</v>
      </c>
      <c r="O1099" t="s">
        <v>152</v>
      </c>
      <c r="P1099">
        <v>0.10014937038041773</v>
      </c>
      <c r="Q1099" t="s">
        <v>153</v>
      </c>
    </row>
    <row r="1100" spans="9:17" x14ac:dyDescent="0.45">
      <c r="I1100" t="s">
        <v>195</v>
      </c>
      <c r="J1100" t="s">
        <v>154</v>
      </c>
      <c r="K1100">
        <v>1.2924826034233872E-3</v>
      </c>
      <c r="L1100" t="s">
        <v>153</v>
      </c>
      <c r="N1100" t="s">
        <v>238</v>
      </c>
      <c r="O1100" t="s">
        <v>154</v>
      </c>
      <c r="P1100">
        <v>1.4699371220241916E-2</v>
      </c>
      <c r="Q1100" t="s">
        <v>153</v>
      </c>
    </row>
    <row r="1101" spans="9:17" x14ac:dyDescent="0.45">
      <c r="I1101" t="s">
        <v>195</v>
      </c>
      <c r="J1101" t="s">
        <v>155</v>
      </c>
      <c r="K1101">
        <v>1.2982478118559071E-2</v>
      </c>
      <c r="L1101" t="s">
        <v>153</v>
      </c>
      <c r="N1101" t="s">
        <v>238</v>
      </c>
      <c r="O1101" t="s">
        <v>155</v>
      </c>
      <c r="P1101">
        <v>1.4034375496572632E-2</v>
      </c>
      <c r="Q1101" t="s">
        <v>153</v>
      </c>
    </row>
    <row r="1102" spans="9:17" x14ac:dyDescent="0.45">
      <c r="I1102" t="s">
        <v>195</v>
      </c>
      <c r="J1102" t="s">
        <v>280</v>
      </c>
      <c r="K1102">
        <v>0.11204019963102459</v>
      </c>
      <c r="L1102" t="s">
        <v>153</v>
      </c>
      <c r="N1102" t="s">
        <v>238</v>
      </c>
      <c r="O1102" t="s">
        <v>280</v>
      </c>
      <c r="P1102">
        <v>4.0389764620562145E-2</v>
      </c>
      <c r="Q1102" t="s">
        <v>153</v>
      </c>
    </row>
    <row r="1103" spans="9:17" x14ac:dyDescent="0.45">
      <c r="I1103" t="s">
        <v>195</v>
      </c>
      <c r="J1103" t="s">
        <v>281</v>
      </c>
      <c r="K1103">
        <v>0.25560214863165148</v>
      </c>
      <c r="L1103" t="s">
        <v>153</v>
      </c>
      <c r="N1103" t="s">
        <v>238</v>
      </c>
      <c r="O1103" t="s">
        <v>281</v>
      </c>
      <c r="P1103">
        <v>0.12947830301303245</v>
      </c>
      <c r="Q1103" t="s">
        <v>153</v>
      </c>
    </row>
    <row r="1104" spans="9:17" x14ac:dyDescent="0.45">
      <c r="I1104" t="s">
        <v>195</v>
      </c>
      <c r="J1104" t="s">
        <v>282</v>
      </c>
      <c r="K1104">
        <v>3.4170827951677564E-2</v>
      </c>
      <c r="L1104" t="s">
        <v>153</v>
      </c>
      <c r="N1104" t="s">
        <v>238</v>
      </c>
      <c r="O1104" t="s">
        <v>282</v>
      </c>
      <c r="P1104">
        <v>2.7907977923110013E-2</v>
      </c>
      <c r="Q1104" t="s">
        <v>153</v>
      </c>
    </row>
    <row r="1105" spans="9:17" x14ac:dyDescent="0.45">
      <c r="I1105" t="s">
        <v>195</v>
      </c>
      <c r="J1105" t="s">
        <v>304</v>
      </c>
      <c r="K1105">
        <v>2.0842529742047779E-2</v>
      </c>
      <c r="L1105" t="s">
        <v>153</v>
      </c>
      <c r="N1105" t="s">
        <v>238</v>
      </c>
      <c r="O1105" t="s">
        <v>304</v>
      </c>
      <c r="P1105">
        <v>2.727836554722881E-2</v>
      </c>
      <c r="Q1105" t="s">
        <v>153</v>
      </c>
    </row>
    <row r="1106" spans="9:17" x14ac:dyDescent="0.45">
      <c r="I1106" t="s">
        <v>195</v>
      </c>
      <c r="J1106" t="s">
        <v>305</v>
      </c>
      <c r="K1106">
        <v>9.72010916832689E-3</v>
      </c>
      <c r="L1106" t="s">
        <v>153</v>
      </c>
      <c r="N1106" t="s">
        <v>238</v>
      </c>
      <c r="O1106" t="s">
        <v>305</v>
      </c>
      <c r="P1106">
        <v>0.11416306643136033</v>
      </c>
      <c r="Q1106" t="s">
        <v>153</v>
      </c>
    </row>
    <row r="1107" spans="9:17" x14ac:dyDescent="0.45">
      <c r="I1107" t="s">
        <v>195</v>
      </c>
      <c r="J1107" t="s">
        <v>156</v>
      </c>
      <c r="K1107">
        <v>0</v>
      </c>
      <c r="L1107" t="s">
        <v>153</v>
      </c>
      <c r="N1107" t="s">
        <v>238</v>
      </c>
      <c r="O1107" t="s">
        <v>156</v>
      </c>
      <c r="P1107">
        <v>3.6867997663304043E-2</v>
      </c>
      <c r="Q1107" t="s">
        <v>153</v>
      </c>
    </row>
    <row r="1108" spans="9:17" x14ac:dyDescent="0.45">
      <c r="I1108" t="s">
        <v>195</v>
      </c>
      <c r="J1108" t="s">
        <v>157</v>
      </c>
      <c r="K1108">
        <v>0</v>
      </c>
      <c r="L1108" t="s">
        <v>153</v>
      </c>
      <c r="N1108" t="s">
        <v>238</v>
      </c>
      <c r="O1108" t="s">
        <v>157</v>
      </c>
      <c r="P1108">
        <v>6.2422196623530034E-3</v>
      </c>
      <c r="Q1108" t="s">
        <v>153</v>
      </c>
    </row>
    <row r="1109" spans="9:17" x14ac:dyDescent="0.45">
      <c r="I1109" t="s">
        <v>195</v>
      </c>
      <c r="J1109" t="s">
        <v>158</v>
      </c>
      <c r="K1109">
        <v>0</v>
      </c>
      <c r="L1109" t="s">
        <v>153</v>
      </c>
      <c r="N1109" t="s">
        <v>238</v>
      </c>
      <c r="O1109" t="s">
        <v>158</v>
      </c>
      <c r="P1109">
        <v>6.3032345086388381E-3</v>
      </c>
      <c r="Q1109" t="s">
        <v>153</v>
      </c>
    </row>
    <row r="1110" spans="9:17" x14ac:dyDescent="0.45">
      <c r="I1110" t="s">
        <v>195</v>
      </c>
      <c r="J1110" t="s">
        <v>283</v>
      </c>
      <c r="K1110">
        <v>3.1598830328389858E-2</v>
      </c>
      <c r="L1110" t="s">
        <v>153</v>
      </c>
      <c r="N1110" t="s">
        <v>238</v>
      </c>
      <c r="O1110" t="s">
        <v>283</v>
      </c>
      <c r="P1110">
        <v>1.8442486986898685E-2</v>
      </c>
      <c r="Q1110" t="s">
        <v>153</v>
      </c>
    </row>
    <row r="1111" spans="9:17" x14ac:dyDescent="0.45">
      <c r="I1111" t="s">
        <v>195</v>
      </c>
      <c r="J1111" t="s">
        <v>284</v>
      </c>
      <c r="K1111">
        <v>7.5288516560452365E-2</v>
      </c>
      <c r="L1111" t="s">
        <v>153</v>
      </c>
      <c r="N1111" t="s">
        <v>238</v>
      </c>
      <c r="O1111" t="s">
        <v>284</v>
      </c>
      <c r="P1111">
        <v>3.6845396185599705E-2</v>
      </c>
      <c r="Q1111" t="s">
        <v>153</v>
      </c>
    </row>
    <row r="1112" spans="9:17" x14ac:dyDescent="0.45">
      <c r="I1112" t="s">
        <v>195</v>
      </c>
      <c r="J1112" t="s">
        <v>285</v>
      </c>
      <c r="K1112">
        <v>1.040441342587934E-2</v>
      </c>
      <c r="L1112" t="s">
        <v>153</v>
      </c>
      <c r="N1112" t="s">
        <v>238</v>
      </c>
      <c r="O1112" t="s">
        <v>285</v>
      </c>
      <c r="P1112">
        <v>6.97320682757785E-3</v>
      </c>
      <c r="Q1112" t="s">
        <v>153</v>
      </c>
    </row>
    <row r="1113" spans="9:17" x14ac:dyDescent="0.45">
      <c r="I1113" t="s">
        <v>195</v>
      </c>
      <c r="J1113" t="s">
        <v>306</v>
      </c>
      <c r="K1113">
        <v>2.9906560782969947E-3</v>
      </c>
      <c r="L1113" t="s">
        <v>153</v>
      </c>
      <c r="N1113" t="s">
        <v>238</v>
      </c>
      <c r="O1113" t="s">
        <v>306</v>
      </c>
      <c r="P1113">
        <v>6.9374875401232335E-3</v>
      </c>
      <c r="Q1113" t="s">
        <v>153</v>
      </c>
    </row>
    <row r="1114" spans="9:17" x14ac:dyDescent="0.45">
      <c r="I1114" t="s">
        <v>195</v>
      </c>
      <c r="J1114" t="s">
        <v>307</v>
      </c>
      <c r="K1114">
        <v>0</v>
      </c>
      <c r="L1114" t="s">
        <v>153</v>
      </c>
      <c r="N1114" t="s">
        <v>238</v>
      </c>
      <c r="O1114" t="s">
        <v>307</v>
      </c>
      <c r="P1114">
        <v>3.1375693494685865E-2</v>
      </c>
      <c r="Q1114" t="s">
        <v>153</v>
      </c>
    </row>
    <row r="1115" spans="9:17" x14ac:dyDescent="0.45">
      <c r="I1115" t="s">
        <v>195</v>
      </c>
      <c r="J1115" t="s">
        <v>159</v>
      </c>
      <c r="K1115">
        <v>0</v>
      </c>
      <c r="L1115" t="s">
        <v>153</v>
      </c>
      <c r="N1115" t="s">
        <v>238</v>
      </c>
      <c r="O1115" t="s">
        <v>159</v>
      </c>
      <c r="P1115">
        <v>6.3034684401131538E-2</v>
      </c>
      <c r="Q1115" t="s">
        <v>153</v>
      </c>
    </row>
    <row r="1116" spans="9:17" x14ac:dyDescent="0.45">
      <c r="I1116" t="s">
        <v>195</v>
      </c>
      <c r="J1116" t="s">
        <v>160</v>
      </c>
      <c r="K1116">
        <v>4.1488682269619744E-3</v>
      </c>
      <c r="L1116" t="s">
        <v>153</v>
      </c>
      <c r="N1116" t="s">
        <v>238</v>
      </c>
      <c r="O1116" t="s">
        <v>160</v>
      </c>
      <c r="P1116">
        <v>9.1190789300050895E-3</v>
      </c>
      <c r="Q1116" t="s">
        <v>153</v>
      </c>
    </row>
    <row r="1117" spans="9:17" x14ac:dyDescent="0.45">
      <c r="I1117" t="s">
        <v>195</v>
      </c>
      <c r="J1117" t="s">
        <v>161</v>
      </c>
      <c r="K1117">
        <v>1.4702386347458726E-2</v>
      </c>
      <c r="L1117" t="s">
        <v>153</v>
      </c>
      <c r="N1117" t="s">
        <v>238</v>
      </c>
      <c r="O1117" t="s">
        <v>161</v>
      </c>
      <c r="P1117">
        <v>8.4477342977699876E-3</v>
      </c>
      <c r="Q1117" t="s">
        <v>153</v>
      </c>
    </row>
    <row r="1118" spans="9:17" x14ac:dyDescent="0.45">
      <c r="I1118" t="s">
        <v>195</v>
      </c>
      <c r="J1118" t="s">
        <v>286</v>
      </c>
      <c r="K1118">
        <v>8.262370289892948E-2</v>
      </c>
      <c r="L1118" t="s">
        <v>153</v>
      </c>
      <c r="N1118" t="s">
        <v>238</v>
      </c>
      <c r="O1118" t="s">
        <v>286</v>
      </c>
      <c r="P1118">
        <v>2.5623914949137485E-2</v>
      </c>
      <c r="Q1118" t="s">
        <v>153</v>
      </c>
    </row>
    <row r="1119" spans="9:17" x14ac:dyDescent="0.45">
      <c r="I1119" t="s">
        <v>195</v>
      </c>
      <c r="J1119" t="s">
        <v>287</v>
      </c>
      <c r="K1119">
        <v>0.18413027980775723</v>
      </c>
      <c r="L1119" t="s">
        <v>153</v>
      </c>
      <c r="N1119" t="s">
        <v>238</v>
      </c>
      <c r="O1119" t="s">
        <v>287</v>
      </c>
      <c r="P1119">
        <v>8.692712597555298E-2</v>
      </c>
      <c r="Q1119" t="s">
        <v>153</v>
      </c>
    </row>
    <row r="1120" spans="9:17" x14ac:dyDescent="0.45">
      <c r="I1120" t="s">
        <v>195</v>
      </c>
      <c r="J1120" t="s">
        <v>288</v>
      </c>
      <c r="K1120">
        <v>2.4515747555040403E-2</v>
      </c>
      <c r="L1120" t="s">
        <v>153</v>
      </c>
      <c r="N1120" t="s">
        <v>238</v>
      </c>
      <c r="O1120" t="s">
        <v>288</v>
      </c>
      <c r="P1120">
        <v>1.76502676732266E-2</v>
      </c>
      <c r="Q1120" t="s">
        <v>153</v>
      </c>
    </row>
    <row r="1121" spans="9:17" x14ac:dyDescent="0.45">
      <c r="I1121" t="s">
        <v>195</v>
      </c>
      <c r="J1121" t="s">
        <v>308</v>
      </c>
      <c r="K1121">
        <v>1.7960258852402818E-2</v>
      </c>
      <c r="L1121" t="s">
        <v>153</v>
      </c>
      <c r="N1121" t="s">
        <v>238</v>
      </c>
      <c r="O1121" t="s">
        <v>308</v>
      </c>
      <c r="P1121">
        <v>1.7075218105083861E-2</v>
      </c>
      <c r="Q1121" t="s">
        <v>153</v>
      </c>
    </row>
    <row r="1122" spans="9:17" x14ac:dyDescent="0.45">
      <c r="I1122" t="s">
        <v>195</v>
      </c>
      <c r="J1122" t="s">
        <v>309</v>
      </c>
      <c r="K1122">
        <v>3.5836643437540728E-3</v>
      </c>
      <c r="L1122" t="s">
        <v>153</v>
      </c>
      <c r="N1122" t="s">
        <v>238</v>
      </c>
      <c r="O1122" t="s">
        <v>309</v>
      </c>
      <c r="P1122">
        <v>6.9476166012661517E-2</v>
      </c>
      <c r="Q1122" t="s">
        <v>153</v>
      </c>
    </row>
    <row r="1123" spans="9:17" x14ac:dyDescent="0.45">
      <c r="I1123" t="s">
        <v>195</v>
      </c>
      <c r="J1123" t="s">
        <v>294</v>
      </c>
      <c r="K1123">
        <v>0</v>
      </c>
      <c r="L1123" t="s">
        <v>153</v>
      </c>
      <c r="N1123" t="s">
        <v>238</v>
      </c>
      <c r="O1123" t="s">
        <v>294</v>
      </c>
      <c r="P1123">
        <v>1.5859731693881961E-2</v>
      </c>
      <c r="Q1123" t="s">
        <v>153</v>
      </c>
    </row>
    <row r="1124" spans="9:17" x14ac:dyDescent="0.45">
      <c r="I1124" t="s">
        <v>195</v>
      </c>
      <c r="J1124" t="s">
        <v>295</v>
      </c>
      <c r="K1124">
        <v>2.6540634037407582E-3</v>
      </c>
      <c r="L1124" t="s">
        <v>153</v>
      </c>
      <c r="N1124" t="s">
        <v>238</v>
      </c>
      <c r="O1124" t="s">
        <v>295</v>
      </c>
      <c r="P1124">
        <v>1.9236882218695872E-3</v>
      </c>
      <c r="Q1124" t="s">
        <v>153</v>
      </c>
    </row>
    <row r="1125" spans="9:17" x14ac:dyDescent="0.45">
      <c r="I1125" t="s">
        <v>195</v>
      </c>
      <c r="J1125" t="s">
        <v>296</v>
      </c>
      <c r="K1125">
        <v>5.0026180373422564E-3</v>
      </c>
      <c r="L1125" t="s">
        <v>153</v>
      </c>
      <c r="N1125" t="s">
        <v>238</v>
      </c>
      <c r="O1125" t="s">
        <v>296</v>
      </c>
      <c r="P1125">
        <v>1.7879224779306277E-3</v>
      </c>
      <c r="Q1125" t="s">
        <v>153</v>
      </c>
    </row>
    <row r="1126" spans="9:17" x14ac:dyDescent="0.45">
      <c r="I1126" t="s">
        <v>195</v>
      </c>
      <c r="J1126" t="s">
        <v>297</v>
      </c>
      <c r="K1126">
        <v>2.4591586645553578E-2</v>
      </c>
      <c r="L1126" t="s">
        <v>153</v>
      </c>
      <c r="N1126" t="s">
        <v>238</v>
      </c>
      <c r="O1126" t="s">
        <v>297</v>
      </c>
      <c r="P1126">
        <v>6.2005885400779224E-3</v>
      </c>
      <c r="Q1126" t="s">
        <v>153</v>
      </c>
    </row>
    <row r="1127" spans="9:17" x14ac:dyDescent="0.45">
      <c r="I1127" t="s">
        <v>195</v>
      </c>
      <c r="J1127" t="s">
        <v>298</v>
      </c>
      <c r="K1127">
        <v>5.4059394632404292E-2</v>
      </c>
      <c r="L1127" t="s">
        <v>153</v>
      </c>
      <c r="N1127" t="s">
        <v>238</v>
      </c>
      <c r="O1127" t="s">
        <v>298</v>
      </c>
      <c r="P1127">
        <v>2.66324725354216E-2</v>
      </c>
      <c r="Q1127" t="s">
        <v>153</v>
      </c>
    </row>
    <row r="1128" spans="9:17" x14ac:dyDescent="0.45">
      <c r="I1128" t="s">
        <v>195</v>
      </c>
      <c r="J1128" t="s">
        <v>299</v>
      </c>
      <c r="K1128">
        <v>6.6134262178669427E-3</v>
      </c>
      <c r="L1128" t="s">
        <v>153</v>
      </c>
      <c r="N1128" t="s">
        <v>238</v>
      </c>
      <c r="O1128" t="s">
        <v>299</v>
      </c>
      <c r="P1128">
        <v>5.5705881878496616E-3</v>
      </c>
      <c r="Q1128" t="s">
        <v>153</v>
      </c>
    </row>
    <row r="1129" spans="9:17" x14ac:dyDescent="0.45">
      <c r="I1129" t="s">
        <v>195</v>
      </c>
      <c r="J1129" t="s">
        <v>310</v>
      </c>
      <c r="K1129">
        <v>5.199990662380808E-3</v>
      </c>
      <c r="L1129" t="s">
        <v>153</v>
      </c>
      <c r="N1129" t="s">
        <v>238</v>
      </c>
      <c r="O1129" t="s">
        <v>310</v>
      </c>
      <c r="P1129">
        <v>5.2267184744045139E-3</v>
      </c>
      <c r="Q1129" t="s">
        <v>153</v>
      </c>
    </row>
    <row r="1130" spans="9:17" x14ac:dyDescent="0.45">
      <c r="I1130" t="s">
        <v>195</v>
      </c>
      <c r="J1130" t="s">
        <v>311</v>
      </c>
      <c r="K1130">
        <v>3.2808201286778859E-3</v>
      </c>
      <c r="L1130" t="s">
        <v>153</v>
      </c>
      <c r="N1130" t="s">
        <v>238</v>
      </c>
      <c r="O1130" t="s">
        <v>311</v>
      </c>
      <c r="P1130">
        <v>2.1355782022287679E-2</v>
      </c>
      <c r="Q1130" t="s">
        <v>153</v>
      </c>
    </row>
    <row r="1131" spans="9:17" x14ac:dyDescent="0.45">
      <c r="I1131" t="s">
        <v>196</v>
      </c>
      <c r="J1131" t="s">
        <v>152</v>
      </c>
      <c r="K1131">
        <v>0</v>
      </c>
      <c r="L1131" t="s">
        <v>153</v>
      </c>
      <c r="N1131" t="s">
        <v>239</v>
      </c>
      <c r="O1131" t="s">
        <v>152</v>
      </c>
      <c r="P1131">
        <v>0.12128533857425959</v>
      </c>
      <c r="Q1131" t="s">
        <v>153</v>
      </c>
    </row>
    <row r="1132" spans="9:17" x14ac:dyDescent="0.45">
      <c r="I1132" t="s">
        <v>196</v>
      </c>
      <c r="J1132" t="s">
        <v>154</v>
      </c>
      <c r="K1132">
        <v>1.4694727231107229E-3</v>
      </c>
      <c r="L1132" t="s">
        <v>153</v>
      </c>
      <c r="N1132" t="s">
        <v>239</v>
      </c>
      <c r="O1132" t="s">
        <v>154</v>
      </c>
      <c r="P1132">
        <v>1.8612601888679393E-2</v>
      </c>
      <c r="Q1132" t="s">
        <v>153</v>
      </c>
    </row>
    <row r="1133" spans="9:17" x14ac:dyDescent="0.45">
      <c r="I1133" t="s">
        <v>196</v>
      </c>
      <c r="J1133" t="s">
        <v>155</v>
      </c>
      <c r="K1133">
        <v>1.2481993044436134E-2</v>
      </c>
      <c r="L1133" t="s">
        <v>153</v>
      </c>
      <c r="N1133" t="s">
        <v>239</v>
      </c>
      <c r="O1133" t="s">
        <v>155</v>
      </c>
      <c r="P1133">
        <v>1.7371812956833523E-2</v>
      </c>
      <c r="Q1133" t="s">
        <v>153</v>
      </c>
    </row>
    <row r="1134" spans="9:17" x14ac:dyDescent="0.45">
      <c r="I1134" t="s">
        <v>196</v>
      </c>
      <c r="J1134" t="s">
        <v>280</v>
      </c>
      <c r="K1134">
        <v>0.10916864815646897</v>
      </c>
      <c r="L1134" t="s">
        <v>153</v>
      </c>
      <c r="N1134" t="s">
        <v>239</v>
      </c>
      <c r="O1134" t="s">
        <v>280</v>
      </c>
      <c r="P1134">
        <v>4.537571620736499E-2</v>
      </c>
      <c r="Q1134" t="s">
        <v>153</v>
      </c>
    </row>
    <row r="1135" spans="9:17" x14ac:dyDescent="0.45">
      <c r="I1135" t="s">
        <v>196</v>
      </c>
      <c r="J1135" t="s">
        <v>281</v>
      </c>
      <c r="K1135">
        <v>0.25650218405881026</v>
      </c>
      <c r="L1135" t="s">
        <v>153</v>
      </c>
      <c r="N1135" t="s">
        <v>239</v>
      </c>
      <c r="O1135" t="s">
        <v>281</v>
      </c>
      <c r="P1135">
        <v>9.7814870642565527E-2</v>
      </c>
      <c r="Q1135" t="s">
        <v>153</v>
      </c>
    </row>
    <row r="1136" spans="9:17" x14ac:dyDescent="0.45">
      <c r="I1136" t="s">
        <v>196</v>
      </c>
      <c r="J1136" t="s">
        <v>282</v>
      </c>
      <c r="K1136">
        <v>3.3840269875736163E-2</v>
      </c>
      <c r="L1136" t="s">
        <v>153</v>
      </c>
      <c r="N1136" t="s">
        <v>239</v>
      </c>
      <c r="O1136" t="s">
        <v>282</v>
      </c>
      <c r="P1136">
        <v>2.2771944512169819E-2</v>
      </c>
      <c r="Q1136" t="s">
        <v>153</v>
      </c>
    </row>
    <row r="1137" spans="9:17" x14ac:dyDescent="0.45">
      <c r="I1137" t="s">
        <v>196</v>
      </c>
      <c r="J1137" t="s">
        <v>304</v>
      </c>
      <c r="K1137">
        <v>2.0712858847236001E-2</v>
      </c>
      <c r="L1137" t="s">
        <v>153</v>
      </c>
      <c r="N1137" t="s">
        <v>239</v>
      </c>
      <c r="O1137" t="s">
        <v>304</v>
      </c>
      <c r="P1137">
        <v>2.6574494476260899E-2</v>
      </c>
      <c r="Q1137" t="s">
        <v>153</v>
      </c>
    </row>
    <row r="1138" spans="9:17" x14ac:dyDescent="0.45">
      <c r="I1138" t="s">
        <v>196</v>
      </c>
      <c r="J1138" t="s">
        <v>305</v>
      </c>
      <c r="K1138">
        <v>9.5026321577055678E-3</v>
      </c>
      <c r="L1138" t="s">
        <v>153</v>
      </c>
      <c r="N1138" t="s">
        <v>239</v>
      </c>
      <c r="O1138" t="s">
        <v>305</v>
      </c>
      <c r="P1138">
        <v>0.13352365319201684</v>
      </c>
      <c r="Q1138" t="s">
        <v>153</v>
      </c>
    </row>
    <row r="1139" spans="9:17" x14ac:dyDescent="0.45">
      <c r="I1139" t="s">
        <v>196</v>
      </c>
      <c r="J1139" t="s">
        <v>156</v>
      </c>
      <c r="K1139">
        <v>0</v>
      </c>
      <c r="L1139" t="s">
        <v>153</v>
      </c>
      <c r="N1139" t="s">
        <v>239</v>
      </c>
      <c r="O1139" t="s">
        <v>156</v>
      </c>
      <c r="P1139">
        <v>3.970221389540278E-2</v>
      </c>
      <c r="Q1139" t="s">
        <v>153</v>
      </c>
    </row>
    <row r="1140" spans="9:17" x14ac:dyDescent="0.45">
      <c r="I1140" t="s">
        <v>196</v>
      </c>
      <c r="J1140" t="s">
        <v>157</v>
      </c>
      <c r="K1140">
        <v>0</v>
      </c>
      <c r="L1140" t="s">
        <v>153</v>
      </c>
      <c r="N1140" t="s">
        <v>239</v>
      </c>
      <c r="O1140" t="s">
        <v>157</v>
      </c>
      <c r="P1140">
        <v>6.7602635270246642E-3</v>
      </c>
      <c r="Q1140" t="s">
        <v>153</v>
      </c>
    </row>
    <row r="1141" spans="9:17" x14ac:dyDescent="0.45">
      <c r="I1141" t="s">
        <v>196</v>
      </c>
      <c r="J1141" t="s">
        <v>158</v>
      </c>
      <c r="K1141">
        <v>0</v>
      </c>
      <c r="L1141" t="s">
        <v>153</v>
      </c>
      <c r="N1141" t="s">
        <v>239</v>
      </c>
      <c r="O1141" t="s">
        <v>158</v>
      </c>
      <c r="P1141">
        <v>6.8951246726908664E-3</v>
      </c>
      <c r="Q1141" t="s">
        <v>153</v>
      </c>
    </row>
    <row r="1142" spans="9:17" x14ac:dyDescent="0.45">
      <c r="I1142" t="s">
        <v>196</v>
      </c>
      <c r="J1142" t="s">
        <v>283</v>
      </c>
      <c r="K1142">
        <v>3.1336096404232974E-2</v>
      </c>
      <c r="L1142" t="s">
        <v>153</v>
      </c>
      <c r="N1142" t="s">
        <v>239</v>
      </c>
      <c r="O1142" t="s">
        <v>283</v>
      </c>
      <c r="P1142">
        <v>1.9284580390553887E-2</v>
      </c>
      <c r="Q1142" t="s">
        <v>153</v>
      </c>
    </row>
    <row r="1143" spans="9:17" x14ac:dyDescent="0.45">
      <c r="I1143" t="s">
        <v>196</v>
      </c>
      <c r="J1143" t="s">
        <v>284</v>
      </c>
      <c r="K1143">
        <v>7.3023677122395034E-2</v>
      </c>
      <c r="L1143" t="s">
        <v>153</v>
      </c>
      <c r="N1143" t="s">
        <v>239</v>
      </c>
      <c r="O1143" t="s">
        <v>284</v>
      </c>
      <c r="P1143">
        <v>4.5849055999132332E-2</v>
      </c>
      <c r="Q1143" t="s">
        <v>153</v>
      </c>
    </row>
    <row r="1144" spans="9:17" x14ac:dyDescent="0.45">
      <c r="I1144" t="s">
        <v>196</v>
      </c>
      <c r="J1144" t="s">
        <v>285</v>
      </c>
      <c r="K1144">
        <v>9.5838645198332278E-3</v>
      </c>
      <c r="L1144" t="s">
        <v>153</v>
      </c>
      <c r="N1144" t="s">
        <v>239</v>
      </c>
      <c r="O1144" t="s">
        <v>285</v>
      </c>
      <c r="P1144">
        <v>6.8844063560342655E-3</v>
      </c>
      <c r="Q1144" t="s">
        <v>153</v>
      </c>
    </row>
    <row r="1145" spans="9:17" x14ac:dyDescent="0.45">
      <c r="I1145" t="s">
        <v>196</v>
      </c>
      <c r="J1145" t="s">
        <v>306</v>
      </c>
      <c r="K1145">
        <v>2.0435872593604614E-3</v>
      </c>
      <c r="L1145" t="s">
        <v>153</v>
      </c>
      <c r="N1145" t="s">
        <v>239</v>
      </c>
      <c r="O1145" t="s">
        <v>306</v>
      </c>
      <c r="P1145">
        <v>6.9480650315020438E-3</v>
      </c>
      <c r="Q1145" t="s">
        <v>153</v>
      </c>
    </row>
    <row r="1146" spans="9:17" x14ac:dyDescent="0.45">
      <c r="I1146" t="s">
        <v>196</v>
      </c>
      <c r="J1146" t="s">
        <v>307</v>
      </c>
      <c r="K1146">
        <v>0</v>
      </c>
      <c r="L1146" t="s">
        <v>153</v>
      </c>
      <c r="N1146" t="s">
        <v>239</v>
      </c>
      <c r="O1146" t="s">
        <v>307</v>
      </c>
      <c r="P1146">
        <v>3.474267980951723E-2</v>
      </c>
      <c r="Q1146" t="s">
        <v>153</v>
      </c>
    </row>
    <row r="1147" spans="9:17" x14ac:dyDescent="0.45">
      <c r="I1147" t="s">
        <v>196</v>
      </c>
      <c r="J1147" t="s">
        <v>159</v>
      </c>
      <c r="K1147">
        <v>0</v>
      </c>
      <c r="L1147" t="s">
        <v>153</v>
      </c>
      <c r="N1147" t="s">
        <v>239</v>
      </c>
      <c r="O1147" t="s">
        <v>159</v>
      </c>
      <c r="P1147">
        <v>6.1375838401226249E-2</v>
      </c>
      <c r="Q1147" t="s">
        <v>153</v>
      </c>
    </row>
    <row r="1148" spans="9:17" x14ac:dyDescent="0.45">
      <c r="I1148" t="s">
        <v>196</v>
      </c>
      <c r="J1148" t="s">
        <v>160</v>
      </c>
      <c r="K1148">
        <v>4.4540181637627947E-3</v>
      </c>
      <c r="L1148" t="s">
        <v>153</v>
      </c>
      <c r="N1148" t="s">
        <v>239</v>
      </c>
      <c r="O1148" t="s">
        <v>160</v>
      </c>
      <c r="P1148">
        <v>9.3196247086272492E-3</v>
      </c>
      <c r="Q1148" t="s">
        <v>153</v>
      </c>
    </row>
    <row r="1149" spans="9:17" x14ac:dyDescent="0.45">
      <c r="I1149" t="s">
        <v>196</v>
      </c>
      <c r="J1149" t="s">
        <v>161</v>
      </c>
      <c r="K1149">
        <v>1.554225357979643E-2</v>
      </c>
      <c r="L1149" t="s">
        <v>153</v>
      </c>
      <c r="N1149" t="s">
        <v>239</v>
      </c>
      <c r="O1149" t="s">
        <v>161</v>
      </c>
      <c r="P1149">
        <v>8.4932375560043613E-3</v>
      </c>
      <c r="Q1149" t="s">
        <v>153</v>
      </c>
    </row>
    <row r="1150" spans="9:17" x14ac:dyDescent="0.45">
      <c r="I1150" t="s">
        <v>196</v>
      </c>
      <c r="J1150" t="s">
        <v>286</v>
      </c>
      <c r="K1150">
        <v>8.5005889607341886E-2</v>
      </c>
      <c r="L1150" t="s">
        <v>153</v>
      </c>
      <c r="N1150" t="s">
        <v>239</v>
      </c>
      <c r="O1150" t="s">
        <v>286</v>
      </c>
      <c r="P1150">
        <v>2.4210685661656132E-2</v>
      </c>
      <c r="Q1150" t="s">
        <v>153</v>
      </c>
    </row>
    <row r="1151" spans="9:17" x14ac:dyDescent="0.45">
      <c r="I1151" t="s">
        <v>196</v>
      </c>
      <c r="J1151" t="s">
        <v>287</v>
      </c>
      <c r="K1151">
        <v>0.18723798437429739</v>
      </c>
      <c r="L1151" t="s">
        <v>153</v>
      </c>
      <c r="N1151" t="s">
        <v>239</v>
      </c>
      <c r="O1151" t="s">
        <v>287</v>
      </c>
      <c r="P1151">
        <v>5.8728570320049106E-2</v>
      </c>
      <c r="Q1151" t="s">
        <v>153</v>
      </c>
    </row>
    <row r="1152" spans="9:17" x14ac:dyDescent="0.45">
      <c r="I1152" t="s">
        <v>196</v>
      </c>
      <c r="J1152" t="s">
        <v>288</v>
      </c>
      <c r="K1152">
        <v>2.4596735800740475E-2</v>
      </c>
      <c r="L1152" t="s">
        <v>153</v>
      </c>
      <c r="N1152" t="s">
        <v>239</v>
      </c>
      <c r="O1152" t="s">
        <v>288</v>
      </c>
      <c r="P1152">
        <v>1.454256028558021E-2</v>
      </c>
      <c r="Q1152" t="s">
        <v>153</v>
      </c>
    </row>
    <row r="1153" spans="9:17" x14ac:dyDescent="0.45">
      <c r="I1153" t="s">
        <v>196</v>
      </c>
      <c r="J1153" t="s">
        <v>308</v>
      </c>
      <c r="K1153">
        <v>1.797957289088958E-2</v>
      </c>
      <c r="L1153" t="s">
        <v>153</v>
      </c>
      <c r="N1153" t="s">
        <v>239</v>
      </c>
      <c r="O1153" t="s">
        <v>308</v>
      </c>
      <c r="P1153">
        <v>1.683436311983821E-2</v>
      </c>
      <c r="Q1153" t="s">
        <v>153</v>
      </c>
    </row>
    <row r="1154" spans="9:17" x14ac:dyDescent="0.45">
      <c r="I1154" t="s">
        <v>196</v>
      </c>
      <c r="J1154" t="s">
        <v>309</v>
      </c>
      <c r="K1154">
        <v>4.0414301295331537E-3</v>
      </c>
      <c r="L1154" t="s">
        <v>153</v>
      </c>
      <c r="N1154" t="s">
        <v>239</v>
      </c>
      <c r="O1154" t="s">
        <v>309</v>
      </c>
      <c r="P1154">
        <v>7.7714720852990887E-2</v>
      </c>
      <c r="Q1154" t="s">
        <v>153</v>
      </c>
    </row>
    <row r="1155" spans="9:17" x14ac:dyDescent="0.45">
      <c r="I1155" t="s">
        <v>196</v>
      </c>
      <c r="J1155" t="s">
        <v>294</v>
      </c>
      <c r="K1155">
        <v>0</v>
      </c>
      <c r="L1155" t="s">
        <v>153</v>
      </c>
      <c r="N1155" t="s">
        <v>239</v>
      </c>
      <c r="O1155" t="s">
        <v>294</v>
      </c>
      <c r="P1155">
        <v>1.9661203840890908E-2</v>
      </c>
      <c r="Q1155" t="s">
        <v>153</v>
      </c>
    </row>
    <row r="1156" spans="9:17" x14ac:dyDescent="0.45">
      <c r="I1156" t="s">
        <v>196</v>
      </c>
      <c r="J1156" t="s">
        <v>295</v>
      </c>
      <c r="K1156">
        <v>2.4749354713680164E-3</v>
      </c>
      <c r="L1156" t="s">
        <v>153</v>
      </c>
      <c r="N1156" t="s">
        <v>239</v>
      </c>
      <c r="O1156" t="s">
        <v>295</v>
      </c>
      <c r="P1156">
        <v>2.5795296726354501E-3</v>
      </c>
      <c r="Q1156" t="s">
        <v>153</v>
      </c>
    </row>
    <row r="1157" spans="9:17" x14ac:dyDescent="0.45">
      <c r="I1157" t="s">
        <v>196</v>
      </c>
      <c r="J1157" t="s">
        <v>296</v>
      </c>
      <c r="K1157">
        <v>4.3719693846173378E-3</v>
      </c>
      <c r="L1157" t="s">
        <v>153</v>
      </c>
      <c r="N1157" t="s">
        <v>239</v>
      </c>
      <c r="O1157" t="s">
        <v>296</v>
      </c>
      <c r="P1157">
        <v>2.3635200614305798E-3</v>
      </c>
      <c r="Q1157" t="s">
        <v>153</v>
      </c>
    </row>
    <row r="1158" spans="9:17" x14ac:dyDescent="0.45">
      <c r="I1158" t="s">
        <v>196</v>
      </c>
      <c r="J1158" t="s">
        <v>297</v>
      </c>
      <c r="K1158">
        <v>2.2630990442386412E-2</v>
      </c>
      <c r="L1158" t="s">
        <v>153</v>
      </c>
      <c r="N1158" t="s">
        <v>239</v>
      </c>
      <c r="O1158" t="s">
        <v>297</v>
      </c>
      <c r="P1158">
        <v>6.2673797923662802E-3</v>
      </c>
      <c r="Q1158" t="s">
        <v>153</v>
      </c>
    </row>
    <row r="1159" spans="9:17" x14ac:dyDescent="0.45">
      <c r="I1159" t="s">
        <v>196</v>
      </c>
      <c r="J1159" t="s">
        <v>298</v>
      </c>
      <c r="K1159">
        <v>5.6018737945606856E-2</v>
      </c>
      <c r="L1159" t="s">
        <v>153</v>
      </c>
      <c r="N1159" t="s">
        <v>239</v>
      </c>
      <c r="O1159" t="s">
        <v>298</v>
      </c>
      <c r="P1159">
        <v>1.146286370322286E-2</v>
      </c>
      <c r="Q1159" t="s">
        <v>153</v>
      </c>
    </row>
    <row r="1160" spans="9:17" x14ac:dyDescent="0.45">
      <c r="I1160" t="s">
        <v>196</v>
      </c>
      <c r="J1160" t="s">
        <v>299</v>
      </c>
      <c r="K1160">
        <v>7.0871085087980791E-3</v>
      </c>
      <c r="L1160" t="s">
        <v>153</v>
      </c>
      <c r="N1160" t="s">
        <v>239</v>
      </c>
      <c r="O1160" t="s">
        <v>299</v>
      </c>
      <c r="P1160">
        <v>4.543833000153397E-3</v>
      </c>
      <c r="Q1160" t="s">
        <v>153</v>
      </c>
    </row>
    <row r="1161" spans="9:17" x14ac:dyDescent="0.45">
      <c r="I1161" t="s">
        <v>196</v>
      </c>
      <c r="J1161" t="s">
        <v>310</v>
      </c>
      <c r="K1161">
        <v>5.4799043186915973E-3</v>
      </c>
      <c r="L1161" t="s">
        <v>153</v>
      </c>
      <c r="N1161" t="s">
        <v>239</v>
      </c>
      <c r="O1161" t="s">
        <v>310</v>
      </c>
      <c r="P1161">
        <v>5.6154269914258856E-3</v>
      </c>
      <c r="Q1161" t="s">
        <v>153</v>
      </c>
    </row>
    <row r="1162" spans="9:17" x14ac:dyDescent="0.45">
      <c r="I1162" t="s">
        <v>196</v>
      </c>
      <c r="J1162" t="s">
        <v>311</v>
      </c>
      <c r="K1162">
        <v>3.4131852128443129E-3</v>
      </c>
      <c r="L1162" t="s">
        <v>153</v>
      </c>
      <c r="N1162" t="s">
        <v>239</v>
      </c>
      <c r="O1162" t="s">
        <v>311</v>
      </c>
      <c r="P1162">
        <v>2.5889819899892211E-2</v>
      </c>
      <c r="Q1162" t="s">
        <v>153</v>
      </c>
    </row>
    <row r="1163" spans="9:17" x14ac:dyDescent="0.45">
      <c r="I1163" t="s">
        <v>197</v>
      </c>
      <c r="J1163" t="s">
        <v>152</v>
      </c>
      <c r="K1163">
        <v>0</v>
      </c>
      <c r="L1163" t="s">
        <v>153</v>
      </c>
      <c r="N1163" t="s">
        <v>240</v>
      </c>
      <c r="O1163" t="s">
        <v>152</v>
      </c>
      <c r="P1163">
        <v>9.2774527389948541E-2</v>
      </c>
      <c r="Q1163" t="s">
        <v>153</v>
      </c>
    </row>
    <row r="1164" spans="9:17" x14ac:dyDescent="0.45">
      <c r="I1164" t="s">
        <v>197</v>
      </c>
      <c r="J1164" t="s">
        <v>154</v>
      </c>
      <c r="K1164">
        <v>0</v>
      </c>
      <c r="L1164" t="s">
        <v>153</v>
      </c>
      <c r="N1164" t="s">
        <v>240</v>
      </c>
      <c r="O1164" t="s">
        <v>154</v>
      </c>
      <c r="P1164">
        <v>1.6678744290506288E-2</v>
      </c>
      <c r="Q1164" t="s">
        <v>153</v>
      </c>
    </row>
    <row r="1165" spans="9:17" x14ac:dyDescent="0.45">
      <c r="I1165" t="s">
        <v>197</v>
      </c>
      <c r="J1165" t="s">
        <v>155</v>
      </c>
      <c r="K1165">
        <v>1.52465668660319E-2</v>
      </c>
      <c r="L1165" t="s">
        <v>153</v>
      </c>
      <c r="N1165" t="s">
        <v>240</v>
      </c>
      <c r="O1165" t="s">
        <v>155</v>
      </c>
      <c r="P1165">
        <v>1.6753273030288743E-2</v>
      </c>
      <c r="Q1165" t="s">
        <v>153</v>
      </c>
    </row>
    <row r="1166" spans="9:17" x14ac:dyDescent="0.45">
      <c r="I1166" t="s">
        <v>197</v>
      </c>
      <c r="J1166" t="s">
        <v>280</v>
      </c>
      <c r="K1166">
        <v>0.1156989696953874</v>
      </c>
      <c r="L1166" t="s">
        <v>153</v>
      </c>
      <c r="N1166" t="s">
        <v>240</v>
      </c>
      <c r="O1166" t="s">
        <v>280</v>
      </c>
      <c r="P1166">
        <v>4.9402751027011402E-2</v>
      </c>
      <c r="Q1166" t="s">
        <v>153</v>
      </c>
    </row>
    <row r="1167" spans="9:17" x14ac:dyDescent="0.45">
      <c r="I1167" t="s">
        <v>197</v>
      </c>
      <c r="J1167" t="s">
        <v>281</v>
      </c>
      <c r="K1167">
        <v>0.26464232098786161</v>
      </c>
      <c r="L1167" t="s">
        <v>153</v>
      </c>
      <c r="N1167" t="s">
        <v>240</v>
      </c>
      <c r="O1167" t="s">
        <v>281</v>
      </c>
      <c r="P1167">
        <v>0.13654565119707612</v>
      </c>
      <c r="Q1167" t="s">
        <v>153</v>
      </c>
    </row>
    <row r="1168" spans="9:17" x14ac:dyDescent="0.45">
      <c r="I1168" t="s">
        <v>197</v>
      </c>
      <c r="J1168" t="s">
        <v>282</v>
      </c>
      <c r="K1168">
        <v>3.4131386407089744E-2</v>
      </c>
      <c r="L1168" t="s">
        <v>153</v>
      </c>
      <c r="N1168" t="s">
        <v>240</v>
      </c>
      <c r="O1168" t="s">
        <v>282</v>
      </c>
      <c r="P1168">
        <v>3.2627510528659955E-2</v>
      </c>
      <c r="Q1168" t="s">
        <v>153</v>
      </c>
    </row>
    <row r="1169" spans="9:17" x14ac:dyDescent="0.45">
      <c r="I1169" t="s">
        <v>197</v>
      </c>
      <c r="J1169" t="s">
        <v>304</v>
      </c>
      <c r="K1169">
        <v>2.2073116897463062E-2</v>
      </c>
      <c r="L1169" t="s">
        <v>153</v>
      </c>
      <c r="N1169" t="s">
        <v>240</v>
      </c>
      <c r="O1169" t="s">
        <v>304</v>
      </c>
      <c r="P1169">
        <v>3.1787830250054307E-2</v>
      </c>
      <c r="Q1169" t="s">
        <v>153</v>
      </c>
    </row>
    <row r="1170" spans="9:17" x14ac:dyDescent="0.45">
      <c r="I1170" t="s">
        <v>197</v>
      </c>
      <c r="J1170" t="s">
        <v>305</v>
      </c>
      <c r="K1170">
        <v>7.5559631602881479E-3</v>
      </c>
      <c r="L1170" t="s">
        <v>153</v>
      </c>
      <c r="N1170" t="s">
        <v>240</v>
      </c>
      <c r="O1170" t="s">
        <v>305</v>
      </c>
      <c r="P1170">
        <v>9.7388696549148959E-2</v>
      </c>
      <c r="Q1170" t="s">
        <v>153</v>
      </c>
    </row>
    <row r="1171" spans="9:17" x14ac:dyDescent="0.45">
      <c r="I1171" t="s">
        <v>197</v>
      </c>
      <c r="J1171" t="s">
        <v>156</v>
      </c>
      <c r="K1171">
        <v>0</v>
      </c>
      <c r="L1171" t="s">
        <v>153</v>
      </c>
      <c r="N1171" t="s">
        <v>240</v>
      </c>
      <c r="O1171" t="s">
        <v>156</v>
      </c>
      <c r="P1171">
        <v>4.3108790274173261E-2</v>
      </c>
      <c r="Q1171" t="s">
        <v>153</v>
      </c>
    </row>
    <row r="1172" spans="9:17" x14ac:dyDescent="0.45">
      <c r="I1172" t="s">
        <v>197</v>
      </c>
      <c r="J1172" t="s">
        <v>157</v>
      </c>
      <c r="K1172">
        <v>0</v>
      </c>
      <c r="L1172" t="s">
        <v>153</v>
      </c>
      <c r="N1172" t="s">
        <v>240</v>
      </c>
      <c r="O1172" t="s">
        <v>157</v>
      </c>
      <c r="P1172">
        <v>7.9111828667795918E-3</v>
      </c>
      <c r="Q1172" t="s">
        <v>153</v>
      </c>
    </row>
    <row r="1173" spans="9:17" x14ac:dyDescent="0.45">
      <c r="I1173" t="s">
        <v>197</v>
      </c>
      <c r="J1173" t="s">
        <v>158</v>
      </c>
      <c r="K1173">
        <v>0</v>
      </c>
      <c r="L1173" t="s">
        <v>153</v>
      </c>
      <c r="N1173" t="s">
        <v>240</v>
      </c>
      <c r="O1173" t="s">
        <v>158</v>
      </c>
      <c r="P1173">
        <v>8.2928641482127186E-3</v>
      </c>
      <c r="Q1173" t="s">
        <v>153</v>
      </c>
    </row>
    <row r="1174" spans="9:17" x14ac:dyDescent="0.45">
      <c r="I1174" t="s">
        <v>197</v>
      </c>
      <c r="J1174" t="s">
        <v>283</v>
      </c>
      <c r="K1174">
        <v>3.4686407573035191E-2</v>
      </c>
      <c r="L1174" t="s">
        <v>153</v>
      </c>
      <c r="N1174" t="s">
        <v>240</v>
      </c>
      <c r="O1174" t="s">
        <v>283</v>
      </c>
      <c r="P1174">
        <v>2.4439685891231411E-2</v>
      </c>
      <c r="Q1174" t="s">
        <v>153</v>
      </c>
    </row>
    <row r="1175" spans="9:17" x14ac:dyDescent="0.45">
      <c r="I1175" t="s">
        <v>197</v>
      </c>
      <c r="J1175" t="s">
        <v>284</v>
      </c>
      <c r="K1175">
        <v>8.7070166813989283E-2</v>
      </c>
      <c r="L1175" t="s">
        <v>153</v>
      </c>
      <c r="N1175" t="s">
        <v>240</v>
      </c>
      <c r="O1175" t="s">
        <v>284</v>
      </c>
      <c r="P1175">
        <v>5.4319399213552888E-2</v>
      </c>
      <c r="Q1175" t="s">
        <v>153</v>
      </c>
    </row>
    <row r="1176" spans="9:17" x14ac:dyDescent="0.45">
      <c r="I1176" t="s">
        <v>197</v>
      </c>
      <c r="J1176" t="s">
        <v>285</v>
      </c>
      <c r="K1176">
        <v>1.0947923761169478E-2</v>
      </c>
      <c r="L1176" t="s">
        <v>153</v>
      </c>
      <c r="N1176" t="s">
        <v>240</v>
      </c>
      <c r="O1176" t="s">
        <v>285</v>
      </c>
      <c r="P1176">
        <v>7.6724736515731071E-3</v>
      </c>
      <c r="Q1176" t="s">
        <v>153</v>
      </c>
    </row>
    <row r="1177" spans="9:17" x14ac:dyDescent="0.45">
      <c r="I1177" t="s">
        <v>197</v>
      </c>
      <c r="J1177" t="s">
        <v>306</v>
      </c>
      <c r="K1177">
        <v>5.4750082419807288E-3</v>
      </c>
      <c r="L1177" t="s">
        <v>153</v>
      </c>
      <c r="N1177" t="s">
        <v>240</v>
      </c>
      <c r="O1177" t="s">
        <v>306</v>
      </c>
      <c r="P1177">
        <v>7.0276101385196611E-3</v>
      </c>
      <c r="Q1177" t="s">
        <v>153</v>
      </c>
    </row>
    <row r="1178" spans="9:17" x14ac:dyDescent="0.45">
      <c r="I1178" t="s">
        <v>197</v>
      </c>
      <c r="J1178" t="s">
        <v>307</v>
      </c>
      <c r="K1178">
        <v>0</v>
      </c>
      <c r="L1178" t="s">
        <v>153</v>
      </c>
      <c r="N1178" t="s">
        <v>240</v>
      </c>
      <c r="O1178" t="s">
        <v>307</v>
      </c>
      <c r="P1178">
        <v>3.2032480930278953E-2</v>
      </c>
      <c r="Q1178" t="s">
        <v>153</v>
      </c>
    </row>
    <row r="1179" spans="9:17" x14ac:dyDescent="0.45">
      <c r="I1179" t="s">
        <v>197</v>
      </c>
      <c r="J1179" t="s">
        <v>159</v>
      </c>
      <c r="K1179">
        <v>0</v>
      </c>
      <c r="L1179" t="s">
        <v>153</v>
      </c>
      <c r="N1179" t="s">
        <v>240</v>
      </c>
      <c r="O1179" t="s">
        <v>159</v>
      </c>
      <c r="P1179">
        <v>4.4558433784021967E-2</v>
      </c>
      <c r="Q1179" t="s">
        <v>153</v>
      </c>
    </row>
    <row r="1180" spans="9:17" x14ac:dyDescent="0.45">
      <c r="I1180" t="s">
        <v>197</v>
      </c>
      <c r="J1180" t="s">
        <v>160</v>
      </c>
      <c r="K1180">
        <v>2.6649396620976591E-3</v>
      </c>
      <c r="L1180" t="s">
        <v>153</v>
      </c>
      <c r="N1180" t="s">
        <v>240</v>
      </c>
      <c r="O1180" t="s">
        <v>160</v>
      </c>
      <c r="P1180">
        <v>7.926485007285905E-3</v>
      </c>
      <c r="Q1180" t="s">
        <v>153</v>
      </c>
    </row>
    <row r="1181" spans="9:17" x14ac:dyDescent="0.45">
      <c r="I1181" t="s">
        <v>197</v>
      </c>
      <c r="J1181" t="s">
        <v>161</v>
      </c>
      <c r="K1181">
        <v>1.5280763662226794E-2</v>
      </c>
      <c r="L1181" t="s">
        <v>153</v>
      </c>
      <c r="N1181" t="s">
        <v>240</v>
      </c>
      <c r="O1181" t="s">
        <v>161</v>
      </c>
      <c r="P1181">
        <v>8.1447080502186336E-3</v>
      </c>
      <c r="Q1181" t="s">
        <v>153</v>
      </c>
    </row>
    <row r="1182" spans="9:17" x14ac:dyDescent="0.45">
      <c r="I1182" t="s">
        <v>197</v>
      </c>
      <c r="J1182" t="s">
        <v>286</v>
      </c>
      <c r="K1182">
        <v>8.1138286963704523E-2</v>
      </c>
      <c r="L1182" t="s">
        <v>153</v>
      </c>
      <c r="N1182" t="s">
        <v>240</v>
      </c>
      <c r="O1182" t="s">
        <v>286</v>
      </c>
      <c r="P1182">
        <v>2.6469116074967842E-2</v>
      </c>
      <c r="Q1182" t="s">
        <v>153</v>
      </c>
    </row>
    <row r="1183" spans="9:17" x14ac:dyDescent="0.45">
      <c r="I1183" t="s">
        <v>197</v>
      </c>
      <c r="J1183" t="s">
        <v>287</v>
      </c>
      <c r="K1183">
        <v>0.18560136678837036</v>
      </c>
      <c r="L1183" t="s">
        <v>153</v>
      </c>
      <c r="N1183" t="s">
        <v>240</v>
      </c>
      <c r="O1183" t="s">
        <v>287</v>
      </c>
      <c r="P1183">
        <v>8.3616452364537269E-2</v>
      </c>
      <c r="Q1183" t="s">
        <v>153</v>
      </c>
    </row>
    <row r="1184" spans="9:17" x14ac:dyDescent="0.45">
      <c r="I1184" t="s">
        <v>197</v>
      </c>
      <c r="J1184" t="s">
        <v>288</v>
      </c>
      <c r="K1184">
        <v>2.3104417379073625E-2</v>
      </c>
      <c r="L1184" t="s">
        <v>153</v>
      </c>
      <c r="N1184" t="s">
        <v>240</v>
      </c>
      <c r="O1184" t="s">
        <v>288</v>
      </c>
      <c r="P1184">
        <v>2.0315292561042184E-2</v>
      </c>
      <c r="Q1184" t="s">
        <v>153</v>
      </c>
    </row>
    <row r="1185" spans="9:17" x14ac:dyDescent="0.45">
      <c r="I1185" t="s">
        <v>197</v>
      </c>
      <c r="J1185" t="s">
        <v>308</v>
      </c>
      <c r="K1185">
        <v>1.4703981880806421E-2</v>
      </c>
      <c r="L1185" t="s">
        <v>153</v>
      </c>
      <c r="N1185" t="s">
        <v>240</v>
      </c>
      <c r="O1185" t="s">
        <v>308</v>
      </c>
      <c r="P1185">
        <v>1.9174872782492174E-2</v>
      </c>
      <c r="Q1185" t="s">
        <v>153</v>
      </c>
    </row>
    <row r="1186" spans="9:17" x14ac:dyDescent="0.45">
      <c r="I1186" t="s">
        <v>197</v>
      </c>
      <c r="J1186" t="s">
        <v>309</v>
      </c>
      <c r="K1186">
        <v>7.485983515609937E-4</v>
      </c>
      <c r="L1186" t="s">
        <v>153</v>
      </c>
      <c r="N1186" t="s">
        <v>240</v>
      </c>
      <c r="O1186" t="s">
        <v>309</v>
      </c>
      <c r="P1186">
        <v>5.0648490919944077E-2</v>
      </c>
      <c r="Q1186" t="s">
        <v>153</v>
      </c>
    </row>
    <row r="1187" spans="9:17" x14ac:dyDescent="0.45">
      <c r="I1187" t="s">
        <v>197</v>
      </c>
      <c r="J1187" t="s">
        <v>294</v>
      </c>
      <c r="K1187">
        <v>0</v>
      </c>
      <c r="L1187" t="s">
        <v>153</v>
      </c>
      <c r="N1187" t="s">
        <v>240</v>
      </c>
      <c r="O1187" t="s">
        <v>294</v>
      </c>
      <c r="P1187">
        <v>1.3097679690428772E-2</v>
      </c>
      <c r="Q1187" t="s">
        <v>153</v>
      </c>
    </row>
    <row r="1188" spans="9:17" x14ac:dyDescent="0.45">
      <c r="I1188" t="s">
        <v>197</v>
      </c>
      <c r="J1188" t="s">
        <v>295</v>
      </c>
      <c r="K1188">
        <v>1.679388828734566E-3</v>
      </c>
      <c r="L1188" t="s">
        <v>153</v>
      </c>
      <c r="N1188" t="s">
        <v>240</v>
      </c>
      <c r="O1188" t="s">
        <v>295</v>
      </c>
      <c r="P1188">
        <v>2.180013753332411E-3</v>
      </c>
      <c r="Q1188" t="s">
        <v>153</v>
      </c>
    </row>
    <row r="1189" spans="9:17" x14ac:dyDescent="0.45">
      <c r="I1189" t="s">
        <v>197</v>
      </c>
      <c r="J1189" t="s">
        <v>296</v>
      </c>
      <c r="K1189">
        <v>3.7926988320508221E-3</v>
      </c>
      <c r="L1189" t="s">
        <v>153</v>
      </c>
      <c r="N1189" t="s">
        <v>240</v>
      </c>
      <c r="O1189" t="s">
        <v>296</v>
      </c>
      <c r="P1189">
        <v>2.2315203018528694E-3</v>
      </c>
      <c r="Q1189" t="s">
        <v>153</v>
      </c>
    </row>
    <row r="1190" spans="9:17" x14ac:dyDescent="0.45">
      <c r="I1190" t="s">
        <v>197</v>
      </c>
      <c r="J1190" t="s">
        <v>297</v>
      </c>
      <c r="K1190">
        <v>1.9477682797980969E-2</v>
      </c>
      <c r="L1190" t="s">
        <v>153</v>
      </c>
      <c r="N1190" t="s">
        <v>240</v>
      </c>
      <c r="O1190" t="s">
        <v>297</v>
      </c>
      <c r="P1190">
        <v>6.5063490213168084E-3</v>
      </c>
      <c r="Q1190" t="s">
        <v>153</v>
      </c>
    </row>
    <row r="1191" spans="9:17" x14ac:dyDescent="0.45">
      <c r="I1191" t="s">
        <v>197</v>
      </c>
      <c r="J1191" t="s">
        <v>298</v>
      </c>
      <c r="K1191">
        <v>4.3177225912353331E-2</v>
      </c>
      <c r="L1191" t="s">
        <v>153</v>
      </c>
      <c r="N1191" t="s">
        <v>240</v>
      </c>
      <c r="O1191" t="s">
        <v>298</v>
      </c>
      <c r="P1191">
        <v>2.524509319617943E-2</v>
      </c>
      <c r="Q1191" t="s">
        <v>153</v>
      </c>
    </row>
    <row r="1192" spans="9:17" x14ac:dyDescent="0.45">
      <c r="I1192" t="s">
        <v>197</v>
      </c>
      <c r="J1192" t="s">
        <v>299</v>
      </c>
      <c r="K1192">
        <v>5.0177160001871404E-3</v>
      </c>
      <c r="L1192" t="s">
        <v>153</v>
      </c>
      <c r="N1192" t="s">
        <v>240</v>
      </c>
      <c r="O1192" t="s">
        <v>299</v>
      </c>
      <c r="P1192">
        <v>7.2737503783539877E-3</v>
      </c>
      <c r="Q1192" t="s">
        <v>153</v>
      </c>
    </row>
    <row r="1193" spans="9:17" x14ac:dyDescent="0.45">
      <c r="I1193" t="s">
        <v>197</v>
      </c>
      <c r="J1193" t="s">
        <v>310</v>
      </c>
      <c r="K1193">
        <v>3.8288013157711173E-3</v>
      </c>
      <c r="L1193" t="s">
        <v>153</v>
      </c>
      <c r="N1193" t="s">
        <v>240</v>
      </c>
      <c r="O1193" t="s">
        <v>310</v>
      </c>
      <c r="P1193">
        <v>6.7901397883280588E-3</v>
      </c>
      <c r="Q1193" t="s">
        <v>153</v>
      </c>
    </row>
    <row r="1194" spans="9:17" x14ac:dyDescent="0.45">
      <c r="I1194" t="s">
        <v>197</v>
      </c>
      <c r="J1194" t="s">
        <v>311</v>
      </c>
      <c r="K1194">
        <v>2.2563012207871074E-3</v>
      </c>
      <c r="L1194" t="s">
        <v>153</v>
      </c>
      <c r="N1194" t="s">
        <v>240</v>
      </c>
      <c r="O1194" t="s">
        <v>311</v>
      </c>
      <c r="P1194">
        <v>1.7058130948683366E-2</v>
      </c>
      <c r="Q1194" t="s">
        <v>153</v>
      </c>
    </row>
    <row r="1195" spans="9:17" x14ac:dyDescent="0.45">
      <c r="I1195" t="s">
        <v>198</v>
      </c>
      <c r="J1195" t="s">
        <v>152</v>
      </c>
      <c r="K1195">
        <v>0</v>
      </c>
      <c r="L1195" t="s">
        <v>153</v>
      </c>
      <c r="N1195" t="s">
        <v>241</v>
      </c>
      <c r="O1195" t="s">
        <v>152</v>
      </c>
      <c r="P1195">
        <v>7.9882163133565526E-2</v>
      </c>
      <c r="Q1195" t="s">
        <v>153</v>
      </c>
    </row>
    <row r="1196" spans="9:17" x14ac:dyDescent="0.45">
      <c r="I1196" t="s">
        <v>198</v>
      </c>
      <c r="J1196" t="s">
        <v>154</v>
      </c>
      <c r="K1196">
        <v>9.7829594070460442E-5</v>
      </c>
      <c r="L1196" t="s">
        <v>153</v>
      </c>
      <c r="N1196" t="s">
        <v>241</v>
      </c>
      <c r="O1196" t="s">
        <v>154</v>
      </c>
      <c r="P1196">
        <v>1.3501034610500772E-2</v>
      </c>
      <c r="Q1196" t="s">
        <v>153</v>
      </c>
    </row>
    <row r="1197" spans="9:17" x14ac:dyDescent="0.45">
      <c r="I1197" t="s">
        <v>198</v>
      </c>
      <c r="J1197" t="s">
        <v>155</v>
      </c>
      <c r="K1197">
        <v>1.4477702692937387E-2</v>
      </c>
      <c r="L1197" t="s">
        <v>153</v>
      </c>
      <c r="N1197" t="s">
        <v>241</v>
      </c>
      <c r="O1197" t="s">
        <v>155</v>
      </c>
      <c r="P1197">
        <v>1.3995720472477829E-2</v>
      </c>
      <c r="Q1197" t="s">
        <v>153</v>
      </c>
    </row>
    <row r="1198" spans="9:17" x14ac:dyDescent="0.45">
      <c r="I1198" t="s">
        <v>198</v>
      </c>
      <c r="J1198" t="s">
        <v>280</v>
      </c>
      <c r="K1198">
        <v>0.11534858833601157</v>
      </c>
      <c r="L1198" t="s">
        <v>153</v>
      </c>
      <c r="N1198" t="s">
        <v>241</v>
      </c>
      <c r="O1198" t="s">
        <v>280</v>
      </c>
      <c r="P1198">
        <v>4.4132322295616193E-2</v>
      </c>
      <c r="Q1198" t="s">
        <v>153</v>
      </c>
    </row>
    <row r="1199" spans="9:17" x14ac:dyDescent="0.45">
      <c r="I1199" t="s">
        <v>198</v>
      </c>
      <c r="J1199" t="s">
        <v>281</v>
      </c>
      <c r="K1199">
        <v>0.26459793164561585</v>
      </c>
      <c r="L1199" t="s">
        <v>153</v>
      </c>
      <c r="N1199" t="s">
        <v>241</v>
      </c>
      <c r="O1199" t="s">
        <v>281</v>
      </c>
      <c r="P1199">
        <v>0.15705405672775402</v>
      </c>
      <c r="Q1199" t="s">
        <v>153</v>
      </c>
    </row>
    <row r="1200" spans="9:17" x14ac:dyDescent="0.45">
      <c r="I1200" t="s">
        <v>198</v>
      </c>
      <c r="J1200" t="s">
        <v>282</v>
      </c>
      <c r="K1200">
        <v>3.4667682642726953E-2</v>
      </c>
      <c r="L1200" t="s">
        <v>153</v>
      </c>
      <c r="N1200" t="s">
        <v>241</v>
      </c>
      <c r="O1200" t="s">
        <v>282</v>
      </c>
      <c r="P1200">
        <v>3.6460255382808324E-2</v>
      </c>
      <c r="Q1200" t="s">
        <v>153</v>
      </c>
    </row>
    <row r="1201" spans="9:17" x14ac:dyDescent="0.45">
      <c r="I1201" t="s">
        <v>198</v>
      </c>
      <c r="J1201" t="s">
        <v>304</v>
      </c>
      <c r="K1201">
        <v>2.2345411636602853E-2</v>
      </c>
      <c r="L1201" t="s">
        <v>153</v>
      </c>
      <c r="N1201" t="s">
        <v>241</v>
      </c>
      <c r="O1201" t="s">
        <v>304</v>
      </c>
      <c r="P1201">
        <v>3.3136690328175109E-2</v>
      </c>
      <c r="Q1201" t="s">
        <v>153</v>
      </c>
    </row>
    <row r="1202" spans="9:17" x14ac:dyDescent="0.45">
      <c r="I1202" t="s">
        <v>198</v>
      </c>
      <c r="J1202" t="s">
        <v>305</v>
      </c>
      <c r="K1202">
        <v>8.0618166993953518E-3</v>
      </c>
      <c r="L1202" t="s">
        <v>153</v>
      </c>
      <c r="N1202" t="s">
        <v>241</v>
      </c>
      <c r="O1202" t="s">
        <v>305</v>
      </c>
      <c r="P1202">
        <v>0.10356149109739592</v>
      </c>
      <c r="Q1202" t="s">
        <v>153</v>
      </c>
    </row>
    <row r="1203" spans="9:17" x14ac:dyDescent="0.45">
      <c r="I1203" t="s">
        <v>198</v>
      </c>
      <c r="J1203" t="s">
        <v>156</v>
      </c>
      <c r="K1203">
        <v>0</v>
      </c>
      <c r="L1203" t="s">
        <v>153</v>
      </c>
      <c r="N1203" t="s">
        <v>241</v>
      </c>
      <c r="O1203" t="s">
        <v>156</v>
      </c>
      <c r="P1203">
        <v>3.7467820533278337E-2</v>
      </c>
      <c r="Q1203" t="s">
        <v>153</v>
      </c>
    </row>
    <row r="1204" spans="9:17" x14ac:dyDescent="0.45">
      <c r="I1204" t="s">
        <v>198</v>
      </c>
      <c r="J1204" t="s">
        <v>157</v>
      </c>
      <c r="K1204">
        <v>0</v>
      </c>
      <c r="L1204" t="s">
        <v>153</v>
      </c>
      <c r="N1204" t="s">
        <v>241</v>
      </c>
      <c r="O1204" t="s">
        <v>157</v>
      </c>
      <c r="P1204">
        <v>6.9782988713618073E-3</v>
      </c>
      <c r="Q1204" t="s">
        <v>153</v>
      </c>
    </row>
    <row r="1205" spans="9:17" x14ac:dyDescent="0.45">
      <c r="I1205" t="s">
        <v>198</v>
      </c>
      <c r="J1205" t="s">
        <v>158</v>
      </c>
      <c r="K1205">
        <v>0</v>
      </c>
      <c r="L1205" t="s">
        <v>153</v>
      </c>
      <c r="N1205" t="s">
        <v>241</v>
      </c>
      <c r="O1205" t="s">
        <v>158</v>
      </c>
      <c r="P1205">
        <v>7.2005141346898408E-3</v>
      </c>
      <c r="Q1205" t="s">
        <v>153</v>
      </c>
    </row>
    <row r="1206" spans="9:17" x14ac:dyDescent="0.45">
      <c r="I1206" t="s">
        <v>198</v>
      </c>
      <c r="J1206" t="s">
        <v>283</v>
      </c>
      <c r="K1206">
        <v>3.4545512964928783E-2</v>
      </c>
      <c r="L1206" t="s">
        <v>153</v>
      </c>
      <c r="N1206" t="s">
        <v>241</v>
      </c>
      <c r="O1206" t="s">
        <v>283</v>
      </c>
      <c r="P1206">
        <v>2.1576755426826535E-2</v>
      </c>
      <c r="Q1206" t="s">
        <v>153</v>
      </c>
    </row>
    <row r="1207" spans="9:17" x14ac:dyDescent="0.45">
      <c r="I1207" t="s">
        <v>198</v>
      </c>
      <c r="J1207" t="s">
        <v>284</v>
      </c>
      <c r="K1207">
        <v>8.5819958696324417E-2</v>
      </c>
      <c r="L1207" t="s">
        <v>153</v>
      </c>
      <c r="N1207" t="s">
        <v>241</v>
      </c>
      <c r="O1207" t="s">
        <v>284</v>
      </c>
      <c r="P1207">
        <v>4.5385156221301085E-2</v>
      </c>
      <c r="Q1207" t="s">
        <v>153</v>
      </c>
    </row>
    <row r="1208" spans="9:17" x14ac:dyDescent="0.45">
      <c r="I1208" t="s">
        <v>198</v>
      </c>
      <c r="J1208" t="s">
        <v>285</v>
      </c>
      <c r="K1208">
        <v>1.099060126290872E-2</v>
      </c>
      <c r="L1208" t="s">
        <v>153</v>
      </c>
      <c r="N1208" t="s">
        <v>241</v>
      </c>
      <c r="O1208" t="s">
        <v>285</v>
      </c>
      <c r="P1208">
        <v>6.9124154842061586E-3</v>
      </c>
      <c r="Q1208" t="s">
        <v>153</v>
      </c>
    </row>
    <row r="1209" spans="9:17" x14ac:dyDescent="0.45">
      <c r="I1209" t="s">
        <v>198</v>
      </c>
      <c r="J1209" t="s">
        <v>306</v>
      </c>
      <c r="K1209">
        <v>5.0896135513498614E-3</v>
      </c>
      <c r="L1209" t="s">
        <v>153</v>
      </c>
      <c r="N1209" t="s">
        <v>241</v>
      </c>
      <c r="O1209" t="s">
        <v>306</v>
      </c>
      <c r="P1209">
        <v>6.5428676500900078E-3</v>
      </c>
      <c r="Q1209" t="s">
        <v>153</v>
      </c>
    </row>
    <row r="1210" spans="9:17" x14ac:dyDescent="0.45">
      <c r="I1210" t="s">
        <v>198</v>
      </c>
      <c r="J1210" t="s">
        <v>307</v>
      </c>
      <c r="K1210">
        <v>0</v>
      </c>
      <c r="L1210" t="s">
        <v>153</v>
      </c>
      <c r="N1210" t="s">
        <v>241</v>
      </c>
      <c r="O1210" t="s">
        <v>307</v>
      </c>
      <c r="P1210">
        <v>2.8619401353694323E-2</v>
      </c>
      <c r="Q1210" t="s">
        <v>153</v>
      </c>
    </row>
    <row r="1211" spans="9:17" x14ac:dyDescent="0.45">
      <c r="I1211" t="s">
        <v>198</v>
      </c>
      <c r="J1211" t="s">
        <v>159</v>
      </c>
      <c r="K1211">
        <v>0</v>
      </c>
      <c r="L1211" t="s">
        <v>153</v>
      </c>
      <c r="N1211" t="s">
        <v>241</v>
      </c>
      <c r="O1211" t="s">
        <v>159</v>
      </c>
      <c r="P1211">
        <v>4.0815794176269057E-2</v>
      </c>
      <c r="Q1211" t="s">
        <v>153</v>
      </c>
    </row>
    <row r="1212" spans="9:17" x14ac:dyDescent="0.45">
      <c r="I1212" t="s">
        <v>198</v>
      </c>
      <c r="J1212" t="s">
        <v>160</v>
      </c>
      <c r="K1212">
        <v>2.8717471588579164E-3</v>
      </c>
      <c r="L1212" t="s">
        <v>153</v>
      </c>
      <c r="N1212" t="s">
        <v>241</v>
      </c>
      <c r="O1212" t="s">
        <v>160</v>
      </c>
      <c r="P1212">
        <v>6.0772649044398839E-3</v>
      </c>
      <c r="Q1212" t="s">
        <v>153</v>
      </c>
    </row>
    <row r="1213" spans="9:17" x14ac:dyDescent="0.45">
      <c r="I1213" t="s">
        <v>198</v>
      </c>
      <c r="J1213" t="s">
        <v>161</v>
      </c>
      <c r="K1213">
        <v>1.5467103448017565E-2</v>
      </c>
      <c r="L1213" t="s">
        <v>153</v>
      </c>
      <c r="N1213" t="s">
        <v>241</v>
      </c>
      <c r="O1213" t="s">
        <v>161</v>
      </c>
      <c r="P1213">
        <v>5.8723767766332043E-3</v>
      </c>
      <c r="Q1213" t="s">
        <v>153</v>
      </c>
    </row>
    <row r="1214" spans="9:17" x14ac:dyDescent="0.45">
      <c r="I1214" t="s">
        <v>198</v>
      </c>
      <c r="J1214" t="s">
        <v>286</v>
      </c>
      <c r="K1214">
        <v>8.1120754769346104E-2</v>
      </c>
      <c r="L1214" t="s">
        <v>153</v>
      </c>
      <c r="N1214" t="s">
        <v>241</v>
      </c>
      <c r="O1214" t="s">
        <v>286</v>
      </c>
      <c r="P1214">
        <v>2.1190625657030563E-2</v>
      </c>
      <c r="Q1214" t="s">
        <v>153</v>
      </c>
    </row>
    <row r="1215" spans="9:17" x14ac:dyDescent="0.45">
      <c r="I1215" t="s">
        <v>198</v>
      </c>
      <c r="J1215" t="s">
        <v>287</v>
      </c>
      <c r="K1215">
        <v>0.18222368749537771</v>
      </c>
      <c r="L1215" t="s">
        <v>153</v>
      </c>
      <c r="N1215" t="s">
        <v>241</v>
      </c>
      <c r="O1215" t="s">
        <v>287</v>
      </c>
      <c r="P1215">
        <v>9.9794448799591248E-2</v>
      </c>
      <c r="Q1215" t="s">
        <v>153</v>
      </c>
    </row>
    <row r="1216" spans="9:17" x14ac:dyDescent="0.45">
      <c r="I1216" t="s">
        <v>198</v>
      </c>
      <c r="J1216" t="s">
        <v>288</v>
      </c>
      <c r="K1216">
        <v>2.2537021280677954E-2</v>
      </c>
      <c r="L1216" t="s">
        <v>153</v>
      </c>
      <c r="N1216" t="s">
        <v>241</v>
      </c>
      <c r="O1216" t="s">
        <v>288</v>
      </c>
      <c r="P1216">
        <v>2.3619698042334974E-2</v>
      </c>
      <c r="Q1216" t="s">
        <v>153</v>
      </c>
    </row>
    <row r="1217" spans="9:17" x14ac:dyDescent="0.45">
      <c r="I1217" t="s">
        <v>198</v>
      </c>
      <c r="J1217" t="s">
        <v>308</v>
      </c>
      <c r="K1217">
        <v>1.4727731463186393E-2</v>
      </c>
      <c r="L1217" t="s">
        <v>153</v>
      </c>
      <c r="N1217" t="s">
        <v>241</v>
      </c>
      <c r="O1217" t="s">
        <v>308</v>
      </c>
      <c r="P1217">
        <v>2.1124755646837887E-2</v>
      </c>
      <c r="Q1217" t="s">
        <v>153</v>
      </c>
    </row>
    <row r="1218" spans="9:17" x14ac:dyDescent="0.45">
      <c r="I1218" t="s">
        <v>198</v>
      </c>
      <c r="J1218" t="s">
        <v>309</v>
      </c>
      <c r="K1218">
        <v>8.3625886734858335E-4</v>
      </c>
      <c r="L1218" t="s">
        <v>153</v>
      </c>
      <c r="N1218" t="s">
        <v>241</v>
      </c>
      <c r="O1218" t="s">
        <v>309</v>
      </c>
      <c r="P1218">
        <v>6.2753856787554185E-2</v>
      </c>
      <c r="Q1218" t="s">
        <v>153</v>
      </c>
    </row>
    <row r="1219" spans="9:17" x14ac:dyDescent="0.45">
      <c r="I1219" t="s">
        <v>198</v>
      </c>
      <c r="J1219" t="s">
        <v>294</v>
      </c>
      <c r="K1219">
        <v>0</v>
      </c>
      <c r="L1219" t="s">
        <v>153</v>
      </c>
      <c r="N1219" t="s">
        <v>241</v>
      </c>
      <c r="O1219" t="s">
        <v>294</v>
      </c>
      <c r="P1219">
        <v>7.0779313549924729E-3</v>
      </c>
      <c r="Q1219" t="s">
        <v>153</v>
      </c>
    </row>
    <row r="1220" spans="9:17" x14ac:dyDescent="0.45">
      <c r="I1220" t="s">
        <v>198</v>
      </c>
      <c r="J1220" t="s">
        <v>295</v>
      </c>
      <c r="K1220">
        <v>1.8537429298588282E-3</v>
      </c>
      <c r="L1220" t="s">
        <v>153</v>
      </c>
      <c r="N1220" t="s">
        <v>241</v>
      </c>
      <c r="O1220" t="s">
        <v>295</v>
      </c>
      <c r="P1220">
        <v>9.6300400348455048E-4</v>
      </c>
      <c r="Q1220" t="s">
        <v>153</v>
      </c>
    </row>
    <row r="1221" spans="9:17" x14ac:dyDescent="0.45">
      <c r="I1221" t="s">
        <v>198</v>
      </c>
      <c r="J1221" t="s">
        <v>296</v>
      </c>
      <c r="K1221">
        <v>4.0302243682473248E-3</v>
      </c>
      <c r="L1221" t="s">
        <v>153</v>
      </c>
      <c r="N1221" t="s">
        <v>241</v>
      </c>
      <c r="O1221" t="s">
        <v>296</v>
      </c>
      <c r="P1221">
        <v>8.940985385029836E-4</v>
      </c>
      <c r="Q1221" t="s">
        <v>153</v>
      </c>
    </row>
    <row r="1222" spans="9:17" x14ac:dyDescent="0.45">
      <c r="I1222" t="s">
        <v>198</v>
      </c>
      <c r="J1222" t="s">
        <v>297</v>
      </c>
      <c r="K1222">
        <v>2.0031999833023156E-2</v>
      </c>
      <c r="L1222" t="s">
        <v>153</v>
      </c>
      <c r="N1222" t="s">
        <v>241</v>
      </c>
      <c r="O1222" t="s">
        <v>297</v>
      </c>
      <c r="P1222">
        <v>4.0858474699064888E-3</v>
      </c>
      <c r="Q1222" t="s">
        <v>153</v>
      </c>
    </row>
    <row r="1223" spans="9:17" x14ac:dyDescent="0.45">
      <c r="I1223" t="s">
        <v>198</v>
      </c>
      <c r="J1223" t="s">
        <v>298</v>
      </c>
      <c r="K1223">
        <v>4.6072310433296994E-2</v>
      </c>
      <c r="L1223" t="s">
        <v>153</v>
      </c>
      <c r="N1223" t="s">
        <v>241</v>
      </c>
      <c r="O1223" t="s">
        <v>298</v>
      </c>
      <c r="P1223">
        <v>3.1143969431044582E-2</v>
      </c>
      <c r="Q1223" t="s">
        <v>153</v>
      </c>
    </row>
    <row r="1224" spans="9:17" x14ac:dyDescent="0.45">
      <c r="I1224" t="s">
        <v>198</v>
      </c>
      <c r="J1224" t="s">
        <v>299</v>
      </c>
      <c r="K1224">
        <v>5.6482736192492245E-3</v>
      </c>
      <c r="L1224" t="s">
        <v>153</v>
      </c>
      <c r="N1224" t="s">
        <v>241</v>
      </c>
      <c r="O1224" t="s">
        <v>299</v>
      </c>
      <c r="P1224">
        <v>8.5707648091027117E-3</v>
      </c>
      <c r="Q1224" t="s">
        <v>153</v>
      </c>
    </row>
    <row r="1225" spans="9:17" x14ac:dyDescent="0.45">
      <c r="I1225" t="s">
        <v>198</v>
      </c>
      <c r="J1225" t="s">
        <v>310</v>
      </c>
      <c r="K1225">
        <v>4.2144483804908515E-3</v>
      </c>
      <c r="L1225" t="s">
        <v>153</v>
      </c>
      <c r="N1225" t="s">
        <v>241</v>
      </c>
      <c r="O1225" t="s">
        <v>310</v>
      </c>
      <c r="P1225">
        <v>7.165835371359384E-3</v>
      </c>
      <c r="Q1225" t="s">
        <v>153</v>
      </c>
    </row>
    <row r="1226" spans="9:17" x14ac:dyDescent="0.45">
      <c r="I1226" t="s">
        <v>198</v>
      </c>
      <c r="J1226" t="s">
        <v>311</v>
      </c>
      <c r="K1226">
        <v>2.3220462301474028E-3</v>
      </c>
      <c r="L1226" t="s">
        <v>153</v>
      </c>
      <c r="N1226" t="s">
        <v>241</v>
      </c>
      <c r="O1226" t="s">
        <v>311</v>
      </c>
      <c r="P1226">
        <v>1.6442764507174603E-2</v>
      </c>
      <c r="Q1226" t="s">
        <v>153</v>
      </c>
    </row>
    <row r="1227" spans="9:17" x14ac:dyDescent="0.45">
      <c r="I1227" t="s">
        <v>199</v>
      </c>
      <c r="J1227" t="s">
        <v>152</v>
      </c>
      <c r="K1227">
        <v>0</v>
      </c>
      <c r="L1227" t="s">
        <v>153</v>
      </c>
      <c r="N1227" t="s">
        <v>242</v>
      </c>
      <c r="O1227" t="s">
        <v>152</v>
      </c>
      <c r="P1227">
        <v>0.1280713598004232</v>
      </c>
      <c r="Q1227" t="s">
        <v>153</v>
      </c>
    </row>
    <row r="1228" spans="9:17" x14ac:dyDescent="0.45">
      <c r="I1228" t="s">
        <v>199</v>
      </c>
      <c r="J1228" t="s">
        <v>154</v>
      </c>
      <c r="K1228">
        <v>3.6707207970829224E-5</v>
      </c>
      <c r="L1228" t="s">
        <v>153</v>
      </c>
      <c r="N1228" t="s">
        <v>242</v>
      </c>
      <c r="O1228" t="s">
        <v>154</v>
      </c>
      <c r="P1228">
        <v>1.8258314326364967E-2</v>
      </c>
      <c r="Q1228" t="s">
        <v>153</v>
      </c>
    </row>
    <row r="1229" spans="9:17" x14ac:dyDescent="0.45">
      <c r="I1229" t="s">
        <v>199</v>
      </c>
      <c r="J1229" t="s">
        <v>155</v>
      </c>
      <c r="K1229">
        <v>1.7342689731977629E-2</v>
      </c>
      <c r="L1229" t="s">
        <v>153</v>
      </c>
      <c r="N1229" t="s">
        <v>242</v>
      </c>
      <c r="O1229" t="s">
        <v>155</v>
      </c>
      <c r="P1229">
        <v>1.6714822769126093E-2</v>
      </c>
      <c r="Q1229" t="s">
        <v>153</v>
      </c>
    </row>
    <row r="1230" spans="9:17" x14ac:dyDescent="0.45">
      <c r="I1230" t="s">
        <v>199</v>
      </c>
      <c r="J1230" t="s">
        <v>280</v>
      </c>
      <c r="K1230">
        <v>0.11751469225161719</v>
      </c>
      <c r="L1230" t="s">
        <v>153</v>
      </c>
      <c r="N1230" t="s">
        <v>242</v>
      </c>
      <c r="O1230" t="s">
        <v>280</v>
      </c>
      <c r="P1230">
        <v>4.3262504356410915E-2</v>
      </c>
      <c r="Q1230" t="s">
        <v>153</v>
      </c>
    </row>
    <row r="1231" spans="9:17" x14ac:dyDescent="0.45">
      <c r="I1231" t="s">
        <v>199</v>
      </c>
      <c r="J1231" t="s">
        <v>281</v>
      </c>
      <c r="K1231">
        <v>0.26505517429573699</v>
      </c>
      <c r="L1231" t="s">
        <v>153</v>
      </c>
      <c r="N1231" t="s">
        <v>242</v>
      </c>
      <c r="O1231" t="s">
        <v>281</v>
      </c>
      <c r="P1231">
        <v>0.10005360557849544</v>
      </c>
      <c r="Q1231" t="s">
        <v>153</v>
      </c>
    </row>
    <row r="1232" spans="9:17" x14ac:dyDescent="0.45">
      <c r="I1232" t="s">
        <v>199</v>
      </c>
      <c r="J1232" t="s">
        <v>282</v>
      </c>
      <c r="K1232">
        <v>3.4276138917107957E-2</v>
      </c>
      <c r="L1232" t="s">
        <v>153</v>
      </c>
      <c r="N1232" t="s">
        <v>242</v>
      </c>
      <c r="O1232" t="s">
        <v>282</v>
      </c>
      <c r="P1232">
        <v>1.8510069704659148E-2</v>
      </c>
      <c r="Q1232" t="s">
        <v>153</v>
      </c>
    </row>
    <row r="1233" spans="9:17" x14ac:dyDescent="0.45">
      <c r="I1233" t="s">
        <v>199</v>
      </c>
      <c r="J1233" t="s">
        <v>304</v>
      </c>
      <c r="K1233">
        <v>2.1079490614843717E-2</v>
      </c>
      <c r="L1233" t="s">
        <v>153</v>
      </c>
      <c r="N1233" t="s">
        <v>242</v>
      </c>
      <c r="O1233" t="s">
        <v>304</v>
      </c>
      <c r="P1233">
        <v>1.9974187300199512E-2</v>
      </c>
      <c r="Q1233" t="s">
        <v>153</v>
      </c>
    </row>
    <row r="1234" spans="9:17" x14ac:dyDescent="0.45">
      <c r="I1234" t="s">
        <v>199</v>
      </c>
      <c r="J1234" t="s">
        <v>305</v>
      </c>
      <c r="K1234">
        <v>6.522372523824556E-3</v>
      </c>
      <c r="L1234" t="s">
        <v>153</v>
      </c>
      <c r="N1234" t="s">
        <v>242</v>
      </c>
      <c r="O1234" t="s">
        <v>305</v>
      </c>
      <c r="P1234">
        <v>0.12203347337794392</v>
      </c>
      <c r="Q1234" t="s">
        <v>153</v>
      </c>
    </row>
    <row r="1235" spans="9:17" x14ac:dyDescent="0.45">
      <c r="I1235" t="s">
        <v>199</v>
      </c>
      <c r="J1235" t="s">
        <v>156</v>
      </c>
      <c r="K1235">
        <v>0</v>
      </c>
      <c r="L1235" t="s">
        <v>153</v>
      </c>
      <c r="N1235" t="s">
        <v>242</v>
      </c>
      <c r="O1235" t="s">
        <v>156</v>
      </c>
      <c r="P1235">
        <v>4.0371726804515569E-2</v>
      </c>
      <c r="Q1235" t="s">
        <v>153</v>
      </c>
    </row>
    <row r="1236" spans="9:17" x14ac:dyDescent="0.45">
      <c r="I1236" t="s">
        <v>199</v>
      </c>
      <c r="J1236" t="s">
        <v>157</v>
      </c>
      <c r="K1236">
        <v>0</v>
      </c>
      <c r="L1236" t="s">
        <v>153</v>
      </c>
      <c r="N1236" t="s">
        <v>242</v>
      </c>
      <c r="O1236" t="s">
        <v>157</v>
      </c>
      <c r="P1236">
        <v>6.3631793179573333E-3</v>
      </c>
      <c r="Q1236" t="s">
        <v>153</v>
      </c>
    </row>
    <row r="1237" spans="9:17" x14ac:dyDescent="0.45">
      <c r="I1237" t="s">
        <v>199</v>
      </c>
      <c r="J1237" t="s">
        <v>158</v>
      </c>
      <c r="K1237">
        <v>2.3318434005712366E-6</v>
      </c>
      <c r="L1237" t="s">
        <v>153</v>
      </c>
      <c r="N1237" t="s">
        <v>242</v>
      </c>
      <c r="O1237" t="s">
        <v>158</v>
      </c>
      <c r="P1237">
        <v>6.4280454305722908E-3</v>
      </c>
      <c r="Q1237" t="s">
        <v>153</v>
      </c>
    </row>
    <row r="1238" spans="9:17" x14ac:dyDescent="0.45">
      <c r="I1238" t="s">
        <v>199</v>
      </c>
      <c r="J1238" t="s">
        <v>283</v>
      </c>
      <c r="K1238">
        <v>3.4966380229240493E-2</v>
      </c>
      <c r="L1238" t="s">
        <v>153</v>
      </c>
      <c r="N1238" t="s">
        <v>242</v>
      </c>
      <c r="O1238" t="s">
        <v>283</v>
      </c>
      <c r="P1238">
        <v>1.7920526250194659E-2</v>
      </c>
      <c r="Q1238" t="s">
        <v>153</v>
      </c>
    </row>
    <row r="1239" spans="9:17" x14ac:dyDescent="0.45">
      <c r="I1239" t="s">
        <v>199</v>
      </c>
      <c r="J1239" t="s">
        <v>284</v>
      </c>
      <c r="K1239">
        <v>8.6026679034203163E-2</v>
      </c>
      <c r="L1239" t="s">
        <v>153</v>
      </c>
      <c r="N1239" t="s">
        <v>242</v>
      </c>
      <c r="O1239" t="s">
        <v>284</v>
      </c>
      <c r="P1239">
        <v>4.7326956572218845E-2</v>
      </c>
      <c r="Q1239" t="s">
        <v>153</v>
      </c>
    </row>
    <row r="1240" spans="9:17" x14ac:dyDescent="0.45">
      <c r="I1240" t="s">
        <v>199</v>
      </c>
      <c r="J1240" t="s">
        <v>285</v>
      </c>
      <c r="K1240">
        <v>1.0330164401479072E-2</v>
      </c>
      <c r="L1240" t="s">
        <v>153</v>
      </c>
      <c r="N1240" t="s">
        <v>242</v>
      </c>
      <c r="O1240" t="s">
        <v>285</v>
      </c>
      <c r="P1240">
        <v>7.2978210966893435E-3</v>
      </c>
      <c r="Q1240" t="s">
        <v>153</v>
      </c>
    </row>
    <row r="1241" spans="9:17" x14ac:dyDescent="0.45">
      <c r="I1241" t="s">
        <v>199</v>
      </c>
      <c r="J1241" t="s">
        <v>306</v>
      </c>
      <c r="K1241">
        <v>4.3008139251392297E-3</v>
      </c>
      <c r="L1241" t="s">
        <v>153</v>
      </c>
      <c r="N1241" t="s">
        <v>242</v>
      </c>
      <c r="O1241" t="s">
        <v>306</v>
      </c>
      <c r="P1241">
        <v>7.2730585059788758E-3</v>
      </c>
      <c r="Q1241" t="s">
        <v>153</v>
      </c>
    </row>
    <row r="1242" spans="9:17" x14ac:dyDescent="0.45">
      <c r="I1242" t="s">
        <v>199</v>
      </c>
      <c r="J1242" t="s">
        <v>307</v>
      </c>
      <c r="K1242">
        <v>0</v>
      </c>
      <c r="L1242" t="s">
        <v>153</v>
      </c>
      <c r="N1242" t="s">
        <v>242</v>
      </c>
      <c r="O1242" t="s">
        <v>307</v>
      </c>
      <c r="P1242">
        <v>3.6165518476064515E-2</v>
      </c>
      <c r="Q1242" t="s">
        <v>153</v>
      </c>
    </row>
    <row r="1243" spans="9:17" x14ac:dyDescent="0.45">
      <c r="I1243" t="s">
        <v>199</v>
      </c>
      <c r="J1243" t="s">
        <v>159</v>
      </c>
      <c r="K1243">
        <v>0</v>
      </c>
      <c r="L1243" t="s">
        <v>153</v>
      </c>
      <c r="N1243" t="s">
        <v>242</v>
      </c>
      <c r="O1243" t="s">
        <v>159</v>
      </c>
      <c r="P1243">
        <v>7.0781917638288464E-2</v>
      </c>
      <c r="Q1243" t="s">
        <v>153</v>
      </c>
    </row>
    <row r="1244" spans="9:17" x14ac:dyDescent="0.45">
      <c r="I1244" t="s">
        <v>199</v>
      </c>
      <c r="J1244" t="s">
        <v>160</v>
      </c>
      <c r="K1244">
        <v>3.5538364468717955E-3</v>
      </c>
      <c r="L1244" t="s">
        <v>153</v>
      </c>
      <c r="N1244" t="s">
        <v>242</v>
      </c>
      <c r="O1244" t="s">
        <v>160</v>
      </c>
      <c r="P1244">
        <v>1.0327450262742109E-2</v>
      </c>
      <c r="Q1244" t="s">
        <v>153</v>
      </c>
    </row>
    <row r="1245" spans="9:17" x14ac:dyDescent="0.45">
      <c r="I1245" t="s">
        <v>199</v>
      </c>
      <c r="J1245" t="s">
        <v>161</v>
      </c>
      <c r="K1245">
        <v>1.5926733688603516E-2</v>
      </c>
      <c r="L1245" t="s">
        <v>153</v>
      </c>
      <c r="N1245" t="s">
        <v>242</v>
      </c>
      <c r="O1245" t="s">
        <v>161</v>
      </c>
      <c r="P1245">
        <v>9.5680282022275447E-3</v>
      </c>
      <c r="Q1245" t="s">
        <v>153</v>
      </c>
    </row>
    <row r="1246" spans="9:17" x14ac:dyDescent="0.45">
      <c r="I1246" t="s">
        <v>199</v>
      </c>
      <c r="J1246" t="s">
        <v>286</v>
      </c>
      <c r="K1246">
        <v>8.0196858052368758E-2</v>
      </c>
      <c r="L1246" t="s">
        <v>153</v>
      </c>
      <c r="N1246" t="s">
        <v>242</v>
      </c>
      <c r="O1246" t="s">
        <v>286</v>
      </c>
      <c r="P1246">
        <v>2.7439310253548382E-2</v>
      </c>
      <c r="Q1246" t="s">
        <v>153</v>
      </c>
    </row>
    <row r="1247" spans="9:17" x14ac:dyDescent="0.45">
      <c r="I1247" t="s">
        <v>199</v>
      </c>
      <c r="J1247" t="s">
        <v>287</v>
      </c>
      <c r="K1247">
        <v>0.18371950982365273</v>
      </c>
      <c r="L1247" t="s">
        <v>153</v>
      </c>
      <c r="N1247" t="s">
        <v>242</v>
      </c>
      <c r="O1247" t="s">
        <v>287</v>
      </c>
      <c r="P1247">
        <v>7.0502710239448124E-2</v>
      </c>
      <c r="Q1247" t="s">
        <v>153</v>
      </c>
    </row>
    <row r="1248" spans="9:17" x14ac:dyDescent="0.45">
      <c r="I1248" t="s">
        <v>199</v>
      </c>
      <c r="J1248" t="s">
        <v>288</v>
      </c>
      <c r="K1248">
        <v>2.2964142528089815E-2</v>
      </c>
      <c r="L1248" t="s">
        <v>153</v>
      </c>
      <c r="N1248" t="s">
        <v>242</v>
      </c>
      <c r="O1248" t="s">
        <v>288</v>
      </c>
      <c r="P1248">
        <v>1.2922252542730583E-2</v>
      </c>
      <c r="Q1248" t="s">
        <v>153</v>
      </c>
    </row>
    <row r="1249" spans="9:17" x14ac:dyDescent="0.45">
      <c r="I1249" t="s">
        <v>199</v>
      </c>
      <c r="J1249" t="s">
        <v>308</v>
      </c>
      <c r="K1249">
        <v>1.4284515030946084E-2</v>
      </c>
      <c r="L1249" t="s">
        <v>153</v>
      </c>
      <c r="N1249" t="s">
        <v>242</v>
      </c>
      <c r="O1249" t="s">
        <v>308</v>
      </c>
      <c r="P1249">
        <v>1.3227997437506975E-2</v>
      </c>
      <c r="Q1249" t="s">
        <v>153</v>
      </c>
    </row>
    <row r="1250" spans="9:17" x14ac:dyDescent="0.45">
      <c r="I1250" t="s">
        <v>199</v>
      </c>
      <c r="J1250" t="s">
        <v>309</v>
      </c>
      <c r="K1250">
        <v>1.9593952117387278E-4</v>
      </c>
      <c r="L1250" t="s">
        <v>153</v>
      </c>
      <c r="N1250" t="s">
        <v>242</v>
      </c>
      <c r="O1250" t="s">
        <v>309</v>
      </c>
      <c r="P1250">
        <v>7.2677136812966808E-2</v>
      </c>
      <c r="Q1250" t="s">
        <v>153</v>
      </c>
    </row>
    <row r="1251" spans="9:17" x14ac:dyDescent="0.45">
      <c r="I1251" t="s">
        <v>199</v>
      </c>
      <c r="J1251" t="s">
        <v>294</v>
      </c>
      <c r="K1251">
        <v>0</v>
      </c>
      <c r="L1251" t="s">
        <v>153</v>
      </c>
      <c r="N1251" t="s">
        <v>242</v>
      </c>
      <c r="O1251" t="s">
        <v>294</v>
      </c>
      <c r="P1251">
        <v>2.3408076389098354E-2</v>
      </c>
      <c r="Q1251" t="s">
        <v>153</v>
      </c>
    </row>
    <row r="1252" spans="9:17" x14ac:dyDescent="0.45">
      <c r="I1252" t="s">
        <v>199</v>
      </c>
      <c r="J1252" t="s">
        <v>295</v>
      </c>
      <c r="K1252">
        <v>2.136521229101046E-3</v>
      </c>
      <c r="L1252" t="s">
        <v>153</v>
      </c>
      <c r="N1252" t="s">
        <v>242</v>
      </c>
      <c r="O1252" t="s">
        <v>295</v>
      </c>
      <c r="P1252">
        <v>2.5504671275333318E-3</v>
      </c>
      <c r="Q1252" t="s">
        <v>153</v>
      </c>
    </row>
    <row r="1253" spans="9:17" x14ac:dyDescent="0.45">
      <c r="I1253" t="s">
        <v>199</v>
      </c>
      <c r="J1253" t="s">
        <v>296</v>
      </c>
      <c r="K1253">
        <v>3.9670855668858104E-3</v>
      </c>
      <c r="L1253" t="s">
        <v>153</v>
      </c>
      <c r="N1253" t="s">
        <v>242</v>
      </c>
      <c r="O1253" t="s">
        <v>296</v>
      </c>
      <c r="P1253">
        <v>2.396750260291344E-3</v>
      </c>
      <c r="Q1253" t="s">
        <v>153</v>
      </c>
    </row>
    <row r="1254" spans="9:17" x14ac:dyDescent="0.45">
      <c r="I1254" t="s">
        <v>199</v>
      </c>
      <c r="J1254" t="s">
        <v>297</v>
      </c>
      <c r="K1254">
        <v>2.0196886971629635E-2</v>
      </c>
      <c r="L1254" t="s">
        <v>153</v>
      </c>
      <c r="N1254" t="s">
        <v>242</v>
      </c>
      <c r="O1254" t="s">
        <v>297</v>
      </c>
      <c r="P1254">
        <v>5.8358041547025225E-3</v>
      </c>
      <c r="Q1254" t="s">
        <v>153</v>
      </c>
    </row>
    <row r="1255" spans="9:17" x14ac:dyDescent="0.45">
      <c r="I1255" t="s">
        <v>199</v>
      </c>
      <c r="J1255" t="s">
        <v>298</v>
      </c>
      <c r="K1255">
        <v>4.3832937679108473E-2</v>
      </c>
      <c r="L1255" t="s">
        <v>153</v>
      </c>
      <c r="N1255" t="s">
        <v>242</v>
      </c>
      <c r="O1255" t="s">
        <v>298</v>
      </c>
      <c r="P1255">
        <v>1.1700622249467678E-2</v>
      </c>
      <c r="Q1255" t="s">
        <v>153</v>
      </c>
    </row>
    <row r="1256" spans="9:17" x14ac:dyDescent="0.45">
      <c r="I1256" t="s">
        <v>199</v>
      </c>
      <c r="J1256" t="s">
        <v>299</v>
      </c>
      <c r="K1256">
        <v>5.2665646740235788E-3</v>
      </c>
      <c r="L1256" t="s">
        <v>153</v>
      </c>
      <c r="N1256" t="s">
        <v>242</v>
      </c>
      <c r="O1256" t="s">
        <v>299</v>
      </c>
      <c r="P1256">
        <v>2.8820648963686279E-3</v>
      </c>
      <c r="Q1256" t="s">
        <v>153</v>
      </c>
    </row>
    <row r="1257" spans="9:17" x14ac:dyDescent="0.45">
      <c r="I1257" t="s">
        <v>199</v>
      </c>
      <c r="J1257" t="s">
        <v>310</v>
      </c>
      <c r="K1257">
        <v>3.7897770813863827E-3</v>
      </c>
      <c r="L1257" t="s">
        <v>153</v>
      </c>
      <c r="N1257" t="s">
        <v>242</v>
      </c>
      <c r="O1257" t="s">
        <v>310</v>
      </c>
      <c r="P1257">
        <v>3.4072679770096857E-3</v>
      </c>
      <c r="Q1257" t="s">
        <v>153</v>
      </c>
    </row>
    <row r="1258" spans="9:17" x14ac:dyDescent="0.45">
      <c r="I1258" t="s">
        <v>199</v>
      </c>
      <c r="J1258" t="s">
        <v>311</v>
      </c>
      <c r="K1258">
        <v>2.5150567296163637E-3</v>
      </c>
      <c r="L1258" t="s">
        <v>153</v>
      </c>
      <c r="N1258" t="s">
        <v>242</v>
      </c>
      <c r="O1258" t="s">
        <v>311</v>
      </c>
      <c r="P1258">
        <v>2.4346973888254742E-2</v>
      </c>
      <c r="Q1258" t="s">
        <v>153</v>
      </c>
    </row>
    <row r="1259" spans="9:17" x14ac:dyDescent="0.45">
      <c r="I1259" t="s">
        <v>200</v>
      </c>
      <c r="J1259" t="s">
        <v>152</v>
      </c>
      <c r="K1259">
        <v>0</v>
      </c>
      <c r="L1259" t="s">
        <v>153</v>
      </c>
      <c r="N1259" t="s">
        <v>243</v>
      </c>
      <c r="O1259" t="s">
        <v>152</v>
      </c>
      <c r="P1259">
        <v>0.12080661142528966</v>
      </c>
      <c r="Q1259" t="s">
        <v>153</v>
      </c>
    </row>
    <row r="1260" spans="9:17" x14ac:dyDescent="0.45">
      <c r="I1260" t="s">
        <v>200</v>
      </c>
      <c r="J1260" t="s">
        <v>154</v>
      </c>
      <c r="K1260">
        <v>6.8871002931559643E-4</v>
      </c>
      <c r="L1260" t="s">
        <v>153</v>
      </c>
      <c r="N1260" t="s">
        <v>243</v>
      </c>
      <c r="O1260" t="s">
        <v>154</v>
      </c>
      <c r="P1260">
        <v>1.6598982179392485E-2</v>
      </c>
      <c r="Q1260" t="s">
        <v>153</v>
      </c>
    </row>
    <row r="1261" spans="9:17" x14ac:dyDescent="0.45">
      <c r="I1261" t="s">
        <v>200</v>
      </c>
      <c r="J1261" t="s">
        <v>155</v>
      </c>
      <c r="K1261">
        <v>1.727380968137204E-2</v>
      </c>
      <c r="L1261" t="s">
        <v>153</v>
      </c>
      <c r="N1261" t="s">
        <v>243</v>
      </c>
      <c r="O1261" t="s">
        <v>155</v>
      </c>
      <c r="P1261">
        <v>1.5023670341841327E-2</v>
      </c>
      <c r="Q1261" t="s">
        <v>153</v>
      </c>
    </row>
    <row r="1262" spans="9:17" x14ac:dyDescent="0.45">
      <c r="I1262" t="s">
        <v>200</v>
      </c>
      <c r="J1262" t="s">
        <v>280</v>
      </c>
      <c r="K1262">
        <v>0.1194829256313641</v>
      </c>
      <c r="L1262" t="s">
        <v>153</v>
      </c>
      <c r="N1262" t="s">
        <v>243</v>
      </c>
      <c r="O1262" t="s">
        <v>280</v>
      </c>
      <c r="P1262">
        <v>4.1071387755960351E-2</v>
      </c>
      <c r="Q1262" t="s">
        <v>153</v>
      </c>
    </row>
    <row r="1263" spans="9:17" x14ac:dyDescent="0.45">
      <c r="I1263" t="s">
        <v>200</v>
      </c>
      <c r="J1263" t="s">
        <v>281</v>
      </c>
      <c r="K1263">
        <v>0.26593139964334406</v>
      </c>
      <c r="L1263" t="s">
        <v>153</v>
      </c>
      <c r="N1263" t="s">
        <v>243</v>
      </c>
      <c r="O1263" t="s">
        <v>281</v>
      </c>
      <c r="P1263">
        <v>9.9528531007912507E-2</v>
      </c>
      <c r="Q1263" t="s">
        <v>153</v>
      </c>
    </row>
    <row r="1264" spans="9:17" x14ac:dyDescent="0.45">
      <c r="I1264" t="s">
        <v>200</v>
      </c>
      <c r="J1264" t="s">
        <v>282</v>
      </c>
      <c r="K1264">
        <v>3.3223306493760867E-2</v>
      </c>
      <c r="L1264" t="s">
        <v>153</v>
      </c>
      <c r="N1264" t="s">
        <v>243</v>
      </c>
      <c r="O1264" t="s">
        <v>282</v>
      </c>
      <c r="P1264">
        <v>1.6885153473806105E-2</v>
      </c>
      <c r="Q1264" t="s">
        <v>153</v>
      </c>
    </row>
    <row r="1265" spans="9:17" x14ac:dyDescent="0.45">
      <c r="I1265" t="s">
        <v>200</v>
      </c>
      <c r="J1265" t="s">
        <v>304</v>
      </c>
      <c r="K1265">
        <v>1.8661603560412698E-2</v>
      </c>
      <c r="L1265" t="s">
        <v>153</v>
      </c>
      <c r="N1265" t="s">
        <v>243</v>
      </c>
      <c r="O1265" t="s">
        <v>304</v>
      </c>
      <c r="P1265">
        <v>1.7792134639349221E-2</v>
      </c>
      <c r="Q1265" t="s">
        <v>153</v>
      </c>
    </row>
    <row r="1266" spans="9:17" x14ac:dyDescent="0.45">
      <c r="I1266" t="s">
        <v>200</v>
      </c>
      <c r="J1266" t="s">
        <v>305</v>
      </c>
      <c r="K1266">
        <v>5.911249425776797E-3</v>
      </c>
      <c r="L1266" t="s">
        <v>153</v>
      </c>
      <c r="N1266" t="s">
        <v>243</v>
      </c>
      <c r="O1266" t="s">
        <v>305</v>
      </c>
      <c r="P1266">
        <v>0.11790061297573233</v>
      </c>
      <c r="Q1266" t="s">
        <v>153</v>
      </c>
    </row>
    <row r="1267" spans="9:17" x14ac:dyDescent="0.45">
      <c r="I1267" t="s">
        <v>200</v>
      </c>
      <c r="J1267" t="s">
        <v>156</v>
      </c>
      <c r="K1267">
        <v>0</v>
      </c>
      <c r="L1267" t="s">
        <v>153</v>
      </c>
      <c r="N1267" t="s">
        <v>243</v>
      </c>
      <c r="O1267" t="s">
        <v>156</v>
      </c>
      <c r="P1267">
        <v>4.1938173798912882E-2</v>
      </c>
      <c r="Q1267" t="s">
        <v>153</v>
      </c>
    </row>
    <row r="1268" spans="9:17" x14ac:dyDescent="0.45">
      <c r="I1268" t="s">
        <v>200</v>
      </c>
      <c r="J1268" t="s">
        <v>157</v>
      </c>
      <c r="K1268">
        <v>0</v>
      </c>
      <c r="L1268" t="s">
        <v>153</v>
      </c>
      <c r="N1268" t="s">
        <v>243</v>
      </c>
      <c r="O1268" t="s">
        <v>157</v>
      </c>
      <c r="P1268">
        <v>6.2939189001223516E-3</v>
      </c>
      <c r="Q1268" t="s">
        <v>153</v>
      </c>
    </row>
    <row r="1269" spans="9:17" x14ac:dyDescent="0.45">
      <c r="I1269" t="s">
        <v>200</v>
      </c>
      <c r="J1269" t="s">
        <v>158</v>
      </c>
      <c r="K1269">
        <v>1.7023873181879333E-5</v>
      </c>
      <c r="L1269" t="s">
        <v>153</v>
      </c>
      <c r="N1269" t="s">
        <v>243</v>
      </c>
      <c r="O1269" t="s">
        <v>158</v>
      </c>
      <c r="P1269">
        <v>6.0754900356543634E-3</v>
      </c>
      <c r="Q1269" t="s">
        <v>153</v>
      </c>
    </row>
    <row r="1270" spans="9:17" x14ac:dyDescent="0.45">
      <c r="I1270" t="s">
        <v>200</v>
      </c>
      <c r="J1270" t="s">
        <v>283</v>
      </c>
      <c r="K1270">
        <v>3.5038499618019213E-2</v>
      </c>
      <c r="L1270" t="s">
        <v>153</v>
      </c>
      <c r="N1270" t="s">
        <v>243</v>
      </c>
      <c r="O1270" t="s">
        <v>283</v>
      </c>
      <c r="P1270">
        <v>1.558136393595288E-2</v>
      </c>
      <c r="Q1270" t="s">
        <v>153</v>
      </c>
    </row>
    <row r="1271" spans="9:17" x14ac:dyDescent="0.45">
      <c r="I1271" t="s">
        <v>200</v>
      </c>
      <c r="J1271" t="s">
        <v>284</v>
      </c>
      <c r="K1271">
        <v>8.6283943142280009E-2</v>
      </c>
      <c r="L1271" t="s">
        <v>153</v>
      </c>
      <c r="N1271" t="s">
        <v>243</v>
      </c>
      <c r="O1271" t="s">
        <v>284</v>
      </c>
      <c r="P1271">
        <v>4.6457236000785149E-2</v>
      </c>
      <c r="Q1271" t="s">
        <v>153</v>
      </c>
    </row>
    <row r="1272" spans="9:17" x14ac:dyDescent="0.45">
      <c r="I1272" t="s">
        <v>200</v>
      </c>
      <c r="J1272" t="s">
        <v>285</v>
      </c>
      <c r="K1272">
        <v>1.0495042364052262E-2</v>
      </c>
      <c r="L1272" t="s">
        <v>153</v>
      </c>
      <c r="N1272" t="s">
        <v>243</v>
      </c>
      <c r="O1272" t="s">
        <v>285</v>
      </c>
      <c r="P1272">
        <v>6.9953019432472813E-3</v>
      </c>
      <c r="Q1272" t="s">
        <v>153</v>
      </c>
    </row>
    <row r="1273" spans="9:17" x14ac:dyDescent="0.45">
      <c r="I1273" t="s">
        <v>200</v>
      </c>
      <c r="J1273" t="s">
        <v>306</v>
      </c>
      <c r="K1273">
        <v>3.2025145188919477E-3</v>
      </c>
      <c r="L1273" t="s">
        <v>153</v>
      </c>
      <c r="N1273" t="s">
        <v>243</v>
      </c>
      <c r="O1273" t="s">
        <v>306</v>
      </c>
      <c r="P1273">
        <v>7.1832006262931769E-3</v>
      </c>
      <c r="Q1273" t="s">
        <v>153</v>
      </c>
    </row>
    <row r="1274" spans="9:17" x14ac:dyDescent="0.45">
      <c r="I1274" t="s">
        <v>200</v>
      </c>
      <c r="J1274" t="s">
        <v>307</v>
      </c>
      <c r="K1274">
        <v>0</v>
      </c>
      <c r="L1274" t="s">
        <v>153</v>
      </c>
      <c r="N1274" t="s">
        <v>243</v>
      </c>
      <c r="O1274" t="s">
        <v>307</v>
      </c>
      <c r="P1274">
        <v>3.9500761274023952E-2</v>
      </c>
      <c r="Q1274" t="s">
        <v>153</v>
      </c>
    </row>
    <row r="1275" spans="9:17" x14ac:dyDescent="0.45">
      <c r="I1275" t="s">
        <v>200</v>
      </c>
      <c r="J1275" t="s">
        <v>159</v>
      </c>
      <c r="K1275">
        <v>0</v>
      </c>
      <c r="L1275" t="s">
        <v>153</v>
      </c>
      <c r="N1275" t="s">
        <v>243</v>
      </c>
      <c r="O1275" t="s">
        <v>159</v>
      </c>
      <c r="P1275">
        <v>7.1745375767651401E-2</v>
      </c>
      <c r="Q1275" t="s">
        <v>153</v>
      </c>
    </row>
    <row r="1276" spans="9:17" x14ac:dyDescent="0.45">
      <c r="I1276" t="s">
        <v>200</v>
      </c>
      <c r="J1276" t="s">
        <v>160</v>
      </c>
      <c r="K1276">
        <v>4.1513193653391961E-3</v>
      </c>
      <c r="L1276" t="s">
        <v>153</v>
      </c>
      <c r="N1276" t="s">
        <v>243</v>
      </c>
      <c r="O1276" t="s">
        <v>160</v>
      </c>
      <c r="P1276">
        <v>9.8741325473020378E-3</v>
      </c>
      <c r="Q1276" t="s">
        <v>153</v>
      </c>
    </row>
    <row r="1277" spans="9:17" x14ac:dyDescent="0.45">
      <c r="I1277" t="s">
        <v>200</v>
      </c>
      <c r="J1277" t="s">
        <v>161</v>
      </c>
      <c r="K1277">
        <v>1.7355573620902332E-2</v>
      </c>
      <c r="L1277" t="s">
        <v>153</v>
      </c>
      <c r="N1277" t="s">
        <v>243</v>
      </c>
      <c r="O1277" t="s">
        <v>161</v>
      </c>
      <c r="P1277">
        <v>8.9651789044378864E-3</v>
      </c>
      <c r="Q1277" t="s">
        <v>153</v>
      </c>
    </row>
    <row r="1278" spans="9:17" x14ac:dyDescent="0.45">
      <c r="I1278" t="s">
        <v>200</v>
      </c>
      <c r="J1278" t="s">
        <v>286</v>
      </c>
      <c r="K1278">
        <v>8.3774671607610457E-2</v>
      </c>
      <c r="L1278" t="s">
        <v>153</v>
      </c>
      <c r="N1278" t="s">
        <v>243</v>
      </c>
      <c r="O1278" t="s">
        <v>286</v>
      </c>
      <c r="P1278">
        <v>2.9735631759960104E-2</v>
      </c>
      <c r="Q1278" t="s">
        <v>153</v>
      </c>
    </row>
    <row r="1279" spans="9:17" x14ac:dyDescent="0.45">
      <c r="I1279" t="s">
        <v>200</v>
      </c>
      <c r="J1279" t="s">
        <v>287</v>
      </c>
      <c r="K1279">
        <v>0.18064782708520513</v>
      </c>
      <c r="L1279" t="s">
        <v>153</v>
      </c>
      <c r="N1279" t="s">
        <v>243</v>
      </c>
      <c r="O1279" t="s">
        <v>287</v>
      </c>
      <c r="P1279">
        <v>8.4193155611142295E-2</v>
      </c>
      <c r="Q1279" t="s">
        <v>153</v>
      </c>
    </row>
    <row r="1280" spans="9:17" x14ac:dyDescent="0.45">
      <c r="I1280" t="s">
        <v>200</v>
      </c>
      <c r="J1280" t="s">
        <v>288</v>
      </c>
      <c r="K1280">
        <v>2.1410216260140395E-2</v>
      </c>
      <c r="L1280" t="s">
        <v>153</v>
      </c>
      <c r="N1280" t="s">
        <v>243</v>
      </c>
      <c r="O1280" t="s">
        <v>288</v>
      </c>
      <c r="P1280">
        <v>1.4671305676919011E-2</v>
      </c>
      <c r="Q1280" t="s">
        <v>153</v>
      </c>
    </row>
    <row r="1281" spans="9:17" x14ac:dyDescent="0.45">
      <c r="I1281" t="s">
        <v>200</v>
      </c>
      <c r="J1281" t="s">
        <v>308</v>
      </c>
      <c r="K1281">
        <v>1.3700629280719218E-2</v>
      </c>
      <c r="L1281" t="s">
        <v>153</v>
      </c>
      <c r="N1281" t="s">
        <v>243</v>
      </c>
      <c r="O1281" t="s">
        <v>308</v>
      </c>
      <c r="P1281">
        <v>1.4421891347785631E-2</v>
      </c>
      <c r="Q1281" t="s">
        <v>153</v>
      </c>
    </row>
    <row r="1282" spans="9:17" x14ac:dyDescent="0.45">
      <c r="I1282" t="s">
        <v>200</v>
      </c>
      <c r="J1282" t="s">
        <v>309</v>
      </c>
      <c r="K1282">
        <v>1.5585030191582404E-4</v>
      </c>
      <c r="L1282" t="s">
        <v>153</v>
      </c>
      <c r="N1282" t="s">
        <v>243</v>
      </c>
      <c r="O1282" t="s">
        <v>309</v>
      </c>
      <c r="P1282">
        <v>8.0951448409187693E-2</v>
      </c>
      <c r="Q1282" t="s">
        <v>153</v>
      </c>
    </row>
    <row r="1283" spans="9:17" x14ac:dyDescent="0.45">
      <c r="I1283" t="s">
        <v>200</v>
      </c>
      <c r="J1283" t="s">
        <v>294</v>
      </c>
      <c r="K1283">
        <v>0</v>
      </c>
      <c r="L1283" t="s">
        <v>153</v>
      </c>
      <c r="N1283" t="s">
        <v>243</v>
      </c>
      <c r="O1283" t="s">
        <v>294</v>
      </c>
      <c r="P1283">
        <v>2.0110709878998524E-2</v>
      </c>
      <c r="Q1283" t="s">
        <v>153</v>
      </c>
    </row>
    <row r="1284" spans="9:17" x14ac:dyDescent="0.45">
      <c r="I1284" t="s">
        <v>200</v>
      </c>
      <c r="J1284" t="s">
        <v>295</v>
      </c>
      <c r="K1284">
        <v>2.0713303657519879E-3</v>
      </c>
      <c r="L1284" t="s">
        <v>153</v>
      </c>
      <c r="N1284" t="s">
        <v>243</v>
      </c>
      <c r="O1284" t="s">
        <v>295</v>
      </c>
      <c r="P1284">
        <v>2.0490007276180253E-3</v>
      </c>
      <c r="Q1284" t="s">
        <v>153</v>
      </c>
    </row>
    <row r="1285" spans="9:17" x14ac:dyDescent="0.45">
      <c r="I1285" t="s">
        <v>200</v>
      </c>
      <c r="J1285" t="s">
        <v>296</v>
      </c>
      <c r="K1285">
        <v>4.1507313366509254E-3</v>
      </c>
      <c r="L1285" t="s">
        <v>153</v>
      </c>
      <c r="N1285" t="s">
        <v>243</v>
      </c>
      <c r="O1285" t="s">
        <v>296</v>
      </c>
      <c r="P1285">
        <v>1.7627580934559291E-3</v>
      </c>
      <c r="Q1285" t="s">
        <v>153</v>
      </c>
    </row>
    <row r="1286" spans="9:17" x14ac:dyDescent="0.45">
      <c r="I1286" t="s">
        <v>200</v>
      </c>
      <c r="J1286" t="s">
        <v>297</v>
      </c>
      <c r="K1286">
        <v>2.1166019455740419E-2</v>
      </c>
      <c r="L1286" t="s">
        <v>153</v>
      </c>
      <c r="N1286" t="s">
        <v>243</v>
      </c>
      <c r="O1286" t="s">
        <v>297</v>
      </c>
      <c r="P1286">
        <v>3.8815269359050411E-3</v>
      </c>
      <c r="Q1286" t="s">
        <v>153</v>
      </c>
    </row>
    <row r="1287" spans="9:17" x14ac:dyDescent="0.45">
      <c r="I1287" t="s">
        <v>200</v>
      </c>
      <c r="J1287" t="s">
        <v>298</v>
      </c>
      <c r="K1287">
        <v>4.3783475242033208E-2</v>
      </c>
      <c r="L1287" t="s">
        <v>153</v>
      </c>
      <c r="N1287" t="s">
        <v>243</v>
      </c>
      <c r="O1287" t="s">
        <v>298</v>
      </c>
      <c r="P1287">
        <v>1.1160295788106308E-2</v>
      </c>
      <c r="Q1287" t="s">
        <v>153</v>
      </c>
    </row>
    <row r="1288" spans="9:17" x14ac:dyDescent="0.45">
      <c r="I1288" t="s">
        <v>200</v>
      </c>
      <c r="J1288" t="s">
        <v>299</v>
      </c>
      <c r="K1288">
        <v>5.3026475335200083E-3</v>
      </c>
      <c r="L1288" t="s">
        <v>153</v>
      </c>
      <c r="N1288" t="s">
        <v>243</v>
      </c>
      <c r="O1288" t="s">
        <v>299</v>
      </c>
      <c r="P1288">
        <v>2.9611261980222034E-3</v>
      </c>
      <c r="Q1288" t="s">
        <v>153</v>
      </c>
    </row>
    <row r="1289" spans="9:17" x14ac:dyDescent="0.45">
      <c r="I1289" t="s">
        <v>200</v>
      </c>
      <c r="J1289" t="s">
        <v>310</v>
      </c>
      <c r="K1289">
        <v>3.8272238882545474E-3</v>
      </c>
      <c r="L1289" t="s">
        <v>153</v>
      </c>
      <c r="N1289" t="s">
        <v>243</v>
      </c>
      <c r="O1289" t="s">
        <v>310</v>
      </c>
      <c r="P1289">
        <v>3.3412668620583989E-3</v>
      </c>
      <c r="Q1289" t="s">
        <v>153</v>
      </c>
    </row>
    <row r="1290" spans="9:17" x14ac:dyDescent="0.45">
      <c r="I1290" t="s">
        <v>200</v>
      </c>
      <c r="J1290" t="s">
        <v>311</v>
      </c>
      <c r="K1290">
        <v>2.2924566744455775E-3</v>
      </c>
      <c r="L1290" t="s">
        <v>153</v>
      </c>
      <c r="N1290" t="s">
        <v>243</v>
      </c>
      <c r="O1290" t="s">
        <v>311</v>
      </c>
      <c r="P1290">
        <v>2.4542665177174395E-2</v>
      </c>
      <c r="Q1290" t="s">
        <v>153</v>
      </c>
    </row>
    <row r="1291" spans="9:17" x14ac:dyDescent="0.45">
      <c r="I1291" t="s">
        <v>201</v>
      </c>
      <c r="J1291" t="s">
        <v>152</v>
      </c>
      <c r="K1291">
        <v>0</v>
      </c>
      <c r="L1291" t="s">
        <v>153</v>
      </c>
      <c r="N1291" t="s">
        <v>244</v>
      </c>
      <c r="O1291" t="s">
        <v>152</v>
      </c>
      <c r="P1291">
        <v>0.14638692869565778</v>
      </c>
      <c r="Q1291" t="s">
        <v>153</v>
      </c>
    </row>
    <row r="1292" spans="9:17" x14ac:dyDescent="0.45">
      <c r="I1292" t="s">
        <v>201</v>
      </c>
      <c r="J1292" t="s">
        <v>154</v>
      </c>
      <c r="K1292">
        <v>8.2135283114381525E-4</v>
      </c>
      <c r="L1292" t="s">
        <v>153</v>
      </c>
      <c r="N1292" t="s">
        <v>244</v>
      </c>
      <c r="O1292" t="s">
        <v>154</v>
      </c>
      <c r="P1292">
        <v>2.1443498493806758E-2</v>
      </c>
      <c r="Q1292" t="s">
        <v>153</v>
      </c>
    </row>
    <row r="1293" spans="9:17" x14ac:dyDescent="0.45">
      <c r="I1293" t="s">
        <v>201</v>
      </c>
      <c r="J1293" t="s">
        <v>155</v>
      </c>
      <c r="K1293">
        <v>1.504260385952E-2</v>
      </c>
      <c r="L1293" t="s">
        <v>153</v>
      </c>
      <c r="N1293" t="s">
        <v>244</v>
      </c>
      <c r="O1293" t="s">
        <v>155</v>
      </c>
      <c r="P1293">
        <v>1.9053108322874771E-2</v>
      </c>
      <c r="Q1293" t="s">
        <v>153</v>
      </c>
    </row>
    <row r="1294" spans="9:17" x14ac:dyDescent="0.45">
      <c r="I1294" t="s">
        <v>201</v>
      </c>
      <c r="J1294" t="s">
        <v>280</v>
      </c>
      <c r="K1294">
        <v>0.11537820786631703</v>
      </c>
      <c r="L1294" t="s">
        <v>153</v>
      </c>
      <c r="N1294" t="s">
        <v>244</v>
      </c>
      <c r="O1294" t="s">
        <v>280</v>
      </c>
      <c r="P1294">
        <v>4.5925357793967392E-2</v>
      </c>
      <c r="Q1294" t="s">
        <v>153</v>
      </c>
    </row>
    <row r="1295" spans="9:17" x14ac:dyDescent="0.45">
      <c r="I1295" t="s">
        <v>201</v>
      </c>
      <c r="J1295" t="s">
        <v>281</v>
      </c>
      <c r="K1295">
        <v>0.25275662063608845</v>
      </c>
      <c r="L1295" t="s">
        <v>153</v>
      </c>
      <c r="N1295" t="s">
        <v>244</v>
      </c>
      <c r="O1295" t="s">
        <v>281</v>
      </c>
      <c r="P1295">
        <v>8.2977469785555799E-2</v>
      </c>
      <c r="Q1295" t="s">
        <v>153</v>
      </c>
    </row>
    <row r="1296" spans="9:17" x14ac:dyDescent="0.45">
      <c r="I1296" t="s">
        <v>201</v>
      </c>
      <c r="J1296" t="s">
        <v>282</v>
      </c>
      <c r="K1296">
        <v>3.3934688580777313E-2</v>
      </c>
      <c r="L1296" t="s">
        <v>153</v>
      </c>
      <c r="N1296" t="s">
        <v>244</v>
      </c>
      <c r="O1296" t="s">
        <v>282</v>
      </c>
      <c r="P1296">
        <v>1.4728831178537028E-2</v>
      </c>
      <c r="Q1296" t="s">
        <v>153</v>
      </c>
    </row>
    <row r="1297" spans="9:17" x14ac:dyDescent="0.45">
      <c r="I1297" t="s">
        <v>201</v>
      </c>
      <c r="J1297" t="s">
        <v>304</v>
      </c>
      <c r="K1297">
        <v>2.1227947896320699E-2</v>
      </c>
      <c r="L1297" t="s">
        <v>153</v>
      </c>
      <c r="N1297" t="s">
        <v>244</v>
      </c>
      <c r="O1297" t="s">
        <v>304</v>
      </c>
      <c r="P1297">
        <v>1.6523500127381921E-2</v>
      </c>
      <c r="Q1297" t="s">
        <v>153</v>
      </c>
    </row>
    <row r="1298" spans="9:17" x14ac:dyDescent="0.45">
      <c r="I1298" t="s">
        <v>201</v>
      </c>
      <c r="J1298" t="s">
        <v>305</v>
      </c>
      <c r="K1298">
        <v>9.023373567263104E-3</v>
      </c>
      <c r="L1298" t="s">
        <v>153</v>
      </c>
      <c r="N1298" t="s">
        <v>244</v>
      </c>
      <c r="O1298" t="s">
        <v>305</v>
      </c>
      <c r="P1298">
        <v>0.1210100471438819</v>
      </c>
      <c r="Q1298" t="s">
        <v>153</v>
      </c>
    </row>
    <row r="1299" spans="9:17" x14ac:dyDescent="0.45">
      <c r="I1299" t="s">
        <v>201</v>
      </c>
      <c r="J1299" t="s">
        <v>156</v>
      </c>
      <c r="K1299">
        <v>0</v>
      </c>
      <c r="L1299" t="s">
        <v>153</v>
      </c>
      <c r="N1299" t="s">
        <v>244</v>
      </c>
      <c r="O1299" t="s">
        <v>156</v>
      </c>
      <c r="P1299">
        <v>4.6828582115296849E-2</v>
      </c>
      <c r="Q1299" t="s">
        <v>153</v>
      </c>
    </row>
    <row r="1300" spans="9:17" x14ac:dyDescent="0.45">
      <c r="I1300" t="s">
        <v>201</v>
      </c>
      <c r="J1300" t="s">
        <v>157</v>
      </c>
      <c r="K1300">
        <v>0</v>
      </c>
      <c r="L1300" t="s">
        <v>153</v>
      </c>
      <c r="N1300" t="s">
        <v>244</v>
      </c>
      <c r="O1300" t="s">
        <v>157</v>
      </c>
      <c r="P1300">
        <v>7.5356291700379354E-3</v>
      </c>
      <c r="Q1300" t="s">
        <v>153</v>
      </c>
    </row>
    <row r="1301" spans="9:17" x14ac:dyDescent="0.45">
      <c r="I1301" t="s">
        <v>201</v>
      </c>
      <c r="J1301" t="s">
        <v>158</v>
      </c>
      <c r="K1301">
        <v>0</v>
      </c>
      <c r="L1301" t="s">
        <v>153</v>
      </c>
      <c r="N1301" t="s">
        <v>244</v>
      </c>
      <c r="O1301" t="s">
        <v>158</v>
      </c>
      <c r="P1301">
        <v>7.6437731551542275E-3</v>
      </c>
      <c r="Q1301" t="s">
        <v>153</v>
      </c>
    </row>
    <row r="1302" spans="9:17" x14ac:dyDescent="0.45">
      <c r="I1302" t="s">
        <v>201</v>
      </c>
      <c r="J1302" t="s">
        <v>283</v>
      </c>
      <c r="K1302">
        <v>3.288215778538154E-2</v>
      </c>
      <c r="L1302" t="s">
        <v>153</v>
      </c>
      <c r="N1302" t="s">
        <v>244</v>
      </c>
      <c r="O1302" t="s">
        <v>283</v>
      </c>
      <c r="P1302">
        <v>1.8224419870642015E-2</v>
      </c>
      <c r="Q1302" t="s">
        <v>153</v>
      </c>
    </row>
    <row r="1303" spans="9:17" x14ac:dyDescent="0.45">
      <c r="I1303" t="s">
        <v>201</v>
      </c>
      <c r="J1303" t="s">
        <v>284</v>
      </c>
      <c r="K1303">
        <v>7.6839906510376865E-2</v>
      </c>
      <c r="L1303" t="s">
        <v>153</v>
      </c>
      <c r="N1303" t="s">
        <v>244</v>
      </c>
      <c r="O1303" t="s">
        <v>284</v>
      </c>
      <c r="P1303">
        <v>4.0192460440181078E-2</v>
      </c>
      <c r="Q1303" t="s">
        <v>153</v>
      </c>
    </row>
    <row r="1304" spans="9:17" x14ac:dyDescent="0.45">
      <c r="I1304" t="s">
        <v>201</v>
      </c>
      <c r="J1304" t="s">
        <v>285</v>
      </c>
      <c r="K1304">
        <v>1.0504806855689584E-2</v>
      </c>
      <c r="L1304" t="s">
        <v>153</v>
      </c>
      <c r="N1304" t="s">
        <v>244</v>
      </c>
      <c r="O1304" t="s">
        <v>285</v>
      </c>
      <c r="P1304">
        <v>6.0921981673441438E-3</v>
      </c>
      <c r="Q1304" t="s">
        <v>153</v>
      </c>
    </row>
    <row r="1305" spans="9:17" x14ac:dyDescent="0.45">
      <c r="I1305" t="s">
        <v>201</v>
      </c>
      <c r="J1305" t="s">
        <v>306</v>
      </c>
      <c r="K1305">
        <v>3.9206637708992798E-3</v>
      </c>
      <c r="L1305" t="s">
        <v>153</v>
      </c>
      <c r="N1305" t="s">
        <v>244</v>
      </c>
      <c r="O1305" t="s">
        <v>306</v>
      </c>
      <c r="P1305">
        <v>6.6174990054233464E-3</v>
      </c>
      <c r="Q1305" t="s">
        <v>153</v>
      </c>
    </row>
    <row r="1306" spans="9:17" x14ac:dyDescent="0.45">
      <c r="I1306" t="s">
        <v>201</v>
      </c>
      <c r="J1306" t="s">
        <v>307</v>
      </c>
      <c r="K1306">
        <v>0</v>
      </c>
      <c r="L1306" t="s">
        <v>153</v>
      </c>
      <c r="N1306" t="s">
        <v>244</v>
      </c>
      <c r="O1306" t="s">
        <v>307</v>
      </c>
      <c r="P1306">
        <v>3.958534849711691E-2</v>
      </c>
      <c r="Q1306" t="s">
        <v>153</v>
      </c>
    </row>
    <row r="1307" spans="9:17" x14ac:dyDescent="0.45">
      <c r="I1307" t="s">
        <v>201</v>
      </c>
      <c r="J1307" t="s">
        <v>159</v>
      </c>
      <c r="K1307">
        <v>0</v>
      </c>
      <c r="L1307" t="s">
        <v>153</v>
      </c>
      <c r="N1307" t="s">
        <v>244</v>
      </c>
      <c r="O1307" t="s">
        <v>159</v>
      </c>
      <c r="P1307">
        <v>8.3536555048599137E-2</v>
      </c>
      <c r="Q1307" t="s">
        <v>153</v>
      </c>
    </row>
    <row r="1308" spans="9:17" x14ac:dyDescent="0.45">
      <c r="I1308" t="s">
        <v>201</v>
      </c>
      <c r="J1308" t="s">
        <v>160</v>
      </c>
      <c r="K1308">
        <v>4.2678058752871669E-3</v>
      </c>
      <c r="L1308" t="s">
        <v>153</v>
      </c>
      <c r="N1308" t="s">
        <v>244</v>
      </c>
      <c r="O1308" t="s">
        <v>160</v>
      </c>
      <c r="P1308">
        <v>1.0770169370180478E-2</v>
      </c>
      <c r="Q1308" t="s">
        <v>153</v>
      </c>
    </row>
    <row r="1309" spans="9:17" x14ac:dyDescent="0.45">
      <c r="I1309" t="s">
        <v>201</v>
      </c>
      <c r="J1309" t="s">
        <v>161</v>
      </c>
      <c r="K1309">
        <v>1.6279180587587806E-2</v>
      </c>
      <c r="L1309" t="s">
        <v>153</v>
      </c>
      <c r="N1309" t="s">
        <v>244</v>
      </c>
      <c r="O1309" t="s">
        <v>161</v>
      </c>
      <c r="P1309">
        <v>9.0320883168660496E-3</v>
      </c>
      <c r="Q1309" t="s">
        <v>153</v>
      </c>
    </row>
    <row r="1310" spans="9:17" x14ac:dyDescent="0.45">
      <c r="I1310" t="s">
        <v>201</v>
      </c>
      <c r="J1310" t="s">
        <v>286</v>
      </c>
      <c r="K1310">
        <v>8.3857655930688765E-2</v>
      </c>
      <c r="L1310" t="s">
        <v>153</v>
      </c>
      <c r="N1310" t="s">
        <v>244</v>
      </c>
      <c r="O1310" t="s">
        <v>286</v>
      </c>
      <c r="P1310">
        <v>2.2564955168841241E-2</v>
      </c>
      <c r="Q1310" t="s">
        <v>153</v>
      </c>
    </row>
    <row r="1311" spans="9:17" x14ac:dyDescent="0.45">
      <c r="I1311" t="s">
        <v>201</v>
      </c>
      <c r="J1311" t="s">
        <v>287</v>
      </c>
      <c r="K1311">
        <v>0.18009520121976613</v>
      </c>
      <c r="L1311" t="s">
        <v>153</v>
      </c>
      <c r="N1311" t="s">
        <v>244</v>
      </c>
      <c r="O1311" t="s">
        <v>287</v>
      </c>
      <c r="P1311">
        <v>5.4407413034861241E-2</v>
      </c>
      <c r="Q1311" t="s">
        <v>153</v>
      </c>
    </row>
    <row r="1312" spans="9:17" x14ac:dyDescent="0.45">
      <c r="I1312" t="s">
        <v>201</v>
      </c>
      <c r="J1312" t="s">
        <v>288</v>
      </c>
      <c r="K1312">
        <v>2.3955856955283125E-2</v>
      </c>
      <c r="L1312" t="s">
        <v>153</v>
      </c>
      <c r="N1312" t="s">
        <v>244</v>
      </c>
      <c r="O1312" t="s">
        <v>288</v>
      </c>
      <c r="P1312">
        <v>1.1066202787418013E-2</v>
      </c>
      <c r="Q1312" t="s">
        <v>153</v>
      </c>
    </row>
    <row r="1313" spans="9:17" x14ac:dyDescent="0.45">
      <c r="I1313" t="s">
        <v>201</v>
      </c>
      <c r="J1313" t="s">
        <v>308</v>
      </c>
      <c r="K1313">
        <v>1.7173384560370163E-2</v>
      </c>
      <c r="L1313" t="s">
        <v>153</v>
      </c>
      <c r="N1313" t="s">
        <v>244</v>
      </c>
      <c r="O1313" t="s">
        <v>308</v>
      </c>
      <c r="P1313">
        <v>1.1673581451086261E-2</v>
      </c>
      <c r="Q1313" t="s">
        <v>153</v>
      </c>
    </row>
    <row r="1314" spans="9:17" x14ac:dyDescent="0.45">
      <c r="I1314" t="s">
        <v>201</v>
      </c>
      <c r="J1314" t="s">
        <v>309</v>
      </c>
      <c r="K1314">
        <v>2.69494757211275E-3</v>
      </c>
      <c r="L1314" t="s">
        <v>153</v>
      </c>
      <c r="N1314" t="s">
        <v>244</v>
      </c>
      <c r="O1314" t="s">
        <v>309</v>
      </c>
      <c r="P1314">
        <v>7.6026416678335623E-2</v>
      </c>
      <c r="Q1314" t="s">
        <v>153</v>
      </c>
    </row>
    <row r="1315" spans="9:17" x14ac:dyDescent="0.45">
      <c r="I1315" t="s">
        <v>201</v>
      </c>
      <c r="J1315" t="s">
        <v>294</v>
      </c>
      <c r="K1315">
        <v>0</v>
      </c>
      <c r="L1315" t="s">
        <v>153</v>
      </c>
      <c r="N1315" t="s">
        <v>244</v>
      </c>
      <c r="O1315" t="s">
        <v>294</v>
      </c>
      <c r="P1315">
        <v>2.7616512548739182E-2</v>
      </c>
      <c r="Q1315" t="s">
        <v>153</v>
      </c>
    </row>
    <row r="1316" spans="9:17" x14ac:dyDescent="0.45">
      <c r="I1316" t="s">
        <v>201</v>
      </c>
      <c r="J1316" t="s">
        <v>295</v>
      </c>
      <c r="K1316">
        <v>2.977100763122045E-3</v>
      </c>
      <c r="L1316" t="s">
        <v>153</v>
      </c>
      <c r="N1316" t="s">
        <v>244</v>
      </c>
      <c r="O1316" t="s">
        <v>295</v>
      </c>
      <c r="P1316">
        <v>3.1333522774690159E-3</v>
      </c>
      <c r="Q1316" t="s">
        <v>153</v>
      </c>
    </row>
    <row r="1317" spans="9:17" x14ac:dyDescent="0.45">
      <c r="I1317" t="s">
        <v>201</v>
      </c>
      <c r="J1317" t="s">
        <v>296</v>
      </c>
      <c r="K1317">
        <v>5.1378843745301123E-3</v>
      </c>
      <c r="L1317" t="s">
        <v>153</v>
      </c>
      <c r="N1317" t="s">
        <v>244</v>
      </c>
      <c r="O1317" t="s">
        <v>296</v>
      </c>
      <c r="P1317">
        <v>2.9098036710768814E-3</v>
      </c>
      <c r="Q1317" t="s">
        <v>153</v>
      </c>
    </row>
    <row r="1318" spans="9:17" x14ac:dyDescent="0.45">
      <c r="I1318" t="s">
        <v>201</v>
      </c>
      <c r="J1318" t="s">
        <v>297</v>
      </c>
      <c r="K1318">
        <v>2.4156409575723254E-2</v>
      </c>
      <c r="L1318" t="s">
        <v>153</v>
      </c>
      <c r="N1318" t="s">
        <v>244</v>
      </c>
      <c r="O1318" t="s">
        <v>297</v>
      </c>
      <c r="P1318">
        <v>6.9515411787474434E-3</v>
      </c>
      <c r="Q1318" t="s">
        <v>153</v>
      </c>
    </row>
    <row r="1319" spans="9:17" x14ac:dyDescent="0.45">
      <c r="I1319" t="s">
        <v>201</v>
      </c>
      <c r="J1319" t="s">
        <v>298</v>
      </c>
      <c r="K1319">
        <v>5.1545704673333269E-2</v>
      </c>
      <c r="L1319" t="s">
        <v>153</v>
      </c>
      <c r="N1319" t="s">
        <v>244</v>
      </c>
      <c r="O1319" t="s">
        <v>298</v>
      </c>
      <c r="P1319">
        <v>1.0033768503535642E-2</v>
      </c>
      <c r="Q1319" t="s">
        <v>153</v>
      </c>
    </row>
    <row r="1320" spans="9:17" x14ac:dyDescent="0.45">
      <c r="I1320" t="s">
        <v>201</v>
      </c>
      <c r="J1320" t="s">
        <v>299</v>
      </c>
      <c r="K1320">
        <v>6.8091987652621321E-3</v>
      </c>
      <c r="L1320" t="s">
        <v>153</v>
      </c>
      <c r="N1320" t="s">
        <v>244</v>
      </c>
      <c r="O1320" t="s">
        <v>299</v>
      </c>
      <c r="P1320">
        <v>2.4356736962815443E-3</v>
      </c>
      <c r="Q1320" t="s">
        <v>153</v>
      </c>
    </row>
    <row r="1321" spans="9:17" x14ac:dyDescent="0.45">
      <c r="I1321" t="s">
        <v>201</v>
      </c>
      <c r="J1321" t="s">
        <v>310</v>
      </c>
      <c r="K1321">
        <v>5.3799902439822071E-3</v>
      </c>
      <c r="L1321" t="s">
        <v>153</v>
      </c>
      <c r="N1321" t="s">
        <v>244</v>
      </c>
      <c r="O1321" t="s">
        <v>310</v>
      </c>
      <c r="P1321">
        <v>2.7873640458740342E-3</v>
      </c>
      <c r="Q1321" t="s">
        <v>153</v>
      </c>
    </row>
    <row r="1322" spans="9:17" x14ac:dyDescent="0.45">
      <c r="I1322" t="s">
        <v>201</v>
      </c>
      <c r="J1322" t="s">
        <v>311</v>
      </c>
      <c r="K1322">
        <v>3.3373487431729489E-3</v>
      </c>
      <c r="L1322" t="s">
        <v>153</v>
      </c>
      <c r="N1322" t="s">
        <v>244</v>
      </c>
      <c r="O1322" t="s">
        <v>311</v>
      </c>
      <c r="P1322">
        <v>2.4285950259226457E-2</v>
      </c>
      <c r="Q1322" t="s">
        <v>153</v>
      </c>
    </row>
    <row r="1323" spans="9:17" x14ac:dyDescent="0.45">
      <c r="I1323" t="s">
        <v>202</v>
      </c>
      <c r="J1323" t="s">
        <v>152</v>
      </c>
      <c r="K1323">
        <v>0</v>
      </c>
      <c r="L1323" t="s">
        <v>153</v>
      </c>
      <c r="N1323" t="s">
        <v>245</v>
      </c>
      <c r="O1323" t="s">
        <v>152</v>
      </c>
      <c r="P1323">
        <v>0.15985755991825853</v>
      </c>
      <c r="Q1323" t="s">
        <v>153</v>
      </c>
    </row>
    <row r="1324" spans="9:17" x14ac:dyDescent="0.45">
      <c r="I1324" t="s">
        <v>202</v>
      </c>
      <c r="J1324" t="s">
        <v>154</v>
      </c>
      <c r="K1324">
        <v>1.9779311763277124E-4</v>
      </c>
      <c r="L1324" t="s">
        <v>153</v>
      </c>
      <c r="N1324" t="s">
        <v>245</v>
      </c>
      <c r="O1324" t="s">
        <v>154</v>
      </c>
      <c r="P1324">
        <v>2.290895886241098E-2</v>
      </c>
      <c r="Q1324" t="s">
        <v>153</v>
      </c>
    </row>
    <row r="1325" spans="9:17" x14ac:dyDescent="0.45">
      <c r="I1325" t="s">
        <v>202</v>
      </c>
      <c r="J1325" t="s">
        <v>155</v>
      </c>
      <c r="K1325">
        <v>1.4563584595975341E-2</v>
      </c>
      <c r="L1325" t="s">
        <v>153</v>
      </c>
      <c r="N1325" t="s">
        <v>245</v>
      </c>
      <c r="O1325" t="s">
        <v>155</v>
      </c>
      <c r="P1325">
        <v>2.0209742242961262E-2</v>
      </c>
      <c r="Q1325" t="s">
        <v>153</v>
      </c>
    </row>
    <row r="1326" spans="9:17" x14ac:dyDescent="0.45">
      <c r="I1326" t="s">
        <v>202</v>
      </c>
      <c r="J1326" t="s">
        <v>280</v>
      </c>
      <c r="K1326">
        <v>0.11594412820643153</v>
      </c>
      <c r="L1326" t="s">
        <v>153</v>
      </c>
      <c r="N1326" t="s">
        <v>245</v>
      </c>
      <c r="O1326" t="s">
        <v>280</v>
      </c>
      <c r="P1326">
        <v>4.803616650622667E-2</v>
      </c>
      <c r="Q1326" t="s">
        <v>153</v>
      </c>
    </row>
    <row r="1327" spans="9:17" x14ac:dyDescent="0.45">
      <c r="I1327" t="s">
        <v>202</v>
      </c>
      <c r="J1327" t="s">
        <v>281</v>
      </c>
      <c r="K1327">
        <v>0.25943513952581976</v>
      </c>
      <c r="L1327" t="s">
        <v>153</v>
      </c>
      <c r="N1327" t="s">
        <v>245</v>
      </c>
      <c r="O1327" t="s">
        <v>281</v>
      </c>
      <c r="P1327">
        <v>6.1186917693097455E-2</v>
      </c>
      <c r="Q1327" t="s">
        <v>153</v>
      </c>
    </row>
    <row r="1328" spans="9:17" x14ac:dyDescent="0.45">
      <c r="I1328" t="s">
        <v>202</v>
      </c>
      <c r="J1328" t="s">
        <v>282</v>
      </c>
      <c r="K1328">
        <v>3.4278279977224255E-2</v>
      </c>
      <c r="L1328" t="s">
        <v>153</v>
      </c>
      <c r="N1328" t="s">
        <v>245</v>
      </c>
      <c r="O1328" t="s">
        <v>282</v>
      </c>
      <c r="P1328">
        <v>9.2713476926135907E-3</v>
      </c>
      <c r="Q1328" t="s">
        <v>153</v>
      </c>
    </row>
    <row r="1329" spans="9:17" x14ac:dyDescent="0.45">
      <c r="I1329" t="s">
        <v>202</v>
      </c>
      <c r="J1329" t="s">
        <v>304</v>
      </c>
      <c r="K1329">
        <v>2.122777551358257E-2</v>
      </c>
      <c r="L1329" t="s">
        <v>153</v>
      </c>
      <c r="N1329" t="s">
        <v>245</v>
      </c>
      <c r="O1329" t="s">
        <v>304</v>
      </c>
      <c r="P1329">
        <v>1.1920564410267374E-2</v>
      </c>
      <c r="Q1329" t="s">
        <v>153</v>
      </c>
    </row>
    <row r="1330" spans="9:17" x14ac:dyDescent="0.45">
      <c r="I1330" t="s">
        <v>202</v>
      </c>
      <c r="J1330" t="s">
        <v>305</v>
      </c>
      <c r="K1330">
        <v>7.798468826556053E-3</v>
      </c>
      <c r="L1330" t="s">
        <v>153</v>
      </c>
      <c r="N1330" t="s">
        <v>245</v>
      </c>
      <c r="O1330" t="s">
        <v>305</v>
      </c>
      <c r="P1330">
        <v>0.11681537140007925</v>
      </c>
      <c r="Q1330" t="s">
        <v>153</v>
      </c>
    </row>
    <row r="1331" spans="9:17" x14ac:dyDescent="0.45">
      <c r="I1331" t="s">
        <v>202</v>
      </c>
      <c r="J1331" t="s">
        <v>156</v>
      </c>
      <c r="K1331">
        <v>0</v>
      </c>
      <c r="L1331" t="s">
        <v>153</v>
      </c>
      <c r="N1331" t="s">
        <v>245</v>
      </c>
      <c r="O1331" t="s">
        <v>156</v>
      </c>
      <c r="P1331">
        <v>5.8320234190532276E-2</v>
      </c>
      <c r="Q1331" t="s">
        <v>153</v>
      </c>
    </row>
    <row r="1332" spans="9:17" x14ac:dyDescent="0.45">
      <c r="I1332" t="s">
        <v>202</v>
      </c>
      <c r="J1332" t="s">
        <v>157</v>
      </c>
      <c r="K1332">
        <v>0</v>
      </c>
      <c r="L1332" t="s">
        <v>153</v>
      </c>
      <c r="N1332" t="s">
        <v>245</v>
      </c>
      <c r="O1332" t="s">
        <v>157</v>
      </c>
      <c r="P1332">
        <v>9.0268217355076764E-3</v>
      </c>
      <c r="Q1332" t="s">
        <v>153</v>
      </c>
    </row>
    <row r="1333" spans="9:17" x14ac:dyDescent="0.45">
      <c r="I1333" t="s">
        <v>202</v>
      </c>
      <c r="J1333" t="s">
        <v>158</v>
      </c>
      <c r="K1333">
        <v>0</v>
      </c>
      <c r="L1333" t="s">
        <v>153</v>
      </c>
      <c r="N1333" t="s">
        <v>245</v>
      </c>
      <c r="O1333" t="s">
        <v>158</v>
      </c>
      <c r="P1333">
        <v>8.883782441191989E-3</v>
      </c>
      <c r="Q1333" t="s">
        <v>153</v>
      </c>
    </row>
    <row r="1334" spans="9:17" x14ac:dyDescent="0.45">
      <c r="I1334" t="s">
        <v>202</v>
      </c>
      <c r="J1334" t="s">
        <v>283</v>
      </c>
      <c r="K1334">
        <v>3.4304560552709217E-2</v>
      </c>
      <c r="L1334" t="s">
        <v>153</v>
      </c>
      <c r="N1334" t="s">
        <v>245</v>
      </c>
      <c r="O1334" t="s">
        <v>283</v>
      </c>
      <c r="P1334">
        <v>1.8064376870304256E-2</v>
      </c>
      <c r="Q1334" t="s">
        <v>153</v>
      </c>
    </row>
    <row r="1335" spans="9:17" x14ac:dyDescent="0.45">
      <c r="I1335" t="s">
        <v>202</v>
      </c>
      <c r="J1335" t="s">
        <v>284</v>
      </c>
      <c r="K1335">
        <v>8.3158994183462814E-2</v>
      </c>
      <c r="L1335" t="s">
        <v>153</v>
      </c>
      <c r="N1335" t="s">
        <v>245</v>
      </c>
      <c r="O1335" t="s">
        <v>284</v>
      </c>
      <c r="P1335">
        <v>3.077909876575062E-2</v>
      </c>
      <c r="Q1335" t="s">
        <v>153</v>
      </c>
    </row>
    <row r="1336" spans="9:17" x14ac:dyDescent="0.45">
      <c r="I1336" t="s">
        <v>202</v>
      </c>
      <c r="J1336" t="s">
        <v>285</v>
      </c>
      <c r="K1336">
        <v>1.1040386512709808E-2</v>
      </c>
      <c r="L1336" t="s">
        <v>153</v>
      </c>
      <c r="N1336" t="s">
        <v>245</v>
      </c>
      <c r="O1336" t="s">
        <v>285</v>
      </c>
      <c r="P1336">
        <v>4.2422585100515692E-3</v>
      </c>
      <c r="Q1336" t="s">
        <v>153</v>
      </c>
    </row>
    <row r="1337" spans="9:17" x14ac:dyDescent="0.45">
      <c r="I1337" t="s">
        <v>202</v>
      </c>
      <c r="J1337" t="s">
        <v>306</v>
      </c>
      <c r="K1337">
        <v>4.5205546783263816E-3</v>
      </c>
      <c r="L1337" t="s">
        <v>153</v>
      </c>
      <c r="N1337" t="s">
        <v>245</v>
      </c>
      <c r="O1337" t="s">
        <v>306</v>
      </c>
      <c r="P1337">
        <v>5.6205349087396078E-3</v>
      </c>
      <c r="Q1337" t="s">
        <v>153</v>
      </c>
    </row>
    <row r="1338" spans="9:17" x14ac:dyDescent="0.45">
      <c r="I1338" t="s">
        <v>202</v>
      </c>
      <c r="J1338" t="s">
        <v>307</v>
      </c>
      <c r="K1338">
        <v>0</v>
      </c>
      <c r="L1338" t="s">
        <v>153</v>
      </c>
      <c r="N1338" t="s">
        <v>245</v>
      </c>
      <c r="O1338" t="s">
        <v>307</v>
      </c>
      <c r="P1338">
        <v>4.6142322029086871E-2</v>
      </c>
      <c r="Q1338" t="s">
        <v>153</v>
      </c>
    </row>
    <row r="1339" spans="9:17" x14ac:dyDescent="0.45">
      <c r="I1339" t="s">
        <v>202</v>
      </c>
      <c r="J1339" t="s">
        <v>159</v>
      </c>
      <c r="K1339">
        <v>0</v>
      </c>
      <c r="L1339" t="s">
        <v>153</v>
      </c>
      <c r="N1339" t="s">
        <v>245</v>
      </c>
      <c r="O1339" t="s">
        <v>159</v>
      </c>
      <c r="P1339">
        <v>0.1025801962612875</v>
      </c>
      <c r="Q1339" t="s">
        <v>153</v>
      </c>
    </row>
    <row r="1340" spans="9:17" x14ac:dyDescent="0.45">
      <c r="I1340" t="s">
        <v>202</v>
      </c>
      <c r="J1340" t="s">
        <v>160</v>
      </c>
      <c r="K1340">
        <v>3.2129967567619514E-3</v>
      </c>
      <c r="L1340" t="s">
        <v>153</v>
      </c>
      <c r="N1340" t="s">
        <v>245</v>
      </c>
      <c r="O1340" t="s">
        <v>160</v>
      </c>
      <c r="P1340">
        <v>1.2192534850838228E-2</v>
      </c>
      <c r="Q1340" t="s">
        <v>153</v>
      </c>
    </row>
    <row r="1341" spans="9:17" x14ac:dyDescent="0.45">
      <c r="I1341" t="s">
        <v>202</v>
      </c>
      <c r="J1341" t="s">
        <v>161</v>
      </c>
      <c r="K1341">
        <v>1.5573332854754946E-2</v>
      </c>
      <c r="L1341" t="s">
        <v>153</v>
      </c>
      <c r="N1341" t="s">
        <v>245</v>
      </c>
      <c r="O1341" t="s">
        <v>161</v>
      </c>
      <c r="P1341">
        <v>9.648157336811413E-3</v>
      </c>
      <c r="Q1341" t="s">
        <v>153</v>
      </c>
    </row>
    <row r="1342" spans="9:17" x14ac:dyDescent="0.45">
      <c r="I1342" t="s">
        <v>202</v>
      </c>
      <c r="J1342" t="s">
        <v>286</v>
      </c>
      <c r="K1342">
        <v>8.2957377831021389E-2</v>
      </c>
      <c r="L1342" t="s">
        <v>153</v>
      </c>
      <c r="N1342" t="s">
        <v>245</v>
      </c>
      <c r="O1342" t="s">
        <v>286</v>
      </c>
      <c r="P1342">
        <v>2.3759730802720768E-2</v>
      </c>
      <c r="Q1342" t="s">
        <v>153</v>
      </c>
    </row>
    <row r="1343" spans="9:17" x14ac:dyDescent="0.45">
      <c r="I1343" t="s">
        <v>202</v>
      </c>
      <c r="J1343" t="s">
        <v>287</v>
      </c>
      <c r="K1343">
        <v>0.18099523177283594</v>
      </c>
      <c r="L1343" t="s">
        <v>153</v>
      </c>
      <c r="N1343" t="s">
        <v>245</v>
      </c>
      <c r="O1343" t="s">
        <v>287</v>
      </c>
      <c r="P1343">
        <v>4.4903979816190258E-2</v>
      </c>
      <c r="Q1343" t="s">
        <v>153</v>
      </c>
    </row>
    <row r="1344" spans="9:17" x14ac:dyDescent="0.45">
      <c r="I1344" t="s">
        <v>202</v>
      </c>
      <c r="J1344" t="s">
        <v>288</v>
      </c>
      <c r="K1344">
        <v>2.2592040310245705E-2</v>
      </c>
      <c r="L1344" t="s">
        <v>153</v>
      </c>
      <c r="N1344" t="s">
        <v>245</v>
      </c>
      <c r="O1344" t="s">
        <v>288</v>
      </c>
      <c r="P1344">
        <v>8.9664361038331031E-3</v>
      </c>
      <c r="Q1344" t="s">
        <v>153</v>
      </c>
    </row>
    <row r="1345" spans="9:17" x14ac:dyDescent="0.45">
      <c r="I1345" t="s">
        <v>202</v>
      </c>
      <c r="J1345" t="s">
        <v>308</v>
      </c>
      <c r="K1345">
        <v>1.552196662485344E-2</v>
      </c>
      <c r="L1345" t="s">
        <v>153</v>
      </c>
      <c r="N1345" t="s">
        <v>245</v>
      </c>
      <c r="O1345" t="s">
        <v>308</v>
      </c>
      <c r="P1345">
        <v>1.0146737330993843E-2</v>
      </c>
      <c r="Q1345" t="s">
        <v>153</v>
      </c>
    </row>
    <row r="1346" spans="9:17" x14ac:dyDescent="0.45">
      <c r="I1346" t="s">
        <v>202</v>
      </c>
      <c r="J1346" t="s">
        <v>309</v>
      </c>
      <c r="K1346">
        <v>1.2354661749172477E-3</v>
      </c>
      <c r="L1346" t="s">
        <v>153</v>
      </c>
      <c r="N1346" t="s">
        <v>245</v>
      </c>
      <c r="O1346" t="s">
        <v>309</v>
      </c>
      <c r="P1346">
        <v>8.6631598278861174E-2</v>
      </c>
      <c r="Q1346" t="s">
        <v>153</v>
      </c>
    </row>
    <row r="1347" spans="9:17" x14ac:dyDescent="0.45">
      <c r="I1347" t="s">
        <v>202</v>
      </c>
      <c r="J1347" t="s">
        <v>294</v>
      </c>
      <c r="K1347">
        <v>0</v>
      </c>
      <c r="L1347" t="s">
        <v>153</v>
      </c>
      <c r="N1347" t="s">
        <v>245</v>
      </c>
      <c r="O1347" t="s">
        <v>294</v>
      </c>
      <c r="P1347">
        <v>2.7821731978124584E-2</v>
      </c>
      <c r="Q1347" t="s">
        <v>153</v>
      </c>
    </row>
    <row r="1348" spans="9:17" x14ac:dyDescent="0.45">
      <c r="I1348" t="s">
        <v>202</v>
      </c>
      <c r="J1348" t="s">
        <v>295</v>
      </c>
      <c r="K1348">
        <v>2.2562535381199168E-3</v>
      </c>
      <c r="L1348" t="s">
        <v>153</v>
      </c>
      <c r="N1348" t="s">
        <v>245</v>
      </c>
      <c r="O1348" t="s">
        <v>295</v>
      </c>
      <c r="P1348">
        <v>3.0233649236660956E-3</v>
      </c>
      <c r="Q1348" t="s">
        <v>153</v>
      </c>
    </row>
    <row r="1349" spans="9:17" x14ac:dyDescent="0.45">
      <c r="I1349" t="s">
        <v>202</v>
      </c>
      <c r="J1349" t="s">
        <v>296</v>
      </c>
      <c r="K1349">
        <v>4.3828603627105939E-3</v>
      </c>
      <c r="L1349" t="s">
        <v>153</v>
      </c>
      <c r="N1349" t="s">
        <v>245</v>
      </c>
      <c r="O1349" t="s">
        <v>296</v>
      </c>
      <c r="P1349">
        <v>2.6807602376939057E-3</v>
      </c>
      <c r="Q1349" t="s">
        <v>153</v>
      </c>
    </row>
    <row r="1350" spans="9:17" x14ac:dyDescent="0.45">
      <c r="I1350" t="s">
        <v>202</v>
      </c>
      <c r="J1350" t="s">
        <v>297</v>
      </c>
      <c r="K1350">
        <v>2.236549259420148E-2</v>
      </c>
      <c r="L1350" t="s">
        <v>153</v>
      </c>
      <c r="N1350" t="s">
        <v>245</v>
      </c>
      <c r="O1350" t="s">
        <v>297</v>
      </c>
      <c r="P1350">
        <v>6.7662659489270477E-3</v>
      </c>
      <c r="Q1350" t="s">
        <v>153</v>
      </c>
    </row>
    <row r="1351" spans="9:17" x14ac:dyDescent="0.45">
      <c r="I1351" t="s">
        <v>202</v>
      </c>
      <c r="J1351" t="s">
        <v>298</v>
      </c>
      <c r="K1351">
        <v>4.867416819613668E-2</v>
      </c>
      <c r="L1351" t="s">
        <v>153</v>
      </c>
      <c r="N1351" t="s">
        <v>245</v>
      </c>
      <c r="O1351" t="s">
        <v>298</v>
      </c>
      <c r="P1351">
        <v>7.2619546159036832E-3</v>
      </c>
      <c r="Q1351" t="s">
        <v>153</v>
      </c>
    </row>
    <row r="1352" spans="9:17" x14ac:dyDescent="0.45">
      <c r="I1352" t="s">
        <v>202</v>
      </c>
      <c r="J1352" t="s">
        <v>299</v>
      </c>
      <c r="K1352">
        <v>6.3213791154128817E-3</v>
      </c>
      <c r="L1352" t="s">
        <v>153</v>
      </c>
      <c r="N1352" t="s">
        <v>245</v>
      </c>
      <c r="O1352" t="s">
        <v>299</v>
      </c>
      <c r="P1352">
        <v>1.2708238454020838E-3</v>
      </c>
      <c r="Q1352" t="s">
        <v>153</v>
      </c>
    </row>
    <row r="1353" spans="9:17" x14ac:dyDescent="0.45">
      <c r="I1353" t="s">
        <v>202</v>
      </c>
      <c r="J1353" t="s">
        <v>310</v>
      </c>
      <c r="K1353">
        <v>4.7077636272071987E-3</v>
      </c>
      <c r="L1353" t="s">
        <v>153</v>
      </c>
      <c r="N1353" t="s">
        <v>245</v>
      </c>
      <c r="O1353" t="s">
        <v>310</v>
      </c>
      <c r="P1353">
        <v>1.5836045617765874E-3</v>
      </c>
      <c r="Q1353" t="s">
        <v>153</v>
      </c>
    </row>
    <row r="1354" spans="9:17" x14ac:dyDescent="0.45">
      <c r="I1354" t="s">
        <v>202</v>
      </c>
      <c r="J1354" t="s">
        <v>311</v>
      </c>
      <c r="K1354">
        <v>2.7340045503907412E-3</v>
      </c>
      <c r="L1354" t="s">
        <v>153</v>
      </c>
      <c r="N1354" t="s">
        <v>245</v>
      </c>
      <c r="O1354" t="s">
        <v>311</v>
      </c>
      <c r="P1354">
        <v>1.9476064929891585E-2</v>
      </c>
      <c r="Q1354" t="s">
        <v>153</v>
      </c>
    </row>
    <row r="1355" spans="9:17" x14ac:dyDescent="0.45">
      <c r="I1355" t="s">
        <v>203</v>
      </c>
      <c r="J1355" t="s">
        <v>152</v>
      </c>
      <c r="K1355">
        <v>0</v>
      </c>
      <c r="L1355" t="s">
        <v>153</v>
      </c>
    </row>
    <row r="1356" spans="9:17" x14ac:dyDescent="0.45">
      <c r="I1356" t="s">
        <v>203</v>
      </c>
      <c r="J1356" t="s">
        <v>154</v>
      </c>
      <c r="K1356">
        <v>9.6179490234716951E-4</v>
      </c>
      <c r="L1356" t="s">
        <v>153</v>
      </c>
    </row>
    <row r="1357" spans="9:17" x14ac:dyDescent="0.45">
      <c r="I1357" t="s">
        <v>203</v>
      </c>
      <c r="J1357" t="s">
        <v>155</v>
      </c>
      <c r="K1357">
        <v>1.3905352702180141E-2</v>
      </c>
      <c r="L1357" t="s">
        <v>153</v>
      </c>
    </row>
    <row r="1358" spans="9:17" x14ac:dyDescent="0.45">
      <c r="I1358" t="s">
        <v>203</v>
      </c>
      <c r="J1358" t="s">
        <v>280</v>
      </c>
      <c r="K1358">
        <v>0.11326429565864164</v>
      </c>
      <c r="L1358" t="s">
        <v>153</v>
      </c>
    </row>
    <row r="1359" spans="9:17" x14ac:dyDescent="0.45">
      <c r="I1359" t="s">
        <v>203</v>
      </c>
      <c r="J1359" t="s">
        <v>281</v>
      </c>
      <c r="K1359">
        <v>0.26538513170230926</v>
      </c>
      <c r="L1359" t="s">
        <v>153</v>
      </c>
    </row>
    <row r="1360" spans="9:17" x14ac:dyDescent="0.45">
      <c r="I1360" t="s">
        <v>203</v>
      </c>
      <c r="J1360" t="s">
        <v>282</v>
      </c>
      <c r="K1360">
        <v>3.3881281442656327E-2</v>
      </c>
      <c r="L1360" t="s">
        <v>153</v>
      </c>
    </row>
    <row r="1361" spans="9:12" x14ac:dyDescent="0.45">
      <c r="I1361" t="s">
        <v>203</v>
      </c>
      <c r="J1361" t="s">
        <v>304</v>
      </c>
      <c r="K1361">
        <v>1.8624682453770018E-2</v>
      </c>
      <c r="L1361" t="s">
        <v>153</v>
      </c>
    </row>
    <row r="1362" spans="9:12" x14ac:dyDescent="0.45">
      <c r="I1362" t="s">
        <v>203</v>
      </c>
      <c r="J1362" t="s">
        <v>305</v>
      </c>
      <c r="K1362">
        <v>6.8236323154522976E-3</v>
      </c>
      <c r="L1362" t="s">
        <v>153</v>
      </c>
    </row>
    <row r="1363" spans="9:12" x14ac:dyDescent="0.45">
      <c r="I1363" t="s">
        <v>203</v>
      </c>
      <c r="J1363" t="s">
        <v>156</v>
      </c>
      <c r="K1363">
        <v>0</v>
      </c>
      <c r="L1363" t="s">
        <v>153</v>
      </c>
    </row>
    <row r="1364" spans="9:12" x14ac:dyDescent="0.45">
      <c r="I1364" t="s">
        <v>203</v>
      </c>
      <c r="J1364" t="s">
        <v>157</v>
      </c>
      <c r="K1364">
        <v>0</v>
      </c>
      <c r="L1364" t="s">
        <v>153</v>
      </c>
    </row>
    <row r="1365" spans="9:12" x14ac:dyDescent="0.45">
      <c r="I1365" t="s">
        <v>203</v>
      </c>
      <c r="J1365" t="s">
        <v>158</v>
      </c>
      <c r="K1365">
        <v>0</v>
      </c>
      <c r="L1365" t="s">
        <v>153</v>
      </c>
    </row>
    <row r="1366" spans="9:12" x14ac:dyDescent="0.45">
      <c r="I1366" t="s">
        <v>203</v>
      </c>
      <c r="J1366" t="s">
        <v>283</v>
      </c>
      <c r="K1366">
        <v>3.4127941444661428E-2</v>
      </c>
      <c r="L1366" t="s">
        <v>153</v>
      </c>
    </row>
    <row r="1367" spans="9:12" x14ac:dyDescent="0.45">
      <c r="I1367" t="s">
        <v>203</v>
      </c>
      <c r="J1367" t="s">
        <v>284</v>
      </c>
      <c r="K1367">
        <v>8.5842243333857107E-2</v>
      </c>
      <c r="L1367" t="s">
        <v>153</v>
      </c>
    </row>
    <row r="1368" spans="9:12" x14ac:dyDescent="0.45">
      <c r="I1368" t="s">
        <v>203</v>
      </c>
      <c r="J1368" t="s">
        <v>285</v>
      </c>
      <c r="K1368">
        <v>1.1312531729321075E-2</v>
      </c>
      <c r="L1368" t="s">
        <v>153</v>
      </c>
    </row>
    <row r="1369" spans="9:12" x14ac:dyDescent="0.45">
      <c r="I1369" t="s">
        <v>203</v>
      </c>
      <c r="J1369" t="s">
        <v>306</v>
      </c>
      <c r="K1369">
        <v>2.805960722916564E-3</v>
      </c>
      <c r="L1369" t="s">
        <v>153</v>
      </c>
    </row>
    <row r="1370" spans="9:12" x14ac:dyDescent="0.45">
      <c r="I1370" t="s">
        <v>203</v>
      </c>
      <c r="J1370" t="s">
        <v>307</v>
      </c>
      <c r="K1370">
        <v>0</v>
      </c>
      <c r="L1370" t="s">
        <v>153</v>
      </c>
    </row>
    <row r="1371" spans="9:12" x14ac:dyDescent="0.45">
      <c r="I1371" t="s">
        <v>203</v>
      </c>
      <c r="J1371" t="s">
        <v>159</v>
      </c>
      <c r="K1371">
        <v>0</v>
      </c>
      <c r="L1371" t="s">
        <v>153</v>
      </c>
    </row>
    <row r="1372" spans="9:12" x14ac:dyDescent="0.45">
      <c r="I1372" t="s">
        <v>203</v>
      </c>
      <c r="J1372" t="s">
        <v>160</v>
      </c>
      <c r="K1372">
        <v>3.4264303462727451E-3</v>
      </c>
      <c r="L1372" t="s">
        <v>153</v>
      </c>
    </row>
    <row r="1373" spans="9:12" x14ac:dyDescent="0.45">
      <c r="I1373" t="s">
        <v>203</v>
      </c>
      <c r="J1373" t="s">
        <v>161</v>
      </c>
      <c r="K1373">
        <v>1.5282181615434785E-2</v>
      </c>
      <c r="L1373" t="s">
        <v>153</v>
      </c>
    </row>
    <row r="1374" spans="9:12" x14ac:dyDescent="0.45">
      <c r="I1374" t="s">
        <v>203</v>
      </c>
      <c r="J1374" t="s">
        <v>286</v>
      </c>
      <c r="K1374">
        <v>8.1188949077493661E-2</v>
      </c>
      <c r="L1374" t="s">
        <v>153</v>
      </c>
    </row>
    <row r="1375" spans="9:12" x14ac:dyDescent="0.45">
      <c r="I1375" t="s">
        <v>203</v>
      </c>
      <c r="J1375" t="s">
        <v>287</v>
      </c>
      <c r="K1375">
        <v>0.18443515355475573</v>
      </c>
      <c r="L1375" t="s">
        <v>153</v>
      </c>
    </row>
    <row r="1376" spans="9:12" x14ac:dyDescent="0.45">
      <c r="I1376" t="s">
        <v>203</v>
      </c>
      <c r="J1376" t="s">
        <v>288</v>
      </c>
      <c r="K1376">
        <v>2.2505690444812435E-2</v>
      </c>
      <c r="L1376" t="s">
        <v>153</v>
      </c>
    </row>
    <row r="1377" spans="9:12" x14ac:dyDescent="0.45">
      <c r="I1377" t="s">
        <v>203</v>
      </c>
      <c r="J1377" t="s">
        <v>308</v>
      </c>
      <c r="K1377">
        <v>1.4857444140476619E-2</v>
      </c>
      <c r="L1377" t="s">
        <v>153</v>
      </c>
    </row>
    <row r="1378" spans="9:12" x14ac:dyDescent="0.45">
      <c r="I1378" t="s">
        <v>203</v>
      </c>
      <c r="J1378" t="s">
        <v>309</v>
      </c>
      <c r="K1378">
        <v>6.4245547122564303E-4</v>
      </c>
      <c r="L1378" t="s">
        <v>153</v>
      </c>
    </row>
    <row r="1379" spans="9:12" x14ac:dyDescent="0.45">
      <c r="I1379" t="s">
        <v>203</v>
      </c>
      <c r="J1379" t="s">
        <v>294</v>
      </c>
      <c r="K1379">
        <v>0</v>
      </c>
      <c r="L1379" t="s">
        <v>153</v>
      </c>
    </row>
    <row r="1380" spans="9:12" x14ac:dyDescent="0.45">
      <c r="I1380" t="s">
        <v>203</v>
      </c>
      <c r="J1380" t="s">
        <v>295</v>
      </c>
      <c r="K1380">
        <v>1.7194355619615995E-3</v>
      </c>
      <c r="L1380" t="s">
        <v>153</v>
      </c>
    </row>
    <row r="1381" spans="9:12" x14ac:dyDescent="0.45">
      <c r="I1381" t="s">
        <v>203</v>
      </c>
      <c r="J1381" t="s">
        <v>296</v>
      </c>
      <c r="K1381">
        <v>3.476144301835698E-3</v>
      </c>
      <c r="L1381" t="s">
        <v>153</v>
      </c>
    </row>
    <row r="1382" spans="9:12" x14ac:dyDescent="0.45">
      <c r="I1382" t="s">
        <v>203</v>
      </c>
      <c r="J1382" t="s">
        <v>297</v>
      </c>
      <c r="K1382">
        <v>2.1187709082041598E-2</v>
      </c>
      <c r="L1382" t="s">
        <v>153</v>
      </c>
    </row>
    <row r="1383" spans="9:12" x14ac:dyDescent="0.45">
      <c r="I1383" t="s">
        <v>203</v>
      </c>
      <c r="J1383" t="s">
        <v>298</v>
      </c>
      <c r="K1383">
        <v>5.0952773675305187E-2</v>
      </c>
      <c r="L1383" t="s">
        <v>153</v>
      </c>
    </row>
    <row r="1384" spans="9:12" x14ac:dyDescent="0.45">
      <c r="I1384" t="s">
        <v>203</v>
      </c>
      <c r="J1384" t="s">
        <v>299</v>
      </c>
      <c r="K1384">
        <v>6.2837619306891903E-3</v>
      </c>
      <c r="L1384" t="s">
        <v>153</v>
      </c>
    </row>
    <row r="1385" spans="9:12" x14ac:dyDescent="0.45">
      <c r="I1385" t="s">
        <v>203</v>
      </c>
      <c r="J1385" t="s">
        <v>310</v>
      </c>
      <c r="K1385">
        <v>4.5516864551936815E-3</v>
      </c>
      <c r="L1385" t="s">
        <v>153</v>
      </c>
    </row>
    <row r="1386" spans="9:12" x14ac:dyDescent="0.45">
      <c r="I1386" t="s">
        <v>203</v>
      </c>
      <c r="J1386" t="s">
        <v>311</v>
      </c>
      <c r="K1386">
        <v>2.5553359343892168E-3</v>
      </c>
      <c r="L1386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5A336-6796-47F9-836F-094BCD082069}">
  <dimension ref="A9:AN5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266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272</v>
      </c>
      <c r="AK10" t="s">
        <v>47</v>
      </c>
      <c r="AL10" t="s">
        <v>115</v>
      </c>
      <c r="AM10" t="s">
        <v>273</v>
      </c>
      <c r="AN10" t="s">
        <v>274</v>
      </c>
    </row>
    <row r="11" spans="1:40" x14ac:dyDescent="0.45">
      <c r="A11" t="str">
        <f>IFERROR(IF(Veda!D5=A10,"ok","x"),"")</f>
        <v>ok</v>
      </c>
      <c r="C11" t="s">
        <v>314</v>
      </c>
      <c r="D11" t="s">
        <v>143</v>
      </c>
      <c r="E11" t="s">
        <v>315</v>
      </c>
      <c r="F11" t="s">
        <v>314</v>
      </c>
      <c r="G11" t="s">
        <v>143</v>
      </c>
      <c r="I11" t="s">
        <v>151</v>
      </c>
      <c r="J11" t="s">
        <v>316</v>
      </c>
      <c r="K11">
        <v>1.0000000000000011</v>
      </c>
      <c r="L11" t="s">
        <v>153</v>
      </c>
      <c r="N11" t="s">
        <v>204</v>
      </c>
      <c r="O11" t="s">
        <v>316</v>
      </c>
      <c r="P11">
        <v>1.0000000000000016</v>
      </c>
      <c r="Q11" t="s">
        <v>153</v>
      </c>
      <c r="S11" t="s">
        <v>246</v>
      </c>
      <c r="T11" t="s">
        <v>316</v>
      </c>
      <c r="U11">
        <v>1.0000000000000029</v>
      </c>
      <c r="V11" t="s">
        <v>153</v>
      </c>
      <c r="X11">
        <v>1</v>
      </c>
      <c r="Y11">
        <v>1.0000000000000002</v>
      </c>
      <c r="Z11" t="s">
        <v>316</v>
      </c>
      <c r="AA11" t="s">
        <v>25</v>
      </c>
      <c r="AC11" t="s">
        <v>22</v>
      </c>
      <c r="AD11" t="s">
        <v>316</v>
      </c>
      <c r="AE11">
        <v>1</v>
      </c>
      <c r="AG11" t="s">
        <v>96</v>
      </c>
      <c r="AH11" t="s">
        <v>316</v>
      </c>
      <c r="AI11">
        <v>0.30323107909744218</v>
      </c>
      <c r="AK11">
        <v>2020</v>
      </c>
      <c r="AL11" t="s">
        <v>314</v>
      </c>
      <c r="AM11">
        <v>0.11396666666666666</v>
      </c>
      <c r="AN11" t="s">
        <v>275</v>
      </c>
    </row>
    <row r="12" spans="1:40" x14ac:dyDescent="0.45">
      <c r="I12" t="s">
        <v>162</v>
      </c>
      <c r="J12" t="s">
        <v>316</v>
      </c>
      <c r="K12">
        <v>1.0000000000000002</v>
      </c>
      <c r="L12" t="s">
        <v>153</v>
      </c>
      <c r="N12" t="s">
        <v>205</v>
      </c>
      <c r="O12" t="s">
        <v>316</v>
      </c>
      <c r="P12">
        <v>1</v>
      </c>
      <c r="Q12" t="s">
        <v>153</v>
      </c>
      <c r="S12" t="s">
        <v>247</v>
      </c>
      <c r="T12" t="s">
        <v>316</v>
      </c>
      <c r="U12">
        <v>1.0000000000000029</v>
      </c>
      <c r="V12" t="s">
        <v>153</v>
      </c>
      <c r="AC12" t="s">
        <v>19</v>
      </c>
      <c r="AD12" t="s">
        <v>316</v>
      </c>
      <c r="AE12">
        <v>1</v>
      </c>
      <c r="AK12">
        <v>2021</v>
      </c>
      <c r="AL12" t="s">
        <v>314</v>
      </c>
      <c r="AM12">
        <v>0.24309166666666668</v>
      </c>
      <c r="AN12" t="s">
        <v>275</v>
      </c>
    </row>
    <row r="13" spans="1:40" x14ac:dyDescent="0.45">
      <c r="I13" t="s">
        <v>163</v>
      </c>
      <c r="J13" t="s">
        <v>316</v>
      </c>
      <c r="K13">
        <v>1.0000000000000011</v>
      </c>
      <c r="L13" t="s">
        <v>153</v>
      </c>
      <c r="N13" t="s">
        <v>206</v>
      </c>
      <c r="O13" t="s">
        <v>316</v>
      </c>
      <c r="P13">
        <v>1.0000000000000004</v>
      </c>
      <c r="Q13" t="s">
        <v>153</v>
      </c>
      <c r="S13" t="s">
        <v>248</v>
      </c>
      <c r="T13" t="s">
        <v>316</v>
      </c>
      <c r="U13">
        <v>0.99999999999999845</v>
      </c>
      <c r="V13" t="s">
        <v>153</v>
      </c>
      <c r="AK13">
        <v>2022</v>
      </c>
      <c r="AL13" t="s">
        <v>314</v>
      </c>
      <c r="AM13">
        <v>0.47790833333333332</v>
      </c>
      <c r="AN13" t="s">
        <v>275</v>
      </c>
    </row>
    <row r="14" spans="1:40" x14ac:dyDescent="0.45">
      <c r="I14" t="s">
        <v>164</v>
      </c>
      <c r="J14" t="s">
        <v>316</v>
      </c>
      <c r="K14">
        <v>0.999999999999998</v>
      </c>
      <c r="L14" t="s">
        <v>153</v>
      </c>
      <c r="N14" t="s">
        <v>207</v>
      </c>
      <c r="O14" t="s">
        <v>316</v>
      </c>
      <c r="P14">
        <v>1.0000000000000011</v>
      </c>
      <c r="Q14" t="s">
        <v>153</v>
      </c>
      <c r="S14" t="s">
        <v>249</v>
      </c>
      <c r="T14" t="s">
        <v>316</v>
      </c>
      <c r="U14">
        <v>0.99999999999999911</v>
      </c>
      <c r="V14" t="s">
        <v>153</v>
      </c>
      <c r="AK14">
        <v>2025</v>
      </c>
      <c r="AL14" t="s">
        <v>314</v>
      </c>
      <c r="AM14">
        <v>0.24235833333333337</v>
      </c>
      <c r="AN14" t="s">
        <v>275</v>
      </c>
    </row>
    <row r="15" spans="1:40" x14ac:dyDescent="0.45">
      <c r="I15" t="s">
        <v>165</v>
      </c>
      <c r="J15" t="s">
        <v>316</v>
      </c>
      <c r="K15">
        <v>0.99999999999999789</v>
      </c>
      <c r="L15" t="s">
        <v>153</v>
      </c>
      <c r="N15" t="s">
        <v>208</v>
      </c>
      <c r="O15" t="s">
        <v>316</v>
      </c>
      <c r="P15">
        <v>0.99999999999999922</v>
      </c>
      <c r="Q15" t="s">
        <v>153</v>
      </c>
      <c r="S15" t="s">
        <v>250</v>
      </c>
      <c r="T15" t="s">
        <v>316</v>
      </c>
      <c r="U15">
        <v>1.0000000000000024</v>
      </c>
      <c r="V15" t="s">
        <v>153</v>
      </c>
      <c r="AK15">
        <v>2026</v>
      </c>
      <c r="AL15" t="s">
        <v>314</v>
      </c>
      <c r="AM15">
        <v>0.26150000000000001</v>
      </c>
      <c r="AN15" t="s">
        <v>275</v>
      </c>
    </row>
    <row r="16" spans="1:40" x14ac:dyDescent="0.45">
      <c r="I16" t="s">
        <v>166</v>
      </c>
      <c r="J16" t="s">
        <v>316</v>
      </c>
      <c r="K16">
        <v>1.000000000000002</v>
      </c>
      <c r="L16" t="s">
        <v>153</v>
      </c>
      <c r="N16" t="s">
        <v>209</v>
      </c>
      <c r="O16" t="s">
        <v>316</v>
      </c>
      <c r="P16">
        <v>1.0000000000000031</v>
      </c>
      <c r="Q16" t="s">
        <v>153</v>
      </c>
      <c r="S16" t="s">
        <v>251</v>
      </c>
      <c r="T16" t="s">
        <v>316</v>
      </c>
      <c r="U16">
        <v>1.0000000000000002</v>
      </c>
      <c r="V16" t="s">
        <v>153</v>
      </c>
      <c r="AK16">
        <v>2027</v>
      </c>
      <c r="AL16" t="s">
        <v>314</v>
      </c>
      <c r="AM16">
        <v>0.18249166666666664</v>
      </c>
      <c r="AN16" t="s">
        <v>275</v>
      </c>
    </row>
    <row r="17" spans="9:40" x14ac:dyDescent="0.45">
      <c r="I17" t="s">
        <v>167</v>
      </c>
      <c r="J17" t="s">
        <v>316</v>
      </c>
      <c r="K17">
        <v>1.0000000000000002</v>
      </c>
      <c r="L17" t="s">
        <v>153</v>
      </c>
      <c r="N17" t="s">
        <v>210</v>
      </c>
      <c r="O17" t="s">
        <v>316</v>
      </c>
      <c r="P17">
        <v>1.0000000000000002</v>
      </c>
      <c r="Q17" t="s">
        <v>153</v>
      </c>
      <c r="S17" t="s">
        <v>252</v>
      </c>
      <c r="T17" t="s">
        <v>316</v>
      </c>
      <c r="U17">
        <v>0.99999999999999623</v>
      </c>
      <c r="V17" t="s">
        <v>153</v>
      </c>
      <c r="AK17">
        <v>2028</v>
      </c>
      <c r="AL17" t="s">
        <v>314</v>
      </c>
      <c r="AM17">
        <v>0.2265166666666667</v>
      </c>
      <c r="AN17" t="s">
        <v>275</v>
      </c>
    </row>
    <row r="18" spans="9:40" x14ac:dyDescent="0.45">
      <c r="I18" t="s">
        <v>168</v>
      </c>
      <c r="J18" t="s">
        <v>316</v>
      </c>
      <c r="K18">
        <v>1.0000000000000038</v>
      </c>
      <c r="L18" t="s">
        <v>153</v>
      </c>
      <c r="N18" t="s">
        <v>211</v>
      </c>
      <c r="O18" t="s">
        <v>316</v>
      </c>
      <c r="P18">
        <v>1.0000000000000029</v>
      </c>
      <c r="Q18" t="s">
        <v>153</v>
      </c>
      <c r="S18" t="s">
        <v>253</v>
      </c>
      <c r="T18" t="s">
        <v>316</v>
      </c>
      <c r="U18">
        <v>0.99999999999999867</v>
      </c>
      <c r="V18" t="s">
        <v>153</v>
      </c>
      <c r="AK18">
        <v>2029</v>
      </c>
      <c r="AL18" t="s">
        <v>314</v>
      </c>
      <c r="AM18">
        <v>0.21633333333333329</v>
      </c>
      <c r="AN18" t="s">
        <v>275</v>
      </c>
    </row>
    <row r="19" spans="9:40" x14ac:dyDescent="0.45">
      <c r="I19" t="s">
        <v>169</v>
      </c>
      <c r="J19" t="s">
        <v>316</v>
      </c>
      <c r="K19">
        <v>1.0000000000000007</v>
      </c>
      <c r="L19" t="s">
        <v>153</v>
      </c>
      <c r="N19" t="s">
        <v>212</v>
      </c>
      <c r="O19" t="s">
        <v>316</v>
      </c>
      <c r="P19">
        <v>0.99999999999999378</v>
      </c>
      <c r="Q19" t="s">
        <v>153</v>
      </c>
      <c r="S19" t="s">
        <v>254</v>
      </c>
      <c r="T19" t="s">
        <v>316</v>
      </c>
      <c r="U19">
        <v>0.99999999999999678</v>
      </c>
      <c r="V19" t="s">
        <v>153</v>
      </c>
      <c r="AK19">
        <v>2030</v>
      </c>
      <c r="AL19" t="s">
        <v>314</v>
      </c>
      <c r="AM19">
        <v>0.23915833333333328</v>
      </c>
      <c r="AN19" t="s">
        <v>275</v>
      </c>
    </row>
    <row r="20" spans="9:40" x14ac:dyDescent="0.45">
      <c r="I20" t="s">
        <v>170</v>
      </c>
      <c r="J20" t="s">
        <v>316</v>
      </c>
      <c r="K20">
        <v>0.99999999999999956</v>
      </c>
      <c r="L20" t="s">
        <v>153</v>
      </c>
      <c r="N20" t="s">
        <v>213</v>
      </c>
      <c r="O20" t="s">
        <v>316</v>
      </c>
      <c r="P20">
        <v>1.0000000000000022</v>
      </c>
      <c r="Q20" t="s">
        <v>153</v>
      </c>
      <c r="S20" t="s">
        <v>255</v>
      </c>
      <c r="T20" t="s">
        <v>316</v>
      </c>
      <c r="U20">
        <v>0.99999999999999589</v>
      </c>
      <c r="V20" t="s">
        <v>153</v>
      </c>
      <c r="AK20">
        <v>2031</v>
      </c>
      <c r="AL20" t="s">
        <v>314</v>
      </c>
      <c r="AM20">
        <v>0.23133333333333336</v>
      </c>
      <c r="AN20" t="s">
        <v>275</v>
      </c>
    </row>
    <row r="21" spans="9:40" x14ac:dyDescent="0.45">
      <c r="I21" t="s">
        <v>171</v>
      </c>
      <c r="J21" t="s">
        <v>316</v>
      </c>
      <c r="K21">
        <v>0.99999999999999989</v>
      </c>
      <c r="L21" t="s">
        <v>153</v>
      </c>
      <c r="N21" t="s">
        <v>214</v>
      </c>
      <c r="O21" t="s">
        <v>316</v>
      </c>
      <c r="P21">
        <v>1.0000000000000018</v>
      </c>
      <c r="Q21" t="s">
        <v>153</v>
      </c>
      <c r="S21" t="s">
        <v>256</v>
      </c>
      <c r="T21" t="s">
        <v>316</v>
      </c>
      <c r="U21">
        <v>1.0000000000000004</v>
      </c>
      <c r="V21" t="s">
        <v>153</v>
      </c>
      <c r="AK21">
        <v>2032</v>
      </c>
      <c r="AL21" t="s">
        <v>314</v>
      </c>
      <c r="AM21">
        <v>0.24934166666666671</v>
      </c>
      <c r="AN21" t="s">
        <v>275</v>
      </c>
    </row>
    <row r="22" spans="9:40" x14ac:dyDescent="0.45">
      <c r="I22" t="s">
        <v>172</v>
      </c>
      <c r="J22" t="s">
        <v>316</v>
      </c>
      <c r="K22">
        <v>1</v>
      </c>
      <c r="L22" t="s">
        <v>153</v>
      </c>
      <c r="N22" t="s">
        <v>215</v>
      </c>
      <c r="O22" t="s">
        <v>316</v>
      </c>
      <c r="P22">
        <v>1.0000000000000024</v>
      </c>
      <c r="Q22" t="s">
        <v>153</v>
      </c>
      <c r="S22" t="s">
        <v>257</v>
      </c>
      <c r="T22" t="s">
        <v>316</v>
      </c>
      <c r="U22">
        <v>1.0000000000000042</v>
      </c>
      <c r="V22" t="s">
        <v>153</v>
      </c>
      <c r="AK22">
        <v>2033</v>
      </c>
      <c r="AL22" t="s">
        <v>314</v>
      </c>
      <c r="AM22">
        <v>0.35140833333333332</v>
      </c>
      <c r="AN22" t="s">
        <v>275</v>
      </c>
    </row>
    <row r="23" spans="9:40" x14ac:dyDescent="0.45">
      <c r="I23" t="s">
        <v>173</v>
      </c>
      <c r="J23" t="s">
        <v>316</v>
      </c>
      <c r="K23">
        <v>1.0000000000000022</v>
      </c>
      <c r="L23" t="s">
        <v>153</v>
      </c>
      <c r="N23" t="s">
        <v>216</v>
      </c>
      <c r="O23" t="s">
        <v>316</v>
      </c>
      <c r="P23">
        <v>0.999999999999996</v>
      </c>
      <c r="Q23" t="s">
        <v>153</v>
      </c>
      <c r="S23" t="s">
        <v>258</v>
      </c>
      <c r="T23" t="s">
        <v>316</v>
      </c>
      <c r="U23">
        <v>1.0000000000000009</v>
      </c>
      <c r="V23" t="s">
        <v>153</v>
      </c>
      <c r="AK23">
        <v>2034</v>
      </c>
      <c r="AL23" t="s">
        <v>314</v>
      </c>
      <c r="AM23">
        <v>0.2880416666666667</v>
      </c>
      <c r="AN23" t="s">
        <v>275</v>
      </c>
    </row>
    <row r="24" spans="9:40" x14ac:dyDescent="0.45">
      <c r="I24" t="s">
        <v>174</v>
      </c>
      <c r="J24" t="s">
        <v>316</v>
      </c>
      <c r="K24">
        <v>1.0000000000000031</v>
      </c>
      <c r="L24" t="s">
        <v>153</v>
      </c>
      <c r="N24" t="s">
        <v>217</v>
      </c>
      <c r="O24" t="s">
        <v>316</v>
      </c>
      <c r="P24">
        <v>1.0000000000000029</v>
      </c>
      <c r="Q24" t="s">
        <v>153</v>
      </c>
      <c r="S24" t="s">
        <v>259</v>
      </c>
      <c r="T24" t="s">
        <v>316</v>
      </c>
      <c r="U24">
        <v>0.99999999999999811</v>
      </c>
      <c r="V24" t="s">
        <v>153</v>
      </c>
      <c r="AK24">
        <v>2035</v>
      </c>
      <c r="AL24" t="s">
        <v>314</v>
      </c>
      <c r="AM24">
        <v>0.28064166666666668</v>
      </c>
      <c r="AN24" t="s">
        <v>275</v>
      </c>
    </row>
    <row r="25" spans="9:40" x14ac:dyDescent="0.45">
      <c r="I25" t="s">
        <v>175</v>
      </c>
      <c r="J25" t="s">
        <v>316</v>
      </c>
      <c r="K25">
        <v>1.0000000000000016</v>
      </c>
      <c r="L25" t="s">
        <v>153</v>
      </c>
      <c r="N25" t="s">
        <v>218</v>
      </c>
      <c r="O25" t="s">
        <v>316</v>
      </c>
      <c r="P25">
        <v>0.99999999999999711</v>
      </c>
      <c r="Q25" t="s">
        <v>153</v>
      </c>
      <c r="S25" t="s">
        <v>260</v>
      </c>
      <c r="T25" t="s">
        <v>316</v>
      </c>
      <c r="U25">
        <v>0.99999999999999689</v>
      </c>
      <c r="V25" t="s">
        <v>153</v>
      </c>
      <c r="AK25">
        <v>2036</v>
      </c>
      <c r="AL25" t="s">
        <v>314</v>
      </c>
      <c r="AM25">
        <v>0.22991666666666669</v>
      </c>
      <c r="AN25" t="s">
        <v>275</v>
      </c>
    </row>
    <row r="26" spans="9:40" x14ac:dyDescent="0.45">
      <c r="I26" t="s">
        <v>176</v>
      </c>
      <c r="J26" t="s">
        <v>316</v>
      </c>
      <c r="K26">
        <v>0.99999999999999989</v>
      </c>
      <c r="L26" t="s">
        <v>153</v>
      </c>
      <c r="N26" t="s">
        <v>219</v>
      </c>
      <c r="O26" t="s">
        <v>316</v>
      </c>
      <c r="P26">
        <v>0.99999999999999878</v>
      </c>
      <c r="Q26" t="s">
        <v>153</v>
      </c>
      <c r="S26" t="s">
        <v>261</v>
      </c>
      <c r="T26" t="s">
        <v>316</v>
      </c>
      <c r="U26">
        <v>0.99999999999999778</v>
      </c>
      <c r="V26" t="s">
        <v>153</v>
      </c>
      <c r="AK26">
        <v>2037</v>
      </c>
      <c r="AL26" t="s">
        <v>314</v>
      </c>
      <c r="AM26">
        <v>0.218025</v>
      </c>
      <c r="AN26" t="s">
        <v>275</v>
      </c>
    </row>
    <row r="27" spans="9:40" x14ac:dyDescent="0.45">
      <c r="I27" t="s">
        <v>177</v>
      </c>
      <c r="J27" t="s">
        <v>316</v>
      </c>
      <c r="K27">
        <v>1.000000000000002</v>
      </c>
      <c r="L27" t="s">
        <v>153</v>
      </c>
      <c r="N27" t="s">
        <v>220</v>
      </c>
      <c r="O27" t="s">
        <v>316</v>
      </c>
      <c r="P27">
        <v>0.99999999999999944</v>
      </c>
      <c r="Q27" t="s">
        <v>153</v>
      </c>
      <c r="S27" t="s">
        <v>262</v>
      </c>
      <c r="T27" t="s">
        <v>316</v>
      </c>
      <c r="U27">
        <v>1.0000000000000018</v>
      </c>
      <c r="V27" t="s">
        <v>153</v>
      </c>
      <c r="AK27">
        <v>2038</v>
      </c>
      <c r="AL27" t="s">
        <v>314</v>
      </c>
      <c r="AM27">
        <v>0.19429166666666667</v>
      </c>
      <c r="AN27" t="s">
        <v>275</v>
      </c>
    </row>
    <row r="28" spans="9:40" x14ac:dyDescent="0.45">
      <c r="I28" t="s">
        <v>178</v>
      </c>
      <c r="J28" t="s">
        <v>316</v>
      </c>
      <c r="K28">
        <v>0.99999999999999745</v>
      </c>
      <c r="L28" t="s">
        <v>153</v>
      </c>
      <c r="N28" t="s">
        <v>221</v>
      </c>
      <c r="O28" t="s">
        <v>316</v>
      </c>
      <c r="P28">
        <v>1.0000000000000056</v>
      </c>
      <c r="Q28" t="s">
        <v>153</v>
      </c>
      <c r="S28" t="s">
        <v>263</v>
      </c>
      <c r="T28" t="s">
        <v>316</v>
      </c>
      <c r="U28">
        <v>1.0000000000000022</v>
      </c>
      <c r="V28" t="s">
        <v>153</v>
      </c>
      <c r="AK28">
        <v>2039</v>
      </c>
      <c r="AL28" t="s">
        <v>314</v>
      </c>
      <c r="AM28">
        <v>0.21118333333333336</v>
      </c>
      <c r="AN28" t="s">
        <v>275</v>
      </c>
    </row>
    <row r="29" spans="9:40" x14ac:dyDescent="0.45">
      <c r="I29" t="s">
        <v>179</v>
      </c>
      <c r="J29" t="s">
        <v>316</v>
      </c>
      <c r="K29">
        <v>0.99999999999999822</v>
      </c>
      <c r="L29" t="s">
        <v>153</v>
      </c>
      <c r="N29" t="s">
        <v>222</v>
      </c>
      <c r="O29" t="s">
        <v>316</v>
      </c>
      <c r="P29">
        <v>1.0000000000000033</v>
      </c>
      <c r="Q29" t="s">
        <v>153</v>
      </c>
      <c r="S29" t="s">
        <v>264</v>
      </c>
      <c r="T29" t="s">
        <v>316</v>
      </c>
      <c r="U29">
        <v>1.0000000000000027</v>
      </c>
      <c r="V29" t="s">
        <v>153</v>
      </c>
      <c r="AK29">
        <v>2040</v>
      </c>
      <c r="AL29" t="s">
        <v>314</v>
      </c>
      <c r="AM29">
        <v>0.28572500000000001</v>
      </c>
      <c r="AN29" t="s">
        <v>275</v>
      </c>
    </row>
    <row r="30" spans="9:40" x14ac:dyDescent="0.45">
      <c r="I30" t="s">
        <v>180</v>
      </c>
      <c r="J30" t="s">
        <v>316</v>
      </c>
      <c r="K30">
        <v>0.99999999999999967</v>
      </c>
      <c r="L30" t="s">
        <v>153</v>
      </c>
      <c r="N30" t="s">
        <v>223</v>
      </c>
      <c r="O30" t="s">
        <v>316</v>
      </c>
      <c r="P30">
        <v>1.000000000000002</v>
      </c>
      <c r="Q30" t="s">
        <v>153</v>
      </c>
      <c r="S30" t="s">
        <v>265</v>
      </c>
      <c r="T30" t="s">
        <v>316</v>
      </c>
      <c r="U30">
        <v>1.0000000000000024</v>
      </c>
      <c r="V30" t="s">
        <v>153</v>
      </c>
      <c r="AK30">
        <v>2041</v>
      </c>
      <c r="AL30" t="s">
        <v>314</v>
      </c>
      <c r="AM30">
        <v>0.23210833333333336</v>
      </c>
      <c r="AN30" t="s">
        <v>275</v>
      </c>
    </row>
    <row r="31" spans="9:40" x14ac:dyDescent="0.45">
      <c r="I31" t="s">
        <v>181</v>
      </c>
      <c r="J31" t="s">
        <v>316</v>
      </c>
      <c r="K31">
        <v>1.0000000000000011</v>
      </c>
      <c r="L31" t="s">
        <v>153</v>
      </c>
      <c r="N31" t="s">
        <v>224</v>
      </c>
      <c r="O31" t="s">
        <v>316</v>
      </c>
      <c r="P31">
        <v>1.0000000000000042</v>
      </c>
      <c r="Q31" t="s">
        <v>153</v>
      </c>
      <c r="AK31">
        <v>2042</v>
      </c>
      <c r="AL31" t="s">
        <v>314</v>
      </c>
      <c r="AM31">
        <v>0.22171666666666665</v>
      </c>
      <c r="AN31" t="s">
        <v>275</v>
      </c>
    </row>
    <row r="32" spans="9:40" x14ac:dyDescent="0.45">
      <c r="I32" t="s">
        <v>182</v>
      </c>
      <c r="J32" t="s">
        <v>316</v>
      </c>
      <c r="K32">
        <v>1.0000000000000007</v>
      </c>
      <c r="L32" t="s">
        <v>153</v>
      </c>
      <c r="N32" t="s">
        <v>225</v>
      </c>
      <c r="O32" t="s">
        <v>316</v>
      </c>
      <c r="P32">
        <v>0.99999999999999989</v>
      </c>
      <c r="Q32" t="s">
        <v>153</v>
      </c>
      <c r="AK32">
        <v>2043</v>
      </c>
      <c r="AL32" t="s">
        <v>314</v>
      </c>
      <c r="AM32">
        <v>0.24193333333333333</v>
      </c>
      <c r="AN32" t="s">
        <v>275</v>
      </c>
    </row>
    <row r="33" spans="9:40" x14ac:dyDescent="0.45">
      <c r="I33" t="s">
        <v>183</v>
      </c>
      <c r="J33" t="s">
        <v>316</v>
      </c>
      <c r="K33">
        <v>1.0000000000000007</v>
      </c>
      <c r="L33" t="s">
        <v>153</v>
      </c>
      <c r="N33" t="s">
        <v>226</v>
      </c>
      <c r="O33" t="s">
        <v>316</v>
      </c>
      <c r="P33">
        <v>1.0000000000000022</v>
      </c>
      <c r="Q33" t="s">
        <v>153</v>
      </c>
      <c r="AK33">
        <v>2044</v>
      </c>
      <c r="AL33" t="s">
        <v>314</v>
      </c>
      <c r="AM33">
        <v>0.205125</v>
      </c>
      <c r="AN33" t="s">
        <v>275</v>
      </c>
    </row>
    <row r="34" spans="9:40" x14ac:dyDescent="0.45">
      <c r="I34" t="s">
        <v>184</v>
      </c>
      <c r="J34" t="s">
        <v>316</v>
      </c>
      <c r="K34">
        <v>1.0000000000000024</v>
      </c>
      <c r="L34" t="s">
        <v>153</v>
      </c>
      <c r="N34" t="s">
        <v>227</v>
      </c>
      <c r="O34" t="s">
        <v>316</v>
      </c>
      <c r="P34">
        <v>0.99999999999999867</v>
      </c>
      <c r="Q34" t="s">
        <v>153</v>
      </c>
      <c r="AK34">
        <v>2045</v>
      </c>
      <c r="AL34" t="s">
        <v>314</v>
      </c>
      <c r="AM34">
        <v>0.26949166666666663</v>
      </c>
      <c r="AN34" t="s">
        <v>275</v>
      </c>
    </row>
    <row r="35" spans="9:40" x14ac:dyDescent="0.45">
      <c r="I35" t="s">
        <v>185</v>
      </c>
      <c r="J35" t="s">
        <v>316</v>
      </c>
      <c r="K35">
        <v>1.0000000000000022</v>
      </c>
      <c r="L35" t="s">
        <v>153</v>
      </c>
      <c r="N35" t="s">
        <v>228</v>
      </c>
      <c r="O35" t="s">
        <v>316</v>
      </c>
      <c r="P35">
        <v>1.0000000000000007</v>
      </c>
      <c r="Q35" t="s">
        <v>153</v>
      </c>
      <c r="AK35">
        <v>2046</v>
      </c>
      <c r="AL35" t="s">
        <v>314</v>
      </c>
      <c r="AM35">
        <v>0.25634166666666669</v>
      </c>
      <c r="AN35" t="s">
        <v>275</v>
      </c>
    </row>
    <row r="36" spans="9:40" x14ac:dyDescent="0.45">
      <c r="I36" t="s">
        <v>186</v>
      </c>
      <c r="J36" t="s">
        <v>316</v>
      </c>
      <c r="K36">
        <v>1.0000000000000009</v>
      </c>
      <c r="L36" t="s">
        <v>153</v>
      </c>
      <c r="N36" t="s">
        <v>229</v>
      </c>
      <c r="O36" t="s">
        <v>316</v>
      </c>
      <c r="P36">
        <v>1.0000000000000004</v>
      </c>
      <c r="Q36" t="s">
        <v>153</v>
      </c>
      <c r="AK36">
        <v>2047</v>
      </c>
      <c r="AL36" t="s">
        <v>314</v>
      </c>
      <c r="AM36">
        <v>0.32685000000000003</v>
      </c>
      <c r="AN36" t="s">
        <v>275</v>
      </c>
    </row>
    <row r="37" spans="9:40" x14ac:dyDescent="0.45">
      <c r="I37" t="s">
        <v>187</v>
      </c>
      <c r="J37" t="s">
        <v>316</v>
      </c>
      <c r="K37">
        <v>1.0000000000000024</v>
      </c>
      <c r="L37" t="s">
        <v>153</v>
      </c>
      <c r="N37" t="s">
        <v>230</v>
      </c>
      <c r="O37" t="s">
        <v>316</v>
      </c>
      <c r="P37">
        <v>0.99999999999999778</v>
      </c>
      <c r="Q37" t="s">
        <v>153</v>
      </c>
      <c r="AK37">
        <v>2048</v>
      </c>
      <c r="AL37" t="s">
        <v>314</v>
      </c>
      <c r="AM37">
        <v>0.283725</v>
      </c>
      <c r="AN37" t="s">
        <v>275</v>
      </c>
    </row>
    <row r="38" spans="9:40" x14ac:dyDescent="0.45">
      <c r="I38" t="s">
        <v>188</v>
      </c>
      <c r="J38" t="s">
        <v>316</v>
      </c>
      <c r="K38">
        <v>1</v>
      </c>
      <c r="L38" t="s">
        <v>153</v>
      </c>
      <c r="N38" t="s">
        <v>231</v>
      </c>
      <c r="O38" t="s">
        <v>316</v>
      </c>
      <c r="P38">
        <v>0.99999999999999922</v>
      </c>
      <c r="Q38" t="s">
        <v>153</v>
      </c>
      <c r="AK38">
        <v>2049</v>
      </c>
      <c r="AL38" t="s">
        <v>314</v>
      </c>
      <c r="AM38">
        <v>0.16496666666666665</v>
      </c>
      <c r="AN38" t="s">
        <v>275</v>
      </c>
    </row>
    <row r="39" spans="9:40" x14ac:dyDescent="0.45">
      <c r="I39" t="s">
        <v>189</v>
      </c>
      <c r="J39" t="s">
        <v>316</v>
      </c>
      <c r="K39">
        <v>0.99999999999999978</v>
      </c>
      <c r="L39" t="s">
        <v>153</v>
      </c>
      <c r="N39" t="s">
        <v>232</v>
      </c>
      <c r="O39" t="s">
        <v>316</v>
      </c>
      <c r="P39">
        <v>0.99999999999999678</v>
      </c>
      <c r="Q39" t="s">
        <v>153</v>
      </c>
      <c r="AK39">
        <v>2050</v>
      </c>
      <c r="AL39" t="s">
        <v>314</v>
      </c>
      <c r="AM39">
        <v>0.25118333333333337</v>
      </c>
      <c r="AN39" t="s">
        <v>275</v>
      </c>
    </row>
    <row r="40" spans="9:40" x14ac:dyDescent="0.45">
      <c r="I40" t="s">
        <v>190</v>
      </c>
      <c r="J40" t="s">
        <v>316</v>
      </c>
      <c r="K40">
        <v>1.0000000000000002</v>
      </c>
      <c r="L40" t="s">
        <v>153</v>
      </c>
      <c r="N40" t="s">
        <v>233</v>
      </c>
      <c r="O40" t="s">
        <v>316</v>
      </c>
      <c r="P40">
        <v>0.99999999999999811</v>
      </c>
      <c r="Q40" t="s">
        <v>153</v>
      </c>
    </row>
    <row r="41" spans="9:40" x14ac:dyDescent="0.45">
      <c r="I41" t="s">
        <v>191</v>
      </c>
      <c r="J41" t="s">
        <v>316</v>
      </c>
      <c r="K41">
        <v>1.0000000000000002</v>
      </c>
      <c r="L41" t="s">
        <v>153</v>
      </c>
      <c r="N41" t="s">
        <v>234</v>
      </c>
      <c r="O41" t="s">
        <v>316</v>
      </c>
      <c r="P41">
        <v>0.99999999999999789</v>
      </c>
      <c r="Q41" t="s">
        <v>153</v>
      </c>
    </row>
    <row r="42" spans="9:40" x14ac:dyDescent="0.45">
      <c r="I42" t="s">
        <v>192</v>
      </c>
      <c r="J42" t="s">
        <v>316</v>
      </c>
      <c r="K42">
        <v>0.99999999999999756</v>
      </c>
      <c r="L42" t="s">
        <v>153</v>
      </c>
      <c r="N42" t="s">
        <v>235</v>
      </c>
      <c r="O42" t="s">
        <v>316</v>
      </c>
      <c r="P42">
        <v>0.99999999999999845</v>
      </c>
      <c r="Q42" t="s">
        <v>153</v>
      </c>
    </row>
    <row r="43" spans="9:40" x14ac:dyDescent="0.45">
      <c r="I43" t="s">
        <v>193</v>
      </c>
      <c r="J43" t="s">
        <v>316</v>
      </c>
      <c r="K43">
        <v>1.0000000000000018</v>
      </c>
      <c r="L43" t="s">
        <v>153</v>
      </c>
      <c r="N43" t="s">
        <v>236</v>
      </c>
      <c r="O43" t="s">
        <v>316</v>
      </c>
      <c r="P43">
        <v>0.99999999999999689</v>
      </c>
      <c r="Q43" t="s">
        <v>153</v>
      </c>
    </row>
    <row r="44" spans="9:40" x14ac:dyDescent="0.45">
      <c r="I44" t="s">
        <v>194</v>
      </c>
      <c r="J44" t="s">
        <v>316</v>
      </c>
      <c r="K44">
        <v>1.0000000000000009</v>
      </c>
      <c r="L44" t="s">
        <v>153</v>
      </c>
      <c r="N44" t="s">
        <v>237</v>
      </c>
      <c r="O44" t="s">
        <v>316</v>
      </c>
      <c r="P44">
        <v>1.0000000000000018</v>
      </c>
      <c r="Q44" t="s">
        <v>153</v>
      </c>
    </row>
    <row r="45" spans="9:40" x14ac:dyDescent="0.45">
      <c r="I45" t="s">
        <v>195</v>
      </c>
      <c r="J45" t="s">
        <v>316</v>
      </c>
      <c r="K45">
        <v>1.0000000000000004</v>
      </c>
      <c r="L45" t="s">
        <v>153</v>
      </c>
      <c r="N45" t="s">
        <v>238</v>
      </c>
      <c r="O45" t="s">
        <v>316</v>
      </c>
      <c r="P45">
        <v>0.99999999999999989</v>
      </c>
      <c r="Q45" t="s">
        <v>153</v>
      </c>
    </row>
    <row r="46" spans="9:40" x14ac:dyDescent="0.45">
      <c r="I46" t="s">
        <v>196</v>
      </c>
      <c r="J46" t="s">
        <v>316</v>
      </c>
      <c r="K46">
        <v>0.99999999999999989</v>
      </c>
      <c r="L46" t="s">
        <v>153</v>
      </c>
      <c r="N46" t="s">
        <v>239</v>
      </c>
      <c r="O46" t="s">
        <v>316</v>
      </c>
      <c r="P46">
        <v>0.99999999999999867</v>
      </c>
      <c r="Q46" t="s">
        <v>153</v>
      </c>
    </row>
    <row r="47" spans="9:40" x14ac:dyDescent="0.45">
      <c r="I47" t="s">
        <v>197</v>
      </c>
      <c r="J47" t="s">
        <v>316</v>
      </c>
      <c r="K47">
        <v>1.000000000000002</v>
      </c>
      <c r="L47" t="s">
        <v>153</v>
      </c>
      <c r="N47" t="s">
        <v>240</v>
      </c>
      <c r="O47" t="s">
        <v>316</v>
      </c>
      <c r="P47">
        <v>1.0000000000000016</v>
      </c>
      <c r="Q47" t="s">
        <v>153</v>
      </c>
    </row>
    <row r="48" spans="9:40" x14ac:dyDescent="0.45">
      <c r="I48" t="s">
        <v>198</v>
      </c>
      <c r="J48" t="s">
        <v>316</v>
      </c>
      <c r="K48">
        <v>0.99999999999999822</v>
      </c>
      <c r="L48" t="s">
        <v>153</v>
      </c>
      <c r="N48" t="s">
        <v>241</v>
      </c>
      <c r="O48" t="s">
        <v>316</v>
      </c>
      <c r="P48">
        <v>1.0000000000000007</v>
      </c>
      <c r="Q48" t="s">
        <v>153</v>
      </c>
    </row>
    <row r="49" spans="9:17" x14ac:dyDescent="0.45">
      <c r="I49" t="s">
        <v>199</v>
      </c>
      <c r="J49" t="s">
        <v>316</v>
      </c>
      <c r="K49">
        <v>0.99999999999999922</v>
      </c>
      <c r="L49" t="s">
        <v>153</v>
      </c>
      <c r="N49" t="s">
        <v>242</v>
      </c>
      <c r="O49" t="s">
        <v>316</v>
      </c>
      <c r="P49">
        <v>0.99999999999999989</v>
      </c>
      <c r="Q49" t="s">
        <v>153</v>
      </c>
    </row>
    <row r="50" spans="9:17" x14ac:dyDescent="0.45">
      <c r="I50" t="s">
        <v>200</v>
      </c>
      <c r="J50" t="s">
        <v>316</v>
      </c>
      <c r="K50">
        <v>1.0000000000000007</v>
      </c>
      <c r="L50" t="s">
        <v>153</v>
      </c>
      <c r="N50" t="s">
        <v>243</v>
      </c>
      <c r="O50" t="s">
        <v>316</v>
      </c>
      <c r="P50">
        <v>1.0000000000000009</v>
      </c>
      <c r="Q50" t="s">
        <v>153</v>
      </c>
    </row>
    <row r="51" spans="9:17" x14ac:dyDescent="0.45">
      <c r="I51" t="s">
        <v>201</v>
      </c>
      <c r="J51" t="s">
        <v>316</v>
      </c>
      <c r="K51">
        <v>0.99999999999999956</v>
      </c>
      <c r="L51" t="s">
        <v>153</v>
      </c>
      <c r="N51" t="s">
        <v>244</v>
      </c>
      <c r="O51" t="s">
        <v>316</v>
      </c>
      <c r="P51">
        <v>0.99999999999999811</v>
      </c>
      <c r="Q51" t="s">
        <v>153</v>
      </c>
    </row>
    <row r="52" spans="9:17" x14ac:dyDescent="0.45">
      <c r="I52" t="s">
        <v>202</v>
      </c>
      <c r="J52" t="s">
        <v>316</v>
      </c>
      <c r="K52">
        <v>1.0000000000000007</v>
      </c>
      <c r="L52" t="s">
        <v>153</v>
      </c>
      <c r="N52" t="s">
        <v>245</v>
      </c>
      <c r="O52" t="s">
        <v>316</v>
      </c>
      <c r="P52">
        <v>1.0000000000000018</v>
      </c>
      <c r="Q52" t="s">
        <v>153</v>
      </c>
    </row>
    <row r="53" spans="9:17" x14ac:dyDescent="0.45">
      <c r="I53" t="s">
        <v>203</v>
      </c>
      <c r="J53" t="s">
        <v>316</v>
      </c>
      <c r="K53">
        <v>1.0000000000000009</v>
      </c>
      <c r="L53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A5339-D6A1-46E0-AA18-FA2C140B7C64}">
  <dimension ref="A9:AN5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137</v>
      </c>
      <c r="D10" t="s">
        <v>138</v>
      </c>
      <c r="E10" t="s">
        <v>139</v>
      </c>
      <c r="F10" t="s">
        <v>140</v>
      </c>
      <c r="G10" t="s">
        <v>141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266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272</v>
      </c>
      <c r="AK10" t="s">
        <v>47</v>
      </c>
      <c r="AL10" t="s">
        <v>115</v>
      </c>
      <c r="AM10" t="s">
        <v>273</v>
      </c>
      <c r="AN10" t="s">
        <v>274</v>
      </c>
    </row>
    <row r="11" spans="1:40" x14ac:dyDescent="0.45">
      <c r="A11" t="str">
        <f>IFERROR(IF(Veda!D5=A10,"ok","x"),"")</f>
        <v>x</v>
      </c>
      <c r="C11" t="s">
        <v>317</v>
      </c>
      <c r="D11" t="s">
        <v>143</v>
      </c>
      <c r="E11" t="s">
        <v>268</v>
      </c>
      <c r="F11" t="s">
        <v>318</v>
      </c>
      <c r="G11" t="s">
        <v>143</v>
      </c>
      <c r="I11" t="s">
        <v>151</v>
      </c>
      <c r="J11" t="s">
        <v>323</v>
      </c>
      <c r="K11">
        <v>0.27235001946841569</v>
      </c>
      <c r="L11" t="s">
        <v>153</v>
      </c>
      <c r="N11" t="s">
        <v>204</v>
      </c>
      <c r="O11" t="s">
        <v>323</v>
      </c>
      <c r="P11">
        <v>0.13108757838761256</v>
      </c>
      <c r="Q11" t="s">
        <v>153</v>
      </c>
      <c r="S11" t="s">
        <v>246</v>
      </c>
      <c r="T11" t="s">
        <v>323</v>
      </c>
      <c r="U11">
        <v>0.10676808393213214</v>
      </c>
      <c r="V11" t="s">
        <v>153</v>
      </c>
      <c r="X11">
        <v>0.11426940639269406</v>
      </c>
      <c r="Y11">
        <v>0.16087081189037786</v>
      </c>
      <c r="Z11" t="s">
        <v>323</v>
      </c>
      <c r="AA11" t="s">
        <v>25</v>
      </c>
      <c r="AC11" t="s">
        <v>22</v>
      </c>
      <c r="AD11" t="s">
        <v>323</v>
      </c>
      <c r="AE11">
        <v>0.11759019419763586</v>
      </c>
      <c r="AG11" t="s">
        <v>96</v>
      </c>
      <c r="AH11" t="s">
        <v>323</v>
      </c>
      <c r="AI11">
        <v>0.18028567298310838</v>
      </c>
      <c r="AK11">
        <v>2020</v>
      </c>
      <c r="AL11" t="s">
        <v>317</v>
      </c>
      <c r="AM11">
        <v>0.11586666666666667</v>
      </c>
      <c r="AN11" t="s">
        <v>275</v>
      </c>
    </row>
    <row r="12" spans="1:40" x14ac:dyDescent="0.45">
      <c r="C12" t="s">
        <v>319</v>
      </c>
      <c r="E12" t="s">
        <v>270</v>
      </c>
      <c r="G12" t="s">
        <v>143</v>
      </c>
      <c r="I12" t="s">
        <v>151</v>
      </c>
      <c r="J12" t="s">
        <v>324</v>
      </c>
      <c r="K12">
        <v>5.2318745655572231E-4</v>
      </c>
      <c r="L12" t="s">
        <v>153</v>
      </c>
      <c r="N12" t="s">
        <v>204</v>
      </c>
      <c r="O12" t="s">
        <v>324</v>
      </c>
      <c r="P12">
        <v>7.6454218374435862E-2</v>
      </c>
      <c r="Q12" t="s">
        <v>153</v>
      </c>
      <c r="S12" t="s">
        <v>246</v>
      </c>
      <c r="T12" t="s">
        <v>324</v>
      </c>
      <c r="U12">
        <v>0.11631649950251272</v>
      </c>
      <c r="V12" t="s">
        <v>153</v>
      </c>
      <c r="X12">
        <v>0.11426940639269406</v>
      </c>
      <c r="Y12">
        <v>5.2547713165767528E-2</v>
      </c>
      <c r="Z12" t="s">
        <v>324</v>
      </c>
      <c r="AA12" t="s">
        <v>25</v>
      </c>
      <c r="AC12" t="s">
        <v>22</v>
      </c>
      <c r="AD12" t="s">
        <v>324</v>
      </c>
      <c r="AE12">
        <v>9.8699624643945841E-2</v>
      </c>
      <c r="AG12" t="s">
        <v>96</v>
      </c>
      <c r="AH12" t="s">
        <v>324</v>
      </c>
      <c r="AI12">
        <v>0.19617569107524724</v>
      </c>
      <c r="AK12">
        <v>2020</v>
      </c>
      <c r="AL12" t="s">
        <v>319</v>
      </c>
      <c r="AM12">
        <v>0.14516666666666667</v>
      </c>
      <c r="AN12" t="s">
        <v>275</v>
      </c>
    </row>
    <row r="13" spans="1:40" x14ac:dyDescent="0.45">
      <c r="C13" t="s">
        <v>320</v>
      </c>
      <c r="E13" t="s">
        <v>321</v>
      </c>
      <c r="G13" t="s">
        <v>143</v>
      </c>
      <c r="I13" t="s">
        <v>151</v>
      </c>
      <c r="J13" t="s">
        <v>325</v>
      </c>
      <c r="K13">
        <v>1.8724241542336068E-2</v>
      </c>
      <c r="L13" t="s">
        <v>153</v>
      </c>
      <c r="N13" t="s">
        <v>204</v>
      </c>
      <c r="O13" t="s">
        <v>325</v>
      </c>
      <c r="P13">
        <v>3.1012390236015774E-2</v>
      </c>
      <c r="Q13" t="s">
        <v>153</v>
      </c>
      <c r="S13" t="s">
        <v>246</v>
      </c>
      <c r="T13" t="s">
        <v>325</v>
      </c>
      <c r="U13">
        <v>2.2747768970178342E-2</v>
      </c>
      <c r="V13" t="s">
        <v>153</v>
      </c>
      <c r="X13">
        <v>2.0776255707762557E-2</v>
      </c>
      <c r="Y13">
        <v>3.5896543437005365E-2</v>
      </c>
      <c r="Z13" t="s">
        <v>325</v>
      </c>
      <c r="AA13" t="s">
        <v>25</v>
      </c>
      <c r="AC13" t="s">
        <v>22</v>
      </c>
      <c r="AD13" t="s">
        <v>325</v>
      </c>
      <c r="AE13">
        <v>2.3267259856912723E-2</v>
      </c>
      <c r="AG13" t="s">
        <v>96</v>
      </c>
      <c r="AH13" t="s">
        <v>325</v>
      </c>
      <c r="AI13">
        <v>3.933192603561575E-2</v>
      </c>
      <c r="AK13">
        <v>2020</v>
      </c>
      <c r="AL13" t="s">
        <v>320</v>
      </c>
      <c r="AM13">
        <v>7.8466666666666671E-2</v>
      </c>
      <c r="AN13" t="s">
        <v>275</v>
      </c>
    </row>
    <row r="14" spans="1:40" x14ac:dyDescent="0.45">
      <c r="C14" t="s">
        <v>322</v>
      </c>
      <c r="I14" t="s">
        <v>151</v>
      </c>
      <c r="J14" t="s">
        <v>326</v>
      </c>
      <c r="K14">
        <v>0.21091235212077691</v>
      </c>
      <c r="L14" t="s">
        <v>153</v>
      </c>
      <c r="N14" t="s">
        <v>204</v>
      </c>
      <c r="O14" t="s">
        <v>326</v>
      </c>
      <c r="P14">
        <v>0.11155551371214144</v>
      </c>
      <c r="Q14" t="s">
        <v>153</v>
      </c>
      <c r="S14" t="s">
        <v>246</v>
      </c>
      <c r="T14" t="s">
        <v>326</v>
      </c>
      <c r="U14">
        <v>9.3660995259052207E-2</v>
      </c>
      <c r="V14" t="s">
        <v>153</v>
      </c>
      <c r="X14">
        <v>0.11552511415525114</v>
      </c>
      <c r="Y14">
        <v>0.16263862301005233</v>
      </c>
      <c r="Z14" t="s">
        <v>326</v>
      </c>
      <c r="AA14" t="s">
        <v>25</v>
      </c>
      <c r="AC14" t="s">
        <v>22</v>
      </c>
      <c r="AD14" t="s">
        <v>326</v>
      </c>
      <c r="AE14">
        <v>0.12027656603904995</v>
      </c>
      <c r="AG14" t="s">
        <v>96</v>
      </c>
      <c r="AH14" t="s">
        <v>326</v>
      </c>
      <c r="AI14">
        <v>0.1735712231984321</v>
      </c>
      <c r="AK14">
        <v>2020</v>
      </c>
      <c r="AL14" t="s">
        <v>322</v>
      </c>
      <c r="AM14">
        <v>0.11636666666666666</v>
      </c>
      <c r="AN14" t="s">
        <v>275</v>
      </c>
    </row>
    <row r="15" spans="1:40" x14ac:dyDescent="0.45">
      <c r="I15" t="s">
        <v>151</v>
      </c>
      <c r="J15" t="s">
        <v>327</v>
      </c>
      <c r="K15">
        <v>0</v>
      </c>
      <c r="L15" t="s">
        <v>153</v>
      </c>
      <c r="N15" t="s">
        <v>204</v>
      </c>
      <c r="O15" t="s">
        <v>327</v>
      </c>
      <c r="P15">
        <v>7.3437232548715287E-2</v>
      </c>
      <c r="Q15" t="s">
        <v>153</v>
      </c>
      <c r="S15" t="s">
        <v>246</v>
      </c>
      <c r="T15" t="s">
        <v>327</v>
      </c>
      <c r="U15">
        <v>0.11085159091766604</v>
      </c>
      <c r="V15" t="s">
        <v>153</v>
      </c>
      <c r="X15">
        <v>0.11552511415525114</v>
      </c>
      <c r="Y15">
        <v>5.3125160563193538E-2</v>
      </c>
      <c r="Z15" t="s">
        <v>327</v>
      </c>
      <c r="AA15" t="s">
        <v>25</v>
      </c>
      <c r="AC15" t="s">
        <v>22</v>
      </c>
      <c r="AD15" t="s">
        <v>327</v>
      </c>
      <c r="AE15">
        <v>0.10141153561600974</v>
      </c>
      <c r="AG15" t="s">
        <v>96</v>
      </c>
      <c r="AH15" t="s">
        <v>327</v>
      </c>
      <c r="AI15">
        <v>0.2337337602087981</v>
      </c>
      <c r="AK15">
        <v>2021</v>
      </c>
      <c r="AL15" t="s">
        <v>317</v>
      </c>
      <c r="AM15">
        <v>0.11586666666666667</v>
      </c>
      <c r="AN15" t="s">
        <v>275</v>
      </c>
    </row>
    <row r="16" spans="1:40" x14ac:dyDescent="0.45">
      <c r="I16" t="s">
        <v>151</v>
      </c>
      <c r="J16" t="s">
        <v>328</v>
      </c>
      <c r="K16">
        <v>1.5870032465085726E-2</v>
      </c>
      <c r="L16" t="s">
        <v>153</v>
      </c>
      <c r="N16" t="s">
        <v>204</v>
      </c>
      <c r="O16" t="s">
        <v>328</v>
      </c>
      <c r="P16">
        <v>1.8771414408510372E-2</v>
      </c>
      <c r="Q16" t="s">
        <v>153</v>
      </c>
      <c r="S16" t="s">
        <v>246</v>
      </c>
      <c r="T16" t="s">
        <v>328</v>
      </c>
      <c r="U16">
        <v>2.0082784640991631E-2</v>
      </c>
      <c r="V16" t="s">
        <v>153</v>
      </c>
      <c r="X16">
        <v>2.1004566210045664E-2</v>
      </c>
      <c r="Y16">
        <v>3.6291010947302131E-2</v>
      </c>
      <c r="Z16" t="s">
        <v>328</v>
      </c>
      <c r="AA16" t="s">
        <v>25</v>
      </c>
      <c r="AC16" t="s">
        <v>22</v>
      </c>
      <c r="AD16" t="s">
        <v>328</v>
      </c>
      <c r="AE16">
        <v>2.3795941049418495E-2</v>
      </c>
      <c r="AG16" t="s">
        <v>96</v>
      </c>
      <c r="AH16" t="s">
        <v>328</v>
      </c>
      <c r="AI16">
        <v>7.17654814114701E-2</v>
      </c>
      <c r="AK16">
        <v>2021</v>
      </c>
      <c r="AL16" t="s">
        <v>319</v>
      </c>
      <c r="AM16">
        <v>0.15053333333333332</v>
      </c>
      <c r="AN16" t="s">
        <v>275</v>
      </c>
    </row>
    <row r="17" spans="9:40" x14ac:dyDescent="0.45">
      <c r="I17" t="s">
        <v>151</v>
      </c>
      <c r="J17" t="s">
        <v>329</v>
      </c>
      <c r="K17">
        <v>0.18012094218126007</v>
      </c>
      <c r="L17" t="s">
        <v>153</v>
      </c>
      <c r="N17" t="s">
        <v>204</v>
      </c>
      <c r="O17" t="s">
        <v>329</v>
      </c>
      <c r="P17">
        <v>0.22362493411490794</v>
      </c>
      <c r="Q17" t="s">
        <v>153</v>
      </c>
      <c r="S17" t="s">
        <v>246</v>
      </c>
      <c r="T17" t="s">
        <v>329</v>
      </c>
      <c r="U17">
        <v>9.9236405570383032E-2</v>
      </c>
      <c r="V17" t="s">
        <v>153</v>
      </c>
      <c r="X17">
        <v>0.11552511415525114</v>
      </c>
      <c r="Y17">
        <v>0.16263862301005233</v>
      </c>
      <c r="Z17" t="s">
        <v>329</v>
      </c>
      <c r="AA17" t="s">
        <v>25</v>
      </c>
      <c r="AC17" t="s">
        <v>22</v>
      </c>
      <c r="AD17" t="s">
        <v>329</v>
      </c>
      <c r="AE17">
        <v>0.13120919531464145</v>
      </c>
      <c r="AG17" t="s">
        <v>96</v>
      </c>
      <c r="AH17" t="s">
        <v>329</v>
      </c>
      <c r="AI17">
        <v>0.16715955648361192</v>
      </c>
      <c r="AK17">
        <v>2021</v>
      </c>
      <c r="AL17" t="s">
        <v>320</v>
      </c>
      <c r="AM17">
        <v>6.6333333333333341E-2</v>
      </c>
      <c r="AN17" t="s">
        <v>275</v>
      </c>
    </row>
    <row r="18" spans="9:40" x14ac:dyDescent="0.45">
      <c r="I18" t="s">
        <v>151</v>
      </c>
      <c r="J18" t="s">
        <v>330</v>
      </c>
      <c r="K18">
        <v>0</v>
      </c>
      <c r="L18" t="s">
        <v>153</v>
      </c>
      <c r="N18" t="s">
        <v>204</v>
      </c>
      <c r="O18" t="s">
        <v>330</v>
      </c>
      <c r="P18">
        <v>0.15789318508346195</v>
      </c>
      <c r="Q18" t="s">
        <v>153</v>
      </c>
      <c r="S18" t="s">
        <v>246</v>
      </c>
      <c r="T18" t="s">
        <v>330</v>
      </c>
      <c r="U18">
        <v>0.10727194226834734</v>
      </c>
      <c r="V18" t="s">
        <v>153</v>
      </c>
      <c r="X18">
        <v>0.11552511415525114</v>
      </c>
      <c r="Y18">
        <v>5.3125160563193538E-2</v>
      </c>
      <c r="Z18" t="s">
        <v>330</v>
      </c>
      <c r="AA18" t="s">
        <v>25</v>
      </c>
      <c r="AC18" t="s">
        <v>22</v>
      </c>
      <c r="AD18" t="s">
        <v>330</v>
      </c>
      <c r="AE18">
        <v>0.112526792942908</v>
      </c>
      <c r="AG18" t="s">
        <v>96</v>
      </c>
      <c r="AH18" t="s">
        <v>330</v>
      </c>
      <c r="AI18">
        <v>0.3232798323126127</v>
      </c>
      <c r="AK18">
        <v>2021</v>
      </c>
      <c r="AL18" t="s">
        <v>322</v>
      </c>
      <c r="AM18">
        <v>0.63963333333333328</v>
      </c>
      <c r="AN18" t="s">
        <v>275</v>
      </c>
    </row>
    <row r="19" spans="9:40" x14ac:dyDescent="0.45">
      <c r="I19" t="s">
        <v>151</v>
      </c>
      <c r="J19" t="s">
        <v>331</v>
      </c>
      <c r="K19">
        <v>9.7973839417786358E-3</v>
      </c>
      <c r="L19" t="s">
        <v>153</v>
      </c>
      <c r="N19" t="s">
        <v>204</v>
      </c>
      <c r="O19" t="s">
        <v>331</v>
      </c>
      <c r="P19">
        <v>2.9343271569621791E-2</v>
      </c>
      <c r="Q19" t="s">
        <v>153</v>
      </c>
      <c r="S19" t="s">
        <v>246</v>
      </c>
      <c r="T19" t="s">
        <v>331</v>
      </c>
      <c r="U19">
        <v>1.8451214307532694E-2</v>
      </c>
      <c r="V19" t="s">
        <v>153</v>
      </c>
      <c r="X19">
        <v>2.1004566210045664E-2</v>
      </c>
      <c r="Y19">
        <v>3.6291010947302131E-2</v>
      </c>
      <c r="Z19" t="s">
        <v>331</v>
      </c>
      <c r="AA19" t="s">
        <v>25</v>
      </c>
      <c r="AC19" t="s">
        <v>22</v>
      </c>
      <c r="AD19" t="s">
        <v>331</v>
      </c>
      <c r="AE19">
        <v>2.7368749863349636E-2</v>
      </c>
      <c r="AG19" t="s">
        <v>96</v>
      </c>
      <c r="AH19" t="s">
        <v>331</v>
      </c>
      <c r="AI19">
        <v>0.1048950057825091</v>
      </c>
      <c r="AK19">
        <v>2022</v>
      </c>
      <c r="AL19" t="s">
        <v>317</v>
      </c>
      <c r="AM19">
        <v>0.28870000000000001</v>
      </c>
      <c r="AN19" t="s">
        <v>275</v>
      </c>
    </row>
    <row r="20" spans="9:40" x14ac:dyDescent="0.45">
      <c r="I20" t="s">
        <v>151</v>
      </c>
      <c r="J20" t="s">
        <v>332</v>
      </c>
      <c r="K20">
        <v>0.26266285233827941</v>
      </c>
      <c r="L20" t="s">
        <v>153</v>
      </c>
      <c r="N20" t="s">
        <v>204</v>
      </c>
      <c r="O20" t="s">
        <v>332</v>
      </c>
      <c r="P20">
        <v>6.646787641967529E-2</v>
      </c>
      <c r="Q20" t="s">
        <v>153</v>
      </c>
      <c r="S20" t="s">
        <v>246</v>
      </c>
      <c r="T20" t="s">
        <v>332</v>
      </c>
      <c r="U20">
        <v>0.12851344153633629</v>
      </c>
      <c r="V20" t="s">
        <v>153</v>
      </c>
      <c r="X20">
        <v>0.11301369863013698</v>
      </c>
      <c r="Y20">
        <v>0.15910300077070333</v>
      </c>
      <c r="Z20" t="s">
        <v>332</v>
      </c>
      <c r="AA20" t="s">
        <v>25</v>
      </c>
      <c r="AC20" t="s">
        <v>22</v>
      </c>
      <c r="AD20" t="s">
        <v>332</v>
      </c>
      <c r="AE20">
        <v>0.12082219440217809</v>
      </c>
      <c r="AG20" t="s">
        <v>96</v>
      </c>
      <c r="AH20" t="s">
        <v>332</v>
      </c>
      <c r="AI20">
        <v>0.18697319994876871</v>
      </c>
      <c r="AK20">
        <v>2022</v>
      </c>
      <c r="AL20" t="s">
        <v>319</v>
      </c>
      <c r="AM20">
        <v>0.71346666666666669</v>
      </c>
      <c r="AN20" t="s">
        <v>275</v>
      </c>
    </row>
    <row r="21" spans="9:40" x14ac:dyDescent="0.45">
      <c r="I21" t="s">
        <v>151</v>
      </c>
      <c r="J21" t="s">
        <v>333</v>
      </c>
      <c r="K21">
        <v>4.3030620439968976E-4</v>
      </c>
      <c r="L21" t="s">
        <v>153</v>
      </c>
      <c r="N21" t="s">
        <v>204</v>
      </c>
      <c r="O21" t="s">
        <v>333</v>
      </c>
      <c r="P21">
        <v>5.3702995009296546E-2</v>
      </c>
      <c r="Q21" t="s">
        <v>153</v>
      </c>
      <c r="S21" t="s">
        <v>246</v>
      </c>
      <c r="T21" t="s">
        <v>333</v>
      </c>
      <c r="U21">
        <v>0.14834947685669689</v>
      </c>
      <c r="V21" t="s">
        <v>153</v>
      </c>
      <c r="X21">
        <v>0.11301369863013698</v>
      </c>
      <c r="Y21">
        <v>5.197026576834151E-2</v>
      </c>
      <c r="Z21" t="s">
        <v>333</v>
      </c>
      <c r="AA21" t="s">
        <v>25</v>
      </c>
      <c r="AC21" t="s">
        <v>22</v>
      </c>
      <c r="AD21" t="s">
        <v>333</v>
      </c>
      <c r="AE21">
        <v>9.982635191590393E-2</v>
      </c>
      <c r="AG21" t="s">
        <v>96</v>
      </c>
      <c r="AH21" t="s">
        <v>333</v>
      </c>
      <c r="AI21">
        <v>0.18288459673653334</v>
      </c>
      <c r="AK21">
        <v>2022</v>
      </c>
      <c r="AL21" t="s">
        <v>320</v>
      </c>
      <c r="AM21">
        <v>0.1762</v>
      </c>
      <c r="AN21" t="s">
        <v>275</v>
      </c>
    </row>
    <row r="22" spans="9:40" x14ac:dyDescent="0.45">
      <c r="I22" t="s">
        <v>151</v>
      </c>
      <c r="J22" t="s">
        <v>334</v>
      </c>
      <c r="K22">
        <v>2.860868228111307E-2</v>
      </c>
      <c r="L22" t="s">
        <v>153</v>
      </c>
      <c r="N22" t="s">
        <v>204</v>
      </c>
      <c r="O22" t="s">
        <v>334</v>
      </c>
      <c r="P22">
        <v>2.6649390135606712E-2</v>
      </c>
      <c r="Q22" t="s">
        <v>153</v>
      </c>
      <c r="S22" t="s">
        <v>246</v>
      </c>
      <c r="T22" t="s">
        <v>334</v>
      </c>
      <c r="U22">
        <v>2.7749796238173596E-2</v>
      </c>
      <c r="V22" t="s">
        <v>153</v>
      </c>
      <c r="X22">
        <v>2.0547945205479451E-2</v>
      </c>
      <c r="Y22">
        <v>3.5502075926708607E-2</v>
      </c>
      <c r="Z22" t="s">
        <v>334</v>
      </c>
      <c r="AA22" t="s">
        <v>25</v>
      </c>
      <c r="AC22" t="s">
        <v>22</v>
      </c>
      <c r="AD22" t="s">
        <v>334</v>
      </c>
      <c r="AE22">
        <v>2.3205594158046232E-2</v>
      </c>
      <c r="AG22" t="s">
        <v>96</v>
      </c>
      <c r="AH22" t="s">
        <v>334</v>
      </c>
      <c r="AI22">
        <v>4.9728058112932905E-2</v>
      </c>
      <c r="AK22">
        <v>2022</v>
      </c>
      <c r="AL22" t="s">
        <v>322</v>
      </c>
      <c r="AM22">
        <v>0.73326666666666662</v>
      </c>
      <c r="AN22" t="s">
        <v>275</v>
      </c>
    </row>
    <row r="23" spans="9:40" x14ac:dyDescent="0.45">
      <c r="I23" t="s">
        <v>162</v>
      </c>
      <c r="J23" t="s">
        <v>323</v>
      </c>
      <c r="K23">
        <v>0.27258066182831447</v>
      </c>
      <c r="L23" t="s">
        <v>153</v>
      </c>
      <c r="N23" t="s">
        <v>205</v>
      </c>
      <c r="O23" t="s">
        <v>323</v>
      </c>
      <c r="P23">
        <v>0.1331598225543224</v>
      </c>
      <c r="Q23" t="s">
        <v>153</v>
      </c>
      <c r="S23" t="s">
        <v>247</v>
      </c>
      <c r="T23" t="s">
        <v>323</v>
      </c>
      <c r="U23">
        <v>0.10694471624696211</v>
      </c>
      <c r="V23" t="s">
        <v>153</v>
      </c>
      <c r="AC23" t="s">
        <v>19</v>
      </c>
      <c r="AD23" t="s">
        <v>323</v>
      </c>
      <c r="AE23">
        <v>0.11464833881433291</v>
      </c>
      <c r="AK23">
        <v>2025</v>
      </c>
      <c r="AL23" t="s">
        <v>317</v>
      </c>
      <c r="AM23">
        <v>0.11036666666666667</v>
      </c>
      <c r="AN23" t="s">
        <v>275</v>
      </c>
    </row>
    <row r="24" spans="9:40" x14ac:dyDescent="0.45">
      <c r="I24" t="s">
        <v>162</v>
      </c>
      <c r="J24" t="s">
        <v>324</v>
      </c>
      <c r="K24">
        <v>4.8788063743613263E-4</v>
      </c>
      <c r="L24" t="s">
        <v>153</v>
      </c>
      <c r="N24" t="s">
        <v>205</v>
      </c>
      <c r="O24" t="s">
        <v>324</v>
      </c>
      <c r="P24">
        <v>8.9666871070857648E-2</v>
      </c>
      <c r="Q24" t="s">
        <v>153</v>
      </c>
      <c r="S24" t="s">
        <v>247</v>
      </c>
      <c r="T24" t="s">
        <v>324</v>
      </c>
      <c r="U24">
        <v>0.12078396574369107</v>
      </c>
      <c r="V24" t="s">
        <v>153</v>
      </c>
      <c r="AC24" t="s">
        <v>19</v>
      </c>
      <c r="AD24" t="s">
        <v>324</v>
      </c>
      <c r="AE24">
        <v>0.11367663138633094</v>
      </c>
      <c r="AK24">
        <v>2025</v>
      </c>
      <c r="AL24" t="s">
        <v>319</v>
      </c>
      <c r="AM24">
        <v>0.36856666666666671</v>
      </c>
      <c r="AN24" t="s">
        <v>275</v>
      </c>
    </row>
    <row r="25" spans="9:40" x14ac:dyDescent="0.45">
      <c r="I25" t="s">
        <v>162</v>
      </c>
      <c r="J25" t="s">
        <v>325</v>
      </c>
      <c r="K25">
        <v>2.2802876035200259E-2</v>
      </c>
      <c r="L25" t="s">
        <v>153</v>
      </c>
      <c r="N25" t="s">
        <v>205</v>
      </c>
      <c r="O25" t="s">
        <v>325</v>
      </c>
      <c r="P25">
        <v>2.7565382660420981E-2</v>
      </c>
      <c r="Q25" t="s">
        <v>153</v>
      </c>
      <c r="S25" t="s">
        <v>247</v>
      </c>
      <c r="T25" t="s">
        <v>325</v>
      </c>
      <c r="U25">
        <v>2.4523326879030607E-2</v>
      </c>
      <c r="V25" t="s">
        <v>153</v>
      </c>
      <c r="AC25" t="s">
        <v>19</v>
      </c>
      <c r="AD25" t="s">
        <v>325</v>
      </c>
      <c r="AE25">
        <v>2.0942228997751576E-2</v>
      </c>
      <c r="AK25">
        <v>2025</v>
      </c>
      <c r="AL25" t="s">
        <v>320</v>
      </c>
      <c r="AM25">
        <v>0.17863333333333334</v>
      </c>
      <c r="AN25" t="s">
        <v>275</v>
      </c>
    </row>
    <row r="26" spans="9:40" x14ac:dyDescent="0.45">
      <c r="I26" t="s">
        <v>162</v>
      </c>
      <c r="J26" t="s">
        <v>326</v>
      </c>
      <c r="K26">
        <v>0.20127560121217944</v>
      </c>
      <c r="L26" t="s">
        <v>153</v>
      </c>
      <c r="N26" t="s">
        <v>205</v>
      </c>
      <c r="O26" t="s">
        <v>326</v>
      </c>
      <c r="P26">
        <v>0.11613201634884679</v>
      </c>
      <c r="Q26" t="s">
        <v>153</v>
      </c>
      <c r="S26" t="s">
        <v>247</v>
      </c>
      <c r="T26" t="s">
        <v>326</v>
      </c>
      <c r="U26">
        <v>8.4623298335163563E-2</v>
      </c>
      <c r="V26" t="s">
        <v>153</v>
      </c>
      <c r="AC26" t="s">
        <v>19</v>
      </c>
      <c r="AD26" t="s">
        <v>326</v>
      </c>
      <c r="AE26">
        <v>0.11590966178788396</v>
      </c>
      <c r="AK26">
        <v>2025</v>
      </c>
      <c r="AL26" t="s">
        <v>322</v>
      </c>
      <c r="AM26">
        <v>0.31186666666666668</v>
      </c>
      <c r="AN26" t="s">
        <v>275</v>
      </c>
    </row>
    <row r="27" spans="9:40" x14ac:dyDescent="0.45">
      <c r="I27" t="s">
        <v>162</v>
      </c>
      <c r="J27" t="s">
        <v>327</v>
      </c>
      <c r="K27">
        <v>0</v>
      </c>
      <c r="L27" t="s">
        <v>153</v>
      </c>
      <c r="N27" t="s">
        <v>205</v>
      </c>
      <c r="O27" t="s">
        <v>327</v>
      </c>
      <c r="P27">
        <v>8.4063071332028505E-2</v>
      </c>
      <c r="Q27" t="s">
        <v>153</v>
      </c>
      <c r="S27" t="s">
        <v>247</v>
      </c>
      <c r="T27" t="s">
        <v>327</v>
      </c>
      <c r="U27">
        <v>0.10859388869660166</v>
      </c>
      <c r="V27" t="s">
        <v>153</v>
      </c>
      <c r="AC27" t="s">
        <v>19</v>
      </c>
      <c r="AD27" t="s">
        <v>327</v>
      </c>
      <c r="AE27">
        <v>0.11493926806103251</v>
      </c>
      <c r="AK27">
        <v>2026</v>
      </c>
      <c r="AL27" t="s">
        <v>317</v>
      </c>
      <c r="AM27">
        <v>0.20336666666666667</v>
      </c>
      <c r="AN27" t="s">
        <v>275</v>
      </c>
    </row>
    <row r="28" spans="9:40" x14ac:dyDescent="0.45">
      <c r="I28" t="s">
        <v>162</v>
      </c>
      <c r="J28" t="s">
        <v>328</v>
      </c>
      <c r="K28">
        <v>1.6438719477646118E-2</v>
      </c>
      <c r="L28" t="s">
        <v>153</v>
      </c>
      <c r="N28" t="s">
        <v>205</v>
      </c>
      <c r="O28" t="s">
        <v>328</v>
      </c>
      <c r="P28">
        <v>1.9553631549323287E-2</v>
      </c>
      <c r="Q28" t="s">
        <v>153</v>
      </c>
      <c r="S28" t="s">
        <v>247</v>
      </c>
      <c r="T28" t="s">
        <v>328</v>
      </c>
      <c r="U28">
        <v>2.0666365714837764E-2</v>
      </c>
      <c r="V28" t="s">
        <v>153</v>
      </c>
      <c r="AC28" t="s">
        <v>19</v>
      </c>
      <c r="AD28" t="s">
        <v>328</v>
      </c>
      <c r="AE28">
        <v>2.117363085483779E-2</v>
      </c>
      <c r="AK28">
        <v>2026</v>
      </c>
      <c r="AL28" t="s">
        <v>319</v>
      </c>
      <c r="AM28">
        <v>0.32803333333333334</v>
      </c>
      <c r="AN28" t="s">
        <v>275</v>
      </c>
    </row>
    <row r="29" spans="9:40" x14ac:dyDescent="0.45">
      <c r="I29" t="s">
        <v>162</v>
      </c>
      <c r="J29" t="s">
        <v>329</v>
      </c>
      <c r="K29">
        <v>0.17270848619488205</v>
      </c>
      <c r="L29" t="s">
        <v>153</v>
      </c>
      <c r="N29" t="s">
        <v>205</v>
      </c>
      <c r="O29" t="s">
        <v>329</v>
      </c>
      <c r="P29">
        <v>0.18146428697925965</v>
      </c>
      <c r="Q29" t="s">
        <v>153</v>
      </c>
      <c r="S29" t="s">
        <v>247</v>
      </c>
      <c r="T29" t="s">
        <v>329</v>
      </c>
      <c r="U29">
        <v>9.6055120152588908E-2</v>
      </c>
      <c r="V29" t="s">
        <v>153</v>
      </c>
      <c r="AC29" t="s">
        <v>19</v>
      </c>
      <c r="AD29" t="s">
        <v>329</v>
      </c>
      <c r="AE29">
        <v>0.11592559282208237</v>
      </c>
      <c r="AK29">
        <v>2026</v>
      </c>
      <c r="AL29" t="s">
        <v>320</v>
      </c>
      <c r="AM29">
        <v>0.19226666666666667</v>
      </c>
      <c r="AN29" t="s">
        <v>275</v>
      </c>
    </row>
    <row r="30" spans="9:40" x14ac:dyDescent="0.45">
      <c r="I30" t="s">
        <v>162</v>
      </c>
      <c r="J30" t="s">
        <v>330</v>
      </c>
      <c r="K30">
        <v>0</v>
      </c>
      <c r="L30" t="s">
        <v>153</v>
      </c>
      <c r="N30" t="s">
        <v>205</v>
      </c>
      <c r="O30" t="s">
        <v>330</v>
      </c>
      <c r="P30">
        <v>0.13991424430129765</v>
      </c>
      <c r="Q30" t="s">
        <v>153</v>
      </c>
      <c r="S30" t="s">
        <v>247</v>
      </c>
      <c r="T30" t="s">
        <v>330</v>
      </c>
      <c r="U30">
        <v>0.1040781347918</v>
      </c>
      <c r="V30" t="s">
        <v>153</v>
      </c>
      <c r="AC30" t="s">
        <v>19</v>
      </c>
      <c r="AD30" t="s">
        <v>330</v>
      </c>
      <c r="AE30">
        <v>0.11496459325529118</v>
      </c>
      <c r="AK30">
        <v>2026</v>
      </c>
      <c r="AL30" t="s">
        <v>322</v>
      </c>
      <c r="AM30">
        <v>0.32233333333333331</v>
      </c>
      <c r="AN30" t="s">
        <v>275</v>
      </c>
    </row>
    <row r="31" spans="9:40" x14ac:dyDescent="0.45">
      <c r="I31" t="s">
        <v>162</v>
      </c>
      <c r="J31" t="s">
        <v>331</v>
      </c>
      <c r="K31">
        <v>1.0471852273738291E-2</v>
      </c>
      <c r="L31" t="s">
        <v>153</v>
      </c>
      <c r="N31" t="s">
        <v>205</v>
      </c>
      <c r="O31" t="s">
        <v>331</v>
      </c>
      <c r="P31">
        <v>2.8893560393211254E-2</v>
      </c>
      <c r="Q31" t="s">
        <v>153</v>
      </c>
      <c r="S31" t="s">
        <v>247</v>
      </c>
      <c r="T31" t="s">
        <v>331</v>
      </c>
      <c r="U31">
        <v>1.7921183875895287E-2</v>
      </c>
      <c r="V31" t="s">
        <v>153</v>
      </c>
      <c r="AC31" t="s">
        <v>19</v>
      </c>
      <c r="AD31" t="s">
        <v>331</v>
      </c>
      <c r="AE31">
        <v>2.1258060822617837E-2</v>
      </c>
      <c r="AK31">
        <v>2027</v>
      </c>
      <c r="AL31" t="s">
        <v>317</v>
      </c>
      <c r="AM31">
        <v>6.4100000000000004E-2</v>
      </c>
      <c r="AN31" t="s">
        <v>275</v>
      </c>
    </row>
    <row r="32" spans="9:40" x14ac:dyDescent="0.45">
      <c r="I32" t="s">
        <v>162</v>
      </c>
      <c r="J32" t="s">
        <v>332</v>
      </c>
      <c r="K32">
        <v>0.27108962877951087</v>
      </c>
      <c r="L32" t="s">
        <v>153</v>
      </c>
      <c r="N32" t="s">
        <v>205</v>
      </c>
      <c r="O32" t="s">
        <v>332</v>
      </c>
      <c r="P32">
        <v>7.5757193849202958E-2</v>
      </c>
      <c r="Q32" t="s">
        <v>153</v>
      </c>
      <c r="S32" t="s">
        <v>247</v>
      </c>
      <c r="T32" t="s">
        <v>332</v>
      </c>
      <c r="U32">
        <v>0.12951708546421889</v>
      </c>
      <c r="V32" t="s">
        <v>153</v>
      </c>
      <c r="AC32" t="s">
        <v>19</v>
      </c>
      <c r="AD32" t="s">
        <v>332</v>
      </c>
      <c r="AE32">
        <v>0.11347339485951972</v>
      </c>
      <c r="AK32">
        <v>2027</v>
      </c>
      <c r="AL32" t="s">
        <v>319</v>
      </c>
      <c r="AM32">
        <v>0.20443333333333333</v>
      </c>
      <c r="AN32" t="s">
        <v>275</v>
      </c>
    </row>
    <row r="33" spans="9:40" x14ac:dyDescent="0.45">
      <c r="I33" t="s">
        <v>162</v>
      </c>
      <c r="J33" t="s">
        <v>333</v>
      </c>
      <c r="K33">
        <v>5.1481004190398754E-4</v>
      </c>
      <c r="L33" t="s">
        <v>153</v>
      </c>
      <c r="N33" t="s">
        <v>205</v>
      </c>
      <c r="O33" t="s">
        <v>333</v>
      </c>
      <c r="P33">
        <v>7.7676260921163393E-2</v>
      </c>
      <c r="Q33" t="s">
        <v>153</v>
      </c>
      <c r="S33" t="s">
        <v>247</v>
      </c>
      <c r="T33" t="s">
        <v>333</v>
      </c>
      <c r="U33">
        <v>0.15532973789907042</v>
      </c>
      <c r="V33" t="s">
        <v>153</v>
      </c>
      <c r="AC33" t="s">
        <v>19</v>
      </c>
      <c r="AD33" t="s">
        <v>333</v>
      </c>
      <c r="AE33">
        <v>0.11239339480747856</v>
      </c>
      <c r="AK33">
        <v>2027</v>
      </c>
      <c r="AL33" t="s">
        <v>320</v>
      </c>
      <c r="AM33">
        <v>0.11793333333333333</v>
      </c>
      <c r="AN33" t="s">
        <v>275</v>
      </c>
    </row>
    <row r="34" spans="9:40" x14ac:dyDescent="0.45">
      <c r="I34" t="s">
        <v>162</v>
      </c>
      <c r="J34" t="s">
        <v>334</v>
      </c>
      <c r="K34">
        <v>3.1629483519188477E-2</v>
      </c>
      <c r="L34" t="s">
        <v>153</v>
      </c>
      <c r="N34" t="s">
        <v>205</v>
      </c>
      <c r="O34" t="s">
        <v>334</v>
      </c>
      <c r="P34">
        <v>2.6153658040065548E-2</v>
      </c>
      <c r="Q34" t="s">
        <v>153</v>
      </c>
      <c r="S34" t="s">
        <v>247</v>
      </c>
      <c r="T34" t="s">
        <v>334</v>
      </c>
      <c r="U34">
        <v>3.0963176200142561E-2</v>
      </c>
      <c r="V34" t="s">
        <v>153</v>
      </c>
      <c r="AC34" t="s">
        <v>19</v>
      </c>
      <c r="AD34" t="s">
        <v>334</v>
      </c>
      <c r="AE34">
        <v>2.0695203530840676E-2</v>
      </c>
      <c r="AK34">
        <v>2027</v>
      </c>
      <c r="AL34" t="s">
        <v>322</v>
      </c>
      <c r="AM34">
        <v>0.34349999999999997</v>
      </c>
      <c r="AN34" t="s">
        <v>275</v>
      </c>
    </row>
    <row r="35" spans="9:40" x14ac:dyDescent="0.45">
      <c r="I35" t="s">
        <v>163</v>
      </c>
      <c r="J35" t="s">
        <v>323</v>
      </c>
      <c r="K35">
        <v>0.27063843474835786</v>
      </c>
      <c r="L35" t="s">
        <v>153</v>
      </c>
      <c r="N35" t="s">
        <v>206</v>
      </c>
      <c r="O35" t="s">
        <v>323</v>
      </c>
      <c r="P35">
        <v>0.11418403917874913</v>
      </c>
      <c r="Q35" t="s">
        <v>153</v>
      </c>
      <c r="S35" t="s">
        <v>248</v>
      </c>
      <c r="T35" t="s">
        <v>323</v>
      </c>
      <c r="U35">
        <v>0.11400919076367964</v>
      </c>
      <c r="V35" t="s">
        <v>153</v>
      </c>
      <c r="AK35">
        <v>2028</v>
      </c>
      <c r="AL35" t="s">
        <v>317</v>
      </c>
      <c r="AM35">
        <v>0.12383333333333334</v>
      </c>
      <c r="AN35" t="s">
        <v>275</v>
      </c>
    </row>
    <row r="36" spans="9:40" x14ac:dyDescent="0.45">
      <c r="I36" t="s">
        <v>163</v>
      </c>
      <c r="J36" t="s">
        <v>324</v>
      </c>
      <c r="K36">
        <v>2.0898881100108882E-3</v>
      </c>
      <c r="L36" t="s">
        <v>153</v>
      </c>
      <c r="N36" t="s">
        <v>206</v>
      </c>
      <c r="O36" t="s">
        <v>324</v>
      </c>
      <c r="P36">
        <v>0.10784891280990823</v>
      </c>
      <c r="Q36" t="s">
        <v>153</v>
      </c>
      <c r="S36" t="s">
        <v>248</v>
      </c>
      <c r="T36" t="s">
        <v>324</v>
      </c>
      <c r="U36">
        <v>0.12071017349014794</v>
      </c>
      <c r="V36" t="s">
        <v>153</v>
      </c>
      <c r="AK36">
        <v>2028</v>
      </c>
      <c r="AL36" t="s">
        <v>319</v>
      </c>
      <c r="AM36">
        <v>0.37426666666666669</v>
      </c>
      <c r="AN36" t="s">
        <v>275</v>
      </c>
    </row>
    <row r="37" spans="9:40" x14ac:dyDescent="0.45">
      <c r="I37" t="s">
        <v>163</v>
      </c>
      <c r="J37" t="s">
        <v>325</v>
      </c>
      <c r="K37">
        <v>2.4473551120783626E-2</v>
      </c>
      <c r="L37" t="s">
        <v>153</v>
      </c>
      <c r="N37" t="s">
        <v>206</v>
      </c>
      <c r="O37" t="s">
        <v>325</v>
      </c>
      <c r="P37">
        <v>2.8667226055295508E-2</v>
      </c>
      <c r="Q37" t="s">
        <v>153</v>
      </c>
      <c r="S37" t="s">
        <v>248</v>
      </c>
      <c r="T37" t="s">
        <v>325</v>
      </c>
      <c r="U37">
        <v>3.1412229825037816E-2</v>
      </c>
      <c r="V37" t="s">
        <v>153</v>
      </c>
      <c r="AK37">
        <v>2028</v>
      </c>
      <c r="AL37" t="s">
        <v>320</v>
      </c>
      <c r="AM37">
        <v>0.13460000000000003</v>
      </c>
      <c r="AN37" t="s">
        <v>275</v>
      </c>
    </row>
    <row r="38" spans="9:40" x14ac:dyDescent="0.45">
      <c r="I38" t="s">
        <v>163</v>
      </c>
      <c r="J38" t="s">
        <v>326</v>
      </c>
      <c r="K38">
        <v>0.19611722525963879</v>
      </c>
      <c r="L38" t="s">
        <v>153</v>
      </c>
      <c r="N38" t="s">
        <v>206</v>
      </c>
      <c r="O38" t="s">
        <v>326</v>
      </c>
      <c r="P38">
        <v>8.9163464192659775E-2</v>
      </c>
      <c r="Q38" t="s">
        <v>153</v>
      </c>
      <c r="S38" t="s">
        <v>248</v>
      </c>
      <c r="T38" t="s">
        <v>326</v>
      </c>
      <c r="U38">
        <v>8.0453292242101515E-2</v>
      </c>
      <c r="V38" t="s">
        <v>153</v>
      </c>
      <c r="AK38">
        <v>2028</v>
      </c>
      <c r="AL38" t="s">
        <v>322</v>
      </c>
      <c r="AM38">
        <v>0.2733666666666667</v>
      </c>
      <c r="AN38" t="s">
        <v>275</v>
      </c>
    </row>
    <row r="39" spans="9:40" x14ac:dyDescent="0.45">
      <c r="I39" t="s">
        <v>163</v>
      </c>
      <c r="J39" t="s">
        <v>327</v>
      </c>
      <c r="K39">
        <v>0</v>
      </c>
      <c r="L39" t="s">
        <v>153</v>
      </c>
      <c r="N39" t="s">
        <v>206</v>
      </c>
      <c r="O39" t="s">
        <v>327</v>
      </c>
      <c r="P39">
        <v>9.0669312609483799E-2</v>
      </c>
      <c r="Q39" t="s">
        <v>153</v>
      </c>
      <c r="S39" t="s">
        <v>248</v>
      </c>
      <c r="T39" t="s">
        <v>327</v>
      </c>
      <c r="U39">
        <v>9.7303809478710118E-2</v>
      </c>
      <c r="V39" t="s">
        <v>153</v>
      </c>
      <c r="AK39">
        <v>2029</v>
      </c>
      <c r="AL39" t="s">
        <v>317</v>
      </c>
      <c r="AM39">
        <v>0.20236666666666669</v>
      </c>
      <c r="AN39" t="s">
        <v>275</v>
      </c>
    </row>
    <row r="40" spans="9:40" x14ac:dyDescent="0.45">
      <c r="I40" t="s">
        <v>163</v>
      </c>
      <c r="J40" t="s">
        <v>328</v>
      </c>
      <c r="K40">
        <v>1.5484353101843575E-2</v>
      </c>
      <c r="L40" t="s">
        <v>153</v>
      </c>
      <c r="N40" t="s">
        <v>206</v>
      </c>
      <c r="O40" t="s">
        <v>328</v>
      </c>
      <c r="P40">
        <v>2.1874768242619719E-2</v>
      </c>
      <c r="Q40" t="s">
        <v>153</v>
      </c>
      <c r="S40" t="s">
        <v>248</v>
      </c>
      <c r="T40" t="s">
        <v>328</v>
      </c>
      <c r="U40">
        <v>2.3564156686153418E-2</v>
      </c>
      <c r="V40" t="s">
        <v>153</v>
      </c>
      <c r="AK40">
        <v>2029</v>
      </c>
      <c r="AL40" t="s">
        <v>319</v>
      </c>
      <c r="AM40">
        <v>0.24256666666666662</v>
      </c>
      <c r="AN40" t="s">
        <v>275</v>
      </c>
    </row>
    <row r="41" spans="9:40" x14ac:dyDescent="0.45">
      <c r="I41" t="s">
        <v>163</v>
      </c>
      <c r="J41" t="s">
        <v>329</v>
      </c>
      <c r="K41">
        <v>0.15511004564246783</v>
      </c>
      <c r="L41" t="s">
        <v>153</v>
      </c>
      <c r="N41" t="s">
        <v>206</v>
      </c>
      <c r="O41" t="s">
        <v>329</v>
      </c>
      <c r="P41">
        <v>0.14432681579186596</v>
      </c>
      <c r="Q41" t="s">
        <v>153</v>
      </c>
      <c r="S41" t="s">
        <v>248</v>
      </c>
      <c r="T41" t="s">
        <v>329</v>
      </c>
      <c r="U41">
        <v>9.9452112532942366E-2</v>
      </c>
      <c r="V41" t="s">
        <v>153</v>
      </c>
      <c r="AK41">
        <v>2029</v>
      </c>
      <c r="AL41" t="s">
        <v>320</v>
      </c>
      <c r="AM41">
        <v>0.11596666666666666</v>
      </c>
      <c r="AN41" t="s">
        <v>275</v>
      </c>
    </row>
    <row r="42" spans="9:40" x14ac:dyDescent="0.45">
      <c r="I42" t="s">
        <v>163</v>
      </c>
      <c r="J42" t="s">
        <v>330</v>
      </c>
      <c r="K42">
        <v>0</v>
      </c>
      <c r="L42" t="s">
        <v>153</v>
      </c>
      <c r="N42" t="s">
        <v>206</v>
      </c>
      <c r="O42" t="s">
        <v>330</v>
      </c>
      <c r="P42">
        <v>0.1048743237031437</v>
      </c>
      <c r="Q42" t="s">
        <v>153</v>
      </c>
      <c r="S42" t="s">
        <v>248</v>
      </c>
      <c r="T42" t="s">
        <v>330</v>
      </c>
      <c r="U42">
        <v>0.10571348395805322</v>
      </c>
      <c r="V42" t="s">
        <v>153</v>
      </c>
      <c r="AK42">
        <v>2029</v>
      </c>
      <c r="AL42" t="s">
        <v>322</v>
      </c>
      <c r="AM42">
        <v>0.30443333333333333</v>
      </c>
      <c r="AN42" t="s">
        <v>275</v>
      </c>
    </row>
    <row r="43" spans="9:40" x14ac:dyDescent="0.45">
      <c r="I43" t="s">
        <v>163</v>
      </c>
      <c r="J43" t="s">
        <v>331</v>
      </c>
      <c r="K43">
        <v>7.5947376792987889E-3</v>
      </c>
      <c r="L43" t="s">
        <v>153</v>
      </c>
      <c r="N43" t="s">
        <v>206</v>
      </c>
      <c r="O43" t="s">
        <v>331</v>
      </c>
      <c r="P43">
        <v>2.4430857958373811E-2</v>
      </c>
      <c r="Q43" t="s">
        <v>153</v>
      </c>
      <c r="S43" t="s">
        <v>248</v>
      </c>
      <c r="T43" t="s">
        <v>331</v>
      </c>
      <c r="U43">
        <v>2.1042188547069664E-2</v>
      </c>
      <c r="V43" t="s">
        <v>153</v>
      </c>
      <c r="AK43">
        <v>2030</v>
      </c>
      <c r="AL43" t="s">
        <v>317</v>
      </c>
      <c r="AM43">
        <v>0.21983333333333333</v>
      </c>
      <c r="AN43" t="s">
        <v>275</v>
      </c>
    </row>
    <row r="44" spans="9:40" x14ac:dyDescent="0.45">
      <c r="I44" t="s">
        <v>163</v>
      </c>
      <c r="J44" t="s">
        <v>332</v>
      </c>
      <c r="K44">
        <v>0.28958085030369912</v>
      </c>
      <c r="L44" t="s">
        <v>153</v>
      </c>
      <c r="N44" t="s">
        <v>206</v>
      </c>
      <c r="O44" t="s">
        <v>332</v>
      </c>
      <c r="P44">
        <v>9.3664278698474282E-2</v>
      </c>
      <c r="Q44" t="s">
        <v>153</v>
      </c>
      <c r="S44" t="s">
        <v>248</v>
      </c>
      <c r="T44" t="s">
        <v>332</v>
      </c>
      <c r="U44">
        <v>0.1243608071509491</v>
      </c>
      <c r="V44" t="s">
        <v>153</v>
      </c>
      <c r="AK44">
        <v>2030</v>
      </c>
      <c r="AL44" t="s">
        <v>319</v>
      </c>
      <c r="AM44">
        <v>0.27323333333333338</v>
      </c>
      <c r="AN44" t="s">
        <v>275</v>
      </c>
    </row>
    <row r="45" spans="9:40" x14ac:dyDescent="0.45">
      <c r="I45" t="s">
        <v>163</v>
      </c>
      <c r="J45" t="s">
        <v>333</v>
      </c>
      <c r="K45">
        <v>2.3855276136099447E-3</v>
      </c>
      <c r="L45" t="s">
        <v>153</v>
      </c>
      <c r="N45" t="s">
        <v>206</v>
      </c>
      <c r="O45" t="s">
        <v>333</v>
      </c>
      <c r="P45">
        <v>0.13816304329404941</v>
      </c>
      <c r="Q45" t="s">
        <v>153</v>
      </c>
      <c r="S45" t="s">
        <v>248</v>
      </c>
      <c r="T45" t="s">
        <v>333</v>
      </c>
      <c r="U45">
        <v>0.14459329615495684</v>
      </c>
      <c r="V45" t="s">
        <v>153</v>
      </c>
      <c r="AK45">
        <v>2030</v>
      </c>
      <c r="AL45" t="s">
        <v>320</v>
      </c>
      <c r="AM45">
        <v>6.9066666666666665E-2</v>
      </c>
      <c r="AN45" t="s">
        <v>275</v>
      </c>
    </row>
    <row r="46" spans="9:40" x14ac:dyDescent="0.45">
      <c r="I46" t="s">
        <v>163</v>
      </c>
      <c r="J46" t="s">
        <v>334</v>
      </c>
      <c r="K46">
        <v>3.6525386420290712E-2</v>
      </c>
      <c r="L46" t="s">
        <v>153</v>
      </c>
      <c r="N46" t="s">
        <v>206</v>
      </c>
      <c r="O46" t="s">
        <v>334</v>
      </c>
      <c r="P46">
        <v>4.2132957465377069E-2</v>
      </c>
      <c r="Q46" t="s">
        <v>153</v>
      </c>
      <c r="S46" t="s">
        <v>248</v>
      </c>
      <c r="T46" t="s">
        <v>334</v>
      </c>
      <c r="U46">
        <v>3.7385259170196812E-2</v>
      </c>
      <c r="V46" t="s">
        <v>153</v>
      </c>
      <c r="AK46">
        <v>2030</v>
      </c>
      <c r="AL46" t="s">
        <v>322</v>
      </c>
      <c r="AM46">
        <v>0.39450000000000002</v>
      </c>
      <c r="AN46" t="s">
        <v>275</v>
      </c>
    </row>
    <row r="47" spans="9:40" x14ac:dyDescent="0.45">
      <c r="I47" t="s">
        <v>164</v>
      </c>
      <c r="J47" t="s">
        <v>323</v>
      </c>
      <c r="K47">
        <v>0.27318181325083418</v>
      </c>
      <c r="L47" t="s">
        <v>153</v>
      </c>
      <c r="N47" t="s">
        <v>207</v>
      </c>
      <c r="O47" t="s">
        <v>323</v>
      </c>
      <c r="P47">
        <v>0.14077756584328083</v>
      </c>
      <c r="Q47" t="s">
        <v>153</v>
      </c>
      <c r="S47" t="s">
        <v>249</v>
      </c>
      <c r="T47" t="s">
        <v>323</v>
      </c>
      <c r="U47">
        <v>0.1160357243625407</v>
      </c>
      <c r="V47" t="s">
        <v>153</v>
      </c>
      <c r="AK47">
        <v>2031</v>
      </c>
      <c r="AL47" t="s">
        <v>317</v>
      </c>
      <c r="AM47">
        <v>0.23929999999999998</v>
      </c>
      <c r="AN47" t="s">
        <v>275</v>
      </c>
    </row>
    <row r="48" spans="9:40" x14ac:dyDescent="0.45">
      <c r="I48" t="s">
        <v>164</v>
      </c>
      <c r="J48" t="s">
        <v>324</v>
      </c>
      <c r="K48">
        <v>3.363268278596974E-3</v>
      </c>
      <c r="L48" t="s">
        <v>153</v>
      </c>
      <c r="N48" t="s">
        <v>207</v>
      </c>
      <c r="O48" t="s">
        <v>324</v>
      </c>
      <c r="P48">
        <v>8.0299561798531094E-2</v>
      </c>
      <c r="Q48" t="s">
        <v>153</v>
      </c>
      <c r="S48" t="s">
        <v>249</v>
      </c>
      <c r="T48" t="s">
        <v>324</v>
      </c>
      <c r="U48">
        <v>0.12440678960197467</v>
      </c>
      <c r="V48" t="s">
        <v>153</v>
      </c>
      <c r="AK48">
        <v>2031</v>
      </c>
      <c r="AL48" t="s">
        <v>319</v>
      </c>
      <c r="AM48">
        <v>0.23273333333333332</v>
      </c>
      <c r="AN48" t="s">
        <v>275</v>
      </c>
    </row>
    <row r="49" spans="9:40" x14ac:dyDescent="0.45">
      <c r="I49" t="s">
        <v>164</v>
      </c>
      <c r="J49" t="s">
        <v>325</v>
      </c>
      <c r="K49">
        <v>2.2347838941778848E-2</v>
      </c>
      <c r="L49" t="s">
        <v>153</v>
      </c>
      <c r="N49" t="s">
        <v>207</v>
      </c>
      <c r="O49" t="s">
        <v>325</v>
      </c>
      <c r="P49">
        <v>3.1704621315950372E-2</v>
      </c>
      <c r="Q49" t="s">
        <v>153</v>
      </c>
      <c r="S49" t="s">
        <v>249</v>
      </c>
      <c r="T49" t="s">
        <v>325</v>
      </c>
      <c r="U49">
        <v>2.5003398976142652E-2</v>
      </c>
      <c r="V49" t="s">
        <v>153</v>
      </c>
      <c r="AK49">
        <v>2031</v>
      </c>
      <c r="AL49" t="s">
        <v>320</v>
      </c>
      <c r="AM49">
        <v>7.9899999999999999E-2</v>
      </c>
      <c r="AN49" t="s">
        <v>275</v>
      </c>
    </row>
    <row r="50" spans="9:40" x14ac:dyDescent="0.45">
      <c r="I50" t="s">
        <v>164</v>
      </c>
      <c r="J50" t="s">
        <v>326</v>
      </c>
      <c r="K50">
        <v>0.19542869093806314</v>
      </c>
      <c r="L50" t="s">
        <v>153</v>
      </c>
      <c r="N50" t="s">
        <v>207</v>
      </c>
      <c r="O50" t="s">
        <v>326</v>
      </c>
      <c r="P50">
        <v>9.8442479882271658E-2</v>
      </c>
      <c r="Q50" t="s">
        <v>153</v>
      </c>
      <c r="S50" t="s">
        <v>249</v>
      </c>
      <c r="T50" t="s">
        <v>326</v>
      </c>
      <c r="U50">
        <v>9.3034906226016165E-2</v>
      </c>
      <c r="V50" t="s">
        <v>153</v>
      </c>
      <c r="AK50">
        <v>2031</v>
      </c>
      <c r="AL50" t="s">
        <v>322</v>
      </c>
      <c r="AM50">
        <v>0.37340000000000001</v>
      </c>
      <c r="AN50" t="s">
        <v>275</v>
      </c>
    </row>
    <row r="51" spans="9:40" x14ac:dyDescent="0.45">
      <c r="I51" t="s">
        <v>164</v>
      </c>
      <c r="J51" t="s">
        <v>327</v>
      </c>
      <c r="K51">
        <v>0</v>
      </c>
      <c r="L51" t="s">
        <v>153</v>
      </c>
      <c r="N51" t="s">
        <v>207</v>
      </c>
      <c r="O51" t="s">
        <v>327</v>
      </c>
      <c r="P51">
        <v>6.2165354971442759E-2</v>
      </c>
      <c r="Q51" t="s">
        <v>153</v>
      </c>
      <c r="S51" t="s">
        <v>249</v>
      </c>
      <c r="T51" t="s">
        <v>327</v>
      </c>
      <c r="U51">
        <v>0.10665630035160013</v>
      </c>
      <c r="V51" t="s">
        <v>153</v>
      </c>
      <c r="AK51">
        <v>2032</v>
      </c>
      <c r="AL51" t="s">
        <v>317</v>
      </c>
      <c r="AM51">
        <v>0.13006666666666666</v>
      </c>
      <c r="AN51" t="s">
        <v>275</v>
      </c>
    </row>
    <row r="52" spans="9:40" x14ac:dyDescent="0.45">
      <c r="I52" t="s">
        <v>164</v>
      </c>
      <c r="J52" t="s">
        <v>328</v>
      </c>
      <c r="K52">
        <v>1.1939678049405805E-2</v>
      </c>
      <c r="L52" t="s">
        <v>153</v>
      </c>
      <c r="N52" t="s">
        <v>207</v>
      </c>
      <c r="O52" t="s">
        <v>328</v>
      </c>
      <c r="P52">
        <v>2.3116280890481945E-2</v>
      </c>
      <c r="Q52" t="s">
        <v>153</v>
      </c>
      <c r="S52" t="s">
        <v>249</v>
      </c>
      <c r="T52" t="s">
        <v>328</v>
      </c>
      <c r="U52">
        <v>2.0408131036211981E-2</v>
      </c>
      <c r="V52" t="s">
        <v>153</v>
      </c>
      <c r="AK52">
        <v>2032</v>
      </c>
      <c r="AL52" t="s">
        <v>319</v>
      </c>
      <c r="AM52">
        <v>0.3887666666666667</v>
      </c>
      <c r="AN52" t="s">
        <v>275</v>
      </c>
    </row>
    <row r="53" spans="9:40" x14ac:dyDescent="0.45">
      <c r="I53" t="s">
        <v>164</v>
      </c>
      <c r="J53" t="s">
        <v>329</v>
      </c>
      <c r="K53">
        <v>0.16484748617569234</v>
      </c>
      <c r="L53" t="s">
        <v>153</v>
      </c>
      <c r="N53" t="s">
        <v>207</v>
      </c>
      <c r="O53" t="s">
        <v>329</v>
      </c>
      <c r="P53">
        <v>0.17680725375352166</v>
      </c>
      <c r="Q53" t="s">
        <v>153</v>
      </c>
      <c r="S53" t="s">
        <v>249</v>
      </c>
      <c r="T53" t="s">
        <v>329</v>
      </c>
      <c r="U53">
        <v>9.4149864032978092E-2</v>
      </c>
      <c r="V53" t="s">
        <v>153</v>
      </c>
      <c r="AK53">
        <v>2032</v>
      </c>
      <c r="AL53" t="s">
        <v>320</v>
      </c>
      <c r="AM53">
        <v>5.000000000000001E-2</v>
      </c>
      <c r="AN53" t="s">
        <v>275</v>
      </c>
    </row>
    <row r="54" spans="9:40" x14ac:dyDescent="0.45">
      <c r="I54" t="s">
        <v>164</v>
      </c>
      <c r="J54" t="s">
        <v>330</v>
      </c>
      <c r="K54">
        <v>0</v>
      </c>
      <c r="L54" t="s">
        <v>153</v>
      </c>
      <c r="N54" t="s">
        <v>207</v>
      </c>
      <c r="O54" t="s">
        <v>330</v>
      </c>
      <c r="P54">
        <v>0.12957368389536855</v>
      </c>
      <c r="Q54" t="s">
        <v>153</v>
      </c>
      <c r="S54" t="s">
        <v>249</v>
      </c>
      <c r="T54" t="s">
        <v>330</v>
      </c>
      <c r="U54">
        <v>9.9951052069615354E-2</v>
      </c>
      <c r="V54" t="s">
        <v>153</v>
      </c>
      <c r="AK54">
        <v>2032</v>
      </c>
      <c r="AL54" t="s">
        <v>322</v>
      </c>
      <c r="AM54">
        <v>0.42853333333333338</v>
      </c>
      <c r="AN54" t="s">
        <v>275</v>
      </c>
    </row>
    <row r="55" spans="9:40" x14ac:dyDescent="0.45">
      <c r="I55" t="s">
        <v>164</v>
      </c>
      <c r="J55" t="s">
        <v>331</v>
      </c>
      <c r="K55">
        <v>6.1019938583149304E-3</v>
      </c>
      <c r="L55" t="s">
        <v>153</v>
      </c>
      <c r="N55" t="s">
        <v>207</v>
      </c>
      <c r="O55" t="s">
        <v>331</v>
      </c>
      <c r="P55">
        <v>2.8353274669017842E-2</v>
      </c>
      <c r="Q55" t="s">
        <v>153</v>
      </c>
      <c r="S55" t="s">
        <v>249</v>
      </c>
      <c r="T55" t="s">
        <v>331</v>
      </c>
      <c r="U55">
        <v>1.8157973757553902E-2</v>
      </c>
      <c r="V55" t="s">
        <v>153</v>
      </c>
      <c r="AK55">
        <v>2033</v>
      </c>
      <c r="AL55" t="s">
        <v>317</v>
      </c>
      <c r="AM55">
        <v>0.25193333333333334</v>
      </c>
      <c r="AN55" t="s">
        <v>275</v>
      </c>
    </row>
    <row r="56" spans="9:40" x14ac:dyDescent="0.45">
      <c r="I56" t="s">
        <v>164</v>
      </c>
      <c r="J56" t="s">
        <v>332</v>
      </c>
      <c r="K56">
        <v>0.28585348347922934</v>
      </c>
      <c r="L56" t="s">
        <v>153</v>
      </c>
      <c r="N56" t="s">
        <v>207</v>
      </c>
      <c r="O56" t="s">
        <v>332</v>
      </c>
      <c r="P56">
        <v>0.11416969016665438</v>
      </c>
      <c r="Q56" t="s">
        <v>153</v>
      </c>
      <c r="S56" t="s">
        <v>249</v>
      </c>
      <c r="T56" t="s">
        <v>332</v>
      </c>
      <c r="U56">
        <v>0.12769554471289543</v>
      </c>
      <c r="V56" t="s">
        <v>153</v>
      </c>
      <c r="AK56">
        <v>2033</v>
      </c>
      <c r="AL56" t="s">
        <v>319</v>
      </c>
      <c r="AM56">
        <v>0.37013333333333337</v>
      </c>
      <c r="AN56" t="s">
        <v>275</v>
      </c>
    </row>
    <row r="57" spans="9:40" x14ac:dyDescent="0.45">
      <c r="I57" t="s">
        <v>164</v>
      </c>
      <c r="J57" t="s">
        <v>333</v>
      </c>
      <c r="K57">
        <v>3.6378981967306037E-3</v>
      </c>
      <c r="L57" t="s">
        <v>153</v>
      </c>
      <c r="N57" t="s">
        <v>207</v>
      </c>
      <c r="O57" t="s">
        <v>333</v>
      </c>
      <c r="P57">
        <v>6.88340038019324E-2</v>
      </c>
      <c r="Q57" t="s">
        <v>153</v>
      </c>
      <c r="S57" t="s">
        <v>249</v>
      </c>
      <c r="T57" t="s">
        <v>333</v>
      </c>
      <c r="U57">
        <v>0.14489906064896002</v>
      </c>
      <c r="V57" t="s">
        <v>153</v>
      </c>
      <c r="AK57">
        <v>2033</v>
      </c>
      <c r="AL57" t="s">
        <v>320</v>
      </c>
      <c r="AM57">
        <v>0.26600000000000001</v>
      </c>
      <c r="AN57" t="s">
        <v>275</v>
      </c>
    </row>
    <row r="58" spans="9:40" x14ac:dyDescent="0.45">
      <c r="I58" t="s">
        <v>164</v>
      </c>
      <c r="J58" t="s">
        <v>334</v>
      </c>
      <c r="K58">
        <v>3.3297848831351888E-2</v>
      </c>
      <c r="L58" t="s">
        <v>153</v>
      </c>
      <c r="N58" t="s">
        <v>207</v>
      </c>
      <c r="O58" t="s">
        <v>334</v>
      </c>
      <c r="P58">
        <v>4.5756229011547633E-2</v>
      </c>
      <c r="Q58" t="s">
        <v>153</v>
      </c>
      <c r="S58" t="s">
        <v>249</v>
      </c>
      <c r="T58" t="s">
        <v>334</v>
      </c>
      <c r="U58">
        <v>2.9601254223509968E-2</v>
      </c>
      <c r="V58" t="s">
        <v>153</v>
      </c>
      <c r="AK58">
        <v>2033</v>
      </c>
      <c r="AL58" t="s">
        <v>322</v>
      </c>
      <c r="AM58">
        <v>0.51756666666666673</v>
      </c>
      <c r="AN58" t="s">
        <v>275</v>
      </c>
    </row>
    <row r="59" spans="9:40" x14ac:dyDescent="0.45">
      <c r="I59" t="s">
        <v>165</v>
      </c>
      <c r="J59" t="s">
        <v>323</v>
      </c>
      <c r="K59">
        <v>0.27468631522963249</v>
      </c>
      <c r="L59" t="s">
        <v>153</v>
      </c>
      <c r="N59" t="s">
        <v>208</v>
      </c>
      <c r="O59" t="s">
        <v>323</v>
      </c>
      <c r="P59">
        <v>0.11422686352725105</v>
      </c>
      <c r="Q59" t="s">
        <v>153</v>
      </c>
      <c r="S59" t="s">
        <v>250</v>
      </c>
      <c r="T59" t="s">
        <v>323</v>
      </c>
      <c r="U59">
        <v>0.12570402460289598</v>
      </c>
      <c r="V59" t="s">
        <v>153</v>
      </c>
      <c r="AK59">
        <v>2034</v>
      </c>
      <c r="AL59" t="s">
        <v>317</v>
      </c>
      <c r="AM59">
        <v>0.20803333333333332</v>
      </c>
      <c r="AN59" t="s">
        <v>275</v>
      </c>
    </row>
    <row r="60" spans="9:40" x14ac:dyDescent="0.45">
      <c r="I60" t="s">
        <v>165</v>
      </c>
      <c r="J60" t="s">
        <v>324</v>
      </c>
      <c r="K60">
        <v>2.7538797406582776E-3</v>
      </c>
      <c r="L60" t="s">
        <v>153</v>
      </c>
      <c r="N60" t="s">
        <v>208</v>
      </c>
      <c r="O60" t="s">
        <v>324</v>
      </c>
      <c r="P60">
        <v>8.2159487974324194E-2</v>
      </c>
      <c r="Q60" t="s">
        <v>153</v>
      </c>
      <c r="S60" t="s">
        <v>250</v>
      </c>
      <c r="T60" t="s">
        <v>324</v>
      </c>
      <c r="U60">
        <v>0.12577286519326208</v>
      </c>
      <c r="V60" t="s">
        <v>153</v>
      </c>
      <c r="AK60">
        <v>2034</v>
      </c>
      <c r="AL60" t="s">
        <v>319</v>
      </c>
      <c r="AM60">
        <v>0.38220000000000004</v>
      </c>
      <c r="AN60" t="s">
        <v>275</v>
      </c>
    </row>
    <row r="61" spans="9:40" x14ac:dyDescent="0.45">
      <c r="I61" t="s">
        <v>165</v>
      </c>
      <c r="J61" t="s">
        <v>325</v>
      </c>
      <c r="K61">
        <v>1.9957965871298073E-2</v>
      </c>
      <c r="L61" t="s">
        <v>153</v>
      </c>
      <c r="N61" t="s">
        <v>208</v>
      </c>
      <c r="O61" t="s">
        <v>325</v>
      </c>
      <c r="P61">
        <v>3.6604368904109466E-2</v>
      </c>
      <c r="Q61" t="s">
        <v>153</v>
      </c>
      <c r="S61" t="s">
        <v>250</v>
      </c>
      <c r="T61" t="s">
        <v>325</v>
      </c>
      <c r="U61">
        <v>3.3111118464024106E-2</v>
      </c>
      <c r="V61" t="s">
        <v>153</v>
      </c>
      <c r="AK61">
        <v>2034</v>
      </c>
      <c r="AL61" t="s">
        <v>320</v>
      </c>
      <c r="AM61">
        <v>0.26449999999999996</v>
      </c>
      <c r="AN61" t="s">
        <v>275</v>
      </c>
    </row>
    <row r="62" spans="9:40" x14ac:dyDescent="0.45">
      <c r="I62" t="s">
        <v>165</v>
      </c>
      <c r="J62" t="s">
        <v>326</v>
      </c>
      <c r="K62">
        <v>0.20108614167715316</v>
      </c>
      <c r="L62" t="s">
        <v>153</v>
      </c>
      <c r="N62" t="s">
        <v>208</v>
      </c>
      <c r="O62" t="s">
        <v>326</v>
      </c>
      <c r="P62">
        <v>0.10139165998279406</v>
      </c>
      <c r="Q62" t="s">
        <v>153</v>
      </c>
      <c r="S62" t="s">
        <v>250</v>
      </c>
      <c r="T62" t="s">
        <v>326</v>
      </c>
      <c r="U62">
        <v>9.3600008527607054E-2</v>
      </c>
      <c r="V62" t="s">
        <v>153</v>
      </c>
      <c r="AK62">
        <v>2034</v>
      </c>
      <c r="AL62" t="s">
        <v>322</v>
      </c>
      <c r="AM62">
        <v>0.29743333333333333</v>
      </c>
      <c r="AN62" t="s">
        <v>275</v>
      </c>
    </row>
    <row r="63" spans="9:40" x14ac:dyDescent="0.45">
      <c r="I63" t="s">
        <v>165</v>
      </c>
      <c r="J63" t="s">
        <v>327</v>
      </c>
      <c r="K63">
        <v>0</v>
      </c>
      <c r="L63" t="s">
        <v>153</v>
      </c>
      <c r="N63" t="s">
        <v>208</v>
      </c>
      <c r="O63" t="s">
        <v>327</v>
      </c>
      <c r="P63">
        <v>7.7314415117411633E-2</v>
      </c>
      <c r="Q63" t="s">
        <v>153</v>
      </c>
      <c r="S63" t="s">
        <v>250</v>
      </c>
      <c r="T63" t="s">
        <v>327</v>
      </c>
      <c r="U63">
        <v>9.8822851099561224E-2</v>
      </c>
      <c r="V63" t="s">
        <v>153</v>
      </c>
      <c r="AK63">
        <v>2035</v>
      </c>
      <c r="AL63" t="s">
        <v>317</v>
      </c>
      <c r="AM63">
        <v>0.1929666666666667</v>
      </c>
      <c r="AN63" t="s">
        <v>275</v>
      </c>
    </row>
    <row r="64" spans="9:40" x14ac:dyDescent="0.45">
      <c r="I64" t="s">
        <v>165</v>
      </c>
      <c r="J64" t="s">
        <v>328</v>
      </c>
      <c r="K64">
        <v>1.214637864409646E-2</v>
      </c>
      <c r="L64" t="s">
        <v>153</v>
      </c>
      <c r="N64" t="s">
        <v>208</v>
      </c>
      <c r="O64" t="s">
        <v>328</v>
      </c>
      <c r="P64">
        <v>2.5856520983088983E-2</v>
      </c>
      <c r="Q64" t="s">
        <v>153</v>
      </c>
      <c r="S64" t="s">
        <v>250</v>
      </c>
      <c r="T64" t="s">
        <v>328</v>
      </c>
      <c r="U64">
        <v>2.5121299395410131E-2</v>
      </c>
      <c r="V64" t="s">
        <v>153</v>
      </c>
      <c r="AK64">
        <v>2035</v>
      </c>
      <c r="AL64" t="s">
        <v>319</v>
      </c>
      <c r="AM64">
        <v>0.29320000000000002</v>
      </c>
      <c r="AN64" t="s">
        <v>275</v>
      </c>
    </row>
    <row r="65" spans="9:40" x14ac:dyDescent="0.45">
      <c r="I65" t="s">
        <v>165</v>
      </c>
      <c r="J65" t="s">
        <v>329</v>
      </c>
      <c r="K65">
        <v>0.17300690606300403</v>
      </c>
      <c r="L65" t="s">
        <v>153</v>
      </c>
      <c r="N65" t="s">
        <v>208</v>
      </c>
      <c r="O65" t="s">
        <v>329</v>
      </c>
      <c r="P65">
        <v>0.18931806390408629</v>
      </c>
      <c r="Q65" t="s">
        <v>153</v>
      </c>
      <c r="S65" t="s">
        <v>250</v>
      </c>
      <c r="T65" t="s">
        <v>329</v>
      </c>
      <c r="U65">
        <v>9.5275188751326137E-2</v>
      </c>
      <c r="V65" t="s">
        <v>153</v>
      </c>
      <c r="AK65">
        <v>2035</v>
      </c>
      <c r="AL65" t="s">
        <v>320</v>
      </c>
      <c r="AM65">
        <v>0.22930000000000003</v>
      </c>
      <c r="AN65" t="s">
        <v>275</v>
      </c>
    </row>
    <row r="66" spans="9:40" x14ac:dyDescent="0.45">
      <c r="I66" t="s">
        <v>165</v>
      </c>
      <c r="J66" t="s">
        <v>330</v>
      </c>
      <c r="K66">
        <v>0</v>
      </c>
      <c r="L66" t="s">
        <v>153</v>
      </c>
      <c r="N66" t="s">
        <v>208</v>
      </c>
      <c r="O66" t="s">
        <v>330</v>
      </c>
      <c r="P66">
        <v>0.14455940696947459</v>
      </c>
      <c r="Q66" t="s">
        <v>153</v>
      </c>
      <c r="S66" t="s">
        <v>250</v>
      </c>
      <c r="T66" t="s">
        <v>330</v>
      </c>
      <c r="U66">
        <v>9.9530197149316074E-2</v>
      </c>
      <c r="V66" t="s">
        <v>153</v>
      </c>
      <c r="AK66">
        <v>2035</v>
      </c>
      <c r="AL66" t="s">
        <v>322</v>
      </c>
      <c r="AM66">
        <v>0.40710000000000002</v>
      </c>
      <c r="AN66" t="s">
        <v>275</v>
      </c>
    </row>
    <row r="67" spans="9:40" x14ac:dyDescent="0.45">
      <c r="I67" t="s">
        <v>165</v>
      </c>
      <c r="J67" t="s">
        <v>331</v>
      </c>
      <c r="K67">
        <v>6.9186345743554806E-3</v>
      </c>
      <c r="L67" t="s">
        <v>153</v>
      </c>
      <c r="N67" t="s">
        <v>208</v>
      </c>
      <c r="O67" t="s">
        <v>331</v>
      </c>
      <c r="P67">
        <v>2.8701656877124504E-2</v>
      </c>
      <c r="Q67" t="s">
        <v>153</v>
      </c>
      <c r="S67" t="s">
        <v>250</v>
      </c>
      <c r="T67" t="s">
        <v>331</v>
      </c>
      <c r="U67">
        <v>2.0816515797321324E-2</v>
      </c>
      <c r="V67" t="s">
        <v>153</v>
      </c>
      <c r="AK67">
        <v>2036</v>
      </c>
      <c r="AL67" t="s">
        <v>317</v>
      </c>
      <c r="AM67">
        <v>5.4733333333333335E-2</v>
      </c>
      <c r="AN67" t="s">
        <v>275</v>
      </c>
    </row>
    <row r="68" spans="9:40" x14ac:dyDescent="0.45">
      <c r="I68" t="s">
        <v>165</v>
      </c>
      <c r="J68" t="s">
        <v>332</v>
      </c>
      <c r="K68">
        <v>0.27667958440785789</v>
      </c>
      <c r="L68" t="s">
        <v>153</v>
      </c>
      <c r="N68" t="s">
        <v>208</v>
      </c>
      <c r="O68" t="s">
        <v>332</v>
      </c>
      <c r="P68">
        <v>7.9348877360371772E-2</v>
      </c>
      <c r="Q68" t="s">
        <v>153</v>
      </c>
      <c r="S68" t="s">
        <v>250</v>
      </c>
      <c r="T68" t="s">
        <v>332</v>
      </c>
      <c r="U68">
        <v>0.12272909442257485</v>
      </c>
      <c r="V68" t="s">
        <v>153</v>
      </c>
      <c r="AK68">
        <v>2036</v>
      </c>
      <c r="AL68" t="s">
        <v>319</v>
      </c>
      <c r="AM68">
        <v>0.37166666666666659</v>
      </c>
      <c r="AN68" t="s">
        <v>275</v>
      </c>
    </row>
    <row r="69" spans="9:40" x14ac:dyDescent="0.45">
      <c r="I69" t="s">
        <v>165</v>
      </c>
      <c r="J69" t="s">
        <v>333</v>
      </c>
      <c r="K69">
        <v>2.8184370286697914E-3</v>
      </c>
      <c r="L69" t="s">
        <v>153</v>
      </c>
      <c r="N69" t="s">
        <v>208</v>
      </c>
      <c r="O69" t="s">
        <v>333</v>
      </c>
      <c r="P69">
        <v>7.6933976709180979E-2</v>
      </c>
      <c r="Q69" t="s">
        <v>153</v>
      </c>
      <c r="S69" t="s">
        <v>250</v>
      </c>
      <c r="T69" t="s">
        <v>333</v>
      </c>
      <c r="U69">
        <v>0.12658500362892505</v>
      </c>
      <c r="V69" t="s">
        <v>153</v>
      </c>
      <c r="AK69">
        <v>2036</v>
      </c>
      <c r="AL69" t="s">
        <v>320</v>
      </c>
      <c r="AM69">
        <v>5.000000000000001E-2</v>
      </c>
      <c r="AN69" t="s">
        <v>275</v>
      </c>
    </row>
    <row r="70" spans="9:40" x14ac:dyDescent="0.45">
      <c r="I70" t="s">
        <v>165</v>
      </c>
      <c r="J70" t="s">
        <v>334</v>
      </c>
      <c r="K70">
        <v>2.9945756763272168E-2</v>
      </c>
      <c r="L70" t="s">
        <v>153</v>
      </c>
      <c r="N70" t="s">
        <v>208</v>
      </c>
      <c r="O70" t="s">
        <v>334</v>
      </c>
      <c r="P70">
        <v>4.3584701690781755E-2</v>
      </c>
      <c r="Q70" t="s">
        <v>153</v>
      </c>
      <c r="S70" t="s">
        <v>250</v>
      </c>
      <c r="T70" t="s">
        <v>334</v>
      </c>
      <c r="U70">
        <v>3.2931832967778359E-2</v>
      </c>
      <c r="V70" t="s">
        <v>153</v>
      </c>
      <c r="AK70">
        <v>2036</v>
      </c>
      <c r="AL70" t="s">
        <v>322</v>
      </c>
      <c r="AM70">
        <v>0.4432666666666667</v>
      </c>
      <c r="AN70" t="s">
        <v>275</v>
      </c>
    </row>
    <row r="71" spans="9:40" x14ac:dyDescent="0.45">
      <c r="I71" t="s">
        <v>166</v>
      </c>
      <c r="J71" t="s">
        <v>323</v>
      </c>
      <c r="K71">
        <v>0.26313275413685094</v>
      </c>
      <c r="L71" t="s">
        <v>153</v>
      </c>
      <c r="N71" t="s">
        <v>209</v>
      </c>
      <c r="O71" t="s">
        <v>323</v>
      </c>
      <c r="P71">
        <v>0.1097902037353</v>
      </c>
      <c r="Q71" t="s">
        <v>153</v>
      </c>
      <c r="S71" t="s">
        <v>251</v>
      </c>
      <c r="T71" t="s">
        <v>323</v>
      </c>
      <c r="U71">
        <v>0.12202044859341592</v>
      </c>
      <c r="V71" t="s">
        <v>153</v>
      </c>
      <c r="AK71">
        <v>2037</v>
      </c>
      <c r="AL71" t="s">
        <v>317</v>
      </c>
      <c r="AM71">
        <v>0.11470000000000001</v>
      </c>
      <c r="AN71" t="s">
        <v>275</v>
      </c>
    </row>
    <row r="72" spans="9:40" x14ac:dyDescent="0.45">
      <c r="I72" t="s">
        <v>166</v>
      </c>
      <c r="J72" t="s">
        <v>324</v>
      </c>
      <c r="K72">
        <v>0</v>
      </c>
      <c r="L72" t="s">
        <v>153</v>
      </c>
      <c r="N72" t="s">
        <v>209</v>
      </c>
      <c r="O72" t="s">
        <v>324</v>
      </c>
      <c r="P72">
        <v>0.10408496524927915</v>
      </c>
      <c r="Q72" t="s">
        <v>153</v>
      </c>
      <c r="S72" t="s">
        <v>251</v>
      </c>
      <c r="T72" t="s">
        <v>324</v>
      </c>
      <c r="U72">
        <v>0.12787894587535145</v>
      </c>
      <c r="V72" t="s">
        <v>153</v>
      </c>
      <c r="AK72">
        <v>2037</v>
      </c>
      <c r="AL72" t="s">
        <v>319</v>
      </c>
      <c r="AM72">
        <v>0.16689999999999997</v>
      </c>
      <c r="AN72" t="s">
        <v>275</v>
      </c>
    </row>
    <row r="73" spans="9:40" x14ac:dyDescent="0.45">
      <c r="I73" t="s">
        <v>166</v>
      </c>
      <c r="J73" t="s">
        <v>325</v>
      </c>
      <c r="K73">
        <v>3.1374623861257292E-2</v>
      </c>
      <c r="L73" t="s">
        <v>153</v>
      </c>
      <c r="N73" t="s">
        <v>209</v>
      </c>
      <c r="O73" t="s">
        <v>325</v>
      </c>
      <c r="P73">
        <v>2.792528857258712E-2</v>
      </c>
      <c r="Q73" t="s">
        <v>153</v>
      </c>
      <c r="S73" t="s">
        <v>251</v>
      </c>
      <c r="T73" t="s">
        <v>325</v>
      </c>
      <c r="U73">
        <v>2.7547438854194257E-2</v>
      </c>
      <c r="V73" t="s">
        <v>153</v>
      </c>
      <c r="AK73">
        <v>2037</v>
      </c>
      <c r="AL73" t="s">
        <v>320</v>
      </c>
      <c r="AM73">
        <v>0.16340000000000002</v>
      </c>
      <c r="AN73" t="s">
        <v>275</v>
      </c>
    </row>
    <row r="74" spans="9:40" x14ac:dyDescent="0.45">
      <c r="I74" t="s">
        <v>166</v>
      </c>
      <c r="J74" t="s">
        <v>326</v>
      </c>
      <c r="K74">
        <v>0.19640745021747621</v>
      </c>
      <c r="L74" t="s">
        <v>153</v>
      </c>
      <c r="N74" t="s">
        <v>209</v>
      </c>
      <c r="O74" t="s">
        <v>326</v>
      </c>
      <c r="P74">
        <v>0.10523333135636073</v>
      </c>
      <c r="Q74" t="s">
        <v>153</v>
      </c>
      <c r="S74" t="s">
        <v>251</v>
      </c>
      <c r="T74" t="s">
        <v>326</v>
      </c>
      <c r="U74">
        <v>9.4727212200671998E-2</v>
      </c>
      <c r="V74" t="s">
        <v>153</v>
      </c>
      <c r="AK74">
        <v>2037</v>
      </c>
      <c r="AL74" t="s">
        <v>322</v>
      </c>
      <c r="AM74">
        <v>0.42709999999999998</v>
      </c>
      <c r="AN74" t="s">
        <v>275</v>
      </c>
    </row>
    <row r="75" spans="9:40" x14ac:dyDescent="0.45">
      <c r="I75" t="s">
        <v>166</v>
      </c>
      <c r="J75" t="s">
        <v>327</v>
      </c>
      <c r="K75">
        <v>0</v>
      </c>
      <c r="L75" t="s">
        <v>153</v>
      </c>
      <c r="N75" t="s">
        <v>209</v>
      </c>
      <c r="O75" t="s">
        <v>327</v>
      </c>
      <c r="P75">
        <v>0.10097580310078599</v>
      </c>
      <c r="Q75" t="s">
        <v>153</v>
      </c>
      <c r="S75" t="s">
        <v>251</v>
      </c>
      <c r="T75" t="s">
        <v>327</v>
      </c>
      <c r="U75">
        <v>0.10695986816266369</v>
      </c>
      <c r="V75" t="s">
        <v>153</v>
      </c>
      <c r="AK75">
        <v>2038</v>
      </c>
      <c r="AL75" t="s">
        <v>317</v>
      </c>
      <c r="AM75">
        <v>0.13589999999999999</v>
      </c>
      <c r="AN75" t="s">
        <v>275</v>
      </c>
    </row>
    <row r="76" spans="9:40" x14ac:dyDescent="0.45">
      <c r="I76" t="s">
        <v>166</v>
      </c>
      <c r="J76" t="s">
        <v>328</v>
      </c>
      <c r="K76">
        <v>2.0166193675299957E-2</v>
      </c>
      <c r="L76" t="s">
        <v>153</v>
      </c>
      <c r="N76" t="s">
        <v>209</v>
      </c>
      <c r="O76" t="s">
        <v>328</v>
      </c>
      <c r="P76">
        <v>2.2103019987645075E-2</v>
      </c>
      <c r="Q76" t="s">
        <v>153</v>
      </c>
      <c r="S76" t="s">
        <v>251</v>
      </c>
      <c r="T76" t="s">
        <v>328</v>
      </c>
      <c r="U76">
        <v>2.2120364255113913E-2</v>
      </c>
      <c r="V76" t="s">
        <v>153</v>
      </c>
      <c r="AK76">
        <v>2038</v>
      </c>
      <c r="AL76" t="s">
        <v>319</v>
      </c>
      <c r="AM76">
        <v>0.33733333333333332</v>
      </c>
      <c r="AN76" t="s">
        <v>275</v>
      </c>
    </row>
    <row r="77" spans="9:40" x14ac:dyDescent="0.45">
      <c r="I77" t="s">
        <v>166</v>
      </c>
      <c r="J77" t="s">
        <v>329</v>
      </c>
      <c r="K77">
        <v>0.14575372643662982</v>
      </c>
      <c r="L77" t="s">
        <v>153</v>
      </c>
      <c r="N77" t="s">
        <v>209</v>
      </c>
      <c r="O77" t="s">
        <v>329</v>
      </c>
      <c r="P77">
        <v>0.15549116092534707</v>
      </c>
      <c r="Q77" t="s">
        <v>153</v>
      </c>
      <c r="S77" t="s">
        <v>251</v>
      </c>
      <c r="T77" t="s">
        <v>329</v>
      </c>
      <c r="U77">
        <v>9.1629432705883807E-2</v>
      </c>
      <c r="V77" t="s">
        <v>153</v>
      </c>
      <c r="AK77">
        <v>2038</v>
      </c>
      <c r="AL77" t="s">
        <v>320</v>
      </c>
      <c r="AM77">
        <v>5.000000000000001E-2</v>
      </c>
      <c r="AN77" t="s">
        <v>275</v>
      </c>
    </row>
    <row r="78" spans="9:40" x14ac:dyDescent="0.45">
      <c r="I78" t="s">
        <v>166</v>
      </c>
      <c r="J78" t="s">
        <v>330</v>
      </c>
      <c r="K78">
        <v>0</v>
      </c>
      <c r="L78" t="s">
        <v>153</v>
      </c>
      <c r="N78" t="s">
        <v>209</v>
      </c>
      <c r="O78" t="s">
        <v>330</v>
      </c>
      <c r="P78">
        <v>0.1330047293557346</v>
      </c>
      <c r="Q78" t="s">
        <v>153</v>
      </c>
      <c r="S78" t="s">
        <v>251</v>
      </c>
      <c r="T78" t="s">
        <v>330</v>
      </c>
      <c r="U78">
        <v>9.6790594966136151E-2</v>
      </c>
      <c r="V78" t="s">
        <v>153</v>
      </c>
      <c r="AK78">
        <v>2038</v>
      </c>
      <c r="AL78" t="s">
        <v>322</v>
      </c>
      <c r="AM78">
        <v>0.25393333333333334</v>
      </c>
      <c r="AN78" t="s">
        <v>275</v>
      </c>
    </row>
    <row r="79" spans="9:40" x14ac:dyDescent="0.45">
      <c r="I79" t="s">
        <v>166</v>
      </c>
      <c r="J79" t="s">
        <v>331</v>
      </c>
      <c r="K79">
        <v>1.1094050157628078E-2</v>
      </c>
      <c r="L79" t="s">
        <v>153</v>
      </c>
      <c r="N79" t="s">
        <v>209</v>
      </c>
      <c r="O79" t="s">
        <v>331</v>
      </c>
      <c r="P79">
        <v>2.7560892784330705E-2</v>
      </c>
      <c r="Q79" t="s">
        <v>153</v>
      </c>
      <c r="S79" t="s">
        <v>251</v>
      </c>
      <c r="T79" t="s">
        <v>331</v>
      </c>
      <c r="U79">
        <v>1.8938459117248674E-2</v>
      </c>
      <c r="V79" t="s">
        <v>153</v>
      </c>
      <c r="AK79">
        <v>2039</v>
      </c>
      <c r="AL79" t="s">
        <v>317</v>
      </c>
      <c r="AM79">
        <v>0.10056666666666665</v>
      </c>
      <c r="AN79" t="s">
        <v>275</v>
      </c>
    </row>
    <row r="80" spans="9:40" x14ac:dyDescent="0.45">
      <c r="I80" t="s">
        <v>166</v>
      </c>
      <c r="J80" t="s">
        <v>332</v>
      </c>
      <c r="K80">
        <v>0.28548590853352734</v>
      </c>
      <c r="L80" t="s">
        <v>153</v>
      </c>
      <c r="N80" t="s">
        <v>209</v>
      </c>
      <c r="O80" t="s">
        <v>332</v>
      </c>
      <c r="P80">
        <v>7.0640436866715881E-2</v>
      </c>
      <c r="Q80" t="s">
        <v>153</v>
      </c>
      <c r="S80" t="s">
        <v>251</v>
      </c>
      <c r="T80" t="s">
        <v>332</v>
      </c>
      <c r="U80">
        <v>0.12461766999377243</v>
      </c>
      <c r="V80" t="s">
        <v>153</v>
      </c>
      <c r="AK80">
        <v>2039</v>
      </c>
      <c r="AL80" t="s">
        <v>319</v>
      </c>
      <c r="AM80">
        <v>0.34273333333333333</v>
      </c>
      <c r="AN80" t="s">
        <v>275</v>
      </c>
    </row>
    <row r="81" spans="9:40" x14ac:dyDescent="0.45">
      <c r="I81" t="s">
        <v>166</v>
      </c>
      <c r="J81" t="s">
        <v>333</v>
      </c>
      <c r="K81">
        <v>6.4790319673517487E-3</v>
      </c>
      <c r="L81" t="s">
        <v>153</v>
      </c>
      <c r="N81" t="s">
        <v>209</v>
      </c>
      <c r="O81" t="s">
        <v>333</v>
      </c>
      <c r="P81">
        <v>0.11150584702098625</v>
      </c>
      <c r="Q81" t="s">
        <v>153</v>
      </c>
      <c r="S81" t="s">
        <v>251</v>
      </c>
      <c r="T81" t="s">
        <v>333</v>
      </c>
      <c r="U81">
        <v>0.13748851803274492</v>
      </c>
      <c r="V81" t="s">
        <v>153</v>
      </c>
      <c r="AK81">
        <v>2039</v>
      </c>
      <c r="AL81" t="s">
        <v>320</v>
      </c>
      <c r="AM81">
        <v>0.11126666666666667</v>
      </c>
      <c r="AN81" t="s">
        <v>275</v>
      </c>
    </row>
    <row r="82" spans="9:40" x14ac:dyDescent="0.45">
      <c r="I82" t="s">
        <v>166</v>
      </c>
      <c r="J82" t="s">
        <v>334</v>
      </c>
      <c r="K82">
        <v>4.0106261013980578E-2</v>
      </c>
      <c r="L82" t="s">
        <v>153</v>
      </c>
      <c r="N82" t="s">
        <v>209</v>
      </c>
      <c r="O82" t="s">
        <v>334</v>
      </c>
      <c r="P82">
        <v>3.1684321044930595E-2</v>
      </c>
      <c r="Q82" t="s">
        <v>153</v>
      </c>
      <c r="S82" t="s">
        <v>251</v>
      </c>
      <c r="T82" t="s">
        <v>334</v>
      </c>
      <c r="U82">
        <v>2.9281047242803043E-2</v>
      </c>
      <c r="V82" t="s">
        <v>153</v>
      </c>
      <c r="AK82">
        <v>2039</v>
      </c>
      <c r="AL82" t="s">
        <v>322</v>
      </c>
      <c r="AM82">
        <v>0.29016666666666668</v>
      </c>
      <c r="AN82" t="s">
        <v>275</v>
      </c>
    </row>
    <row r="83" spans="9:40" x14ac:dyDescent="0.45">
      <c r="I83" t="s">
        <v>167</v>
      </c>
      <c r="J83" t="s">
        <v>323</v>
      </c>
      <c r="K83">
        <v>0.26701384589127614</v>
      </c>
      <c r="L83" t="s">
        <v>153</v>
      </c>
      <c r="N83" t="s">
        <v>210</v>
      </c>
      <c r="O83" t="s">
        <v>323</v>
      </c>
      <c r="P83">
        <v>0.22249025816967841</v>
      </c>
      <c r="Q83" t="s">
        <v>153</v>
      </c>
      <c r="S83" t="s">
        <v>252</v>
      </c>
      <c r="T83" t="s">
        <v>323</v>
      </c>
      <c r="U83">
        <v>0.1348992620463775</v>
      </c>
      <c r="V83" t="s">
        <v>153</v>
      </c>
      <c r="AK83">
        <v>2040</v>
      </c>
      <c r="AL83" t="s">
        <v>317</v>
      </c>
      <c r="AM83">
        <v>0.20269999999999999</v>
      </c>
      <c r="AN83" t="s">
        <v>275</v>
      </c>
    </row>
    <row r="84" spans="9:40" x14ac:dyDescent="0.45">
      <c r="I84" t="s">
        <v>167</v>
      </c>
      <c r="J84" t="s">
        <v>324</v>
      </c>
      <c r="K84">
        <v>3.364525818721545E-5</v>
      </c>
      <c r="L84" t="s">
        <v>153</v>
      </c>
      <c r="N84" t="s">
        <v>210</v>
      </c>
      <c r="O84" t="s">
        <v>324</v>
      </c>
      <c r="P84">
        <v>8.2103186187860583E-2</v>
      </c>
      <c r="Q84" t="s">
        <v>153</v>
      </c>
      <c r="S84" t="s">
        <v>252</v>
      </c>
      <c r="T84" t="s">
        <v>324</v>
      </c>
      <c r="U84">
        <v>0.12183907287661279</v>
      </c>
      <c r="V84" t="s">
        <v>153</v>
      </c>
      <c r="AK84">
        <v>2040</v>
      </c>
      <c r="AL84" t="s">
        <v>319</v>
      </c>
      <c r="AM84">
        <v>0.3926</v>
      </c>
      <c r="AN84" t="s">
        <v>275</v>
      </c>
    </row>
    <row r="85" spans="9:40" x14ac:dyDescent="0.45">
      <c r="I85" t="s">
        <v>167</v>
      </c>
      <c r="J85" t="s">
        <v>325</v>
      </c>
      <c r="K85">
        <v>2.9381884254232476E-2</v>
      </c>
      <c r="L85" t="s">
        <v>153</v>
      </c>
      <c r="N85" t="s">
        <v>210</v>
      </c>
      <c r="O85" t="s">
        <v>325</v>
      </c>
      <c r="P85">
        <v>3.2719189932886583E-2</v>
      </c>
      <c r="Q85" t="s">
        <v>153</v>
      </c>
      <c r="S85" t="s">
        <v>252</v>
      </c>
      <c r="T85" t="s">
        <v>325</v>
      </c>
      <c r="U85">
        <v>2.6033729209385469E-2</v>
      </c>
      <c r="V85" t="s">
        <v>153</v>
      </c>
      <c r="AK85">
        <v>2040</v>
      </c>
      <c r="AL85" t="s">
        <v>320</v>
      </c>
      <c r="AM85">
        <v>0.1704</v>
      </c>
      <c r="AN85" t="s">
        <v>275</v>
      </c>
    </row>
    <row r="86" spans="9:40" x14ac:dyDescent="0.45">
      <c r="I86" t="s">
        <v>167</v>
      </c>
      <c r="J86" t="s">
        <v>326</v>
      </c>
      <c r="K86">
        <v>0.19711639367277109</v>
      </c>
      <c r="L86" t="s">
        <v>153</v>
      </c>
      <c r="N86" t="s">
        <v>210</v>
      </c>
      <c r="O86" t="s">
        <v>326</v>
      </c>
      <c r="P86">
        <v>9.1937769183698587E-2</v>
      </c>
      <c r="Q86" t="s">
        <v>153</v>
      </c>
      <c r="S86" t="s">
        <v>252</v>
      </c>
      <c r="T86" t="s">
        <v>326</v>
      </c>
      <c r="U86">
        <v>9.7563393537316828E-2</v>
      </c>
      <c r="V86" t="s">
        <v>153</v>
      </c>
      <c r="AK86">
        <v>2040</v>
      </c>
      <c r="AL86" t="s">
        <v>322</v>
      </c>
      <c r="AM86">
        <v>0.37719999999999998</v>
      </c>
      <c r="AN86" t="s">
        <v>275</v>
      </c>
    </row>
    <row r="87" spans="9:40" x14ac:dyDescent="0.45">
      <c r="I87" t="s">
        <v>167</v>
      </c>
      <c r="J87" t="s">
        <v>327</v>
      </c>
      <c r="K87">
        <v>0</v>
      </c>
      <c r="L87" t="s">
        <v>153</v>
      </c>
      <c r="N87" t="s">
        <v>210</v>
      </c>
      <c r="O87" t="s">
        <v>327</v>
      </c>
      <c r="P87">
        <v>4.4228131205133719E-2</v>
      </c>
      <c r="Q87" t="s">
        <v>153</v>
      </c>
      <c r="S87" t="s">
        <v>252</v>
      </c>
      <c r="T87" t="s">
        <v>327</v>
      </c>
      <c r="U87">
        <v>0.10494448107804959</v>
      </c>
      <c r="V87" t="s">
        <v>153</v>
      </c>
      <c r="AK87">
        <v>2041</v>
      </c>
      <c r="AL87" t="s">
        <v>317</v>
      </c>
      <c r="AM87">
        <v>0.22923333333333332</v>
      </c>
      <c r="AN87" t="s">
        <v>275</v>
      </c>
    </row>
    <row r="88" spans="9:40" x14ac:dyDescent="0.45">
      <c r="I88" t="s">
        <v>167</v>
      </c>
      <c r="J88" t="s">
        <v>328</v>
      </c>
      <c r="K88">
        <v>1.9567965954183992E-2</v>
      </c>
      <c r="L88" t="s">
        <v>153</v>
      </c>
      <c r="N88" t="s">
        <v>210</v>
      </c>
      <c r="O88" t="s">
        <v>328</v>
      </c>
      <c r="P88">
        <v>1.3063954894881121E-2</v>
      </c>
      <c r="Q88" t="s">
        <v>153</v>
      </c>
      <c r="S88" t="s">
        <v>252</v>
      </c>
      <c r="T88" t="s">
        <v>328</v>
      </c>
      <c r="U88">
        <v>2.1656582363177503E-2</v>
      </c>
      <c r="V88" t="s">
        <v>153</v>
      </c>
      <c r="AK88">
        <v>2041</v>
      </c>
      <c r="AL88" t="s">
        <v>319</v>
      </c>
      <c r="AM88">
        <v>0.31196666666666667</v>
      </c>
      <c r="AN88" t="s">
        <v>275</v>
      </c>
    </row>
    <row r="89" spans="9:40" x14ac:dyDescent="0.45">
      <c r="I89" t="s">
        <v>167</v>
      </c>
      <c r="J89" t="s">
        <v>329</v>
      </c>
      <c r="K89">
        <v>0.13773106532819909</v>
      </c>
      <c r="L89" t="s">
        <v>153</v>
      </c>
      <c r="N89" t="s">
        <v>210</v>
      </c>
      <c r="O89" t="s">
        <v>329</v>
      </c>
      <c r="P89">
        <v>0.21728119327996234</v>
      </c>
      <c r="Q89" t="s">
        <v>153</v>
      </c>
      <c r="S89" t="s">
        <v>252</v>
      </c>
      <c r="T89" t="s">
        <v>329</v>
      </c>
      <c r="U89">
        <v>0.1197003222784418</v>
      </c>
      <c r="V89" t="s">
        <v>153</v>
      </c>
      <c r="AK89">
        <v>2041</v>
      </c>
      <c r="AL89" t="s">
        <v>320</v>
      </c>
      <c r="AM89">
        <v>0.12449999999999999</v>
      </c>
      <c r="AN89" t="s">
        <v>275</v>
      </c>
    </row>
    <row r="90" spans="9:40" x14ac:dyDescent="0.45">
      <c r="I90" t="s">
        <v>167</v>
      </c>
      <c r="J90" t="s">
        <v>330</v>
      </c>
      <c r="K90">
        <v>0</v>
      </c>
      <c r="L90" t="s">
        <v>153</v>
      </c>
      <c r="N90" t="s">
        <v>210</v>
      </c>
      <c r="O90" t="s">
        <v>330</v>
      </c>
      <c r="P90">
        <v>0.13973442033722744</v>
      </c>
      <c r="Q90" t="s">
        <v>153</v>
      </c>
      <c r="S90" t="s">
        <v>252</v>
      </c>
      <c r="T90" t="s">
        <v>330</v>
      </c>
      <c r="U90">
        <v>0.12540882417189872</v>
      </c>
      <c r="V90" t="s">
        <v>153</v>
      </c>
      <c r="AK90">
        <v>2041</v>
      </c>
      <c r="AL90" t="s">
        <v>322</v>
      </c>
      <c r="AM90">
        <v>0.26273333333333332</v>
      </c>
      <c r="AN90" t="s">
        <v>275</v>
      </c>
    </row>
    <row r="91" spans="9:40" x14ac:dyDescent="0.45">
      <c r="I91" t="s">
        <v>167</v>
      </c>
      <c r="J91" t="s">
        <v>331</v>
      </c>
      <c r="K91">
        <v>1.022994673630504E-2</v>
      </c>
      <c r="L91" t="s">
        <v>153</v>
      </c>
      <c r="N91" t="s">
        <v>210</v>
      </c>
      <c r="O91" t="s">
        <v>331</v>
      </c>
      <c r="P91">
        <v>3.0580525116433156E-2</v>
      </c>
      <c r="Q91" t="s">
        <v>153</v>
      </c>
      <c r="S91" t="s">
        <v>252</v>
      </c>
      <c r="T91" t="s">
        <v>331</v>
      </c>
      <c r="U91">
        <v>2.3377562170765247E-2</v>
      </c>
      <c r="V91" t="s">
        <v>153</v>
      </c>
      <c r="AK91">
        <v>2042</v>
      </c>
      <c r="AL91" t="s">
        <v>317</v>
      </c>
      <c r="AM91">
        <v>0.23056666666666667</v>
      </c>
      <c r="AN91" t="s">
        <v>275</v>
      </c>
    </row>
    <row r="92" spans="9:40" x14ac:dyDescent="0.45">
      <c r="I92" t="s">
        <v>167</v>
      </c>
      <c r="J92" t="s">
        <v>332</v>
      </c>
      <c r="K92">
        <v>0.29335058459115754</v>
      </c>
      <c r="L92" t="s">
        <v>153</v>
      </c>
      <c r="N92" t="s">
        <v>210</v>
      </c>
      <c r="O92" t="s">
        <v>332</v>
      </c>
      <c r="P92">
        <v>8.0446490813052177E-2</v>
      </c>
      <c r="Q92" t="s">
        <v>153</v>
      </c>
      <c r="S92" t="s">
        <v>252</v>
      </c>
      <c r="T92" t="s">
        <v>332</v>
      </c>
      <c r="U92">
        <v>0.10881992511253168</v>
      </c>
      <c r="V92" t="s">
        <v>153</v>
      </c>
      <c r="AK92">
        <v>2042</v>
      </c>
      <c r="AL92" t="s">
        <v>319</v>
      </c>
      <c r="AM92">
        <v>0.28363333333333335</v>
      </c>
      <c r="AN92" t="s">
        <v>275</v>
      </c>
    </row>
    <row r="93" spans="9:40" x14ac:dyDescent="0.45">
      <c r="I93" t="s">
        <v>167</v>
      </c>
      <c r="J93" t="s">
        <v>333</v>
      </c>
      <c r="K93">
        <v>5.4701168748287959E-3</v>
      </c>
      <c r="L93" t="s">
        <v>153</v>
      </c>
      <c r="N93" t="s">
        <v>210</v>
      </c>
      <c r="O93" t="s">
        <v>333</v>
      </c>
      <c r="P93">
        <v>3.1945319299929782E-2</v>
      </c>
      <c r="Q93" t="s">
        <v>153</v>
      </c>
      <c r="S93" t="s">
        <v>252</v>
      </c>
      <c r="T93" t="s">
        <v>333</v>
      </c>
      <c r="U93">
        <v>9.403276037232472E-2</v>
      </c>
      <c r="V93" t="s">
        <v>153</v>
      </c>
      <c r="AK93">
        <v>2042</v>
      </c>
      <c r="AL93" t="s">
        <v>320</v>
      </c>
      <c r="AM93">
        <v>8.4766666666666657E-2</v>
      </c>
      <c r="AN93" t="s">
        <v>275</v>
      </c>
    </row>
    <row r="94" spans="9:40" x14ac:dyDescent="0.45">
      <c r="I94" t="s">
        <v>167</v>
      </c>
      <c r="J94" t="s">
        <v>334</v>
      </c>
      <c r="K94">
        <v>4.0104551438858889E-2</v>
      </c>
      <c r="L94" t="s">
        <v>153</v>
      </c>
      <c r="N94" t="s">
        <v>210</v>
      </c>
      <c r="O94" t="s">
        <v>334</v>
      </c>
      <c r="P94">
        <v>1.3469561579256308E-2</v>
      </c>
      <c r="Q94" t="s">
        <v>153</v>
      </c>
      <c r="S94" t="s">
        <v>252</v>
      </c>
      <c r="T94" t="s">
        <v>334</v>
      </c>
      <c r="U94">
        <v>2.1724084783114436E-2</v>
      </c>
      <c r="V94" t="s">
        <v>153</v>
      </c>
      <c r="AK94">
        <v>2042</v>
      </c>
      <c r="AL94" t="s">
        <v>322</v>
      </c>
      <c r="AM94">
        <v>0.28789999999999999</v>
      </c>
      <c r="AN94" t="s">
        <v>275</v>
      </c>
    </row>
    <row r="95" spans="9:40" x14ac:dyDescent="0.45">
      <c r="I95" t="s">
        <v>168</v>
      </c>
      <c r="J95" t="s">
        <v>323</v>
      </c>
      <c r="K95">
        <v>0.26689859254136988</v>
      </c>
      <c r="L95" t="s">
        <v>153</v>
      </c>
      <c r="N95" t="s">
        <v>211</v>
      </c>
      <c r="O95" t="s">
        <v>323</v>
      </c>
      <c r="P95">
        <v>0.14335045995863574</v>
      </c>
      <c r="Q95" t="s">
        <v>153</v>
      </c>
      <c r="S95" t="s">
        <v>253</v>
      </c>
      <c r="T95" t="s">
        <v>323</v>
      </c>
      <c r="U95">
        <v>0.12942603699912522</v>
      </c>
      <c r="V95" t="s">
        <v>153</v>
      </c>
      <c r="AK95">
        <v>2043</v>
      </c>
      <c r="AL95" t="s">
        <v>317</v>
      </c>
      <c r="AM95">
        <v>0.12146666666666667</v>
      </c>
      <c r="AN95" t="s">
        <v>275</v>
      </c>
    </row>
    <row r="96" spans="9:40" x14ac:dyDescent="0.45">
      <c r="I96" t="s">
        <v>168</v>
      </c>
      <c r="J96" t="s">
        <v>324</v>
      </c>
      <c r="K96">
        <v>0</v>
      </c>
      <c r="L96" t="s">
        <v>153</v>
      </c>
      <c r="N96" t="s">
        <v>211</v>
      </c>
      <c r="O96" t="s">
        <v>324</v>
      </c>
      <c r="P96">
        <v>0.14206043366392976</v>
      </c>
      <c r="Q96" t="s">
        <v>153</v>
      </c>
      <c r="S96" t="s">
        <v>253</v>
      </c>
      <c r="T96" t="s">
        <v>324</v>
      </c>
      <c r="U96">
        <v>0.12534414133330463</v>
      </c>
      <c r="V96" t="s">
        <v>153</v>
      </c>
      <c r="AK96">
        <v>2043</v>
      </c>
      <c r="AL96" t="s">
        <v>319</v>
      </c>
      <c r="AM96">
        <v>0.40139999999999998</v>
      </c>
      <c r="AN96" t="s">
        <v>275</v>
      </c>
    </row>
    <row r="97" spans="9:40" x14ac:dyDescent="0.45">
      <c r="I97" t="s">
        <v>168</v>
      </c>
      <c r="J97" t="s">
        <v>325</v>
      </c>
      <c r="K97">
        <v>2.6720155274343953E-2</v>
      </c>
      <c r="L97" t="s">
        <v>153</v>
      </c>
      <c r="N97" t="s">
        <v>211</v>
      </c>
      <c r="O97" t="s">
        <v>325</v>
      </c>
      <c r="P97">
        <v>3.0350071975171831E-2</v>
      </c>
      <c r="Q97" t="s">
        <v>153</v>
      </c>
      <c r="S97" t="s">
        <v>253</v>
      </c>
      <c r="T97" t="s">
        <v>325</v>
      </c>
      <c r="U97">
        <v>2.7490499800741686E-2</v>
      </c>
      <c r="V97" t="s">
        <v>153</v>
      </c>
      <c r="AK97">
        <v>2043</v>
      </c>
      <c r="AL97" t="s">
        <v>320</v>
      </c>
      <c r="AM97">
        <v>0.10609999999999999</v>
      </c>
      <c r="AN97" t="s">
        <v>275</v>
      </c>
    </row>
    <row r="98" spans="9:40" x14ac:dyDescent="0.45">
      <c r="I98" t="s">
        <v>168</v>
      </c>
      <c r="J98" t="s">
        <v>326</v>
      </c>
      <c r="K98">
        <v>0.20488853547693547</v>
      </c>
      <c r="L98" t="s">
        <v>153</v>
      </c>
      <c r="N98" t="s">
        <v>211</v>
      </c>
      <c r="O98" t="s">
        <v>326</v>
      </c>
      <c r="P98">
        <v>6.5997268164162112E-2</v>
      </c>
      <c r="Q98" t="s">
        <v>153</v>
      </c>
      <c r="S98" t="s">
        <v>253</v>
      </c>
      <c r="T98" t="s">
        <v>326</v>
      </c>
      <c r="U98">
        <v>0.11097991971172219</v>
      </c>
      <c r="V98" t="s">
        <v>153</v>
      </c>
      <c r="AK98">
        <v>2043</v>
      </c>
      <c r="AL98" t="s">
        <v>322</v>
      </c>
      <c r="AM98">
        <v>0.33876666666666666</v>
      </c>
      <c r="AN98" t="s">
        <v>275</v>
      </c>
    </row>
    <row r="99" spans="9:40" x14ac:dyDescent="0.45">
      <c r="I99" t="s">
        <v>168</v>
      </c>
      <c r="J99" t="s">
        <v>327</v>
      </c>
      <c r="K99">
        <v>0</v>
      </c>
      <c r="L99" t="s">
        <v>153</v>
      </c>
      <c r="N99" t="s">
        <v>211</v>
      </c>
      <c r="O99" t="s">
        <v>327</v>
      </c>
      <c r="P99">
        <v>8.1978698894946647E-2</v>
      </c>
      <c r="Q99" t="s">
        <v>153</v>
      </c>
      <c r="S99" t="s">
        <v>253</v>
      </c>
      <c r="T99" t="s">
        <v>327</v>
      </c>
      <c r="U99">
        <v>0.1225851944537077</v>
      </c>
      <c r="V99" t="s">
        <v>153</v>
      </c>
      <c r="AK99">
        <v>2044</v>
      </c>
      <c r="AL99" t="s">
        <v>317</v>
      </c>
      <c r="AM99">
        <v>0.18963333333333335</v>
      </c>
      <c r="AN99" t="s">
        <v>275</v>
      </c>
    </row>
    <row r="100" spans="9:40" x14ac:dyDescent="0.45">
      <c r="I100" t="s">
        <v>168</v>
      </c>
      <c r="J100" t="s">
        <v>328</v>
      </c>
      <c r="K100">
        <v>1.9781018650082683E-2</v>
      </c>
      <c r="L100" t="s">
        <v>153</v>
      </c>
      <c r="N100" t="s">
        <v>211</v>
      </c>
      <c r="O100" t="s">
        <v>328</v>
      </c>
      <c r="P100">
        <v>1.5325210854144204E-2</v>
      </c>
      <c r="Q100" t="s">
        <v>153</v>
      </c>
      <c r="S100" t="s">
        <v>253</v>
      </c>
      <c r="T100" t="s">
        <v>328</v>
      </c>
      <c r="U100">
        <v>2.4699951407831724E-2</v>
      </c>
      <c r="V100" t="s">
        <v>153</v>
      </c>
      <c r="AK100">
        <v>2044</v>
      </c>
      <c r="AL100" t="s">
        <v>319</v>
      </c>
      <c r="AM100">
        <v>0.12736666666666666</v>
      </c>
      <c r="AN100" t="s">
        <v>275</v>
      </c>
    </row>
    <row r="101" spans="9:40" x14ac:dyDescent="0.45">
      <c r="I101" t="s">
        <v>168</v>
      </c>
      <c r="J101" t="s">
        <v>329</v>
      </c>
      <c r="K101">
        <v>0.1701540389141776</v>
      </c>
      <c r="L101" t="s">
        <v>153</v>
      </c>
      <c r="N101" t="s">
        <v>211</v>
      </c>
      <c r="O101" t="s">
        <v>329</v>
      </c>
      <c r="P101">
        <v>0.15249904078519802</v>
      </c>
      <c r="Q101" t="s">
        <v>153</v>
      </c>
      <c r="S101" t="s">
        <v>253</v>
      </c>
      <c r="T101" t="s">
        <v>329</v>
      </c>
      <c r="U101">
        <v>0.10087861389890737</v>
      </c>
      <c r="V101" t="s">
        <v>153</v>
      </c>
      <c r="AK101">
        <v>2044</v>
      </c>
      <c r="AL101" t="s">
        <v>320</v>
      </c>
      <c r="AM101">
        <v>0.20493333333333333</v>
      </c>
      <c r="AN101" t="s">
        <v>275</v>
      </c>
    </row>
    <row r="102" spans="9:40" x14ac:dyDescent="0.45">
      <c r="I102" t="s">
        <v>168</v>
      </c>
      <c r="J102" t="s">
        <v>330</v>
      </c>
      <c r="K102">
        <v>0</v>
      </c>
      <c r="L102" t="s">
        <v>153</v>
      </c>
      <c r="N102" t="s">
        <v>211</v>
      </c>
      <c r="O102" t="s">
        <v>330</v>
      </c>
      <c r="P102">
        <v>0.16902142401776668</v>
      </c>
      <c r="Q102" t="s">
        <v>153</v>
      </c>
      <c r="S102" t="s">
        <v>253</v>
      </c>
      <c r="T102" t="s">
        <v>330</v>
      </c>
      <c r="U102">
        <v>0.1073820930520622</v>
      </c>
      <c r="V102" t="s">
        <v>153</v>
      </c>
      <c r="AK102">
        <v>2044</v>
      </c>
      <c r="AL102" t="s">
        <v>322</v>
      </c>
      <c r="AM102">
        <v>0.29856666666666665</v>
      </c>
      <c r="AN102" t="s">
        <v>275</v>
      </c>
    </row>
    <row r="103" spans="9:40" x14ac:dyDescent="0.45">
      <c r="I103" t="s">
        <v>168</v>
      </c>
      <c r="J103" t="s">
        <v>331</v>
      </c>
      <c r="K103">
        <v>1.219124599592585E-2</v>
      </c>
      <c r="L103" t="s">
        <v>153</v>
      </c>
      <c r="N103" t="s">
        <v>211</v>
      </c>
      <c r="O103" t="s">
        <v>331</v>
      </c>
      <c r="P103">
        <v>2.5822671876611778E-2</v>
      </c>
      <c r="Q103" t="s">
        <v>153</v>
      </c>
      <c r="S103" t="s">
        <v>253</v>
      </c>
      <c r="T103" t="s">
        <v>331</v>
      </c>
      <c r="U103">
        <v>2.4264635410901129E-2</v>
      </c>
      <c r="V103" t="s">
        <v>153</v>
      </c>
      <c r="AK103">
        <v>2045</v>
      </c>
      <c r="AL103" t="s">
        <v>317</v>
      </c>
      <c r="AM103">
        <v>0.12663333333333335</v>
      </c>
      <c r="AN103" t="s">
        <v>275</v>
      </c>
    </row>
    <row r="104" spans="9:40" x14ac:dyDescent="0.45">
      <c r="I104" t="s">
        <v>168</v>
      </c>
      <c r="J104" t="s">
        <v>332</v>
      </c>
      <c r="K104">
        <v>0.26531057902171024</v>
      </c>
      <c r="L104" t="s">
        <v>153</v>
      </c>
      <c r="N104" t="s">
        <v>211</v>
      </c>
      <c r="O104" t="s">
        <v>332</v>
      </c>
      <c r="P104">
        <v>7.1337912340687426E-2</v>
      </c>
      <c r="Q104" t="s">
        <v>153</v>
      </c>
      <c r="S104" t="s">
        <v>253</v>
      </c>
      <c r="T104" t="s">
        <v>332</v>
      </c>
      <c r="U104">
        <v>9.9346191336591158E-2</v>
      </c>
      <c r="V104" t="s">
        <v>153</v>
      </c>
      <c r="AK104">
        <v>2045</v>
      </c>
      <c r="AL104" t="s">
        <v>319</v>
      </c>
      <c r="AM104">
        <v>0.34583333333333338</v>
      </c>
      <c r="AN104" t="s">
        <v>275</v>
      </c>
    </row>
    <row r="105" spans="9:40" x14ac:dyDescent="0.45">
      <c r="I105" t="s">
        <v>168</v>
      </c>
      <c r="J105" t="s">
        <v>333</v>
      </c>
      <c r="K105">
        <v>0</v>
      </c>
      <c r="L105" t="s">
        <v>153</v>
      </c>
      <c r="N105" t="s">
        <v>211</v>
      </c>
      <c r="O105" t="s">
        <v>333</v>
      </c>
      <c r="P105">
        <v>8.5752313041220371E-2</v>
      </c>
      <c r="Q105" t="s">
        <v>153</v>
      </c>
      <c r="S105" t="s">
        <v>253</v>
      </c>
      <c r="T105" t="s">
        <v>333</v>
      </c>
      <c r="U105">
        <v>0.10582332295430891</v>
      </c>
      <c r="V105" t="s">
        <v>153</v>
      </c>
      <c r="AK105">
        <v>2045</v>
      </c>
      <c r="AL105" t="s">
        <v>320</v>
      </c>
      <c r="AM105">
        <v>0.24406666666666665</v>
      </c>
      <c r="AN105" t="s">
        <v>275</v>
      </c>
    </row>
    <row r="106" spans="9:40" x14ac:dyDescent="0.45">
      <c r="I106" t="s">
        <v>168</v>
      </c>
      <c r="J106" t="s">
        <v>334</v>
      </c>
      <c r="K106">
        <v>3.4055834125457977E-2</v>
      </c>
      <c r="L106" t="s">
        <v>153</v>
      </c>
      <c r="N106" t="s">
        <v>211</v>
      </c>
      <c r="O106" t="s">
        <v>334</v>
      </c>
      <c r="P106">
        <v>1.6504494427528296E-2</v>
      </c>
      <c r="Q106" t="s">
        <v>153</v>
      </c>
      <c r="S106" t="s">
        <v>253</v>
      </c>
      <c r="T106" t="s">
        <v>334</v>
      </c>
      <c r="U106">
        <v>2.1779399640794738E-2</v>
      </c>
      <c r="V106" t="s">
        <v>153</v>
      </c>
      <c r="AK106">
        <v>2045</v>
      </c>
      <c r="AL106" t="s">
        <v>322</v>
      </c>
      <c r="AM106">
        <v>0.36143333333333333</v>
      </c>
      <c r="AN106" t="s">
        <v>275</v>
      </c>
    </row>
    <row r="107" spans="9:40" x14ac:dyDescent="0.45">
      <c r="I107" t="s">
        <v>169</v>
      </c>
      <c r="J107" t="s">
        <v>323</v>
      </c>
      <c r="K107">
        <v>0.26692113055390154</v>
      </c>
      <c r="L107" t="s">
        <v>153</v>
      </c>
      <c r="N107" t="s">
        <v>212</v>
      </c>
      <c r="O107" t="s">
        <v>323</v>
      </c>
      <c r="P107">
        <v>0.12776944125835957</v>
      </c>
      <c r="Q107" t="s">
        <v>153</v>
      </c>
      <c r="S107" t="s">
        <v>254</v>
      </c>
      <c r="T107" t="s">
        <v>323</v>
      </c>
      <c r="U107">
        <v>0.13999243610957993</v>
      </c>
      <c r="V107" t="s">
        <v>153</v>
      </c>
      <c r="AK107">
        <v>2046</v>
      </c>
      <c r="AL107" t="s">
        <v>317</v>
      </c>
      <c r="AM107">
        <v>5.3266666666666664E-2</v>
      </c>
      <c r="AN107" t="s">
        <v>275</v>
      </c>
    </row>
    <row r="108" spans="9:40" x14ac:dyDescent="0.45">
      <c r="I108" t="s">
        <v>169</v>
      </c>
      <c r="J108" t="s">
        <v>324</v>
      </c>
      <c r="K108">
        <v>1.4085768451953499E-6</v>
      </c>
      <c r="L108" t="s">
        <v>153</v>
      </c>
      <c r="N108" t="s">
        <v>212</v>
      </c>
      <c r="O108" t="s">
        <v>324</v>
      </c>
      <c r="P108">
        <v>0.1741461139480206</v>
      </c>
      <c r="Q108" t="s">
        <v>153</v>
      </c>
      <c r="S108" t="s">
        <v>254</v>
      </c>
      <c r="T108" t="s">
        <v>324</v>
      </c>
      <c r="U108">
        <v>0.12103090388923983</v>
      </c>
      <c r="V108" t="s">
        <v>153</v>
      </c>
      <c r="AK108">
        <v>2046</v>
      </c>
      <c r="AL108" t="s">
        <v>319</v>
      </c>
      <c r="AM108">
        <v>0.47516666666666668</v>
      </c>
      <c r="AN108" t="s">
        <v>275</v>
      </c>
    </row>
    <row r="109" spans="9:40" x14ac:dyDescent="0.45">
      <c r="I109" t="s">
        <v>169</v>
      </c>
      <c r="J109" t="s">
        <v>325</v>
      </c>
      <c r="K109">
        <v>2.7079104556915853E-2</v>
      </c>
      <c r="L109" t="s">
        <v>153</v>
      </c>
      <c r="N109" t="s">
        <v>212</v>
      </c>
      <c r="O109" t="s">
        <v>325</v>
      </c>
      <c r="P109">
        <v>2.6691119334790885E-2</v>
      </c>
      <c r="Q109" t="s">
        <v>153</v>
      </c>
      <c r="S109" t="s">
        <v>254</v>
      </c>
      <c r="T109" t="s">
        <v>325</v>
      </c>
      <c r="U109">
        <v>2.7561123747121784E-2</v>
      </c>
      <c r="V109" t="s">
        <v>153</v>
      </c>
      <c r="AK109">
        <v>2046</v>
      </c>
      <c r="AL109" t="s">
        <v>320</v>
      </c>
      <c r="AM109">
        <v>5.000000000000001E-2</v>
      </c>
      <c r="AN109" t="s">
        <v>275</v>
      </c>
    </row>
    <row r="110" spans="9:40" x14ac:dyDescent="0.45">
      <c r="I110" t="s">
        <v>169</v>
      </c>
      <c r="J110" t="s">
        <v>326</v>
      </c>
      <c r="K110">
        <v>0.19970376567351819</v>
      </c>
      <c r="L110" t="s">
        <v>153</v>
      </c>
      <c r="N110" t="s">
        <v>212</v>
      </c>
      <c r="O110" t="s">
        <v>326</v>
      </c>
      <c r="P110">
        <v>5.9819544874809089E-2</v>
      </c>
      <c r="Q110" t="s">
        <v>153</v>
      </c>
      <c r="S110" t="s">
        <v>254</v>
      </c>
      <c r="T110" t="s">
        <v>326</v>
      </c>
      <c r="U110">
        <v>0.10377656176516403</v>
      </c>
      <c r="V110" t="s">
        <v>153</v>
      </c>
      <c r="AK110">
        <v>2046</v>
      </c>
      <c r="AL110" t="s">
        <v>322</v>
      </c>
      <c r="AM110">
        <v>0.44693333333333324</v>
      </c>
      <c r="AN110" t="s">
        <v>275</v>
      </c>
    </row>
    <row r="111" spans="9:40" x14ac:dyDescent="0.45">
      <c r="I111" t="s">
        <v>169</v>
      </c>
      <c r="J111" t="s">
        <v>327</v>
      </c>
      <c r="K111">
        <v>0</v>
      </c>
      <c r="L111" t="s">
        <v>153</v>
      </c>
      <c r="N111" t="s">
        <v>212</v>
      </c>
      <c r="O111" t="s">
        <v>327</v>
      </c>
      <c r="P111">
        <v>9.5904737206973401E-2</v>
      </c>
      <c r="Q111" t="s">
        <v>153</v>
      </c>
      <c r="S111" t="s">
        <v>254</v>
      </c>
      <c r="T111" t="s">
        <v>327</v>
      </c>
      <c r="U111">
        <v>0.11990363331236442</v>
      </c>
      <c r="V111" t="s">
        <v>153</v>
      </c>
      <c r="AK111">
        <v>2047</v>
      </c>
      <c r="AL111" t="s">
        <v>317</v>
      </c>
      <c r="AM111">
        <v>0.23139999999999997</v>
      </c>
      <c r="AN111" t="s">
        <v>275</v>
      </c>
    </row>
    <row r="112" spans="9:40" x14ac:dyDescent="0.45">
      <c r="I112" t="s">
        <v>169</v>
      </c>
      <c r="J112" t="s">
        <v>328</v>
      </c>
      <c r="K112">
        <v>1.8747665754008058E-2</v>
      </c>
      <c r="L112" t="s">
        <v>153</v>
      </c>
      <c r="N112" t="s">
        <v>212</v>
      </c>
      <c r="O112" t="s">
        <v>328</v>
      </c>
      <c r="P112">
        <v>1.3326662656798813E-2</v>
      </c>
      <c r="Q112" t="s">
        <v>153</v>
      </c>
      <c r="S112" t="s">
        <v>254</v>
      </c>
      <c r="T112" t="s">
        <v>328</v>
      </c>
      <c r="U112">
        <v>2.359393683950211E-2</v>
      </c>
      <c r="V112" t="s">
        <v>153</v>
      </c>
      <c r="AK112">
        <v>2047</v>
      </c>
      <c r="AL112" t="s">
        <v>319</v>
      </c>
      <c r="AM112">
        <v>0.43723333333333336</v>
      </c>
      <c r="AN112" t="s">
        <v>275</v>
      </c>
    </row>
    <row r="113" spans="9:40" x14ac:dyDescent="0.45">
      <c r="I113" t="s">
        <v>169</v>
      </c>
      <c r="J113" t="s">
        <v>329</v>
      </c>
      <c r="K113">
        <v>0.16067273253723174</v>
      </c>
      <c r="L113" t="s">
        <v>153</v>
      </c>
      <c r="N113" t="s">
        <v>212</v>
      </c>
      <c r="O113" t="s">
        <v>329</v>
      </c>
      <c r="P113">
        <v>0.12293804970775152</v>
      </c>
      <c r="Q113" t="s">
        <v>153</v>
      </c>
      <c r="S113" t="s">
        <v>254</v>
      </c>
      <c r="T113" t="s">
        <v>329</v>
      </c>
      <c r="U113">
        <v>0.11296429107183487</v>
      </c>
      <c r="V113" t="s">
        <v>153</v>
      </c>
      <c r="AK113">
        <v>2047</v>
      </c>
      <c r="AL113" t="s">
        <v>320</v>
      </c>
      <c r="AM113">
        <v>0.16533333333333333</v>
      </c>
      <c r="AN113" t="s">
        <v>275</v>
      </c>
    </row>
    <row r="114" spans="9:40" x14ac:dyDescent="0.45">
      <c r="I114" t="s">
        <v>169</v>
      </c>
      <c r="J114" t="s">
        <v>330</v>
      </c>
      <c r="K114">
        <v>0</v>
      </c>
      <c r="L114" t="s">
        <v>153</v>
      </c>
      <c r="N114" t="s">
        <v>212</v>
      </c>
      <c r="O114" t="s">
        <v>330</v>
      </c>
      <c r="P114">
        <v>0.17017947787032503</v>
      </c>
      <c r="Q114" t="s">
        <v>153</v>
      </c>
      <c r="S114" t="s">
        <v>254</v>
      </c>
      <c r="T114" t="s">
        <v>330</v>
      </c>
      <c r="U114">
        <v>0.10852653449941801</v>
      </c>
      <c r="V114" t="s">
        <v>153</v>
      </c>
      <c r="AK114">
        <v>2047</v>
      </c>
      <c r="AL114" t="s">
        <v>322</v>
      </c>
      <c r="AM114">
        <v>0.47343333333333337</v>
      </c>
      <c r="AN114" t="s">
        <v>275</v>
      </c>
    </row>
    <row r="115" spans="9:40" x14ac:dyDescent="0.45">
      <c r="I115" t="s">
        <v>169</v>
      </c>
      <c r="J115" t="s">
        <v>331</v>
      </c>
      <c r="K115">
        <v>1.1680136124754418E-2</v>
      </c>
      <c r="L115" t="s">
        <v>153</v>
      </c>
      <c r="N115" t="s">
        <v>212</v>
      </c>
      <c r="O115" t="s">
        <v>331</v>
      </c>
      <c r="P115">
        <v>2.1095909035284525E-2</v>
      </c>
      <c r="Q115" t="s">
        <v>153</v>
      </c>
      <c r="S115" t="s">
        <v>254</v>
      </c>
      <c r="T115" t="s">
        <v>331</v>
      </c>
      <c r="U115">
        <v>2.3611415066091102E-2</v>
      </c>
      <c r="V115" t="s">
        <v>153</v>
      </c>
      <c r="AK115">
        <v>2048</v>
      </c>
      <c r="AL115" t="s">
        <v>317</v>
      </c>
      <c r="AM115">
        <v>0.14543333333333333</v>
      </c>
      <c r="AN115" t="s">
        <v>275</v>
      </c>
    </row>
    <row r="116" spans="9:40" x14ac:dyDescent="0.45">
      <c r="I116" t="s">
        <v>169</v>
      </c>
      <c r="J116" t="s">
        <v>332</v>
      </c>
      <c r="K116">
        <v>0.27865586027634304</v>
      </c>
      <c r="L116" t="s">
        <v>153</v>
      </c>
      <c r="N116" t="s">
        <v>212</v>
      </c>
      <c r="O116" t="s">
        <v>332</v>
      </c>
      <c r="P116">
        <v>6.8415386820353835E-2</v>
      </c>
      <c r="Q116" t="s">
        <v>153</v>
      </c>
      <c r="S116" t="s">
        <v>254</v>
      </c>
      <c r="T116" t="s">
        <v>332</v>
      </c>
      <c r="U116">
        <v>0.1016442628780978</v>
      </c>
      <c r="V116" t="s">
        <v>153</v>
      </c>
      <c r="AK116">
        <v>2048</v>
      </c>
      <c r="AL116" t="s">
        <v>319</v>
      </c>
      <c r="AM116">
        <v>0.37293333333333334</v>
      </c>
      <c r="AN116" t="s">
        <v>275</v>
      </c>
    </row>
    <row r="117" spans="9:40" x14ac:dyDescent="0.45">
      <c r="I117" t="s">
        <v>169</v>
      </c>
      <c r="J117" t="s">
        <v>333</v>
      </c>
      <c r="K117">
        <v>6.2609943234528433E-4</v>
      </c>
      <c r="L117" t="s">
        <v>153</v>
      </c>
      <c r="N117" t="s">
        <v>212</v>
      </c>
      <c r="O117" t="s">
        <v>333</v>
      </c>
      <c r="P117">
        <v>0.10479371616665703</v>
      </c>
      <c r="Q117" t="s">
        <v>153</v>
      </c>
      <c r="S117" t="s">
        <v>254</v>
      </c>
      <c r="T117" t="s">
        <v>333</v>
      </c>
      <c r="U117">
        <v>9.5025924384925423E-2</v>
      </c>
      <c r="V117" t="s">
        <v>153</v>
      </c>
      <c r="AK117">
        <v>2048</v>
      </c>
      <c r="AL117" t="s">
        <v>320</v>
      </c>
      <c r="AM117">
        <v>0.29363333333333336</v>
      </c>
      <c r="AN117" t="s">
        <v>275</v>
      </c>
    </row>
    <row r="118" spans="9:40" x14ac:dyDescent="0.45">
      <c r="I118" t="s">
        <v>169</v>
      </c>
      <c r="J118" t="s">
        <v>334</v>
      </c>
      <c r="K118">
        <v>3.5912096514137251E-2</v>
      </c>
      <c r="L118" t="s">
        <v>153</v>
      </c>
      <c r="N118" t="s">
        <v>212</v>
      </c>
      <c r="O118" t="s">
        <v>334</v>
      </c>
      <c r="P118">
        <v>1.4919841119869538E-2</v>
      </c>
      <c r="Q118" t="s">
        <v>153</v>
      </c>
      <c r="S118" t="s">
        <v>254</v>
      </c>
      <c r="T118" t="s">
        <v>334</v>
      </c>
      <c r="U118">
        <v>2.2368976436657525E-2</v>
      </c>
      <c r="V118" t="s">
        <v>153</v>
      </c>
      <c r="AK118">
        <v>2048</v>
      </c>
      <c r="AL118" t="s">
        <v>322</v>
      </c>
      <c r="AM118">
        <v>0.32290000000000002</v>
      </c>
      <c r="AN118" t="s">
        <v>275</v>
      </c>
    </row>
    <row r="119" spans="9:40" x14ac:dyDescent="0.45">
      <c r="I119" t="s">
        <v>170</v>
      </c>
      <c r="J119" t="s">
        <v>323</v>
      </c>
      <c r="K119">
        <v>0.25699299474783949</v>
      </c>
      <c r="L119" t="s">
        <v>153</v>
      </c>
      <c r="N119" t="s">
        <v>213</v>
      </c>
      <c r="O119" t="s">
        <v>323</v>
      </c>
      <c r="P119">
        <v>0.16030192554371259</v>
      </c>
      <c r="Q119" t="s">
        <v>153</v>
      </c>
      <c r="S119" t="s">
        <v>255</v>
      </c>
      <c r="T119" t="s">
        <v>323</v>
      </c>
      <c r="U119">
        <v>0.12770009189084322</v>
      </c>
      <c r="V119" t="s">
        <v>153</v>
      </c>
      <c r="AK119">
        <v>2049</v>
      </c>
      <c r="AL119" t="s">
        <v>317</v>
      </c>
      <c r="AM119">
        <v>5.000000000000001E-2</v>
      </c>
      <c r="AN119" t="s">
        <v>275</v>
      </c>
    </row>
    <row r="120" spans="9:40" x14ac:dyDescent="0.45">
      <c r="I120" t="s">
        <v>170</v>
      </c>
      <c r="J120" t="s">
        <v>324</v>
      </c>
      <c r="K120">
        <v>1.7123153181538428E-4</v>
      </c>
      <c r="L120" t="s">
        <v>153</v>
      </c>
      <c r="N120" t="s">
        <v>213</v>
      </c>
      <c r="O120" t="s">
        <v>324</v>
      </c>
      <c r="P120">
        <v>0.13006542720967179</v>
      </c>
      <c r="Q120" t="s">
        <v>153</v>
      </c>
      <c r="S120" t="s">
        <v>255</v>
      </c>
      <c r="T120" t="s">
        <v>324</v>
      </c>
      <c r="U120">
        <v>0.14298143281935929</v>
      </c>
      <c r="V120" t="s">
        <v>153</v>
      </c>
      <c r="AK120">
        <v>2049</v>
      </c>
      <c r="AL120" t="s">
        <v>319</v>
      </c>
      <c r="AM120">
        <v>0.12093333333333332</v>
      </c>
      <c r="AN120" t="s">
        <v>275</v>
      </c>
    </row>
    <row r="121" spans="9:40" x14ac:dyDescent="0.45">
      <c r="I121" t="s">
        <v>170</v>
      </c>
      <c r="J121" t="s">
        <v>325</v>
      </c>
      <c r="K121">
        <v>3.3735231015075091E-2</v>
      </c>
      <c r="L121" t="s">
        <v>153</v>
      </c>
      <c r="N121" t="s">
        <v>213</v>
      </c>
      <c r="O121" t="s">
        <v>325</v>
      </c>
      <c r="P121">
        <v>5.3993923676802995E-2</v>
      </c>
      <c r="Q121" t="s">
        <v>153</v>
      </c>
      <c r="S121" t="s">
        <v>255</v>
      </c>
      <c r="T121" t="s">
        <v>325</v>
      </c>
      <c r="U121">
        <v>2.7990118785062204E-2</v>
      </c>
      <c r="V121" t="s">
        <v>153</v>
      </c>
      <c r="AK121">
        <v>2049</v>
      </c>
      <c r="AL121" t="s">
        <v>320</v>
      </c>
      <c r="AM121">
        <v>9.8299999999999998E-2</v>
      </c>
      <c r="AN121" t="s">
        <v>275</v>
      </c>
    </row>
    <row r="122" spans="9:40" x14ac:dyDescent="0.45">
      <c r="I122" t="s">
        <v>170</v>
      </c>
      <c r="J122" t="s">
        <v>326</v>
      </c>
      <c r="K122">
        <v>0.18393367253205653</v>
      </c>
      <c r="L122" t="s">
        <v>153</v>
      </c>
      <c r="N122" t="s">
        <v>213</v>
      </c>
      <c r="O122" t="s">
        <v>326</v>
      </c>
      <c r="P122">
        <v>6.3877917891800667E-2</v>
      </c>
      <c r="Q122" t="s">
        <v>153</v>
      </c>
      <c r="S122" t="s">
        <v>255</v>
      </c>
      <c r="T122" t="s">
        <v>326</v>
      </c>
      <c r="U122">
        <v>9.8427625311540021E-2</v>
      </c>
      <c r="V122" t="s">
        <v>153</v>
      </c>
      <c r="AK122">
        <v>2049</v>
      </c>
      <c r="AL122" t="s">
        <v>322</v>
      </c>
      <c r="AM122">
        <v>0.39063333333333333</v>
      </c>
      <c r="AN122" t="s">
        <v>275</v>
      </c>
    </row>
    <row r="123" spans="9:40" x14ac:dyDescent="0.45">
      <c r="I123" t="s">
        <v>170</v>
      </c>
      <c r="J123" t="s">
        <v>327</v>
      </c>
      <c r="K123">
        <v>0</v>
      </c>
      <c r="L123" t="s">
        <v>153</v>
      </c>
      <c r="N123" t="s">
        <v>213</v>
      </c>
      <c r="O123" t="s">
        <v>327</v>
      </c>
      <c r="P123">
        <v>7.4937258484541414E-2</v>
      </c>
      <c r="Q123" t="s">
        <v>153</v>
      </c>
      <c r="S123" t="s">
        <v>255</v>
      </c>
      <c r="T123" t="s">
        <v>327</v>
      </c>
      <c r="U123">
        <v>0.11118820271313015</v>
      </c>
      <c r="V123" t="s">
        <v>153</v>
      </c>
      <c r="AK123">
        <v>2050</v>
      </c>
      <c r="AL123" t="s">
        <v>317</v>
      </c>
      <c r="AM123">
        <v>0.14909999999999998</v>
      </c>
      <c r="AN123" t="s">
        <v>275</v>
      </c>
    </row>
    <row r="124" spans="9:40" x14ac:dyDescent="0.45">
      <c r="I124" t="s">
        <v>170</v>
      </c>
      <c r="J124" t="s">
        <v>328</v>
      </c>
      <c r="K124">
        <v>2.143298997874411E-2</v>
      </c>
      <c r="L124" t="s">
        <v>153</v>
      </c>
      <c r="N124" t="s">
        <v>213</v>
      </c>
      <c r="O124" t="s">
        <v>328</v>
      </c>
      <c r="P124">
        <v>2.4286833715494317E-2</v>
      </c>
      <c r="Q124" t="s">
        <v>153</v>
      </c>
      <c r="S124" t="s">
        <v>255</v>
      </c>
      <c r="T124" t="s">
        <v>328</v>
      </c>
      <c r="U124">
        <v>2.192490755501815E-2</v>
      </c>
      <c r="V124" t="s">
        <v>153</v>
      </c>
      <c r="AK124">
        <v>2050</v>
      </c>
      <c r="AL124" t="s">
        <v>319</v>
      </c>
      <c r="AM124">
        <v>0.27913333333333329</v>
      </c>
      <c r="AN124" t="s">
        <v>275</v>
      </c>
    </row>
    <row r="125" spans="9:40" x14ac:dyDescent="0.45">
      <c r="I125" t="s">
        <v>170</v>
      </c>
      <c r="J125" t="s">
        <v>329</v>
      </c>
      <c r="K125">
        <v>0.12303547201499508</v>
      </c>
      <c r="L125" t="s">
        <v>153</v>
      </c>
      <c r="N125" t="s">
        <v>213</v>
      </c>
      <c r="O125" t="s">
        <v>329</v>
      </c>
      <c r="P125">
        <v>0.11488687962989304</v>
      </c>
      <c r="Q125" t="s">
        <v>153</v>
      </c>
      <c r="S125" t="s">
        <v>255</v>
      </c>
      <c r="T125" t="s">
        <v>329</v>
      </c>
      <c r="U125">
        <v>0.11656382935166579</v>
      </c>
      <c r="V125" t="s">
        <v>153</v>
      </c>
      <c r="AK125">
        <v>2050</v>
      </c>
      <c r="AL125" t="s">
        <v>320</v>
      </c>
      <c r="AM125">
        <v>0.23246666666666668</v>
      </c>
      <c r="AN125" t="s">
        <v>275</v>
      </c>
    </row>
    <row r="126" spans="9:40" x14ac:dyDescent="0.45">
      <c r="I126" t="s">
        <v>170</v>
      </c>
      <c r="J126" t="s">
        <v>330</v>
      </c>
      <c r="K126">
        <v>0</v>
      </c>
      <c r="L126" t="s">
        <v>153</v>
      </c>
      <c r="N126" t="s">
        <v>213</v>
      </c>
      <c r="O126" t="s">
        <v>330</v>
      </c>
      <c r="P126">
        <v>0.14185503404088307</v>
      </c>
      <c r="Q126" t="s">
        <v>153</v>
      </c>
      <c r="S126" t="s">
        <v>255</v>
      </c>
      <c r="T126" t="s">
        <v>330</v>
      </c>
      <c r="U126">
        <v>0.12262501265547018</v>
      </c>
      <c r="V126" t="s">
        <v>153</v>
      </c>
      <c r="AK126">
        <v>2050</v>
      </c>
      <c r="AL126" t="s">
        <v>322</v>
      </c>
      <c r="AM126">
        <v>0.34403333333333336</v>
      </c>
      <c r="AN126" t="s">
        <v>275</v>
      </c>
    </row>
    <row r="127" spans="9:40" x14ac:dyDescent="0.45">
      <c r="I127" t="s">
        <v>170</v>
      </c>
      <c r="J127" t="s">
        <v>331</v>
      </c>
      <c r="K127">
        <v>1.051263583462474E-2</v>
      </c>
      <c r="L127" t="s">
        <v>153</v>
      </c>
      <c r="N127" t="s">
        <v>213</v>
      </c>
      <c r="O127" t="s">
        <v>331</v>
      </c>
      <c r="P127">
        <v>2.9123226311663492E-2</v>
      </c>
      <c r="Q127" t="s">
        <v>153</v>
      </c>
      <c r="S127" t="s">
        <v>255</v>
      </c>
      <c r="T127" t="s">
        <v>331</v>
      </c>
      <c r="U127">
        <v>2.4486834394112721E-2</v>
      </c>
      <c r="V127" t="s">
        <v>153</v>
      </c>
    </row>
    <row r="128" spans="9:40" x14ac:dyDescent="0.45">
      <c r="I128" t="s">
        <v>170</v>
      </c>
      <c r="J128" t="s">
        <v>332</v>
      </c>
      <c r="K128">
        <v>0.30803425323783867</v>
      </c>
      <c r="L128" t="s">
        <v>153</v>
      </c>
      <c r="N128" t="s">
        <v>213</v>
      </c>
      <c r="O128" t="s">
        <v>332</v>
      </c>
      <c r="P128">
        <v>9.2065009762585095E-2</v>
      </c>
      <c r="Q128" t="s">
        <v>153</v>
      </c>
      <c r="S128" t="s">
        <v>255</v>
      </c>
      <c r="T128" t="s">
        <v>332</v>
      </c>
      <c r="U128">
        <v>8.8069305896580949E-2</v>
      </c>
      <c r="V128" t="s">
        <v>153</v>
      </c>
    </row>
    <row r="129" spans="9:22" x14ac:dyDescent="0.45">
      <c r="I129" t="s">
        <v>170</v>
      </c>
      <c r="J129" t="s">
        <v>333</v>
      </c>
      <c r="K129">
        <v>1.2144517951517277E-2</v>
      </c>
      <c r="L129" t="s">
        <v>153</v>
      </c>
      <c r="N129" t="s">
        <v>213</v>
      </c>
      <c r="O129" t="s">
        <v>333</v>
      </c>
      <c r="P129">
        <v>7.7946671640648502E-2</v>
      </c>
      <c r="Q129" t="s">
        <v>153</v>
      </c>
      <c r="S129" t="s">
        <v>255</v>
      </c>
      <c r="T129" t="s">
        <v>333</v>
      </c>
      <c r="U129">
        <v>9.6888895884318219E-2</v>
      </c>
      <c r="V129" t="s">
        <v>153</v>
      </c>
    </row>
    <row r="130" spans="9:22" x14ac:dyDescent="0.45">
      <c r="I130" t="s">
        <v>170</v>
      </c>
      <c r="J130" t="s">
        <v>334</v>
      </c>
      <c r="K130">
        <v>5.0007001155493183E-2</v>
      </c>
      <c r="L130" t="s">
        <v>153</v>
      </c>
      <c r="N130" t="s">
        <v>213</v>
      </c>
      <c r="O130" t="s">
        <v>334</v>
      </c>
      <c r="P130">
        <v>3.6659892092305232E-2</v>
      </c>
      <c r="Q130" t="s">
        <v>153</v>
      </c>
      <c r="S130" t="s">
        <v>255</v>
      </c>
      <c r="T130" t="s">
        <v>334</v>
      </c>
      <c r="U130">
        <v>2.1153742742894988E-2</v>
      </c>
      <c r="V130" t="s">
        <v>153</v>
      </c>
    </row>
    <row r="131" spans="9:22" x14ac:dyDescent="0.45">
      <c r="I131" t="s">
        <v>171</v>
      </c>
      <c r="J131" t="s">
        <v>323</v>
      </c>
      <c r="K131">
        <v>0.26227817253642183</v>
      </c>
      <c r="L131" t="s">
        <v>153</v>
      </c>
      <c r="N131" t="s">
        <v>214</v>
      </c>
      <c r="O131" t="s">
        <v>323</v>
      </c>
      <c r="P131">
        <v>0.13616121548935903</v>
      </c>
      <c r="Q131" t="s">
        <v>153</v>
      </c>
      <c r="S131" t="s">
        <v>256</v>
      </c>
      <c r="T131" t="s">
        <v>323</v>
      </c>
      <c r="U131">
        <v>0.12450232514040351</v>
      </c>
      <c r="V131" t="s">
        <v>153</v>
      </c>
    </row>
    <row r="132" spans="9:22" x14ac:dyDescent="0.45">
      <c r="I132" t="s">
        <v>171</v>
      </c>
      <c r="J132" t="s">
        <v>324</v>
      </c>
      <c r="K132">
        <v>0</v>
      </c>
      <c r="L132" t="s">
        <v>153</v>
      </c>
      <c r="N132" t="s">
        <v>214</v>
      </c>
      <c r="O132" t="s">
        <v>324</v>
      </c>
      <c r="P132">
        <v>0.14453753379606152</v>
      </c>
      <c r="Q132" t="s">
        <v>153</v>
      </c>
      <c r="S132" t="s">
        <v>256</v>
      </c>
      <c r="T132" t="s">
        <v>324</v>
      </c>
      <c r="U132">
        <v>0.13301995173292794</v>
      </c>
      <c r="V132" t="s">
        <v>153</v>
      </c>
    </row>
    <row r="133" spans="9:22" x14ac:dyDescent="0.45">
      <c r="I133" t="s">
        <v>171</v>
      </c>
      <c r="J133" t="s">
        <v>325</v>
      </c>
      <c r="K133">
        <v>3.1236783925364144E-2</v>
      </c>
      <c r="L133" t="s">
        <v>153</v>
      </c>
      <c r="N133" t="s">
        <v>214</v>
      </c>
      <c r="O133" t="s">
        <v>325</v>
      </c>
      <c r="P133">
        <v>3.8190738238577777E-2</v>
      </c>
      <c r="Q133" t="s">
        <v>153</v>
      </c>
      <c r="S133" t="s">
        <v>256</v>
      </c>
      <c r="T133" t="s">
        <v>325</v>
      </c>
      <c r="U133">
        <v>2.7023954414060088E-2</v>
      </c>
      <c r="V133" t="s">
        <v>153</v>
      </c>
    </row>
    <row r="134" spans="9:22" x14ac:dyDescent="0.45">
      <c r="I134" t="s">
        <v>171</v>
      </c>
      <c r="J134" t="s">
        <v>326</v>
      </c>
      <c r="K134">
        <v>0.192346695434054</v>
      </c>
      <c r="L134" t="s">
        <v>153</v>
      </c>
      <c r="N134" t="s">
        <v>214</v>
      </c>
      <c r="O134" t="s">
        <v>326</v>
      </c>
      <c r="P134">
        <v>6.1910762338396173E-2</v>
      </c>
      <c r="Q134" t="s">
        <v>153</v>
      </c>
      <c r="S134" t="s">
        <v>256</v>
      </c>
      <c r="T134" t="s">
        <v>326</v>
      </c>
      <c r="U134">
        <v>0.10411644899788743</v>
      </c>
      <c r="V134" t="s">
        <v>153</v>
      </c>
    </row>
    <row r="135" spans="9:22" x14ac:dyDescent="0.45">
      <c r="I135" t="s">
        <v>171</v>
      </c>
      <c r="J135" t="s">
        <v>327</v>
      </c>
      <c r="K135">
        <v>0</v>
      </c>
      <c r="L135" t="s">
        <v>153</v>
      </c>
      <c r="N135" t="s">
        <v>214</v>
      </c>
      <c r="O135" t="s">
        <v>327</v>
      </c>
      <c r="P135">
        <v>7.7346610809499478E-2</v>
      </c>
      <c r="Q135" t="s">
        <v>153</v>
      </c>
      <c r="S135" t="s">
        <v>256</v>
      </c>
      <c r="T135" t="s">
        <v>327</v>
      </c>
      <c r="U135">
        <v>0.11331096836805235</v>
      </c>
      <c r="V135" t="s">
        <v>153</v>
      </c>
    </row>
    <row r="136" spans="9:22" x14ac:dyDescent="0.45">
      <c r="I136" t="s">
        <v>171</v>
      </c>
      <c r="J136" t="s">
        <v>328</v>
      </c>
      <c r="K136">
        <v>2.0832887271655786E-2</v>
      </c>
      <c r="L136" t="s">
        <v>153</v>
      </c>
      <c r="N136" t="s">
        <v>214</v>
      </c>
      <c r="O136" t="s">
        <v>328</v>
      </c>
      <c r="P136">
        <v>1.656760269327753E-2</v>
      </c>
      <c r="Q136" t="s">
        <v>153</v>
      </c>
      <c r="S136" t="s">
        <v>256</v>
      </c>
      <c r="T136" t="s">
        <v>328</v>
      </c>
      <c r="U136">
        <v>2.2727372508909324E-2</v>
      </c>
      <c r="V136" t="s">
        <v>153</v>
      </c>
    </row>
    <row r="137" spans="9:22" x14ac:dyDescent="0.45">
      <c r="I137" t="s">
        <v>171</v>
      </c>
      <c r="J137" t="s">
        <v>329</v>
      </c>
      <c r="K137">
        <v>0.12417154641180379</v>
      </c>
      <c r="L137" t="s">
        <v>153</v>
      </c>
      <c r="N137" t="s">
        <v>214</v>
      </c>
      <c r="O137" t="s">
        <v>329</v>
      </c>
      <c r="P137">
        <v>0.15540703779994977</v>
      </c>
      <c r="Q137" t="s">
        <v>153</v>
      </c>
      <c r="S137" t="s">
        <v>256</v>
      </c>
      <c r="T137" t="s">
        <v>329</v>
      </c>
      <c r="U137">
        <v>0.11512422322292272</v>
      </c>
      <c r="V137" t="s">
        <v>153</v>
      </c>
    </row>
    <row r="138" spans="9:22" x14ac:dyDescent="0.45">
      <c r="I138" t="s">
        <v>171</v>
      </c>
      <c r="J138" t="s">
        <v>330</v>
      </c>
      <c r="K138">
        <v>0</v>
      </c>
      <c r="L138" t="s">
        <v>153</v>
      </c>
      <c r="N138" t="s">
        <v>214</v>
      </c>
      <c r="O138" t="s">
        <v>330</v>
      </c>
      <c r="P138">
        <v>0.1910546081240713</v>
      </c>
      <c r="Q138" t="s">
        <v>153</v>
      </c>
      <c r="S138" t="s">
        <v>256</v>
      </c>
      <c r="T138" t="s">
        <v>330</v>
      </c>
      <c r="U138">
        <v>0.11922584930899111</v>
      </c>
      <c r="V138" t="s">
        <v>153</v>
      </c>
    </row>
    <row r="139" spans="9:22" x14ac:dyDescent="0.45">
      <c r="I139" t="s">
        <v>171</v>
      </c>
      <c r="J139" t="s">
        <v>331</v>
      </c>
      <c r="K139">
        <v>1.0324568474365432E-2</v>
      </c>
      <c r="L139" t="s">
        <v>153</v>
      </c>
      <c r="N139" t="s">
        <v>214</v>
      </c>
      <c r="O139" t="s">
        <v>331</v>
      </c>
      <c r="P139">
        <v>2.6989978788730568E-2</v>
      </c>
      <c r="Q139" t="s">
        <v>153</v>
      </c>
      <c r="S139" t="s">
        <v>256</v>
      </c>
      <c r="T139" t="s">
        <v>331</v>
      </c>
      <c r="U139">
        <v>2.3382567324857991E-2</v>
      </c>
      <c r="V139" t="s">
        <v>153</v>
      </c>
    </row>
    <row r="140" spans="9:22" x14ac:dyDescent="0.45">
      <c r="I140" t="s">
        <v>171</v>
      </c>
      <c r="J140" t="s">
        <v>332</v>
      </c>
      <c r="K140">
        <v>0.30358744104451424</v>
      </c>
      <c r="L140" t="s">
        <v>153</v>
      </c>
      <c r="N140" t="s">
        <v>214</v>
      </c>
      <c r="O140" t="s">
        <v>332</v>
      </c>
      <c r="P140">
        <v>6.0411293826891165E-2</v>
      </c>
      <c r="Q140" t="s">
        <v>153</v>
      </c>
      <c r="S140" t="s">
        <v>256</v>
      </c>
      <c r="T140" t="s">
        <v>332</v>
      </c>
      <c r="U140">
        <v>0.10053637104811573</v>
      </c>
      <c r="V140" t="s">
        <v>153</v>
      </c>
    </row>
    <row r="141" spans="9:22" x14ac:dyDescent="0.45">
      <c r="I141" t="s">
        <v>171</v>
      </c>
      <c r="J141" t="s">
        <v>333</v>
      </c>
      <c r="K141">
        <v>9.5457966644445936E-3</v>
      </c>
      <c r="L141" t="s">
        <v>153</v>
      </c>
      <c r="N141" t="s">
        <v>214</v>
      </c>
      <c r="O141" t="s">
        <v>333</v>
      </c>
      <c r="P141">
        <v>6.9026562605892364E-2</v>
      </c>
      <c r="Q141" t="s">
        <v>153</v>
      </c>
      <c r="S141" t="s">
        <v>256</v>
      </c>
      <c r="T141" t="s">
        <v>333</v>
      </c>
      <c r="U141">
        <v>9.5421374669580186E-2</v>
      </c>
      <c r="V141" t="s">
        <v>153</v>
      </c>
    </row>
    <row r="142" spans="9:22" x14ac:dyDescent="0.45">
      <c r="I142" t="s">
        <v>171</v>
      </c>
      <c r="J142" t="s">
        <v>334</v>
      </c>
      <c r="K142">
        <v>4.5676108237376063E-2</v>
      </c>
      <c r="L142" t="s">
        <v>153</v>
      </c>
      <c r="N142" t="s">
        <v>214</v>
      </c>
      <c r="O142" t="s">
        <v>334</v>
      </c>
      <c r="P142">
        <v>2.2396055489295182E-2</v>
      </c>
      <c r="Q142" t="s">
        <v>153</v>
      </c>
      <c r="S142" t="s">
        <v>256</v>
      </c>
      <c r="T142" t="s">
        <v>334</v>
      </c>
      <c r="U142">
        <v>2.1608593263292043E-2</v>
      </c>
      <c r="V142" t="s">
        <v>153</v>
      </c>
    </row>
    <row r="143" spans="9:22" x14ac:dyDescent="0.45">
      <c r="I143" t="s">
        <v>172</v>
      </c>
      <c r="J143" t="s">
        <v>323</v>
      </c>
      <c r="K143">
        <v>0.25938707356472279</v>
      </c>
      <c r="L143" t="s">
        <v>153</v>
      </c>
      <c r="N143" t="s">
        <v>215</v>
      </c>
      <c r="O143" t="s">
        <v>323</v>
      </c>
      <c r="P143">
        <v>0.12533485648636031</v>
      </c>
      <c r="Q143" t="s">
        <v>153</v>
      </c>
      <c r="S143" t="s">
        <v>257</v>
      </c>
      <c r="T143" t="s">
        <v>323</v>
      </c>
      <c r="U143">
        <v>0.11916962039312415</v>
      </c>
      <c r="V143" t="s">
        <v>153</v>
      </c>
    </row>
    <row r="144" spans="9:22" x14ac:dyDescent="0.45">
      <c r="I144" t="s">
        <v>172</v>
      </c>
      <c r="J144" t="s">
        <v>324</v>
      </c>
      <c r="K144">
        <v>6.2059299267747625E-7</v>
      </c>
      <c r="L144" t="s">
        <v>153</v>
      </c>
      <c r="N144" t="s">
        <v>215</v>
      </c>
      <c r="O144" t="s">
        <v>324</v>
      </c>
      <c r="P144">
        <v>0.10459349679645727</v>
      </c>
      <c r="Q144" t="s">
        <v>153</v>
      </c>
      <c r="S144" t="s">
        <v>257</v>
      </c>
      <c r="T144" t="s">
        <v>324</v>
      </c>
      <c r="U144">
        <v>0.12557658288854151</v>
      </c>
      <c r="V144" t="s">
        <v>153</v>
      </c>
    </row>
    <row r="145" spans="9:22" x14ac:dyDescent="0.45">
      <c r="I145" t="s">
        <v>172</v>
      </c>
      <c r="J145" t="s">
        <v>325</v>
      </c>
      <c r="K145">
        <v>3.4988926129872498E-2</v>
      </c>
      <c r="L145" t="s">
        <v>153</v>
      </c>
      <c r="N145" t="s">
        <v>215</v>
      </c>
      <c r="O145" t="s">
        <v>325</v>
      </c>
      <c r="P145">
        <v>3.1264009363010992E-2</v>
      </c>
      <c r="Q145" t="s">
        <v>153</v>
      </c>
      <c r="S145" t="s">
        <v>257</v>
      </c>
      <c r="T145" t="s">
        <v>325</v>
      </c>
      <c r="U145">
        <v>2.5520076742797389E-2</v>
      </c>
      <c r="V145" t="s">
        <v>153</v>
      </c>
    </row>
    <row r="146" spans="9:22" x14ac:dyDescent="0.45">
      <c r="I146" t="s">
        <v>172</v>
      </c>
      <c r="J146" t="s">
        <v>326</v>
      </c>
      <c r="K146">
        <v>0.1904042730923762</v>
      </c>
      <c r="L146" t="s">
        <v>153</v>
      </c>
      <c r="N146" t="s">
        <v>215</v>
      </c>
      <c r="O146" t="s">
        <v>326</v>
      </c>
      <c r="P146">
        <v>9.9345651359344381E-2</v>
      </c>
      <c r="Q146" t="s">
        <v>153</v>
      </c>
      <c r="S146" t="s">
        <v>257</v>
      </c>
      <c r="T146" t="s">
        <v>326</v>
      </c>
      <c r="U146">
        <v>0.10860160831452566</v>
      </c>
      <c r="V146" t="s">
        <v>153</v>
      </c>
    </row>
    <row r="147" spans="9:22" x14ac:dyDescent="0.45">
      <c r="I147" t="s">
        <v>172</v>
      </c>
      <c r="J147" t="s">
        <v>327</v>
      </c>
      <c r="K147">
        <v>0</v>
      </c>
      <c r="L147" t="s">
        <v>153</v>
      </c>
      <c r="N147" t="s">
        <v>215</v>
      </c>
      <c r="O147" t="s">
        <v>327</v>
      </c>
      <c r="P147">
        <v>9.1374408777634281E-2</v>
      </c>
      <c r="Q147" t="s">
        <v>153</v>
      </c>
      <c r="S147" t="s">
        <v>257</v>
      </c>
      <c r="T147" t="s">
        <v>327</v>
      </c>
      <c r="U147">
        <v>0.12074357438152651</v>
      </c>
      <c r="V147" t="s">
        <v>153</v>
      </c>
    </row>
    <row r="148" spans="9:22" x14ac:dyDescent="0.45">
      <c r="I148" t="s">
        <v>172</v>
      </c>
      <c r="J148" t="s">
        <v>328</v>
      </c>
      <c r="K148">
        <v>2.2391960309560047E-2</v>
      </c>
      <c r="L148" t="s">
        <v>153</v>
      </c>
      <c r="N148" t="s">
        <v>215</v>
      </c>
      <c r="O148" t="s">
        <v>328</v>
      </c>
      <c r="P148">
        <v>2.2938489644332177E-2</v>
      </c>
      <c r="Q148" t="s">
        <v>153</v>
      </c>
      <c r="S148" t="s">
        <v>257</v>
      </c>
      <c r="T148" t="s">
        <v>328</v>
      </c>
      <c r="U148">
        <v>2.308715195912469E-2</v>
      </c>
      <c r="V148" t="s">
        <v>153</v>
      </c>
    </row>
    <row r="149" spans="9:22" x14ac:dyDescent="0.45">
      <c r="I149" t="s">
        <v>172</v>
      </c>
      <c r="J149" t="s">
        <v>329</v>
      </c>
      <c r="K149">
        <v>0.12960541161222217</v>
      </c>
      <c r="L149" t="s">
        <v>153</v>
      </c>
      <c r="N149" t="s">
        <v>215</v>
      </c>
      <c r="O149" t="s">
        <v>329</v>
      </c>
      <c r="P149">
        <v>0.15625145935788035</v>
      </c>
      <c r="Q149" t="s">
        <v>153</v>
      </c>
      <c r="S149" t="s">
        <v>257</v>
      </c>
      <c r="T149" t="s">
        <v>329</v>
      </c>
      <c r="U149">
        <v>0.10557291361465482</v>
      </c>
      <c r="V149" t="s">
        <v>153</v>
      </c>
    </row>
    <row r="150" spans="9:22" x14ac:dyDescent="0.45">
      <c r="I150" t="s">
        <v>172</v>
      </c>
      <c r="J150" t="s">
        <v>330</v>
      </c>
      <c r="K150">
        <v>0</v>
      </c>
      <c r="L150" t="s">
        <v>153</v>
      </c>
      <c r="N150" t="s">
        <v>215</v>
      </c>
      <c r="O150" t="s">
        <v>330</v>
      </c>
      <c r="P150">
        <v>0.13615032871769855</v>
      </c>
      <c r="Q150" t="s">
        <v>153</v>
      </c>
      <c r="S150" t="s">
        <v>257</v>
      </c>
      <c r="T150" t="s">
        <v>330</v>
      </c>
      <c r="U150">
        <v>0.11756878266647605</v>
      </c>
      <c r="V150" t="s">
        <v>153</v>
      </c>
    </row>
    <row r="151" spans="9:22" x14ac:dyDescent="0.45">
      <c r="I151" t="s">
        <v>172</v>
      </c>
      <c r="J151" t="s">
        <v>331</v>
      </c>
      <c r="K151">
        <v>1.0885621595177147E-2</v>
      </c>
      <c r="L151" t="s">
        <v>153</v>
      </c>
      <c r="N151" t="s">
        <v>215</v>
      </c>
      <c r="O151" t="s">
        <v>331</v>
      </c>
      <c r="P151">
        <v>2.4352611439486638E-2</v>
      </c>
      <c r="Q151" t="s">
        <v>153</v>
      </c>
      <c r="S151" t="s">
        <v>257</v>
      </c>
      <c r="T151" t="s">
        <v>331</v>
      </c>
      <c r="U151">
        <v>2.316454826815106E-2</v>
      </c>
      <c r="V151" t="s">
        <v>153</v>
      </c>
    </row>
    <row r="152" spans="9:22" x14ac:dyDescent="0.45">
      <c r="I152" t="s">
        <v>172</v>
      </c>
      <c r="J152" t="s">
        <v>332</v>
      </c>
      <c r="K152">
        <v>0.2929925813509261</v>
      </c>
      <c r="L152" t="s">
        <v>153</v>
      </c>
      <c r="N152" t="s">
        <v>215</v>
      </c>
      <c r="O152" t="s">
        <v>332</v>
      </c>
      <c r="P152">
        <v>9.8639655626084496E-2</v>
      </c>
      <c r="Q152" t="s">
        <v>153</v>
      </c>
      <c r="S152" t="s">
        <v>257</v>
      </c>
      <c r="T152" t="s">
        <v>332</v>
      </c>
      <c r="U152">
        <v>0.1039842544825461</v>
      </c>
      <c r="V152" t="s">
        <v>153</v>
      </c>
    </row>
    <row r="153" spans="9:22" x14ac:dyDescent="0.45">
      <c r="I153" t="s">
        <v>172</v>
      </c>
      <c r="J153" t="s">
        <v>333</v>
      </c>
      <c r="K153">
        <v>1.1086242486445904E-2</v>
      </c>
      <c r="L153" t="s">
        <v>153</v>
      </c>
      <c r="N153" t="s">
        <v>215</v>
      </c>
      <c r="O153" t="s">
        <v>333</v>
      </c>
      <c r="P153">
        <v>8.0594300779488537E-2</v>
      </c>
      <c r="Q153" t="s">
        <v>153</v>
      </c>
      <c r="S153" t="s">
        <v>257</v>
      </c>
      <c r="T153" t="s">
        <v>333</v>
      </c>
      <c r="U153">
        <v>0.10614985605078932</v>
      </c>
      <c r="V153" t="s">
        <v>153</v>
      </c>
    </row>
    <row r="154" spans="9:22" x14ac:dyDescent="0.45">
      <c r="I154" t="s">
        <v>172</v>
      </c>
      <c r="J154" t="s">
        <v>334</v>
      </c>
      <c r="K154">
        <v>4.8257289265704446E-2</v>
      </c>
      <c r="L154" t="s">
        <v>153</v>
      </c>
      <c r="N154" t="s">
        <v>215</v>
      </c>
      <c r="O154" t="s">
        <v>334</v>
      </c>
      <c r="P154">
        <v>2.916073165222454E-2</v>
      </c>
      <c r="Q154" t="s">
        <v>153</v>
      </c>
      <c r="S154" t="s">
        <v>257</v>
      </c>
      <c r="T154" t="s">
        <v>334</v>
      </c>
      <c r="U154">
        <v>2.0861030237746946E-2</v>
      </c>
      <c r="V154" t="s">
        <v>153</v>
      </c>
    </row>
    <row r="155" spans="9:22" x14ac:dyDescent="0.45">
      <c r="I155" t="s">
        <v>173</v>
      </c>
      <c r="J155" t="s">
        <v>323</v>
      </c>
      <c r="K155">
        <v>0.26250983944066442</v>
      </c>
      <c r="L155" t="s">
        <v>153</v>
      </c>
      <c r="N155" t="s">
        <v>216</v>
      </c>
      <c r="O155" t="s">
        <v>323</v>
      </c>
      <c r="P155">
        <v>0.12973455429386632</v>
      </c>
      <c r="Q155" t="s">
        <v>153</v>
      </c>
      <c r="S155" t="s">
        <v>258</v>
      </c>
      <c r="T155" t="s">
        <v>323</v>
      </c>
      <c r="U155">
        <v>0.12565799201710029</v>
      </c>
      <c r="V155" t="s">
        <v>153</v>
      </c>
    </row>
    <row r="156" spans="9:22" x14ac:dyDescent="0.45">
      <c r="I156" t="s">
        <v>173</v>
      </c>
      <c r="J156" t="s">
        <v>324</v>
      </c>
      <c r="K156">
        <v>0</v>
      </c>
      <c r="L156" t="s">
        <v>153</v>
      </c>
      <c r="N156" t="s">
        <v>216</v>
      </c>
      <c r="O156" t="s">
        <v>324</v>
      </c>
      <c r="P156">
        <v>0.10168638134890268</v>
      </c>
      <c r="Q156" t="s">
        <v>153</v>
      </c>
      <c r="S156" t="s">
        <v>258</v>
      </c>
      <c r="T156" t="s">
        <v>324</v>
      </c>
      <c r="U156">
        <v>0.12790261560297175</v>
      </c>
      <c r="V156" t="s">
        <v>153</v>
      </c>
    </row>
    <row r="157" spans="9:22" x14ac:dyDescent="0.45">
      <c r="I157" t="s">
        <v>173</v>
      </c>
      <c r="J157" t="s">
        <v>325</v>
      </c>
      <c r="K157">
        <v>3.2293746374186208E-2</v>
      </c>
      <c r="L157" t="s">
        <v>153</v>
      </c>
      <c r="N157" t="s">
        <v>216</v>
      </c>
      <c r="O157" t="s">
        <v>325</v>
      </c>
      <c r="P157">
        <v>2.9178455476766257E-2</v>
      </c>
      <c r="Q157" t="s">
        <v>153</v>
      </c>
      <c r="S157" t="s">
        <v>258</v>
      </c>
      <c r="T157" t="s">
        <v>325</v>
      </c>
      <c r="U157">
        <v>2.4311942881504945E-2</v>
      </c>
      <c r="V157" t="s">
        <v>153</v>
      </c>
    </row>
    <row r="158" spans="9:22" x14ac:dyDescent="0.45">
      <c r="I158" t="s">
        <v>173</v>
      </c>
      <c r="J158" t="s">
        <v>326</v>
      </c>
      <c r="K158">
        <v>0.19485364182452519</v>
      </c>
      <c r="L158" t="s">
        <v>153</v>
      </c>
      <c r="N158" t="s">
        <v>216</v>
      </c>
      <c r="O158" t="s">
        <v>326</v>
      </c>
      <c r="P158">
        <v>9.8258389334620916E-2</v>
      </c>
      <c r="Q158" t="s">
        <v>153</v>
      </c>
      <c r="S158" t="s">
        <v>258</v>
      </c>
      <c r="T158" t="s">
        <v>326</v>
      </c>
      <c r="U158">
        <v>9.9750716112980684E-2</v>
      </c>
      <c r="V158" t="s">
        <v>153</v>
      </c>
    </row>
    <row r="159" spans="9:22" x14ac:dyDescent="0.45">
      <c r="I159" t="s">
        <v>173</v>
      </c>
      <c r="J159" t="s">
        <v>327</v>
      </c>
      <c r="K159">
        <v>0</v>
      </c>
      <c r="L159" t="s">
        <v>153</v>
      </c>
      <c r="N159" t="s">
        <v>216</v>
      </c>
      <c r="O159" t="s">
        <v>327</v>
      </c>
      <c r="P159">
        <v>8.2160565583179579E-2</v>
      </c>
      <c r="Q159" t="s">
        <v>153</v>
      </c>
      <c r="S159" t="s">
        <v>258</v>
      </c>
      <c r="T159" t="s">
        <v>327</v>
      </c>
      <c r="U159">
        <v>9.698664299264205E-2</v>
      </c>
      <c r="V159" t="s">
        <v>153</v>
      </c>
    </row>
    <row r="160" spans="9:22" x14ac:dyDescent="0.45">
      <c r="I160" t="s">
        <v>173</v>
      </c>
      <c r="J160" t="s">
        <v>328</v>
      </c>
      <c r="K160">
        <v>2.1047315046520378E-2</v>
      </c>
      <c r="L160" t="s">
        <v>153</v>
      </c>
      <c r="N160" t="s">
        <v>216</v>
      </c>
      <c r="O160" t="s">
        <v>328</v>
      </c>
      <c r="P160">
        <v>2.3506929690593478E-2</v>
      </c>
      <c r="Q160" t="s">
        <v>153</v>
      </c>
      <c r="S160" t="s">
        <v>258</v>
      </c>
      <c r="T160" t="s">
        <v>328</v>
      </c>
      <c r="U160">
        <v>1.7908478128766867E-2</v>
      </c>
      <c r="V160" t="s">
        <v>153</v>
      </c>
    </row>
    <row r="161" spans="9:22" x14ac:dyDescent="0.45">
      <c r="I161" t="s">
        <v>173</v>
      </c>
      <c r="J161" t="s">
        <v>329</v>
      </c>
      <c r="K161">
        <v>0.12968166721900304</v>
      </c>
      <c r="L161" t="s">
        <v>153</v>
      </c>
      <c r="N161" t="s">
        <v>216</v>
      </c>
      <c r="O161" t="s">
        <v>329</v>
      </c>
      <c r="P161">
        <v>0.13307254411528244</v>
      </c>
      <c r="Q161" t="s">
        <v>153</v>
      </c>
      <c r="S161" t="s">
        <v>258</v>
      </c>
      <c r="T161" t="s">
        <v>329</v>
      </c>
      <c r="U161">
        <v>0.13855285194235031</v>
      </c>
      <c r="V161" t="s">
        <v>153</v>
      </c>
    </row>
    <row r="162" spans="9:22" x14ac:dyDescent="0.45">
      <c r="I162" t="s">
        <v>173</v>
      </c>
      <c r="J162" t="s">
        <v>330</v>
      </c>
      <c r="K162">
        <v>0</v>
      </c>
      <c r="L162" t="s">
        <v>153</v>
      </c>
      <c r="N162" t="s">
        <v>216</v>
      </c>
      <c r="O162" t="s">
        <v>330</v>
      </c>
      <c r="P162">
        <v>0.11903027684802496</v>
      </c>
      <c r="Q162" t="s">
        <v>153</v>
      </c>
      <c r="S162" t="s">
        <v>258</v>
      </c>
      <c r="T162" t="s">
        <v>330</v>
      </c>
      <c r="U162">
        <v>0.14051267474317194</v>
      </c>
      <c r="V162" t="s">
        <v>153</v>
      </c>
    </row>
    <row r="163" spans="9:22" x14ac:dyDescent="0.45">
      <c r="I163" t="s">
        <v>173</v>
      </c>
      <c r="J163" t="s">
        <v>331</v>
      </c>
      <c r="K163">
        <v>1.0800429916389787E-2</v>
      </c>
      <c r="L163" t="s">
        <v>153</v>
      </c>
      <c r="N163" t="s">
        <v>216</v>
      </c>
      <c r="O163" t="s">
        <v>331</v>
      </c>
      <c r="P163">
        <v>2.5699313582842605E-2</v>
      </c>
      <c r="Q163" t="s">
        <v>153</v>
      </c>
      <c r="S163" t="s">
        <v>258</v>
      </c>
      <c r="T163" t="s">
        <v>331</v>
      </c>
      <c r="U163">
        <v>2.491187863180977E-2</v>
      </c>
      <c r="V163" t="s">
        <v>153</v>
      </c>
    </row>
    <row r="164" spans="9:22" x14ac:dyDescent="0.45">
      <c r="I164" t="s">
        <v>173</v>
      </c>
      <c r="J164" t="s">
        <v>332</v>
      </c>
      <c r="K164">
        <v>0.29507615123463615</v>
      </c>
      <c r="L164" t="s">
        <v>153</v>
      </c>
      <c r="N164" t="s">
        <v>216</v>
      </c>
      <c r="O164" t="s">
        <v>332</v>
      </c>
      <c r="P164">
        <v>0.12650268400099743</v>
      </c>
      <c r="Q164" t="s">
        <v>153</v>
      </c>
      <c r="S164" t="s">
        <v>258</v>
      </c>
      <c r="T164" t="s">
        <v>332</v>
      </c>
      <c r="U164">
        <v>8.7141317779513131E-2</v>
      </c>
      <c r="V164" t="s">
        <v>153</v>
      </c>
    </row>
    <row r="165" spans="9:22" x14ac:dyDescent="0.45">
      <c r="I165" t="s">
        <v>173</v>
      </c>
      <c r="J165" t="s">
        <v>333</v>
      </c>
      <c r="K165">
        <v>8.9998475705111783E-3</v>
      </c>
      <c r="L165" t="s">
        <v>153</v>
      </c>
      <c r="N165" t="s">
        <v>216</v>
      </c>
      <c r="O165" t="s">
        <v>333</v>
      </c>
      <c r="P165">
        <v>9.758751472257525E-2</v>
      </c>
      <c r="Q165" t="s">
        <v>153</v>
      </c>
      <c r="S165" t="s">
        <v>258</v>
      </c>
      <c r="T165" t="s">
        <v>333</v>
      </c>
      <c r="U165">
        <v>9.8343415426967715E-2</v>
      </c>
      <c r="V165" t="s">
        <v>153</v>
      </c>
    </row>
    <row r="166" spans="9:22" x14ac:dyDescent="0.45">
      <c r="I166" t="s">
        <v>173</v>
      </c>
      <c r="J166" t="s">
        <v>334</v>
      </c>
      <c r="K166">
        <v>4.4737361373565855E-2</v>
      </c>
      <c r="L166" t="s">
        <v>153</v>
      </c>
      <c r="N166" t="s">
        <v>216</v>
      </c>
      <c r="O166" t="s">
        <v>334</v>
      </c>
      <c r="P166">
        <v>3.3582391002344079E-2</v>
      </c>
      <c r="Q166" t="s">
        <v>153</v>
      </c>
      <c r="S166" t="s">
        <v>258</v>
      </c>
      <c r="T166" t="s">
        <v>334</v>
      </c>
      <c r="U166">
        <v>1.8019473740221476E-2</v>
      </c>
      <c r="V166" t="s">
        <v>153</v>
      </c>
    </row>
    <row r="167" spans="9:22" x14ac:dyDescent="0.45">
      <c r="I167" t="s">
        <v>174</v>
      </c>
      <c r="J167" t="s">
        <v>323</v>
      </c>
      <c r="K167">
        <v>0.25823704619830645</v>
      </c>
      <c r="L167" t="s">
        <v>153</v>
      </c>
      <c r="N167" t="s">
        <v>217</v>
      </c>
      <c r="O167" t="s">
        <v>323</v>
      </c>
      <c r="P167">
        <v>0.13393613486120653</v>
      </c>
      <c r="Q167" t="s">
        <v>153</v>
      </c>
      <c r="S167" t="s">
        <v>259</v>
      </c>
      <c r="T167" t="s">
        <v>323</v>
      </c>
      <c r="U167">
        <v>0.12289339492132785</v>
      </c>
      <c r="V167" t="s">
        <v>153</v>
      </c>
    </row>
    <row r="168" spans="9:22" x14ac:dyDescent="0.45">
      <c r="I168" t="s">
        <v>174</v>
      </c>
      <c r="J168" t="s">
        <v>324</v>
      </c>
      <c r="K168">
        <v>0</v>
      </c>
      <c r="L168" t="s">
        <v>153</v>
      </c>
      <c r="N168" t="s">
        <v>217</v>
      </c>
      <c r="O168" t="s">
        <v>324</v>
      </c>
      <c r="P168">
        <v>8.7423592190045127E-2</v>
      </c>
      <c r="Q168" t="s">
        <v>153</v>
      </c>
      <c r="S168" t="s">
        <v>259</v>
      </c>
      <c r="T168" t="s">
        <v>324</v>
      </c>
      <c r="U168">
        <v>0.12332525893156303</v>
      </c>
      <c r="V168" t="s">
        <v>153</v>
      </c>
    </row>
    <row r="169" spans="9:22" x14ac:dyDescent="0.45">
      <c r="I169" t="s">
        <v>174</v>
      </c>
      <c r="J169" t="s">
        <v>325</v>
      </c>
      <c r="K169">
        <v>3.4892207297619826E-2</v>
      </c>
      <c r="L169" t="s">
        <v>153</v>
      </c>
      <c r="N169" t="s">
        <v>217</v>
      </c>
      <c r="O169" t="s">
        <v>325</v>
      </c>
      <c r="P169">
        <v>2.6931061514377082E-2</v>
      </c>
      <c r="Q169" t="s">
        <v>153</v>
      </c>
      <c r="S169" t="s">
        <v>259</v>
      </c>
      <c r="T169" t="s">
        <v>325</v>
      </c>
      <c r="U169">
        <v>2.4488775518810617E-2</v>
      </c>
      <c r="V169" t="s">
        <v>153</v>
      </c>
    </row>
    <row r="170" spans="9:22" x14ac:dyDescent="0.45">
      <c r="I170" t="s">
        <v>174</v>
      </c>
      <c r="J170" t="s">
        <v>326</v>
      </c>
      <c r="K170">
        <v>0.19446872030005152</v>
      </c>
      <c r="L170" t="s">
        <v>153</v>
      </c>
      <c r="N170" t="s">
        <v>217</v>
      </c>
      <c r="O170" t="s">
        <v>326</v>
      </c>
      <c r="P170">
        <v>0.10247454643314138</v>
      </c>
      <c r="Q170" t="s">
        <v>153</v>
      </c>
      <c r="S170" t="s">
        <v>259</v>
      </c>
      <c r="T170" t="s">
        <v>326</v>
      </c>
      <c r="U170">
        <v>0.10116540206601173</v>
      </c>
      <c r="V170" t="s">
        <v>153</v>
      </c>
    </row>
    <row r="171" spans="9:22" x14ac:dyDescent="0.45">
      <c r="I171" t="s">
        <v>174</v>
      </c>
      <c r="J171" t="s">
        <v>327</v>
      </c>
      <c r="K171">
        <v>0</v>
      </c>
      <c r="L171" t="s">
        <v>153</v>
      </c>
      <c r="N171" t="s">
        <v>217</v>
      </c>
      <c r="O171" t="s">
        <v>327</v>
      </c>
      <c r="P171">
        <v>7.1853231506300241E-2</v>
      </c>
      <c r="Q171" t="s">
        <v>153</v>
      </c>
      <c r="S171" t="s">
        <v>259</v>
      </c>
      <c r="T171" t="s">
        <v>327</v>
      </c>
      <c r="U171">
        <v>0.1004068773980305</v>
      </c>
      <c r="V171" t="s">
        <v>153</v>
      </c>
    </row>
    <row r="172" spans="9:22" x14ac:dyDescent="0.45">
      <c r="I172" t="s">
        <v>174</v>
      </c>
      <c r="J172" t="s">
        <v>328</v>
      </c>
      <c r="K172">
        <v>2.2339624706609117E-2</v>
      </c>
      <c r="L172" t="s">
        <v>153</v>
      </c>
      <c r="N172" t="s">
        <v>217</v>
      </c>
      <c r="O172" t="s">
        <v>328</v>
      </c>
      <c r="P172">
        <v>1.9663875664185586E-2</v>
      </c>
      <c r="Q172" t="s">
        <v>153</v>
      </c>
      <c r="S172" t="s">
        <v>259</v>
      </c>
      <c r="T172" t="s">
        <v>328</v>
      </c>
      <c r="U172">
        <v>1.9208183755779866E-2</v>
      </c>
      <c r="V172" t="s">
        <v>153</v>
      </c>
    </row>
    <row r="173" spans="9:22" x14ac:dyDescent="0.45">
      <c r="I173" t="s">
        <v>174</v>
      </c>
      <c r="J173" t="s">
        <v>329</v>
      </c>
      <c r="K173">
        <v>0.13771464650284163</v>
      </c>
      <c r="L173" t="s">
        <v>153</v>
      </c>
      <c r="N173" t="s">
        <v>217</v>
      </c>
      <c r="O173" t="s">
        <v>329</v>
      </c>
      <c r="P173">
        <v>0.17374561996429966</v>
      </c>
      <c r="Q173" t="s">
        <v>153</v>
      </c>
      <c r="S173" t="s">
        <v>259</v>
      </c>
      <c r="T173" t="s">
        <v>329</v>
      </c>
      <c r="U173">
        <v>0.13508245934790172</v>
      </c>
      <c r="V173" t="s">
        <v>153</v>
      </c>
    </row>
    <row r="174" spans="9:22" x14ac:dyDescent="0.45">
      <c r="I174" t="s">
        <v>174</v>
      </c>
      <c r="J174" t="s">
        <v>330</v>
      </c>
      <c r="K174">
        <v>0</v>
      </c>
      <c r="L174" t="s">
        <v>153</v>
      </c>
      <c r="N174" t="s">
        <v>217</v>
      </c>
      <c r="O174" t="s">
        <v>330</v>
      </c>
      <c r="P174">
        <v>0.14165727279546989</v>
      </c>
      <c r="Q174" t="s">
        <v>153</v>
      </c>
      <c r="S174" t="s">
        <v>259</v>
      </c>
      <c r="T174" t="s">
        <v>330</v>
      </c>
      <c r="U174">
        <v>0.13773001340214508</v>
      </c>
      <c r="V174" t="s">
        <v>153</v>
      </c>
    </row>
    <row r="175" spans="9:22" x14ac:dyDescent="0.45">
      <c r="I175" t="s">
        <v>174</v>
      </c>
      <c r="J175" t="s">
        <v>331</v>
      </c>
      <c r="K175">
        <v>1.1243491940520406E-2</v>
      </c>
      <c r="L175" t="s">
        <v>153</v>
      </c>
      <c r="N175" t="s">
        <v>217</v>
      </c>
      <c r="O175" t="s">
        <v>331</v>
      </c>
      <c r="P175">
        <v>2.6514723976076394E-2</v>
      </c>
      <c r="Q175" t="s">
        <v>153</v>
      </c>
      <c r="S175" t="s">
        <v>259</v>
      </c>
      <c r="T175" t="s">
        <v>331</v>
      </c>
      <c r="U175">
        <v>2.531425664746834E-2</v>
      </c>
      <c r="V175" t="s">
        <v>153</v>
      </c>
    </row>
    <row r="176" spans="9:22" x14ac:dyDescent="0.45">
      <c r="I176" t="s">
        <v>174</v>
      </c>
      <c r="J176" t="s">
        <v>332</v>
      </c>
      <c r="K176">
        <v>0.28596862863651024</v>
      </c>
      <c r="L176" t="s">
        <v>153</v>
      </c>
      <c r="N176" t="s">
        <v>217</v>
      </c>
      <c r="O176" t="s">
        <v>332</v>
      </c>
      <c r="P176">
        <v>0.11296816100776604</v>
      </c>
      <c r="Q176" t="s">
        <v>153</v>
      </c>
      <c r="S176" t="s">
        <v>259</v>
      </c>
      <c r="T176" t="s">
        <v>332</v>
      </c>
      <c r="U176">
        <v>9.077125137983888E-2</v>
      </c>
      <c r="V176" t="s">
        <v>153</v>
      </c>
    </row>
    <row r="177" spans="9:22" x14ac:dyDescent="0.45">
      <c r="I177" t="s">
        <v>174</v>
      </c>
      <c r="J177" t="s">
        <v>333</v>
      </c>
      <c r="K177">
        <v>9.9714889614396247E-3</v>
      </c>
      <c r="L177" t="s">
        <v>153</v>
      </c>
      <c r="N177" t="s">
        <v>217</v>
      </c>
      <c r="O177" t="s">
        <v>333</v>
      </c>
      <c r="P177">
        <v>7.2421293586905841E-2</v>
      </c>
      <c r="Q177" t="s">
        <v>153</v>
      </c>
      <c r="S177" t="s">
        <v>259</v>
      </c>
      <c r="T177" t="s">
        <v>333</v>
      </c>
      <c r="U177">
        <v>9.9578056173120794E-2</v>
      </c>
      <c r="V177" t="s">
        <v>153</v>
      </c>
    </row>
    <row r="178" spans="9:22" x14ac:dyDescent="0.45">
      <c r="I178" t="s">
        <v>174</v>
      </c>
      <c r="J178" t="s">
        <v>334</v>
      </c>
      <c r="K178">
        <v>4.5164145456104227E-2</v>
      </c>
      <c r="L178" t="s">
        <v>153</v>
      </c>
      <c r="N178" t="s">
        <v>217</v>
      </c>
      <c r="O178" t="s">
        <v>334</v>
      </c>
      <c r="P178">
        <v>3.0410486500229126E-2</v>
      </c>
      <c r="Q178" t="s">
        <v>153</v>
      </c>
      <c r="S178" t="s">
        <v>259</v>
      </c>
      <c r="T178" t="s">
        <v>334</v>
      </c>
      <c r="U178">
        <v>2.0036070457999693E-2</v>
      </c>
      <c r="V178" t="s">
        <v>153</v>
      </c>
    </row>
    <row r="179" spans="9:22" x14ac:dyDescent="0.45">
      <c r="I179" t="s">
        <v>175</v>
      </c>
      <c r="J179" t="s">
        <v>323</v>
      </c>
      <c r="K179">
        <v>0.27128561482495284</v>
      </c>
      <c r="L179" t="s">
        <v>153</v>
      </c>
      <c r="N179" t="s">
        <v>218</v>
      </c>
      <c r="O179" t="s">
        <v>323</v>
      </c>
      <c r="P179">
        <v>0.12705795229800418</v>
      </c>
      <c r="Q179" t="s">
        <v>153</v>
      </c>
      <c r="S179" t="s">
        <v>260</v>
      </c>
      <c r="T179" t="s">
        <v>323</v>
      </c>
      <c r="U179">
        <v>0.12526000319622463</v>
      </c>
      <c r="V179" t="s">
        <v>153</v>
      </c>
    </row>
    <row r="180" spans="9:22" x14ac:dyDescent="0.45">
      <c r="I180" t="s">
        <v>175</v>
      </c>
      <c r="J180" t="s">
        <v>324</v>
      </c>
      <c r="K180">
        <v>3.634947255505679E-3</v>
      </c>
      <c r="L180" t="s">
        <v>153</v>
      </c>
      <c r="N180" t="s">
        <v>218</v>
      </c>
      <c r="O180" t="s">
        <v>324</v>
      </c>
      <c r="P180">
        <v>0.14316122312130394</v>
      </c>
      <c r="Q180" t="s">
        <v>153</v>
      </c>
      <c r="S180" t="s">
        <v>260</v>
      </c>
      <c r="T180" t="s">
        <v>324</v>
      </c>
      <c r="U180">
        <v>0.11193467326841239</v>
      </c>
      <c r="V180" t="s">
        <v>153</v>
      </c>
    </row>
    <row r="181" spans="9:22" x14ac:dyDescent="0.45">
      <c r="I181" t="s">
        <v>175</v>
      </c>
      <c r="J181" t="s">
        <v>325</v>
      </c>
      <c r="K181">
        <v>2.3070765765757215E-2</v>
      </c>
      <c r="L181" t="s">
        <v>153</v>
      </c>
      <c r="N181" t="s">
        <v>218</v>
      </c>
      <c r="O181" t="s">
        <v>325</v>
      </c>
      <c r="P181">
        <v>4.5897180273729778E-2</v>
      </c>
      <c r="Q181" t="s">
        <v>153</v>
      </c>
      <c r="S181" t="s">
        <v>260</v>
      </c>
      <c r="T181" t="s">
        <v>325</v>
      </c>
      <c r="U181">
        <v>2.775560251347144E-2</v>
      </c>
      <c r="V181" t="s">
        <v>153</v>
      </c>
    </row>
    <row r="182" spans="9:22" x14ac:dyDescent="0.45">
      <c r="I182" t="s">
        <v>175</v>
      </c>
      <c r="J182" t="s">
        <v>326</v>
      </c>
      <c r="K182">
        <v>0.19600477725006085</v>
      </c>
      <c r="L182" t="s">
        <v>153</v>
      </c>
      <c r="N182" t="s">
        <v>218</v>
      </c>
      <c r="O182" t="s">
        <v>326</v>
      </c>
      <c r="P182">
        <v>7.4353781420945203E-2</v>
      </c>
      <c r="Q182" t="s">
        <v>153</v>
      </c>
      <c r="S182" t="s">
        <v>260</v>
      </c>
      <c r="T182" t="s">
        <v>326</v>
      </c>
      <c r="U182">
        <v>9.9293508940262509E-2</v>
      </c>
      <c r="V182" t="s">
        <v>153</v>
      </c>
    </row>
    <row r="183" spans="9:22" x14ac:dyDescent="0.45">
      <c r="I183" t="s">
        <v>175</v>
      </c>
      <c r="J183" t="s">
        <v>327</v>
      </c>
      <c r="K183">
        <v>0</v>
      </c>
      <c r="L183" t="s">
        <v>153</v>
      </c>
      <c r="N183" t="s">
        <v>218</v>
      </c>
      <c r="O183" t="s">
        <v>327</v>
      </c>
      <c r="P183">
        <v>8.8719150572799096E-2</v>
      </c>
      <c r="Q183" t="s">
        <v>153</v>
      </c>
      <c r="S183" t="s">
        <v>260</v>
      </c>
      <c r="T183" t="s">
        <v>327</v>
      </c>
      <c r="U183">
        <v>9.0403824292594429E-2</v>
      </c>
      <c r="V183" t="s">
        <v>153</v>
      </c>
    </row>
    <row r="184" spans="9:22" x14ac:dyDescent="0.45">
      <c r="I184" t="s">
        <v>175</v>
      </c>
      <c r="J184" t="s">
        <v>328</v>
      </c>
      <c r="K184">
        <v>1.2753960695673252E-2</v>
      </c>
      <c r="L184" t="s">
        <v>153</v>
      </c>
      <c r="N184" t="s">
        <v>218</v>
      </c>
      <c r="O184" t="s">
        <v>328</v>
      </c>
      <c r="P184">
        <v>2.4759661151981402E-2</v>
      </c>
      <c r="Q184" t="s">
        <v>153</v>
      </c>
      <c r="S184" t="s">
        <v>260</v>
      </c>
      <c r="T184" t="s">
        <v>328</v>
      </c>
      <c r="U184">
        <v>2.2570762516620931E-2</v>
      </c>
      <c r="V184" t="s">
        <v>153</v>
      </c>
    </row>
    <row r="185" spans="9:22" x14ac:dyDescent="0.45">
      <c r="I185" t="s">
        <v>175</v>
      </c>
      <c r="J185" t="s">
        <v>329</v>
      </c>
      <c r="K185">
        <v>0.1467126417540133</v>
      </c>
      <c r="L185" t="s">
        <v>153</v>
      </c>
      <c r="N185" t="s">
        <v>218</v>
      </c>
      <c r="O185" t="s">
        <v>329</v>
      </c>
      <c r="P185">
        <v>0.11271812221374337</v>
      </c>
      <c r="Q185" t="s">
        <v>153</v>
      </c>
      <c r="S185" t="s">
        <v>260</v>
      </c>
      <c r="T185" t="s">
        <v>329</v>
      </c>
      <c r="U185">
        <v>0.12767882231803626</v>
      </c>
      <c r="V185" t="s">
        <v>153</v>
      </c>
    </row>
    <row r="186" spans="9:22" x14ac:dyDescent="0.45">
      <c r="I186" t="s">
        <v>175</v>
      </c>
      <c r="J186" t="s">
        <v>330</v>
      </c>
      <c r="K186">
        <v>0</v>
      </c>
      <c r="L186" t="s">
        <v>153</v>
      </c>
      <c r="N186" t="s">
        <v>218</v>
      </c>
      <c r="O186" t="s">
        <v>330</v>
      </c>
      <c r="P186">
        <v>0.1438122527781065</v>
      </c>
      <c r="Q186" t="s">
        <v>153</v>
      </c>
      <c r="S186" t="s">
        <v>260</v>
      </c>
      <c r="T186" t="s">
        <v>330</v>
      </c>
      <c r="U186">
        <v>0.12067321209952041</v>
      </c>
      <c r="V186" t="s">
        <v>153</v>
      </c>
    </row>
    <row r="187" spans="9:22" x14ac:dyDescent="0.45">
      <c r="I187" t="s">
        <v>175</v>
      </c>
      <c r="J187" t="s">
        <v>331</v>
      </c>
      <c r="K187">
        <v>4.6088254781324056E-3</v>
      </c>
      <c r="L187" t="s">
        <v>153</v>
      </c>
      <c r="N187" t="s">
        <v>218</v>
      </c>
      <c r="O187" t="s">
        <v>331</v>
      </c>
      <c r="P187">
        <v>3.4104130296163555E-2</v>
      </c>
      <c r="Q187" t="s">
        <v>153</v>
      </c>
      <c r="S187" t="s">
        <v>260</v>
      </c>
      <c r="T187" t="s">
        <v>331</v>
      </c>
      <c r="U187">
        <v>2.5286895448703967E-2</v>
      </c>
      <c r="V187" t="s">
        <v>153</v>
      </c>
    </row>
    <row r="188" spans="9:22" x14ac:dyDescent="0.45">
      <c r="I188" t="s">
        <v>175</v>
      </c>
      <c r="J188" t="s">
        <v>332</v>
      </c>
      <c r="K188">
        <v>0.29967159796062892</v>
      </c>
      <c r="L188" t="s">
        <v>153</v>
      </c>
      <c r="N188" t="s">
        <v>218</v>
      </c>
      <c r="O188" t="s">
        <v>332</v>
      </c>
      <c r="P188">
        <v>8.8768706015932827E-2</v>
      </c>
      <c r="Q188" t="s">
        <v>153</v>
      </c>
      <c r="S188" t="s">
        <v>260</v>
      </c>
      <c r="T188" t="s">
        <v>332</v>
      </c>
      <c r="U188">
        <v>0.11552616255039518</v>
      </c>
      <c r="V188" t="s">
        <v>153</v>
      </c>
    </row>
    <row r="189" spans="9:22" x14ac:dyDescent="0.45">
      <c r="I189" t="s">
        <v>175</v>
      </c>
      <c r="J189" t="s">
        <v>333</v>
      </c>
      <c r="K189">
        <v>4.0613974010370243E-3</v>
      </c>
      <c r="L189" t="s">
        <v>153</v>
      </c>
      <c r="N189" t="s">
        <v>218</v>
      </c>
      <c r="O189" t="s">
        <v>333</v>
      </c>
      <c r="P189">
        <v>8.727944996013591E-2</v>
      </c>
      <c r="Q189" t="s">
        <v>153</v>
      </c>
      <c r="S189" t="s">
        <v>260</v>
      </c>
      <c r="T189" t="s">
        <v>333</v>
      </c>
      <c r="U189">
        <v>0.10581615449739371</v>
      </c>
      <c r="V189" t="s">
        <v>153</v>
      </c>
    </row>
    <row r="190" spans="9:22" x14ac:dyDescent="0.45">
      <c r="I190" t="s">
        <v>175</v>
      </c>
      <c r="J190" t="s">
        <v>334</v>
      </c>
      <c r="K190">
        <v>3.8195471614240022E-2</v>
      </c>
      <c r="L190" t="s">
        <v>153</v>
      </c>
      <c r="N190" t="s">
        <v>218</v>
      </c>
      <c r="O190" t="s">
        <v>334</v>
      </c>
      <c r="P190">
        <v>2.9368389897151317E-2</v>
      </c>
      <c r="Q190" t="s">
        <v>153</v>
      </c>
      <c r="S190" t="s">
        <v>260</v>
      </c>
      <c r="T190" t="s">
        <v>334</v>
      </c>
      <c r="U190">
        <v>2.780037835836105E-2</v>
      </c>
      <c r="V190" t="s">
        <v>153</v>
      </c>
    </row>
    <row r="191" spans="9:22" x14ac:dyDescent="0.45">
      <c r="I191" t="s">
        <v>176</v>
      </c>
      <c r="J191" t="s">
        <v>323</v>
      </c>
      <c r="K191">
        <v>0.2754589570690279</v>
      </c>
      <c r="L191" t="s">
        <v>153</v>
      </c>
      <c r="N191" t="s">
        <v>219</v>
      </c>
      <c r="O191" t="s">
        <v>323</v>
      </c>
      <c r="P191">
        <v>0.12377224393816635</v>
      </c>
      <c r="Q191" t="s">
        <v>153</v>
      </c>
      <c r="S191" t="s">
        <v>261</v>
      </c>
      <c r="T191" t="s">
        <v>323</v>
      </c>
      <c r="U191">
        <v>0.11467835399053855</v>
      </c>
      <c r="V191" t="s">
        <v>153</v>
      </c>
    </row>
    <row r="192" spans="9:22" x14ac:dyDescent="0.45">
      <c r="I192" t="s">
        <v>176</v>
      </c>
      <c r="J192" t="s">
        <v>324</v>
      </c>
      <c r="K192">
        <v>3.7495253554886815E-3</v>
      </c>
      <c r="L192" t="s">
        <v>153</v>
      </c>
      <c r="N192" t="s">
        <v>219</v>
      </c>
      <c r="O192" t="s">
        <v>324</v>
      </c>
      <c r="P192">
        <v>0.13731409639950992</v>
      </c>
      <c r="Q192" t="s">
        <v>153</v>
      </c>
      <c r="S192" t="s">
        <v>261</v>
      </c>
      <c r="T192" t="s">
        <v>324</v>
      </c>
      <c r="U192">
        <v>0.11649594852765396</v>
      </c>
      <c r="V192" t="s">
        <v>153</v>
      </c>
    </row>
    <row r="193" spans="9:22" x14ac:dyDescent="0.45">
      <c r="I193" t="s">
        <v>176</v>
      </c>
      <c r="J193" t="s">
        <v>325</v>
      </c>
      <c r="K193">
        <v>2.2236451879467437E-2</v>
      </c>
      <c r="L193" t="s">
        <v>153</v>
      </c>
      <c r="N193" t="s">
        <v>219</v>
      </c>
      <c r="O193" t="s">
        <v>325</v>
      </c>
      <c r="P193">
        <v>3.3261374351255701E-2</v>
      </c>
      <c r="Q193" t="s">
        <v>153</v>
      </c>
      <c r="S193" t="s">
        <v>261</v>
      </c>
      <c r="T193" t="s">
        <v>325</v>
      </c>
      <c r="U193">
        <v>2.3273141233313293E-2</v>
      </c>
      <c r="V193" t="s">
        <v>153</v>
      </c>
    </row>
    <row r="194" spans="9:22" x14ac:dyDescent="0.45">
      <c r="I194" t="s">
        <v>176</v>
      </c>
      <c r="J194" t="s">
        <v>326</v>
      </c>
      <c r="K194">
        <v>0.1954009045022207</v>
      </c>
      <c r="L194" t="s">
        <v>153</v>
      </c>
      <c r="N194" t="s">
        <v>219</v>
      </c>
      <c r="O194" t="s">
        <v>326</v>
      </c>
      <c r="P194">
        <v>9.2869296904240367E-2</v>
      </c>
      <c r="Q194" t="s">
        <v>153</v>
      </c>
      <c r="S194" t="s">
        <v>261</v>
      </c>
      <c r="T194" t="s">
        <v>326</v>
      </c>
      <c r="U194">
        <v>0.1018377016770807</v>
      </c>
      <c r="V194" t="s">
        <v>153</v>
      </c>
    </row>
    <row r="195" spans="9:22" x14ac:dyDescent="0.45">
      <c r="I195" t="s">
        <v>176</v>
      </c>
      <c r="J195" t="s">
        <v>327</v>
      </c>
      <c r="K195">
        <v>0</v>
      </c>
      <c r="L195" t="s">
        <v>153</v>
      </c>
      <c r="N195" t="s">
        <v>219</v>
      </c>
      <c r="O195" t="s">
        <v>327</v>
      </c>
      <c r="P195">
        <v>0.10888980781322379</v>
      </c>
      <c r="Q195" t="s">
        <v>153</v>
      </c>
      <c r="S195" t="s">
        <v>261</v>
      </c>
      <c r="T195" t="s">
        <v>327</v>
      </c>
      <c r="U195">
        <v>0.10863922691230769</v>
      </c>
      <c r="V195" t="s">
        <v>153</v>
      </c>
    </row>
    <row r="196" spans="9:22" x14ac:dyDescent="0.45">
      <c r="I196" t="s">
        <v>176</v>
      </c>
      <c r="J196" t="s">
        <v>328</v>
      </c>
      <c r="K196">
        <v>1.1943250871303004E-2</v>
      </c>
      <c r="L196" t="s">
        <v>153</v>
      </c>
      <c r="N196" t="s">
        <v>219</v>
      </c>
      <c r="O196" t="s">
        <v>328</v>
      </c>
      <c r="P196">
        <v>2.3474090866385182E-2</v>
      </c>
      <c r="Q196" t="s">
        <v>153</v>
      </c>
      <c r="S196" t="s">
        <v>261</v>
      </c>
      <c r="T196" t="s">
        <v>328</v>
      </c>
      <c r="U196">
        <v>2.0747008101074486E-2</v>
      </c>
      <c r="V196" t="s">
        <v>153</v>
      </c>
    </row>
    <row r="197" spans="9:22" x14ac:dyDescent="0.45">
      <c r="I197" t="s">
        <v>176</v>
      </c>
      <c r="J197" t="s">
        <v>329</v>
      </c>
      <c r="K197">
        <v>0.16281234306144474</v>
      </c>
      <c r="L197" t="s">
        <v>153</v>
      </c>
      <c r="N197" t="s">
        <v>219</v>
      </c>
      <c r="O197" t="s">
        <v>329</v>
      </c>
      <c r="P197">
        <v>0.10226069714024651</v>
      </c>
      <c r="Q197" t="s">
        <v>153</v>
      </c>
      <c r="S197" t="s">
        <v>261</v>
      </c>
      <c r="T197" t="s">
        <v>329</v>
      </c>
      <c r="U197">
        <v>0.12025397483342849</v>
      </c>
      <c r="V197" t="s">
        <v>153</v>
      </c>
    </row>
    <row r="198" spans="9:22" x14ac:dyDescent="0.45">
      <c r="I198" t="s">
        <v>176</v>
      </c>
      <c r="J198" t="s">
        <v>330</v>
      </c>
      <c r="K198">
        <v>0</v>
      </c>
      <c r="L198" t="s">
        <v>153</v>
      </c>
      <c r="N198" t="s">
        <v>219</v>
      </c>
      <c r="O198" t="s">
        <v>330</v>
      </c>
      <c r="P198">
        <v>0.12297508900515057</v>
      </c>
      <c r="Q198" t="s">
        <v>153</v>
      </c>
      <c r="S198" t="s">
        <v>261</v>
      </c>
      <c r="T198" t="s">
        <v>330</v>
      </c>
      <c r="U198">
        <v>0.12104134650994509</v>
      </c>
      <c r="V198" t="s">
        <v>153</v>
      </c>
    </row>
    <row r="199" spans="9:22" x14ac:dyDescent="0.45">
      <c r="I199" t="s">
        <v>176</v>
      </c>
      <c r="J199" t="s">
        <v>331</v>
      </c>
      <c r="K199">
        <v>4.8970494474622839E-3</v>
      </c>
      <c r="L199" t="s">
        <v>153</v>
      </c>
      <c r="N199" t="s">
        <v>219</v>
      </c>
      <c r="O199" t="s">
        <v>331</v>
      </c>
      <c r="P199">
        <v>2.7475041947554568E-2</v>
      </c>
      <c r="Q199" t="s">
        <v>153</v>
      </c>
      <c r="S199" t="s">
        <v>261</v>
      </c>
      <c r="T199" t="s">
        <v>331</v>
      </c>
      <c r="U199">
        <v>2.2339868256945162E-2</v>
      </c>
      <c r="V199" t="s">
        <v>153</v>
      </c>
    </row>
    <row r="200" spans="9:22" x14ac:dyDescent="0.45">
      <c r="I200" t="s">
        <v>176</v>
      </c>
      <c r="J200" t="s">
        <v>332</v>
      </c>
      <c r="K200">
        <v>0.2859489432345475</v>
      </c>
      <c r="L200" t="s">
        <v>153</v>
      </c>
      <c r="N200" t="s">
        <v>219</v>
      </c>
      <c r="O200" t="s">
        <v>332</v>
      </c>
      <c r="P200">
        <v>0.10303453046827657</v>
      </c>
      <c r="Q200" t="s">
        <v>153</v>
      </c>
      <c r="S200" t="s">
        <v>261</v>
      </c>
      <c r="T200" t="s">
        <v>332</v>
      </c>
      <c r="U200">
        <v>0.10916240584512028</v>
      </c>
      <c r="V200" t="s">
        <v>153</v>
      </c>
    </row>
    <row r="201" spans="9:22" x14ac:dyDescent="0.45">
      <c r="I201" t="s">
        <v>176</v>
      </c>
      <c r="J201" t="s">
        <v>333</v>
      </c>
      <c r="K201">
        <v>3.9827283508094852E-3</v>
      </c>
      <c r="L201" t="s">
        <v>153</v>
      </c>
      <c r="N201" t="s">
        <v>219</v>
      </c>
      <c r="O201" t="s">
        <v>333</v>
      </c>
      <c r="P201">
        <v>9.992197605590572E-2</v>
      </c>
      <c r="Q201" t="s">
        <v>153</v>
      </c>
      <c r="S201" t="s">
        <v>261</v>
      </c>
      <c r="T201" t="s">
        <v>333</v>
      </c>
      <c r="U201">
        <v>0.11841448434230567</v>
      </c>
      <c r="V201" t="s">
        <v>153</v>
      </c>
    </row>
    <row r="202" spans="9:22" x14ac:dyDescent="0.45">
      <c r="I202" t="s">
        <v>176</v>
      </c>
      <c r="J202" t="s">
        <v>334</v>
      </c>
      <c r="K202">
        <v>3.3569846228228152E-2</v>
      </c>
      <c r="L202" t="s">
        <v>153</v>
      </c>
      <c r="N202" t="s">
        <v>219</v>
      </c>
      <c r="O202" t="s">
        <v>334</v>
      </c>
      <c r="P202">
        <v>2.4751755110083543E-2</v>
      </c>
      <c r="Q202" t="s">
        <v>153</v>
      </c>
      <c r="S202" t="s">
        <v>261</v>
      </c>
      <c r="T202" t="s">
        <v>334</v>
      </c>
      <c r="U202">
        <v>2.3116539770284373E-2</v>
      </c>
      <c r="V202" t="s">
        <v>153</v>
      </c>
    </row>
    <row r="203" spans="9:22" x14ac:dyDescent="0.45">
      <c r="I203" t="s">
        <v>177</v>
      </c>
      <c r="J203" t="s">
        <v>323</v>
      </c>
      <c r="K203">
        <v>0.27310906383989236</v>
      </c>
      <c r="L203" t="s">
        <v>153</v>
      </c>
      <c r="N203" t="s">
        <v>220</v>
      </c>
      <c r="O203" t="s">
        <v>323</v>
      </c>
      <c r="P203">
        <v>0.14901096565122876</v>
      </c>
      <c r="Q203" t="s">
        <v>153</v>
      </c>
      <c r="S203" t="s">
        <v>262</v>
      </c>
      <c r="T203" t="s">
        <v>323</v>
      </c>
      <c r="U203">
        <v>0.12197185128915811</v>
      </c>
      <c r="V203" t="s">
        <v>153</v>
      </c>
    </row>
    <row r="204" spans="9:22" x14ac:dyDescent="0.45">
      <c r="I204" t="s">
        <v>177</v>
      </c>
      <c r="J204" t="s">
        <v>324</v>
      </c>
      <c r="K204">
        <v>2.9687569437148874E-3</v>
      </c>
      <c r="L204" t="s">
        <v>153</v>
      </c>
      <c r="N204" t="s">
        <v>220</v>
      </c>
      <c r="O204" t="s">
        <v>324</v>
      </c>
      <c r="P204">
        <v>0.10057649452418037</v>
      </c>
      <c r="Q204" t="s">
        <v>153</v>
      </c>
      <c r="S204" t="s">
        <v>262</v>
      </c>
      <c r="T204" t="s">
        <v>324</v>
      </c>
      <c r="U204">
        <v>0.12518136197388932</v>
      </c>
      <c r="V204" t="s">
        <v>153</v>
      </c>
    </row>
    <row r="205" spans="9:22" x14ac:dyDescent="0.45">
      <c r="I205" t="s">
        <v>177</v>
      </c>
      <c r="J205" t="s">
        <v>325</v>
      </c>
      <c r="K205">
        <v>2.5062361353316718E-2</v>
      </c>
      <c r="L205" t="s">
        <v>153</v>
      </c>
      <c r="N205" t="s">
        <v>220</v>
      </c>
      <c r="O205" t="s">
        <v>325</v>
      </c>
      <c r="P205">
        <v>4.2322005695111228E-2</v>
      </c>
      <c r="Q205" t="s">
        <v>153</v>
      </c>
      <c r="S205" t="s">
        <v>262</v>
      </c>
      <c r="T205" t="s">
        <v>325</v>
      </c>
      <c r="U205">
        <v>2.229125660515445E-2</v>
      </c>
      <c r="V205" t="s">
        <v>153</v>
      </c>
    </row>
    <row r="206" spans="9:22" x14ac:dyDescent="0.45">
      <c r="I206" t="s">
        <v>177</v>
      </c>
      <c r="J206" t="s">
        <v>326</v>
      </c>
      <c r="K206">
        <v>0.1938161259756101</v>
      </c>
      <c r="L206" t="s">
        <v>153</v>
      </c>
      <c r="N206" t="s">
        <v>220</v>
      </c>
      <c r="O206" t="s">
        <v>326</v>
      </c>
      <c r="P206">
        <v>0.11378544410357204</v>
      </c>
      <c r="Q206" t="s">
        <v>153</v>
      </c>
      <c r="S206" t="s">
        <v>262</v>
      </c>
      <c r="T206" t="s">
        <v>326</v>
      </c>
      <c r="U206">
        <v>0.10074895838971935</v>
      </c>
      <c r="V206" t="s">
        <v>153</v>
      </c>
    </row>
    <row r="207" spans="9:22" x14ac:dyDescent="0.45">
      <c r="I207" t="s">
        <v>177</v>
      </c>
      <c r="J207" t="s">
        <v>327</v>
      </c>
      <c r="K207">
        <v>0</v>
      </c>
      <c r="L207" t="s">
        <v>153</v>
      </c>
      <c r="N207" t="s">
        <v>220</v>
      </c>
      <c r="O207" t="s">
        <v>327</v>
      </c>
      <c r="P207">
        <v>0.10731011328801775</v>
      </c>
      <c r="Q207" t="s">
        <v>153</v>
      </c>
      <c r="S207" t="s">
        <v>262</v>
      </c>
      <c r="T207" t="s">
        <v>327</v>
      </c>
      <c r="U207">
        <v>9.927194464785824E-2</v>
      </c>
      <c r="V207" t="s">
        <v>153</v>
      </c>
    </row>
    <row r="208" spans="9:22" x14ac:dyDescent="0.45">
      <c r="I208" t="s">
        <v>177</v>
      </c>
      <c r="J208" t="s">
        <v>328</v>
      </c>
      <c r="K208">
        <v>1.445178388146672E-2</v>
      </c>
      <c r="L208" t="s">
        <v>153</v>
      </c>
      <c r="N208" t="s">
        <v>220</v>
      </c>
      <c r="O208" t="s">
        <v>328</v>
      </c>
      <c r="P208">
        <v>2.2335612640190114E-2</v>
      </c>
      <c r="Q208" t="s">
        <v>153</v>
      </c>
      <c r="S208" t="s">
        <v>262</v>
      </c>
      <c r="T208" t="s">
        <v>328</v>
      </c>
      <c r="U208">
        <v>1.9188721261894692E-2</v>
      </c>
      <c r="V208" t="s">
        <v>153</v>
      </c>
    </row>
    <row r="209" spans="9:22" x14ac:dyDescent="0.45">
      <c r="I209" t="s">
        <v>177</v>
      </c>
      <c r="J209" t="s">
        <v>329</v>
      </c>
      <c r="K209">
        <v>0.15011538237808633</v>
      </c>
      <c r="L209" t="s">
        <v>153</v>
      </c>
      <c r="N209" t="s">
        <v>220</v>
      </c>
      <c r="O209" t="s">
        <v>329</v>
      </c>
      <c r="P209">
        <v>0.1626502483719979</v>
      </c>
      <c r="Q209" t="s">
        <v>153</v>
      </c>
      <c r="S209" t="s">
        <v>262</v>
      </c>
      <c r="T209" t="s">
        <v>329</v>
      </c>
      <c r="U209">
        <v>0.1300177319944491</v>
      </c>
      <c r="V209" t="s">
        <v>153</v>
      </c>
    </row>
    <row r="210" spans="9:22" x14ac:dyDescent="0.45">
      <c r="I210" t="s">
        <v>177</v>
      </c>
      <c r="J210" t="s">
        <v>330</v>
      </c>
      <c r="K210">
        <v>0</v>
      </c>
      <c r="L210" t="s">
        <v>153</v>
      </c>
      <c r="N210" t="s">
        <v>220</v>
      </c>
      <c r="O210" t="s">
        <v>330</v>
      </c>
      <c r="P210">
        <v>0.10606853258596508</v>
      </c>
      <c r="Q210" t="s">
        <v>153</v>
      </c>
      <c r="S210" t="s">
        <v>262</v>
      </c>
      <c r="T210" t="s">
        <v>330</v>
      </c>
      <c r="U210">
        <v>0.13164475066433379</v>
      </c>
      <c r="V210" t="s">
        <v>153</v>
      </c>
    </row>
    <row r="211" spans="9:22" x14ac:dyDescent="0.45">
      <c r="I211" t="s">
        <v>177</v>
      </c>
      <c r="J211" t="s">
        <v>331</v>
      </c>
      <c r="K211">
        <v>6.1124019842193561E-3</v>
      </c>
      <c r="L211" t="s">
        <v>153</v>
      </c>
      <c r="N211" t="s">
        <v>220</v>
      </c>
      <c r="O211" t="s">
        <v>331</v>
      </c>
      <c r="P211">
        <v>2.1802580545393017E-2</v>
      </c>
      <c r="Q211" t="s">
        <v>153</v>
      </c>
      <c r="S211" t="s">
        <v>262</v>
      </c>
      <c r="T211" t="s">
        <v>331</v>
      </c>
      <c r="U211">
        <v>2.3204373897109654E-2</v>
      </c>
      <c r="V211" t="s">
        <v>153</v>
      </c>
    </row>
    <row r="212" spans="9:22" x14ac:dyDescent="0.45">
      <c r="I212" t="s">
        <v>177</v>
      </c>
      <c r="J212" t="s">
        <v>332</v>
      </c>
      <c r="K212">
        <v>0.29352165943132374</v>
      </c>
      <c r="L212" t="s">
        <v>153</v>
      </c>
      <c r="N212" t="s">
        <v>220</v>
      </c>
      <c r="O212" t="s">
        <v>332</v>
      </c>
      <c r="P212">
        <v>8.764482851501644E-2</v>
      </c>
      <c r="Q212" t="s">
        <v>153</v>
      </c>
      <c r="S212" t="s">
        <v>262</v>
      </c>
      <c r="T212" t="s">
        <v>332</v>
      </c>
      <c r="U212">
        <v>0.10388145272237412</v>
      </c>
      <c r="V212" t="s">
        <v>153</v>
      </c>
    </row>
    <row r="213" spans="9:22" x14ac:dyDescent="0.45">
      <c r="I213" t="s">
        <v>177</v>
      </c>
      <c r="J213" t="s">
        <v>333</v>
      </c>
      <c r="K213">
        <v>3.2816286261087404E-3</v>
      </c>
      <c r="L213" t="s">
        <v>153</v>
      </c>
      <c r="N213" t="s">
        <v>220</v>
      </c>
      <c r="O213" t="s">
        <v>333</v>
      </c>
      <c r="P213">
        <v>5.5356664028743591E-2</v>
      </c>
      <c r="Q213" t="s">
        <v>153</v>
      </c>
      <c r="S213" t="s">
        <v>262</v>
      </c>
      <c r="T213" t="s">
        <v>333</v>
      </c>
      <c r="U213">
        <v>0.10308644740919978</v>
      </c>
      <c r="V213" t="s">
        <v>153</v>
      </c>
    </row>
    <row r="214" spans="9:22" x14ac:dyDescent="0.45">
      <c r="I214" t="s">
        <v>177</v>
      </c>
      <c r="J214" t="s">
        <v>334</v>
      </c>
      <c r="K214">
        <v>3.7560835586262969E-2</v>
      </c>
      <c r="L214" t="s">
        <v>153</v>
      </c>
      <c r="N214" t="s">
        <v>220</v>
      </c>
      <c r="O214" t="s">
        <v>334</v>
      </c>
      <c r="P214">
        <v>3.1136510050583162E-2</v>
      </c>
      <c r="Q214" t="s">
        <v>153</v>
      </c>
      <c r="S214" t="s">
        <v>262</v>
      </c>
      <c r="T214" t="s">
        <v>334</v>
      </c>
      <c r="U214">
        <v>1.9511149144861066E-2</v>
      </c>
      <c r="V214" t="s">
        <v>153</v>
      </c>
    </row>
    <row r="215" spans="9:22" x14ac:dyDescent="0.45">
      <c r="I215" t="s">
        <v>178</v>
      </c>
      <c r="J215" t="s">
        <v>323</v>
      </c>
      <c r="K215">
        <v>0.26261971517859017</v>
      </c>
      <c r="L215" t="s">
        <v>153</v>
      </c>
      <c r="N215" t="s">
        <v>221</v>
      </c>
      <c r="O215" t="s">
        <v>323</v>
      </c>
      <c r="P215">
        <v>0.1421014685605648</v>
      </c>
      <c r="Q215" t="s">
        <v>153</v>
      </c>
      <c r="S215" t="s">
        <v>263</v>
      </c>
      <c r="T215" t="s">
        <v>323</v>
      </c>
      <c r="U215">
        <v>0.12531203104784039</v>
      </c>
      <c r="V215" t="s">
        <v>153</v>
      </c>
    </row>
    <row r="216" spans="9:22" x14ac:dyDescent="0.45">
      <c r="I216" t="s">
        <v>178</v>
      </c>
      <c r="J216" t="s">
        <v>324</v>
      </c>
      <c r="K216">
        <v>2.4240551575005956E-4</v>
      </c>
      <c r="L216" t="s">
        <v>153</v>
      </c>
      <c r="N216" t="s">
        <v>221</v>
      </c>
      <c r="O216" t="s">
        <v>324</v>
      </c>
      <c r="P216">
        <v>0.12015240040309207</v>
      </c>
      <c r="Q216" t="s">
        <v>153</v>
      </c>
      <c r="S216" t="s">
        <v>263</v>
      </c>
      <c r="T216" t="s">
        <v>324</v>
      </c>
      <c r="U216">
        <v>0.12316581569997893</v>
      </c>
      <c r="V216" t="s">
        <v>153</v>
      </c>
    </row>
    <row r="217" spans="9:22" x14ac:dyDescent="0.45">
      <c r="I217" t="s">
        <v>178</v>
      </c>
      <c r="J217" t="s">
        <v>325</v>
      </c>
      <c r="K217">
        <v>3.0887473899913927E-2</v>
      </c>
      <c r="L217" t="s">
        <v>153</v>
      </c>
      <c r="N217" t="s">
        <v>221</v>
      </c>
      <c r="O217" t="s">
        <v>325</v>
      </c>
      <c r="P217">
        <v>2.9956503005760193E-2</v>
      </c>
      <c r="Q217" t="s">
        <v>153</v>
      </c>
      <c r="S217" t="s">
        <v>263</v>
      </c>
      <c r="T217" t="s">
        <v>325</v>
      </c>
      <c r="U217">
        <v>2.443257173803778E-2</v>
      </c>
      <c r="V217" t="s">
        <v>153</v>
      </c>
    </row>
    <row r="218" spans="9:22" x14ac:dyDescent="0.45">
      <c r="I218" t="s">
        <v>178</v>
      </c>
      <c r="J218" t="s">
        <v>326</v>
      </c>
      <c r="K218">
        <v>0.18932025054904866</v>
      </c>
      <c r="L218" t="s">
        <v>153</v>
      </c>
      <c r="N218" t="s">
        <v>221</v>
      </c>
      <c r="O218" t="s">
        <v>326</v>
      </c>
      <c r="P218">
        <v>0.10740513946309094</v>
      </c>
      <c r="Q218" t="s">
        <v>153</v>
      </c>
      <c r="S218" t="s">
        <v>263</v>
      </c>
      <c r="T218" t="s">
        <v>326</v>
      </c>
      <c r="U218">
        <v>9.5929598308148234E-2</v>
      </c>
      <c r="V218" t="s">
        <v>153</v>
      </c>
    </row>
    <row r="219" spans="9:22" x14ac:dyDescent="0.45">
      <c r="I219" t="s">
        <v>178</v>
      </c>
      <c r="J219" t="s">
        <v>327</v>
      </c>
      <c r="K219">
        <v>0</v>
      </c>
      <c r="L219" t="s">
        <v>153</v>
      </c>
      <c r="N219" t="s">
        <v>221</v>
      </c>
      <c r="O219" t="s">
        <v>327</v>
      </c>
      <c r="P219">
        <v>0.11977932485773869</v>
      </c>
      <c r="Q219" t="s">
        <v>153</v>
      </c>
      <c r="S219" t="s">
        <v>263</v>
      </c>
      <c r="T219" t="s">
        <v>327</v>
      </c>
      <c r="U219">
        <v>9.7061704176011315E-2</v>
      </c>
      <c r="V219" t="s">
        <v>153</v>
      </c>
    </row>
    <row r="220" spans="9:22" x14ac:dyDescent="0.45">
      <c r="I220" t="s">
        <v>178</v>
      </c>
      <c r="J220" t="s">
        <v>328</v>
      </c>
      <c r="K220">
        <v>2.0358039638184992E-2</v>
      </c>
      <c r="L220" t="s">
        <v>153</v>
      </c>
      <c r="N220" t="s">
        <v>221</v>
      </c>
      <c r="O220" t="s">
        <v>328</v>
      </c>
      <c r="P220">
        <v>2.4431566876051455E-2</v>
      </c>
      <c r="Q220" t="s">
        <v>153</v>
      </c>
      <c r="S220" t="s">
        <v>263</v>
      </c>
      <c r="T220" t="s">
        <v>328</v>
      </c>
      <c r="U220">
        <v>2.092145866622409E-2</v>
      </c>
      <c r="V220" t="s">
        <v>153</v>
      </c>
    </row>
    <row r="221" spans="9:22" x14ac:dyDescent="0.45">
      <c r="I221" t="s">
        <v>178</v>
      </c>
      <c r="J221" t="s">
        <v>329</v>
      </c>
      <c r="K221">
        <v>0.13179868069645115</v>
      </c>
      <c r="L221" t="s">
        <v>153</v>
      </c>
      <c r="N221" t="s">
        <v>221</v>
      </c>
      <c r="O221" t="s">
        <v>329</v>
      </c>
      <c r="P221">
        <v>0.10864264144376401</v>
      </c>
      <c r="Q221" t="s">
        <v>153</v>
      </c>
      <c r="S221" t="s">
        <v>263</v>
      </c>
      <c r="T221" t="s">
        <v>329</v>
      </c>
      <c r="U221">
        <v>0.12653567592103565</v>
      </c>
      <c r="V221" t="s">
        <v>153</v>
      </c>
    </row>
    <row r="222" spans="9:22" x14ac:dyDescent="0.45">
      <c r="I222" t="s">
        <v>178</v>
      </c>
      <c r="J222" t="s">
        <v>330</v>
      </c>
      <c r="K222">
        <v>0</v>
      </c>
      <c r="L222" t="s">
        <v>153</v>
      </c>
      <c r="N222" t="s">
        <v>221</v>
      </c>
      <c r="O222" t="s">
        <v>330</v>
      </c>
      <c r="P222">
        <v>0.1001027310116748</v>
      </c>
      <c r="Q222" t="s">
        <v>153</v>
      </c>
      <c r="S222" t="s">
        <v>263</v>
      </c>
      <c r="T222" t="s">
        <v>330</v>
      </c>
      <c r="U222">
        <v>0.13427851806894572</v>
      </c>
      <c r="V222" t="s">
        <v>153</v>
      </c>
    </row>
    <row r="223" spans="9:22" x14ac:dyDescent="0.45">
      <c r="I223" t="s">
        <v>178</v>
      </c>
      <c r="J223" t="s">
        <v>331</v>
      </c>
      <c r="K223">
        <v>8.408471561230162E-3</v>
      </c>
      <c r="L223" t="s">
        <v>153</v>
      </c>
      <c r="N223" t="s">
        <v>221</v>
      </c>
      <c r="O223" t="s">
        <v>331</v>
      </c>
      <c r="P223">
        <v>2.3069155898774653E-2</v>
      </c>
      <c r="Q223" t="s">
        <v>153</v>
      </c>
      <c r="S223" t="s">
        <v>263</v>
      </c>
      <c r="T223" t="s">
        <v>331</v>
      </c>
      <c r="U223">
        <v>2.3330381483031085E-2</v>
      </c>
      <c r="V223" t="s">
        <v>153</v>
      </c>
    </row>
    <row r="224" spans="9:22" x14ac:dyDescent="0.45">
      <c r="I224" t="s">
        <v>178</v>
      </c>
      <c r="J224" t="s">
        <v>332</v>
      </c>
      <c r="K224">
        <v>0.29987559557362281</v>
      </c>
      <c r="L224" t="s">
        <v>153</v>
      </c>
      <c r="N224" t="s">
        <v>221</v>
      </c>
      <c r="O224" t="s">
        <v>332</v>
      </c>
      <c r="P224">
        <v>0.10598952137344564</v>
      </c>
      <c r="Q224" t="s">
        <v>153</v>
      </c>
      <c r="S224" t="s">
        <v>263</v>
      </c>
      <c r="T224" t="s">
        <v>332</v>
      </c>
      <c r="U224">
        <v>0.11064977696393909</v>
      </c>
      <c r="V224" t="s">
        <v>153</v>
      </c>
    </row>
    <row r="225" spans="9:22" x14ac:dyDescent="0.45">
      <c r="I225" t="s">
        <v>178</v>
      </c>
      <c r="J225" t="s">
        <v>333</v>
      </c>
      <c r="K225">
        <v>9.9740454589743403E-3</v>
      </c>
      <c r="L225" t="s">
        <v>153</v>
      </c>
      <c r="N225" t="s">
        <v>221</v>
      </c>
      <c r="O225" t="s">
        <v>333</v>
      </c>
      <c r="P225">
        <v>9.3249925155259775E-2</v>
      </c>
      <c r="Q225" t="s">
        <v>153</v>
      </c>
      <c r="S225" t="s">
        <v>263</v>
      </c>
      <c r="T225" t="s">
        <v>333</v>
      </c>
      <c r="U225">
        <v>9.6755358171333697E-2</v>
      </c>
      <c r="V225" t="s">
        <v>153</v>
      </c>
    </row>
    <row r="226" spans="9:22" x14ac:dyDescent="0.45">
      <c r="I226" t="s">
        <v>178</v>
      </c>
      <c r="J226" t="s">
        <v>334</v>
      </c>
      <c r="K226">
        <v>4.6515321928231164E-2</v>
      </c>
      <c r="L226" t="s">
        <v>153</v>
      </c>
      <c r="N226" t="s">
        <v>221</v>
      </c>
      <c r="O226" t="s">
        <v>334</v>
      </c>
      <c r="P226">
        <v>2.5119621950788509E-2</v>
      </c>
      <c r="Q226" t="s">
        <v>153</v>
      </c>
      <c r="S226" t="s">
        <v>263</v>
      </c>
      <c r="T226" t="s">
        <v>334</v>
      </c>
      <c r="U226">
        <v>2.1627109755476215E-2</v>
      </c>
      <c r="V226" t="s">
        <v>153</v>
      </c>
    </row>
    <row r="227" spans="9:22" x14ac:dyDescent="0.45">
      <c r="I227" t="s">
        <v>179</v>
      </c>
      <c r="J227" t="s">
        <v>323</v>
      </c>
      <c r="K227">
        <v>0.26405207403162673</v>
      </c>
      <c r="L227" t="s">
        <v>153</v>
      </c>
      <c r="N227" t="s">
        <v>222</v>
      </c>
      <c r="O227" t="s">
        <v>323</v>
      </c>
      <c r="P227">
        <v>0.1535126473367919</v>
      </c>
      <c r="Q227" t="s">
        <v>153</v>
      </c>
      <c r="S227" t="s">
        <v>264</v>
      </c>
      <c r="T227" t="s">
        <v>323</v>
      </c>
      <c r="U227">
        <v>0.12158058866483402</v>
      </c>
      <c r="V227" t="s">
        <v>153</v>
      </c>
    </row>
    <row r="228" spans="9:22" x14ac:dyDescent="0.45">
      <c r="I228" t="s">
        <v>179</v>
      </c>
      <c r="J228" t="s">
        <v>324</v>
      </c>
      <c r="K228">
        <v>9.9449580439846036E-4</v>
      </c>
      <c r="L228" t="s">
        <v>153</v>
      </c>
      <c r="N228" t="s">
        <v>222</v>
      </c>
      <c r="O228" t="s">
        <v>324</v>
      </c>
      <c r="P228">
        <v>0.11825587249960287</v>
      </c>
      <c r="Q228" t="s">
        <v>153</v>
      </c>
      <c r="S228" t="s">
        <v>264</v>
      </c>
      <c r="T228" t="s">
        <v>324</v>
      </c>
      <c r="U228">
        <v>0.12696923854567754</v>
      </c>
      <c r="V228" t="s">
        <v>153</v>
      </c>
    </row>
    <row r="229" spans="9:22" x14ac:dyDescent="0.45">
      <c r="I229" t="s">
        <v>179</v>
      </c>
      <c r="J229" t="s">
        <v>325</v>
      </c>
      <c r="K229">
        <v>2.9205386056199625E-2</v>
      </c>
      <c r="L229" t="s">
        <v>153</v>
      </c>
      <c r="N229" t="s">
        <v>222</v>
      </c>
      <c r="O229" t="s">
        <v>325</v>
      </c>
      <c r="P229">
        <v>3.7817258060703726E-2</v>
      </c>
      <c r="Q229" t="s">
        <v>153</v>
      </c>
      <c r="S229" t="s">
        <v>264</v>
      </c>
      <c r="T229" t="s">
        <v>325</v>
      </c>
      <c r="U229">
        <v>2.4458053052250281E-2</v>
      </c>
      <c r="V229" t="s">
        <v>153</v>
      </c>
    </row>
    <row r="230" spans="9:22" x14ac:dyDescent="0.45">
      <c r="I230" t="s">
        <v>179</v>
      </c>
      <c r="J230" t="s">
        <v>326</v>
      </c>
      <c r="K230">
        <v>0.19108956689987264</v>
      </c>
      <c r="L230" t="s">
        <v>153</v>
      </c>
      <c r="N230" t="s">
        <v>222</v>
      </c>
      <c r="O230" t="s">
        <v>326</v>
      </c>
      <c r="P230">
        <v>0.110126179864596</v>
      </c>
      <c r="Q230" t="s">
        <v>153</v>
      </c>
      <c r="S230" t="s">
        <v>264</v>
      </c>
      <c r="T230" t="s">
        <v>326</v>
      </c>
      <c r="U230">
        <v>9.8089511040554564E-2</v>
      </c>
      <c r="V230" t="s">
        <v>153</v>
      </c>
    </row>
    <row r="231" spans="9:22" x14ac:dyDescent="0.45">
      <c r="I231" t="s">
        <v>179</v>
      </c>
      <c r="J231" t="s">
        <v>327</v>
      </c>
      <c r="K231">
        <v>0</v>
      </c>
      <c r="L231" t="s">
        <v>153</v>
      </c>
      <c r="N231" t="s">
        <v>222</v>
      </c>
      <c r="O231" t="s">
        <v>327</v>
      </c>
      <c r="P231">
        <v>0.11404256431017062</v>
      </c>
      <c r="Q231" t="s">
        <v>153</v>
      </c>
      <c r="S231" t="s">
        <v>264</v>
      </c>
      <c r="T231" t="s">
        <v>327</v>
      </c>
      <c r="U231">
        <v>9.6040654073556983E-2</v>
      </c>
      <c r="V231" t="s">
        <v>153</v>
      </c>
    </row>
    <row r="232" spans="9:22" x14ac:dyDescent="0.45">
      <c r="I232" t="s">
        <v>179</v>
      </c>
      <c r="J232" t="s">
        <v>328</v>
      </c>
      <c r="K232">
        <v>1.8387394983147488E-2</v>
      </c>
      <c r="L232" t="s">
        <v>153</v>
      </c>
      <c r="N232" t="s">
        <v>222</v>
      </c>
      <c r="O232" t="s">
        <v>328</v>
      </c>
      <c r="P232">
        <v>2.6428075588403668E-2</v>
      </c>
      <c r="Q232" t="s">
        <v>153</v>
      </c>
      <c r="S232" t="s">
        <v>264</v>
      </c>
      <c r="T232" t="s">
        <v>328</v>
      </c>
      <c r="U232">
        <v>1.8927442065926649E-2</v>
      </c>
      <c r="V232" t="s">
        <v>153</v>
      </c>
    </row>
    <row r="233" spans="9:22" x14ac:dyDescent="0.45">
      <c r="I233" t="s">
        <v>179</v>
      </c>
      <c r="J233" t="s">
        <v>329</v>
      </c>
      <c r="K233">
        <v>0.13409961882658988</v>
      </c>
      <c r="L233" t="s">
        <v>153</v>
      </c>
      <c r="N233" t="s">
        <v>222</v>
      </c>
      <c r="O233" t="s">
        <v>329</v>
      </c>
      <c r="P233">
        <v>0.10737856389665686</v>
      </c>
      <c r="Q233" t="s">
        <v>153</v>
      </c>
      <c r="S233" t="s">
        <v>264</v>
      </c>
      <c r="T233" t="s">
        <v>329</v>
      </c>
      <c r="U233">
        <v>0.13180407250452988</v>
      </c>
      <c r="V233" t="s">
        <v>153</v>
      </c>
    </row>
    <row r="234" spans="9:22" x14ac:dyDescent="0.45">
      <c r="I234" t="s">
        <v>179</v>
      </c>
      <c r="J234" t="s">
        <v>330</v>
      </c>
      <c r="K234">
        <v>0</v>
      </c>
      <c r="L234" t="s">
        <v>153</v>
      </c>
      <c r="N234" t="s">
        <v>222</v>
      </c>
      <c r="O234" t="s">
        <v>330</v>
      </c>
      <c r="P234">
        <v>8.8603339726388106E-2</v>
      </c>
      <c r="Q234" t="s">
        <v>153</v>
      </c>
      <c r="S234" t="s">
        <v>264</v>
      </c>
      <c r="T234" t="s">
        <v>330</v>
      </c>
      <c r="U234">
        <v>0.13086110787907093</v>
      </c>
      <c r="V234" t="s">
        <v>153</v>
      </c>
    </row>
    <row r="235" spans="9:22" x14ac:dyDescent="0.45">
      <c r="I235" t="s">
        <v>179</v>
      </c>
      <c r="J235" t="s">
        <v>331</v>
      </c>
      <c r="K235">
        <v>7.4191292979694711E-3</v>
      </c>
      <c r="L235" t="s">
        <v>153</v>
      </c>
      <c r="N235" t="s">
        <v>222</v>
      </c>
      <c r="O235" t="s">
        <v>331</v>
      </c>
      <c r="P235">
        <v>2.4580957234957051E-2</v>
      </c>
      <c r="Q235" t="s">
        <v>153</v>
      </c>
      <c r="S235" t="s">
        <v>264</v>
      </c>
      <c r="T235" t="s">
        <v>331</v>
      </c>
      <c r="U235">
        <v>2.3886267348651031E-2</v>
      </c>
      <c r="V235" t="s">
        <v>153</v>
      </c>
    </row>
    <row r="236" spans="9:22" x14ac:dyDescent="0.45">
      <c r="I236" t="s">
        <v>179</v>
      </c>
      <c r="J236" t="s">
        <v>332</v>
      </c>
      <c r="K236">
        <v>0.30103288940819822</v>
      </c>
      <c r="L236" t="s">
        <v>153</v>
      </c>
      <c r="N236" t="s">
        <v>222</v>
      </c>
      <c r="O236" t="s">
        <v>332</v>
      </c>
      <c r="P236">
        <v>0.10375821042239668</v>
      </c>
      <c r="Q236" t="s">
        <v>153</v>
      </c>
      <c r="S236" t="s">
        <v>264</v>
      </c>
      <c r="T236" t="s">
        <v>332</v>
      </c>
      <c r="U236">
        <v>0.10137527261928542</v>
      </c>
      <c r="V236" t="s">
        <v>153</v>
      </c>
    </row>
    <row r="237" spans="9:22" x14ac:dyDescent="0.45">
      <c r="I237" t="s">
        <v>179</v>
      </c>
      <c r="J237" t="s">
        <v>333</v>
      </c>
      <c r="K237">
        <v>9.7205415325059361E-3</v>
      </c>
      <c r="L237" t="s">
        <v>153</v>
      </c>
      <c r="N237" t="s">
        <v>222</v>
      </c>
      <c r="O237" t="s">
        <v>333</v>
      </c>
      <c r="P237">
        <v>8.5620174424567E-2</v>
      </c>
      <c r="Q237" t="s">
        <v>153</v>
      </c>
      <c r="S237" t="s">
        <v>264</v>
      </c>
      <c r="T237" t="s">
        <v>333</v>
      </c>
      <c r="U237">
        <v>0.10512813125834172</v>
      </c>
      <c r="V237" t="s">
        <v>153</v>
      </c>
    </row>
    <row r="238" spans="9:22" x14ac:dyDescent="0.45">
      <c r="I238" t="s">
        <v>179</v>
      </c>
      <c r="J238" t="s">
        <v>334</v>
      </c>
      <c r="K238">
        <v>4.399890315948983E-2</v>
      </c>
      <c r="L238" t="s">
        <v>153</v>
      </c>
      <c r="N238" t="s">
        <v>222</v>
      </c>
      <c r="O238" t="s">
        <v>334</v>
      </c>
      <c r="P238">
        <v>2.9876156634768794E-2</v>
      </c>
      <c r="Q238" t="s">
        <v>153</v>
      </c>
      <c r="S238" t="s">
        <v>264</v>
      </c>
      <c r="T238" t="s">
        <v>334</v>
      </c>
      <c r="U238">
        <v>2.0879660947323578E-2</v>
      </c>
      <c r="V238" t="s">
        <v>153</v>
      </c>
    </row>
    <row r="239" spans="9:22" x14ac:dyDescent="0.45">
      <c r="I239" t="s">
        <v>180</v>
      </c>
      <c r="J239" t="s">
        <v>323</v>
      </c>
      <c r="K239">
        <v>0.26940864149335053</v>
      </c>
      <c r="L239" t="s">
        <v>153</v>
      </c>
      <c r="N239" t="s">
        <v>223</v>
      </c>
      <c r="O239" t="s">
        <v>323</v>
      </c>
      <c r="P239">
        <v>0.11537040072446468</v>
      </c>
      <c r="Q239" t="s">
        <v>153</v>
      </c>
      <c r="S239" t="s">
        <v>265</v>
      </c>
      <c r="T239" t="s">
        <v>323</v>
      </c>
      <c r="U239">
        <v>0.1240992562708849</v>
      </c>
      <c r="V239" t="s">
        <v>153</v>
      </c>
    </row>
    <row r="240" spans="9:22" x14ac:dyDescent="0.45">
      <c r="I240" t="s">
        <v>180</v>
      </c>
      <c r="J240" t="s">
        <v>324</v>
      </c>
      <c r="K240">
        <v>2.5925227285638636E-3</v>
      </c>
      <c r="L240" t="s">
        <v>153</v>
      </c>
      <c r="N240" t="s">
        <v>223</v>
      </c>
      <c r="O240" t="s">
        <v>324</v>
      </c>
      <c r="P240">
        <v>0.17537443966401264</v>
      </c>
      <c r="Q240" t="s">
        <v>153</v>
      </c>
      <c r="S240" t="s">
        <v>265</v>
      </c>
      <c r="T240" t="s">
        <v>324</v>
      </c>
      <c r="U240">
        <v>0.11781605686790711</v>
      </c>
      <c r="V240" t="s">
        <v>153</v>
      </c>
    </row>
    <row r="241" spans="9:22" x14ac:dyDescent="0.45">
      <c r="I241" t="s">
        <v>180</v>
      </c>
      <c r="J241" t="s">
        <v>325</v>
      </c>
      <c r="K241">
        <v>2.6314220804285297E-2</v>
      </c>
      <c r="L241" t="s">
        <v>153</v>
      </c>
      <c r="N241" t="s">
        <v>223</v>
      </c>
      <c r="O241" t="s">
        <v>325</v>
      </c>
      <c r="P241">
        <v>2.7842933905268517E-2</v>
      </c>
      <c r="Q241" t="s">
        <v>153</v>
      </c>
      <c r="S241" t="s">
        <v>265</v>
      </c>
      <c r="T241" t="s">
        <v>325</v>
      </c>
      <c r="U241">
        <v>2.3701865598398562E-2</v>
      </c>
      <c r="V241" t="s">
        <v>153</v>
      </c>
    </row>
    <row r="242" spans="9:22" x14ac:dyDescent="0.45">
      <c r="I242" t="s">
        <v>180</v>
      </c>
      <c r="J242" t="s">
        <v>326</v>
      </c>
      <c r="K242">
        <v>0.19025304738972634</v>
      </c>
      <c r="L242" t="s">
        <v>153</v>
      </c>
      <c r="N242" t="s">
        <v>223</v>
      </c>
      <c r="O242" t="s">
        <v>326</v>
      </c>
      <c r="P242">
        <v>6.8971968811049569E-2</v>
      </c>
      <c r="Q242" t="s">
        <v>153</v>
      </c>
      <c r="S242" t="s">
        <v>265</v>
      </c>
      <c r="T242" t="s">
        <v>326</v>
      </c>
      <c r="U242">
        <v>9.4844144631852034E-2</v>
      </c>
      <c r="V242" t="s">
        <v>153</v>
      </c>
    </row>
    <row r="243" spans="9:22" x14ac:dyDescent="0.45">
      <c r="I243" t="s">
        <v>180</v>
      </c>
      <c r="J243" t="s">
        <v>327</v>
      </c>
      <c r="K243">
        <v>0</v>
      </c>
      <c r="L243" t="s">
        <v>153</v>
      </c>
      <c r="N243" t="s">
        <v>223</v>
      </c>
      <c r="O243" t="s">
        <v>327</v>
      </c>
      <c r="P243">
        <v>0.11577276673785812</v>
      </c>
      <c r="Q243" t="s">
        <v>153</v>
      </c>
      <c r="S243" t="s">
        <v>265</v>
      </c>
      <c r="T243" t="s">
        <v>327</v>
      </c>
      <c r="U243">
        <v>8.765256832288161E-2</v>
      </c>
      <c r="V243" t="s">
        <v>153</v>
      </c>
    </row>
    <row r="244" spans="9:22" x14ac:dyDescent="0.45">
      <c r="I244" t="s">
        <v>180</v>
      </c>
      <c r="J244" t="s">
        <v>328</v>
      </c>
      <c r="K244">
        <v>1.5546241038741533E-2</v>
      </c>
      <c r="L244" t="s">
        <v>153</v>
      </c>
      <c r="N244" t="s">
        <v>223</v>
      </c>
      <c r="O244" t="s">
        <v>328</v>
      </c>
      <c r="P244">
        <v>1.615796863473256E-2</v>
      </c>
      <c r="Q244" t="s">
        <v>153</v>
      </c>
      <c r="S244" t="s">
        <v>265</v>
      </c>
      <c r="T244" t="s">
        <v>328</v>
      </c>
      <c r="U244">
        <v>1.9062184887453971E-2</v>
      </c>
      <c r="V244" t="s">
        <v>153</v>
      </c>
    </row>
    <row r="245" spans="9:22" x14ac:dyDescent="0.45">
      <c r="I245" t="s">
        <v>180</v>
      </c>
      <c r="J245" t="s">
        <v>329</v>
      </c>
      <c r="K245">
        <v>0.1382346005808141</v>
      </c>
      <c r="L245" t="s">
        <v>153</v>
      </c>
      <c r="N245" t="s">
        <v>223</v>
      </c>
      <c r="O245" t="s">
        <v>329</v>
      </c>
      <c r="P245">
        <v>8.3553288156800756E-2</v>
      </c>
      <c r="Q245" t="s">
        <v>153</v>
      </c>
      <c r="S245" t="s">
        <v>265</v>
      </c>
      <c r="T245" t="s">
        <v>329</v>
      </c>
      <c r="U245">
        <v>0.13763763276324475</v>
      </c>
      <c r="V245" t="s">
        <v>153</v>
      </c>
    </row>
    <row r="246" spans="9:22" x14ac:dyDescent="0.45">
      <c r="I246" t="s">
        <v>180</v>
      </c>
      <c r="J246" t="s">
        <v>330</v>
      </c>
      <c r="K246">
        <v>0</v>
      </c>
      <c r="L246" t="s">
        <v>153</v>
      </c>
      <c r="N246" t="s">
        <v>223</v>
      </c>
      <c r="O246" t="s">
        <v>330</v>
      </c>
      <c r="P246">
        <v>0.1102822966403572</v>
      </c>
      <c r="Q246" t="s">
        <v>153</v>
      </c>
      <c r="S246" t="s">
        <v>265</v>
      </c>
      <c r="T246" t="s">
        <v>330</v>
      </c>
      <c r="U246">
        <v>0.13399435141916427</v>
      </c>
      <c r="V246" t="s">
        <v>153</v>
      </c>
    </row>
    <row r="247" spans="9:22" x14ac:dyDescent="0.45">
      <c r="I247" t="s">
        <v>180</v>
      </c>
      <c r="J247" t="s">
        <v>331</v>
      </c>
      <c r="K247">
        <v>5.9720856620305331E-3</v>
      </c>
      <c r="L247" t="s">
        <v>153</v>
      </c>
      <c r="N247" t="s">
        <v>223</v>
      </c>
      <c r="O247" t="s">
        <v>331</v>
      </c>
      <c r="P247">
        <v>1.5737648104080064E-2</v>
      </c>
      <c r="Q247" t="s">
        <v>153</v>
      </c>
      <c r="S247" t="s">
        <v>265</v>
      </c>
      <c r="T247" t="s">
        <v>331</v>
      </c>
      <c r="U247">
        <v>2.4650580529238398E-2</v>
      </c>
      <c r="V247" t="s">
        <v>153</v>
      </c>
    </row>
    <row r="248" spans="9:22" x14ac:dyDescent="0.45">
      <c r="I248" t="s">
        <v>180</v>
      </c>
      <c r="J248" t="s">
        <v>332</v>
      </c>
      <c r="K248">
        <v>0.30367722055056612</v>
      </c>
      <c r="L248" t="s">
        <v>153</v>
      </c>
      <c r="N248" t="s">
        <v>223</v>
      </c>
      <c r="O248" t="s">
        <v>332</v>
      </c>
      <c r="P248">
        <v>0.10555752387598484</v>
      </c>
      <c r="Q248" t="s">
        <v>153</v>
      </c>
      <c r="S248" t="s">
        <v>265</v>
      </c>
      <c r="T248" t="s">
        <v>332</v>
      </c>
      <c r="U248">
        <v>0.11321190295158549</v>
      </c>
      <c r="V248" t="s">
        <v>153</v>
      </c>
    </row>
    <row r="249" spans="9:22" x14ac:dyDescent="0.45">
      <c r="I249" t="s">
        <v>180</v>
      </c>
      <c r="J249" t="s">
        <v>333</v>
      </c>
      <c r="K249">
        <v>6.8751560061532119E-3</v>
      </c>
      <c r="L249" t="s">
        <v>153</v>
      </c>
      <c r="N249" t="s">
        <v>223</v>
      </c>
      <c r="O249" t="s">
        <v>333</v>
      </c>
      <c r="P249">
        <v>0.14290136073729245</v>
      </c>
      <c r="Q249" t="s">
        <v>153</v>
      </c>
      <c r="S249" t="s">
        <v>265</v>
      </c>
      <c r="T249" t="s">
        <v>333</v>
      </c>
      <c r="U249">
        <v>0.10073158364558335</v>
      </c>
      <c r="V249" t="s">
        <v>153</v>
      </c>
    </row>
    <row r="250" spans="9:22" x14ac:dyDescent="0.45">
      <c r="I250" t="s">
        <v>180</v>
      </c>
      <c r="J250" t="s">
        <v>334</v>
      </c>
      <c r="K250">
        <v>4.1126263745768082E-2</v>
      </c>
      <c r="L250" t="s">
        <v>153</v>
      </c>
      <c r="N250" t="s">
        <v>223</v>
      </c>
      <c r="O250" t="s">
        <v>334</v>
      </c>
      <c r="P250">
        <v>2.2477404008100523E-2</v>
      </c>
      <c r="Q250" t="s">
        <v>153</v>
      </c>
      <c r="S250" t="s">
        <v>265</v>
      </c>
      <c r="T250" t="s">
        <v>334</v>
      </c>
      <c r="U250">
        <v>2.2597872111808023E-2</v>
      </c>
      <c r="V250" t="s">
        <v>153</v>
      </c>
    </row>
    <row r="251" spans="9:22" x14ac:dyDescent="0.45">
      <c r="I251" t="s">
        <v>181</v>
      </c>
      <c r="J251" t="s">
        <v>323</v>
      </c>
      <c r="K251">
        <v>0.26843655221703544</v>
      </c>
      <c r="L251" t="s">
        <v>153</v>
      </c>
      <c r="N251" t="s">
        <v>224</v>
      </c>
      <c r="O251" t="s">
        <v>323</v>
      </c>
      <c r="P251">
        <v>0.10792652267724345</v>
      </c>
      <c r="Q251" t="s">
        <v>153</v>
      </c>
    </row>
    <row r="252" spans="9:22" x14ac:dyDescent="0.45">
      <c r="I252" t="s">
        <v>181</v>
      </c>
      <c r="J252" t="s">
        <v>324</v>
      </c>
      <c r="K252">
        <v>1.3635688540520026E-3</v>
      </c>
      <c r="L252" t="s">
        <v>153</v>
      </c>
      <c r="N252" t="s">
        <v>224</v>
      </c>
      <c r="O252" t="s">
        <v>324</v>
      </c>
      <c r="P252">
        <v>0.16042686887984309</v>
      </c>
      <c r="Q252" t="s">
        <v>153</v>
      </c>
    </row>
    <row r="253" spans="9:22" x14ac:dyDescent="0.45">
      <c r="I253" t="s">
        <v>181</v>
      </c>
      <c r="J253" t="s">
        <v>325</v>
      </c>
      <c r="K253">
        <v>2.8553925699807994E-2</v>
      </c>
      <c r="L253" t="s">
        <v>153</v>
      </c>
      <c r="N253" t="s">
        <v>224</v>
      </c>
      <c r="O253" t="s">
        <v>325</v>
      </c>
      <c r="P253">
        <v>2.6290844303666475E-2</v>
      </c>
      <c r="Q253" t="s">
        <v>153</v>
      </c>
    </row>
    <row r="254" spans="9:22" x14ac:dyDescent="0.45">
      <c r="I254" t="s">
        <v>181</v>
      </c>
      <c r="J254" t="s">
        <v>326</v>
      </c>
      <c r="K254">
        <v>0.19075524208252179</v>
      </c>
      <c r="L254" t="s">
        <v>153</v>
      </c>
      <c r="N254" t="s">
        <v>224</v>
      </c>
      <c r="O254" t="s">
        <v>326</v>
      </c>
      <c r="P254">
        <v>7.6129558989157173E-2</v>
      </c>
      <c r="Q254" t="s">
        <v>153</v>
      </c>
    </row>
    <row r="255" spans="9:22" x14ac:dyDescent="0.45">
      <c r="I255" t="s">
        <v>181</v>
      </c>
      <c r="J255" t="s">
        <v>327</v>
      </c>
      <c r="K255">
        <v>0</v>
      </c>
      <c r="L255" t="s">
        <v>153</v>
      </c>
      <c r="N255" t="s">
        <v>224</v>
      </c>
      <c r="O255" t="s">
        <v>327</v>
      </c>
      <c r="P255">
        <v>0.11868042780446701</v>
      </c>
      <c r="Q255" t="s">
        <v>153</v>
      </c>
    </row>
    <row r="256" spans="9:22" x14ac:dyDescent="0.45">
      <c r="I256" t="s">
        <v>181</v>
      </c>
      <c r="J256" t="s">
        <v>328</v>
      </c>
      <c r="K256">
        <v>1.776043499865923E-2</v>
      </c>
      <c r="L256" t="s">
        <v>153</v>
      </c>
      <c r="N256" t="s">
        <v>224</v>
      </c>
      <c r="O256" t="s">
        <v>328</v>
      </c>
      <c r="P256">
        <v>1.8965588488903892E-2</v>
      </c>
      <c r="Q256" t="s">
        <v>153</v>
      </c>
    </row>
    <row r="257" spans="9:17" x14ac:dyDescent="0.45">
      <c r="I257" t="s">
        <v>181</v>
      </c>
      <c r="J257" t="s">
        <v>329</v>
      </c>
      <c r="K257">
        <v>0.13834659795159807</v>
      </c>
      <c r="L257" t="s">
        <v>153</v>
      </c>
      <c r="N257" t="s">
        <v>224</v>
      </c>
      <c r="O257" t="s">
        <v>329</v>
      </c>
      <c r="P257">
        <v>8.1150198192832049E-2</v>
      </c>
      <c r="Q257" t="s">
        <v>153</v>
      </c>
    </row>
    <row r="258" spans="9:17" x14ac:dyDescent="0.45">
      <c r="I258" t="s">
        <v>181</v>
      </c>
      <c r="J258" t="s">
        <v>330</v>
      </c>
      <c r="K258">
        <v>0</v>
      </c>
      <c r="L258" t="s">
        <v>153</v>
      </c>
      <c r="N258" t="s">
        <v>224</v>
      </c>
      <c r="O258" t="s">
        <v>330</v>
      </c>
      <c r="P258">
        <v>0.1357193324839763</v>
      </c>
      <c r="Q258" t="s">
        <v>153</v>
      </c>
    </row>
    <row r="259" spans="9:17" x14ac:dyDescent="0.45">
      <c r="I259" t="s">
        <v>181</v>
      </c>
      <c r="J259" t="s">
        <v>331</v>
      </c>
      <c r="K259">
        <v>7.3758752404174573E-3</v>
      </c>
      <c r="L259" t="s">
        <v>153</v>
      </c>
      <c r="N259" t="s">
        <v>224</v>
      </c>
      <c r="O259" t="s">
        <v>331</v>
      </c>
      <c r="P259">
        <v>2.0763079000533455E-2</v>
      </c>
      <c r="Q259" t="s">
        <v>153</v>
      </c>
    </row>
    <row r="260" spans="9:17" x14ac:dyDescent="0.45">
      <c r="I260" t="s">
        <v>181</v>
      </c>
      <c r="J260" t="s">
        <v>332</v>
      </c>
      <c r="K260">
        <v>0.29856567092254022</v>
      </c>
      <c r="L260" t="s">
        <v>153</v>
      </c>
      <c r="N260" t="s">
        <v>224</v>
      </c>
      <c r="O260" t="s">
        <v>332</v>
      </c>
      <c r="P260">
        <v>9.761422055694606E-2</v>
      </c>
      <c r="Q260" t="s">
        <v>153</v>
      </c>
    </row>
    <row r="261" spans="9:17" x14ac:dyDescent="0.45">
      <c r="I261" t="s">
        <v>181</v>
      </c>
      <c r="J261" t="s">
        <v>333</v>
      </c>
      <c r="K261">
        <v>7.7593386693489029E-3</v>
      </c>
      <c r="L261" t="s">
        <v>153</v>
      </c>
      <c r="N261" t="s">
        <v>224</v>
      </c>
      <c r="O261" t="s">
        <v>333</v>
      </c>
      <c r="P261">
        <v>0.13422364059946693</v>
      </c>
      <c r="Q261" t="s">
        <v>153</v>
      </c>
    </row>
    <row r="262" spans="9:17" x14ac:dyDescent="0.45">
      <c r="I262" t="s">
        <v>181</v>
      </c>
      <c r="J262" t="s">
        <v>334</v>
      </c>
      <c r="K262">
        <v>4.1082793364019973E-2</v>
      </c>
      <c r="L262" t="s">
        <v>153</v>
      </c>
      <c r="N262" t="s">
        <v>224</v>
      </c>
      <c r="O262" t="s">
        <v>334</v>
      </c>
      <c r="P262">
        <v>2.2109718022968412E-2</v>
      </c>
      <c r="Q262" t="s">
        <v>153</v>
      </c>
    </row>
    <row r="263" spans="9:17" x14ac:dyDescent="0.45">
      <c r="I263" t="s">
        <v>182</v>
      </c>
      <c r="J263" t="s">
        <v>323</v>
      </c>
      <c r="K263">
        <v>0.2501828497929473</v>
      </c>
      <c r="L263" t="s">
        <v>153</v>
      </c>
      <c r="N263" t="s">
        <v>225</v>
      </c>
      <c r="O263" t="s">
        <v>323</v>
      </c>
      <c r="P263">
        <v>0.11270578986945395</v>
      </c>
      <c r="Q263" t="s">
        <v>153</v>
      </c>
    </row>
    <row r="264" spans="9:17" x14ac:dyDescent="0.45">
      <c r="I264" t="s">
        <v>182</v>
      </c>
      <c r="J264" t="s">
        <v>324</v>
      </c>
      <c r="K264">
        <v>0</v>
      </c>
      <c r="L264" t="s">
        <v>153</v>
      </c>
      <c r="N264" t="s">
        <v>225</v>
      </c>
      <c r="O264" t="s">
        <v>324</v>
      </c>
      <c r="P264">
        <v>0.22832035525026062</v>
      </c>
      <c r="Q264" t="s">
        <v>153</v>
      </c>
    </row>
    <row r="265" spans="9:17" x14ac:dyDescent="0.45">
      <c r="I265" t="s">
        <v>182</v>
      </c>
      <c r="J265" t="s">
        <v>325</v>
      </c>
      <c r="K265">
        <v>2.8964254223825699E-2</v>
      </c>
      <c r="L265" t="s">
        <v>153</v>
      </c>
      <c r="N265" t="s">
        <v>225</v>
      </c>
      <c r="O265" t="s">
        <v>325</v>
      </c>
      <c r="P265">
        <v>3.6123571297668501E-2</v>
      </c>
      <c r="Q265" t="s">
        <v>153</v>
      </c>
    </row>
    <row r="266" spans="9:17" x14ac:dyDescent="0.45">
      <c r="I266" t="s">
        <v>182</v>
      </c>
      <c r="J266" t="s">
        <v>326</v>
      </c>
      <c r="K266">
        <v>0.2215553408150554</v>
      </c>
      <c r="L266" t="s">
        <v>153</v>
      </c>
      <c r="N266" t="s">
        <v>225</v>
      </c>
      <c r="O266" t="s">
        <v>326</v>
      </c>
      <c r="P266">
        <v>5.0757134666524963E-2</v>
      </c>
      <c r="Q266" t="s">
        <v>153</v>
      </c>
    </row>
    <row r="267" spans="9:17" x14ac:dyDescent="0.45">
      <c r="I267" t="s">
        <v>182</v>
      </c>
      <c r="J267" t="s">
        <v>327</v>
      </c>
      <c r="K267">
        <v>0</v>
      </c>
      <c r="L267" t="s">
        <v>153</v>
      </c>
      <c r="N267" t="s">
        <v>225</v>
      </c>
      <c r="O267" t="s">
        <v>327</v>
      </c>
      <c r="P267">
        <v>0.10382680569717063</v>
      </c>
      <c r="Q267" t="s">
        <v>153</v>
      </c>
    </row>
    <row r="268" spans="9:17" x14ac:dyDescent="0.45">
      <c r="I268" t="s">
        <v>182</v>
      </c>
      <c r="J268" t="s">
        <v>328</v>
      </c>
      <c r="K268">
        <v>2.4252479640780252E-2</v>
      </c>
      <c r="L268" t="s">
        <v>153</v>
      </c>
      <c r="N268" t="s">
        <v>225</v>
      </c>
      <c r="O268" t="s">
        <v>328</v>
      </c>
      <c r="P268">
        <v>1.5487899086905448E-2</v>
      </c>
      <c r="Q268" t="s">
        <v>153</v>
      </c>
    </row>
    <row r="269" spans="9:17" x14ac:dyDescent="0.45">
      <c r="I269" t="s">
        <v>182</v>
      </c>
      <c r="J269" t="s">
        <v>329</v>
      </c>
      <c r="K269">
        <v>0.18419451138455223</v>
      </c>
      <c r="L269" t="s">
        <v>153</v>
      </c>
      <c r="N269" t="s">
        <v>225</v>
      </c>
      <c r="O269" t="s">
        <v>329</v>
      </c>
      <c r="P269">
        <v>7.8594412490999993E-2</v>
      </c>
      <c r="Q269" t="s">
        <v>153</v>
      </c>
    </row>
    <row r="270" spans="9:17" x14ac:dyDescent="0.45">
      <c r="I270" t="s">
        <v>182</v>
      </c>
      <c r="J270" t="s">
        <v>330</v>
      </c>
      <c r="K270">
        <v>0</v>
      </c>
      <c r="L270" t="s">
        <v>153</v>
      </c>
      <c r="N270" t="s">
        <v>225</v>
      </c>
      <c r="O270" t="s">
        <v>330</v>
      </c>
      <c r="P270">
        <v>0.125117319050326</v>
      </c>
      <c r="Q270" t="s">
        <v>153</v>
      </c>
    </row>
    <row r="271" spans="9:17" x14ac:dyDescent="0.45">
      <c r="I271" t="s">
        <v>182</v>
      </c>
      <c r="J271" t="s">
        <v>331</v>
      </c>
      <c r="K271">
        <v>1.5796288754692769E-2</v>
      </c>
      <c r="L271" t="s">
        <v>153</v>
      </c>
      <c r="N271" t="s">
        <v>225</v>
      </c>
      <c r="O271" t="s">
        <v>331</v>
      </c>
      <c r="P271">
        <v>2.1357152091243337E-2</v>
      </c>
      <c r="Q271" t="s">
        <v>153</v>
      </c>
    </row>
    <row r="272" spans="9:17" x14ac:dyDescent="0.45">
      <c r="I272" t="s">
        <v>182</v>
      </c>
      <c r="J272" t="s">
        <v>332</v>
      </c>
      <c r="K272">
        <v>0.23603925791410491</v>
      </c>
      <c r="L272" t="s">
        <v>153</v>
      </c>
      <c r="N272" t="s">
        <v>225</v>
      </c>
      <c r="O272" t="s">
        <v>332</v>
      </c>
      <c r="P272">
        <v>6.4267609549337898E-2</v>
      </c>
      <c r="Q272" t="s">
        <v>153</v>
      </c>
    </row>
    <row r="273" spans="9:17" x14ac:dyDescent="0.45">
      <c r="I273" t="s">
        <v>182</v>
      </c>
      <c r="J273" t="s">
        <v>333</v>
      </c>
      <c r="K273">
        <v>5.864085291702667E-3</v>
      </c>
      <c r="L273" t="s">
        <v>153</v>
      </c>
      <c r="N273" t="s">
        <v>225</v>
      </c>
      <c r="O273" t="s">
        <v>333</v>
      </c>
      <c r="P273">
        <v>0.14181376590998035</v>
      </c>
      <c r="Q273" t="s">
        <v>153</v>
      </c>
    </row>
    <row r="274" spans="9:17" x14ac:dyDescent="0.45">
      <c r="I274" t="s">
        <v>182</v>
      </c>
      <c r="J274" t="s">
        <v>334</v>
      </c>
      <c r="K274">
        <v>3.3150932182339464E-2</v>
      </c>
      <c r="L274" t="s">
        <v>153</v>
      </c>
      <c r="N274" t="s">
        <v>225</v>
      </c>
      <c r="O274" t="s">
        <v>334</v>
      </c>
      <c r="P274">
        <v>2.1628185040128197E-2</v>
      </c>
      <c r="Q274" t="s">
        <v>153</v>
      </c>
    </row>
    <row r="275" spans="9:17" x14ac:dyDescent="0.45">
      <c r="I275" t="s">
        <v>183</v>
      </c>
      <c r="J275" t="s">
        <v>323</v>
      </c>
      <c r="K275">
        <v>0.25039106939464206</v>
      </c>
      <c r="L275" t="s">
        <v>153</v>
      </c>
      <c r="N275" t="s">
        <v>226</v>
      </c>
      <c r="O275" t="s">
        <v>323</v>
      </c>
      <c r="P275">
        <v>0.11555164352509793</v>
      </c>
      <c r="Q275" t="s">
        <v>153</v>
      </c>
    </row>
    <row r="276" spans="9:17" x14ac:dyDescent="0.45">
      <c r="I276" t="s">
        <v>183</v>
      </c>
      <c r="J276" t="s">
        <v>324</v>
      </c>
      <c r="K276">
        <v>0</v>
      </c>
      <c r="L276" t="s">
        <v>153</v>
      </c>
      <c r="N276" t="s">
        <v>226</v>
      </c>
      <c r="O276" t="s">
        <v>324</v>
      </c>
      <c r="P276">
        <v>0.20837941789813805</v>
      </c>
      <c r="Q276" t="s">
        <v>153</v>
      </c>
    </row>
    <row r="277" spans="9:17" x14ac:dyDescent="0.45">
      <c r="I277" t="s">
        <v>183</v>
      </c>
      <c r="J277" t="s">
        <v>325</v>
      </c>
      <c r="K277">
        <v>2.854267944552781E-2</v>
      </c>
      <c r="L277" t="s">
        <v>153</v>
      </c>
      <c r="N277" t="s">
        <v>226</v>
      </c>
      <c r="O277" t="s">
        <v>325</v>
      </c>
      <c r="P277">
        <v>2.5426649468314182E-2</v>
      </c>
      <c r="Q277" t="s">
        <v>153</v>
      </c>
    </row>
    <row r="278" spans="9:17" x14ac:dyDescent="0.45">
      <c r="I278" t="s">
        <v>183</v>
      </c>
      <c r="J278" t="s">
        <v>326</v>
      </c>
      <c r="K278">
        <v>0.22268141456899532</v>
      </c>
      <c r="L278" t="s">
        <v>153</v>
      </c>
      <c r="N278" t="s">
        <v>226</v>
      </c>
      <c r="O278" t="s">
        <v>326</v>
      </c>
      <c r="P278">
        <v>6.0208791008285655E-2</v>
      </c>
      <c r="Q278" t="s">
        <v>153</v>
      </c>
    </row>
    <row r="279" spans="9:17" x14ac:dyDescent="0.45">
      <c r="I279" t="s">
        <v>183</v>
      </c>
      <c r="J279" t="s">
        <v>327</v>
      </c>
      <c r="K279">
        <v>0</v>
      </c>
      <c r="L279" t="s">
        <v>153</v>
      </c>
      <c r="N279" t="s">
        <v>226</v>
      </c>
      <c r="O279" t="s">
        <v>327</v>
      </c>
      <c r="P279">
        <v>0.12219396706884733</v>
      </c>
      <c r="Q279" t="s">
        <v>153</v>
      </c>
    </row>
    <row r="280" spans="9:17" x14ac:dyDescent="0.45">
      <c r="I280" t="s">
        <v>183</v>
      </c>
      <c r="J280" t="s">
        <v>328</v>
      </c>
      <c r="K280">
        <v>2.3170431300406493E-2</v>
      </c>
      <c r="L280" t="s">
        <v>153</v>
      </c>
      <c r="N280" t="s">
        <v>226</v>
      </c>
      <c r="O280" t="s">
        <v>328</v>
      </c>
      <c r="P280">
        <v>1.0913744341656822E-2</v>
      </c>
      <c r="Q280" t="s">
        <v>153</v>
      </c>
    </row>
    <row r="281" spans="9:17" x14ac:dyDescent="0.45">
      <c r="I281" t="s">
        <v>183</v>
      </c>
      <c r="J281" t="s">
        <v>329</v>
      </c>
      <c r="K281">
        <v>0.18600650706604208</v>
      </c>
      <c r="L281" t="s">
        <v>153</v>
      </c>
      <c r="N281" t="s">
        <v>226</v>
      </c>
      <c r="O281" t="s">
        <v>329</v>
      </c>
      <c r="P281">
        <v>7.5111005416414064E-2</v>
      </c>
      <c r="Q281" t="s">
        <v>153</v>
      </c>
    </row>
    <row r="282" spans="9:17" x14ac:dyDescent="0.45">
      <c r="I282" t="s">
        <v>183</v>
      </c>
      <c r="J282" t="s">
        <v>330</v>
      </c>
      <c r="K282">
        <v>0</v>
      </c>
      <c r="L282" t="s">
        <v>153</v>
      </c>
      <c r="N282" t="s">
        <v>226</v>
      </c>
      <c r="O282" t="s">
        <v>330</v>
      </c>
      <c r="P282">
        <v>0.12684872411622661</v>
      </c>
      <c r="Q282" t="s">
        <v>153</v>
      </c>
    </row>
    <row r="283" spans="9:17" x14ac:dyDescent="0.45">
      <c r="I283" t="s">
        <v>183</v>
      </c>
      <c r="J283" t="s">
        <v>331</v>
      </c>
      <c r="K283">
        <v>1.6210260725544864E-2</v>
      </c>
      <c r="L283" t="s">
        <v>153</v>
      </c>
      <c r="N283" t="s">
        <v>226</v>
      </c>
      <c r="O283" t="s">
        <v>331</v>
      </c>
      <c r="P283">
        <v>1.5104348828154672E-2</v>
      </c>
      <c r="Q283" t="s">
        <v>153</v>
      </c>
    </row>
    <row r="284" spans="9:17" x14ac:dyDescent="0.45">
      <c r="I284" t="s">
        <v>183</v>
      </c>
      <c r="J284" t="s">
        <v>332</v>
      </c>
      <c r="K284">
        <v>0.23547741635747679</v>
      </c>
      <c r="L284" t="s">
        <v>153</v>
      </c>
      <c r="N284" t="s">
        <v>226</v>
      </c>
      <c r="O284" t="s">
        <v>332</v>
      </c>
      <c r="P284">
        <v>7.9633618079508375E-2</v>
      </c>
      <c r="Q284" t="s">
        <v>153</v>
      </c>
    </row>
    <row r="285" spans="9:17" x14ac:dyDescent="0.45">
      <c r="I285" t="s">
        <v>183</v>
      </c>
      <c r="J285" t="s">
        <v>333</v>
      </c>
      <c r="K285">
        <v>5.435624758591902E-3</v>
      </c>
      <c r="L285" t="s">
        <v>153</v>
      </c>
      <c r="N285" t="s">
        <v>226</v>
      </c>
      <c r="O285" t="s">
        <v>333</v>
      </c>
      <c r="P285">
        <v>0.14371394505170271</v>
      </c>
      <c r="Q285" t="s">
        <v>153</v>
      </c>
    </row>
    <row r="286" spans="9:17" x14ac:dyDescent="0.45">
      <c r="I286" t="s">
        <v>183</v>
      </c>
      <c r="J286" t="s">
        <v>334</v>
      </c>
      <c r="K286">
        <v>3.2084596382773237E-2</v>
      </c>
      <c r="L286" t="s">
        <v>153</v>
      </c>
      <c r="N286" t="s">
        <v>226</v>
      </c>
      <c r="O286" t="s">
        <v>334</v>
      </c>
      <c r="P286">
        <v>1.6914145197655883E-2</v>
      </c>
      <c r="Q286" t="s">
        <v>153</v>
      </c>
    </row>
    <row r="287" spans="9:17" x14ac:dyDescent="0.45">
      <c r="I287" t="s">
        <v>184</v>
      </c>
      <c r="J287" t="s">
        <v>323</v>
      </c>
      <c r="K287">
        <v>0.25169510861116051</v>
      </c>
      <c r="L287" t="s">
        <v>153</v>
      </c>
      <c r="N287" t="s">
        <v>227</v>
      </c>
      <c r="O287" t="s">
        <v>323</v>
      </c>
      <c r="P287">
        <v>0.12297998261049065</v>
      </c>
      <c r="Q287" t="s">
        <v>153</v>
      </c>
    </row>
    <row r="288" spans="9:17" x14ac:dyDescent="0.45">
      <c r="I288" t="s">
        <v>184</v>
      </c>
      <c r="J288" t="s">
        <v>324</v>
      </c>
      <c r="K288">
        <v>0</v>
      </c>
      <c r="L288" t="s">
        <v>153</v>
      </c>
      <c r="N288" t="s">
        <v>227</v>
      </c>
      <c r="O288" t="s">
        <v>324</v>
      </c>
      <c r="P288">
        <v>0.21814244126448784</v>
      </c>
      <c r="Q288" t="s">
        <v>153</v>
      </c>
    </row>
    <row r="289" spans="9:17" x14ac:dyDescent="0.45">
      <c r="I289" t="s">
        <v>184</v>
      </c>
      <c r="J289" t="s">
        <v>325</v>
      </c>
      <c r="K289">
        <v>3.0094665908647754E-2</v>
      </c>
      <c r="L289" t="s">
        <v>153</v>
      </c>
      <c r="N289" t="s">
        <v>227</v>
      </c>
      <c r="O289" t="s">
        <v>325</v>
      </c>
      <c r="P289">
        <v>1.6915242125471509E-2</v>
      </c>
      <c r="Q289" t="s">
        <v>153</v>
      </c>
    </row>
    <row r="290" spans="9:17" x14ac:dyDescent="0.45">
      <c r="I290" t="s">
        <v>184</v>
      </c>
      <c r="J290" t="s">
        <v>326</v>
      </c>
      <c r="K290">
        <v>0.21990039658423233</v>
      </c>
      <c r="L290" t="s">
        <v>153</v>
      </c>
      <c r="N290" t="s">
        <v>227</v>
      </c>
      <c r="O290" t="s">
        <v>326</v>
      </c>
      <c r="P290">
        <v>6.4333978626609042E-2</v>
      </c>
      <c r="Q290" t="s">
        <v>153</v>
      </c>
    </row>
    <row r="291" spans="9:17" x14ac:dyDescent="0.45">
      <c r="I291" t="s">
        <v>184</v>
      </c>
      <c r="J291" t="s">
        <v>327</v>
      </c>
      <c r="K291">
        <v>0</v>
      </c>
      <c r="L291" t="s">
        <v>153</v>
      </c>
      <c r="N291" t="s">
        <v>227</v>
      </c>
      <c r="O291" t="s">
        <v>327</v>
      </c>
      <c r="P291">
        <v>0.11264297714256144</v>
      </c>
      <c r="Q291" t="s">
        <v>153</v>
      </c>
    </row>
    <row r="292" spans="9:17" x14ac:dyDescent="0.45">
      <c r="I292" t="s">
        <v>184</v>
      </c>
      <c r="J292" t="s">
        <v>328</v>
      </c>
      <c r="K292">
        <v>2.6149183345776737E-2</v>
      </c>
      <c r="L292" t="s">
        <v>153</v>
      </c>
      <c r="N292" t="s">
        <v>227</v>
      </c>
      <c r="O292" t="s">
        <v>328</v>
      </c>
      <c r="P292">
        <v>7.877900319612937E-3</v>
      </c>
      <c r="Q292" t="s">
        <v>153</v>
      </c>
    </row>
    <row r="293" spans="9:17" x14ac:dyDescent="0.45">
      <c r="I293" t="s">
        <v>184</v>
      </c>
      <c r="J293" t="s">
        <v>329</v>
      </c>
      <c r="K293">
        <v>0.18337781953985613</v>
      </c>
      <c r="L293" t="s">
        <v>153</v>
      </c>
      <c r="N293" t="s">
        <v>227</v>
      </c>
      <c r="O293" t="s">
        <v>329</v>
      </c>
      <c r="P293">
        <v>8.4198477275566563E-2</v>
      </c>
      <c r="Q293" t="s">
        <v>153</v>
      </c>
    </row>
    <row r="294" spans="9:17" x14ac:dyDescent="0.45">
      <c r="I294" t="s">
        <v>184</v>
      </c>
      <c r="J294" t="s">
        <v>330</v>
      </c>
      <c r="K294">
        <v>0</v>
      </c>
      <c r="L294" t="s">
        <v>153</v>
      </c>
      <c r="N294" t="s">
        <v>227</v>
      </c>
      <c r="O294" t="s">
        <v>330</v>
      </c>
      <c r="P294">
        <v>0.14144987587921043</v>
      </c>
      <c r="Q294" t="s">
        <v>153</v>
      </c>
    </row>
    <row r="295" spans="9:17" x14ac:dyDescent="0.45">
      <c r="I295" t="s">
        <v>184</v>
      </c>
      <c r="J295" t="s">
        <v>331</v>
      </c>
      <c r="K295">
        <v>1.6491323546208216E-2</v>
      </c>
      <c r="L295" t="s">
        <v>153</v>
      </c>
      <c r="N295" t="s">
        <v>227</v>
      </c>
      <c r="O295" t="s">
        <v>331</v>
      </c>
      <c r="P295">
        <v>1.3154267666280082E-2</v>
      </c>
      <c r="Q295" t="s">
        <v>153</v>
      </c>
    </row>
    <row r="296" spans="9:17" x14ac:dyDescent="0.45">
      <c r="I296" t="s">
        <v>184</v>
      </c>
      <c r="J296" t="s">
        <v>332</v>
      </c>
      <c r="K296">
        <v>0.23143356754184288</v>
      </c>
      <c r="L296" t="s">
        <v>153</v>
      </c>
      <c r="N296" t="s">
        <v>227</v>
      </c>
      <c r="O296" t="s">
        <v>332</v>
      </c>
      <c r="P296">
        <v>7.4940306157331424E-2</v>
      </c>
      <c r="Q296" t="s">
        <v>153</v>
      </c>
    </row>
    <row r="297" spans="9:17" x14ac:dyDescent="0.45">
      <c r="I297" t="s">
        <v>184</v>
      </c>
      <c r="J297" t="s">
        <v>333</v>
      </c>
      <c r="K297">
        <v>6.326267970021655E-3</v>
      </c>
      <c r="L297" t="s">
        <v>153</v>
      </c>
      <c r="N297" t="s">
        <v>227</v>
      </c>
      <c r="O297" t="s">
        <v>333</v>
      </c>
      <c r="P297">
        <v>0.13297943272087337</v>
      </c>
      <c r="Q297" t="s">
        <v>153</v>
      </c>
    </row>
    <row r="298" spans="9:17" x14ac:dyDescent="0.45">
      <c r="I298" t="s">
        <v>184</v>
      </c>
      <c r="J298" t="s">
        <v>334</v>
      </c>
      <c r="K298">
        <v>3.4531666952256145E-2</v>
      </c>
      <c r="L298" t="s">
        <v>153</v>
      </c>
      <c r="N298" t="s">
        <v>227</v>
      </c>
      <c r="O298" t="s">
        <v>334</v>
      </c>
      <c r="P298">
        <v>1.0385118211503374E-2</v>
      </c>
      <c r="Q298" t="s">
        <v>153</v>
      </c>
    </row>
    <row r="299" spans="9:17" x14ac:dyDescent="0.45">
      <c r="I299" t="s">
        <v>185</v>
      </c>
      <c r="J299" t="s">
        <v>323</v>
      </c>
      <c r="K299">
        <v>0.25063192867285738</v>
      </c>
      <c r="L299" t="s">
        <v>153</v>
      </c>
      <c r="N299" t="s">
        <v>228</v>
      </c>
      <c r="O299" t="s">
        <v>323</v>
      </c>
      <c r="P299">
        <v>0.1462922659886767</v>
      </c>
      <c r="Q299" t="s">
        <v>153</v>
      </c>
    </row>
    <row r="300" spans="9:17" x14ac:dyDescent="0.45">
      <c r="I300" t="s">
        <v>185</v>
      </c>
      <c r="J300" t="s">
        <v>324</v>
      </c>
      <c r="K300">
        <v>0</v>
      </c>
      <c r="L300" t="s">
        <v>153</v>
      </c>
      <c r="N300" t="s">
        <v>228</v>
      </c>
      <c r="O300" t="s">
        <v>324</v>
      </c>
      <c r="P300">
        <v>0.19238169081516579</v>
      </c>
      <c r="Q300" t="s">
        <v>153</v>
      </c>
    </row>
    <row r="301" spans="9:17" x14ac:dyDescent="0.45">
      <c r="I301" t="s">
        <v>185</v>
      </c>
      <c r="J301" t="s">
        <v>325</v>
      </c>
      <c r="K301">
        <v>3.1379634274805189E-2</v>
      </c>
      <c r="L301" t="s">
        <v>153</v>
      </c>
      <c r="N301" t="s">
        <v>228</v>
      </c>
      <c r="O301" t="s">
        <v>325</v>
      </c>
      <c r="P301">
        <v>2.7499991628981358E-2</v>
      </c>
      <c r="Q301" t="s">
        <v>153</v>
      </c>
    </row>
    <row r="302" spans="9:17" x14ac:dyDescent="0.45">
      <c r="I302" t="s">
        <v>185</v>
      </c>
      <c r="J302" t="s">
        <v>326</v>
      </c>
      <c r="K302">
        <v>0.21724647571976516</v>
      </c>
      <c r="L302" t="s">
        <v>153</v>
      </c>
      <c r="N302" t="s">
        <v>228</v>
      </c>
      <c r="O302" t="s">
        <v>326</v>
      </c>
      <c r="P302">
        <v>5.7407269821681615E-2</v>
      </c>
      <c r="Q302" t="s">
        <v>153</v>
      </c>
    </row>
    <row r="303" spans="9:17" x14ac:dyDescent="0.45">
      <c r="I303" t="s">
        <v>185</v>
      </c>
      <c r="J303" t="s">
        <v>327</v>
      </c>
      <c r="K303">
        <v>0</v>
      </c>
      <c r="L303" t="s">
        <v>153</v>
      </c>
      <c r="N303" t="s">
        <v>228</v>
      </c>
      <c r="O303" t="s">
        <v>327</v>
      </c>
      <c r="P303">
        <v>9.7347919247274914E-2</v>
      </c>
      <c r="Q303" t="s">
        <v>153</v>
      </c>
    </row>
    <row r="304" spans="9:17" x14ac:dyDescent="0.45">
      <c r="I304" t="s">
        <v>185</v>
      </c>
      <c r="J304" t="s">
        <v>328</v>
      </c>
      <c r="K304">
        <v>2.7956780323810132E-2</v>
      </c>
      <c r="L304" t="s">
        <v>153</v>
      </c>
      <c r="N304" t="s">
        <v>228</v>
      </c>
      <c r="O304" t="s">
        <v>328</v>
      </c>
      <c r="P304">
        <v>1.0871699903932351E-2</v>
      </c>
      <c r="Q304" t="s">
        <v>153</v>
      </c>
    </row>
    <row r="305" spans="9:17" x14ac:dyDescent="0.45">
      <c r="I305" t="s">
        <v>185</v>
      </c>
      <c r="J305" t="s">
        <v>329</v>
      </c>
      <c r="K305">
        <v>0.18042662979505994</v>
      </c>
      <c r="L305" t="s">
        <v>153</v>
      </c>
      <c r="N305" t="s">
        <v>228</v>
      </c>
      <c r="O305" t="s">
        <v>329</v>
      </c>
      <c r="P305">
        <v>0.10525811117021498</v>
      </c>
      <c r="Q305" t="s">
        <v>153</v>
      </c>
    </row>
    <row r="306" spans="9:17" x14ac:dyDescent="0.45">
      <c r="I306" t="s">
        <v>185</v>
      </c>
      <c r="J306" t="s">
        <v>330</v>
      </c>
      <c r="K306">
        <v>0</v>
      </c>
      <c r="L306" t="s">
        <v>153</v>
      </c>
      <c r="N306" t="s">
        <v>228</v>
      </c>
      <c r="O306" t="s">
        <v>330</v>
      </c>
      <c r="P306">
        <v>0.15479486478480914</v>
      </c>
      <c r="Q306" t="s">
        <v>153</v>
      </c>
    </row>
    <row r="307" spans="9:17" x14ac:dyDescent="0.45">
      <c r="I307" t="s">
        <v>185</v>
      </c>
      <c r="J307" t="s">
        <v>331</v>
      </c>
      <c r="K307">
        <v>1.8423144306426643E-2</v>
      </c>
      <c r="L307" t="s">
        <v>153</v>
      </c>
      <c r="N307" t="s">
        <v>228</v>
      </c>
      <c r="O307" t="s">
        <v>331</v>
      </c>
      <c r="P307">
        <v>2.0426531709067153E-2</v>
      </c>
      <c r="Q307" t="s">
        <v>153</v>
      </c>
    </row>
    <row r="308" spans="9:17" x14ac:dyDescent="0.45">
      <c r="I308" t="s">
        <v>185</v>
      </c>
      <c r="J308" t="s">
        <v>332</v>
      </c>
      <c r="K308">
        <v>0.23022822973618987</v>
      </c>
      <c r="L308" t="s">
        <v>153</v>
      </c>
      <c r="N308" t="s">
        <v>228</v>
      </c>
      <c r="O308" t="s">
        <v>332</v>
      </c>
      <c r="P308">
        <v>6.9806824475854609E-2</v>
      </c>
      <c r="Q308" t="s">
        <v>153</v>
      </c>
    </row>
    <row r="309" spans="9:17" x14ac:dyDescent="0.45">
      <c r="I309" t="s">
        <v>185</v>
      </c>
      <c r="J309" t="s">
        <v>333</v>
      </c>
      <c r="K309">
        <v>8.0974848804264352E-3</v>
      </c>
      <c r="L309" t="s">
        <v>153</v>
      </c>
      <c r="N309" t="s">
        <v>228</v>
      </c>
      <c r="O309" t="s">
        <v>333</v>
      </c>
      <c r="P309">
        <v>0.1061117586054091</v>
      </c>
      <c r="Q309" t="s">
        <v>153</v>
      </c>
    </row>
    <row r="310" spans="9:17" x14ac:dyDescent="0.45">
      <c r="I310" t="s">
        <v>185</v>
      </c>
      <c r="J310" t="s">
        <v>334</v>
      </c>
      <c r="K310">
        <v>3.56096922906615E-2</v>
      </c>
      <c r="L310" t="s">
        <v>153</v>
      </c>
      <c r="N310" t="s">
        <v>228</v>
      </c>
      <c r="O310" t="s">
        <v>334</v>
      </c>
      <c r="P310">
        <v>1.1801071848932988E-2</v>
      </c>
      <c r="Q310" t="s">
        <v>153</v>
      </c>
    </row>
    <row r="311" spans="9:17" x14ac:dyDescent="0.45">
      <c r="I311" t="s">
        <v>186</v>
      </c>
      <c r="J311" t="s">
        <v>323</v>
      </c>
      <c r="K311">
        <v>0.25520181993116553</v>
      </c>
      <c r="L311" t="s">
        <v>153</v>
      </c>
      <c r="N311" t="s">
        <v>229</v>
      </c>
      <c r="O311" t="s">
        <v>323</v>
      </c>
      <c r="P311">
        <v>0.11856391604460731</v>
      </c>
      <c r="Q311" t="s">
        <v>153</v>
      </c>
    </row>
    <row r="312" spans="9:17" x14ac:dyDescent="0.45">
      <c r="I312" t="s">
        <v>186</v>
      </c>
      <c r="J312" t="s">
        <v>324</v>
      </c>
      <c r="K312">
        <v>1.0396541325358757E-4</v>
      </c>
      <c r="L312" t="s">
        <v>153</v>
      </c>
      <c r="N312" t="s">
        <v>229</v>
      </c>
      <c r="O312" t="s">
        <v>324</v>
      </c>
      <c r="P312">
        <v>0.22564978198748606</v>
      </c>
      <c r="Q312" t="s">
        <v>153</v>
      </c>
    </row>
    <row r="313" spans="9:17" x14ac:dyDescent="0.45">
      <c r="I313" t="s">
        <v>186</v>
      </c>
      <c r="J313" t="s">
        <v>325</v>
      </c>
      <c r="K313">
        <v>3.0496000639710249E-2</v>
      </c>
      <c r="L313" t="s">
        <v>153</v>
      </c>
      <c r="N313" t="s">
        <v>229</v>
      </c>
      <c r="O313" t="s">
        <v>325</v>
      </c>
      <c r="P313">
        <v>2.402794751316166E-2</v>
      </c>
      <c r="Q313" t="s">
        <v>153</v>
      </c>
    </row>
    <row r="314" spans="9:17" x14ac:dyDescent="0.45">
      <c r="I314" t="s">
        <v>186</v>
      </c>
      <c r="J314" t="s">
        <v>326</v>
      </c>
      <c r="K314">
        <v>0.20384061312180302</v>
      </c>
      <c r="L314" t="s">
        <v>153</v>
      </c>
      <c r="N314" t="s">
        <v>229</v>
      </c>
      <c r="O314" t="s">
        <v>326</v>
      </c>
      <c r="P314">
        <v>5.3585760250371976E-2</v>
      </c>
      <c r="Q314" t="s">
        <v>153</v>
      </c>
    </row>
    <row r="315" spans="9:17" x14ac:dyDescent="0.45">
      <c r="I315" t="s">
        <v>186</v>
      </c>
      <c r="J315" t="s">
        <v>327</v>
      </c>
      <c r="K315">
        <v>0</v>
      </c>
      <c r="L315" t="s">
        <v>153</v>
      </c>
      <c r="N315" t="s">
        <v>229</v>
      </c>
      <c r="O315" t="s">
        <v>327</v>
      </c>
      <c r="P315">
        <v>0.10240210043415693</v>
      </c>
      <c r="Q315" t="s">
        <v>153</v>
      </c>
    </row>
    <row r="316" spans="9:17" x14ac:dyDescent="0.45">
      <c r="I316" t="s">
        <v>186</v>
      </c>
      <c r="J316" t="s">
        <v>328</v>
      </c>
      <c r="K316">
        <v>2.2832089785243589E-2</v>
      </c>
      <c r="L316" t="s">
        <v>153</v>
      </c>
      <c r="N316" t="s">
        <v>229</v>
      </c>
      <c r="O316" t="s">
        <v>328</v>
      </c>
      <c r="P316">
        <v>1.1256418859861832E-2</v>
      </c>
      <c r="Q316" t="s">
        <v>153</v>
      </c>
    </row>
    <row r="317" spans="9:17" x14ac:dyDescent="0.45">
      <c r="I317" t="s">
        <v>186</v>
      </c>
      <c r="J317" t="s">
        <v>329</v>
      </c>
      <c r="K317">
        <v>0.1849698891325853</v>
      </c>
      <c r="L317" t="s">
        <v>153</v>
      </c>
      <c r="N317" t="s">
        <v>229</v>
      </c>
      <c r="O317" t="s">
        <v>329</v>
      </c>
      <c r="P317">
        <v>8.5055057644309248E-2</v>
      </c>
      <c r="Q317" t="s">
        <v>153</v>
      </c>
    </row>
    <row r="318" spans="9:17" x14ac:dyDescent="0.45">
      <c r="I318" t="s">
        <v>186</v>
      </c>
      <c r="J318" t="s">
        <v>330</v>
      </c>
      <c r="K318">
        <v>0</v>
      </c>
      <c r="L318" t="s">
        <v>153</v>
      </c>
      <c r="N318" t="s">
        <v>229</v>
      </c>
      <c r="O318" t="s">
        <v>330</v>
      </c>
      <c r="P318">
        <v>0.1441254732229556</v>
      </c>
      <c r="Q318" t="s">
        <v>153</v>
      </c>
    </row>
    <row r="319" spans="9:17" x14ac:dyDescent="0.45">
      <c r="I319" t="s">
        <v>186</v>
      </c>
      <c r="J319" t="s">
        <v>331</v>
      </c>
      <c r="K319">
        <v>2.0130375794230347E-2</v>
      </c>
      <c r="L319" t="s">
        <v>153</v>
      </c>
      <c r="N319" t="s">
        <v>229</v>
      </c>
      <c r="O319" t="s">
        <v>331</v>
      </c>
      <c r="P319">
        <v>1.9173368731152302E-2</v>
      </c>
      <c r="Q319" t="s">
        <v>153</v>
      </c>
    </row>
    <row r="320" spans="9:17" x14ac:dyDescent="0.45">
      <c r="I320" t="s">
        <v>186</v>
      </c>
      <c r="J320" t="s">
        <v>332</v>
      </c>
      <c r="K320">
        <v>0.24131139638832266</v>
      </c>
      <c r="L320" t="s">
        <v>153</v>
      </c>
      <c r="N320" t="s">
        <v>229</v>
      </c>
      <c r="O320" t="s">
        <v>332</v>
      </c>
      <c r="P320">
        <v>6.5503580914450549E-2</v>
      </c>
      <c r="Q320" t="s">
        <v>153</v>
      </c>
    </row>
    <row r="321" spans="9:17" x14ac:dyDescent="0.45">
      <c r="I321" t="s">
        <v>186</v>
      </c>
      <c r="J321" t="s">
        <v>333</v>
      </c>
      <c r="K321">
        <v>7.9048547129381991E-3</v>
      </c>
      <c r="L321" t="s">
        <v>153</v>
      </c>
      <c r="N321" t="s">
        <v>229</v>
      </c>
      <c r="O321" t="s">
        <v>333</v>
      </c>
      <c r="P321">
        <v>0.13676328651661618</v>
      </c>
      <c r="Q321" t="s">
        <v>153</v>
      </c>
    </row>
    <row r="322" spans="9:17" x14ac:dyDescent="0.45">
      <c r="I322" t="s">
        <v>186</v>
      </c>
      <c r="J322" t="s">
        <v>334</v>
      </c>
      <c r="K322">
        <v>3.3208995080748392E-2</v>
      </c>
      <c r="L322" t="s">
        <v>153</v>
      </c>
      <c r="N322" t="s">
        <v>229</v>
      </c>
      <c r="O322" t="s">
        <v>334</v>
      </c>
      <c r="P322">
        <v>1.3893307880870705E-2</v>
      </c>
      <c r="Q322" t="s">
        <v>153</v>
      </c>
    </row>
    <row r="323" spans="9:17" x14ac:dyDescent="0.45">
      <c r="I323" t="s">
        <v>187</v>
      </c>
      <c r="J323" t="s">
        <v>323</v>
      </c>
      <c r="K323">
        <v>0.25350010168200809</v>
      </c>
      <c r="L323" t="s">
        <v>153</v>
      </c>
      <c r="N323" t="s">
        <v>230</v>
      </c>
      <c r="O323" t="s">
        <v>323</v>
      </c>
      <c r="P323">
        <v>0.12809320968703053</v>
      </c>
      <c r="Q323" t="s">
        <v>153</v>
      </c>
    </row>
    <row r="324" spans="9:17" x14ac:dyDescent="0.45">
      <c r="I324" t="s">
        <v>187</v>
      </c>
      <c r="J324" t="s">
        <v>324</v>
      </c>
      <c r="K324">
        <v>1.907120388317083E-4</v>
      </c>
      <c r="L324" t="s">
        <v>153</v>
      </c>
      <c r="N324" t="s">
        <v>230</v>
      </c>
      <c r="O324" t="s">
        <v>324</v>
      </c>
      <c r="P324">
        <v>0.18273880987895541</v>
      </c>
      <c r="Q324" t="s">
        <v>153</v>
      </c>
    </row>
    <row r="325" spans="9:17" x14ac:dyDescent="0.45">
      <c r="I325" t="s">
        <v>187</v>
      </c>
      <c r="J325" t="s">
        <v>325</v>
      </c>
      <c r="K325">
        <v>3.145273422705229E-2</v>
      </c>
      <c r="L325" t="s">
        <v>153</v>
      </c>
      <c r="N325" t="s">
        <v>230</v>
      </c>
      <c r="O325" t="s">
        <v>325</v>
      </c>
      <c r="P325">
        <v>2.4095013315020036E-2</v>
      </c>
      <c r="Q325" t="s">
        <v>153</v>
      </c>
    </row>
    <row r="326" spans="9:17" x14ac:dyDescent="0.45">
      <c r="I326" t="s">
        <v>187</v>
      </c>
      <c r="J326" t="s">
        <v>326</v>
      </c>
      <c r="K326">
        <v>0.20383860922568794</v>
      </c>
      <c r="L326" t="s">
        <v>153</v>
      </c>
      <c r="N326" t="s">
        <v>230</v>
      </c>
      <c r="O326" t="s">
        <v>326</v>
      </c>
      <c r="P326">
        <v>5.9418677626809073E-2</v>
      </c>
      <c r="Q326" t="s">
        <v>153</v>
      </c>
    </row>
    <row r="327" spans="9:17" x14ac:dyDescent="0.45">
      <c r="I327" t="s">
        <v>187</v>
      </c>
      <c r="J327" t="s">
        <v>327</v>
      </c>
      <c r="K327">
        <v>0</v>
      </c>
      <c r="L327" t="s">
        <v>153</v>
      </c>
      <c r="N327" t="s">
        <v>230</v>
      </c>
      <c r="O327" t="s">
        <v>327</v>
      </c>
      <c r="P327">
        <v>0.10805560177215932</v>
      </c>
      <c r="Q327" t="s">
        <v>153</v>
      </c>
    </row>
    <row r="328" spans="9:17" x14ac:dyDescent="0.45">
      <c r="I328" t="s">
        <v>187</v>
      </c>
      <c r="J328" t="s">
        <v>328</v>
      </c>
      <c r="K328">
        <v>2.290296925039477E-2</v>
      </c>
      <c r="L328" t="s">
        <v>153</v>
      </c>
      <c r="N328" t="s">
        <v>230</v>
      </c>
      <c r="O328" t="s">
        <v>328</v>
      </c>
      <c r="P328">
        <v>8.9623012073302508E-3</v>
      </c>
      <c r="Q328" t="s">
        <v>153</v>
      </c>
    </row>
    <row r="329" spans="9:17" x14ac:dyDescent="0.45">
      <c r="I329" t="s">
        <v>187</v>
      </c>
      <c r="J329" t="s">
        <v>329</v>
      </c>
      <c r="K329">
        <v>0.18382370059611955</v>
      </c>
      <c r="L329" t="s">
        <v>153</v>
      </c>
      <c r="N329" t="s">
        <v>230</v>
      </c>
      <c r="O329" t="s">
        <v>329</v>
      </c>
      <c r="P329">
        <v>9.9071385598942519E-2</v>
      </c>
      <c r="Q329" t="s">
        <v>153</v>
      </c>
    </row>
    <row r="330" spans="9:17" x14ac:dyDescent="0.45">
      <c r="I330" t="s">
        <v>187</v>
      </c>
      <c r="J330" t="s">
        <v>330</v>
      </c>
      <c r="K330">
        <v>0</v>
      </c>
      <c r="L330" t="s">
        <v>153</v>
      </c>
      <c r="N330" t="s">
        <v>230</v>
      </c>
      <c r="O330" t="s">
        <v>330</v>
      </c>
      <c r="P330">
        <v>0.14589993155324182</v>
      </c>
      <c r="Q330" t="s">
        <v>153</v>
      </c>
    </row>
    <row r="331" spans="9:17" x14ac:dyDescent="0.45">
      <c r="I331" t="s">
        <v>187</v>
      </c>
      <c r="J331" t="s">
        <v>331</v>
      </c>
      <c r="K331">
        <v>1.9530676194011286E-2</v>
      </c>
      <c r="L331" t="s">
        <v>153</v>
      </c>
      <c r="N331" t="s">
        <v>230</v>
      </c>
      <c r="O331" t="s">
        <v>331</v>
      </c>
      <c r="P331">
        <v>1.676376319538116E-2</v>
      </c>
      <c r="Q331" t="s">
        <v>153</v>
      </c>
    </row>
    <row r="332" spans="9:17" x14ac:dyDescent="0.45">
      <c r="I332" t="s">
        <v>187</v>
      </c>
      <c r="J332" t="s">
        <v>332</v>
      </c>
      <c r="K332">
        <v>0.24432074813340188</v>
      </c>
      <c r="L332" t="s">
        <v>153</v>
      </c>
      <c r="N332" t="s">
        <v>230</v>
      </c>
      <c r="O332" t="s">
        <v>332</v>
      </c>
      <c r="P332">
        <v>7.3750697975149493E-2</v>
      </c>
      <c r="Q332" t="s">
        <v>153</v>
      </c>
    </row>
    <row r="333" spans="9:17" x14ac:dyDescent="0.45">
      <c r="I333" t="s">
        <v>187</v>
      </c>
      <c r="J333" t="s">
        <v>333</v>
      </c>
      <c r="K333">
        <v>7.4856981529737498E-3</v>
      </c>
      <c r="L333" t="s">
        <v>153</v>
      </c>
      <c r="N333" t="s">
        <v>230</v>
      </c>
      <c r="O333" t="s">
        <v>333</v>
      </c>
      <c r="P333">
        <v>0.14044492255176425</v>
      </c>
      <c r="Q333" t="s">
        <v>153</v>
      </c>
    </row>
    <row r="334" spans="9:17" x14ac:dyDescent="0.45">
      <c r="I334" t="s">
        <v>187</v>
      </c>
      <c r="J334" t="s">
        <v>334</v>
      </c>
      <c r="K334">
        <v>3.2954050499521111E-2</v>
      </c>
      <c r="L334" t="s">
        <v>153</v>
      </c>
      <c r="N334" t="s">
        <v>230</v>
      </c>
      <c r="O334" t="s">
        <v>334</v>
      </c>
      <c r="P334">
        <v>1.2705685638213947E-2</v>
      </c>
      <c r="Q334" t="s">
        <v>153</v>
      </c>
    </row>
    <row r="335" spans="9:17" x14ac:dyDescent="0.45">
      <c r="I335" t="s">
        <v>188</v>
      </c>
      <c r="J335" t="s">
        <v>323</v>
      </c>
      <c r="K335">
        <v>0.25499457346318388</v>
      </c>
      <c r="L335" t="s">
        <v>153</v>
      </c>
      <c r="N335" t="s">
        <v>231</v>
      </c>
      <c r="O335" t="s">
        <v>323</v>
      </c>
      <c r="P335">
        <v>0.14031416501248023</v>
      </c>
      <c r="Q335" t="s">
        <v>153</v>
      </c>
    </row>
    <row r="336" spans="9:17" x14ac:dyDescent="0.45">
      <c r="I336" t="s">
        <v>188</v>
      </c>
      <c r="J336" t="s">
        <v>324</v>
      </c>
      <c r="K336">
        <v>4.3113930932215286E-5</v>
      </c>
      <c r="L336" t="s">
        <v>153</v>
      </c>
      <c r="N336" t="s">
        <v>231</v>
      </c>
      <c r="O336" t="s">
        <v>324</v>
      </c>
      <c r="P336">
        <v>0.17500225483134751</v>
      </c>
      <c r="Q336" t="s">
        <v>153</v>
      </c>
    </row>
    <row r="337" spans="9:17" x14ac:dyDescent="0.45">
      <c r="I337" t="s">
        <v>188</v>
      </c>
      <c r="J337" t="s">
        <v>325</v>
      </c>
      <c r="K337">
        <v>2.9291949227049113E-2</v>
      </c>
      <c r="L337" t="s">
        <v>153</v>
      </c>
      <c r="N337" t="s">
        <v>231</v>
      </c>
      <c r="O337" t="s">
        <v>325</v>
      </c>
      <c r="P337">
        <v>2.3691842166474329E-2</v>
      </c>
      <c r="Q337" t="s">
        <v>153</v>
      </c>
    </row>
    <row r="338" spans="9:17" x14ac:dyDescent="0.45">
      <c r="I338" t="s">
        <v>188</v>
      </c>
      <c r="J338" t="s">
        <v>326</v>
      </c>
      <c r="K338">
        <v>0.2099249907006405</v>
      </c>
      <c r="L338" t="s">
        <v>153</v>
      </c>
      <c r="N338" t="s">
        <v>231</v>
      </c>
      <c r="O338" t="s">
        <v>326</v>
      </c>
      <c r="P338">
        <v>6.7012449860834558E-2</v>
      </c>
      <c r="Q338" t="s">
        <v>153</v>
      </c>
    </row>
    <row r="339" spans="9:17" x14ac:dyDescent="0.45">
      <c r="I339" t="s">
        <v>188</v>
      </c>
      <c r="J339" t="s">
        <v>327</v>
      </c>
      <c r="K339">
        <v>0</v>
      </c>
      <c r="L339" t="s">
        <v>153</v>
      </c>
      <c r="N339" t="s">
        <v>231</v>
      </c>
      <c r="O339" t="s">
        <v>327</v>
      </c>
      <c r="P339">
        <v>9.826424336119409E-2</v>
      </c>
      <c r="Q339" t="s">
        <v>153</v>
      </c>
    </row>
    <row r="340" spans="9:17" x14ac:dyDescent="0.45">
      <c r="I340" t="s">
        <v>188</v>
      </c>
      <c r="J340" t="s">
        <v>328</v>
      </c>
      <c r="K340">
        <v>2.2551571673554968E-2</v>
      </c>
      <c r="L340" t="s">
        <v>153</v>
      </c>
      <c r="N340" t="s">
        <v>231</v>
      </c>
      <c r="O340" t="s">
        <v>328</v>
      </c>
      <c r="P340">
        <v>8.4638339919695799E-3</v>
      </c>
      <c r="Q340" t="s">
        <v>153</v>
      </c>
    </row>
    <row r="341" spans="9:17" x14ac:dyDescent="0.45">
      <c r="I341" t="s">
        <v>188</v>
      </c>
      <c r="J341" t="s">
        <v>329</v>
      </c>
      <c r="K341">
        <v>0.17909740175972927</v>
      </c>
      <c r="L341" t="s">
        <v>153</v>
      </c>
      <c r="N341" t="s">
        <v>231</v>
      </c>
      <c r="O341" t="s">
        <v>329</v>
      </c>
      <c r="P341">
        <v>0.11532332947910701</v>
      </c>
      <c r="Q341" t="s">
        <v>153</v>
      </c>
    </row>
    <row r="342" spans="9:17" x14ac:dyDescent="0.45">
      <c r="I342" t="s">
        <v>188</v>
      </c>
      <c r="J342" t="s">
        <v>330</v>
      </c>
      <c r="K342">
        <v>0</v>
      </c>
      <c r="L342" t="s">
        <v>153</v>
      </c>
      <c r="N342" t="s">
        <v>231</v>
      </c>
      <c r="O342" t="s">
        <v>330</v>
      </c>
      <c r="P342">
        <v>0.15790569597379722</v>
      </c>
      <c r="Q342" t="s">
        <v>153</v>
      </c>
    </row>
    <row r="343" spans="9:17" x14ac:dyDescent="0.45">
      <c r="I343" t="s">
        <v>188</v>
      </c>
      <c r="J343" t="s">
        <v>331</v>
      </c>
      <c r="K343">
        <v>1.4849836288682357E-2</v>
      </c>
      <c r="L343" t="s">
        <v>153</v>
      </c>
      <c r="N343" t="s">
        <v>231</v>
      </c>
      <c r="O343" t="s">
        <v>331</v>
      </c>
      <c r="P343">
        <v>1.7291762535065581E-2</v>
      </c>
      <c r="Q343" t="s">
        <v>153</v>
      </c>
    </row>
    <row r="344" spans="9:17" x14ac:dyDescent="0.45">
      <c r="I344" t="s">
        <v>188</v>
      </c>
      <c r="J344" t="s">
        <v>332</v>
      </c>
      <c r="K344">
        <v>0.25284035246802344</v>
      </c>
      <c r="L344" t="s">
        <v>153</v>
      </c>
      <c r="N344" t="s">
        <v>231</v>
      </c>
      <c r="O344" t="s">
        <v>332</v>
      </c>
      <c r="P344">
        <v>7.5498278565520327E-2</v>
      </c>
      <c r="Q344" t="s">
        <v>153</v>
      </c>
    </row>
    <row r="345" spans="9:17" x14ac:dyDescent="0.45">
      <c r="I345" t="s">
        <v>188</v>
      </c>
      <c r="J345" t="s">
        <v>333</v>
      </c>
      <c r="K345">
        <v>5.833045707221568E-3</v>
      </c>
      <c r="L345" t="s">
        <v>153</v>
      </c>
      <c r="N345" t="s">
        <v>231</v>
      </c>
      <c r="O345" t="s">
        <v>333</v>
      </c>
      <c r="P345">
        <v>0.11124068228902324</v>
      </c>
      <c r="Q345" t="s">
        <v>153</v>
      </c>
    </row>
    <row r="346" spans="9:17" x14ac:dyDescent="0.45">
      <c r="I346" t="s">
        <v>188</v>
      </c>
      <c r="J346" t="s">
        <v>334</v>
      </c>
      <c r="K346">
        <v>3.0573164780982678E-2</v>
      </c>
      <c r="L346" t="s">
        <v>153</v>
      </c>
      <c r="N346" t="s">
        <v>231</v>
      </c>
      <c r="O346" t="s">
        <v>334</v>
      </c>
      <c r="P346">
        <v>9.991461933185555E-3</v>
      </c>
      <c r="Q346" t="s">
        <v>153</v>
      </c>
    </row>
    <row r="347" spans="9:17" x14ac:dyDescent="0.45">
      <c r="I347" t="s">
        <v>189</v>
      </c>
      <c r="J347" t="s">
        <v>323</v>
      </c>
      <c r="K347">
        <v>0.25153832843255675</v>
      </c>
      <c r="L347" t="s">
        <v>153</v>
      </c>
      <c r="N347" t="s">
        <v>232</v>
      </c>
      <c r="O347" t="s">
        <v>323</v>
      </c>
      <c r="P347">
        <v>0.11069417502932417</v>
      </c>
      <c r="Q347" t="s">
        <v>153</v>
      </c>
    </row>
    <row r="348" spans="9:17" x14ac:dyDescent="0.45">
      <c r="I348" t="s">
        <v>189</v>
      </c>
      <c r="J348" t="s">
        <v>324</v>
      </c>
      <c r="K348">
        <v>2.2636763227413073E-4</v>
      </c>
      <c r="L348" t="s">
        <v>153</v>
      </c>
      <c r="N348" t="s">
        <v>232</v>
      </c>
      <c r="O348" t="s">
        <v>324</v>
      </c>
      <c r="P348">
        <v>0.14272333348670024</v>
      </c>
      <c r="Q348" t="s">
        <v>153</v>
      </c>
    </row>
    <row r="349" spans="9:17" x14ac:dyDescent="0.45">
      <c r="I349" t="s">
        <v>189</v>
      </c>
      <c r="J349" t="s">
        <v>325</v>
      </c>
      <c r="K349">
        <v>2.9785319978252199E-2</v>
      </c>
      <c r="L349" t="s">
        <v>153</v>
      </c>
      <c r="N349" t="s">
        <v>232</v>
      </c>
      <c r="O349" t="s">
        <v>325</v>
      </c>
      <c r="P349">
        <v>2.4316489109145627E-2</v>
      </c>
      <c r="Q349" t="s">
        <v>153</v>
      </c>
    </row>
    <row r="350" spans="9:17" x14ac:dyDescent="0.45">
      <c r="I350" t="s">
        <v>189</v>
      </c>
      <c r="J350" t="s">
        <v>326</v>
      </c>
      <c r="K350">
        <v>0.20902251351846624</v>
      </c>
      <c r="L350" t="s">
        <v>153</v>
      </c>
      <c r="N350" t="s">
        <v>232</v>
      </c>
      <c r="O350" t="s">
        <v>326</v>
      </c>
      <c r="P350">
        <v>7.8794051154130587E-2</v>
      </c>
      <c r="Q350" t="s">
        <v>153</v>
      </c>
    </row>
    <row r="351" spans="9:17" x14ac:dyDescent="0.45">
      <c r="I351" t="s">
        <v>189</v>
      </c>
      <c r="J351" t="s">
        <v>327</v>
      </c>
      <c r="K351">
        <v>0</v>
      </c>
      <c r="L351" t="s">
        <v>153</v>
      </c>
      <c r="N351" t="s">
        <v>232</v>
      </c>
      <c r="O351" t="s">
        <v>327</v>
      </c>
      <c r="P351">
        <v>0.11701034709368204</v>
      </c>
      <c r="Q351" t="s">
        <v>153</v>
      </c>
    </row>
    <row r="352" spans="9:17" x14ac:dyDescent="0.45">
      <c r="I352" t="s">
        <v>189</v>
      </c>
      <c r="J352" t="s">
        <v>328</v>
      </c>
      <c r="K352">
        <v>2.289234275150967E-2</v>
      </c>
      <c r="L352" t="s">
        <v>153</v>
      </c>
      <c r="N352" t="s">
        <v>232</v>
      </c>
      <c r="O352" t="s">
        <v>328</v>
      </c>
      <c r="P352">
        <v>1.3365878257528529E-2</v>
      </c>
      <c r="Q352" t="s">
        <v>153</v>
      </c>
    </row>
    <row r="353" spans="9:17" x14ac:dyDescent="0.45">
      <c r="I353" t="s">
        <v>189</v>
      </c>
      <c r="J353" t="s">
        <v>329</v>
      </c>
      <c r="K353">
        <v>0.18613086774061538</v>
      </c>
      <c r="L353" t="s">
        <v>153</v>
      </c>
      <c r="N353" t="s">
        <v>232</v>
      </c>
      <c r="O353" t="s">
        <v>329</v>
      </c>
      <c r="P353">
        <v>0.11286881793628721</v>
      </c>
      <c r="Q353" t="s">
        <v>153</v>
      </c>
    </row>
    <row r="354" spans="9:17" x14ac:dyDescent="0.45">
      <c r="I354" t="s">
        <v>189</v>
      </c>
      <c r="J354" t="s">
        <v>330</v>
      </c>
      <c r="K354">
        <v>0</v>
      </c>
      <c r="L354" t="s">
        <v>153</v>
      </c>
      <c r="N354" t="s">
        <v>232</v>
      </c>
      <c r="O354" t="s">
        <v>330</v>
      </c>
      <c r="P354">
        <v>0.13408429732017879</v>
      </c>
      <c r="Q354" t="s">
        <v>153</v>
      </c>
    </row>
    <row r="355" spans="9:17" x14ac:dyDescent="0.45">
      <c r="I355" t="s">
        <v>189</v>
      </c>
      <c r="J355" t="s">
        <v>331</v>
      </c>
      <c r="K355">
        <v>1.811643093206439E-2</v>
      </c>
      <c r="L355" t="s">
        <v>153</v>
      </c>
      <c r="N355" t="s">
        <v>232</v>
      </c>
      <c r="O355" t="s">
        <v>331</v>
      </c>
      <c r="P355">
        <v>2.0105978779354959E-2</v>
      </c>
      <c r="Q355" t="s">
        <v>153</v>
      </c>
    </row>
    <row r="356" spans="9:17" x14ac:dyDescent="0.45">
      <c r="I356" t="s">
        <v>189</v>
      </c>
      <c r="J356" t="s">
        <v>332</v>
      </c>
      <c r="K356">
        <v>0.24623533033905876</v>
      </c>
      <c r="L356" t="s">
        <v>153</v>
      </c>
      <c r="N356" t="s">
        <v>232</v>
      </c>
      <c r="O356" t="s">
        <v>332</v>
      </c>
      <c r="P356">
        <v>8.2614675400815726E-2</v>
      </c>
      <c r="Q356" t="s">
        <v>153</v>
      </c>
    </row>
    <row r="357" spans="9:17" x14ac:dyDescent="0.45">
      <c r="I357" t="s">
        <v>189</v>
      </c>
      <c r="J357" t="s">
        <v>333</v>
      </c>
      <c r="K357">
        <v>6.2614492320874765E-3</v>
      </c>
      <c r="L357" t="s">
        <v>153</v>
      </c>
      <c r="N357" t="s">
        <v>232</v>
      </c>
      <c r="O357" t="s">
        <v>333</v>
      </c>
      <c r="P357">
        <v>0.14729988089788068</v>
      </c>
      <c r="Q357" t="s">
        <v>153</v>
      </c>
    </row>
    <row r="358" spans="9:17" x14ac:dyDescent="0.45">
      <c r="I358" t="s">
        <v>189</v>
      </c>
      <c r="J358" t="s">
        <v>334</v>
      </c>
      <c r="K358">
        <v>2.9791049443114843E-2</v>
      </c>
      <c r="L358" t="s">
        <v>153</v>
      </c>
      <c r="N358" t="s">
        <v>232</v>
      </c>
      <c r="O358" t="s">
        <v>334</v>
      </c>
      <c r="P358">
        <v>1.6122075534968208E-2</v>
      </c>
      <c r="Q358" t="s">
        <v>153</v>
      </c>
    </row>
    <row r="359" spans="9:17" x14ac:dyDescent="0.45">
      <c r="I359" t="s">
        <v>190</v>
      </c>
      <c r="J359" t="s">
        <v>323</v>
      </c>
      <c r="K359">
        <v>0.24970619359490981</v>
      </c>
      <c r="L359" t="s">
        <v>153</v>
      </c>
      <c r="N359" t="s">
        <v>233</v>
      </c>
      <c r="O359" t="s">
        <v>323</v>
      </c>
      <c r="P359">
        <v>0.13091772876862742</v>
      </c>
      <c r="Q359" t="s">
        <v>153</v>
      </c>
    </row>
    <row r="360" spans="9:17" x14ac:dyDescent="0.45">
      <c r="I360" t="s">
        <v>190</v>
      </c>
      <c r="J360" t="s">
        <v>324</v>
      </c>
      <c r="K360">
        <v>3.209018510600174E-5</v>
      </c>
      <c r="L360" t="s">
        <v>153</v>
      </c>
      <c r="N360" t="s">
        <v>233</v>
      </c>
      <c r="O360" t="s">
        <v>324</v>
      </c>
      <c r="P360">
        <v>0.14915878962899637</v>
      </c>
      <c r="Q360" t="s">
        <v>153</v>
      </c>
    </row>
    <row r="361" spans="9:17" x14ac:dyDescent="0.45">
      <c r="I361" t="s">
        <v>190</v>
      </c>
      <c r="J361" t="s">
        <v>325</v>
      </c>
      <c r="K361">
        <v>2.9803814291434926E-2</v>
      </c>
      <c r="L361" t="s">
        <v>153</v>
      </c>
      <c r="N361" t="s">
        <v>233</v>
      </c>
      <c r="O361" t="s">
        <v>325</v>
      </c>
      <c r="P361">
        <v>2.7494995075487392E-2</v>
      </c>
      <c r="Q361" t="s">
        <v>153</v>
      </c>
    </row>
    <row r="362" spans="9:17" x14ac:dyDescent="0.45">
      <c r="I362" t="s">
        <v>190</v>
      </c>
      <c r="J362" t="s">
        <v>326</v>
      </c>
      <c r="K362">
        <v>0.21292978644057539</v>
      </c>
      <c r="L362" t="s">
        <v>153</v>
      </c>
      <c r="N362" t="s">
        <v>233</v>
      </c>
      <c r="O362" t="s">
        <v>326</v>
      </c>
      <c r="P362">
        <v>7.9822483413655179E-2</v>
      </c>
      <c r="Q362" t="s">
        <v>153</v>
      </c>
    </row>
    <row r="363" spans="9:17" x14ac:dyDescent="0.45">
      <c r="I363" t="s">
        <v>190</v>
      </c>
      <c r="J363" t="s">
        <v>327</v>
      </c>
      <c r="K363">
        <v>0</v>
      </c>
      <c r="L363" t="s">
        <v>153</v>
      </c>
      <c r="N363" t="s">
        <v>233</v>
      </c>
      <c r="O363" t="s">
        <v>327</v>
      </c>
      <c r="P363">
        <v>9.6611110021740054E-2</v>
      </c>
      <c r="Q363" t="s">
        <v>153</v>
      </c>
    </row>
    <row r="364" spans="9:17" x14ac:dyDescent="0.45">
      <c r="I364" t="s">
        <v>190</v>
      </c>
      <c r="J364" t="s">
        <v>328</v>
      </c>
      <c r="K364">
        <v>2.36093092977325E-2</v>
      </c>
      <c r="L364" t="s">
        <v>153</v>
      </c>
      <c r="N364" t="s">
        <v>233</v>
      </c>
      <c r="O364" t="s">
        <v>328</v>
      </c>
      <c r="P364">
        <v>1.1956580219514805E-2</v>
      </c>
      <c r="Q364" t="s">
        <v>153</v>
      </c>
    </row>
    <row r="365" spans="9:17" x14ac:dyDescent="0.45">
      <c r="I365" t="s">
        <v>190</v>
      </c>
      <c r="J365" t="s">
        <v>329</v>
      </c>
      <c r="K365">
        <v>0.19105595011111567</v>
      </c>
      <c r="L365" t="s">
        <v>153</v>
      </c>
      <c r="N365" t="s">
        <v>233</v>
      </c>
      <c r="O365" t="s">
        <v>329</v>
      </c>
      <c r="P365">
        <v>0.12362475347456862</v>
      </c>
      <c r="Q365" t="s">
        <v>153</v>
      </c>
    </row>
    <row r="366" spans="9:17" x14ac:dyDescent="0.45">
      <c r="I366" t="s">
        <v>190</v>
      </c>
      <c r="J366" t="s">
        <v>330</v>
      </c>
      <c r="K366">
        <v>0</v>
      </c>
      <c r="L366" t="s">
        <v>153</v>
      </c>
      <c r="N366" t="s">
        <v>233</v>
      </c>
      <c r="O366" t="s">
        <v>330</v>
      </c>
      <c r="P366">
        <v>0.13380178647600338</v>
      </c>
      <c r="Q366" t="s">
        <v>153</v>
      </c>
    </row>
    <row r="367" spans="9:17" x14ac:dyDescent="0.45">
      <c r="I367" t="s">
        <v>190</v>
      </c>
      <c r="J367" t="s">
        <v>331</v>
      </c>
      <c r="K367">
        <v>1.7695631423662955E-2</v>
      </c>
      <c r="L367" t="s">
        <v>153</v>
      </c>
      <c r="N367" t="s">
        <v>233</v>
      </c>
      <c r="O367" t="s">
        <v>331</v>
      </c>
      <c r="P367">
        <v>2.1408605332591677E-2</v>
      </c>
      <c r="Q367" t="s">
        <v>153</v>
      </c>
    </row>
    <row r="368" spans="9:17" x14ac:dyDescent="0.45">
      <c r="I368" t="s">
        <v>190</v>
      </c>
      <c r="J368" t="s">
        <v>332</v>
      </c>
      <c r="K368">
        <v>0.23914061516150303</v>
      </c>
      <c r="L368" t="s">
        <v>153</v>
      </c>
      <c r="N368" t="s">
        <v>233</v>
      </c>
      <c r="O368" t="s">
        <v>332</v>
      </c>
      <c r="P368">
        <v>8.6704097184141515E-2</v>
      </c>
      <c r="Q368" t="s">
        <v>153</v>
      </c>
    </row>
    <row r="369" spans="9:17" x14ac:dyDescent="0.45">
      <c r="I369" t="s">
        <v>190</v>
      </c>
      <c r="J369" t="s">
        <v>333</v>
      </c>
      <c r="K369">
        <v>5.9331183205166898E-3</v>
      </c>
      <c r="L369" t="s">
        <v>153</v>
      </c>
      <c r="N369" t="s">
        <v>233</v>
      </c>
      <c r="O369" t="s">
        <v>333</v>
      </c>
      <c r="P369">
        <v>0.12311123912069395</v>
      </c>
      <c r="Q369" t="s">
        <v>153</v>
      </c>
    </row>
    <row r="370" spans="9:17" x14ac:dyDescent="0.45">
      <c r="I370" t="s">
        <v>190</v>
      </c>
      <c r="J370" t="s">
        <v>334</v>
      </c>
      <c r="K370">
        <v>3.0093491173443235E-2</v>
      </c>
      <c r="L370" t="s">
        <v>153</v>
      </c>
      <c r="N370" t="s">
        <v>233</v>
      </c>
      <c r="O370" t="s">
        <v>334</v>
      </c>
      <c r="P370">
        <v>1.5387831283977773E-2</v>
      </c>
      <c r="Q370" t="s">
        <v>153</v>
      </c>
    </row>
    <row r="371" spans="9:17" x14ac:dyDescent="0.45">
      <c r="I371" t="s">
        <v>191</v>
      </c>
      <c r="J371" t="s">
        <v>323</v>
      </c>
      <c r="K371">
        <v>0.25029712763296758</v>
      </c>
      <c r="L371" t="s">
        <v>153</v>
      </c>
      <c r="N371" t="s">
        <v>234</v>
      </c>
      <c r="O371" t="s">
        <v>323</v>
      </c>
      <c r="P371">
        <v>0.11708832362044706</v>
      </c>
      <c r="Q371" t="s">
        <v>153</v>
      </c>
    </row>
    <row r="372" spans="9:17" x14ac:dyDescent="0.45">
      <c r="I372" t="s">
        <v>191</v>
      </c>
      <c r="J372" t="s">
        <v>324</v>
      </c>
      <c r="K372">
        <v>0</v>
      </c>
      <c r="L372" t="s">
        <v>153</v>
      </c>
      <c r="N372" t="s">
        <v>234</v>
      </c>
      <c r="O372" t="s">
        <v>324</v>
      </c>
      <c r="P372">
        <v>0.15487268605535096</v>
      </c>
      <c r="Q372" t="s">
        <v>153</v>
      </c>
    </row>
    <row r="373" spans="9:17" x14ac:dyDescent="0.45">
      <c r="I373" t="s">
        <v>191</v>
      </c>
      <c r="J373" t="s">
        <v>325</v>
      </c>
      <c r="K373">
        <v>2.8193346104872351E-2</v>
      </c>
      <c r="L373" t="s">
        <v>153</v>
      </c>
      <c r="N373" t="s">
        <v>234</v>
      </c>
      <c r="O373" t="s">
        <v>325</v>
      </c>
      <c r="P373">
        <v>2.0367523466996006E-2</v>
      </c>
      <c r="Q373" t="s">
        <v>153</v>
      </c>
    </row>
    <row r="374" spans="9:17" x14ac:dyDescent="0.45">
      <c r="I374" t="s">
        <v>191</v>
      </c>
      <c r="J374" t="s">
        <v>326</v>
      </c>
      <c r="K374">
        <v>0.21574805557696425</v>
      </c>
      <c r="L374" t="s">
        <v>153</v>
      </c>
      <c r="N374" t="s">
        <v>234</v>
      </c>
      <c r="O374" t="s">
        <v>326</v>
      </c>
      <c r="P374">
        <v>7.8628545415406231E-2</v>
      </c>
      <c r="Q374" t="s">
        <v>153</v>
      </c>
    </row>
    <row r="375" spans="9:17" x14ac:dyDescent="0.45">
      <c r="I375" t="s">
        <v>191</v>
      </c>
      <c r="J375" t="s">
        <v>327</v>
      </c>
      <c r="K375">
        <v>0</v>
      </c>
      <c r="L375" t="s">
        <v>153</v>
      </c>
      <c r="N375" t="s">
        <v>234</v>
      </c>
      <c r="O375" t="s">
        <v>327</v>
      </c>
      <c r="P375">
        <v>0.11511842074690629</v>
      </c>
      <c r="Q375" t="s">
        <v>153</v>
      </c>
    </row>
    <row r="376" spans="9:17" x14ac:dyDescent="0.45">
      <c r="I376" t="s">
        <v>191</v>
      </c>
      <c r="J376" t="s">
        <v>328</v>
      </c>
      <c r="K376">
        <v>2.2838725679677881E-2</v>
      </c>
      <c r="L376" t="s">
        <v>153</v>
      </c>
      <c r="N376" t="s">
        <v>234</v>
      </c>
      <c r="O376" t="s">
        <v>328</v>
      </c>
      <c r="P376">
        <v>9.9784832301567702E-3</v>
      </c>
      <c r="Q376" t="s">
        <v>153</v>
      </c>
    </row>
    <row r="377" spans="9:17" x14ac:dyDescent="0.45">
      <c r="I377" t="s">
        <v>191</v>
      </c>
      <c r="J377" t="s">
        <v>329</v>
      </c>
      <c r="K377">
        <v>0.18604925836946995</v>
      </c>
      <c r="L377" t="s">
        <v>153</v>
      </c>
      <c r="N377" t="s">
        <v>234</v>
      </c>
      <c r="O377" t="s">
        <v>329</v>
      </c>
      <c r="P377">
        <v>0.12553925521748072</v>
      </c>
      <c r="Q377" t="s">
        <v>153</v>
      </c>
    </row>
    <row r="378" spans="9:17" x14ac:dyDescent="0.45">
      <c r="I378" t="s">
        <v>191</v>
      </c>
      <c r="J378" t="s">
        <v>330</v>
      </c>
      <c r="K378">
        <v>0</v>
      </c>
      <c r="L378" t="s">
        <v>153</v>
      </c>
      <c r="N378" t="s">
        <v>234</v>
      </c>
      <c r="O378" t="s">
        <v>330</v>
      </c>
      <c r="P378">
        <v>0.15382125402760086</v>
      </c>
      <c r="Q378" t="s">
        <v>153</v>
      </c>
    </row>
    <row r="379" spans="9:17" x14ac:dyDescent="0.45">
      <c r="I379" t="s">
        <v>191</v>
      </c>
      <c r="J379" t="s">
        <v>331</v>
      </c>
      <c r="K379">
        <v>1.4862093340456673E-2</v>
      </c>
      <c r="L379" t="s">
        <v>153</v>
      </c>
      <c r="N379" t="s">
        <v>234</v>
      </c>
      <c r="O379" t="s">
        <v>331</v>
      </c>
      <c r="P379">
        <v>1.8916190115673567E-2</v>
      </c>
      <c r="Q379" t="s">
        <v>153</v>
      </c>
    </row>
    <row r="380" spans="9:17" x14ac:dyDescent="0.45">
      <c r="I380" t="s">
        <v>191</v>
      </c>
      <c r="J380" t="s">
        <v>332</v>
      </c>
      <c r="K380">
        <v>0.24469237759872087</v>
      </c>
      <c r="L380" t="s">
        <v>153</v>
      </c>
      <c r="N380" t="s">
        <v>234</v>
      </c>
      <c r="O380" t="s">
        <v>332</v>
      </c>
      <c r="P380">
        <v>7.7579629945479511E-2</v>
      </c>
      <c r="Q380" t="s">
        <v>153</v>
      </c>
    </row>
    <row r="381" spans="9:17" x14ac:dyDescent="0.45">
      <c r="I381" t="s">
        <v>191</v>
      </c>
      <c r="J381" t="s">
        <v>333</v>
      </c>
      <c r="K381">
        <v>5.9155893094958775E-3</v>
      </c>
      <c r="L381" t="s">
        <v>153</v>
      </c>
      <c r="N381" t="s">
        <v>234</v>
      </c>
      <c r="O381" t="s">
        <v>333</v>
      </c>
      <c r="P381">
        <v>0.11829237853670839</v>
      </c>
      <c r="Q381" t="s">
        <v>153</v>
      </c>
    </row>
    <row r="382" spans="9:17" x14ac:dyDescent="0.45">
      <c r="I382" t="s">
        <v>191</v>
      </c>
      <c r="J382" t="s">
        <v>334</v>
      </c>
      <c r="K382">
        <v>3.1403426387374846E-2</v>
      </c>
      <c r="L382" t="s">
        <v>153</v>
      </c>
      <c r="N382" t="s">
        <v>234</v>
      </c>
      <c r="O382" t="s">
        <v>334</v>
      </c>
      <c r="P382">
        <v>9.7973096217915771E-3</v>
      </c>
      <c r="Q382" t="s">
        <v>153</v>
      </c>
    </row>
    <row r="383" spans="9:17" x14ac:dyDescent="0.45">
      <c r="I383" t="s">
        <v>192</v>
      </c>
      <c r="J383" t="s">
        <v>323</v>
      </c>
      <c r="K383">
        <v>0.2642654730094629</v>
      </c>
      <c r="L383" t="s">
        <v>153</v>
      </c>
      <c r="N383" t="s">
        <v>235</v>
      </c>
      <c r="O383" t="s">
        <v>323</v>
      </c>
      <c r="P383">
        <v>0.10352140006780836</v>
      </c>
      <c r="Q383" t="s">
        <v>153</v>
      </c>
    </row>
    <row r="384" spans="9:17" x14ac:dyDescent="0.45">
      <c r="I384" t="s">
        <v>192</v>
      </c>
      <c r="J384" t="s">
        <v>324</v>
      </c>
      <c r="K384">
        <v>7.4977961989790461E-4</v>
      </c>
      <c r="L384" t="s">
        <v>153</v>
      </c>
      <c r="N384" t="s">
        <v>235</v>
      </c>
      <c r="O384" t="s">
        <v>324</v>
      </c>
      <c r="P384">
        <v>0.16998155996960615</v>
      </c>
      <c r="Q384" t="s">
        <v>153</v>
      </c>
    </row>
    <row r="385" spans="9:17" x14ac:dyDescent="0.45">
      <c r="I385" t="s">
        <v>192</v>
      </c>
      <c r="J385" t="s">
        <v>325</v>
      </c>
      <c r="K385">
        <v>2.9439121788704527E-2</v>
      </c>
      <c r="L385" t="s">
        <v>153</v>
      </c>
      <c r="N385" t="s">
        <v>235</v>
      </c>
      <c r="O385" t="s">
        <v>325</v>
      </c>
      <c r="P385">
        <v>1.9043719444721208E-2</v>
      </c>
      <c r="Q385" t="s">
        <v>153</v>
      </c>
    </row>
    <row r="386" spans="9:17" x14ac:dyDescent="0.45">
      <c r="I386" t="s">
        <v>192</v>
      </c>
      <c r="J386" t="s">
        <v>326</v>
      </c>
      <c r="K386">
        <v>0.20507654758095609</v>
      </c>
      <c r="L386" t="s">
        <v>153</v>
      </c>
      <c r="N386" t="s">
        <v>235</v>
      </c>
      <c r="O386" t="s">
        <v>326</v>
      </c>
      <c r="P386">
        <v>7.258547090008155E-2</v>
      </c>
      <c r="Q386" t="s">
        <v>153</v>
      </c>
    </row>
    <row r="387" spans="9:17" x14ac:dyDescent="0.45">
      <c r="I387" t="s">
        <v>192</v>
      </c>
      <c r="J387" t="s">
        <v>327</v>
      </c>
      <c r="K387">
        <v>0</v>
      </c>
      <c r="L387" t="s">
        <v>153</v>
      </c>
      <c r="N387" t="s">
        <v>235</v>
      </c>
      <c r="O387" t="s">
        <v>327</v>
      </c>
      <c r="P387">
        <v>0.13053762068305566</v>
      </c>
      <c r="Q387" t="s">
        <v>153</v>
      </c>
    </row>
    <row r="388" spans="9:17" x14ac:dyDescent="0.45">
      <c r="I388" t="s">
        <v>192</v>
      </c>
      <c r="J388" t="s">
        <v>328</v>
      </c>
      <c r="K388">
        <v>2.2619043971572331E-2</v>
      </c>
      <c r="L388" t="s">
        <v>153</v>
      </c>
      <c r="N388" t="s">
        <v>235</v>
      </c>
      <c r="O388" t="s">
        <v>328</v>
      </c>
      <c r="P388">
        <v>8.4753264038328786E-3</v>
      </c>
      <c r="Q388" t="s">
        <v>153</v>
      </c>
    </row>
    <row r="389" spans="9:17" x14ac:dyDescent="0.45">
      <c r="I389" t="s">
        <v>192</v>
      </c>
      <c r="J389" t="s">
        <v>329</v>
      </c>
      <c r="K389">
        <v>0.17833293141092191</v>
      </c>
      <c r="L389" t="s">
        <v>153</v>
      </c>
      <c r="N389" t="s">
        <v>235</v>
      </c>
      <c r="O389" t="s">
        <v>329</v>
      </c>
      <c r="P389">
        <v>0.11230301991891897</v>
      </c>
      <c r="Q389" t="s">
        <v>153</v>
      </c>
    </row>
    <row r="390" spans="9:17" x14ac:dyDescent="0.45">
      <c r="I390" t="s">
        <v>192</v>
      </c>
      <c r="J390" t="s">
        <v>330</v>
      </c>
      <c r="K390">
        <v>0</v>
      </c>
      <c r="L390" t="s">
        <v>153</v>
      </c>
      <c r="N390" t="s">
        <v>235</v>
      </c>
      <c r="O390" t="s">
        <v>330</v>
      </c>
      <c r="P390">
        <v>0.16785943202733827</v>
      </c>
      <c r="Q390" t="s">
        <v>153</v>
      </c>
    </row>
    <row r="391" spans="9:17" x14ac:dyDescent="0.45">
      <c r="I391" t="s">
        <v>192</v>
      </c>
      <c r="J391" t="s">
        <v>331</v>
      </c>
      <c r="K391">
        <v>1.626071838681516E-2</v>
      </c>
      <c r="L391" t="s">
        <v>153</v>
      </c>
      <c r="N391" t="s">
        <v>235</v>
      </c>
      <c r="O391" t="s">
        <v>331</v>
      </c>
      <c r="P391">
        <v>1.5291313731991722E-2</v>
      </c>
      <c r="Q391" t="s">
        <v>153</v>
      </c>
    </row>
    <row r="392" spans="9:17" x14ac:dyDescent="0.45">
      <c r="I392" t="s">
        <v>192</v>
      </c>
      <c r="J392" t="s">
        <v>332</v>
      </c>
      <c r="K392">
        <v>0.24865249551786237</v>
      </c>
      <c r="L392" t="s">
        <v>153</v>
      </c>
      <c r="N392" t="s">
        <v>235</v>
      </c>
      <c r="O392" t="s">
        <v>332</v>
      </c>
      <c r="P392">
        <v>6.850239819133383E-2</v>
      </c>
      <c r="Q392" t="s">
        <v>153</v>
      </c>
    </row>
    <row r="393" spans="9:17" x14ac:dyDescent="0.45">
      <c r="I393" t="s">
        <v>192</v>
      </c>
      <c r="J393" t="s">
        <v>333</v>
      </c>
      <c r="K393">
        <v>6.2708960714595212E-3</v>
      </c>
      <c r="L393" t="s">
        <v>153</v>
      </c>
      <c r="N393" t="s">
        <v>235</v>
      </c>
      <c r="O393" t="s">
        <v>333</v>
      </c>
      <c r="P393">
        <v>0.12302639169169317</v>
      </c>
      <c r="Q393" t="s">
        <v>153</v>
      </c>
    </row>
    <row r="394" spans="9:17" x14ac:dyDescent="0.45">
      <c r="I394" t="s">
        <v>192</v>
      </c>
      <c r="J394" t="s">
        <v>334</v>
      </c>
      <c r="K394">
        <v>2.8332992642344922E-2</v>
      </c>
      <c r="L394" t="s">
        <v>153</v>
      </c>
      <c r="N394" t="s">
        <v>235</v>
      </c>
      <c r="O394" t="s">
        <v>334</v>
      </c>
      <c r="P394">
        <v>8.8723469696166488E-3</v>
      </c>
      <c r="Q394" t="s">
        <v>153</v>
      </c>
    </row>
    <row r="395" spans="9:17" x14ac:dyDescent="0.45">
      <c r="I395" t="s">
        <v>193</v>
      </c>
      <c r="J395" t="s">
        <v>323</v>
      </c>
      <c r="K395">
        <v>0.261756139023539</v>
      </c>
      <c r="L395" t="s">
        <v>153</v>
      </c>
      <c r="N395" t="s">
        <v>236</v>
      </c>
      <c r="O395" t="s">
        <v>323</v>
      </c>
      <c r="P395">
        <v>9.4903668404731023E-2</v>
      </c>
      <c r="Q395" t="s">
        <v>153</v>
      </c>
    </row>
    <row r="396" spans="9:17" x14ac:dyDescent="0.45">
      <c r="I396" t="s">
        <v>193</v>
      </c>
      <c r="J396" t="s">
        <v>324</v>
      </c>
      <c r="K396">
        <v>8.903270428891368E-4</v>
      </c>
      <c r="L396" t="s">
        <v>153</v>
      </c>
      <c r="N396" t="s">
        <v>236</v>
      </c>
      <c r="O396" t="s">
        <v>324</v>
      </c>
      <c r="P396">
        <v>0.15050975345794698</v>
      </c>
      <c r="Q396" t="s">
        <v>153</v>
      </c>
    </row>
    <row r="397" spans="9:17" x14ac:dyDescent="0.45">
      <c r="I397" t="s">
        <v>193</v>
      </c>
      <c r="J397" t="s">
        <v>325</v>
      </c>
      <c r="K397">
        <v>3.2316798326688267E-2</v>
      </c>
      <c r="L397" t="s">
        <v>153</v>
      </c>
      <c r="N397" t="s">
        <v>236</v>
      </c>
      <c r="O397" t="s">
        <v>325</v>
      </c>
      <c r="P397">
        <v>1.926075424954838E-2</v>
      </c>
      <c r="Q397" t="s">
        <v>153</v>
      </c>
    </row>
    <row r="398" spans="9:17" x14ac:dyDescent="0.45">
      <c r="I398" t="s">
        <v>193</v>
      </c>
      <c r="J398" t="s">
        <v>326</v>
      </c>
      <c r="K398">
        <v>0.19770767099255246</v>
      </c>
      <c r="L398" t="s">
        <v>153</v>
      </c>
      <c r="N398" t="s">
        <v>236</v>
      </c>
      <c r="O398" t="s">
        <v>326</v>
      </c>
      <c r="P398">
        <v>8.8788495838795292E-2</v>
      </c>
      <c r="Q398" t="s">
        <v>153</v>
      </c>
    </row>
    <row r="399" spans="9:17" x14ac:dyDescent="0.45">
      <c r="I399" t="s">
        <v>193</v>
      </c>
      <c r="J399" t="s">
        <v>327</v>
      </c>
      <c r="K399">
        <v>1.4816235265061534E-5</v>
      </c>
      <c r="L399" t="s">
        <v>153</v>
      </c>
      <c r="N399" t="s">
        <v>236</v>
      </c>
      <c r="O399" t="s">
        <v>327</v>
      </c>
      <c r="P399">
        <v>0.1312679512883351</v>
      </c>
      <c r="Q399" t="s">
        <v>153</v>
      </c>
    </row>
    <row r="400" spans="9:17" x14ac:dyDescent="0.45">
      <c r="I400" t="s">
        <v>193</v>
      </c>
      <c r="J400" t="s">
        <v>328</v>
      </c>
      <c r="K400">
        <v>2.2439172230106236E-2</v>
      </c>
      <c r="L400" t="s">
        <v>153</v>
      </c>
      <c r="N400" t="s">
        <v>236</v>
      </c>
      <c r="O400" t="s">
        <v>328</v>
      </c>
      <c r="P400">
        <v>1.0670728114679843E-2</v>
      </c>
      <c r="Q400" t="s">
        <v>153</v>
      </c>
    </row>
    <row r="401" spans="9:17" x14ac:dyDescent="0.45">
      <c r="I401" t="s">
        <v>193</v>
      </c>
      <c r="J401" t="s">
        <v>329</v>
      </c>
      <c r="K401">
        <v>0.1800584231933415</v>
      </c>
      <c r="L401" t="s">
        <v>153</v>
      </c>
      <c r="N401" t="s">
        <v>236</v>
      </c>
      <c r="O401" t="s">
        <v>329</v>
      </c>
      <c r="P401">
        <v>0.1181299906131866</v>
      </c>
      <c r="Q401" t="s">
        <v>153</v>
      </c>
    </row>
    <row r="402" spans="9:17" x14ac:dyDescent="0.45">
      <c r="I402" t="s">
        <v>193</v>
      </c>
      <c r="J402" t="s">
        <v>330</v>
      </c>
      <c r="K402">
        <v>0</v>
      </c>
      <c r="L402" t="s">
        <v>153</v>
      </c>
      <c r="N402" t="s">
        <v>236</v>
      </c>
      <c r="O402" t="s">
        <v>330</v>
      </c>
      <c r="P402">
        <v>0.14711454048386896</v>
      </c>
      <c r="Q402" t="s">
        <v>153</v>
      </c>
    </row>
    <row r="403" spans="9:17" x14ac:dyDescent="0.45">
      <c r="I403" t="s">
        <v>193</v>
      </c>
      <c r="J403" t="s">
        <v>331</v>
      </c>
      <c r="K403">
        <v>1.9651026387969974E-2</v>
      </c>
      <c r="L403" t="s">
        <v>153</v>
      </c>
      <c r="N403" t="s">
        <v>236</v>
      </c>
      <c r="O403" t="s">
        <v>331</v>
      </c>
      <c r="P403">
        <v>1.5632667042279676E-2</v>
      </c>
      <c r="Q403" t="s">
        <v>153</v>
      </c>
    </row>
    <row r="404" spans="9:17" x14ac:dyDescent="0.45">
      <c r="I404" t="s">
        <v>193</v>
      </c>
      <c r="J404" t="s">
        <v>332</v>
      </c>
      <c r="K404">
        <v>0.24941119249205398</v>
      </c>
      <c r="L404" t="s">
        <v>153</v>
      </c>
      <c r="N404" t="s">
        <v>236</v>
      </c>
      <c r="O404" t="s">
        <v>332</v>
      </c>
      <c r="P404">
        <v>7.8692273788836364E-2</v>
      </c>
      <c r="Q404" t="s">
        <v>153</v>
      </c>
    </row>
    <row r="405" spans="9:17" x14ac:dyDescent="0.45">
      <c r="I405" t="s">
        <v>193</v>
      </c>
      <c r="J405" t="s">
        <v>333</v>
      </c>
      <c r="K405">
        <v>6.9331858363696087E-3</v>
      </c>
      <c r="L405" t="s">
        <v>153</v>
      </c>
      <c r="N405" t="s">
        <v>236</v>
      </c>
      <c r="O405" t="s">
        <v>333</v>
      </c>
      <c r="P405">
        <v>0.13389046585026723</v>
      </c>
      <c r="Q405" t="s">
        <v>153</v>
      </c>
    </row>
    <row r="406" spans="9:17" x14ac:dyDescent="0.45">
      <c r="I406" t="s">
        <v>193</v>
      </c>
      <c r="J406" t="s">
        <v>334</v>
      </c>
      <c r="K406">
        <v>2.8821248239226622E-2</v>
      </c>
      <c r="L406" t="s">
        <v>153</v>
      </c>
      <c r="N406" t="s">
        <v>236</v>
      </c>
      <c r="O406" t="s">
        <v>334</v>
      </c>
      <c r="P406">
        <v>1.1138710867521459E-2</v>
      </c>
      <c r="Q406" t="s">
        <v>153</v>
      </c>
    </row>
    <row r="407" spans="9:17" x14ac:dyDescent="0.45">
      <c r="I407" t="s">
        <v>194</v>
      </c>
      <c r="J407" t="s">
        <v>323</v>
      </c>
      <c r="K407">
        <v>0.27156583184710587</v>
      </c>
      <c r="L407" t="s">
        <v>153</v>
      </c>
      <c r="N407" t="s">
        <v>237</v>
      </c>
      <c r="O407" t="s">
        <v>323</v>
      </c>
      <c r="P407">
        <v>0.10746599829095427</v>
      </c>
      <c r="Q407" t="s">
        <v>153</v>
      </c>
    </row>
    <row r="408" spans="9:17" x14ac:dyDescent="0.45">
      <c r="I408" t="s">
        <v>194</v>
      </c>
      <c r="J408" t="s">
        <v>324</v>
      </c>
      <c r="K408">
        <v>1.9954153952407372E-3</v>
      </c>
      <c r="L408" t="s">
        <v>153</v>
      </c>
      <c r="N408" t="s">
        <v>237</v>
      </c>
      <c r="O408" t="s">
        <v>324</v>
      </c>
      <c r="P408">
        <v>0.11552075395132652</v>
      </c>
      <c r="Q408" t="s">
        <v>153</v>
      </c>
    </row>
    <row r="409" spans="9:17" x14ac:dyDescent="0.45">
      <c r="I409" t="s">
        <v>194</v>
      </c>
      <c r="J409" t="s">
        <v>325</v>
      </c>
      <c r="K409">
        <v>3.5320661910009293E-2</v>
      </c>
      <c r="L409" t="s">
        <v>153</v>
      </c>
      <c r="N409" t="s">
        <v>237</v>
      </c>
      <c r="O409" t="s">
        <v>325</v>
      </c>
      <c r="P409">
        <v>2.2035828116726126E-2</v>
      </c>
      <c r="Q409" t="s">
        <v>153</v>
      </c>
    </row>
    <row r="410" spans="9:17" x14ac:dyDescent="0.45">
      <c r="I410" t="s">
        <v>194</v>
      </c>
      <c r="J410" t="s">
        <v>326</v>
      </c>
      <c r="K410">
        <v>0.18947597119510626</v>
      </c>
      <c r="L410" t="s">
        <v>153</v>
      </c>
      <c r="N410" t="s">
        <v>237</v>
      </c>
      <c r="O410" t="s">
        <v>326</v>
      </c>
      <c r="P410">
        <v>0.10591417220007367</v>
      </c>
      <c r="Q410" t="s">
        <v>153</v>
      </c>
    </row>
    <row r="411" spans="9:17" x14ac:dyDescent="0.45">
      <c r="I411" t="s">
        <v>194</v>
      </c>
      <c r="J411" t="s">
        <v>327</v>
      </c>
      <c r="K411">
        <v>4.5668379429400361E-4</v>
      </c>
      <c r="L411" t="s">
        <v>153</v>
      </c>
      <c r="N411" t="s">
        <v>237</v>
      </c>
      <c r="O411" t="s">
        <v>327</v>
      </c>
      <c r="P411">
        <v>0.11825955564852633</v>
      </c>
      <c r="Q411" t="s">
        <v>153</v>
      </c>
    </row>
    <row r="412" spans="9:17" x14ac:dyDescent="0.45">
      <c r="I412" t="s">
        <v>194</v>
      </c>
      <c r="J412" t="s">
        <v>328</v>
      </c>
      <c r="K412">
        <v>2.3061125917638051E-2</v>
      </c>
      <c r="L412" t="s">
        <v>153</v>
      </c>
      <c r="N412" t="s">
        <v>237</v>
      </c>
      <c r="O412" t="s">
        <v>328</v>
      </c>
      <c r="P412">
        <v>1.335071518389574E-2</v>
      </c>
      <c r="Q412" t="s">
        <v>153</v>
      </c>
    </row>
    <row r="413" spans="9:17" x14ac:dyDescent="0.45">
      <c r="I413" t="s">
        <v>194</v>
      </c>
      <c r="J413" t="s">
        <v>329</v>
      </c>
      <c r="K413">
        <v>0.17028295877175578</v>
      </c>
      <c r="L413" t="s">
        <v>153</v>
      </c>
      <c r="N413" t="s">
        <v>237</v>
      </c>
      <c r="O413" t="s">
        <v>329</v>
      </c>
      <c r="P413">
        <v>0.1322598244641148</v>
      </c>
      <c r="Q413" t="s">
        <v>153</v>
      </c>
    </row>
    <row r="414" spans="9:17" x14ac:dyDescent="0.45">
      <c r="I414" t="s">
        <v>194</v>
      </c>
      <c r="J414" t="s">
        <v>330</v>
      </c>
      <c r="K414">
        <v>0</v>
      </c>
      <c r="L414" t="s">
        <v>153</v>
      </c>
      <c r="N414" t="s">
        <v>237</v>
      </c>
      <c r="O414" t="s">
        <v>330</v>
      </c>
      <c r="P414">
        <v>0.13528409814460793</v>
      </c>
      <c r="Q414" t="s">
        <v>153</v>
      </c>
    </row>
    <row r="415" spans="9:17" x14ac:dyDescent="0.45">
      <c r="I415" t="s">
        <v>194</v>
      </c>
      <c r="J415" t="s">
        <v>331</v>
      </c>
      <c r="K415">
        <v>1.8492348993959358E-2</v>
      </c>
      <c r="L415" t="s">
        <v>153</v>
      </c>
      <c r="N415" t="s">
        <v>237</v>
      </c>
      <c r="O415" t="s">
        <v>331</v>
      </c>
      <c r="P415">
        <v>2.0348307636124292E-2</v>
      </c>
      <c r="Q415" t="s">
        <v>153</v>
      </c>
    </row>
    <row r="416" spans="9:17" x14ac:dyDescent="0.45">
      <c r="I416" t="s">
        <v>194</v>
      </c>
      <c r="J416" t="s">
        <v>332</v>
      </c>
      <c r="K416">
        <v>0.24771598837744116</v>
      </c>
      <c r="L416" t="s">
        <v>153</v>
      </c>
      <c r="N416" t="s">
        <v>237</v>
      </c>
      <c r="O416" t="s">
        <v>332</v>
      </c>
      <c r="P416">
        <v>8.9565960935205288E-2</v>
      </c>
      <c r="Q416" t="s">
        <v>153</v>
      </c>
    </row>
    <row r="417" spans="9:17" x14ac:dyDescent="0.45">
      <c r="I417" t="s">
        <v>194</v>
      </c>
      <c r="J417" t="s">
        <v>333</v>
      </c>
      <c r="K417">
        <v>8.2859060098313762E-3</v>
      </c>
      <c r="L417" t="s">
        <v>153</v>
      </c>
      <c r="N417" t="s">
        <v>237</v>
      </c>
      <c r="O417" t="s">
        <v>333</v>
      </c>
      <c r="P417">
        <v>0.12469422793925003</v>
      </c>
      <c r="Q417" t="s">
        <v>153</v>
      </c>
    </row>
    <row r="418" spans="9:17" x14ac:dyDescent="0.45">
      <c r="I418" t="s">
        <v>194</v>
      </c>
      <c r="J418" t="s">
        <v>334</v>
      </c>
      <c r="K418">
        <v>3.3347107787618985E-2</v>
      </c>
      <c r="L418" t="s">
        <v>153</v>
      </c>
      <c r="N418" t="s">
        <v>237</v>
      </c>
      <c r="O418" t="s">
        <v>334</v>
      </c>
      <c r="P418">
        <v>1.530055748919679E-2</v>
      </c>
      <c r="Q418" t="s">
        <v>153</v>
      </c>
    </row>
    <row r="419" spans="9:17" x14ac:dyDescent="0.45">
      <c r="I419" t="s">
        <v>195</v>
      </c>
      <c r="J419" t="s">
        <v>323</v>
      </c>
      <c r="K419">
        <v>0.2593067493990534</v>
      </c>
      <c r="L419" t="s">
        <v>153</v>
      </c>
      <c r="N419" t="s">
        <v>238</v>
      </c>
      <c r="O419" t="s">
        <v>323</v>
      </c>
      <c r="P419">
        <v>0.11840472776585836</v>
      </c>
      <c r="Q419" t="s">
        <v>153</v>
      </c>
    </row>
    <row r="420" spans="9:17" x14ac:dyDescent="0.45">
      <c r="I420" t="s">
        <v>195</v>
      </c>
      <c r="J420" t="s">
        <v>324</v>
      </c>
      <c r="K420">
        <v>3.4614402610157369E-3</v>
      </c>
      <c r="L420" t="s">
        <v>153</v>
      </c>
      <c r="N420" t="s">
        <v>238</v>
      </c>
      <c r="O420" t="s">
        <v>324</v>
      </c>
      <c r="P420">
        <v>0.11974284380618119</v>
      </c>
      <c r="Q420" t="s">
        <v>153</v>
      </c>
    </row>
    <row r="421" spans="9:17" x14ac:dyDescent="0.45">
      <c r="I421" t="s">
        <v>195</v>
      </c>
      <c r="J421" t="s">
        <v>325</v>
      </c>
      <c r="K421">
        <v>3.8283473552275953E-2</v>
      </c>
      <c r="L421" t="s">
        <v>153</v>
      </c>
      <c r="N421" t="s">
        <v>238</v>
      </c>
      <c r="O421" t="s">
        <v>325</v>
      </c>
      <c r="P421">
        <v>3.1644828837035656E-2</v>
      </c>
      <c r="Q421" t="s">
        <v>153</v>
      </c>
    </row>
    <row r="422" spans="9:17" x14ac:dyDescent="0.45">
      <c r="I422" t="s">
        <v>195</v>
      </c>
      <c r="J422" t="s">
        <v>326</v>
      </c>
      <c r="K422">
        <v>0.18103346391137615</v>
      </c>
      <c r="L422" t="s">
        <v>153</v>
      </c>
      <c r="N422" t="s">
        <v>238</v>
      </c>
      <c r="O422" t="s">
        <v>326</v>
      </c>
      <c r="P422">
        <v>8.6156531081945972E-2</v>
      </c>
      <c r="Q422" t="s">
        <v>153</v>
      </c>
    </row>
    <row r="423" spans="9:17" x14ac:dyDescent="0.45">
      <c r="I423" t="s">
        <v>195</v>
      </c>
      <c r="J423" t="s">
        <v>327</v>
      </c>
      <c r="K423">
        <v>1.1694150130372974E-3</v>
      </c>
      <c r="L423" t="s">
        <v>153</v>
      </c>
      <c r="N423" t="s">
        <v>238</v>
      </c>
      <c r="O423" t="s">
        <v>327</v>
      </c>
      <c r="P423">
        <v>9.5604260854643699E-2</v>
      </c>
      <c r="Q423" t="s">
        <v>153</v>
      </c>
    </row>
    <row r="424" spans="9:17" x14ac:dyDescent="0.45">
      <c r="I424" t="s">
        <v>195</v>
      </c>
      <c r="J424" t="s">
        <v>328</v>
      </c>
      <c r="K424">
        <v>2.4892846490282224E-2</v>
      </c>
      <c r="L424" t="s">
        <v>153</v>
      </c>
      <c r="N424" t="s">
        <v>238</v>
      </c>
      <c r="O424" t="s">
        <v>328</v>
      </c>
      <c r="P424">
        <v>2.4168963491626828E-2</v>
      </c>
      <c r="Q424" t="s">
        <v>153</v>
      </c>
    </row>
    <row r="425" spans="9:17" x14ac:dyDescent="0.45">
      <c r="I425" t="s">
        <v>195</v>
      </c>
      <c r="J425" t="s">
        <v>329</v>
      </c>
      <c r="K425">
        <v>0.15699204318943247</v>
      </c>
      <c r="L425" t="s">
        <v>153</v>
      </c>
      <c r="N425" t="s">
        <v>238</v>
      </c>
      <c r="O425" t="s">
        <v>329</v>
      </c>
      <c r="P425">
        <v>0.10574520911594636</v>
      </c>
      <c r="Q425" t="s">
        <v>153</v>
      </c>
    </row>
    <row r="426" spans="9:17" x14ac:dyDescent="0.45">
      <c r="I426" t="s">
        <v>195</v>
      </c>
      <c r="J426" t="s">
        <v>330</v>
      </c>
      <c r="K426">
        <v>0</v>
      </c>
      <c r="L426" t="s">
        <v>153</v>
      </c>
      <c r="N426" t="s">
        <v>238</v>
      </c>
      <c r="O426" t="s">
        <v>330</v>
      </c>
      <c r="P426">
        <v>0.10653792651884957</v>
      </c>
      <c r="Q426" t="s">
        <v>153</v>
      </c>
    </row>
    <row r="427" spans="9:17" x14ac:dyDescent="0.45">
      <c r="I427" t="s">
        <v>195</v>
      </c>
      <c r="J427" t="s">
        <v>331</v>
      </c>
      <c r="K427">
        <v>1.9763210795055133E-2</v>
      </c>
      <c r="L427" t="s">
        <v>153</v>
      </c>
      <c r="N427" t="s">
        <v>238</v>
      </c>
      <c r="O427" t="s">
        <v>331</v>
      </c>
      <c r="P427">
        <v>2.2215206781681103E-2</v>
      </c>
      <c r="Q427" t="s">
        <v>153</v>
      </c>
    </row>
    <row r="428" spans="9:17" x14ac:dyDescent="0.45">
      <c r="I428" t="s">
        <v>195</v>
      </c>
      <c r="J428" t="s">
        <v>332</v>
      </c>
      <c r="K428">
        <v>0.26338529937378702</v>
      </c>
      <c r="L428" t="s">
        <v>153</v>
      </c>
      <c r="N428" t="s">
        <v>238</v>
      </c>
      <c r="O428" t="s">
        <v>332</v>
      </c>
      <c r="P428">
        <v>0.12279120965791394</v>
      </c>
      <c r="Q428" t="s">
        <v>153</v>
      </c>
    </row>
    <row r="429" spans="9:17" x14ac:dyDescent="0.45">
      <c r="I429" t="s">
        <v>195</v>
      </c>
      <c r="J429" t="s">
        <v>333</v>
      </c>
      <c r="K429">
        <v>1.1953738366705815E-2</v>
      </c>
      <c r="L429" t="s">
        <v>153</v>
      </c>
      <c r="N429" t="s">
        <v>238</v>
      </c>
      <c r="O429" t="s">
        <v>333</v>
      </c>
      <c r="P429">
        <v>0.13039746092005622</v>
      </c>
      <c r="Q429" t="s">
        <v>153</v>
      </c>
    </row>
    <row r="430" spans="9:17" x14ac:dyDescent="0.45">
      <c r="I430" t="s">
        <v>195</v>
      </c>
      <c r="J430" t="s">
        <v>334</v>
      </c>
      <c r="K430">
        <v>3.9758319647979344E-2</v>
      </c>
      <c r="L430" t="s">
        <v>153</v>
      </c>
      <c r="N430" t="s">
        <v>238</v>
      </c>
      <c r="O430" t="s">
        <v>334</v>
      </c>
      <c r="P430">
        <v>3.6590831168260965E-2</v>
      </c>
      <c r="Q430" t="s">
        <v>153</v>
      </c>
    </row>
    <row r="431" spans="9:17" x14ac:dyDescent="0.45">
      <c r="I431" t="s">
        <v>196</v>
      </c>
      <c r="J431" t="s">
        <v>323</v>
      </c>
      <c r="K431">
        <v>0.26511393324957255</v>
      </c>
      <c r="L431" t="s">
        <v>153</v>
      </c>
      <c r="N431" t="s">
        <v>239</v>
      </c>
      <c r="O431" t="s">
        <v>323</v>
      </c>
      <c r="P431">
        <v>8.830916957728846E-2</v>
      </c>
      <c r="Q431" t="s">
        <v>153</v>
      </c>
    </row>
    <row r="432" spans="9:17" x14ac:dyDescent="0.45">
      <c r="I432" t="s">
        <v>196</v>
      </c>
      <c r="J432" t="s">
        <v>324</v>
      </c>
      <c r="K432">
        <v>3.8748403934287965E-3</v>
      </c>
      <c r="L432" t="s">
        <v>153</v>
      </c>
      <c r="N432" t="s">
        <v>239</v>
      </c>
      <c r="O432" t="s">
        <v>324</v>
      </c>
      <c r="P432">
        <v>0.12577737689713256</v>
      </c>
      <c r="Q432" t="s">
        <v>153</v>
      </c>
    </row>
    <row r="433" spans="9:17" x14ac:dyDescent="0.45">
      <c r="I433" t="s">
        <v>196</v>
      </c>
      <c r="J433" t="s">
        <v>325</v>
      </c>
      <c r="K433">
        <v>3.8345331987771493E-2</v>
      </c>
      <c r="L433" t="s">
        <v>153</v>
      </c>
      <c r="N433" t="s">
        <v>239</v>
      </c>
      <c r="O433" t="s">
        <v>325</v>
      </c>
      <c r="P433">
        <v>2.8628072271907719E-2</v>
      </c>
      <c r="Q433" t="s">
        <v>153</v>
      </c>
    </row>
    <row r="434" spans="9:17" x14ac:dyDescent="0.45">
      <c r="I434" t="s">
        <v>196</v>
      </c>
      <c r="J434" t="s">
        <v>326</v>
      </c>
      <c r="K434">
        <v>0.18206452219854821</v>
      </c>
      <c r="L434" t="s">
        <v>153</v>
      </c>
      <c r="N434" t="s">
        <v>239</v>
      </c>
      <c r="O434" t="s">
        <v>326</v>
      </c>
      <c r="P434">
        <v>9.8848786489309656E-2</v>
      </c>
      <c r="Q434" t="s">
        <v>153</v>
      </c>
    </row>
    <row r="435" spans="9:17" x14ac:dyDescent="0.45">
      <c r="I435" t="s">
        <v>196</v>
      </c>
      <c r="J435" t="s">
        <v>327</v>
      </c>
      <c r="K435">
        <v>1.3778148579697822E-3</v>
      </c>
      <c r="L435" t="s">
        <v>153</v>
      </c>
      <c r="N435" t="s">
        <v>239</v>
      </c>
      <c r="O435" t="s">
        <v>327</v>
      </c>
      <c r="P435">
        <v>0.11556585157498675</v>
      </c>
      <c r="Q435" t="s">
        <v>153</v>
      </c>
    </row>
    <row r="436" spans="9:17" x14ac:dyDescent="0.45">
      <c r="I436" t="s">
        <v>196</v>
      </c>
      <c r="J436" t="s">
        <v>328</v>
      </c>
      <c r="K436">
        <v>2.4424712892148908E-2</v>
      </c>
      <c r="L436" t="s">
        <v>153</v>
      </c>
      <c r="N436" t="s">
        <v>239</v>
      </c>
      <c r="O436" t="s">
        <v>328</v>
      </c>
      <c r="P436">
        <v>2.0528299155581346E-2</v>
      </c>
      <c r="Q436" t="s">
        <v>153</v>
      </c>
    </row>
    <row r="437" spans="9:17" x14ac:dyDescent="0.45">
      <c r="I437" t="s">
        <v>196</v>
      </c>
      <c r="J437" t="s">
        <v>329</v>
      </c>
      <c r="K437">
        <v>0.15434424769778857</v>
      </c>
      <c r="L437" t="s">
        <v>153</v>
      </c>
      <c r="N437" t="s">
        <v>239</v>
      </c>
      <c r="O437" t="s">
        <v>329</v>
      </c>
      <c r="P437">
        <v>0.12215931410092767</v>
      </c>
      <c r="Q437" t="s">
        <v>153</v>
      </c>
    </row>
    <row r="438" spans="9:17" x14ac:dyDescent="0.45">
      <c r="I438" t="s">
        <v>196</v>
      </c>
      <c r="J438" t="s">
        <v>330</v>
      </c>
      <c r="K438">
        <v>0</v>
      </c>
      <c r="L438" t="s">
        <v>153</v>
      </c>
      <c r="N438" t="s">
        <v>239</v>
      </c>
      <c r="O438" t="s">
        <v>330</v>
      </c>
      <c r="P438">
        <v>0.11808719600925563</v>
      </c>
      <c r="Q438" t="s">
        <v>153</v>
      </c>
    </row>
    <row r="439" spans="9:17" x14ac:dyDescent="0.45">
      <c r="I439" t="s">
        <v>196</v>
      </c>
      <c r="J439" t="s">
        <v>331</v>
      </c>
      <c r="K439">
        <v>1.7688316829038531E-2</v>
      </c>
      <c r="L439" t="s">
        <v>153</v>
      </c>
      <c r="N439" t="s">
        <v>239</v>
      </c>
      <c r="O439" t="s">
        <v>331</v>
      </c>
      <c r="P439">
        <v>2.2038059602627502E-2</v>
      </c>
      <c r="Q439" t="s">
        <v>153</v>
      </c>
    </row>
    <row r="440" spans="9:17" x14ac:dyDescent="0.45">
      <c r="I440" t="s">
        <v>196</v>
      </c>
      <c r="J440" t="s">
        <v>332</v>
      </c>
      <c r="K440">
        <v>0.26019614733272189</v>
      </c>
      <c r="L440" t="s">
        <v>153</v>
      </c>
      <c r="N440" t="s">
        <v>239</v>
      </c>
      <c r="O440" t="s">
        <v>332</v>
      </c>
      <c r="P440">
        <v>7.2072167593311406E-2</v>
      </c>
      <c r="Q440" t="s">
        <v>153</v>
      </c>
    </row>
    <row r="441" spans="9:17" x14ac:dyDescent="0.45">
      <c r="I441" t="s">
        <v>196</v>
      </c>
      <c r="J441" t="s">
        <v>333</v>
      </c>
      <c r="K441">
        <v>1.1704592248684455E-2</v>
      </c>
      <c r="L441" t="s">
        <v>153</v>
      </c>
      <c r="N441" t="s">
        <v>239</v>
      </c>
      <c r="O441" t="s">
        <v>333</v>
      </c>
      <c r="P441">
        <v>0.15446504398482175</v>
      </c>
      <c r="Q441" t="s">
        <v>153</v>
      </c>
    </row>
    <row r="442" spans="9:17" x14ac:dyDescent="0.45">
      <c r="I442" t="s">
        <v>196</v>
      </c>
      <c r="J442" t="s">
        <v>334</v>
      </c>
      <c r="K442">
        <v>4.0865540312326656E-2</v>
      </c>
      <c r="L442" t="s">
        <v>153</v>
      </c>
      <c r="N442" t="s">
        <v>239</v>
      </c>
      <c r="O442" t="s">
        <v>334</v>
      </c>
      <c r="P442">
        <v>3.3520662742848165E-2</v>
      </c>
      <c r="Q442" t="s">
        <v>153</v>
      </c>
    </row>
    <row r="443" spans="9:17" x14ac:dyDescent="0.45">
      <c r="I443" t="s">
        <v>197</v>
      </c>
      <c r="J443" t="s">
        <v>323</v>
      </c>
      <c r="K443">
        <v>0.25676427981612204</v>
      </c>
      <c r="L443" t="s">
        <v>153</v>
      </c>
      <c r="N443" t="s">
        <v>240</v>
      </c>
      <c r="O443" t="s">
        <v>323</v>
      </c>
      <c r="P443">
        <v>0.11114465155200744</v>
      </c>
      <c r="Q443" t="s">
        <v>153</v>
      </c>
    </row>
    <row r="444" spans="9:17" x14ac:dyDescent="0.45">
      <c r="I444" t="s">
        <v>197</v>
      </c>
      <c r="J444" t="s">
        <v>324</v>
      </c>
      <c r="K444">
        <v>6.1571911550692253E-4</v>
      </c>
      <c r="L444" t="s">
        <v>153</v>
      </c>
      <c r="N444" t="s">
        <v>240</v>
      </c>
      <c r="O444" t="s">
        <v>324</v>
      </c>
      <c r="P444">
        <v>8.4081576955941317E-2</v>
      </c>
      <c r="Q444" t="s">
        <v>153</v>
      </c>
    </row>
    <row r="445" spans="9:17" x14ac:dyDescent="0.45">
      <c r="I445" t="s">
        <v>197</v>
      </c>
      <c r="J445" t="s">
        <v>325</v>
      </c>
      <c r="K445">
        <v>3.3559716116684964E-2</v>
      </c>
      <c r="L445" t="s">
        <v>153</v>
      </c>
      <c r="N445" t="s">
        <v>240</v>
      </c>
      <c r="O445" t="s">
        <v>325</v>
      </c>
      <c r="P445">
        <v>3.6247154972049105E-2</v>
      </c>
      <c r="Q445" t="s">
        <v>153</v>
      </c>
    </row>
    <row r="446" spans="9:17" x14ac:dyDescent="0.45">
      <c r="I446" t="s">
        <v>197</v>
      </c>
      <c r="J446" t="s">
        <v>326</v>
      </c>
      <c r="K446">
        <v>0.2056930650005043</v>
      </c>
      <c r="L446" t="s">
        <v>153</v>
      </c>
      <c r="N446" t="s">
        <v>240</v>
      </c>
      <c r="O446" t="s">
        <v>326</v>
      </c>
      <c r="P446">
        <v>0.10759621591535917</v>
      </c>
      <c r="Q446" t="s">
        <v>153</v>
      </c>
    </row>
    <row r="447" spans="9:17" x14ac:dyDescent="0.45">
      <c r="I447" t="s">
        <v>197</v>
      </c>
      <c r="J447" t="s">
        <v>327</v>
      </c>
      <c r="K447">
        <v>4.207893501801102E-4</v>
      </c>
      <c r="L447" t="s">
        <v>153</v>
      </c>
      <c r="N447" t="s">
        <v>240</v>
      </c>
      <c r="O447" t="s">
        <v>327</v>
      </c>
      <c r="P447">
        <v>9.0796412355626646E-2</v>
      </c>
      <c r="Q447" t="s">
        <v>153</v>
      </c>
    </row>
    <row r="448" spans="9:17" x14ac:dyDescent="0.45">
      <c r="I448" t="s">
        <v>197</v>
      </c>
      <c r="J448" t="s">
        <v>328</v>
      </c>
      <c r="K448">
        <v>2.8848024887677379E-2</v>
      </c>
      <c r="L448" t="s">
        <v>153</v>
      </c>
      <c r="N448" t="s">
        <v>240</v>
      </c>
      <c r="O448" t="s">
        <v>328</v>
      </c>
      <c r="P448">
        <v>2.47872102234621E-2</v>
      </c>
      <c r="Q448" t="s">
        <v>153</v>
      </c>
    </row>
    <row r="449" spans="9:17" x14ac:dyDescent="0.45">
      <c r="I449" t="s">
        <v>197</v>
      </c>
      <c r="J449" t="s">
        <v>329</v>
      </c>
      <c r="K449">
        <v>0.17659495940754108</v>
      </c>
      <c r="L449" t="s">
        <v>153</v>
      </c>
      <c r="N449" t="s">
        <v>240</v>
      </c>
      <c r="O449" t="s">
        <v>329</v>
      </c>
      <c r="P449">
        <v>0.15070857444277633</v>
      </c>
      <c r="Q449" t="s">
        <v>153</v>
      </c>
    </row>
    <row r="450" spans="9:17" x14ac:dyDescent="0.45">
      <c r="I450" t="s">
        <v>197</v>
      </c>
      <c r="J450" t="s">
        <v>330</v>
      </c>
      <c r="K450">
        <v>0</v>
      </c>
      <c r="L450" t="s">
        <v>153</v>
      </c>
      <c r="N450" t="s">
        <v>240</v>
      </c>
      <c r="O450" t="s">
        <v>330</v>
      </c>
      <c r="P450">
        <v>0.12229993561659981</v>
      </c>
      <c r="Q450" t="s">
        <v>153</v>
      </c>
    </row>
    <row r="451" spans="9:17" x14ac:dyDescent="0.45">
      <c r="I451" t="s">
        <v>197</v>
      </c>
      <c r="J451" t="s">
        <v>331</v>
      </c>
      <c r="K451">
        <v>2.2902979846560974E-2</v>
      </c>
      <c r="L451" t="s">
        <v>153</v>
      </c>
      <c r="N451" t="s">
        <v>240</v>
      </c>
      <c r="O451" t="s">
        <v>331</v>
      </c>
      <c r="P451">
        <v>2.4843354289422141E-2</v>
      </c>
      <c r="Q451" t="s">
        <v>153</v>
      </c>
    </row>
    <row r="452" spans="9:17" x14ac:dyDescent="0.45">
      <c r="I452" t="s">
        <v>197</v>
      </c>
      <c r="J452" t="s">
        <v>332</v>
      </c>
      <c r="K452">
        <v>0.23110448115965695</v>
      </c>
      <c r="L452" t="s">
        <v>153</v>
      </c>
      <c r="N452" t="s">
        <v>240</v>
      </c>
      <c r="O452" t="s">
        <v>332</v>
      </c>
      <c r="P452">
        <v>0.1072138475242074</v>
      </c>
      <c r="Q452" t="s">
        <v>153</v>
      </c>
    </row>
    <row r="453" spans="9:17" x14ac:dyDescent="0.45">
      <c r="I453" t="s">
        <v>197</v>
      </c>
      <c r="J453" t="s">
        <v>333</v>
      </c>
      <c r="K453">
        <v>9.5243542669492167E-3</v>
      </c>
      <c r="L453" t="s">
        <v>153</v>
      </c>
      <c r="N453" t="s">
        <v>240</v>
      </c>
      <c r="O453" t="s">
        <v>333</v>
      </c>
      <c r="P453">
        <v>9.3489305558460106E-2</v>
      </c>
      <c r="Q453" t="s">
        <v>153</v>
      </c>
    </row>
    <row r="454" spans="9:17" x14ac:dyDescent="0.45">
      <c r="I454" t="s">
        <v>197</v>
      </c>
      <c r="J454" t="s">
        <v>334</v>
      </c>
      <c r="K454">
        <v>3.3971631032617994E-2</v>
      </c>
      <c r="L454" t="s">
        <v>153</v>
      </c>
      <c r="N454" t="s">
        <v>240</v>
      </c>
      <c r="O454" t="s">
        <v>334</v>
      </c>
      <c r="P454">
        <v>4.6791760594090084E-2</v>
      </c>
      <c r="Q454" t="s">
        <v>153</v>
      </c>
    </row>
    <row r="455" spans="9:17" x14ac:dyDescent="0.45">
      <c r="I455" t="s">
        <v>198</v>
      </c>
      <c r="J455" t="s">
        <v>323</v>
      </c>
      <c r="K455">
        <v>0.25421175327279666</v>
      </c>
      <c r="L455" t="s">
        <v>153</v>
      </c>
      <c r="N455" t="s">
        <v>241</v>
      </c>
      <c r="O455" t="s">
        <v>323</v>
      </c>
      <c r="P455">
        <v>0.12218198042942817</v>
      </c>
      <c r="Q455" t="s">
        <v>153</v>
      </c>
    </row>
    <row r="456" spans="9:17" x14ac:dyDescent="0.45">
      <c r="I456" t="s">
        <v>198</v>
      </c>
      <c r="J456" t="s">
        <v>324</v>
      </c>
      <c r="K456">
        <v>7.2729295352235411E-4</v>
      </c>
      <c r="L456" t="s">
        <v>153</v>
      </c>
      <c r="N456" t="s">
        <v>241</v>
      </c>
      <c r="O456" t="s">
        <v>324</v>
      </c>
      <c r="P456">
        <v>9.4779781549269665E-2</v>
      </c>
      <c r="Q456" t="s">
        <v>153</v>
      </c>
    </row>
    <row r="457" spans="9:17" x14ac:dyDescent="0.45">
      <c r="I457" t="s">
        <v>198</v>
      </c>
      <c r="J457" t="s">
        <v>325</v>
      </c>
      <c r="K457">
        <v>3.310496515430153E-2</v>
      </c>
      <c r="L457" t="s">
        <v>153</v>
      </c>
      <c r="N457" t="s">
        <v>241</v>
      </c>
      <c r="O457" t="s">
        <v>325</v>
      </c>
      <c r="P457">
        <v>4.1858547133014103E-2</v>
      </c>
      <c r="Q457" t="s">
        <v>153</v>
      </c>
    </row>
    <row r="458" spans="9:17" x14ac:dyDescent="0.45">
      <c r="I458" t="s">
        <v>198</v>
      </c>
      <c r="J458" t="s">
        <v>326</v>
      </c>
      <c r="K458">
        <v>0.20170929807508028</v>
      </c>
      <c r="L458" t="s">
        <v>153</v>
      </c>
      <c r="N458" t="s">
        <v>241</v>
      </c>
      <c r="O458" t="s">
        <v>326</v>
      </c>
      <c r="P458">
        <v>0.10662500382335729</v>
      </c>
      <c r="Q458" t="s">
        <v>153</v>
      </c>
    </row>
    <row r="459" spans="9:17" x14ac:dyDescent="0.45">
      <c r="I459" t="s">
        <v>198</v>
      </c>
      <c r="J459" t="s">
        <v>327</v>
      </c>
      <c r="K459">
        <v>5.9283017973257304E-4</v>
      </c>
      <c r="L459" t="s">
        <v>153</v>
      </c>
      <c r="N459" t="s">
        <v>241</v>
      </c>
      <c r="O459" t="s">
        <v>327</v>
      </c>
      <c r="P459">
        <v>8.0605296462461257E-2</v>
      </c>
      <c r="Q459" t="s">
        <v>153</v>
      </c>
    </row>
    <row r="460" spans="9:17" x14ac:dyDescent="0.45">
      <c r="I460" t="s">
        <v>198</v>
      </c>
      <c r="J460" t="s">
        <v>328</v>
      </c>
      <c r="K460">
        <v>2.8144803434455041E-2</v>
      </c>
      <c r="L460" t="s">
        <v>153</v>
      </c>
      <c r="N460" t="s">
        <v>241</v>
      </c>
      <c r="O460" t="s">
        <v>328</v>
      </c>
      <c r="P460">
        <v>2.6024944073699752E-2</v>
      </c>
      <c r="Q460" t="s">
        <v>153</v>
      </c>
    </row>
    <row r="461" spans="9:17" x14ac:dyDescent="0.45">
      <c r="I461" t="s">
        <v>198</v>
      </c>
      <c r="J461" t="s">
        <v>329</v>
      </c>
      <c r="K461">
        <v>0.17544942006560255</v>
      </c>
      <c r="L461" t="s">
        <v>153</v>
      </c>
      <c r="N461" t="s">
        <v>241</v>
      </c>
      <c r="O461" t="s">
        <v>329</v>
      </c>
      <c r="P461">
        <v>0.13653105698679685</v>
      </c>
      <c r="Q461" t="s">
        <v>153</v>
      </c>
    </row>
    <row r="462" spans="9:17" x14ac:dyDescent="0.45">
      <c r="I462" t="s">
        <v>198</v>
      </c>
      <c r="J462" t="s">
        <v>330</v>
      </c>
      <c r="K462">
        <v>0</v>
      </c>
      <c r="L462" t="s">
        <v>153</v>
      </c>
      <c r="N462" t="s">
        <v>241</v>
      </c>
      <c r="O462" t="s">
        <v>330</v>
      </c>
      <c r="P462">
        <v>0.1155872306563024</v>
      </c>
      <c r="Q462" t="s">
        <v>153</v>
      </c>
    </row>
    <row r="463" spans="9:17" x14ac:dyDescent="0.45">
      <c r="I463" t="s">
        <v>198</v>
      </c>
      <c r="J463" t="s">
        <v>331</v>
      </c>
      <c r="K463">
        <v>2.2530911947502629E-2</v>
      </c>
      <c r="L463" t="s">
        <v>153</v>
      </c>
      <c r="N463" t="s">
        <v>241</v>
      </c>
      <c r="O463" t="s">
        <v>331</v>
      </c>
      <c r="P463">
        <v>2.35163296603315E-2</v>
      </c>
      <c r="Q463" t="s">
        <v>153</v>
      </c>
    </row>
    <row r="464" spans="9:17" x14ac:dyDescent="0.45">
      <c r="I464" t="s">
        <v>198</v>
      </c>
      <c r="J464" t="s">
        <v>332</v>
      </c>
      <c r="K464">
        <v>0.23718862295243459</v>
      </c>
      <c r="L464" t="s">
        <v>153</v>
      </c>
      <c r="N464" t="s">
        <v>241</v>
      </c>
      <c r="O464" t="s">
        <v>332</v>
      </c>
      <c r="P464">
        <v>0.1145074531015793</v>
      </c>
      <c r="Q464" t="s">
        <v>153</v>
      </c>
    </row>
    <row r="465" spans="9:17" x14ac:dyDescent="0.45">
      <c r="I465" t="s">
        <v>198</v>
      </c>
      <c r="J465" t="s">
        <v>333</v>
      </c>
      <c r="K465">
        <v>9.8999986636364116E-3</v>
      </c>
      <c r="L465" t="s">
        <v>153</v>
      </c>
      <c r="N465" t="s">
        <v>241</v>
      </c>
      <c r="O465" t="s">
        <v>333</v>
      </c>
      <c r="P465">
        <v>8.5648914275891094E-2</v>
      </c>
      <c r="Q465" t="s">
        <v>153</v>
      </c>
    </row>
    <row r="466" spans="9:17" x14ac:dyDescent="0.45">
      <c r="I466" t="s">
        <v>198</v>
      </c>
      <c r="J466" t="s">
        <v>334</v>
      </c>
      <c r="K466">
        <v>3.6440103300933599E-2</v>
      </c>
      <c r="L466" t="s">
        <v>153</v>
      </c>
      <c r="N466" t="s">
        <v>241</v>
      </c>
      <c r="O466" t="s">
        <v>334</v>
      </c>
      <c r="P466">
        <v>5.2133461847869197E-2</v>
      </c>
      <c r="Q466" t="s">
        <v>153</v>
      </c>
    </row>
    <row r="467" spans="9:17" x14ac:dyDescent="0.45">
      <c r="I467" t="s">
        <v>199</v>
      </c>
      <c r="J467" t="s">
        <v>323</v>
      </c>
      <c r="K467">
        <v>0.25464467882146385</v>
      </c>
      <c r="L467" t="s">
        <v>153</v>
      </c>
      <c r="N467" t="s">
        <v>242</v>
      </c>
      <c r="O467" t="s">
        <v>323</v>
      </c>
      <c r="P467">
        <v>0.10096143891354339</v>
      </c>
      <c r="Q467" t="s">
        <v>153</v>
      </c>
    </row>
    <row r="468" spans="9:17" x14ac:dyDescent="0.45">
      <c r="I468" t="s">
        <v>199</v>
      </c>
      <c r="J468" t="s">
        <v>324</v>
      </c>
      <c r="K468">
        <v>8.0684876863310777E-5</v>
      </c>
      <c r="L468" t="s">
        <v>153</v>
      </c>
      <c r="N468" t="s">
        <v>242</v>
      </c>
      <c r="O468" t="s">
        <v>324</v>
      </c>
      <c r="P468">
        <v>0.1286151352501182</v>
      </c>
      <c r="Q468" t="s">
        <v>153</v>
      </c>
    </row>
    <row r="469" spans="9:17" x14ac:dyDescent="0.45">
      <c r="I469" t="s">
        <v>199</v>
      </c>
      <c r="J469" t="s">
        <v>325</v>
      </c>
      <c r="K469">
        <v>3.3007974118519398E-2</v>
      </c>
      <c r="L469" t="s">
        <v>153</v>
      </c>
      <c r="N469" t="s">
        <v>242</v>
      </c>
      <c r="O469" t="s">
        <v>325</v>
      </c>
      <c r="P469">
        <v>2.3431658527455337E-2</v>
      </c>
      <c r="Q469" t="s">
        <v>153</v>
      </c>
    </row>
    <row r="470" spans="9:17" x14ac:dyDescent="0.45">
      <c r="I470" t="s">
        <v>199</v>
      </c>
      <c r="J470" t="s">
        <v>326</v>
      </c>
      <c r="K470">
        <v>0.21194583366508182</v>
      </c>
      <c r="L470" t="s">
        <v>153</v>
      </c>
      <c r="N470" t="s">
        <v>242</v>
      </c>
      <c r="O470" t="s">
        <v>326</v>
      </c>
      <c r="P470">
        <v>0.10116679708127357</v>
      </c>
      <c r="Q470" t="s">
        <v>153</v>
      </c>
    </row>
    <row r="471" spans="9:17" x14ac:dyDescent="0.45">
      <c r="I471" t="s">
        <v>199</v>
      </c>
      <c r="J471" t="s">
        <v>327</v>
      </c>
      <c r="K471">
        <v>4.5690119733653159E-6</v>
      </c>
      <c r="L471" t="s">
        <v>153</v>
      </c>
      <c r="N471" t="s">
        <v>242</v>
      </c>
      <c r="O471" t="s">
        <v>327</v>
      </c>
      <c r="P471">
        <v>0.12031913218539407</v>
      </c>
      <c r="Q471" t="s">
        <v>153</v>
      </c>
    </row>
    <row r="472" spans="9:17" x14ac:dyDescent="0.45">
      <c r="I472" t="s">
        <v>199</v>
      </c>
      <c r="J472" t="s">
        <v>328</v>
      </c>
      <c r="K472">
        <v>2.8503027054086586E-2</v>
      </c>
      <c r="L472" t="s">
        <v>153</v>
      </c>
      <c r="N472" t="s">
        <v>242</v>
      </c>
      <c r="O472" t="s">
        <v>328</v>
      </c>
      <c r="P472">
        <v>1.8290997578357771E-2</v>
      </c>
      <c r="Q472" t="s">
        <v>153</v>
      </c>
    </row>
    <row r="473" spans="9:17" x14ac:dyDescent="0.45">
      <c r="I473" t="s">
        <v>199</v>
      </c>
      <c r="J473" t="s">
        <v>329</v>
      </c>
      <c r="K473">
        <v>0.17756183142135634</v>
      </c>
      <c r="L473" t="s">
        <v>153</v>
      </c>
      <c r="N473" t="s">
        <v>242</v>
      </c>
      <c r="O473" t="s">
        <v>329</v>
      </c>
      <c r="P473">
        <v>0.11811546522886041</v>
      </c>
      <c r="Q473" t="s">
        <v>153</v>
      </c>
    </row>
    <row r="474" spans="9:17" x14ac:dyDescent="0.45">
      <c r="I474" t="s">
        <v>199</v>
      </c>
      <c r="J474" t="s">
        <v>330</v>
      </c>
      <c r="K474">
        <v>0</v>
      </c>
      <c r="L474" t="s">
        <v>153</v>
      </c>
      <c r="N474" t="s">
        <v>242</v>
      </c>
      <c r="O474" t="s">
        <v>330</v>
      </c>
      <c r="P474">
        <v>0.11452203612912135</v>
      </c>
      <c r="Q474" t="s">
        <v>153</v>
      </c>
    </row>
    <row r="475" spans="9:17" x14ac:dyDescent="0.45">
      <c r="I475" t="s">
        <v>199</v>
      </c>
      <c r="J475" t="s">
        <v>331</v>
      </c>
      <c r="K475">
        <v>2.1058123074057654E-2</v>
      </c>
      <c r="L475" t="s">
        <v>153</v>
      </c>
      <c r="N475" t="s">
        <v>242</v>
      </c>
      <c r="O475" t="s">
        <v>331</v>
      </c>
      <c r="P475">
        <v>2.1719143910411673E-2</v>
      </c>
      <c r="Q475" t="s">
        <v>153</v>
      </c>
    </row>
    <row r="476" spans="9:17" x14ac:dyDescent="0.45">
      <c r="I476" t="s">
        <v>199</v>
      </c>
      <c r="J476" t="s">
        <v>332</v>
      </c>
      <c r="K476">
        <v>0.23032268014446661</v>
      </c>
      <c r="L476" t="s">
        <v>153</v>
      </c>
      <c r="N476" t="s">
        <v>242</v>
      </c>
      <c r="O476" t="s">
        <v>332</v>
      </c>
      <c r="P476">
        <v>7.6405396127624189E-2</v>
      </c>
      <c r="Q476" t="s">
        <v>153</v>
      </c>
    </row>
    <row r="477" spans="9:17" x14ac:dyDescent="0.45">
      <c r="I477" t="s">
        <v>199</v>
      </c>
      <c r="J477" t="s">
        <v>333</v>
      </c>
      <c r="K477">
        <v>9.1481148857781164E-3</v>
      </c>
      <c r="L477" t="s">
        <v>153</v>
      </c>
      <c r="N477" t="s">
        <v>242</v>
      </c>
      <c r="O477" t="s">
        <v>333</v>
      </c>
      <c r="P477">
        <v>0.15439987962292193</v>
      </c>
      <c r="Q477" t="s">
        <v>153</v>
      </c>
    </row>
    <row r="478" spans="9:17" x14ac:dyDescent="0.45">
      <c r="I478" t="s">
        <v>199</v>
      </c>
      <c r="J478" t="s">
        <v>334</v>
      </c>
      <c r="K478">
        <v>3.3722482926352194E-2</v>
      </c>
      <c r="L478" t="s">
        <v>153</v>
      </c>
      <c r="N478" t="s">
        <v>242</v>
      </c>
      <c r="O478" t="s">
        <v>334</v>
      </c>
      <c r="P478">
        <v>2.2052919444917971E-2</v>
      </c>
      <c r="Q478" t="s">
        <v>153</v>
      </c>
    </row>
    <row r="479" spans="9:17" x14ac:dyDescent="0.45">
      <c r="I479" t="s">
        <v>200</v>
      </c>
      <c r="J479" t="s">
        <v>323</v>
      </c>
      <c r="K479">
        <v>0.25646297921046163</v>
      </c>
      <c r="L479" t="s">
        <v>153</v>
      </c>
      <c r="N479" t="s">
        <v>243</v>
      </c>
      <c r="O479" t="s">
        <v>323</v>
      </c>
      <c r="P479">
        <v>0.11226795479258765</v>
      </c>
      <c r="Q479" t="s">
        <v>153</v>
      </c>
    </row>
    <row r="480" spans="9:17" x14ac:dyDescent="0.45">
      <c r="I480" t="s">
        <v>200</v>
      </c>
      <c r="J480" t="s">
        <v>324</v>
      </c>
      <c r="K480">
        <v>8.016397403476773E-5</v>
      </c>
      <c r="L480" t="s">
        <v>153</v>
      </c>
      <c r="N480" t="s">
        <v>243</v>
      </c>
      <c r="O480" t="s">
        <v>324</v>
      </c>
      <c r="P480">
        <v>0.13371041510156506</v>
      </c>
      <c r="Q480" t="s">
        <v>153</v>
      </c>
    </row>
    <row r="481" spans="9:17" x14ac:dyDescent="0.45">
      <c r="I481" t="s">
        <v>200</v>
      </c>
      <c r="J481" t="s">
        <v>325</v>
      </c>
      <c r="K481">
        <v>3.1076778489993115E-2</v>
      </c>
      <c r="L481" t="s">
        <v>153</v>
      </c>
      <c r="N481" t="s">
        <v>243</v>
      </c>
      <c r="O481" t="s">
        <v>325</v>
      </c>
      <c r="P481">
        <v>2.5517215918991663E-2</v>
      </c>
      <c r="Q481" t="s">
        <v>153</v>
      </c>
    </row>
    <row r="482" spans="9:17" x14ac:dyDescent="0.45">
      <c r="I482" t="s">
        <v>200</v>
      </c>
      <c r="J482" t="s">
        <v>326</v>
      </c>
      <c r="K482">
        <v>0.20914049689835942</v>
      </c>
      <c r="L482" t="s">
        <v>153</v>
      </c>
      <c r="N482" t="s">
        <v>243</v>
      </c>
      <c r="O482" t="s">
        <v>326</v>
      </c>
      <c r="P482">
        <v>9.042982081737011E-2</v>
      </c>
      <c r="Q482" t="s">
        <v>153</v>
      </c>
    </row>
    <row r="483" spans="9:17" x14ac:dyDescent="0.45">
      <c r="I483" t="s">
        <v>200</v>
      </c>
      <c r="J483" t="s">
        <v>327</v>
      </c>
      <c r="K483">
        <v>0</v>
      </c>
      <c r="L483" t="s">
        <v>153</v>
      </c>
      <c r="N483" t="s">
        <v>243</v>
      </c>
      <c r="O483" t="s">
        <v>327</v>
      </c>
      <c r="P483">
        <v>0.11053484223988834</v>
      </c>
      <c r="Q483" t="s">
        <v>153</v>
      </c>
    </row>
    <row r="484" spans="9:17" x14ac:dyDescent="0.45">
      <c r="I484" t="s">
        <v>200</v>
      </c>
      <c r="J484" t="s">
        <v>328</v>
      </c>
      <c r="K484">
        <v>2.5652739748278058E-2</v>
      </c>
      <c r="L484" t="s">
        <v>153</v>
      </c>
      <c r="N484" t="s">
        <v>243</v>
      </c>
      <c r="O484" t="s">
        <v>328</v>
      </c>
      <c r="P484">
        <v>1.6173943761348376E-2</v>
      </c>
      <c r="Q484" t="s">
        <v>153</v>
      </c>
    </row>
    <row r="485" spans="9:17" x14ac:dyDescent="0.45">
      <c r="I485" t="s">
        <v>200</v>
      </c>
      <c r="J485" t="s">
        <v>329</v>
      </c>
      <c r="K485">
        <v>0.17909165429577364</v>
      </c>
      <c r="L485" t="s">
        <v>153</v>
      </c>
      <c r="N485" t="s">
        <v>243</v>
      </c>
      <c r="O485" t="s">
        <v>329</v>
      </c>
      <c r="P485">
        <v>0.11628162379074772</v>
      </c>
      <c r="Q485" t="s">
        <v>153</v>
      </c>
    </row>
    <row r="486" spans="9:17" x14ac:dyDescent="0.45">
      <c r="I486" t="s">
        <v>200</v>
      </c>
      <c r="J486" t="s">
        <v>330</v>
      </c>
      <c r="K486">
        <v>0</v>
      </c>
      <c r="L486" t="s">
        <v>153</v>
      </c>
      <c r="N486" t="s">
        <v>243</v>
      </c>
      <c r="O486" t="s">
        <v>330</v>
      </c>
      <c r="P486">
        <v>0.12171865139416052</v>
      </c>
      <c r="Q486" t="s">
        <v>153</v>
      </c>
    </row>
    <row r="487" spans="9:17" x14ac:dyDescent="0.45">
      <c r="I487" t="s">
        <v>200</v>
      </c>
      <c r="J487" t="s">
        <v>331</v>
      </c>
      <c r="K487">
        <v>1.9973979236942815E-2</v>
      </c>
      <c r="L487" t="s">
        <v>153</v>
      </c>
      <c r="N487" t="s">
        <v>243</v>
      </c>
      <c r="O487" t="s">
        <v>331</v>
      </c>
      <c r="P487">
        <v>2.1747421396409589E-2</v>
      </c>
      <c r="Q487" t="s">
        <v>153</v>
      </c>
    </row>
    <row r="488" spans="9:17" x14ac:dyDescent="0.45">
      <c r="I488" t="s">
        <v>200</v>
      </c>
      <c r="J488" t="s">
        <v>332</v>
      </c>
      <c r="K488">
        <v>0.23712212929351581</v>
      </c>
      <c r="L488" t="s">
        <v>153</v>
      </c>
      <c r="N488" t="s">
        <v>243</v>
      </c>
      <c r="O488" t="s">
        <v>332</v>
      </c>
      <c r="P488">
        <v>7.9272861124843566E-2</v>
      </c>
      <c r="Q488" t="s">
        <v>153</v>
      </c>
    </row>
    <row r="489" spans="9:17" x14ac:dyDescent="0.45">
      <c r="I489" t="s">
        <v>200</v>
      </c>
      <c r="J489" t="s">
        <v>333</v>
      </c>
      <c r="K489">
        <v>8.2793924281034312E-3</v>
      </c>
      <c r="L489" t="s">
        <v>153</v>
      </c>
      <c r="N489" t="s">
        <v>243</v>
      </c>
      <c r="O489" t="s">
        <v>333</v>
      </c>
      <c r="P489">
        <v>0.1515324499713569</v>
      </c>
      <c r="Q489" t="s">
        <v>153</v>
      </c>
    </row>
    <row r="490" spans="9:17" x14ac:dyDescent="0.45">
      <c r="I490" t="s">
        <v>200</v>
      </c>
      <c r="J490" t="s">
        <v>334</v>
      </c>
      <c r="K490">
        <v>3.3119686424537956E-2</v>
      </c>
      <c r="L490" t="s">
        <v>153</v>
      </c>
      <c r="N490" t="s">
        <v>243</v>
      </c>
      <c r="O490" t="s">
        <v>334</v>
      </c>
      <c r="P490">
        <v>2.0812799690731406E-2</v>
      </c>
      <c r="Q490" t="s">
        <v>153</v>
      </c>
    </row>
    <row r="491" spans="9:17" x14ac:dyDescent="0.45">
      <c r="I491" t="s">
        <v>201</v>
      </c>
      <c r="J491" t="s">
        <v>323</v>
      </c>
      <c r="K491">
        <v>0.25855890567834844</v>
      </c>
      <c r="L491" t="s">
        <v>153</v>
      </c>
      <c r="N491" t="s">
        <v>244</v>
      </c>
      <c r="O491" t="s">
        <v>323</v>
      </c>
      <c r="P491">
        <v>8.1941153181787199E-2</v>
      </c>
      <c r="Q491" t="s">
        <v>153</v>
      </c>
    </row>
    <row r="492" spans="9:17" x14ac:dyDescent="0.45">
      <c r="I492" t="s">
        <v>201</v>
      </c>
      <c r="J492" t="s">
        <v>324</v>
      </c>
      <c r="K492">
        <v>2.6209698559554943E-3</v>
      </c>
      <c r="L492" t="s">
        <v>153</v>
      </c>
      <c r="N492" t="s">
        <v>244</v>
      </c>
      <c r="O492" t="s">
        <v>324</v>
      </c>
      <c r="P492">
        <v>0.14154647777613177</v>
      </c>
      <c r="Q492" t="s">
        <v>153</v>
      </c>
    </row>
    <row r="493" spans="9:17" x14ac:dyDescent="0.45">
      <c r="I493" t="s">
        <v>201</v>
      </c>
      <c r="J493" t="s">
        <v>325</v>
      </c>
      <c r="K493">
        <v>3.7184542922446891E-2</v>
      </c>
      <c r="L493" t="s">
        <v>153</v>
      </c>
      <c r="N493" t="s">
        <v>244</v>
      </c>
      <c r="O493" t="s">
        <v>325</v>
      </c>
      <c r="P493">
        <v>1.9755219905164906E-2</v>
      </c>
      <c r="Q493" t="s">
        <v>153</v>
      </c>
    </row>
    <row r="494" spans="9:17" x14ac:dyDescent="0.45">
      <c r="I494" t="s">
        <v>201</v>
      </c>
      <c r="J494" t="s">
        <v>326</v>
      </c>
      <c r="K494">
        <v>0.18371201552421029</v>
      </c>
      <c r="L494" t="s">
        <v>153</v>
      </c>
      <c r="N494" t="s">
        <v>244</v>
      </c>
      <c r="O494" t="s">
        <v>326</v>
      </c>
      <c r="P494">
        <v>9.8727409489421727E-2</v>
      </c>
      <c r="Q494" t="s">
        <v>153</v>
      </c>
    </row>
    <row r="495" spans="9:17" x14ac:dyDescent="0.45">
      <c r="I495" t="s">
        <v>201</v>
      </c>
      <c r="J495" t="s">
        <v>327</v>
      </c>
      <c r="K495">
        <v>9.3097715835245435E-4</v>
      </c>
      <c r="L495" t="s">
        <v>153</v>
      </c>
      <c r="N495" t="s">
        <v>244</v>
      </c>
      <c r="O495" t="s">
        <v>327</v>
      </c>
      <c r="P495">
        <v>0.13062529232195308</v>
      </c>
      <c r="Q495" t="s">
        <v>153</v>
      </c>
    </row>
    <row r="496" spans="9:17" x14ac:dyDescent="0.45">
      <c r="I496" t="s">
        <v>201</v>
      </c>
      <c r="J496" t="s">
        <v>328</v>
      </c>
      <c r="K496">
        <v>2.4960007331345721E-2</v>
      </c>
      <c r="L496" t="s">
        <v>153</v>
      </c>
      <c r="N496" t="s">
        <v>244</v>
      </c>
      <c r="O496" t="s">
        <v>328</v>
      </c>
      <c r="P496">
        <v>1.46775840076899E-2</v>
      </c>
      <c r="Q496" t="s">
        <v>153</v>
      </c>
    </row>
    <row r="497" spans="9:17" x14ac:dyDescent="0.45">
      <c r="I497" t="s">
        <v>201</v>
      </c>
      <c r="J497" t="s">
        <v>329</v>
      </c>
      <c r="K497">
        <v>0.16009773653406187</v>
      </c>
      <c r="L497" t="s">
        <v>153</v>
      </c>
      <c r="N497" t="s">
        <v>244</v>
      </c>
      <c r="O497" t="s">
        <v>329</v>
      </c>
      <c r="P497">
        <v>0.10973267502587646</v>
      </c>
      <c r="Q497" t="s">
        <v>153</v>
      </c>
    </row>
    <row r="498" spans="9:17" x14ac:dyDescent="0.45">
      <c r="I498" t="s">
        <v>201</v>
      </c>
      <c r="J498" t="s">
        <v>330</v>
      </c>
      <c r="K498">
        <v>0</v>
      </c>
      <c r="L498" t="s">
        <v>153</v>
      </c>
      <c r="N498" t="s">
        <v>244</v>
      </c>
      <c r="O498" t="s">
        <v>330</v>
      </c>
      <c r="P498">
        <v>0.12719170035328087</v>
      </c>
      <c r="Q498" t="s">
        <v>153</v>
      </c>
    </row>
    <row r="499" spans="9:17" x14ac:dyDescent="0.45">
      <c r="I499" t="s">
        <v>201</v>
      </c>
      <c r="J499" t="s">
        <v>331</v>
      </c>
      <c r="K499">
        <v>2.075695065940172E-2</v>
      </c>
      <c r="L499" t="s">
        <v>153</v>
      </c>
      <c r="N499" t="s">
        <v>244</v>
      </c>
      <c r="O499" t="s">
        <v>331</v>
      </c>
      <c r="P499">
        <v>1.8941358434184617E-2</v>
      </c>
      <c r="Q499" t="s">
        <v>153</v>
      </c>
    </row>
    <row r="500" spans="9:17" x14ac:dyDescent="0.45">
      <c r="I500" t="s">
        <v>201</v>
      </c>
      <c r="J500" t="s">
        <v>332</v>
      </c>
      <c r="K500">
        <v>0.25966913475224568</v>
      </c>
      <c r="L500" t="s">
        <v>153</v>
      </c>
      <c r="N500" t="s">
        <v>244</v>
      </c>
      <c r="O500" t="s">
        <v>332</v>
      </c>
      <c r="P500">
        <v>7.2397570856712584E-2</v>
      </c>
      <c r="Q500" t="s">
        <v>153</v>
      </c>
    </row>
    <row r="501" spans="9:17" x14ac:dyDescent="0.45">
      <c r="I501" t="s">
        <v>201</v>
      </c>
      <c r="J501" t="s">
        <v>333</v>
      </c>
      <c r="K501">
        <v>1.1503722868240853E-2</v>
      </c>
      <c r="L501" t="s">
        <v>153</v>
      </c>
      <c r="N501" t="s">
        <v>244</v>
      </c>
      <c r="O501" t="s">
        <v>333</v>
      </c>
      <c r="P501">
        <v>0.16591287053548812</v>
      </c>
      <c r="Q501" t="s">
        <v>153</v>
      </c>
    </row>
    <row r="502" spans="9:17" x14ac:dyDescent="0.45">
      <c r="I502" t="s">
        <v>201</v>
      </c>
      <c r="J502" t="s">
        <v>334</v>
      </c>
      <c r="K502">
        <v>4.0005036715390171E-2</v>
      </c>
      <c r="L502" t="s">
        <v>153</v>
      </c>
      <c r="N502" t="s">
        <v>244</v>
      </c>
      <c r="O502" t="s">
        <v>334</v>
      </c>
      <c r="P502">
        <v>1.8550688112306868E-2</v>
      </c>
      <c r="Q502" t="s">
        <v>153</v>
      </c>
    </row>
    <row r="503" spans="9:17" x14ac:dyDescent="0.45">
      <c r="I503" t="s">
        <v>202</v>
      </c>
      <c r="J503" t="s">
        <v>323</v>
      </c>
      <c r="K503">
        <v>0.25601175142696125</v>
      </c>
      <c r="L503" t="s">
        <v>153</v>
      </c>
      <c r="N503" t="s">
        <v>245</v>
      </c>
      <c r="O503" t="s">
        <v>323</v>
      </c>
      <c r="P503">
        <v>7.360072257236823E-2</v>
      </c>
      <c r="Q503" t="s">
        <v>153</v>
      </c>
    </row>
    <row r="504" spans="9:17" x14ac:dyDescent="0.45">
      <c r="I504" t="s">
        <v>202</v>
      </c>
      <c r="J504" t="s">
        <v>324</v>
      </c>
      <c r="K504">
        <v>1.2221178566003215E-3</v>
      </c>
      <c r="L504" t="s">
        <v>153</v>
      </c>
      <c r="N504" t="s">
        <v>245</v>
      </c>
      <c r="O504" t="s">
        <v>324</v>
      </c>
      <c r="P504">
        <v>0.16767936119113028</v>
      </c>
      <c r="Q504" t="s">
        <v>153</v>
      </c>
    </row>
    <row r="505" spans="9:17" x14ac:dyDescent="0.45">
      <c r="I505" t="s">
        <v>202</v>
      </c>
      <c r="J505" t="s">
        <v>325</v>
      </c>
      <c r="K505">
        <v>3.4300896411272784E-2</v>
      </c>
      <c r="L505" t="s">
        <v>153</v>
      </c>
      <c r="N505" t="s">
        <v>245</v>
      </c>
      <c r="O505" t="s">
        <v>325</v>
      </c>
      <c r="P505">
        <v>1.600737831954548E-2</v>
      </c>
      <c r="Q505" t="s">
        <v>153</v>
      </c>
    </row>
    <row r="506" spans="9:17" x14ac:dyDescent="0.45">
      <c r="I506" t="s">
        <v>202</v>
      </c>
      <c r="J506" t="s">
        <v>326</v>
      </c>
      <c r="K506">
        <v>0.19209781887498426</v>
      </c>
      <c r="L506" t="s">
        <v>153</v>
      </c>
      <c r="N506" t="s">
        <v>245</v>
      </c>
      <c r="O506" t="s">
        <v>326</v>
      </c>
      <c r="P506">
        <v>8.9502096612008225E-2</v>
      </c>
      <c r="Q506" t="s">
        <v>153</v>
      </c>
    </row>
    <row r="507" spans="9:17" x14ac:dyDescent="0.45">
      <c r="I507" t="s">
        <v>202</v>
      </c>
      <c r="J507" t="s">
        <v>327</v>
      </c>
      <c r="K507">
        <v>6.1836754246425351E-4</v>
      </c>
      <c r="L507" t="s">
        <v>153</v>
      </c>
      <c r="N507" t="s">
        <v>245</v>
      </c>
      <c r="O507" t="s">
        <v>327</v>
      </c>
      <c r="P507">
        <v>0.14637396757018878</v>
      </c>
      <c r="Q507" t="s">
        <v>153</v>
      </c>
    </row>
    <row r="508" spans="9:17" x14ac:dyDescent="0.45">
      <c r="I508" t="s">
        <v>202</v>
      </c>
      <c r="J508" t="s">
        <v>328</v>
      </c>
      <c r="K508">
        <v>2.6644186285059091E-2</v>
      </c>
      <c r="L508" t="s">
        <v>153</v>
      </c>
      <c r="N508" t="s">
        <v>245</v>
      </c>
      <c r="O508" t="s">
        <v>328</v>
      </c>
      <c r="P508">
        <v>1.1374903004307775E-2</v>
      </c>
      <c r="Q508" t="s">
        <v>153</v>
      </c>
    </row>
    <row r="509" spans="9:17" x14ac:dyDescent="0.45">
      <c r="I509" t="s">
        <v>202</v>
      </c>
      <c r="J509" t="s">
        <v>329</v>
      </c>
      <c r="K509">
        <v>0.1713648872953234</v>
      </c>
      <c r="L509" t="s">
        <v>153</v>
      </c>
      <c r="N509" t="s">
        <v>245</v>
      </c>
      <c r="O509" t="s">
        <v>329</v>
      </c>
      <c r="P509">
        <v>0.10141767640019174</v>
      </c>
      <c r="Q509" t="s">
        <v>153</v>
      </c>
    </row>
    <row r="510" spans="9:17" x14ac:dyDescent="0.45">
      <c r="I510" t="s">
        <v>202</v>
      </c>
      <c r="J510" t="s">
        <v>330</v>
      </c>
      <c r="K510">
        <v>0</v>
      </c>
      <c r="L510" t="s">
        <v>153</v>
      </c>
      <c r="N510" t="s">
        <v>245</v>
      </c>
      <c r="O510" t="s">
        <v>330</v>
      </c>
      <c r="P510">
        <v>0.15109255939781527</v>
      </c>
      <c r="Q510" t="s">
        <v>153</v>
      </c>
    </row>
    <row r="511" spans="9:17" x14ac:dyDescent="0.45">
      <c r="I511" t="s">
        <v>202</v>
      </c>
      <c r="J511" t="s">
        <v>331</v>
      </c>
      <c r="K511">
        <v>2.2054505295155142E-2</v>
      </c>
      <c r="L511" t="s">
        <v>153</v>
      </c>
      <c r="N511" t="s">
        <v>245</v>
      </c>
      <c r="O511" t="s">
        <v>331</v>
      </c>
      <c r="P511">
        <v>1.5145672279820756E-2</v>
      </c>
      <c r="Q511" t="s">
        <v>153</v>
      </c>
    </row>
    <row r="512" spans="9:17" x14ac:dyDescent="0.45">
      <c r="I512" t="s">
        <v>202</v>
      </c>
      <c r="J512" t="s">
        <v>332</v>
      </c>
      <c r="K512">
        <v>0.24854745649130539</v>
      </c>
      <c r="L512" t="s">
        <v>153</v>
      </c>
      <c r="N512" t="s">
        <v>245</v>
      </c>
      <c r="O512" t="s">
        <v>332</v>
      </c>
      <c r="P512">
        <v>6.4812118065634111E-2</v>
      </c>
      <c r="Q512" t="s">
        <v>153</v>
      </c>
    </row>
    <row r="513" spans="9:17" x14ac:dyDescent="0.45">
      <c r="I513" t="s">
        <v>202</v>
      </c>
      <c r="J513" t="s">
        <v>333</v>
      </c>
      <c r="K513">
        <v>9.9274541527994663E-3</v>
      </c>
      <c r="L513" t="s">
        <v>153</v>
      </c>
      <c r="N513" t="s">
        <v>245</v>
      </c>
      <c r="O513" t="s">
        <v>333</v>
      </c>
      <c r="P513">
        <v>0.15249919082698746</v>
      </c>
      <c r="Q513" t="s">
        <v>153</v>
      </c>
    </row>
    <row r="514" spans="9:17" x14ac:dyDescent="0.45">
      <c r="I514" t="s">
        <v>202</v>
      </c>
      <c r="J514" t="s">
        <v>334</v>
      </c>
      <c r="K514">
        <v>3.7210558368075214E-2</v>
      </c>
      <c r="L514" t="s">
        <v>153</v>
      </c>
      <c r="N514" t="s">
        <v>245</v>
      </c>
      <c r="O514" t="s">
        <v>334</v>
      </c>
      <c r="P514">
        <v>1.0494353760003751E-2</v>
      </c>
      <c r="Q514" t="s">
        <v>153</v>
      </c>
    </row>
    <row r="515" spans="9:17" x14ac:dyDescent="0.45">
      <c r="I515" t="s">
        <v>203</v>
      </c>
      <c r="J515" t="s">
        <v>323</v>
      </c>
      <c r="K515">
        <v>0.25662324133382841</v>
      </c>
      <c r="L515" t="s">
        <v>153</v>
      </c>
    </row>
    <row r="516" spans="9:17" x14ac:dyDescent="0.45">
      <c r="I516" t="s">
        <v>203</v>
      </c>
      <c r="J516" t="s">
        <v>324</v>
      </c>
      <c r="K516">
        <v>6.3427468322866027E-4</v>
      </c>
      <c r="L516" t="s">
        <v>153</v>
      </c>
    </row>
    <row r="517" spans="9:17" x14ac:dyDescent="0.45">
      <c r="I517" t="s">
        <v>203</v>
      </c>
      <c r="J517" t="s">
        <v>325</v>
      </c>
      <c r="K517">
        <v>3.3584498491427334E-2</v>
      </c>
      <c r="L517" t="s">
        <v>153</v>
      </c>
    </row>
    <row r="518" spans="9:17" x14ac:dyDescent="0.45">
      <c r="I518" t="s">
        <v>203</v>
      </c>
      <c r="J518" t="s">
        <v>326</v>
      </c>
      <c r="K518">
        <v>0.19403908750663512</v>
      </c>
      <c r="L518" t="s">
        <v>153</v>
      </c>
    </row>
    <row r="519" spans="9:17" x14ac:dyDescent="0.45">
      <c r="I519" t="s">
        <v>203</v>
      </c>
      <c r="J519" t="s">
        <v>327</v>
      </c>
      <c r="K519">
        <v>5.0291746820021958E-5</v>
      </c>
      <c r="L519" t="s">
        <v>153</v>
      </c>
    </row>
    <row r="520" spans="9:17" x14ac:dyDescent="0.45">
      <c r="I520" t="s">
        <v>203</v>
      </c>
      <c r="J520" t="s">
        <v>328</v>
      </c>
      <c r="K520">
        <v>2.3909230062164156E-2</v>
      </c>
      <c r="L520" t="s">
        <v>153</v>
      </c>
    </row>
    <row r="521" spans="9:17" x14ac:dyDescent="0.45">
      <c r="I521" t="s">
        <v>203</v>
      </c>
      <c r="J521" t="s">
        <v>329</v>
      </c>
      <c r="K521">
        <v>0.17629196169272507</v>
      </c>
      <c r="L521" t="s">
        <v>153</v>
      </c>
    </row>
    <row r="522" spans="9:17" x14ac:dyDescent="0.45">
      <c r="I522" t="s">
        <v>203</v>
      </c>
      <c r="J522" t="s">
        <v>330</v>
      </c>
      <c r="K522">
        <v>0</v>
      </c>
      <c r="L522" t="s">
        <v>153</v>
      </c>
    </row>
    <row r="523" spans="9:17" x14ac:dyDescent="0.45">
      <c r="I523" t="s">
        <v>203</v>
      </c>
      <c r="J523" t="s">
        <v>331</v>
      </c>
      <c r="K523">
        <v>2.0696041228757286E-2</v>
      </c>
      <c r="L523" t="s">
        <v>153</v>
      </c>
    </row>
    <row r="524" spans="9:17" x14ac:dyDescent="0.45">
      <c r="I524" t="s">
        <v>203</v>
      </c>
      <c r="J524" t="s">
        <v>332</v>
      </c>
      <c r="K524">
        <v>0.24820124642590918</v>
      </c>
      <c r="L524" t="s">
        <v>153</v>
      </c>
    </row>
    <row r="525" spans="9:17" x14ac:dyDescent="0.45">
      <c r="I525" t="s">
        <v>203</v>
      </c>
      <c r="J525" t="s">
        <v>333</v>
      </c>
      <c r="K525">
        <v>9.3368572910184754E-3</v>
      </c>
      <c r="L525" t="s">
        <v>153</v>
      </c>
    </row>
    <row r="526" spans="9:17" x14ac:dyDescent="0.45">
      <c r="I526" t="s">
        <v>203</v>
      </c>
      <c r="J526" t="s">
        <v>334</v>
      </c>
      <c r="K526">
        <v>3.6633269537487134E-2</v>
      </c>
      <c r="L526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ts_012</vt:lpstr>
      <vt:lpstr>ts_024</vt:lpstr>
      <vt:lpstr>ts_036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2026-05-25T03:47:09Z</dcterms:modified>
</cp:coreProperties>
</file>