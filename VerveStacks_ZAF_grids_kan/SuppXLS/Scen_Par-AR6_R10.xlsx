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SuppXLS\"/>
    </mc:Choice>
  </mc:AlternateContent>
  <xr:revisionPtr revIDLastSave="0" documentId="8_{911AD6EB-AE62-4687-A24D-9513EF0073F1}" xr6:coauthVersionLast="47" xr6:coauthVersionMax="47" xr10:uidLastSave="{00000000-0000-0000-0000-000000000000}"/>
  <bookViews>
    <workbookView xWindow="-98" yWindow="-98" windowWidth="28996" windowHeight="17475" firstSheet="11" activeTab="11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30" sheetId="8" r:id="rId7"/>
    <sheet name="ts_048" sheetId="9" r:id="rId8"/>
    <sheet name="s1_d" sheetId="10" r:id="rId9"/>
    <sheet name="s1v1_d" sheetId="11" r:id="rId10"/>
    <sheet name="ts_annual" sheetId="12" r:id="rId11"/>
    <sheet name="ts_12t" sheetId="13" r:id="rId12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3" l="1"/>
  <c r="AG9" i="13"/>
  <c r="AC9" i="13"/>
  <c r="A10" i="6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33" i="1" l="1"/>
  <c r="B28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16" i="1"/>
  <c r="B16" i="1" s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D46" i="1"/>
  <c r="B46" i="1" s="1"/>
  <c r="E67" i="1"/>
  <c r="D14" i="1"/>
  <c r="B14" i="1" s="1"/>
  <c r="B22" i="1"/>
  <c r="D56" i="1"/>
  <c r="B56" i="1" s="1"/>
  <c r="B42" i="1"/>
  <c r="B37" i="1"/>
  <c r="D66" i="1"/>
  <c r="B66" i="1" s="1"/>
  <c r="D68" i="1"/>
  <c r="B32" i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B67" i="1"/>
  <c r="E38" i="1"/>
  <c r="B33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B68" i="1"/>
  <c r="AJ64" i="1"/>
  <c r="D59" i="1"/>
  <c r="B59" i="1" s="1"/>
  <c r="AJ69" i="1" l="1"/>
  <c r="D64" i="1"/>
  <c r="B64" i="1" s="1"/>
  <c r="AJ65" i="1"/>
  <c r="D60" i="1"/>
  <c r="B60" i="1" s="1"/>
  <c r="AJ70" i="1" l="1"/>
  <c r="D65" i="1"/>
  <c r="B65" i="1" s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<sst xmlns="http://schemas.openxmlformats.org/spreadsheetml/2006/main" count="77221" uniqueCount="446">
  <si>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</si>
  <si>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</si>
  <si>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</si>
  <si>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</si>
  <si>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</si>
  <si>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</si>
  <si>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</si>
  <si>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</si>
  <si>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</si>
  <si>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</si>
  <si>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</si>
  <si>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</si>
  <si>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</si>
  <si>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</si>
  <si>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</si>
  <si>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</si>
  <si>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</si>
  <si>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</si>
  <si>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</si>
  <si>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</si>
  <si>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</si>
  <si>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</si>
  <si>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</si>
  <si>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</si>
  <si>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</si>
  <si>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</si>
  <si>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</si>
  <si>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</si>
  <si>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</si>
  <si>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</si>
  <si>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</si>
  <si>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</si>
  <si>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</si>
  <si>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</si>
  <si>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</si>
  <si>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</si>
  <si>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</si>
  <si>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</si>
  <si>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</si>
  <si>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</si>
  <si>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</si>
  <si>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</si>
  <si>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</si>
  <si>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</si>
  <si>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</si>
  <si>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</si>
  <si>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</si>
  <si>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</si>
  <si>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</si>
  <si>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</si>
  <si>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</si>
  <si>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</si>
  <si>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</si>
  <si>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</si>
  <si>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</si>
  <si>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</si>
  <si>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</si>
  <si>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</si>
  <si>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</si>
  <si>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</si>
  <si>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</si>
  <si>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</si>
  <si>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</si>
  <si>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</si>
  <si>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</si>
  <si>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</si>
  <si>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</si>
  <si>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</si>
  <si>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</si>
  <si>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</si>
  <si>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</si>
  <si>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</si>
  <si>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</si>
  <si>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</si>
  <si>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</si>
  <si>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</si>
  <si>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</si>
  <si>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</si>
  <si>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</si>
  <si>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</si>
  <si>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</si>
  <si>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</si>
  <si>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</si>
  <si>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</si>
  <si>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</si>
  <si>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</si>
  <si>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</si>
  <si>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</si>
  <si>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</si>
  <si>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</si>
  <si>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</si>
  <si>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</si>
  <si>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</si>
  <si>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</si>
  <si>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</si>
  <si>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</si>
  <si>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</si>
  <si>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</si>
  <si>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</si>
  <si>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</si>
  <si>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</si>
  <si>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</si>
  <si>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</si>
  <si>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</si>
  <si>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</si>
  <si>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</si>
  <si>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</si>
  <si>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</si>
  <si>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</si>
  <si>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</si>
  <si>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</si>
  <si>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</si>
  <si>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</si>
  <si>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</si>
  <si>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</si>
  <si>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</si>
  <si>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</si>
  <si>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</si>
  <si>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</si>
  <si>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</si>
  <si>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</si>
  <si>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h48</t>
  </si>
  <si>
    <t>j12</t>
  </si>
  <si>
    <t>k12</t>
  </si>
  <si>
    <t>kAnn</t>
  </si>
  <si>
    <t>~TFM_INS-TS: attribute=flo_cost;pset_pn=-IMP*Z</t>
  </si>
  <si>
    <t>bio price multiplier</t>
  </si>
  <si>
    <t>s1v1_d</t>
  </si>
  <si>
    <t>ts_030</t>
  </si>
  <si>
    <t>i30</t>
  </si>
  <si>
    <t>ts_048P10</t>
  </si>
  <si>
    <t>h48P10</t>
  </si>
  <si>
    <t>ts_048P90</t>
  </si>
  <si>
    <t>h48P90</t>
  </si>
  <si>
    <t>s1_d</t>
  </si>
  <si>
    <t>g1d72</t>
  </si>
  <si>
    <t>f2d96</t>
  </si>
  <si>
    <t>ts_096</t>
  </si>
  <si>
    <t>e96</t>
  </si>
  <si>
    <t>ZAF</t>
  </si>
  <si>
    <t>R10AFRICA</t>
  </si>
  <si>
    <t>Limited gas, abundant cheap coal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</si>
  <si>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</si>
  <si>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</si>
  <si>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</si>
  <si>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</si>
  <si>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</si>
  <si>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</si>
  <si>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</si>
  <si>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</si>
  <si>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</si>
  <si>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</si>
  <si>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</si>
  <si>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</si>
  <si>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</si>
  <si>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</si>
  <si>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</si>
  <si>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</si>
  <si>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</si>
  <si>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</si>
  <si>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</si>
  <si>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</si>
  <si>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</si>
  <si>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</si>
  <si>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</si>
  <si>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</si>
  <si>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</si>
  <si>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</si>
  <si>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</si>
  <si>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</si>
  <si>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</si>
  <si>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</si>
  <si>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</si>
  <si>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</si>
  <si>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</si>
  <si>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</si>
  <si>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</si>
  <si>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</si>
  <si>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</si>
  <si>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</si>
  <si>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</si>
  <si>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</si>
  <si>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</si>
  <si>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</si>
  <si>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</si>
  <si>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</si>
  <si>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</si>
  <si>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</si>
  <si>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</si>
  <si>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</si>
  <si>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</si>
  <si>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</si>
  <si>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</si>
  <si>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</si>
  <si>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</si>
  <si>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</si>
  <si>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</si>
  <si>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</si>
  <si>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</si>
  <si>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</si>
  <si>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</si>
  <si>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</si>
  <si>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</si>
  <si>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</si>
  <si>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</si>
  <si>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</si>
  <si>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</si>
  <si>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</si>
  <si>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</si>
  <si>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</si>
  <si>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</si>
  <si>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</si>
  <si>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</si>
  <si>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</si>
  <si>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</si>
  <si>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</si>
  <si>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</si>
  <si>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</si>
  <si>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</si>
  <si>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</si>
  <si>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</si>
  <si>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</si>
  <si>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</si>
  <si>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</si>
  <si>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</si>
  <si>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</si>
  <si>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</si>
  <si>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</si>
  <si>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</si>
  <si>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</si>
  <si>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</si>
  <si>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</si>
  <si>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</si>
  <si>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</si>
  <si>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</si>
  <si>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</si>
  <si>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</si>
  <si>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</si>
  <si>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</si>
  <si>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</si>
  <si>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</si>
  <si>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</si>
  <si>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</si>
  <si>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</si>
  <si>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</si>
  <si>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</si>
  <si>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</si>
  <si>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</si>
  <si>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</si>
  <si>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</si>
  <si>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</si>
  <si>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</si>
  <si>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</si>
  <si>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</si>
  <si>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</si>
  <si>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</si>
  <si>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</si>
  <si>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</si>
  <si>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</si>
  <si>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</si>
  <si>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</si>
  <si>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</si>
  <si>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</si>
  <si>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</si>
  <si>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</si>
  <si>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</si>
  <si>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</si>
  <si>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</si>
  <si>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</si>
  <si>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</si>
  <si>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</si>
  <si>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</si>
  <si>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g_yrfr</t>
  </si>
  <si>
    <t>day_night</t>
  </si>
  <si>
    <t>D</t>
  </si>
  <si>
    <t>S03aH02,S02aH02,S01aH02</t>
  </si>
  <si>
    <t>N</t>
  </si>
  <si>
    <t>S03aH01,S03aH03,S02aH03,S01aH03,S02aH01,S01aH01</t>
  </si>
  <si>
    <t>com_pkflx</t>
  </si>
  <si>
    <t>ncap_afs</t>
  </si>
  <si>
    <t>pset_ci</t>
  </si>
  <si>
    <t>hydro</t>
  </si>
  <si>
    <t>S01,S02,S03,S04,S05</t>
  </si>
  <si>
    <t>S04</t>
  </si>
  <si>
    <t>H04</t>
  </si>
  <si>
    <t>S05</t>
  </si>
  <si>
    <t>H05</t>
  </si>
  <si>
    <t>S01aH04</t>
  </si>
  <si>
    <t>S01aH05</t>
  </si>
  <si>
    <t>S02aH04</t>
  </si>
  <si>
    <t>S02aH05</t>
  </si>
  <si>
    <t>S03aH04</t>
  </si>
  <si>
    <t>S03aH05</t>
  </si>
  <si>
    <t>S04aH01</t>
  </si>
  <si>
    <t>S04aH02</t>
  </si>
  <si>
    <t>S04aH03</t>
  </si>
  <si>
    <t>S04aH04</t>
  </si>
  <si>
    <t>S04aH05</t>
  </si>
  <si>
    <t>S05aH01</t>
  </si>
  <si>
    <t>S05aH02</t>
  </si>
  <si>
    <t>S05aH03</t>
  </si>
  <si>
    <t>S05aH04</t>
  </si>
  <si>
    <t>S05aH05</t>
  </si>
  <si>
    <t>S04aH02,S03aH02,S01aH03,S05aH02,S05aH03,S03aH03,S02aH03,S01aH02,S02aH02,S04aH03</t>
  </si>
  <si>
    <t>S01aH04,S05aH01,S04aH04,S04aH05,S02aH04,S02aH05,S01aH01,S04aH01,S05aH04,S01aH05,S03aH01,S03aH04,S03aH05,S05aH05,S02aH01</t>
  </si>
  <si>
    <t>S01,S02,S03,S04,S05,S06</t>
  </si>
  <si>
    <t>S06</t>
  </si>
  <si>
    <t>H06</t>
  </si>
  <si>
    <t>S01aH06</t>
  </si>
  <si>
    <t>S02aH06</t>
  </si>
  <si>
    <t>S03aH06</t>
  </si>
  <si>
    <t>S04aH06</t>
  </si>
  <si>
    <t>S05aH06</t>
  </si>
  <si>
    <t>S06aH01</t>
  </si>
  <si>
    <t>S06aH02</t>
  </si>
  <si>
    <t>S06aH03</t>
  </si>
  <si>
    <t>S06aH04</t>
  </si>
  <si>
    <t>S06aH05</t>
  </si>
  <si>
    <t>S06aH06</t>
  </si>
  <si>
    <t>S01aH04,S01aH03,S05aH02,S05aH03,S04aH03,S03aH02,S02aH03,S06aH04,S04aH02,S03aH04,S03aH03,S02aH04,S05aH04,S06aH02,S06aH03,S01aH02,S04aH04,S02aH02</t>
  </si>
  <si>
    <t>S02aH01,S05aH06,S01aH01,S04aH01,S04aH06,S02aH05,S05aH01,S06aH06,S02aH06,S03aH05,S05aH05,S04aH05,S06aH01,S01aH06,S01aH05,S03aH06,S06aH05,S03aH01</t>
  </si>
  <si>
    <t>0708h01</t>
  </si>
  <si>
    <t>b</t>
  </si>
  <si>
    <t>0708h02</t>
  </si>
  <si>
    <t>0708h03</t>
  </si>
  <si>
    <t>0708h04</t>
  </si>
  <si>
    <t>0708h05</t>
  </si>
  <si>
    <t>0708h06</t>
  </si>
  <si>
    <t>0708h07</t>
  </si>
  <si>
    <t>0708h08</t>
  </si>
  <si>
    <t>0708h09</t>
  </si>
  <si>
    <t>0708h10</t>
  </si>
  <si>
    <t>0708h11</t>
  </si>
  <si>
    <t>0708h12</t>
  </si>
  <si>
    <t>0708h13</t>
  </si>
  <si>
    <t>0708h14</t>
  </si>
  <si>
    <t>0708h15</t>
  </si>
  <si>
    <t>0708h16</t>
  </si>
  <si>
    <t>0708h17</t>
  </si>
  <si>
    <t>0708h18</t>
  </si>
  <si>
    <t>0708h19</t>
  </si>
  <si>
    <t>0708h20</t>
  </si>
  <si>
    <t>0708h21</t>
  </si>
  <si>
    <t>0708h22</t>
  </si>
  <si>
    <t>0708h23</t>
  </si>
  <si>
    <t>0708h24</t>
  </si>
  <si>
    <t>S02b0708h01</t>
  </si>
  <si>
    <t>S02b0708h02</t>
  </si>
  <si>
    <t>S02b0708h03</t>
  </si>
  <si>
    <t>S02b0708h04</t>
  </si>
  <si>
    <t>S02b0708h05</t>
  </si>
  <si>
    <t>S02b0708h06</t>
  </si>
  <si>
    <t>S02b0708h07</t>
  </si>
  <si>
    <t>S02b0708h08</t>
  </si>
  <si>
    <t>S02b0708h09</t>
  </si>
  <si>
    <t>S02b0708h10</t>
  </si>
  <si>
    <t>S02b0708h11</t>
  </si>
  <si>
    <t>S02b0708h12</t>
  </si>
  <si>
    <t>S02b0708h13</t>
  </si>
  <si>
    <t>S02b0708h14</t>
  </si>
  <si>
    <t>S02b0708h15</t>
  </si>
  <si>
    <t>S02b0708h16</t>
  </si>
  <si>
    <t>S02b0708h17</t>
  </si>
  <si>
    <t>S02b0708h18</t>
  </si>
  <si>
    <t>S02b0708h19</t>
  </si>
  <si>
    <t>S02b0708h20</t>
  </si>
  <si>
    <t>S02b0708h21</t>
  </si>
  <si>
    <t>S02b0708h22</t>
  </si>
  <si>
    <t>S02b0708h23</t>
  </si>
  <si>
    <t>S02b0708h24</t>
  </si>
  <si>
    <t>S02b0708h10,S03aH04,S02aH02,S02b0708h12,S02b0708h08,S04aH02,S02aH04,S02b0708h07,S02b0708h14,S02b0708h16,S05aH04,S06aH02,S06aH03,S02aH03,S02b0708h11,S02b0708h17,S04aH03,S03aH02,S03aH03,S02b0708h09,S02b0708h18,S06aH04,S01aH04,S01aH02,S02b0708h15,S04aH04,S01aH03,S02b0708h13,S05aH02,S05aH03</t>
  </si>
  <si>
    <t>S05aH01,S03aH01,S02b0708h20,S02aH06,S02b0708h24,S03aH05,S05aH05,S02b0708h06,S01aH06,S02b0708h02,S02b0708h19,S02b0708h22,S04aH05,S06aH01,S01aH01,S02b0708h23,S04aH01,S04aH06,S02aH01,S02b0708h03,S05aH06,S02b0708h05,S02b0708h01,S06aH06,S02aH05,S02b0708h04,S01aH05,S03aH06,S06aH05,S02b0708h21</t>
  </si>
  <si>
    <t>c</t>
  </si>
  <si>
    <t>0918h01</t>
  </si>
  <si>
    <t>0918h02</t>
  </si>
  <si>
    <t>0918h03</t>
  </si>
  <si>
    <t>0918h04</t>
  </si>
  <si>
    <t>0918h05</t>
  </si>
  <si>
    <t>0918h06</t>
  </si>
  <si>
    <t>0918h07</t>
  </si>
  <si>
    <t>0918h08</t>
  </si>
  <si>
    <t>0918h09</t>
  </si>
  <si>
    <t>0918h10</t>
  </si>
  <si>
    <t>0918h11</t>
  </si>
  <si>
    <t>0918h12</t>
  </si>
  <si>
    <t>0918h13</t>
  </si>
  <si>
    <t>0918h14</t>
  </si>
  <si>
    <t>0918h15</t>
  </si>
  <si>
    <t>0918h16</t>
  </si>
  <si>
    <t>0918h17</t>
  </si>
  <si>
    <t>0918h18</t>
  </si>
  <si>
    <t>0918h19</t>
  </si>
  <si>
    <t>0918h20</t>
  </si>
  <si>
    <t>0918h21</t>
  </si>
  <si>
    <t>0918h22</t>
  </si>
  <si>
    <t>0918h23</t>
  </si>
  <si>
    <t>0918h24</t>
  </si>
  <si>
    <t>S05c0918h01</t>
  </si>
  <si>
    <t>S05c0918h02</t>
  </si>
  <si>
    <t>S05c0918h03</t>
  </si>
  <si>
    <t>S05c0918h04</t>
  </si>
  <si>
    <t>S05c0918h05</t>
  </si>
  <si>
    <t>S05c0918h06</t>
  </si>
  <si>
    <t>S05c0918h07</t>
  </si>
  <si>
    <t>S05c0918h08</t>
  </si>
  <si>
    <t>S05c0918h09</t>
  </si>
  <si>
    <t>S05c0918h10</t>
  </si>
  <si>
    <t>S05c0918h11</t>
  </si>
  <si>
    <t>S05c0918h12</t>
  </si>
  <si>
    <t>S05c0918h13</t>
  </si>
  <si>
    <t>S05c0918h14</t>
  </si>
  <si>
    <t>S05c0918h15</t>
  </si>
  <si>
    <t>S05c0918h16</t>
  </si>
  <si>
    <t>S05c0918h17</t>
  </si>
  <si>
    <t>S05c0918h18</t>
  </si>
  <si>
    <t>S05c0918h19</t>
  </si>
  <si>
    <t>S05c0918h20</t>
  </si>
  <si>
    <t>S05c0918h21</t>
  </si>
  <si>
    <t>S05c0918h22</t>
  </si>
  <si>
    <t>S05c0918h23</t>
  </si>
  <si>
    <t>S05c0918h24</t>
  </si>
  <si>
    <t>S01aH03,S02b0708h13,S05aH02,S05aH03,S05c0918h08,S05c0918h10,S03aH02,S02b0708h07,S02b0708h14,S02b0708h16,S05aH04,S05c0918h12,S06aH02,S06aH03,S05c0918h11,S05c0918h14,S02aH04,S05c0918h07,S05c0918h09,S05c0918h17,S01aH02,S02b0708h15,S04aH04,S05c0918h13,S02b0708h08,S04aH02,S05c0918h16,S02aH02,S02b0708h12,S02b0708h10,S03aH04,S02b0708h17,S04aH03,S05c0918h15,S05c0918h18,S01aH04,S02aH03,S02b0708h11,S02b0708h09,S02b0708h18,S06aH04,S03aH03</t>
  </si>
  <si>
    <t>S02b0708h21,S05c0918h05,S02b0708h05,S01aH06,S05c0918h06,S05c0918h23,S02b0708h06,S05c0918h02,S02aH06,S02b0708h24,S03aH05,S05aH05,S02b0708h04,S05c0918h19,S05c0918h21,S01aH05,S03aH06,S06aH05,S02b0708h20,S03aH01,S05aH01,S05c0918h03,S02b0708h02,S02b0708h19,S02b0708h22,S04aH05,S06aH01,S02aH01,S02b0708h03,S05aH06,S05c0918h22,S05c0918h24,S01aH01,S02b0708h23,S04aH01,S04aH06,S02aH05,S05c0918h01,S05c0918h20,S02b0708h01,S05c0918h04,S06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</si>
  <si>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</si>
  <si>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</si>
  <si>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</si>
  <si>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</si>
  <si>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</si>
  <si>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</si>
  <si>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</si>
  <si>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</si>
  <si>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</si>
  <si>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</si>
  <si>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</si>
  <si>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</si>
  <si>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</si>
  <si>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</si>
  <si>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</si>
  <si>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</si>
  <si>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</si>
  <si>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</si>
  <si>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</si>
  <si>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</si>
  <si>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</si>
  <si>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WaD,RaD,SaD,WaP,FaD,RaP,FaP,SaP</t>
  </si>
  <si>
    <t>SaN,WaN,FaP,SaP,RaN,RaP,FaN,WaP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</si>
</sst>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229.26</c:v>
                </c:pt>
                <c:pt idx="1">
                  <c:v>291.16019999999997</c:v>
                </c:pt>
                <c:pt idx="2">
                  <c:v>385.15679999999998</c:v>
                </c:pt>
                <c:pt idx="3">
                  <c:v>518.12759999999992</c:v>
                </c:pt>
                <c:pt idx="4">
                  <c:v>669.43919999999991</c:v>
                </c:pt>
                <c:pt idx="5">
                  <c:v>1027.0848000000001</c:v>
                </c:pt>
                <c:pt idx="6">
                  <c:v>1377.8525999999999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48.97</c:v>
                </c:pt>
                <c:pt idx="3">
                  <c:v>87.7</c:v>
                </c:pt>
                <c:pt idx="4">
                  <c:v>122.55</c:v>
                </c:pt>
                <c:pt idx="5">
                  <c:v>179.54</c:v>
                </c:pt>
                <c:pt idx="6">
                  <c:v>211.71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/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142</v>
      </c>
    </row>
    <row r="2" spans="1:39" x14ac:dyDescent="0.45">
      <c r="D2" s="1" t="str">
        <f>"~Inputcell: "&amp;_xlfn.TEXTJOIN(",",TRUE,G1:EE1)</f>
        <v>~Inputcell: 1-25,36-40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126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124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68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123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6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">
        <v>122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229.26</v>
      </c>
      <c r="T12" s="2" t="s">
        <v>57</v>
      </c>
      <c r="AG12">
        <v>4</v>
      </c>
      <c r="AH12" t="s">
        <v>128</v>
      </c>
      <c r="AI12" t="s">
        <v>129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">
        <v>121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229.26</v>
      </c>
      <c r="U14" s="8">
        <f t="shared" ref="U14:Z14" si="3">$S$12*J15</f>
        <v>291.16019999999997</v>
      </c>
      <c r="V14" s="8">
        <f t="shared" si="3"/>
        <v>385.15679999999998</v>
      </c>
      <c r="W14" s="8">
        <f t="shared" si="3"/>
        <v>518.12759999999992</v>
      </c>
      <c r="X14" s="8">
        <f t="shared" si="3"/>
        <v>669.43919999999991</v>
      </c>
      <c r="Y14" s="8">
        <f t="shared" si="3"/>
        <v>1027.0848000000001</v>
      </c>
      <c r="Z14" s="8">
        <f t="shared" si="3"/>
        <v>1377.8525999999999</v>
      </c>
      <c r="AG14">
        <v>6</v>
      </c>
      <c r="AH14" t="s">
        <v>130</v>
      </c>
      <c r="AI14" t="s">
        <v>131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6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1.27</v>
      </c>
      <c r="K15" s="11">
        <f>SUMIFS(ar6_r10!$F$2:$F$999,ar6_r10!$A$2:$A$999,Veda!$E$5,ar6_r10!$C$2:$C$999,Veda!K$17,ar6_r10!$M$2:$M$999,Veda!$G15)</f>
        <v>1.68</v>
      </c>
      <c r="L15" s="11">
        <f>SUMIFS(ar6_r10!$F$2:$F$999,ar6_r10!$A$2:$A$999,Veda!$E$5,ar6_r10!$C$2:$C$999,Veda!L$17,ar6_r10!$M$2:$M$999,Veda!$G15)</f>
        <v>2.2599999999999998</v>
      </c>
      <c r="M15" s="11">
        <f>SUMIFS(ar6_r10!$F$2:$F$999,ar6_r10!$A$2:$A$999,Veda!$E$5,ar6_r10!$C$2:$C$999,Veda!M$17,ar6_r10!$M$2:$M$999,Veda!$G15)</f>
        <v>2.92</v>
      </c>
      <c r="N15" s="11">
        <f>SUMIFS(ar6_r10!$F$2:$F$999,ar6_r10!$A$2:$A$999,Veda!$E$5,ar6_r10!$C$2:$C$999,Veda!N$17,ar6_r10!$M$2:$M$999,Veda!$G15)</f>
        <v>4.4800000000000004</v>
      </c>
      <c r="O15" s="11">
        <f>SUMIFS(ar6_r10!$F$2:$F$999,ar6_r10!$A$2:$A$999,Veda!$E$5,ar6_r10!$C$2:$C$999,Veda!O$17,ar6_r10!$M$2:$M$999,Veda!$G15)</f>
        <v>6.01</v>
      </c>
      <c r="AG15">
        <v>7</v>
      </c>
      <c r="AH15" t="s">
        <v>132</v>
      </c>
      <c r="AI15" t="s">
        <v>133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134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127</v>
      </c>
      <c r="AI17" t="s">
        <v>136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5.1812759999999995</v>
      </c>
      <c r="X18" s="6">
        <f t="shared" si="7"/>
        <v>13.388783999999999</v>
      </c>
      <c r="Y18" s="6">
        <f t="shared" si="7"/>
        <v>20.541696000000002</v>
      </c>
      <c r="Z18" s="6">
        <f t="shared" si="7"/>
        <v>41.335577999999998</v>
      </c>
      <c r="AA18" t="s">
        <v>17</v>
      </c>
      <c r="AC18" s="2"/>
      <c r="AG18">
        <v>10</v>
      </c>
      <c r="AH18" t="s">
        <v>137</v>
      </c>
      <c r="AI18" t="s">
        <v>138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0.45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0.42</v>
      </c>
      <c r="M19" s="11">
        <f>SUMIFS(ar6_r10!$F$2:$F$999,ar6_r10!$A$2:$A$999,Veda!$E$5,ar6_r10!$C$2:$C$999,Veda!M$17,ar6_r10!$M$2:$M$999,Veda!$G19)</f>
        <v>0.4</v>
      </c>
      <c r="N19" s="11">
        <f>SUMIFS(ar6_r10!$F$2:$F$999,ar6_r10!$A$2:$A$999,Veda!$E$5,ar6_r10!$C$2:$C$999,Veda!N$17,ar6_r10!$M$2:$M$999,Veda!$G19)</f>
        <v>0.41</v>
      </c>
      <c r="O19" s="11">
        <f>SUMIFS(ar6_r10!$F$2:$F$999,ar6_r10!$A$2:$A$999,Veda!$E$5,ar6_r10!$C$2:$C$999,Veda!O$17,ar6_r10!$M$2:$M$999,Veda!$G19)</f>
        <v>0.38</v>
      </c>
      <c r="S19" s="10" t="s">
        <v>19</v>
      </c>
      <c r="T19" s="6">
        <f t="shared" si="7"/>
        <v>112.33739999999999</v>
      </c>
      <c r="U19" s="6">
        <f t="shared" si="7"/>
        <v>131.02208999999999</v>
      </c>
      <c r="V19" s="6">
        <f t="shared" si="7"/>
        <v>165.617424</v>
      </c>
      <c r="W19" s="6">
        <f t="shared" si="7"/>
        <v>217.61359199999995</v>
      </c>
      <c r="X19" s="6">
        <f t="shared" si="7"/>
        <v>267.77567999999997</v>
      </c>
      <c r="Y19" s="6">
        <f t="shared" si="7"/>
        <v>421.10476800000004</v>
      </c>
      <c r="Z19" s="6">
        <f t="shared" si="7"/>
        <v>523.58398799999998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0.49</v>
      </c>
      <c r="J20" s="11">
        <f>SUMIFS(ar6_r10!$F$2:$F$999,ar6_r10!$A$2:$A$999,Veda!$E$5,ar6_r10!$C$2:$C$999,Veda!J$17,ar6_r10!$M$2:$M$999,Veda!$G20)</f>
        <v>0.52</v>
      </c>
      <c r="K20" s="11">
        <f>SUMIFS(ar6_r10!$F$2:$F$999,ar6_r10!$A$2:$A$999,Veda!$E$5,ar6_r10!$C$2:$C$999,Veda!K$17,ar6_r10!$M$2:$M$999,Veda!$G20)</f>
        <v>0.54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0.51</v>
      </c>
      <c r="N20" s="11">
        <f>SUMIFS(ar6_r10!$F$2:$F$999,ar6_r10!$A$2:$A$999,Veda!$E$5,ar6_r10!$C$2:$C$999,Veda!N$17,ar6_r10!$M$2:$M$999,Veda!$G20)</f>
        <v>0.48</v>
      </c>
      <c r="O20" s="11">
        <f>SUMIFS(ar6_r10!$F$2:$F$999,ar6_r10!$A$2:$A$999,Veda!$E$5,ar6_r10!$C$2:$C$999,Veda!O$17,ar6_r10!$M$2:$M$999,Veda!$G20)</f>
        <v>0.47</v>
      </c>
      <c r="S20" s="10" t="s">
        <v>22</v>
      </c>
      <c r="T20" s="6">
        <f t="shared" si="7"/>
        <v>112.33739999999999</v>
      </c>
      <c r="U20" s="6">
        <f t="shared" si="7"/>
        <v>151.40330399999999</v>
      </c>
      <c r="V20" s="6">
        <f t="shared" si="7"/>
        <v>207.98467199999999</v>
      </c>
      <c r="W20" s="6">
        <f t="shared" si="7"/>
        <v>264.24507599999998</v>
      </c>
      <c r="X20" s="6">
        <f t="shared" si="7"/>
        <v>341.41399199999995</v>
      </c>
      <c r="Y20" s="6">
        <f t="shared" si="7"/>
        <v>493.00070400000004</v>
      </c>
      <c r="Z20" s="6">
        <f t="shared" si="7"/>
        <v>647.59072199999991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0.03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0.05</v>
      </c>
      <c r="S21" s="10" t="s">
        <v>24</v>
      </c>
      <c r="T21" s="6">
        <f>I21*T$14</f>
        <v>2.2925999999999997</v>
      </c>
      <c r="U21" s="6">
        <f t="shared" ref="U21:Z21" si="8">T21</f>
        <v>2.2925999999999997</v>
      </c>
      <c r="V21" s="6">
        <f t="shared" si="8"/>
        <v>2.2925999999999997</v>
      </c>
      <c r="W21" s="6">
        <f t="shared" si="8"/>
        <v>2.2925999999999997</v>
      </c>
      <c r="X21" s="6">
        <f t="shared" si="8"/>
        <v>2.2925999999999997</v>
      </c>
      <c r="Y21" s="6">
        <f t="shared" si="8"/>
        <v>2.2925999999999997</v>
      </c>
      <c r="Z21" s="6">
        <f t="shared" si="8"/>
        <v>2.2925999999999997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2.2926000000000215</v>
      </c>
      <c r="U22" s="6">
        <f t="shared" si="9"/>
        <v>6.4422059999999988</v>
      </c>
      <c r="V22" s="6">
        <f t="shared" si="9"/>
        <v>9.2621040000000221</v>
      </c>
      <c r="W22" s="6">
        <f t="shared" si="9"/>
        <v>33.976331999999957</v>
      </c>
      <c r="X22" s="6">
        <f t="shared" si="9"/>
        <v>57.956927999999948</v>
      </c>
      <c r="Y22" s="6">
        <f t="shared" si="9"/>
        <v>110.68672800000002</v>
      </c>
      <c r="Z22" s="6">
        <f t="shared" si="9"/>
        <v>204.38529000000017</v>
      </c>
      <c r="AA22" t="s">
        <v>17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OS.i30</v>
      </c>
      <c r="C24">
        <f t="shared" si="2"/>
        <v>16</v>
      </c>
      <c r="D24" t="str">
        <f t="shared" si="1"/>
        <v>ts_030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48.97</v>
      </c>
      <c r="L24" s="8">
        <f>SUMIFS(ar6_r10!$F$2:$F$999,ar6_r10!$A$2:$A$999,Veda!$E$5,ar6_r10!$C$2:$C$999,Veda!L$17,ar6_r10!$M$2:$M$999,Veda!$G24)</f>
        <v>87.7</v>
      </c>
      <c r="M24" s="8">
        <f>SUMIFS(ar6_r10!$F$2:$F$999,ar6_r10!$A$2:$A$999,Veda!$E$5,ar6_r10!$C$2:$C$999,Veda!M$17,ar6_r10!$M$2:$M$999,Veda!$G24)</f>
        <v>122.55</v>
      </c>
      <c r="N24" s="8">
        <f>SUMIFS(ar6_r10!$F$2:$F$999,ar6_r10!$A$2:$A$999,Veda!$E$5,ar6_r10!$C$2:$C$999,Veda!N$17,ar6_r10!$M$2:$M$999,Veda!$G24)</f>
        <v>179.54</v>
      </c>
      <c r="O24" s="8">
        <f>SUMIFS(ar6_r10!$F$2:$F$999,ar6_r10!$A$2:$A$999,Veda!$E$5,ar6_r10!$C$2:$C$999,Veda!O$17,ar6_r10!$M$2:$M$999,Veda!$G24)</f>
        <v>211.71</v>
      </c>
      <c r="S24" t="s">
        <v>28</v>
      </c>
      <c r="U24">
        <v>0</v>
      </c>
      <c r="V24" s="11">
        <f>K24/1000</f>
        <v>4.897E-2</v>
      </c>
      <c r="W24" s="11">
        <f>L24/1000</f>
        <v>8.77E-2</v>
      </c>
      <c r="X24" s="11">
        <f>M24/1000</f>
        <v>0.12254999999999999</v>
      </c>
      <c r="Y24" s="11">
        <f>N24/1000</f>
        <v>0.17954000000000001</v>
      </c>
      <c r="Z24" s="11">
        <f>O24/1000</f>
        <v>0.21171000000000001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OS.i30</v>
      </c>
      <c r="C25">
        <f t="shared" si="2"/>
        <v>17</v>
      </c>
      <c r="D25" t="str">
        <f t="shared" si="1"/>
        <v>ts_030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(67%).i30</v>
      </c>
      <c r="C26">
        <f t="shared" si="2"/>
        <v>18</v>
      </c>
      <c r="D26" t="str">
        <f t="shared" si="1"/>
        <v>ts_030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(50%).i30</v>
      </c>
      <c r="C27">
        <f t="shared" si="2"/>
        <v>19</v>
      </c>
      <c r="D27" t="str">
        <f t="shared" si="1"/>
        <v>ts_030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deg.i30</v>
      </c>
      <c r="C28">
        <f t="shared" si="2"/>
        <v>20</v>
      </c>
      <c r="D28" t="str">
        <f t="shared" si="1"/>
        <v>ts_030</v>
      </c>
      <c r="E28" t="str">
        <f t="shared" si="4"/>
        <v>C7</v>
      </c>
      <c r="Q28" s="3">
        <f>SUMIFS(iea_data!G3:G9999,iea_data!$B$3:$B$9999,Veda!$S$11)</f>
        <v>10.76</v>
      </c>
      <c r="S28" t="s">
        <v>32</v>
      </c>
      <c r="T28" s="3">
        <f>Q28</f>
        <v>10.76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-12.27</v>
      </c>
      <c r="S29" t="s">
        <v>35</v>
      </c>
      <c r="T29" s="3">
        <f>-1*Q29</f>
        <v>12.27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OS.h48P10</v>
      </c>
      <c r="C34">
        <f t="shared" si="2"/>
        <v>26</v>
      </c>
      <c r="D34" t="str">
        <f t="shared" si="1"/>
        <v>ts_048P10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OS.h48P10</v>
      </c>
      <c r="C35">
        <f t="shared" si="2"/>
        <v>27</v>
      </c>
      <c r="D35" t="str">
        <f t="shared" si="1"/>
        <v>ts_048P10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(67%).h48P10</v>
      </c>
      <c r="C36">
        <f t="shared" si="2"/>
        <v>28</v>
      </c>
      <c r="D36" t="str">
        <f t="shared" si="1"/>
        <v>ts_048P10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(50%).h48P10</v>
      </c>
      <c r="C37">
        <f t="shared" si="2"/>
        <v>29</v>
      </c>
      <c r="D37" t="str">
        <f t="shared" si="1"/>
        <v>ts_048P10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deg.h48P10</v>
      </c>
      <c r="C38">
        <f t="shared" si="2"/>
        <v>30</v>
      </c>
      <c r="D38" t="str">
        <f t="shared" si="1"/>
        <v>ts_048P10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OS.h48P90</v>
      </c>
      <c r="C39">
        <f t="shared" si="2"/>
        <v>31</v>
      </c>
      <c r="D39" t="str">
        <f t="shared" si="1"/>
        <v>ts_048P90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OS.h48P90</v>
      </c>
      <c r="C40">
        <f t="shared" si="2"/>
        <v>32</v>
      </c>
      <c r="D40" t="str">
        <f t="shared" si="1"/>
        <v>ts_048P90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(67%).h48P90</v>
      </c>
      <c r="C41">
        <f t="shared" si="2"/>
        <v>33</v>
      </c>
      <c r="D41" t="str">
        <f t="shared" si="1"/>
        <v>ts_048P90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(50%).h48P90</v>
      </c>
      <c r="C42">
        <f t="shared" si="2"/>
        <v>34</v>
      </c>
      <c r="D42" t="str">
        <f t="shared" si="1"/>
        <v>ts_048P90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deg.h48P90</v>
      </c>
      <c r="C43">
        <f t="shared" si="2"/>
        <v>35</v>
      </c>
      <c r="D43" t="str">
        <f t="shared" si="1"/>
        <v>ts_048P90</v>
      </c>
      <c r="E43" t="str">
        <f t="shared" si="4"/>
        <v>C7</v>
      </c>
      <c r="G43" t="s">
        <v>125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OS.g1d72</v>
      </c>
      <c r="C44">
        <f t="shared" si="2"/>
        <v>36</v>
      </c>
      <c r="D44" t="str">
        <f t="shared" si="1"/>
        <v>s1_d</v>
      </c>
      <c r="E44" t="str">
        <f t="shared" si="4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OS.g1d72</v>
      </c>
      <c r="C45">
        <f t="shared" si="2"/>
        <v>37</v>
      </c>
      <c r="D45" t="str">
        <f t="shared" si="1"/>
        <v>s1_d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25.75</v>
      </c>
      <c r="J45">
        <f t="shared" si="12"/>
        <v>26.78</v>
      </c>
      <c r="K45">
        <f t="shared" si="12"/>
        <v>35.277500000000003</v>
      </c>
      <c r="L45">
        <f t="shared" si="12"/>
        <v>33.475000000000001</v>
      </c>
      <c r="M45">
        <f t="shared" si="12"/>
        <v>39.912500000000001</v>
      </c>
      <c r="N45">
        <f t="shared" si="12"/>
        <v>41.972499999999997</v>
      </c>
      <c r="O45">
        <f t="shared" si="12"/>
        <v>44.032499999999999</v>
      </c>
      <c r="R45">
        <f>HLOOKUP($G45&amp;"_"&amp;R$44,fuel_prices!$B$10:$I$11,2,FALSE)</f>
        <v>20.6</v>
      </c>
      <c r="S45">
        <f>HLOOKUP($G45&amp;"_"&amp;S$44,fuel_prices!$B$10:$I$11,2,FALSE)</f>
        <v>30.9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(67%).g1d72</v>
      </c>
      <c r="C46">
        <f t="shared" si="2"/>
        <v>38</v>
      </c>
      <c r="D46" t="str">
        <f t="shared" si="1"/>
        <v>s1_d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9.1499999999999986</v>
      </c>
      <c r="J46">
        <f t="shared" si="12"/>
        <v>9.8819999999999997</v>
      </c>
      <c r="K46">
        <f t="shared" si="12"/>
        <v>10.979999999999999</v>
      </c>
      <c r="L46">
        <f t="shared" si="12"/>
        <v>12.260999999999999</v>
      </c>
      <c r="M46">
        <f t="shared" si="12"/>
        <v>13.907999999999998</v>
      </c>
      <c r="N46">
        <f t="shared" si="12"/>
        <v>13.358999999999998</v>
      </c>
      <c r="O46">
        <f t="shared" si="12"/>
        <v>14.365499999999999</v>
      </c>
      <c r="R46">
        <f>HLOOKUP($G46&amp;"_"&amp;R$44,fuel_prices!$B$10:$I$11,2,FALSE)</f>
        <v>7.6</v>
      </c>
      <c r="S46">
        <f>HLOOKUP($G46&amp;"_"&amp;S$44,fuel_prices!$B$10:$I$11,2,FALSE)</f>
        <v>10.7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(50%).g1d72</v>
      </c>
      <c r="C47">
        <f t="shared" si="2"/>
        <v>39</v>
      </c>
      <c r="D47" t="str">
        <f t="shared" si="1"/>
        <v>s1_d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57.499999999999993</v>
      </c>
      <c r="K47">
        <f t="shared" si="12"/>
        <v>80</v>
      </c>
      <c r="L47">
        <f t="shared" si="12"/>
        <v>66.5</v>
      </c>
      <c r="M47">
        <f t="shared" si="12"/>
        <v>73.5</v>
      </c>
      <c r="N47">
        <f t="shared" si="12"/>
        <v>80.5</v>
      </c>
      <c r="O47">
        <f t="shared" si="12"/>
        <v>88.5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deg.g1d72</v>
      </c>
      <c r="C48">
        <f t="shared" si="2"/>
        <v>40</v>
      </c>
      <c r="D48" t="str">
        <f t="shared" si="1"/>
        <v>s1_d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22</v>
      </c>
      <c r="O48">
        <f>VLOOKUP($E$5,$AK$9:$AM$15,3,FALSE)*I48</f>
        <v>66</v>
      </c>
      <c r="R48">
        <f>HLOOKUP($G48&amp;"_"&amp;R$44,fuel_prices!$B$10:$I$11,2,FALSE)</f>
        <v>18</v>
      </c>
      <c r="S48">
        <f>HLOOKUP($G48&amp;"_"&amp;S$44,fuel_prices!$B$10:$I$11,2,FALSE)</f>
        <v>26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OS.f2d96</v>
      </c>
      <c r="C49">
        <f t="shared" si="2"/>
        <v>41</v>
      </c>
      <c r="D49" t="str">
        <f t="shared" si="1"/>
        <v>s1v1_d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OS.f2d96</v>
      </c>
      <c r="C50">
        <f t="shared" si="2"/>
        <v>42</v>
      </c>
      <c r="D50" t="str">
        <f t="shared" si="1"/>
        <v>s1v1_d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(67%).f2d96</v>
      </c>
      <c r="C51">
        <f t="shared" si="2"/>
        <v>43</v>
      </c>
      <c r="D51" t="str">
        <f t="shared" si="1"/>
        <v>s1v1_d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(50%).f2d96</v>
      </c>
      <c r="C52">
        <f t="shared" si="2"/>
        <v>44</v>
      </c>
      <c r="D52" t="str">
        <f t="shared" si="1"/>
        <v>s1v1_d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deg.f2d96</v>
      </c>
      <c r="C53">
        <f t="shared" si="2"/>
        <v>45</v>
      </c>
      <c r="D53" t="str">
        <f t="shared" si="1"/>
        <v>s1v1_d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OS.e96</v>
      </c>
      <c r="C54">
        <f t="shared" si="2"/>
        <v>46</v>
      </c>
      <c r="D54" t="str">
        <f t="shared" si="1"/>
        <v>ts_096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OS.e96</v>
      </c>
      <c r="C55">
        <f t="shared" si="2"/>
        <v>47</v>
      </c>
      <c r="D55" t="str">
        <f t="shared" si="1"/>
        <v>ts_096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(67%).e96</v>
      </c>
      <c r="C56">
        <f t="shared" si="2"/>
        <v>48</v>
      </c>
      <c r="D56" t="str">
        <f t="shared" si="1"/>
        <v>ts_096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(50%).e96</v>
      </c>
      <c r="C57">
        <f t="shared" si="2"/>
        <v>49</v>
      </c>
      <c r="D57" t="str">
        <f t="shared" si="1"/>
        <v>ts_096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deg.e96</v>
      </c>
      <c r="C58">
        <f t="shared" si="2"/>
        <v>50</v>
      </c>
      <c r="D58" t="str">
        <f t="shared" si="1"/>
        <v>ts_096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s1p1v1_d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s1p1v1_d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s1p1v1_d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s1p1v1_d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s1p1v1_d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6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J69" s="10">
        <f t="shared" si="5"/>
        <v>13</v>
      </c>
    </row>
    <row r="70" spans="1:36" x14ac:dyDescent="0.45">
      <c r="AJ70" s="10">
        <f t="shared" si="5"/>
        <v>13</v>
      </c>
    </row>
    <row r="71" spans="1:36" x14ac:dyDescent="0.45">
      <c r="AJ71" s="10">
        <f t="shared" si="5"/>
        <v>13</v>
      </c>
    </row>
    <row r="72" spans="1:36" x14ac:dyDescent="0.45">
      <c r="AJ72" s="10">
        <f t="shared" si="5"/>
        <v>13</v>
      </c>
    </row>
    <row r="73" spans="1:36" x14ac:dyDescent="0.45">
      <c r="AJ73" s="10">
        <f t="shared" si="5"/>
        <v>13</v>
      </c>
    </row>
    <row r="74" spans="1:36" x14ac:dyDescent="0.45">
      <c r="AJ74" s="10">
        <f t="shared" si="5"/>
        <v>14</v>
      </c>
    </row>
    <row r="75" spans="1:36" x14ac:dyDescent="0.45">
      <c r="AJ75" s="10">
        <f t="shared" si="5"/>
        <v>14</v>
      </c>
    </row>
    <row r="76" spans="1:36" x14ac:dyDescent="0.45">
      <c r="AJ76" s="10">
        <f t="shared" si="5"/>
        <v>14</v>
      </c>
    </row>
    <row r="77" spans="1:36" x14ac:dyDescent="0.45">
      <c r="AJ77" s="10">
        <f t="shared" si="5"/>
        <v>14</v>
      </c>
    </row>
    <row r="78" spans="1:36" x14ac:dyDescent="0.45"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139</v>
      </c>
      <c r="B11">
        <v>20.6</v>
      </c>
      <c r="C11">
        <v>30.9</v>
      </c>
      <c r="D11">
        <v>7.6</v>
      </c>
      <c r="E11">
        <v>10.7</v>
      </c>
      <c r="F11">
        <v>45</v>
      </c>
      <c r="G11">
        <v>55</v>
      </c>
      <c r="H11">
        <v>18</v>
      </c>
      <c r="I11">
        <v>26</v>
      </c>
      <c r="J11" t="s">
        <v>141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139</v>
      </c>
      <c r="B11">
        <v>2000</v>
      </c>
      <c r="C11">
        <v>142.38999999999999</v>
      </c>
      <c r="D11">
        <v>49.83</v>
      </c>
      <c r="E11">
        <v>3.43</v>
      </c>
      <c r="F11">
        <v>0.03</v>
      </c>
      <c r="G11">
        <v>15.72</v>
      </c>
      <c r="H11">
        <v>-3.39</v>
      </c>
      <c r="I11">
        <v>207.84</v>
      </c>
    </row>
    <row r="12" spans="1:9" x14ac:dyDescent="0.45">
      <c r="A12" t="s">
        <v>139</v>
      </c>
      <c r="B12">
        <v>2001</v>
      </c>
      <c r="C12">
        <v>146.94</v>
      </c>
      <c r="D12">
        <v>57.1</v>
      </c>
      <c r="E12">
        <v>3.48</v>
      </c>
      <c r="F12">
        <v>0.02</v>
      </c>
      <c r="G12">
        <v>9.1999999999999993</v>
      </c>
      <c r="H12">
        <v>-7</v>
      </c>
      <c r="I12">
        <v>208.17</v>
      </c>
    </row>
    <row r="13" spans="1:9" x14ac:dyDescent="0.45">
      <c r="A13" t="s">
        <v>139</v>
      </c>
      <c r="B13">
        <v>2002</v>
      </c>
      <c r="C13">
        <v>154.36000000000001</v>
      </c>
      <c r="D13">
        <v>53.29</v>
      </c>
      <c r="E13">
        <v>3.3</v>
      </c>
      <c r="F13">
        <v>0.02</v>
      </c>
      <c r="G13">
        <v>9.5</v>
      </c>
      <c r="H13">
        <v>-7.24</v>
      </c>
      <c r="I13">
        <v>218.56</v>
      </c>
    </row>
    <row r="14" spans="1:9" x14ac:dyDescent="0.45">
      <c r="A14" t="s">
        <v>139</v>
      </c>
      <c r="B14">
        <v>2003</v>
      </c>
      <c r="C14">
        <v>149.13999999999999</v>
      </c>
      <c r="D14">
        <v>60.29</v>
      </c>
      <c r="E14">
        <v>3.27</v>
      </c>
      <c r="F14">
        <v>0.02</v>
      </c>
      <c r="G14">
        <v>8.19</v>
      </c>
      <c r="H14">
        <v>-10.26</v>
      </c>
      <c r="I14">
        <v>231.25</v>
      </c>
    </row>
    <row r="15" spans="1:9" x14ac:dyDescent="0.45">
      <c r="A15" t="s">
        <v>139</v>
      </c>
      <c r="B15">
        <v>2004</v>
      </c>
      <c r="C15">
        <v>161.47999999999999</v>
      </c>
      <c r="D15">
        <v>67.38</v>
      </c>
      <c r="E15">
        <v>3.29</v>
      </c>
      <c r="F15">
        <v>0.02</v>
      </c>
      <c r="G15">
        <v>9.82</v>
      </c>
      <c r="H15">
        <v>-13.25</v>
      </c>
      <c r="I15">
        <v>240.93</v>
      </c>
    </row>
    <row r="16" spans="1:9" x14ac:dyDescent="0.45">
      <c r="A16" t="s">
        <v>139</v>
      </c>
      <c r="B16">
        <v>2005</v>
      </c>
      <c r="C16">
        <v>155.32</v>
      </c>
      <c r="D16">
        <v>69.59</v>
      </c>
      <c r="E16">
        <v>3.28</v>
      </c>
      <c r="F16">
        <v>0.02</v>
      </c>
      <c r="G16">
        <v>11.08</v>
      </c>
      <c r="H16">
        <v>-13.42</v>
      </c>
      <c r="I16">
        <v>242.06</v>
      </c>
    </row>
    <row r="17" spans="1:9" x14ac:dyDescent="0.45">
      <c r="A17" t="s">
        <v>139</v>
      </c>
      <c r="B17">
        <v>2006</v>
      </c>
      <c r="C17">
        <v>161.09</v>
      </c>
      <c r="D17">
        <v>74.34</v>
      </c>
      <c r="E17">
        <v>3.28</v>
      </c>
      <c r="F17">
        <v>0.02</v>
      </c>
      <c r="G17">
        <v>10.62</v>
      </c>
      <c r="H17">
        <v>-13.59</v>
      </c>
      <c r="I17">
        <v>250.85</v>
      </c>
    </row>
    <row r="18" spans="1:9" x14ac:dyDescent="0.45">
      <c r="A18" t="s">
        <v>139</v>
      </c>
      <c r="B18">
        <v>2007</v>
      </c>
      <c r="C18">
        <v>165.17</v>
      </c>
      <c r="D18">
        <v>77.16</v>
      </c>
      <c r="E18">
        <v>3.15</v>
      </c>
      <c r="F18">
        <v>0.02</v>
      </c>
      <c r="G18">
        <v>11.35</v>
      </c>
      <c r="H18">
        <v>-14.5</v>
      </c>
      <c r="I18">
        <v>260.5</v>
      </c>
    </row>
    <row r="19" spans="1:9" x14ac:dyDescent="0.45">
      <c r="A19" t="s">
        <v>139</v>
      </c>
      <c r="B19">
        <v>2008</v>
      </c>
      <c r="C19">
        <v>166.07</v>
      </c>
      <c r="D19">
        <v>75.489999999999995</v>
      </c>
      <c r="E19">
        <v>3.09</v>
      </c>
      <c r="F19">
        <v>0.02</v>
      </c>
      <c r="G19">
        <v>10.57</v>
      </c>
      <c r="H19">
        <v>-14.17</v>
      </c>
      <c r="I19">
        <v>255.52</v>
      </c>
    </row>
    <row r="20" spans="1:9" x14ac:dyDescent="0.45">
      <c r="A20" t="s">
        <v>139</v>
      </c>
      <c r="B20">
        <v>2009</v>
      </c>
      <c r="C20">
        <v>165.68</v>
      </c>
      <c r="D20">
        <v>73.45</v>
      </c>
      <c r="E20">
        <v>2.9</v>
      </c>
      <c r="F20">
        <v>0.02</v>
      </c>
      <c r="G20">
        <v>12.3</v>
      </c>
      <c r="H20">
        <v>-14.05</v>
      </c>
      <c r="I20">
        <v>246.82</v>
      </c>
    </row>
    <row r="21" spans="1:9" x14ac:dyDescent="0.45">
      <c r="A21" t="s">
        <v>139</v>
      </c>
      <c r="B21">
        <v>2010</v>
      </c>
      <c r="C21">
        <v>171.41</v>
      </c>
      <c r="D21">
        <v>76.430000000000007</v>
      </c>
      <c r="E21">
        <v>2.94</v>
      </c>
      <c r="F21">
        <v>0.02</v>
      </c>
      <c r="G21">
        <v>12.19</v>
      </c>
      <c r="H21">
        <v>-14.67</v>
      </c>
      <c r="I21">
        <v>256.64999999999998</v>
      </c>
    </row>
    <row r="22" spans="1:9" x14ac:dyDescent="0.45">
      <c r="A22" t="s">
        <v>139</v>
      </c>
      <c r="B22">
        <v>2011</v>
      </c>
      <c r="C22">
        <v>171.22</v>
      </c>
      <c r="D22">
        <v>76.88</v>
      </c>
      <c r="E22">
        <v>3.12</v>
      </c>
      <c r="F22">
        <v>0.03</v>
      </c>
      <c r="G22">
        <v>11.89</v>
      </c>
      <c r="H22">
        <v>-14.96</v>
      </c>
      <c r="I22">
        <v>259.58</v>
      </c>
    </row>
    <row r="23" spans="1:9" x14ac:dyDescent="0.45">
      <c r="A23" t="s">
        <v>139</v>
      </c>
      <c r="B23">
        <v>2012</v>
      </c>
      <c r="C23">
        <v>166.95</v>
      </c>
      <c r="D23">
        <v>73.7</v>
      </c>
      <c r="E23">
        <v>3.21</v>
      </c>
      <c r="F23">
        <v>0.03</v>
      </c>
      <c r="G23">
        <v>10.01</v>
      </c>
      <c r="H23">
        <v>-15.04</v>
      </c>
      <c r="I23">
        <v>254.91</v>
      </c>
    </row>
    <row r="24" spans="1:9" x14ac:dyDescent="0.45">
      <c r="A24" t="s">
        <v>139</v>
      </c>
      <c r="B24">
        <v>2013</v>
      </c>
      <c r="C24">
        <v>166.45</v>
      </c>
      <c r="D24">
        <v>73.319999999999993</v>
      </c>
      <c r="E24">
        <v>3.12</v>
      </c>
      <c r="F24">
        <v>0.03</v>
      </c>
      <c r="G24">
        <v>9.43</v>
      </c>
      <c r="H24">
        <v>-13.93</v>
      </c>
      <c r="I24">
        <v>253.19</v>
      </c>
    </row>
    <row r="25" spans="1:9" x14ac:dyDescent="0.45">
      <c r="A25" t="s">
        <v>139</v>
      </c>
      <c r="B25">
        <v>2014</v>
      </c>
      <c r="C25">
        <v>164.85</v>
      </c>
      <c r="D25">
        <v>72.84</v>
      </c>
      <c r="E25">
        <v>3.1</v>
      </c>
      <c r="F25">
        <v>0.03</v>
      </c>
      <c r="G25">
        <v>11.18</v>
      </c>
      <c r="H25">
        <v>-13.84</v>
      </c>
      <c r="I25">
        <v>249.47</v>
      </c>
    </row>
    <row r="26" spans="1:9" x14ac:dyDescent="0.45">
      <c r="A26" t="s">
        <v>139</v>
      </c>
      <c r="B26">
        <v>2015</v>
      </c>
      <c r="C26">
        <v>156.46</v>
      </c>
      <c r="D26">
        <v>76.28</v>
      </c>
      <c r="E26">
        <v>2.85</v>
      </c>
      <c r="F26">
        <v>0.03</v>
      </c>
      <c r="G26">
        <v>13.06</v>
      </c>
      <c r="H26">
        <v>-14.61</v>
      </c>
      <c r="I26">
        <v>246.74</v>
      </c>
    </row>
    <row r="27" spans="1:9" x14ac:dyDescent="0.45">
      <c r="A27" t="s">
        <v>139</v>
      </c>
      <c r="B27">
        <v>2016</v>
      </c>
      <c r="C27">
        <v>155.34</v>
      </c>
      <c r="D27">
        <v>91.49</v>
      </c>
      <c r="E27">
        <v>2.85</v>
      </c>
      <c r="F27">
        <v>0.05</v>
      </c>
      <c r="G27">
        <v>10.56</v>
      </c>
      <c r="H27">
        <v>-16.55</v>
      </c>
      <c r="I27">
        <v>249.45</v>
      </c>
    </row>
    <row r="28" spans="1:9" x14ac:dyDescent="0.45">
      <c r="A28" t="s">
        <v>139</v>
      </c>
      <c r="B28">
        <v>2017</v>
      </c>
      <c r="C28">
        <v>153.65</v>
      </c>
      <c r="D28">
        <v>91.84</v>
      </c>
      <c r="E28">
        <v>3.15</v>
      </c>
      <c r="F28">
        <v>0.05</v>
      </c>
      <c r="G28">
        <v>8.57</v>
      </c>
      <c r="H28">
        <v>-15.2</v>
      </c>
      <c r="I28">
        <v>250.66</v>
      </c>
    </row>
    <row r="29" spans="1:9" x14ac:dyDescent="0.45">
      <c r="A29" t="s">
        <v>139</v>
      </c>
      <c r="B29">
        <v>2018</v>
      </c>
      <c r="C29">
        <v>155.27000000000001</v>
      </c>
      <c r="D29">
        <v>93.03</v>
      </c>
      <c r="E29">
        <v>2.83</v>
      </c>
      <c r="F29">
        <v>0.05</v>
      </c>
      <c r="G29">
        <v>9.69</v>
      </c>
      <c r="H29">
        <v>-14.39</v>
      </c>
      <c r="I29">
        <v>251.81</v>
      </c>
    </row>
    <row r="30" spans="1:9" x14ac:dyDescent="0.45">
      <c r="A30" t="s">
        <v>139</v>
      </c>
      <c r="B30">
        <v>2019</v>
      </c>
      <c r="C30">
        <v>151.53</v>
      </c>
      <c r="D30">
        <v>91.54</v>
      </c>
      <c r="E30">
        <v>2.6</v>
      </c>
      <c r="F30">
        <v>0.05</v>
      </c>
      <c r="G30">
        <v>9.8000000000000007</v>
      </c>
      <c r="H30">
        <v>-14.98</v>
      </c>
      <c r="I30">
        <v>247.58</v>
      </c>
    </row>
    <row r="31" spans="1:9" x14ac:dyDescent="0.45">
      <c r="A31" t="s">
        <v>139</v>
      </c>
      <c r="B31">
        <v>2020</v>
      </c>
      <c r="C31">
        <v>148.1</v>
      </c>
      <c r="D31">
        <v>87.15</v>
      </c>
      <c r="E31">
        <v>1.93</v>
      </c>
      <c r="F31">
        <v>0.05</v>
      </c>
      <c r="G31">
        <v>9.83</v>
      </c>
      <c r="H31">
        <v>-13.65</v>
      </c>
      <c r="I31">
        <v>234.73</v>
      </c>
    </row>
    <row r="32" spans="1:9" x14ac:dyDescent="0.45">
      <c r="A32" t="s">
        <v>139</v>
      </c>
      <c r="B32">
        <v>2021</v>
      </c>
      <c r="C32">
        <v>146.36000000000001</v>
      </c>
      <c r="D32">
        <v>88.85</v>
      </c>
      <c r="E32">
        <v>2.13</v>
      </c>
      <c r="F32">
        <v>0.06</v>
      </c>
      <c r="G32">
        <v>10.14</v>
      </c>
      <c r="H32">
        <v>-13.7</v>
      </c>
      <c r="I32">
        <v>239.64</v>
      </c>
    </row>
    <row r="33" spans="1:9" x14ac:dyDescent="0.45">
      <c r="A33" t="s">
        <v>139</v>
      </c>
      <c r="B33">
        <v>2022</v>
      </c>
      <c r="C33">
        <v>140.80000000000001</v>
      </c>
      <c r="D33">
        <v>85.66</v>
      </c>
      <c r="E33">
        <v>1.67</v>
      </c>
      <c r="F33">
        <v>0.05</v>
      </c>
      <c r="G33">
        <v>10.76</v>
      </c>
      <c r="H33">
        <v>-12.27</v>
      </c>
      <c r="I33">
        <v>230.77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140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140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140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140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140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140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140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140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140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140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140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140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140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140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140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140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140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140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140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140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140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140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140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140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140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140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140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140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140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140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140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140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140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140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140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140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140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140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140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140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140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140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140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140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140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140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140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140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140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140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140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140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140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140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140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140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140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140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140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140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140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140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140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140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140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140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140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140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140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140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140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140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140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140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140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140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140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140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140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140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140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140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140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140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140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140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140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140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140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140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140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140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140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140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140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140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140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140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140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140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140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140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140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140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140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140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140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140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140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140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140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140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140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140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140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140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140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140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140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140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140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140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140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140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140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140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140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140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140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140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140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140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140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140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140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140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140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140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140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140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140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140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140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140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140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140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140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140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140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140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140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140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140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140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140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140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140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140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140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140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140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140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140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140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140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140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140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140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140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140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140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140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140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140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140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140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140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140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140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140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140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140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140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140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140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140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140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140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140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140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140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140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140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140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140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140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140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140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140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140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140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140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140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140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140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140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140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140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140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140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140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140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140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140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140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140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140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140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140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140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140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140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140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140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140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140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140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140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140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140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140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140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140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140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140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140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140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140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140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140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140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140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140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140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140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140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140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140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140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140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140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140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140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140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140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140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140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140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140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140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140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140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140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140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140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140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140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140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140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140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140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140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140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140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140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140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140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140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140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140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140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140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140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140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140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140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140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140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140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140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140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140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140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140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140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140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140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140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140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140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140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140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140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140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140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140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140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140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140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140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140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140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140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140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140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140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140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140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140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140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140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140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140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140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140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140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140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140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140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140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140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140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140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140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140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140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140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140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140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140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140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140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140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140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140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140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140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140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140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140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V24"/>
  <sheetViews>
    <sheetView workbookViewId="0">
      <selection activeCell="H21" sqref="H21"/>
    </sheetView>
  </sheetViews>
  <sheetFormatPr defaultRowHeight="14.25" x14ac:dyDescent="0.45"/>
  <sheetData>
    <row r="10" spans="1:22" x14ac:dyDescent="0.45">
      <c r="A10" t="str">
        <f>IFERROR(Veda!D5,"ts_12t")</f>
        <v>ts_annual</v>
      </c>
      <c r="B10" s="15"/>
      <c r="C10" s="15" t="s">
        <v>273</v>
      </c>
      <c r="D10" t="s">
        <v>118</v>
      </c>
      <c r="F10" t="s">
        <v>273</v>
      </c>
      <c r="G10" t="s">
        <v>128</v>
      </c>
      <c r="I10" t="s">
        <v>273</v>
      </c>
      <c r="J10" t="s">
        <v>119</v>
      </c>
      <c r="L10" t="s">
        <v>273</v>
      </c>
      <c r="M10" t="s">
        <v>134</v>
      </c>
      <c r="O10" t="s">
        <v>273</v>
      </c>
      <c r="P10" t="s">
        <v>127</v>
      </c>
      <c r="R10" t="s">
        <v>273</v>
      </c>
      <c r="S10" t="s">
        <v>103</v>
      </c>
      <c r="U10" t="s">
        <v>273</v>
      </c>
      <c r="V10" t="s">
        <v>120</v>
      </c>
    </row>
    <row r="11" spans="1:22" x14ac:dyDescent="0.45">
      <c r="B11" s="15"/>
      <c r="C11" s="15" t="s">
        <v>274</v>
      </c>
      <c r="D11" t="s">
        <v>275</v>
      </c>
      <c r="F11" t="s">
        <v>274</v>
      </c>
      <c r="G11" t="s">
        <v>303</v>
      </c>
      <c r="I11" t="s">
        <v>274</v>
      </c>
      <c r="J11" t="s">
        <v>319</v>
      </c>
      <c r="L11" t="s">
        <v>274</v>
      </c>
      <c r="M11" t="s">
        <v>370</v>
      </c>
      <c r="O11" t="s">
        <v>274</v>
      </c>
      <c r="P11" t="s">
        <v>421</v>
      </c>
      <c r="R11" t="s">
        <v>274</v>
      </c>
      <c r="S11" t="s">
        <v>425</v>
      </c>
      <c r="U11" t="s">
        <v>274</v>
      </c>
      <c r="V11" t="s">
        <v>444</v>
      </c>
    </row>
    <row r="12" spans="1:22" x14ac:dyDescent="0.45">
      <c r="B12" s="15"/>
      <c r="C12" s="15" t="s">
        <v>276</v>
      </c>
      <c r="D12" t="s">
        <v>277</v>
      </c>
      <c r="F12" t="s">
        <v>276</v>
      </c>
      <c r="G12" t="s">
        <v>304</v>
      </c>
      <c r="I12" t="s">
        <v>276</v>
      </c>
      <c r="J12" t="s">
        <v>320</v>
      </c>
      <c r="L12" t="s">
        <v>276</v>
      </c>
      <c r="M12" t="s">
        <v>371</v>
      </c>
      <c r="O12" t="s">
        <v>276</v>
      </c>
      <c r="P12" t="s">
        <v>422</v>
      </c>
      <c r="R12" t="s">
        <v>276</v>
      </c>
      <c r="S12" t="s">
        <v>425</v>
      </c>
      <c r="U12" t="s">
        <v>276</v>
      </c>
      <c r="V12" t="s">
        <v>445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89046-DB2C-4573-8F57-4BC9C0757BE8}">
  <dimension ref="A9:AN397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118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272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278</v>
      </c>
      <c r="AK10" t="s">
        <v>47</v>
      </c>
      <c r="AL10" t="s">
        <v>115</v>
      </c>
      <c r="AM10" t="s">
        <v>279</v>
      </c>
      <c r="AN10" t="s">
        <v>280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150</v>
      </c>
      <c r="F11" t="s">
        <v>151</v>
      </c>
      <c r="G11" t="s">
        <v>149</v>
      </c>
      <c r="I11" t="s">
        <v>157</v>
      </c>
      <c r="J11" t="s">
        <v>158</v>
      </c>
      <c r="K11">
        <v>4.5632291244793399E-2</v>
      </c>
      <c r="L11" t="s">
        <v>159</v>
      </c>
      <c r="N11" t="s">
        <v>210</v>
      </c>
      <c r="O11" t="s">
        <v>158</v>
      </c>
      <c r="P11">
        <v>0.11803361212807306</v>
      </c>
      <c r="Q11" t="s">
        <v>159</v>
      </c>
      <c r="S11" t="s">
        <v>252</v>
      </c>
      <c r="T11" t="s">
        <v>158</v>
      </c>
      <c r="U11">
        <v>0.16333444194776361</v>
      </c>
      <c r="V11" t="s">
        <v>159</v>
      </c>
      <c r="X11">
        <v>0.15707762557077626</v>
      </c>
      <c r="Y11">
        <v>8.7062625860825901E-2</v>
      </c>
      <c r="Z11" t="s">
        <v>158</v>
      </c>
      <c r="AA11" t="s">
        <v>25</v>
      </c>
      <c r="AC11" t="s">
        <v>22</v>
      </c>
      <c r="AD11" t="s">
        <v>158</v>
      </c>
      <c r="AE11">
        <v>0.12281107355367538</v>
      </c>
      <c r="AG11" t="s">
        <v>96</v>
      </c>
      <c r="AH11" t="s">
        <v>158</v>
      </c>
      <c r="AI11">
        <v>0.38211447310687552</v>
      </c>
      <c r="AK11">
        <v>2020</v>
      </c>
      <c r="AL11" t="s">
        <v>148</v>
      </c>
      <c r="AM11">
        <v>0.12519740727008058</v>
      </c>
      <c r="AN11" t="s">
        <v>281</v>
      </c>
    </row>
    <row r="12" spans="1:40" x14ac:dyDescent="0.45">
      <c r="C12" t="s">
        <v>152</v>
      </c>
      <c r="E12" t="s">
        <v>153</v>
      </c>
      <c r="G12" t="s">
        <v>149</v>
      </c>
      <c r="I12" t="s">
        <v>157</v>
      </c>
      <c r="J12" t="s">
        <v>160</v>
      </c>
      <c r="K12">
        <v>0.40747011714083042</v>
      </c>
      <c r="L12" t="s">
        <v>159</v>
      </c>
      <c r="N12" t="s">
        <v>210</v>
      </c>
      <c r="O12" t="s">
        <v>160</v>
      </c>
      <c r="P12">
        <v>0.21766308300843493</v>
      </c>
      <c r="Q12" t="s">
        <v>159</v>
      </c>
      <c r="S12" t="s">
        <v>252</v>
      </c>
      <c r="T12" t="s">
        <v>160</v>
      </c>
      <c r="U12">
        <v>0.18306641932262524</v>
      </c>
      <c r="V12" t="s">
        <v>159</v>
      </c>
      <c r="X12">
        <v>0.19634703196347031</v>
      </c>
      <c r="Y12">
        <v>0.28040209167226049</v>
      </c>
      <c r="Z12" t="s">
        <v>160</v>
      </c>
      <c r="AA12" t="s">
        <v>25</v>
      </c>
      <c r="AC12" t="s">
        <v>22</v>
      </c>
      <c r="AD12" t="s">
        <v>160</v>
      </c>
      <c r="AE12">
        <v>0.22869521477619775</v>
      </c>
      <c r="AG12" t="s">
        <v>96</v>
      </c>
      <c r="AH12" t="s">
        <v>160</v>
      </c>
      <c r="AI12">
        <v>0.20773760141395314</v>
      </c>
      <c r="AK12">
        <v>2020</v>
      </c>
      <c r="AL12" t="s">
        <v>152</v>
      </c>
      <c r="AM12">
        <v>7.8454798884906321E-2</v>
      </c>
      <c r="AN12" t="s">
        <v>281</v>
      </c>
    </row>
    <row r="13" spans="1:40" x14ac:dyDescent="0.45">
      <c r="C13" t="s">
        <v>154</v>
      </c>
      <c r="E13" t="s">
        <v>155</v>
      </c>
      <c r="G13" t="s">
        <v>149</v>
      </c>
      <c r="I13" t="s">
        <v>157</v>
      </c>
      <c r="J13" t="s">
        <v>161</v>
      </c>
      <c r="K13">
        <v>9.9655950017744285E-3</v>
      </c>
      <c r="L13" t="s">
        <v>159</v>
      </c>
      <c r="N13" t="s">
        <v>210</v>
      </c>
      <c r="O13" t="s">
        <v>161</v>
      </c>
      <c r="P13">
        <v>0.10576113710541377</v>
      </c>
      <c r="Q13" t="s">
        <v>159</v>
      </c>
      <c r="S13" t="s">
        <v>252</v>
      </c>
      <c r="T13" t="s">
        <v>161</v>
      </c>
      <c r="U13">
        <v>0.12843213206828039</v>
      </c>
      <c r="V13" t="s">
        <v>159</v>
      </c>
      <c r="X13">
        <v>0.11780821917808219</v>
      </c>
      <c r="Y13">
        <v>0.1037681591792424</v>
      </c>
      <c r="Z13" t="s">
        <v>161</v>
      </c>
      <c r="AA13" t="s">
        <v>25</v>
      </c>
      <c r="AC13" t="s">
        <v>22</v>
      </c>
      <c r="AD13" t="s">
        <v>161</v>
      </c>
      <c r="AE13">
        <v>0.11779969998304306</v>
      </c>
      <c r="AG13" t="s">
        <v>96</v>
      </c>
      <c r="AH13" t="s">
        <v>161</v>
      </c>
      <c r="AI13">
        <v>0.29650444471984638</v>
      </c>
      <c r="AK13">
        <v>2020</v>
      </c>
      <c r="AL13" t="s">
        <v>154</v>
      </c>
      <c r="AM13">
        <v>0.10896057347670247</v>
      </c>
      <c r="AN13" t="s">
        <v>281</v>
      </c>
    </row>
    <row r="14" spans="1:40" x14ac:dyDescent="0.45">
      <c r="I14" t="s">
        <v>157</v>
      </c>
      <c r="J14" t="s">
        <v>162</v>
      </c>
      <c r="K14">
        <v>7.8970192625845391E-3</v>
      </c>
      <c r="L14" t="s">
        <v>159</v>
      </c>
      <c r="N14" t="s">
        <v>210</v>
      </c>
      <c r="O14" t="s">
        <v>162</v>
      </c>
      <c r="P14">
        <v>7.0383807689236105E-2</v>
      </c>
      <c r="Q14" t="s">
        <v>159</v>
      </c>
      <c r="S14" t="s">
        <v>252</v>
      </c>
      <c r="T14" t="s">
        <v>162</v>
      </c>
      <c r="U14">
        <v>5.2375600682333323E-2</v>
      </c>
      <c r="V14" t="s">
        <v>159</v>
      </c>
      <c r="X14">
        <v>5.5707762557077628E-2</v>
      </c>
      <c r="Y14">
        <v>3.0876861497153366E-2</v>
      </c>
      <c r="Z14" t="s">
        <v>162</v>
      </c>
      <c r="AA14" t="s">
        <v>25</v>
      </c>
      <c r="AC14" t="s">
        <v>22</v>
      </c>
      <c r="AD14" t="s">
        <v>162</v>
      </c>
      <c r="AE14">
        <v>4.7838940745700664E-2</v>
      </c>
      <c r="AG14" t="s">
        <v>96</v>
      </c>
      <c r="AH14" t="s">
        <v>162</v>
      </c>
      <c r="AI14">
        <v>0.31000607716450435</v>
      </c>
      <c r="AK14">
        <v>2021</v>
      </c>
      <c r="AL14" t="s">
        <v>148</v>
      </c>
      <c r="AM14">
        <v>0.30278204471752856</v>
      </c>
      <c r="AN14" t="s">
        <v>281</v>
      </c>
    </row>
    <row r="15" spans="1:40" x14ac:dyDescent="0.45">
      <c r="I15" t="s">
        <v>157</v>
      </c>
      <c r="J15" t="s">
        <v>163</v>
      </c>
      <c r="K15">
        <v>0.11718975633980662</v>
      </c>
      <c r="L15" t="s">
        <v>159</v>
      </c>
      <c r="N15" t="s">
        <v>210</v>
      </c>
      <c r="O15" t="s">
        <v>163</v>
      </c>
      <c r="P15">
        <v>0.11664519614374938</v>
      </c>
      <c r="Q15" t="s">
        <v>159</v>
      </c>
      <c r="S15" t="s">
        <v>252</v>
      </c>
      <c r="T15" t="s">
        <v>163</v>
      </c>
      <c r="U15">
        <v>5.94307513307629E-2</v>
      </c>
      <c r="V15" t="s">
        <v>159</v>
      </c>
      <c r="X15">
        <v>6.9634703196347028E-2</v>
      </c>
      <c r="Y15">
        <v>9.9444927860511012E-2</v>
      </c>
      <c r="Z15" t="s">
        <v>163</v>
      </c>
      <c r="AA15" t="s">
        <v>25</v>
      </c>
      <c r="AC15" t="s">
        <v>22</v>
      </c>
      <c r="AD15" t="s">
        <v>163</v>
      </c>
      <c r="AE15">
        <v>8.6481144012912112E-2</v>
      </c>
      <c r="AG15" t="s">
        <v>96</v>
      </c>
      <c r="AH15" t="s">
        <v>163</v>
      </c>
      <c r="AI15">
        <v>0.16774237181468221</v>
      </c>
      <c r="AK15">
        <v>2021</v>
      </c>
      <c r="AL15" t="s">
        <v>152</v>
      </c>
      <c r="AM15">
        <v>6.6308243727598498E-2</v>
      </c>
      <c r="AN15" t="s">
        <v>281</v>
      </c>
    </row>
    <row r="16" spans="1:40" x14ac:dyDescent="0.45">
      <c r="I16" t="s">
        <v>157</v>
      </c>
      <c r="J16" t="s">
        <v>164</v>
      </c>
      <c r="K16">
        <v>0</v>
      </c>
      <c r="L16" t="s">
        <v>159</v>
      </c>
      <c r="N16" t="s">
        <v>210</v>
      </c>
      <c r="O16" t="s">
        <v>164</v>
      </c>
      <c r="P16">
        <v>4.3690247905437282E-2</v>
      </c>
      <c r="Q16" t="s">
        <v>159</v>
      </c>
      <c r="S16" t="s">
        <v>252</v>
      </c>
      <c r="T16" t="s">
        <v>164</v>
      </c>
      <c r="U16">
        <v>3.7868456252701174E-2</v>
      </c>
      <c r="V16" t="s">
        <v>159</v>
      </c>
      <c r="X16">
        <v>4.1780821917808221E-2</v>
      </c>
      <c r="Y16">
        <v>3.6801498313568527E-2</v>
      </c>
      <c r="Z16" t="s">
        <v>164</v>
      </c>
      <c r="AA16" t="s">
        <v>25</v>
      </c>
      <c r="AC16" t="s">
        <v>22</v>
      </c>
      <c r="AD16" t="s">
        <v>164</v>
      </c>
      <c r="AE16">
        <v>4.6060447942330177E-2</v>
      </c>
      <c r="AG16" t="s">
        <v>96</v>
      </c>
      <c r="AH16" t="s">
        <v>164</v>
      </c>
      <c r="AI16">
        <v>0.23333083163911139</v>
      </c>
      <c r="AK16">
        <v>2021</v>
      </c>
      <c r="AL16" t="s">
        <v>154</v>
      </c>
      <c r="AM16">
        <v>0.20573476702508958</v>
      </c>
      <c r="AN16" t="s">
        <v>281</v>
      </c>
    </row>
    <row r="17" spans="9:40" x14ac:dyDescent="0.45">
      <c r="I17" t="s">
        <v>157</v>
      </c>
      <c r="J17" t="s">
        <v>165</v>
      </c>
      <c r="K17">
        <v>5.0094220314775867E-2</v>
      </c>
      <c r="L17" t="s">
        <v>159</v>
      </c>
      <c r="N17" t="s">
        <v>210</v>
      </c>
      <c r="O17" t="s">
        <v>165</v>
      </c>
      <c r="P17">
        <v>6.805615314206144E-2</v>
      </c>
      <c r="Q17" t="s">
        <v>159</v>
      </c>
      <c r="S17" t="s">
        <v>252</v>
      </c>
      <c r="T17" t="s">
        <v>165</v>
      </c>
      <c r="U17">
        <v>0.12338792998380721</v>
      </c>
      <c r="V17" t="s">
        <v>159</v>
      </c>
      <c r="X17">
        <v>0.12054794520547946</v>
      </c>
      <c r="Y17">
        <v>6.6815503567610582E-2</v>
      </c>
      <c r="Z17" t="s">
        <v>165</v>
      </c>
      <c r="AA17" t="s">
        <v>25</v>
      </c>
      <c r="AC17" t="s">
        <v>22</v>
      </c>
      <c r="AD17" t="s">
        <v>165</v>
      </c>
      <c r="AE17">
        <v>9.0520480392051531E-2</v>
      </c>
      <c r="AG17" t="s">
        <v>96</v>
      </c>
      <c r="AH17" t="s">
        <v>165</v>
      </c>
      <c r="AI17">
        <v>0.35017102832586589</v>
      </c>
      <c r="AK17">
        <v>2022</v>
      </c>
      <c r="AL17" t="s">
        <v>148</v>
      </c>
      <c r="AM17">
        <v>0.64720230983671845</v>
      </c>
      <c r="AN17" t="s">
        <v>281</v>
      </c>
    </row>
    <row r="18" spans="9:40" x14ac:dyDescent="0.45">
      <c r="I18" t="s">
        <v>157</v>
      </c>
      <c r="J18" t="s">
        <v>166</v>
      </c>
      <c r="K18">
        <v>0.3559274436083083</v>
      </c>
      <c r="L18" t="s">
        <v>159</v>
      </c>
      <c r="N18" t="s">
        <v>210</v>
      </c>
      <c r="O18" t="s">
        <v>166</v>
      </c>
      <c r="P18">
        <v>0.18218326210691058</v>
      </c>
      <c r="Q18" t="s">
        <v>159</v>
      </c>
      <c r="S18" t="s">
        <v>252</v>
      </c>
      <c r="T18" t="s">
        <v>166</v>
      </c>
      <c r="U18">
        <v>0.14946945600064779</v>
      </c>
      <c r="V18" t="s">
        <v>159</v>
      </c>
      <c r="X18">
        <v>0.15068493150684931</v>
      </c>
      <c r="Y18">
        <v>0.21519230291126976</v>
      </c>
      <c r="Z18" t="s">
        <v>166</v>
      </c>
      <c r="AA18" t="s">
        <v>25</v>
      </c>
      <c r="AC18" t="s">
        <v>22</v>
      </c>
      <c r="AD18" t="s">
        <v>166</v>
      </c>
      <c r="AE18">
        <v>0.17150213580407328</v>
      </c>
      <c r="AG18" t="s">
        <v>96</v>
      </c>
      <c r="AH18" t="s">
        <v>166</v>
      </c>
      <c r="AI18">
        <v>0.19230066157300141</v>
      </c>
      <c r="AK18">
        <v>2022</v>
      </c>
      <c r="AL18" t="s">
        <v>152</v>
      </c>
      <c r="AM18">
        <v>0.17622461170848261</v>
      </c>
      <c r="AN18" t="s">
        <v>281</v>
      </c>
    </row>
    <row r="19" spans="9:40" x14ac:dyDescent="0.45">
      <c r="I19" t="s">
        <v>157</v>
      </c>
      <c r="J19" t="s">
        <v>167</v>
      </c>
      <c r="K19">
        <v>5.8235570871283159E-3</v>
      </c>
      <c r="L19" t="s">
        <v>159</v>
      </c>
      <c r="N19" t="s">
        <v>210</v>
      </c>
      <c r="O19" t="s">
        <v>167</v>
      </c>
      <c r="P19">
        <v>7.7583500770683836E-2</v>
      </c>
      <c r="Q19" t="s">
        <v>159</v>
      </c>
      <c r="S19" t="s">
        <v>252</v>
      </c>
      <c r="T19" t="s">
        <v>167</v>
      </c>
      <c r="U19">
        <v>0.10263481241107665</v>
      </c>
      <c r="V19" t="s">
        <v>159</v>
      </c>
      <c r="X19">
        <v>9.0410958904109592E-2</v>
      </c>
      <c r="Y19">
        <v>7.9636029137558115E-2</v>
      </c>
      <c r="Z19" t="s">
        <v>167</v>
      </c>
      <c r="AA19" t="s">
        <v>25</v>
      </c>
      <c r="AC19" t="s">
        <v>22</v>
      </c>
      <c r="AD19" t="s">
        <v>167</v>
      </c>
      <c r="AE19">
        <v>8.8290862790016009E-2</v>
      </c>
      <c r="AG19" t="s">
        <v>96</v>
      </c>
      <c r="AH19" t="s">
        <v>167</v>
      </c>
      <c r="AI19">
        <v>0.26937691809027764</v>
      </c>
      <c r="AK19">
        <v>2022</v>
      </c>
      <c r="AL19" t="s">
        <v>154</v>
      </c>
      <c r="AM19">
        <v>0.34528076463560337</v>
      </c>
      <c r="AN19" t="s">
        <v>281</v>
      </c>
    </row>
    <row r="20" spans="9:40" x14ac:dyDescent="0.45">
      <c r="I20" t="s">
        <v>168</v>
      </c>
      <c r="J20" t="s">
        <v>158</v>
      </c>
      <c r="K20">
        <v>4.4300428364036609E-2</v>
      </c>
      <c r="L20" t="s">
        <v>159</v>
      </c>
      <c r="N20" t="s">
        <v>211</v>
      </c>
      <c r="O20" t="s">
        <v>158</v>
      </c>
      <c r="P20">
        <v>0.11390958728917633</v>
      </c>
      <c r="Q20" t="s">
        <v>159</v>
      </c>
      <c r="S20" t="s">
        <v>253</v>
      </c>
      <c r="T20" t="s">
        <v>158</v>
      </c>
      <c r="U20">
        <v>0.16219927670728509</v>
      </c>
      <c r="V20" t="s">
        <v>159</v>
      </c>
      <c r="AC20" t="s">
        <v>19</v>
      </c>
      <c r="AD20" t="s">
        <v>158</v>
      </c>
      <c r="AE20">
        <v>0.15547115521280039</v>
      </c>
      <c r="AK20">
        <v>2025</v>
      </c>
      <c r="AL20" t="s">
        <v>148</v>
      </c>
      <c r="AM20">
        <v>0.31746666666666667</v>
      </c>
      <c r="AN20" t="s">
        <v>281</v>
      </c>
    </row>
    <row r="21" spans="9:40" x14ac:dyDescent="0.45">
      <c r="I21" t="s">
        <v>168</v>
      </c>
      <c r="J21" t="s">
        <v>160</v>
      </c>
      <c r="K21">
        <v>0.40242348239992226</v>
      </c>
      <c r="L21" t="s">
        <v>159</v>
      </c>
      <c r="N21" t="s">
        <v>211</v>
      </c>
      <c r="O21" t="s">
        <v>160</v>
      </c>
      <c r="P21">
        <v>0.21851303195671673</v>
      </c>
      <c r="Q21" t="s">
        <v>159</v>
      </c>
      <c r="S21" t="s">
        <v>253</v>
      </c>
      <c r="T21" t="s">
        <v>160</v>
      </c>
      <c r="U21">
        <v>0.18432799920533288</v>
      </c>
      <c r="V21" t="s">
        <v>159</v>
      </c>
      <c r="AC21" t="s">
        <v>19</v>
      </c>
      <c r="AD21" t="s">
        <v>160</v>
      </c>
      <c r="AE21">
        <v>0.19794146197587226</v>
      </c>
      <c r="AK21">
        <v>2025</v>
      </c>
      <c r="AL21" t="s">
        <v>152</v>
      </c>
      <c r="AM21">
        <v>0.11186666666666667</v>
      </c>
      <c r="AN21" t="s">
        <v>281</v>
      </c>
    </row>
    <row r="22" spans="9:40" x14ac:dyDescent="0.45">
      <c r="I22" t="s">
        <v>168</v>
      </c>
      <c r="J22" t="s">
        <v>161</v>
      </c>
      <c r="K22">
        <v>1.2149619814640506E-2</v>
      </c>
      <c r="L22" t="s">
        <v>159</v>
      </c>
      <c r="N22" t="s">
        <v>211</v>
      </c>
      <c r="O22" t="s">
        <v>161</v>
      </c>
      <c r="P22">
        <v>0.12028443056661793</v>
      </c>
      <c r="Q22" t="s">
        <v>159</v>
      </c>
      <c r="S22" t="s">
        <v>253</v>
      </c>
      <c r="T22" t="s">
        <v>161</v>
      </c>
      <c r="U22">
        <v>0.13864001719065555</v>
      </c>
      <c r="V22" t="s">
        <v>159</v>
      </c>
      <c r="AC22" t="s">
        <v>19</v>
      </c>
      <c r="AD22" t="s">
        <v>161</v>
      </c>
      <c r="AE22">
        <v>0.11783443878506041</v>
      </c>
      <c r="AK22">
        <v>2025</v>
      </c>
      <c r="AL22" t="s">
        <v>154</v>
      </c>
      <c r="AM22">
        <v>0.16147999999999998</v>
      </c>
      <c r="AN22" t="s">
        <v>281</v>
      </c>
    </row>
    <row r="23" spans="9:40" x14ac:dyDescent="0.45">
      <c r="I23" t="s">
        <v>168</v>
      </c>
      <c r="J23" t="s">
        <v>162</v>
      </c>
      <c r="K23">
        <v>7.9439353100004637E-3</v>
      </c>
      <c r="L23" t="s">
        <v>159</v>
      </c>
      <c r="N23" t="s">
        <v>211</v>
      </c>
      <c r="O23" t="s">
        <v>162</v>
      </c>
      <c r="P23">
        <v>5.903055861749644E-2</v>
      </c>
      <c r="Q23" t="s">
        <v>159</v>
      </c>
      <c r="S23" t="s">
        <v>253</v>
      </c>
      <c r="T23" t="s">
        <v>162</v>
      </c>
      <c r="U23">
        <v>4.7527976428382426E-2</v>
      </c>
      <c r="V23" t="s">
        <v>159</v>
      </c>
      <c r="AC23" t="s">
        <v>19</v>
      </c>
      <c r="AD23" t="s">
        <v>162</v>
      </c>
      <c r="AE23">
        <v>5.5134453583899123E-2</v>
      </c>
      <c r="AK23">
        <v>2026</v>
      </c>
      <c r="AL23" t="s">
        <v>148</v>
      </c>
      <c r="AM23">
        <v>0.30671666666666664</v>
      </c>
      <c r="AN23" t="s">
        <v>281</v>
      </c>
    </row>
    <row r="24" spans="9:40" x14ac:dyDescent="0.45">
      <c r="I24" t="s">
        <v>168</v>
      </c>
      <c r="J24" t="s">
        <v>163</v>
      </c>
      <c r="K24">
        <v>0.11298377387161128</v>
      </c>
      <c r="L24" t="s">
        <v>159</v>
      </c>
      <c r="N24" t="s">
        <v>211</v>
      </c>
      <c r="O24" t="s">
        <v>163</v>
      </c>
      <c r="P24">
        <v>0.10219356523982177</v>
      </c>
      <c r="Q24" t="s">
        <v>159</v>
      </c>
      <c r="S24" t="s">
        <v>253</v>
      </c>
      <c r="T24" t="s">
        <v>163</v>
      </c>
      <c r="U24">
        <v>5.5936345509821343E-2</v>
      </c>
      <c r="V24" t="s">
        <v>159</v>
      </c>
      <c r="AC24" t="s">
        <v>19</v>
      </c>
      <c r="AD24" t="s">
        <v>163</v>
      </c>
      <c r="AE24">
        <v>7.0196629299916213E-2</v>
      </c>
      <c r="AK24">
        <v>2026</v>
      </c>
      <c r="AL24" t="s">
        <v>152</v>
      </c>
      <c r="AM24">
        <v>0.11416666666666668</v>
      </c>
      <c r="AN24" t="s">
        <v>281</v>
      </c>
    </row>
    <row r="25" spans="9:40" x14ac:dyDescent="0.45">
      <c r="I25" t="s">
        <v>168</v>
      </c>
      <c r="J25" t="s">
        <v>164</v>
      </c>
      <c r="K25">
        <v>0</v>
      </c>
      <c r="L25" t="s">
        <v>159</v>
      </c>
      <c r="N25" t="s">
        <v>211</v>
      </c>
      <c r="O25" t="s">
        <v>164</v>
      </c>
      <c r="P25">
        <v>4.5066157542027266E-2</v>
      </c>
      <c r="Q25" t="s">
        <v>159</v>
      </c>
      <c r="S25" t="s">
        <v>253</v>
      </c>
      <c r="T25" t="s">
        <v>164</v>
      </c>
      <c r="U25">
        <v>3.5578415610466346E-2</v>
      </c>
      <c r="V25" t="s">
        <v>159</v>
      </c>
      <c r="AC25" t="s">
        <v>19</v>
      </c>
      <c r="AD25" t="s">
        <v>164</v>
      </c>
      <c r="AE25">
        <v>4.1838701837108326E-2</v>
      </c>
      <c r="AK25">
        <v>2026</v>
      </c>
      <c r="AL25" t="s">
        <v>154</v>
      </c>
      <c r="AM25">
        <v>0.15834000000000001</v>
      </c>
      <c r="AN25" t="s">
        <v>281</v>
      </c>
    </row>
    <row r="26" spans="9:40" x14ac:dyDescent="0.45">
      <c r="I26" t="s">
        <v>168</v>
      </c>
      <c r="J26" t="s">
        <v>165</v>
      </c>
      <c r="K26">
        <v>5.0882220210175466E-2</v>
      </c>
      <c r="L26" t="s">
        <v>159</v>
      </c>
      <c r="N26" t="s">
        <v>211</v>
      </c>
      <c r="O26" t="s">
        <v>165</v>
      </c>
      <c r="P26">
        <v>7.3904658218563332E-2</v>
      </c>
      <c r="Q26" t="s">
        <v>159</v>
      </c>
      <c r="S26" t="s">
        <v>253</v>
      </c>
      <c r="T26" t="s">
        <v>165</v>
      </c>
      <c r="U26">
        <v>0.12105765030195546</v>
      </c>
      <c r="V26" t="s">
        <v>159</v>
      </c>
      <c r="AC26" t="s">
        <v>19</v>
      </c>
      <c r="AD26" t="s">
        <v>165</v>
      </c>
      <c r="AE26">
        <v>0.11926984777217993</v>
      </c>
      <c r="AK26">
        <v>2027</v>
      </c>
      <c r="AL26" t="s">
        <v>148</v>
      </c>
      <c r="AM26">
        <v>0.31264999999999998</v>
      </c>
      <c r="AN26" t="s">
        <v>281</v>
      </c>
    </row>
    <row r="27" spans="9:40" x14ac:dyDescent="0.45">
      <c r="I27" t="s">
        <v>168</v>
      </c>
      <c r="J27" t="s">
        <v>166</v>
      </c>
      <c r="K27">
        <v>0.3605248657279666</v>
      </c>
      <c r="L27" t="s">
        <v>159</v>
      </c>
      <c r="N27" t="s">
        <v>211</v>
      </c>
      <c r="O27" t="s">
        <v>166</v>
      </c>
      <c r="P27">
        <v>0.17724344625208854</v>
      </c>
      <c r="Q27" t="s">
        <v>159</v>
      </c>
      <c r="S27" t="s">
        <v>253</v>
      </c>
      <c r="T27" t="s">
        <v>166</v>
      </c>
      <c r="U27">
        <v>0.14817739458729376</v>
      </c>
      <c r="V27" t="s">
        <v>159</v>
      </c>
      <c r="AC27" t="s">
        <v>19</v>
      </c>
      <c r="AD27" t="s">
        <v>166</v>
      </c>
      <c r="AE27">
        <v>0.15188338068374346</v>
      </c>
      <c r="AK27">
        <v>2027</v>
      </c>
      <c r="AL27" t="s">
        <v>152</v>
      </c>
      <c r="AM27">
        <v>0.10693333333333332</v>
      </c>
      <c r="AN27" t="s">
        <v>281</v>
      </c>
    </row>
    <row r="28" spans="9:40" x14ac:dyDescent="0.45">
      <c r="I28" t="s">
        <v>168</v>
      </c>
      <c r="J28" t="s">
        <v>167</v>
      </c>
      <c r="K28">
        <v>8.7916743016451162E-3</v>
      </c>
      <c r="L28" t="s">
        <v>159</v>
      </c>
      <c r="N28" t="s">
        <v>211</v>
      </c>
      <c r="O28" t="s">
        <v>167</v>
      </c>
      <c r="P28">
        <v>8.985456431748913E-2</v>
      </c>
      <c r="Q28" t="s">
        <v>159</v>
      </c>
      <c r="S28" t="s">
        <v>253</v>
      </c>
      <c r="T28" t="s">
        <v>167</v>
      </c>
      <c r="U28">
        <v>0.10655492445880578</v>
      </c>
      <c r="V28" t="s">
        <v>159</v>
      </c>
      <c r="AC28" t="s">
        <v>19</v>
      </c>
      <c r="AD28" t="s">
        <v>167</v>
      </c>
      <c r="AE28">
        <v>9.0429930849419929E-2</v>
      </c>
      <c r="AK28">
        <v>2027</v>
      </c>
      <c r="AL28" t="s">
        <v>154</v>
      </c>
      <c r="AM28">
        <v>0.16107999999999997</v>
      </c>
      <c r="AN28" t="s">
        <v>281</v>
      </c>
    </row>
    <row r="29" spans="9:40" x14ac:dyDescent="0.45">
      <c r="I29" t="s">
        <v>169</v>
      </c>
      <c r="J29" t="s">
        <v>158</v>
      </c>
      <c r="K29">
        <v>4.4461897891889715E-2</v>
      </c>
      <c r="L29" t="s">
        <v>159</v>
      </c>
      <c r="N29" t="s">
        <v>212</v>
      </c>
      <c r="O29" t="s">
        <v>158</v>
      </c>
      <c r="P29">
        <v>0.11336735957398704</v>
      </c>
      <c r="Q29" t="s">
        <v>159</v>
      </c>
      <c r="S29" t="s">
        <v>254</v>
      </c>
      <c r="T29" t="s">
        <v>158</v>
      </c>
      <c r="U29">
        <v>0.1268394224660345</v>
      </c>
      <c r="V29" t="s">
        <v>159</v>
      </c>
      <c r="AK29">
        <v>2028</v>
      </c>
      <c r="AL29" t="s">
        <v>148</v>
      </c>
      <c r="AM29">
        <v>0.26011666666666666</v>
      </c>
      <c r="AN29" t="s">
        <v>281</v>
      </c>
    </row>
    <row r="30" spans="9:40" x14ac:dyDescent="0.45">
      <c r="I30" t="s">
        <v>169</v>
      </c>
      <c r="J30" t="s">
        <v>160</v>
      </c>
      <c r="K30">
        <v>0.40146614656830959</v>
      </c>
      <c r="L30" t="s">
        <v>159</v>
      </c>
      <c r="N30" t="s">
        <v>212</v>
      </c>
      <c r="O30" t="s">
        <v>160</v>
      </c>
      <c r="P30">
        <v>0.19796168930405728</v>
      </c>
      <c r="Q30" t="s">
        <v>159</v>
      </c>
      <c r="S30" t="s">
        <v>254</v>
      </c>
      <c r="T30" t="s">
        <v>160</v>
      </c>
      <c r="U30">
        <v>0.20260845822479756</v>
      </c>
      <c r="V30" t="s">
        <v>159</v>
      </c>
      <c r="AK30">
        <v>2028</v>
      </c>
      <c r="AL30" t="s">
        <v>152</v>
      </c>
      <c r="AM30">
        <v>9.2299999999999993E-2</v>
      </c>
      <c r="AN30" t="s">
        <v>281</v>
      </c>
    </row>
    <row r="31" spans="9:40" x14ac:dyDescent="0.45">
      <c r="I31" t="s">
        <v>169</v>
      </c>
      <c r="J31" t="s">
        <v>161</v>
      </c>
      <c r="K31">
        <v>1.3939098874718244E-2</v>
      </c>
      <c r="L31" t="s">
        <v>159</v>
      </c>
      <c r="N31" t="s">
        <v>212</v>
      </c>
      <c r="O31" t="s">
        <v>161</v>
      </c>
      <c r="P31">
        <v>0.14728469533160521</v>
      </c>
      <c r="Q31" t="s">
        <v>159</v>
      </c>
      <c r="S31" t="s">
        <v>254</v>
      </c>
      <c r="T31" t="s">
        <v>161</v>
      </c>
      <c r="U31">
        <v>0.14882852572631564</v>
      </c>
      <c r="V31" t="s">
        <v>159</v>
      </c>
      <c r="AK31">
        <v>2028</v>
      </c>
      <c r="AL31" t="s">
        <v>154</v>
      </c>
      <c r="AM31">
        <v>0.14872000000000002</v>
      </c>
      <c r="AN31" t="s">
        <v>281</v>
      </c>
    </row>
    <row r="32" spans="9:40" x14ac:dyDescent="0.45">
      <c r="I32" t="s">
        <v>169</v>
      </c>
      <c r="J32" t="s">
        <v>162</v>
      </c>
      <c r="K32">
        <v>4.734556471314595E-3</v>
      </c>
      <c r="L32" t="s">
        <v>159</v>
      </c>
      <c r="N32" t="s">
        <v>212</v>
      </c>
      <c r="O32" t="s">
        <v>162</v>
      </c>
      <c r="P32">
        <v>4.6467957006222499E-2</v>
      </c>
      <c r="Q32" t="s">
        <v>159</v>
      </c>
      <c r="S32" t="s">
        <v>254</v>
      </c>
      <c r="T32" t="s">
        <v>162</v>
      </c>
      <c r="U32">
        <v>4.8520736031849046E-2</v>
      </c>
      <c r="V32" t="s">
        <v>159</v>
      </c>
      <c r="AK32">
        <v>2029</v>
      </c>
      <c r="AL32" t="s">
        <v>148</v>
      </c>
      <c r="AM32">
        <v>0.36823333333333336</v>
      </c>
      <c r="AN32" t="s">
        <v>281</v>
      </c>
    </row>
    <row r="33" spans="9:40" x14ac:dyDescent="0.45">
      <c r="I33" t="s">
        <v>169</v>
      </c>
      <c r="J33" t="s">
        <v>163</v>
      </c>
      <c r="K33">
        <v>0.10285374711226911</v>
      </c>
      <c r="L33" t="s">
        <v>159</v>
      </c>
      <c r="N33" t="s">
        <v>212</v>
      </c>
      <c r="O33" t="s">
        <v>163</v>
      </c>
      <c r="P33">
        <v>8.4523191444605086E-2</v>
      </c>
      <c r="Q33" t="s">
        <v>159</v>
      </c>
      <c r="S33" t="s">
        <v>254</v>
      </c>
      <c r="T33" t="s">
        <v>163</v>
      </c>
      <c r="U33">
        <v>5.8905742033506577E-2</v>
      </c>
      <c r="V33" t="s">
        <v>159</v>
      </c>
      <c r="AK33">
        <v>2029</v>
      </c>
      <c r="AL33" t="s">
        <v>152</v>
      </c>
      <c r="AM33">
        <v>0.12886666666666666</v>
      </c>
      <c r="AN33" t="s">
        <v>281</v>
      </c>
    </row>
    <row r="34" spans="9:40" x14ac:dyDescent="0.45">
      <c r="I34" t="s">
        <v>169</v>
      </c>
      <c r="J34" t="s">
        <v>164</v>
      </c>
      <c r="K34">
        <v>0</v>
      </c>
      <c r="L34" t="s">
        <v>159</v>
      </c>
      <c r="N34" t="s">
        <v>212</v>
      </c>
      <c r="O34" t="s">
        <v>164</v>
      </c>
      <c r="P34">
        <v>3.8588458901078565E-2</v>
      </c>
      <c r="Q34" t="s">
        <v>159</v>
      </c>
      <c r="S34" t="s">
        <v>254</v>
      </c>
      <c r="T34" t="s">
        <v>164</v>
      </c>
      <c r="U34">
        <v>3.6734537812227623E-2</v>
      </c>
      <c r="V34" t="s">
        <v>159</v>
      </c>
      <c r="AK34">
        <v>2029</v>
      </c>
      <c r="AL34" t="s">
        <v>154</v>
      </c>
      <c r="AM34">
        <v>0.18934000000000001</v>
      </c>
      <c r="AN34" t="s">
        <v>281</v>
      </c>
    </row>
    <row r="35" spans="9:40" x14ac:dyDescent="0.45">
      <c r="I35" t="s">
        <v>169</v>
      </c>
      <c r="J35" t="s">
        <v>165</v>
      </c>
      <c r="K35">
        <v>5.6253078901501281E-2</v>
      </c>
      <c r="L35" t="s">
        <v>159</v>
      </c>
      <c r="N35" t="s">
        <v>212</v>
      </c>
      <c r="O35" t="s">
        <v>165</v>
      </c>
      <c r="P35">
        <v>9.1135930544748792E-2</v>
      </c>
      <c r="Q35" t="s">
        <v>159</v>
      </c>
      <c r="S35" t="s">
        <v>254</v>
      </c>
      <c r="T35" t="s">
        <v>165</v>
      </c>
      <c r="U35">
        <v>9.5390549595072205E-2</v>
      </c>
      <c r="V35" t="s">
        <v>159</v>
      </c>
      <c r="AK35">
        <v>2030</v>
      </c>
      <c r="AL35" t="s">
        <v>148</v>
      </c>
      <c r="AM35">
        <v>0.26701666666666668</v>
      </c>
      <c r="AN35" t="s">
        <v>281</v>
      </c>
    </row>
    <row r="36" spans="9:40" x14ac:dyDescent="0.45">
      <c r="I36" t="s">
        <v>169</v>
      </c>
      <c r="J36" t="s">
        <v>166</v>
      </c>
      <c r="K36">
        <v>0.3656512874269931</v>
      </c>
      <c r="L36" t="s">
        <v>159</v>
      </c>
      <c r="N36" t="s">
        <v>212</v>
      </c>
      <c r="O36" t="s">
        <v>166</v>
      </c>
      <c r="P36">
        <v>0.16566333720488235</v>
      </c>
      <c r="Q36" t="s">
        <v>159</v>
      </c>
      <c r="S36" t="s">
        <v>254</v>
      </c>
      <c r="T36" t="s">
        <v>166</v>
      </c>
      <c r="U36">
        <v>0.16644507250025176</v>
      </c>
      <c r="V36" t="s">
        <v>159</v>
      </c>
      <c r="AK36">
        <v>2030</v>
      </c>
      <c r="AL36" t="s">
        <v>152</v>
      </c>
      <c r="AM36">
        <v>9.3999999999999986E-2</v>
      </c>
      <c r="AN36" t="s">
        <v>281</v>
      </c>
    </row>
    <row r="37" spans="9:40" x14ac:dyDescent="0.45">
      <c r="I37" t="s">
        <v>169</v>
      </c>
      <c r="J37" t="s">
        <v>167</v>
      </c>
      <c r="K37">
        <v>1.0640186753002287E-2</v>
      </c>
      <c r="L37" t="s">
        <v>159</v>
      </c>
      <c r="N37" t="s">
        <v>212</v>
      </c>
      <c r="O37" t="s">
        <v>167</v>
      </c>
      <c r="P37">
        <v>0.11500738068881182</v>
      </c>
      <c r="Q37" t="s">
        <v>159</v>
      </c>
      <c r="S37" t="s">
        <v>254</v>
      </c>
      <c r="T37" t="s">
        <v>167</v>
      </c>
      <c r="U37">
        <v>0.11572695560994498</v>
      </c>
      <c r="V37" t="s">
        <v>159</v>
      </c>
      <c r="AK37">
        <v>2030</v>
      </c>
      <c r="AL37" t="s">
        <v>154</v>
      </c>
      <c r="AM37">
        <v>0.14948</v>
      </c>
      <c r="AN37" t="s">
        <v>281</v>
      </c>
    </row>
    <row r="38" spans="9:40" x14ac:dyDescent="0.45">
      <c r="I38" t="s">
        <v>170</v>
      </c>
      <c r="J38" t="s">
        <v>158</v>
      </c>
      <c r="K38">
        <v>4.7949284855768604E-2</v>
      </c>
      <c r="L38" t="s">
        <v>159</v>
      </c>
      <c r="N38" t="s">
        <v>213</v>
      </c>
      <c r="O38" t="s">
        <v>158</v>
      </c>
      <c r="P38">
        <v>9.0822269414557857E-2</v>
      </c>
      <c r="Q38" t="s">
        <v>159</v>
      </c>
      <c r="S38" t="s">
        <v>255</v>
      </c>
      <c r="T38" t="s">
        <v>158</v>
      </c>
      <c r="U38">
        <v>0.16159881357397957</v>
      </c>
      <c r="V38" t="s">
        <v>159</v>
      </c>
      <c r="AK38">
        <v>2031</v>
      </c>
      <c r="AL38" t="s">
        <v>148</v>
      </c>
      <c r="AM38">
        <v>0.27793333333333331</v>
      </c>
      <c r="AN38" t="s">
        <v>281</v>
      </c>
    </row>
    <row r="39" spans="9:40" x14ac:dyDescent="0.45">
      <c r="I39" t="s">
        <v>170</v>
      </c>
      <c r="J39" t="s">
        <v>160</v>
      </c>
      <c r="K39">
        <v>0.39528042700560856</v>
      </c>
      <c r="L39" t="s">
        <v>159</v>
      </c>
      <c r="N39" t="s">
        <v>213</v>
      </c>
      <c r="O39" t="s">
        <v>160</v>
      </c>
      <c r="P39">
        <v>0.22621452106909418</v>
      </c>
      <c r="Q39" t="s">
        <v>159</v>
      </c>
      <c r="S39" t="s">
        <v>255</v>
      </c>
      <c r="T39" t="s">
        <v>160</v>
      </c>
      <c r="U39">
        <v>0.1944188947382916</v>
      </c>
      <c r="V39" t="s">
        <v>159</v>
      </c>
      <c r="AK39">
        <v>2031</v>
      </c>
      <c r="AL39" t="s">
        <v>152</v>
      </c>
      <c r="AM39">
        <v>9.3799999999999994E-2</v>
      </c>
      <c r="AN39" t="s">
        <v>281</v>
      </c>
    </row>
    <row r="40" spans="9:40" x14ac:dyDescent="0.45">
      <c r="I40" t="s">
        <v>170</v>
      </c>
      <c r="J40" t="s">
        <v>161</v>
      </c>
      <c r="K40">
        <v>1.1586638346400061E-2</v>
      </c>
      <c r="L40" t="s">
        <v>159</v>
      </c>
      <c r="N40" t="s">
        <v>213</v>
      </c>
      <c r="O40" t="s">
        <v>161</v>
      </c>
      <c r="P40">
        <v>0.10684991245522056</v>
      </c>
      <c r="Q40" t="s">
        <v>159</v>
      </c>
      <c r="S40" t="s">
        <v>255</v>
      </c>
      <c r="T40" t="s">
        <v>161</v>
      </c>
      <c r="U40">
        <v>0.13548541281612447</v>
      </c>
      <c r="V40" t="s">
        <v>159</v>
      </c>
      <c r="AK40">
        <v>2031</v>
      </c>
      <c r="AL40" t="s">
        <v>154</v>
      </c>
      <c r="AM40">
        <v>0.14069999999999999</v>
      </c>
      <c r="AN40" t="s">
        <v>281</v>
      </c>
    </row>
    <row r="41" spans="9:40" x14ac:dyDescent="0.45">
      <c r="I41" t="s">
        <v>170</v>
      </c>
      <c r="J41" t="s">
        <v>162</v>
      </c>
      <c r="K41">
        <v>8.0275535823527717E-3</v>
      </c>
      <c r="L41" t="s">
        <v>159</v>
      </c>
      <c r="N41" t="s">
        <v>213</v>
      </c>
      <c r="O41" t="s">
        <v>162</v>
      </c>
      <c r="P41">
        <v>5.2436045964691244E-2</v>
      </c>
      <c r="Q41" t="s">
        <v>159</v>
      </c>
      <c r="S41" t="s">
        <v>255</v>
      </c>
      <c r="T41" t="s">
        <v>162</v>
      </c>
      <c r="U41">
        <v>4.427093806739487E-2</v>
      </c>
      <c r="V41" t="s">
        <v>159</v>
      </c>
      <c r="AK41">
        <v>2032</v>
      </c>
      <c r="AL41" t="s">
        <v>148</v>
      </c>
      <c r="AM41">
        <v>0.27374999999999999</v>
      </c>
      <c r="AN41" t="s">
        <v>281</v>
      </c>
    </row>
    <row r="42" spans="9:40" x14ac:dyDescent="0.45">
      <c r="I42" t="s">
        <v>170</v>
      </c>
      <c r="J42" t="s">
        <v>163</v>
      </c>
      <c r="K42">
        <v>0.10465551972009979</v>
      </c>
      <c r="L42" t="s">
        <v>159</v>
      </c>
      <c r="N42" t="s">
        <v>213</v>
      </c>
      <c r="O42" t="s">
        <v>163</v>
      </c>
      <c r="P42">
        <v>0.1015501867645051</v>
      </c>
      <c r="Q42" t="s">
        <v>159</v>
      </c>
      <c r="S42" t="s">
        <v>255</v>
      </c>
      <c r="T42" t="s">
        <v>163</v>
      </c>
      <c r="U42">
        <v>5.2130591598037936E-2</v>
      </c>
      <c r="V42" t="s">
        <v>159</v>
      </c>
      <c r="AK42">
        <v>2032</v>
      </c>
      <c r="AL42" t="s">
        <v>152</v>
      </c>
      <c r="AM42">
        <v>9.2100000000000001E-2</v>
      </c>
      <c r="AN42" t="s">
        <v>281</v>
      </c>
    </row>
    <row r="43" spans="9:40" x14ac:dyDescent="0.45">
      <c r="I43" t="s">
        <v>170</v>
      </c>
      <c r="J43" t="s">
        <v>164</v>
      </c>
      <c r="K43">
        <v>0</v>
      </c>
      <c r="L43" t="s">
        <v>159</v>
      </c>
      <c r="N43" t="s">
        <v>213</v>
      </c>
      <c r="O43" t="s">
        <v>164</v>
      </c>
      <c r="P43">
        <v>4.3436004670850223E-2</v>
      </c>
      <c r="Q43" t="s">
        <v>159</v>
      </c>
      <c r="S43" t="s">
        <v>255</v>
      </c>
      <c r="T43" t="s">
        <v>164</v>
      </c>
      <c r="U43">
        <v>3.456006127682535E-2</v>
      </c>
      <c r="V43" t="s">
        <v>159</v>
      </c>
      <c r="AK43">
        <v>2032</v>
      </c>
      <c r="AL43" t="s">
        <v>154</v>
      </c>
      <c r="AM43">
        <v>0.13972000000000001</v>
      </c>
      <c r="AN43" t="s">
        <v>281</v>
      </c>
    </row>
    <row r="44" spans="9:40" x14ac:dyDescent="0.45">
      <c r="I44" t="s">
        <v>170</v>
      </c>
      <c r="J44" t="s">
        <v>165</v>
      </c>
      <c r="K44">
        <v>5.9008601918124813E-2</v>
      </c>
      <c r="L44" t="s">
        <v>159</v>
      </c>
      <c r="N44" t="s">
        <v>213</v>
      </c>
      <c r="O44" t="s">
        <v>165</v>
      </c>
      <c r="P44">
        <v>7.5614090934534112E-2</v>
      </c>
      <c r="Q44" t="s">
        <v>159</v>
      </c>
      <c r="S44" t="s">
        <v>255</v>
      </c>
      <c r="T44" t="s">
        <v>165</v>
      </c>
      <c r="U44">
        <v>0.12293472734574713</v>
      </c>
      <c r="V44" t="s">
        <v>159</v>
      </c>
      <c r="AK44">
        <v>2033</v>
      </c>
      <c r="AL44" t="s">
        <v>148</v>
      </c>
      <c r="AM44">
        <v>0.26978333333333332</v>
      </c>
      <c r="AN44" t="s">
        <v>281</v>
      </c>
    </row>
    <row r="45" spans="9:40" x14ac:dyDescent="0.45">
      <c r="I45" t="s">
        <v>170</v>
      </c>
      <c r="J45" t="s">
        <v>166</v>
      </c>
      <c r="K45">
        <v>0.36487225610363361</v>
      </c>
      <c r="L45" t="s">
        <v>159</v>
      </c>
      <c r="N45" t="s">
        <v>213</v>
      </c>
      <c r="O45" t="s">
        <v>166</v>
      </c>
      <c r="P45">
        <v>0.21637442736700094</v>
      </c>
      <c r="Q45" t="s">
        <v>159</v>
      </c>
      <c r="S45" t="s">
        <v>255</v>
      </c>
      <c r="T45" t="s">
        <v>166</v>
      </c>
      <c r="U45">
        <v>0.15172968144630089</v>
      </c>
      <c r="V45" t="s">
        <v>159</v>
      </c>
      <c r="AK45">
        <v>2033</v>
      </c>
      <c r="AL45" t="s">
        <v>152</v>
      </c>
      <c r="AM45">
        <v>9.4266666666666679E-2</v>
      </c>
      <c r="AN45" t="s">
        <v>281</v>
      </c>
    </row>
    <row r="46" spans="9:40" x14ac:dyDescent="0.45">
      <c r="I46" t="s">
        <v>170</v>
      </c>
      <c r="J46" t="s">
        <v>167</v>
      </c>
      <c r="K46">
        <v>8.6197184680123599E-3</v>
      </c>
      <c r="L46" t="s">
        <v>159</v>
      </c>
      <c r="N46" t="s">
        <v>213</v>
      </c>
      <c r="O46" t="s">
        <v>167</v>
      </c>
      <c r="P46">
        <v>8.6702541359546428E-2</v>
      </c>
      <c r="Q46" t="s">
        <v>159</v>
      </c>
      <c r="S46" t="s">
        <v>255</v>
      </c>
      <c r="T46" t="s">
        <v>167</v>
      </c>
      <c r="U46">
        <v>0.10287087913729417</v>
      </c>
      <c r="V46" t="s">
        <v>159</v>
      </c>
      <c r="AK46">
        <v>2033</v>
      </c>
      <c r="AL46" t="s">
        <v>154</v>
      </c>
      <c r="AM46">
        <v>0.14872000000000002</v>
      </c>
      <c r="AN46" t="s">
        <v>281</v>
      </c>
    </row>
    <row r="47" spans="9:40" x14ac:dyDescent="0.45">
      <c r="I47" t="s">
        <v>171</v>
      </c>
      <c r="J47" t="s">
        <v>158</v>
      </c>
      <c r="K47">
        <v>4.7689806100299353E-2</v>
      </c>
      <c r="L47" t="s">
        <v>159</v>
      </c>
      <c r="N47" t="s">
        <v>214</v>
      </c>
      <c r="O47" t="s">
        <v>158</v>
      </c>
      <c r="P47">
        <v>0.10011321563764469</v>
      </c>
      <c r="Q47" t="s">
        <v>159</v>
      </c>
      <c r="S47" t="s">
        <v>256</v>
      </c>
      <c r="T47" t="s">
        <v>158</v>
      </c>
      <c r="U47">
        <v>0.12919054173399197</v>
      </c>
      <c r="V47" t="s">
        <v>159</v>
      </c>
      <c r="AK47">
        <v>2034</v>
      </c>
      <c r="AL47" t="s">
        <v>148</v>
      </c>
      <c r="AM47">
        <v>0.26903333333333329</v>
      </c>
      <c r="AN47" t="s">
        <v>281</v>
      </c>
    </row>
    <row r="48" spans="9:40" x14ac:dyDescent="0.45">
      <c r="I48" t="s">
        <v>171</v>
      </c>
      <c r="J48" t="s">
        <v>160</v>
      </c>
      <c r="K48">
        <v>0.39763638029931619</v>
      </c>
      <c r="L48" t="s">
        <v>159</v>
      </c>
      <c r="N48" t="s">
        <v>214</v>
      </c>
      <c r="O48" t="s">
        <v>160</v>
      </c>
      <c r="P48">
        <v>0.21196241086426898</v>
      </c>
      <c r="Q48" t="s">
        <v>159</v>
      </c>
      <c r="S48" t="s">
        <v>256</v>
      </c>
      <c r="T48" t="s">
        <v>160</v>
      </c>
      <c r="U48">
        <v>0.21153772470481957</v>
      </c>
      <c r="V48" t="s">
        <v>159</v>
      </c>
      <c r="AK48">
        <v>2034</v>
      </c>
      <c r="AL48" t="s">
        <v>152</v>
      </c>
      <c r="AM48">
        <v>9.1633333333333344E-2</v>
      </c>
      <c r="AN48" t="s">
        <v>281</v>
      </c>
    </row>
    <row r="49" spans="9:40" x14ac:dyDescent="0.45">
      <c r="I49" t="s">
        <v>171</v>
      </c>
      <c r="J49" t="s">
        <v>161</v>
      </c>
      <c r="K49">
        <v>1.0059923917482044E-2</v>
      </c>
      <c r="L49" t="s">
        <v>159</v>
      </c>
      <c r="N49" t="s">
        <v>214</v>
      </c>
      <c r="O49" t="s">
        <v>161</v>
      </c>
      <c r="P49">
        <v>0.13149017671063126</v>
      </c>
      <c r="Q49" t="s">
        <v>159</v>
      </c>
      <c r="S49" t="s">
        <v>256</v>
      </c>
      <c r="T49" t="s">
        <v>161</v>
      </c>
      <c r="U49">
        <v>0.14019179611496466</v>
      </c>
      <c r="V49" t="s">
        <v>159</v>
      </c>
      <c r="AK49">
        <v>2034</v>
      </c>
      <c r="AL49" t="s">
        <v>154</v>
      </c>
      <c r="AM49">
        <v>0.14486000000000002</v>
      </c>
      <c r="AN49" t="s">
        <v>281</v>
      </c>
    </row>
    <row r="50" spans="9:40" x14ac:dyDescent="0.45">
      <c r="I50" t="s">
        <v>171</v>
      </c>
      <c r="J50" t="s">
        <v>162</v>
      </c>
      <c r="K50">
        <v>8.2386380430211573E-3</v>
      </c>
      <c r="L50" t="s">
        <v>159</v>
      </c>
      <c r="N50" t="s">
        <v>214</v>
      </c>
      <c r="O50" t="s">
        <v>162</v>
      </c>
      <c r="P50">
        <v>6.4221568307484656E-2</v>
      </c>
      <c r="Q50" t="s">
        <v>159</v>
      </c>
      <c r="S50" t="s">
        <v>256</v>
      </c>
      <c r="T50" t="s">
        <v>162</v>
      </c>
      <c r="U50">
        <v>4.3963397409833543E-2</v>
      </c>
      <c r="V50" t="s">
        <v>159</v>
      </c>
      <c r="AK50">
        <v>2035</v>
      </c>
      <c r="AL50" t="s">
        <v>148</v>
      </c>
      <c r="AM50">
        <v>0.32013333333333333</v>
      </c>
      <c r="AN50" t="s">
        <v>281</v>
      </c>
    </row>
    <row r="51" spans="9:40" x14ac:dyDescent="0.45">
      <c r="I51" t="s">
        <v>171</v>
      </c>
      <c r="J51" t="s">
        <v>163</v>
      </c>
      <c r="K51">
        <v>0.11152476886011334</v>
      </c>
      <c r="L51" t="s">
        <v>159</v>
      </c>
      <c r="N51" t="s">
        <v>214</v>
      </c>
      <c r="O51" t="s">
        <v>163</v>
      </c>
      <c r="P51">
        <v>0.1067533653997913</v>
      </c>
      <c r="Q51" t="s">
        <v>159</v>
      </c>
      <c r="S51" t="s">
        <v>256</v>
      </c>
      <c r="T51" t="s">
        <v>163</v>
      </c>
      <c r="U51">
        <v>5.5346855570965289E-2</v>
      </c>
      <c r="V51" t="s">
        <v>159</v>
      </c>
      <c r="AK51">
        <v>2035</v>
      </c>
      <c r="AL51" t="s">
        <v>152</v>
      </c>
      <c r="AM51">
        <v>0.1123</v>
      </c>
      <c r="AN51" t="s">
        <v>281</v>
      </c>
    </row>
    <row r="52" spans="9:40" x14ac:dyDescent="0.45">
      <c r="I52" t="s">
        <v>171</v>
      </c>
      <c r="J52" t="s">
        <v>164</v>
      </c>
      <c r="K52">
        <v>0</v>
      </c>
      <c r="L52" t="s">
        <v>159</v>
      </c>
      <c r="N52" t="s">
        <v>214</v>
      </c>
      <c r="O52" t="s">
        <v>164</v>
      </c>
      <c r="P52">
        <v>4.8870347765160513E-2</v>
      </c>
      <c r="Q52" t="s">
        <v>159</v>
      </c>
      <c r="S52" t="s">
        <v>256</v>
      </c>
      <c r="T52" t="s">
        <v>164</v>
      </c>
      <c r="U52">
        <v>3.5329549784516981E-2</v>
      </c>
      <c r="V52" t="s">
        <v>159</v>
      </c>
      <c r="AK52">
        <v>2035</v>
      </c>
      <c r="AL52" t="s">
        <v>154</v>
      </c>
      <c r="AM52">
        <v>0.17098000000000002</v>
      </c>
      <c r="AN52" t="s">
        <v>281</v>
      </c>
    </row>
    <row r="53" spans="9:40" x14ac:dyDescent="0.45">
      <c r="I53" t="s">
        <v>171</v>
      </c>
      <c r="J53" t="s">
        <v>165</v>
      </c>
      <c r="K53">
        <v>5.7969544649021411E-2</v>
      </c>
      <c r="L53" t="s">
        <v>159</v>
      </c>
      <c r="N53" t="s">
        <v>214</v>
      </c>
      <c r="O53" t="s">
        <v>165</v>
      </c>
      <c r="P53">
        <v>6.2556312586869778E-2</v>
      </c>
      <c r="Q53" t="s">
        <v>159</v>
      </c>
      <c r="S53" t="s">
        <v>256</v>
      </c>
      <c r="T53" t="s">
        <v>165</v>
      </c>
      <c r="U53">
        <v>9.2678901082212023E-2</v>
      </c>
      <c r="V53" t="s">
        <v>159</v>
      </c>
      <c r="AK53">
        <v>2036</v>
      </c>
      <c r="AL53" t="s">
        <v>148</v>
      </c>
      <c r="AM53">
        <v>0.3082333333333333</v>
      </c>
      <c r="AN53" t="s">
        <v>281</v>
      </c>
    </row>
    <row r="54" spans="9:40" x14ac:dyDescent="0.45">
      <c r="I54" t="s">
        <v>171</v>
      </c>
      <c r="J54" t="s">
        <v>166</v>
      </c>
      <c r="K54">
        <v>0.3599607189316118</v>
      </c>
      <c r="L54" t="s">
        <v>159</v>
      </c>
      <c r="N54" t="s">
        <v>214</v>
      </c>
      <c r="O54" t="s">
        <v>166</v>
      </c>
      <c r="P54">
        <v>0.17484653183152785</v>
      </c>
      <c r="Q54" t="s">
        <v>159</v>
      </c>
      <c r="S54" t="s">
        <v>256</v>
      </c>
      <c r="T54" t="s">
        <v>166</v>
      </c>
      <c r="U54">
        <v>0.17699633263431475</v>
      </c>
      <c r="V54" t="s">
        <v>159</v>
      </c>
      <c r="AK54">
        <v>2036</v>
      </c>
      <c r="AL54" t="s">
        <v>152</v>
      </c>
      <c r="AM54">
        <v>0.11246666666666667</v>
      </c>
      <c r="AN54" t="s">
        <v>281</v>
      </c>
    </row>
    <row r="55" spans="9:40" x14ac:dyDescent="0.45">
      <c r="I55" t="s">
        <v>171</v>
      </c>
      <c r="J55" t="s">
        <v>167</v>
      </c>
      <c r="K55">
        <v>6.9202191991368399E-3</v>
      </c>
      <c r="L55" t="s">
        <v>159</v>
      </c>
      <c r="N55" t="s">
        <v>214</v>
      </c>
      <c r="O55" t="s">
        <v>167</v>
      </c>
      <c r="P55">
        <v>9.9186070896615075E-2</v>
      </c>
      <c r="Q55" t="s">
        <v>159</v>
      </c>
      <c r="S55" t="s">
        <v>256</v>
      </c>
      <c r="T55" t="s">
        <v>167</v>
      </c>
      <c r="U55">
        <v>0.11476490096438025</v>
      </c>
      <c r="V55" t="s">
        <v>159</v>
      </c>
      <c r="AK55">
        <v>2036</v>
      </c>
      <c r="AL55" t="s">
        <v>154</v>
      </c>
      <c r="AM55">
        <v>0.16763999999999998</v>
      </c>
      <c r="AN55" t="s">
        <v>281</v>
      </c>
    </row>
    <row r="56" spans="9:40" x14ac:dyDescent="0.45">
      <c r="I56" t="s">
        <v>172</v>
      </c>
      <c r="J56" t="s">
        <v>158</v>
      </c>
      <c r="K56">
        <v>3.4724484895126341E-2</v>
      </c>
      <c r="L56" t="s">
        <v>159</v>
      </c>
      <c r="N56" t="s">
        <v>215</v>
      </c>
      <c r="O56" t="s">
        <v>158</v>
      </c>
      <c r="P56">
        <v>0.1179550897628331</v>
      </c>
      <c r="Q56" t="s">
        <v>159</v>
      </c>
      <c r="S56" t="s">
        <v>257</v>
      </c>
      <c r="T56" t="s">
        <v>158</v>
      </c>
      <c r="U56">
        <v>0.15561550585684827</v>
      </c>
      <c r="V56" t="s">
        <v>159</v>
      </c>
      <c r="AK56">
        <v>2037</v>
      </c>
      <c r="AL56" t="s">
        <v>148</v>
      </c>
      <c r="AM56">
        <v>0.32333333333333331</v>
      </c>
      <c r="AN56" t="s">
        <v>281</v>
      </c>
    </row>
    <row r="57" spans="9:40" x14ac:dyDescent="0.45">
      <c r="I57" t="s">
        <v>172</v>
      </c>
      <c r="J57" t="s">
        <v>160</v>
      </c>
      <c r="K57">
        <v>0.41006238095653208</v>
      </c>
      <c r="L57" t="s">
        <v>159</v>
      </c>
      <c r="N57" t="s">
        <v>215</v>
      </c>
      <c r="O57" t="s">
        <v>160</v>
      </c>
      <c r="P57">
        <v>0.1909995292061219</v>
      </c>
      <c r="Q57" t="s">
        <v>159</v>
      </c>
      <c r="S57" t="s">
        <v>257</v>
      </c>
      <c r="T57" t="s">
        <v>160</v>
      </c>
      <c r="U57">
        <v>0.19691978399369398</v>
      </c>
      <c r="V57" t="s">
        <v>159</v>
      </c>
      <c r="AK57">
        <v>2037</v>
      </c>
      <c r="AL57" t="s">
        <v>152</v>
      </c>
      <c r="AM57">
        <v>0.10746666666666667</v>
      </c>
      <c r="AN57" t="s">
        <v>281</v>
      </c>
    </row>
    <row r="58" spans="9:40" x14ac:dyDescent="0.45">
      <c r="I58" t="s">
        <v>172</v>
      </c>
      <c r="J58" t="s">
        <v>161</v>
      </c>
      <c r="K58">
        <v>2.1818286019674803E-2</v>
      </c>
      <c r="L58" t="s">
        <v>159</v>
      </c>
      <c r="N58" t="s">
        <v>215</v>
      </c>
      <c r="O58" t="s">
        <v>161</v>
      </c>
      <c r="P58">
        <v>0.14581961769183865</v>
      </c>
      <c r="Q58" t="s">
        <v>159</v>
      </c>
      <c r="S58" t="s">
        <v>257</v>
      </c>
      <c r="T58" t="s">
        <v>161</v>
      </c>
      <c r="U58">
        <v>0.13545609244024784</v>
      </c>
      <c r="V58" t="s">
        <v>159</v>
      </c>
      <c r="AK58">
        <v>2037</v>
      </c>
      <c r="AL58" t="s">
        <v>154</v>
      </c>
      <c r="AM58">
        <v>0.16955999999999999</v>
      </c>
      <c r="AN58" t="s">
        <v>281</v>
      </c>
    </row>
    <row r="59" spans="9:40" x14ac:dyDescent="0.45">
      <c r="I59" t="s">
        <v>172</v>
      </c>
      <c r="J59" t="s">
        <v>162</v>
      </c>
      <c r="K59">
        <v>1.6522641348016352E-3</v>
      </c>
      <c r="L59" t="s">
        <v>159</v>
      </c>
      <c r="N59" t="s">
        <v>215</v>
      </c>
      <c r="O59" t="s">
        <v>162</v>
      </c>
      <c r="P59">
        <v>5.7393066440863276E-2</v>
      </c>
      <c r="Q59" t="s">
        <v>159</v>
      </c>
      <c r="S59" t="s">
        <v>257</v>
      </c>
      <c r="T59" t="s">
        <v>162</v>
      </c>
      <c r="U59">
        <v>4.2456112556080013E-2</v>
      </c>
      <c r="V59" t="s">
        <v>159</v>
      </c>
      <c r="AK59">
        <v>2038</v>
      </c>
      <c r="AL59" t="s">
        <v>148</v>
      </c>
      <c r="AM59">
        <v>0.29701666666666665</v>
      </c>
      <c r="AN59" t="s">
        <v>281</v>
      </c>
    </row>
    <row r="60" spans="9:40" x14ac:dyDescent="0.45">
      <c r="I60" t="s">
        <v>172</v>
      </c>
      <c r="J60" t="s">
        <v>163</v>
      </c>
      <c r="K60">
        <v>0.10186656166090785</v>
      </c>
      <c r="L60" t="s">
        <v>159</v>
      </c>
      <c r="N60" t="s">
        <v>215</v>
      </c>
      <c r="O60" t="s">
        <v>163</v>
      </c>
      <c r="P60">
        <v>9.1883504078141082E-2</v>
      </c>
      <c r="Q60" t="s">
        <v>159</v>
      </c>
      <c r="S60" t="s">
        <v>257</v>
      </c>
      <c r="T60" t="s">
        <v>163</v>
      </c>
      <c r="U60">
        <v>5.0656575210135155E-2</v>
      </c>
      <c r="V60" t="s">
        <v>159</v>
      </c>
      <c r="AK60">
        <v>2038</v>
      </c>
      <c r="AL60" t="s">
        <v>152</v>
      </c>
      <c r="AM60">
        <v>0.10246666666666666</v>
      </c>
      <c r="AN60" t="s">
        <v>281</v>
      </c>
    </row>
    <row r="61" spans="9:40" x14ac:dyDescent="0.45">
      <c r="I61" t="s">
        <v>172</v>
      </c>
      <c r="J61" t="s">
        <v>164</v>
      </c>
      <c r="K61">
        <v>0</v>
      </c>
      <c r="L61" t="s">
        <v>159</v>
      </c>
      <c r="N61" t="s">
        <v>215</v>
      </c>
      <c r="O61" t="s">
        <v>164</v>
      </c>
      <c r="P61">
        <v>4.7874751705930502E-2</v>
      </c>
      <c r="Q61" t="s">
        <v>159</v>
      </c>
      <c r="S61" t="s">
        <v>257</v>
      </c>
      <c r="T61" t="s">
        <v>164</v>
      </c>
      <c r="U61">
        <v>3.5003008525994896E-2</v>
      </c>
      <c r="V61" t="s">
        <v>159</v>
      </c>
      <c r="AK61">
        <v>2038</v>
      </c>
      <c r="AL61" t="s">
        <v>154</v>
      </c>
      <c r="AM61">
        <v>0.16019999999999998</v>
      </c>
      <c r="AN61" t="s">
        <v>281</v>
      </c>
    </row>
    <row r="62" spans="9:40" x14ac:dyDescent="0.45">
      <c r="I62" t="s">
        <v>172</v>
      </c>
      <c r="J62" t="s">
        <v>165</v>
      </c>
      <c r="K62">
        <v>4.5247142607149717E-2</v>
      </c>
      <c r="L62" t="s">
        <v>159</v>
      </c>
      <c r="N62" t="s">
        <v>215</v>
      </c>
      <c r="O62" t="s">
        <v>165</v>
      </c>
      <c r="P62">
        <v>8.2221724219919287E-2</v>
      </c>
      <c r="Q62" t="s">
        <v>159</v>
      </c>
      <c r="S62" t="s">
        <v>257</v>
      </c>
      <c r="T62" t="s">
        <v>165</v>
      </c>
      <c r="U62">
        <v>0.11865555162540034</v>
      </c>
      <c r="V62" t="s">
        <v>159</v>
      </c>
      <c r="AK62">
        <v>2039</v>
      </c>
      <c r="AL62" t="s">
        <v>148</v>
      </c>
      <c r="AM62">
        <v>0.30709999999999998</v>
      </c>
      <c r="AN62" t="s">
        <v>281</v>
      </c>
    </row>
    <row r="63" spans="9:40" x14ac:dyDescent="0.45">
      <c r="I63" t="s">
        <v>172</v>
      </c>
      <c r="J63" t="s">
        <v>166</v>
      </c>
      <c r="K63">
        <v>0.36675920742547169</v>
      </c>
      <c r="L63" t="s">
        <v>159</v>
      </c>
      <c r="N63" t="s">
        <v>215</v>
      </c>
      <c r="O63" t="s">
        <v>166</v>
      </c>
      <c r="P63">
        <v>0.15238705291878357</v>
      </c>
      <c r="Q63" t="s">
        <v>159</v>
      </c>
      <c r="S63" t="s">
        <v>257</v>
      </c>
      <c r="T63" t="s">
        <v>166</v>
      </c>
      <c r="U63">
        <v>0.16000301482964496</v>
      </c>
      <c r="V63" t="s">
        <v>159</v>
      </c>
      <c r="AK63">
        <v>2039</v>
      </c>
      <c r="AL63" t="s">
        <v>152</v>
      </c>
      <c r="AM63">
        <v>0.1033</v>
      </c>
      <c r="AN63" t="s">
        <v>281</v>
      </c>
    </row>
    <row r="64" spans="9:40" x14ac:dyDescent="0.45">
      <c r="I64" t="s">
        <v>172</v>
      </c>
      <c r="J64" t="s">
        <v>167</v>
      </c>
      <c r="K64">
        <v>1.7869672300336502E-2</v>
      </c>
      <c r="L64" t="s">
        <v>159</v>
      </c>
      <c r="N64" t="s">
        <v>215</v>
      </c>
      <c r="O64" t="s">
        <v>167</v>
      </c>
      <c r="P64">
        <v>0.11346566397556788</v>
      </c>
      <c r="Q64" t="s">
        <v>159</v>
      </c>
      <c r="S64" t="s">
        <v>257</v>
      </c>
      <c r="T64" t="s">
        <v>167</v>
      </c>
      <c r="U64">
        <v>0.10523435496195362</v>
      </c>
      <c r="V64" t="s">
        <v>159</v>
      </c>
      <c r="AK64">
        <v>2039</v>
      </c>
      <c r="AL64" t="s">
        <v>154</v>
      </c>
      <c r="AM64">
        <v>0.16633999999999999</v>
      </c>
      <c r="AN64" t="s">
        <v>281</v>
      </c>
    </row>
    <row r="65" spans="9:40" x14ac:dyDescent="0.45">
      <c r="I65" t="s">
        <v>173</v>
      </c>
      <c r="J65" t="s">
        <v>158</v>
      </c>
      <c r="K65">
        <v>3.9353361546475452E-2</v>
      </c>
      <c r="L65" t="s">
        <v>159</v>
      </c>
      <c r="N65" t="s">
        <v>216</v>
      </c>
      <c r="O65" t="s">
        <v>158</v>
      </c>
      <c r="P65">
        <v>8.0404972011202544E-2</v>
      </c>
      <c r="Q65" t="s">
        <v>159</v>
      </c>
      <c r="S65" t="s">
        <v>258</v>
      </c>
      <c r="T65" t="s">
        <v>158</v>
      </c>
      <c r="U65">
        <v>0.13683623370824116</v>
      </c>
      <c r="V65" t="s">
        <v>159</v>
      </c>
      <c r="AK65">
        <v>2040</v>
      </c>
      <c r="AL65" t="s">
        <v>148</v>
      </c>
      <c r="AM65">
        <v>0.31546666666666662</v>
      </c>
      <c r="AN65" t="s">
        <v>281</v>
      </c>
    </row>
    <row r="66" spans="9:40" x14ac:dyDescent="0.45">
      <c r="I66" t="s">
        <v>173</v>
      </c>
      <c r="J66" t="s">
        <v>160</v>
      </c>
      <c r="K66">
        <v>0.40904799882101833</v>
      </c>
      <c r="L66" t="s">
        <v>159</v>
      </c>
      <c r="N66" t="s">
        <v>216</v>
      </c>
      <c r="O66" t="s">
        <v>160</v>
      </c>
      <c r="P66">
        <v>0.20051523380149833</v>
      </c>
      <c r="Q66" t="s">
        <v>159</v>
      </c>
      <c r="S66" t="s">
        <v>258</v>
      </c>
      <c r="T66" t="s">
        <v>160</v>
      </c>
      <c r="U66">
        <v>0.18923754862643294</v>
      </c>
      <c r="V66" t="s">
        <v>159</v>
      </c>
      <c r="AK66">
        <v>2040</v>
      </c>
      <c r="AL66" t="s">
        <v>152</v>
      </c>
      <c r="AM66">
        <v>0.10986666666666667</v>
      </c>
      <c r="AN66" t="s">
        <v>281</v>
      </c>
    </row>
    <row r="67" spans="9:40" x14ac:dyDescent="0.45">
      <c r="I67" t="s">
        <v>173</v>
      </c>
      <c r="J67" t="s">
        <v>161</v>
      </c>
      <c r="K67">
        <v>2.0872285792731919E-2</v>
      </c>
      <c r="L67" t="s">
        <v>159</v>
      </c>
      <c r="N67" t="s">
        <v>216</v>
      </c>
      <c r="O67" t="s">
        <v>161</v>
      </c>
      <c r="P67">
        <v>6.7180290293252884E-2</v>
      </c>
      <c r="Q67" t="s">
        <v>159</v>
      </c>
      <c r="S67" t="s">
        <v>258</v>
      </c>
      <c r="T67" t="s">
        <v>161</v>
      </c>
      <c r="U67">
        <v>0.11566577849248344</v>
      </c>
      <c r="V67" t="s">
        <v>159</v>
      </c>
      <c r="AK67">
        <v>2040</v>
      </c>
      <c r="AL67" t="s">
        <v>154</v>
      </c>
      <c r="AM67">
        <v>0.16642000000000001</v>
      </c>
      <c r="AN67" t="s">
        <v>281</v>
      </c>
    </row>
    <row r="68" spans="9:40" x14ac:dyDescent="0.45">
      <c r="I68" t="s">
        <v>173</v>
      </c>
      <c r="J68" t="s">
        <v>162</v>
      </c>
      <c r="K68">
        <v>2.0874693249185983E-3</v>
      </c>
      <c r="L68" t="s">
        <v>159</v>
      </c>
      <c r="N68" t="s">
        <v>216</v>
      </c>
      <c r="O68" t="s">
        <v>162</v>
      </c>
      <c r="P68">
        <v>5.8035257747518637E-2</v>
      </c>
      <c r="Q68" t="s">
        <v>159</v>
      </c>
      <c r="S68" t="s">
        <v>258</v>
      </c>
      <c r="T68" t="s">
        <v>162</v>
      </c>
      <c r="U68">
        <v>6.1459511778388223E-2</v>
      </c>
      <c r="V68" t="s">
        <v>159</v>
      </c>
      <c r="AK68">
        <v>2041</v>
      </c>
      <c r="AL68" t="s">
        <v>148</v>
      </c>
      <c r="AM68">
        <v>0.30156666666666665</v>
      </c>
      <c r="AN68" t="s">
        <v>281</v>
      </c>
    </row>
    <row r="69" spans="9:40" x14ac:dyDescent="0.45">
      <c r="I69" t="s">
        <v>173</v>
      </c>
      <c r="J69" t="s">
        <v>163</v>
      </c>
      <c r="K69">
        <v>9.5735901204167931E-2</v>
      </c>
      <c r="L69" t="s">
        <v>159</v>
      </c>
      <c r="N69" t="s">
        <v>216</v>
      </c>
      <c r="O69" t="s">
        <v>163</v>
      </c>
      <c r="P69">
        <v>0.1223088852799871</v>
      </c>
      <c r="Q69" t="s">
        <v>159</v>
      </c>
      <c r="S69" t="s">
        <v>258</v>
      </c>
      <c r="T69" t="s">
        <v>163</v>
      </c>
      <c r="U69">
        <v>6.9528638120260444E-2</v>
      </c>
      <c r="V69" t="s">
        <v>159</v>
      </c>
      <c r="AK69">
        <v>2041</v>
      </c>
      <c r="AL69" t="s">
        <v>152</v>
      </c>
      <c r="AM69">
        <v>0.10906666666666666</v>
      </c>
      <c r="AN69" t="s">
        <v>281</v>
      </c>
    </row>
    <row r="70" spans="9:40" x14ac:dyDescent="0.45">
      <c r="I70" t="s">
        <v>173</v>
      </c>
      <c r="J70" t="s">
        <v>164</v>
      </c>
      <c r="K70">
        <v>0</v>
      </c>
      <c r="L70" t="s">
        <v>159</v>
      </c>
      <c r="N70" t="s">
        <v>216</v>
      </c>
      <c r="O70" t="s">
        <v>164</v>
      </c>
      <c r="P70">
        <v>3.7316027774345333E-2</v>
      </c>
      <c r="Q70" t="s">
        <v>159</v>
      </c>
      <c r="S70" t="s">
        <v>258</v>
      </c>
      <c r="T70" t="s">
        <v>164</v>
      </c>
      <c r="U70">
        <v>4.5951592286966464E-2</v>
      </c>
      <c r="V70" t="s">
        <v>159</v>
      </c>
      <c r="AK70">
        <v>2041</v>
      </c>
      <c r="AL70" t="s">
        <v>154</v>
      </c>
      <c r="AM70">
        <v>0.17704</v>
      </c>
      <c r="AN70" t="s">
        <v>281</v>
      </c>
    </row>
    <row r="71" spans="9:40" x14ac:dyDescent="0.45">
      <c r="I71" t="s">
        <v>173</v>
      </c>
      <c r="J71" t="s">
        <v>165</v>
      </c>
      <c r="K71">
        <v>4.8891364760305582E-2</v>
      </c>
      <c r="L71" t="s">
        <v>159</v>
      </c>
      <c r="N71" t="s">
        <v>216</v>
      </c>
      <c r="O71" t="s">
        <v>165</v>
      </c>
      <c r="P71">
        <v>7.7906063859162614E-2</v>
      </c>
      <c r="Q71" t="s">
        <v>159</v>
      </c>
      <c r="S71" t="s">
        <v>258</v>
      </c>
      <c r="T71" t="s">
        <v>165</v>
      </c>
      <c r="U71">
        <v>0.11707012474746999</v>
      </c>
      <c r="V71" t="s">
        <v>159</v>
      </c>
      <c r="AK71">
        <v>2042</v>
      </c>
      <c r="AL71" t="s">
        <v>148</v>
      </c>
      <c r="AM71">
        <v>0.30063333333333331</v>
      </c>
      <c r="AN71" t="s">
        <v>281</v>
      </c>
    </row>
    <row r="72" spans="9:40" x14ac:dyDescent="0.45">
      <c r="I72" t="s">
        <v>173</v>
      </c>
      <c r="J72" t="s">
        <v>166</v>
      </c>
      <c r="K72">
        <v>0.36831835244588179</v>
      </c>
      <c r="L72" t="s">
        <v>159</v>
      </c>
      <c r="N72" t="s">
        <v>216</v>
      </c>
      <c r="O72" t="s">
        <v>166</v>
      </c>
      <c r="P72">
        <v>0.29104294799099895</v>
      </c>
      <c r="Q72" t="s">
        <v>159</v>
      </c>
      <c r="S72" t="s">
        <v>258</v>
      </c>
      <c r="T72" t="s">
        <v>166</v>
      </c>
      <c r="U72">
        <v>0.17051292683293337</v>
      </c>
      <c r="V72" t="s">
        <v>159</v>
      </c>
      <c r="AK72">
        <v>2042</v>
      </c>
      <c r="AL72" t="s">
        <v>152</v>
      </c>
      <c r="AM72">
        <v>0.10516666666666667</v>
      </c>
      <c r="AN72" t="s">
        <v>281</v>
      </c>
    </row>
    <row r="73" spans="9:40" x14ac:dyDescent="0.45">
      <c r="I73" t="s">
        <v>173</v>
      </c>
      <c r="J73" t="s">
        <v>167</v>
      </c>
      <c r="K73">
        <v>1.5693266104503598E-2</v>
      </c>
      <c r="L73" t="s">
        <v>159</v>
      </c>
      <c r="N73" t="s">
        <v>216</v>
      </c>
      <c r="O73" t="s">
        <v>167</v>
      </c>
      <c r="P73">
        <v>6.5290321242036944E-2</v>
      </c>
      <c r="Q73" t="s">
        <v>159</v>
      </c>
      <c r="S73" t="s">
        <v>258</v>
      </c>
      <c r="T73" t="s">
        <v>167</v>
      </c>
      <c r="U73">
        <v>9.3737645406823875E-2</v>
      </c>
      <c r="V73" t="s">
        <v>159</v>
      </c>
      <c r="AK73">
        <v>2042</v>
      </c>
      <c r="AL73" t="s">
        <v>154</v>
      </c>
      <c r="AM73">
        <v>0.16719999999999999</v>
      </c>
      <c r="AN73" t="s">
        <v>281</v>
      </c>
    </row>
    <row r="74" spans="9:40" x14ac:dyDescent="0.45">
      <c r="I74" t="s">
        <v>174</v>
      </c>
      <c r="J74" t="s">
        <v>158</v>
      </c>
      <c r="K74">
        <v>3.6504872340774326E-2</v>
      </c>
      <c r="L74" t="s">
        <v>159</v>
      </c>
      <c r="N74" t="s">
        <v>217</v>
      </c>
      <c r="O74" t="s">
        <v>158</v>
      </c>
      <c r="P74">
        <v>0.11158435888046431</v>
      </c>
      <c r="Q74" t="s">
        <v>159</v>
      </c>
      <c r="S74" t="s">
        <v>259</v>
      </c>
      <c r="T74" t="s">
        <v>158</v>
      </c>
      <c r="U74">
        <v>0.14518430793999498</v>
      </c>
      <c r="V74" t="s">
        <v>159</v>
      </c>
      <c r="AK74">
        <v>2043</v>
      </c>
      <c r="AL74" t="s">
        <v>148</v>
      </c>
      <c r="AM74">
        <v>0.31211666666666665</v>
      </c>
      <c r="AN74" t="s">
        <v>281</v>
      </c>
    </row>
    <row r="75" spans="9:40" x14ac:dyDescent="0.45">
      <c r="I75" t="s">
        <v>174</v>
      </c>
      <c r="J75" t="s">
        <v>160</v>
      </c>
      <c r="K75">
        <v>0.41349865103077832</v>
      </c>
      <c r="L75" t="s">
        <v>159</v>
      </c>
      <c r="N75" t="s">
        <v>217</v>
      </c>
      <c r="O75" t="s">
        <v>160</v>
      </c>
      <c r="P75">
        <v>0.13711681837662315</v>
      </c>
      <c r="Q75" t="s">
        <v>159</v>
      </c>
      <c r="S75" t="s">
        <v>259</v>
      </c>
      <c r="T75" t="s">
        <v>160</v>
      </c>
      <c r="U75">
        <v>0.18639494816471103</v>
      </c>
      <c r="V75" t="s">
        <v>159</v>
      </c>
      <c r="AK75">
        <v>2043</v>
      </c>
      <c r="AL75" t="s">
        <v>152</v>
      </c>
      <c r="AM75">
        <v>0.10306666666666668</v>
      </c>
      <c r="AN75" t="s">
        <v>281</v>
      </c>
    </row>
    <row r="76" spans="9:40" x14ac:dyDescent="0.45">
      <c r="I76" t="s">
        <v>174</v>
      </c>
      <c r="J76" t="s">
        <v>161</v>
      </c>
      <c r="K76">
        <v>1.4490922680311172E-2</v>
      </c>
      <c r="L76" t="s">
        <v>159</v>
      </c>
      <c r="N76" t="s">
        <v>217</v>
      </c>
      <c r="O76" t="s">
        <v>161</v>
      </c>
      <c r="P76">
        <v>0.11579018982899585</v>
      </c>
      <c r="Q76" t="s">
        <v>159</v>
      </c>
      <c r="S76" t="s">
        <v>259</v>
      </c>
      <c r="T76" t="s">
        <v>161</v>
      </c>
      <c r="U76">
        <v>0.12639159971050939</v>
      </c>
      <c r="V76" t="s">
        <v>159</v>
      </c>
      <c r="AK76">
        <v>2043</v>
      </c>
      <c r="AL76" t="s">
        <v>154</v>
      </c>
      <c r="AM76">
        <v>0.15770000000000001</v>
      </c>
      <c r="AN76" t="s">
        <v>281</v>
      </c>
    </row>
    <row r="77" spans="9:40" x14ac:dyDescent="0.45">
      <c r="I77" t="s">
        <v>174</v>
      </c>
      <c r="J77" t="s">
        <v>162</v>
      </c>
      <c r="K77">
        <v>4.0718026986508275E-3</v>
      </c>
      <c r="L77" t="s">
        <v>159</v>
      </c>
      <c r="N77" t="s">
        <v>217</v>
      </c>
      <c r="O77" t="s">
        <v>162</v>
      </c>
      <c r="P77">
        <v>6.9499635230590925E-2</v>
      </c>
      <c r="Q77" t="s">
        <v>159</v>
      </c>
      <c r="S77" t="s">
        <v>259</v>
      </c>
      <c r="T77" t="s">
        <v>162</v>
      </c>
      <c r="U77">
        <v>4.2543540304605533E-2</v>
      </c>
      <c r="V77" t="s">
        <v>159</v>
      </c>
      <c r="AK77">
        <v>2044</v>
      </c>
      <c r="AL77" t="s">
        <v>148</v>
      </c>
      <c r="AM77">
        <v>0.29396666666666665</v>
      </c>
      <c r="AN77" t="s">
        <v>281</v>
      </c>
    </row>
    <row r="78" spans="9:40" x14ac:dyDescent="0.45">
      <c r="I78" t="s">
        <v>174</v>
      </c>
      <c r="J78" t="s">
        <v>163</v>
      </c>
      <c r="K78">
        <v>0.11568804086587108</v>
      </c>
      <c r="L78" t="s">
        <v>159</v>
      </c>
      <c r="N78" t="s">
        <v>217</v>
      </c>
      <c r="O78" t="s">
        <v>163</v>
      </c>
      <c r="P78">
        <v>8.5761710122055898E-2</v>
      </c>
      <c r="Q78" t="s">
        <v>159</v>
      </c>
      <c r="S78" t="s">
        <v>259</v>
      </c>
      <c r="T78" t="s">
        <v>163</v>
      </c>
      <c r="U78">
        <v>6.71065866983281E-2</v>
      </c>
      <c r="V78" t="s">
        <v>159</v>
      </c>
      <c r="AK78">
        <v>2044</v>
      </c>
      <c r="AL78" t="s">
        <v>152</v>
      </c>
      <c r="AM78">
        <v>0.10746666666666667</v>
      </c>
      <c r="AN78" t="s">
        <v>281</v>
      </c>
    </row>
    <row r="79" spans="9:40" x14ac:dyDescent="0.45">
      <c r="I79" t="s">
        <v>174</v>
      </c>
      <c r="J79" t="s">
        <v>164</v>
      </c>
      <c r="K79">
        <v>0</v>
      </c>
      <c r="L79" t="s">
        <v>159</v>
      </c>
      <c r="N79" t="s">
        <v>217</v>
      </c>
      <c r="O79" t="s">
        <v>164</v>
      </c>
      <c r="P79">
        <v>5.3971116193372935E-2</v>
      </c>
      <c r="Q79" t="s">
        <v>159</v>
      </c>
      <c r="S79" t="s">
        <v>259</v>
      </c>
      <c r="T79" t="s">
        <v>164</v>
      </c>
      <c r="U79">
        <v>4.3343823647879309E-2</v>
      </c>
      <c r="V79" t="s">
        <v>159</v>
      </c>
      <c r="AK79">
        <v>2044</v>
      </c>
      <c r="AL79" t="s">
        <v>154</v>
      </c>
      <c r="AM79">
        <v>0.17416000000000001</v>
      </c>
      <c r="AN79" t="s">
        <v>281</v>
      </c>
    </row>
    <row r="80" spans="9:40" x14ac:dyDescent="0.45">
      <c r="I80" t="s">
        <v>174</v>
      </c>
      <c r="J80" t="s">
        <v>165</v>
      </c>
      <c r="K80">
        <v>4.3072301368637975E-2</v>
      </c>
      <c r="L80" t="s">
        <v>159</v>
      </c>
      <c r="N80" t="s">
        <v>217</v>
      </c>
      <c r="O80" t="s">
        <v>165</v>
      </c>
      <c r="P80">
        <v>0.12054144367635643</v>
      </c>
      <c r="Q80" t="s">
        <v>159</v>
      </c>
      <c r="S80" t="s">
        <v>259</v>
      </c>
      <c r="T80" t="s">
        <v>165</v>
      </c>
      <c r="U80">
        <v>0.11833870273399756</v>
      </c>
      <c r="V80" t="s">
        <v>159</v>
      </c>
      <c r="AK80">
        <v>2045</v>
      </c>
      <c r="AL80" t="s">
        <v>148</v>
      </c>
      <c r="AM80">
        <v>0.30726666666666669</v>
      </c>
      <c r="AN80" t="s">
        <v>281</v>
      </c>
    </row>
    <row r="81" spans="9:40" x14ac:dyDescent="0.45">
      <c r="I81" t="s">
        <v>174</v>
      </c>
      <c r="J81" t="s">
        <v>166</v>
      </c>
      <c r="K81">
        <v>0.36038959001761023</v>
      </c>
      <c r="L81" t="s">
        <v>159</v>
      </c>
      <c r="N81" t="s">
        <v>217</v>
      </c>
      <c r="O81" t="s">
        <v>166</v>
      </c>
      <c r="P81">
        <v>0.19012498345146137</v>
      </c>
      <c r="Q81" t="s">
        <v>159</v>
      </c>
      <c r="S81" t="s">
        <v>259</v>
      </c>
      <c r="T81" t="s">
        <v>166</v>
      </c>
      <c r="U81">
        <v>0.16226724661065253</v>
      </c>
      <c r="V81" t="s">
        <v>159</v>
      </c>
      <c r="AK81">
        <v>2045</v>
      </c>
      <c r="AL81" t="s">
        <v>152</v>
      </c>
      <c r="AM81">
        <v>0.10953333333333333</v>
      </c>
      <c r="AN81" t="s">
        <v>281</v>
      </c>
    </row>
    <row r="82" spans="9:40" x14ac:dyDescent="0.45">
      <c r="I82" t="s">
        <v>174</v>
      </c>
      <c r="J82" t="s">
        <v>167</v>
      </c>
      <c r="K82">
        <v>1.228381899736335E-2</v>
      </c>
      <c r="L82" t="s">
        <v>159</v>
      </c>
      <c r="N82" t="s">
        <v>217</v>
      </c>
      <c r="O82" t="s">
        <v>167</v>
      </c>
      <c r="P82">
        <v>0.1156097442400781</v>
      </c>
      <c r="Q82" t="s">
        <v>159</v>
      </c>
      <c r="S82" t="s">
        <v>259</v>
      </c>
      <c r="T82" t="s">
        <v>167</v>
      </c>
      <c r="U82">
        <v>0.10842924418932344</v>
      </c>
      <c r="V82" t="s">
        <v>159</v>
      </c>
      <c r="AK82">
        <v>2045</v>
      </c>
      <c r="AL82" t="s">
        <v>154</v>
      </c>
      <c r="AM82">
        <v>0.16531999999999997</v>
      </c>
      <c r="AN82" t="s">
        <v>281</v>
      </c>
    </row>
    <row r="83" spans="9:40" x14ac:dyDescent="0.45">
      <c r="I83" t="s">
        <v>175</v>
      </c>
      <c r="J83" t="s">
        <v>158</v>
      </c>
      <c r="K83">
        <v>3.9293434936804587E-2</v>
      </c>
      <c r="L83" t="s">
        <v>159</v>
      </c>
      <c r="N83" t="s">
        <v>218</v>
      </c>
      <c r="O83" t="s">
        <v>158</v>
      </c>
      <c r="P83">
        <v>0.13202274011928117</v>
      </c>
      <c r="Q83" t="s">
        <v>159</v>
      </c>
      <c r="S83" t="s">
        <v>260</v>
      </c>
      <c r="T83" t="s">
        <v>158</v>
      </c>
      <c r="U83">
        <v>0.14048139316130853</v>
      </c>
      <c r="V83" t="s">
        <v>159</v>
      </c>
      <c r="AK83">
        <v>2046</v>
      </c>
      <c r="AL83" t="s">
        <v>148</v>
      </c>
      <c r="AM83">
        <v>0.31570000000000004</v>
      </c>
      <c r="AN83" t="s">
        <v>281</v>
      </c>
    </row>
    <row r="84" spans="9:40" x14ac:dyDescent="0.45">
      <c r="I84" t="s">
        <v>175</v>
      </c>
      <c r="J84" t="s">
        <v>160</v>
      </c>
      <c r="K84">
        <v>0.40886585169850098</v>
      </c>
      <c r="L84" t="s">
        <v>159</v>
      </c>
      <c r="N84" t="s">
        <v>218</v>
      </c>
      <c r="O84" t="s">
        <v>160</v>
      </c>
      <c r="P84">
        <v>0.1139026380904771</v>
      </c>
      <c r="Q84" t="s">
        <v>159</v>
      </c>
      <c r="S84" t="s">
        <v>260</v>
      </c>
      <c r="T84" t="s">
        <v>160</v>
      </c>
      <c r="U84">
        <v>0.18167310713049664</v>
      </c>
      <c r="V84" t="s">
        <v>159</v>
      </c>
      <c r="AK84">
        <v>2046</v>
      </c>
      <c r="AL84" t="s">
        <v>152</v>
      </c>
      <c r="AM84">
        <v>0.10423333333333333</v>
      </c>
      <c r="AN84" t="s">
        <v>281</v>
      </c>
    </row>
    <row r="85" spans="9:40" x14ac:dyDescent="0.45">
      <c r="I85" t="s">
        <v>175</v>
      </c>
      <c r="J85" t="s">
        <v>161</v>
      </c>
      <c r="K85">
        <v>1.5546406659294723E-2</v>
      </c>
      <c r="L85" t="s">
        <v>159</v>
      </c>
      <c r="N85" t="s">
        <v>218</v>
      </c>
      <c r="O85" t="s">
        <v>161</v>
      </c>
      <c r="P85">
        <v>0.12466612448076969</v>
      </c>
      <c r="Q85" t="s">
        <v>159</v>
      </c>
      <c r="S85" t="s">
        <v>260</v>
      </c>
      <c r="T85" t="s">
        <v>161</v>
      </c>
      <c r="U85">
        <v>0.12225483321456281</v>
      </c>
      <c r="V85" t="s">
        <v>159</v>
      </c>
      <c r="AK85">
        <v>2046</v>
      </c>
      <c r="AL85" t="s">
        <v>154</v>
      </c>
      <c r="AM85">
        <v>0.16907999999999998</v>
      </c>
      <c r="AN85" t="s">
        <v>281</v>
      </c>
    </row>
    <row r="86" spans="9:40" x14ac:dyDescent="0.45">
      <c r="I86" t="s">
        <v>175</v>
      </c>
      <c r="J86" t="s">
        <v>162</v>
      </c>
      <c r="K86">
        <v>3.6879476026326916E-3</v>
      </c>
      <c r="L86" t="s">
        <v>159</v>
      </c>
      <c r="N86" t="s">
        <v>218</v>
      </c>
      <c r="O86" t="s">
        <v>162</v>
      </c>
      <c r="P86">
        <v>7.0904478121233169E-2</v>
      </c>
      <c r="Q86" t="s">
        <v>159</v>
      </c>
      <c r="S86" t="s">
        <v>260</v>
      </c>
      <c r="T86" t="s">
        <v>162</v>
      </c>
      <c r="U86">
        <v>5.1218150830973419E-2</v>
      </c>
      <c r="V86" t="s">
        <v>159</v>
      </c>
      <c r="AK86">
        <v>2047</v>
      </c>
      <c r="AL86" t="s">
        <v>148</v>
      </c>
      <c r="AM86">
        <v>0.34925</v>
      </c>
      <c r="AN86" t="s">
        <v>281</v>
      </c>
    </row>
    <row r="87" spans="9:40" x14ac:dyDescent="0.45">
      <c r="I87" t="s">
        <v>175</v>
      </c>
      <c r="J87" t="s">
        <v>163</v>
      </c>
      <c r="K87">
        <v>0.10956137723239663</v>
      </c>
      <c r="L87" t="s">
        <v>159</v>
      </c>
      <c r="N87" t="s">
        <v>218</v>
      </c>
      <c r="O87" t="s">
        <v>163</v>
      </c>
      <c r="P87">
        <v>6.0507463165051456E-2</v>
      </c>
      <c r="Q87" t="s">
        <v>159</v>
      </c>
      <c r="S87" t="s">
        <v>260</v>
      </c>
      <c r="T87" t="s">
        <v>163</v>
      </c>
      <c r="U87">
        <v>7.2364017956974169E-2</v>
      </c>
      <c r="V87" t="s">
        <v>159</v>
      </c>
      <c r="AK87">
        <v>2047</v>
      </c>
      <c r="AL87" t="s">
        <v>152</v>
      </c>
      <c r="AM87">
        <v>0.12476666666666665</v>
      </c>
      <c r="AN87" t="s">
        <v>281</v>
      </c>
    </row>
    <row r="88" spans="9:40" x14ac:dyDescent="0.45">
      <c r="I88" t="s">
        <v>175</v>
      </c>
      <c r="J88" t="s">
        <v>164</v>
      </c>
      <c r="K88">
        <v>0</v>
      </c>
      <c r="L88" t="s">
        <v>159</v>
      </c>
      <c r="N88" t="s">
        <v>218</v>
      </c>
      <c r="O88" t="s">
        <v>164</v>
      </c>
      <c r="P88">
        <v>5.6097443035533642E-2</v>
      </c>
      <c r="Q88" t="s">
        <v>159</v>
      </c>
      <c r="S88" t="s">
        <v>260</v>
      </c>
      <c r="T88" t="s">
        <v>164</v>
      </c>
      <c r="U88">
        <v>4.3974217756598759E-2</v>
      </c>
      <c r="V88" t="s">
        <v>159</v>
      </c>
      <c r="AK88">
        <v>2047</v>
      </c>
      <c r="AL88" t="s">
        <v>154</v>
      </c>
      <c r="AM88">
        <v>0.19047999999999998</v>
      </c>
      <c r="AN88" t="s">
        <v>281</v>
      </c>
    </row>
    <row r="89" spans="9:40" x14ac:dyDescent="0.45">
      <c r="I89" t="s">
        <v>175</v>
      </c>
      <c r="J89" t="s">
        <v>165</v>
      </c>
      <c r="K89">
        <v>4.7327339111140912E-2</v>
      </c>
      <c r="L89" t="s">
        <v>159</v>
      </c>
      <c r="N89" t="s">
        <v>218</v>
      </c>
      <c r="O89" t="s">
        <v>165</v>
      </c>
      <c r="P89">
        <v>0.15092258277073028</v>
      </c>
      <c r="Q89" t="s">
        <v>159</v>
      </c>
      <c r="S89" t="s">
        <v>260</v>
      </c>
      <c r="T89" t="s">
        <v>165</v>
      </c>
      <c r="U89">
        <v>0.11702172056169574</v>
      </c>
      <c r="V89" t="s">
        <v>159</v>
      </c>
      <c r="AK89">
        <v>2048</v>
      </c>
      <c r="AL89" t="s">
        <v>148</v>
      </c>
      <c r="AM89">
        <v>0.36323333333333335</v>
      </c>
      <c r="AN89" t="s">
        <v>281</v>
      </c>
    </row>
    <row r="90" spans="9:40" x14ac:dyDescent="0.45">
      <c r="I90" t="s">
        <v>175</v>
      </c>
      <c r="J90" t="s">
        <v>166</v>
      </c>
      <c r="K90">
        <v>0.36319935355472732</v>
      </c>
      <c r="L90" t="s">
        <v>159</v>
      </c>
      <c r="N90" t="s">
        <v>218</v>
      </c>
      <c r="O90" t="s">
        <v>166</v>
      </c>
      <c r="P90">
        <v>0.16011970438328002</v>
      </c>
      <c r="Q90" t="s">
        <v>159</v>
      </c>
      <c r="S90" t="s">
        <v>260</v>
      </c>
      <c r="T90" t="s">
        <v>166</v>
      </c>
      <c r="U90">
        <v>0.17227333291845512</v>
      </c>
      <c r="V90" t="s">
        <v>159</v>
      </c>
      <c r="AK90">
        <v>2048</v>
      </c>
      <c r="AL90" t="s">
        <v>152</v>
      </c>
      <c r="AM90">
        <v>0.13253333333333336</v>
      </c>
      <c r="AN90" t="s">
        <v>281</v>
      </c>
    </row>
    <row r="91" spans="9:40" x14ac:dyDescent="0.45">
      <c r="I91" t="s">
        <v>175</v>
      </c>
      <c r="J91" t="s">
        <v>167</v>
      </c>
      <c r="K91">
        <v>1.2518289204502219E-2</v>
      </c>
      <c r="L91" t="s">
        <v>159</v>
      </c>
      <c r="N91" t="s">
        <v>218</v>
      </c>
      <c r="O91" t="s">
        <v>167</v>
      </c>
      <c r="P91">
        <v>0.13085682583364228</v>
      </c>
      <c r="Q91" t="s">
        <v>159</v>
      </c>
      <c r="S91" t="s">
        <v>260</v>
      </c>
      <c r="T91" t="s">
        <v>167</v>
      </c>
      <c r="U91">
        <v>9.873922646893421E-2</v>
      </c>
      <c r="V91" t="s">
        <v>159</v>
      </c>
      <c r="AK91">
        <v>2048</v>
      </c>
      <c r="AL91" t="s">
        <v>154</v>
      </c>
      <c r="AM91">
        <v>0.20015999999999998</v>
      </c>
      <c r="AN91" t="s">
        <v>281</v>
      </c>
    </row>
    <row r="92" spans="9:40" x14ac:dyDescent="0.45">
      <c r="I92" t="s">
        <v>176</v>
      </c>
      <c r="J92" t="s">
        <v>158</v>
      </c>
      <c r="K92">
        <v>3.0251913628182477E-2</v>
      </c>
      <c r="L92" t="s">
        <v>159</v>
      </c>
      <c r="N92" t="s">
        <v>219</v>
      </c>
      <c r="O92" t="s">
        <v>158</v>
      </c>
      <c r="P92">
        <v>9.1529953608575812E-2</v>
      </c>
      <c r="Q92" t="s">
        <v>159</v>
      </c>
      <c r="S92" t="s">
        <v>261</v>
      </c>
      <c r="T92" t="s">
        <v>158</v>
      </c>
      <c r="U92">
        <v>0.13598991744441605</v>
      </c>
      <c r="V92" t="s">
        <v>159</v>
      </c>
      <c r="AK92">
        <v>2049</v>
      </c>
      <c r="AL92" t="s">
        <v>148</v>
      </c>
      <c r="AM92">
        <v>0.36641666666666667</v>
      </c>
      <c r="AN92" t="s">
        <v>281</v>
      </c>
    </row>
    <row r="93" spans="9:40" x14ac:dyDescent="0.45">
      <c r="I93" t="s">
        <v>176</v>
      </c>
      <c r="J93" t="s">
        <v>160</v>
      </c>
      <c r="K93">
        <v>0.41220422285783964</v>
      </c>
      <c r="L93" t="s">
        <v>159</v>
      </c>
      <c r="N93" t="s">
        <v>219</v>
      </c>
      <c r="O93" t="s">
        <v>160</v>
      </c>
      <c r="P93">
        <v>0.17885414638156477</v>
      </c>
      <c r="Q93" t="s">
        <v>159</v>
      </c>
      <c r="S93" t="s">
        <v>261</v>
      </c>
      <c r="T93" t="s">
        <v>160</v>
      </c>
      <c r="U93">
        <v>0.17452810553395559</v>
      </c>
      <c r="V93" t="s">
        <v>159</v>
      </c>
      <c r="AK93">
        <v>2049</v>
      </c>
      <c r="AL93" t="s">
        <v>152</v>
      </c>
      <c r="AM93">
        <v>0.1179</v>
      </c>
      <c r="AN93" t="s">
        <v>281</v>
      </c>
    </row>
    <row r="94" spans="9:40" x14ac:dyDescent="0.45">
      <c r="I94" t="s">
        <v>176</v>
      </c>
      <c r="J94" t="s">
        <v>161</v>
      </c>
      <c r="K94">
        <v>2.8493674028346443E-2</v>
      </c>
      <c r="L94" t="s">
        <v>159</v>
      </c>
      <c r="N94" t="s">
        <v>219</v>
      </c>
      <c r="O94" t="s">
        <v>161</v>
      </c>
      <c r="P94">
        <v>0.12550153769682515</v>
      </c>
      <c r="Q94" t="s">
        <v>159</v>
      </c>
      <c r="S94" t="s">
        <v>261</v>
      </c>
      <c r="T94" t="s">
        <v>161</v>
      </c>
      <c r="U94">
        <v>0.12817642740329624</v>
      </c>
      <c r="V94" t="s">
        <v>159</v>
      </c>
      <c r="AK94">
        <v>2049</v>
      </c>
      <c r="AL94" t="s">
        <v>154</v>
      </c>
      <c r="AM94">
        <v>0.19075999999999999</v>
      </c>
      <c r="AN94" t="s">
        <v>281</v>
      </c>
    </row>
    <row r="95" spans="9:40" x14ac:dyDescent="0.45">
      <c r="I95" t="s">
        <v>176</v>
      </c>
      <c r="J95" t="s">
        <v>162</v>
      </c>
      <c r="K95">
        <v>3.807678192107091E-4</v>
      </c>
      <c r="L95" t="s">
        <v>159</v>
      </c>
      <c r="N95" t="s">
        <v>219</v>
      </c>
      <c r="O95" t="s">
        <v>162</v>
      </c>
      <c r="P95">
        <v>4.7970680537647019E-2</v>
      </c>
      <c r="Q95" t="s">
        <v>159</v>
      </c>
      <c r="S95" t="s">
        <v>261</v>
      </c>
      <c r="T95" t="s">
        <v>162</v>
      </c>
      <c r="U95">
        <v>4.9762637371275786E-2</v>
      </c>
      <c r="V95" t="s">
        <v>159</v>
      </c>
      <c r="AK95">
        <v>2050</v>
      </c>
      <c r="AL95" t="s">
        <v>148</v>
      </c>
      <c r="AM95">
        <v>0.36295000000000005</v>
      </c>
      <c r="AN95" t="s">
        <v>281</v>
      </c>
    </row>
    <row r="96" spans="9:40" x14ac:dyDescent="0.45">
      <c r="I96" t="s">
        <v>176</v>
      </c>
      <c r="J96" t="s">
        <v>163</v>
      </c>
      <c r="K96">
        <v>8.7381852994069434E-2</v>
      </c>
      <c r="L96" t="s">
        <v>159</v>
      </c>
      <c r="N96" t="s">
        <v>219</v>
      </c>
      <c r="O96" t="s">
        <v>163</v>
      </c>
      <c r="P96">
        <v>5.4100172257466654E-2</v>
      </c>
      <c r="Q96" t="s">
        <v>159</v>
      </c>
      <c r="S96" t="s">
        <v>261</v>
      </c>
      <c r="T96" t="s">
        <v>163</v>
      </c>
      <c r="U96">
        <v>6.0722664754296711E-2</v>
      </c>
      <c r="V96" t="s">
        <v>159</v>
      </c>
      <c r="AK96">
        <v>2050</v>
      </c>
      <c r="AL96" t="s">
        <v>152</v>
      </c>
      <c r="AM96">
        <v>0.12406666666666666</v>
      </c>
      <c r="AN96" t="s">
        <v>281</v>
      </c>
    </row>
    <row r="97" spans="9:40" x14ac:dyDescent="0.45">
      <c r="I97" t="s">
        <v>176</v>
      </c>
      <c r="J97" t="s">
        <v>164</v>
      </c>
      <c r="K97">
        <v>0</v>
      </c>
      <c r="L97" t="s">
        <v>159</v>
      </c>
      <c r="N97" t="s">
        <v>219</v>
      </c>
      <c r="O97" t="s">
        <v>164</v>
      </c>
      <c r="P97">
        <v>4.1244994457399042E-2</v>
      </c>
      <c r="Q97" t="s">
        <v>159</v>
      </c>
      <c r="S97" t="s">
        <v>261</v>
      </c>
      <c r="T97" t="s">
        <v>164</v>
      </c>
      <c r="U97">
        <v>4.2887842355330608E-2</v>
      </c>
      <c r="V97" t="s">
        <v>159</v>
      </c>
      <c r="AK97">
        <v>2050</v>
      </c>
      <c r="AL97" t="s">
        <v>154</v>
      </c>
      <c r="AM97">
        <v>0.19012000000000001</v>
      </c>
      <c r="AN97" t="s">
        <v>281</v>
      </c>
    </row>
    <row r="98" spans="9:40" x14ac:dyDescent="0.45">
      <c r="I98" t="s">
        <v>176</v>
      </c>
      <c r="J98" t="s">
        <v>165</v>
      </c>
      <c r="K98">
        <v>4.2192077995541331E-2</v>
      </c>
      <c r="L98" t="s">
        <v>159</v>
      </c>
      <c r="N98" t="s">
        <v>219</v>
      </c>
      <c r="O98" t="s">
        <v>165</v>
      </c>
      <c r="P98">
        <v>9.1907648019200192E-2</v>
      </c>
      <c r="Q98" t="s">
        <v>159</v>
      </c>
      <c r="S98" t="s">
        <v>261</v>
      </c>
      <c r="T98" t="s">
        <v>165</v>
      </c>
      <c r="U98">
        <v>0.13123458295380597</v>
      </c>
      <c r="V98" t="s">
        <v>159</v>
      </c>
    </row>
    <row r="99" spans="9:40" x14ac:dyDescent="0.45">
      <c r="I99" t="s">
        <v>176</v>
      </c>
      <c r="J99" t="s">
        <v>166</v>
      </c>
      <c r="K99">
        <v>0.37439972060947407</v>
      </c>
      <c r="L99" t="s">
        <v>159</v>
      </c>
      <c r="N99" t="s">
        <v>219</v>
      </c>
      <c r="O99" t="s">
        <v>166</v>
      </c>
      <c r="P99">
        <v>0.22898952621532509</v>
      </c>
      <c r="Q99" t="s">
        <v>159</v>
      </c>
      <c r="S99" t="s">
        <v>261</v>
      </c>
      <c r="T99" t="s">
        <v>166</v>
      </c>
      <c r="U99">
        <v>0.16381121019263198</v>
      </c>
      <c r="V99" t="s">
        <v>159</v>
      </c>
    </row>
    <row r="100" spans="9:40" x14ac:dyDescent="0.45">
      <c r="I100" t="s">
        <v>176</v>
      </c>
      <c r="J100" t="s">
        <v>167</v>
      </c>
      <c r="K100">
        <v>2.4695770067337159E-2</v>
      </c>
      <c r="L100" t="s">
        <v>159</v>
      </c>
      <c r="N100" t="s">
        <v>219</v>
      </c>
      <c r="O100" t="s">
        <v>167</v>
      </c>
      <c r="P100">
        <v>0.13990134082599737</v>
      </c>
      <c r="Q100" t="s">
        <v>159</v>
      </c>
      <c r="S100" t="s">
        <v>261</v>
      </c>
      <c r="T100" t="s">
        <v>167</v>
      </c>
      <c r="U100">
        <v>0.11288661199098844</v>
      </c>
      <c r="V100" t="s">
        <v>159</v>
      </c>
    </row>
    <row r="101" spans="9:40" x14ac:dyDescent="0.45">
      <c r="I101" t="s">
        <v>177</v>
      </c>
      <c r="J101" t="s">
        <v>158</v>
      </c>
      <c r="K101">
        <v>3.5475731175730732E-2</v>
      </c>
      <c r="L101" t="s">
        <v>159</v>
      </c>
      <c r="N101" t="s">
        <v>220</v>
      </c>
      <c r="O101" t="s">
        <v>158</v>
      </c>
      <c r="P101">
        <v>0.11448765147530213</v>
      </c>
      <c r="Q101" t="s">
        <v>159</v>
      </c>
      <c r="S101" t="s">
        <v>262</v>
      </c>
      <c r="T101" t="s">
        <v>158</v>
      </c>
      <c r="U101">
        <v>0.14351905849153379</v>
      </c>
      <c r="V101" t="s">
        <v>159</v>
      </c>
    </row>
    <row r="102" spans="9:40" x14ac:dyDescent="0.45">
      <c r="I102" t="s">
        <v>177</v>
      </c>
      <c r="J102" t="s">
        <v>160</v>
      </c>
      <c r="K102">
        <v>0.41054178808507891</v>
      </c>
      <c r="L102" t="s">
        <v>159</v>
      </c>
      <c r="N102" t="s">
        <v>220</v>
      </c>
      <c r="O102" t="s">
        <v>160</v>
      </c>
      <c r="P102">
        <v>0.1310331035286843</v>
      </c>
      <c r="Q102" t="s">
        <v>159</v>
      </c>
      <c r="S102" t="s">
        <v>262</v>
      </c>
      <c r="T102" t="s">
        <v>160</v>
      </c>
      <c r="U102">
        <v>0.18891524489903799</v>
      </c>
      <c r="V102" t="s">
        <v>159</v>
      </c>
    </row>
    <row r="103" spans="9:40" x14ac:dyDescent="0.45">
      <c r="I103" t="s">
        <v>177</v>
      </c>
      <c r="J103" t="s">
        <v>161</v>
      </c>
      <c r="K103">
        <v>2.555982888334268E-2</v>
      </c>
      <c r="L103" t="s">
        <v>159</v>
      </c>
      <c r="N103" t="s">
        <v>220</v>
      </c>
      <c r="O103" t="s">
        <v>161</v>
      </c>
      <c r="P103">
        <v>0.11382927718304106</v>
      </c>
      <c r="Q103" t="s">
        <v>159</v>
      </c>
      <c r="S103" t="s">
        <v>262</v>
      </c>
      <c r="T103" t="s">
        <v>161</v>
      </c>
      <c r="U103">
        <v>0.1229702924154506</v>
      </c>
      <c r="V103" t="s">
        <v>159</v>
      </c>
    </row>
    <row r="104" spans="9:40" x14ac:dyDescent="0.45">
      <c r="I104" t="s">
        <v>177</v>
      </c>
      <c r="J104" t="s">
        <v>162</v>
      </c>
      <c r="K104">
        <v>7.482877803137479E-4</v>
      </c>
      <c r="L104" t="s">
        <v>159</v>
      </c>
      <c r="N104" t="s">
        <v>220</v>
      </c>
      <c r="O104" t="s">
        <v>162</v>
      </c>
      <c r="P104">
        <v>8.6613179583162281E-2</v>
      </c>
      <c r="Q104" t="s">
        <v>159</v>
      </c>
      <c r="S104" t="s">
        <v>262</v>
      </c>
      <c r="T104" t="s">
        <v>162</v>
      </c>
      <c r="U104">
        <v>4.8308733080981561E-2</v>
      </c>
      <c r="V104" t="s">
        <v>159</v>
      </c>
    </row>
    <row r="105" spans="9:40" x14ac:dyDescent="0.45">
      <c r="I105" t="s">
        <v>177</v>
      </c>
      <c r="J105" t="s">
        <v>163</v>
      </c>
      <c r="K105">
        <v>8.7325300645800588E-2</v>
      </c>
      <c r="L105" t="s">
        <v>159</v>
      </c>
      <c r="N105" t="s">
        <v>220</v>
      </c>
      <c r="O105" t="s">
        <v>163</v>
      </c>
      <c r="P105">
        <v>7.743688870350432E-2</v>
      </c>
      <c r="Q105" t="s">
        <v>159</v>
      </c>
      <c r="S105" t="s">
        <v>262</v>
      </c>
      <c r="T105" t="s">
        <v>163</v>
      </c>
      <c r="U105">
        <v>6.4715266718028061E-2</v>
      </c>
      <c r="V105" t="s">
        <v>159</v>
      </c>
    </row>
    <row r="106" spans="9:40" x14ac:dyDescent="0.45">
      <c r="I106" t="s">
        <v>177</v>
      </c>
      <c r="J106" t="s">
        <v>164</v>
      </c>
      <c r="K106">
        <v>0</v>
      </c>
      <c r="L106" t="s">
        <v>159</v>
      </c>
      <c r="N106" t="s">
        <v>220</v>
      </c>
      <c r="O106" t="s">
        <v>164</v>
      </c>
      <c r="P106">
        <v>5.6042365564631297E-2</v>
      </c>
      <c r="Q106" t="s">
        <v>159</v>
      </c>
      <c r="S106" t="s">
        <v>262</v>
      </c>
      <c r="T106" t="s">
        <v>164</v>
      </c>
      <c r="U106">
        <v>4.3176274799318785E-2</v>
      </c>
      <c r="V106" t="s">
        <v>159</v>
      </c>
    </row>
    <row r="107" spans="9:40" x14ac:dyDescent="0.45">
      <c r="I107" t="s">
        <v>177</v>
      </c>
      <c r="J107" t="s">
        <v>165</v>
      </c>
      <c r="K107">
        <v>4.5943109675486982E-2</v>
      </c>
      <c r="L107" t="s">
        <v>159</v>
      </c>
      <c r="N107" t="s">
        <v>220</v>
      </c>
      <c r="O107" t="s">
        <v>165</v>
      </c>
      <c r="P107">
        <v>0.11437494744351968</v>
      </c>
      <c r="Q107" t="s">
        <v>159</v>
      </c>
      <c r="S107" t="s">
        <v>262</v>
      </c>
      <c r="T107" t="s">
        <v>165</v>
      </c>
      <c r="U107">
        <v>0.12482333069127967</v>
      </c>
      <c r="V107" t="s">
        <v>159</v>
      </c>
    </row>
    <row r="108" spans="9:40" x14ac:dyDescent="0.45">
      <c r="I108" t="s">
        <v>177</v>
      </c>
      <c r="J108" t="s">
        <v>166</v>
      </c>
      <c r="K108">
        <v>0.3728624969591891</v>
      </c>
      <c r="L108" t="s">
        <v>159</v>
      </c>
      <c r="N108" t="s">
        <v>220</v>
      </c>
      <c r="O108" t="s">
        <v>166</v>
      </c>
      <c r="P108">
        <v>0.17411828199720275</v>
      </c>
      <c r="Q108" t="s">
        <v>159</v>
      </c>
      <c r="S108" t="s">
        <v>262</v>
      </c>
      <c r="T108" t="s">
        <v>166</v>
      </c>
      <c r="U108">
        <v>0.16044376475436053</v>
      </c>
      <c r="V108" t="s">
        <v>159</v>
      </c>
    </row>
    <row r="109" spans="9:40" x14ac:dyDescent="0.45">
      <c r="I109" t="s">
        <v>177</v>
      </c>
      <c r="J109" t="s">
        <v>167</v>
      </c>
      <c r="K109">
        <v>2.1543456795059111E-2</v>
      </c>
      <c r="L109" t="s">
        <v>159</v>
      </c>
      <c r="N109" t="s">
        <v>220</v>
      </c>
      <c r="O109" t="s">
        <v>167</v>
      </c>
      <c r="P109">
        <v>0.13206430452095216</v>
      </c>
      <c r="Q109" t="s">
        <v>159</v>
      </c>
      <c r="S109" t="s">
        <v>262</v>
      </c>
      <c r="T109" t="s">
        <v>167</v>
      </c>
      <c r="U109">
        <v>0.10312803415001257</v>
      </c>
      <c r="V109" t="s">
        <v>159</v>
      </c>
    </row>
    <row r="110" spans="9:40" x14ac:dyDescent="0.45">
      <c r="I110" t="s">
        <v>178</v>
      </c>
      <c r="J110" t="s">
        <v>158</v>
      </c>
      <c r="K110">
        <v>2.7727403463621084E-2</v>
      </c>
      <c r="L110" t="s">
        <v>159</v>
      </c>
      <c r="N110" t="s">
        <v>221</v>
      </c>
      <c r="O110" t="s">
        <v>158</v>
      </c>
      <c r="P110">
        <v>0.13378501352692601</v>
      </c>
      <c r="Q110" t="s">
        <v>159</v>
      </c>
      <c r="S110" t="s">
        <v>263</v>
      </c>
      <c r="T110" t="s">
        <v>158</v>
      </c>
      <c r="U110">
        <v>0.14858111991953293</v>
      </c>
      <c r="V110" t="s">
        <v>159</v>
      </c>
    </row>
    <row r="111" spans="9:40" x14ac:dyDescent="0.45">
      <c r="I111" t="s">
        <v>178</v>
      </c>
      <c r="J111" t="s">
        <v>160</v>
      </c>
      <c r="K111">
        <v>0.4106068841936204</v>
      </c>
      <c r="L111" t="s">
        <v>159</v>
      </c>
      <c r="N111" t="s">
        <v>221</v>
      </c>
      <c r="O111" t="s">
        <v>160</v>
      </c>
      <c r="P111">
        <v>0.19697700905983989</v>
      </c>
      <c r="Q111" t="s">
        <v>159</v>
      </c>
      <c r="S111" t="s">
        <v>263</v>
      </c>
      <c r="T111" t="s">
        <v>160</v>
      </c>
      <c r="U111">
        <v>0.18799697801624643</v>
      </c>
      <c r="V111" t="s">
        <v>159</v>
      </c>
    </row>
    <row r="112" spans="9:40" x14ac:dyDescent="0.45">
      <c r="I112" t="s">
        <v>178</v>
      </c>
      <c r="J112" t="s">
        <v>161</v>
      </c>
      <c r="K112">
        <v>2.765175241201576E-2</v>
      </c>
      <c r="L112" t="s">
        <v>159</v>
      </c>
      <c r="N112" t="s">
        <v>221</v>
      </c>
      <c r="O112" t="s">
        <v>161</v>
      </c>
      <c r="P112">
        <v>0.1131160209873129</v>
      </c>
      <c r="Q112" t="s">
        <v>159</v>
      </c>
      <c r="S112" t="s">
        <v>263</v>
      </c>
      <c r="T112" t="s">
        <v>161</v>
      </c>
      <c r="U112">
        <v>0.12343411695981456</v>
      </c>
      <c r="V112" t="s">
        <v>159</v>
      </c>
    </row>
    <row r="113" spans="9:22" x14ac:dyDescent="0.45">
      <c r="I113" t="s">
        <v>178</v>
      </c>
      <c r="J113" t="s">
        <v>162</v>
      </c>
      <c r="K113">
        <v>5.3550105386853059E-4</v>
      </c>
      <c r="L113" t="s">
        <v>159</v>
      </c>
      <c r="N113" t="s">
        <v>221</v>
      </c>
      <c r="O113" t="s">
        <v>162</v>
      </c>
      <c r="P113">
        <v>6.5224616960782689E-2</v>
      </c>
      <c r="Q113" t="s">
        <v>159</v>
      </c>
      <c r="S113" t="s">
        <v>263</v>
      </c>
      <c r="T113" t="s">
        <v>162</v>
      </c>
      <c r="U113">
        <v>4.8824637787145332E-2</v>
      </c>
      <c r="V113" t="s">
        <v>159</v>
      </c>
    </row>
    <row r="114" spans="9:22" x14ac:dyDescent="0.45">
      <c r="I114" t="s">
        <v>178</v>
      </c>
      <c r="J114" t="s">
        <v>163</v>
      </c>
      <c r="K114">
        <v>9.2047238278231955E-2</v>
      </c>
      <c r="L114" t="s">
        <v>159</v>
      </c>
      <c r="N114" t="s">
        <v>221</v>
      </c>
      <c r="O114" t="s">
        <v>163</v>
      </c>
      <c r="P114">
        <v>7.6510905975799348E-2</v>
      </c>
      <c r="Q114" t="s">
        <v>159</v>
      </c>
      <c r="S114" t="s">
        <v>263</v>
      </c>
      <c r="T114" t="s">
        <v>163</v>
      </c>
      <c r="U114">
        <v>6.4649895365464963E-2</v>
      </c>
      <c r="V114" t="s">
        <v>159</v>
      </c>
    </row>
    <row r="115" spans="9:22" x14ac:dyDescent="0.45">
      <c r="I115" t="s">
        <v>178</v>
      </c>
      <c r="J115" t="s">
        <v>164</v>
      </c>
      <c r="K115">
        <v>0</v>
      </c>
      <c r="L115" t="s">
        <v>159</v>
      </c>
      <c r="N115" t="s">
        <v>221</v>
      </c>
      <c r="O115" t="s">
        <v>164</v>
      </c>
      <c r="P115">
        <v>4.4331713330899428E-2</v>
      </c>
      <c r="Q115" t="s">
        <v>159</v>
      </c>
      <c r="S115" t="s">
        <v>263</v>
      </c>
      <c r="T115" t="s">
        <v>164</v>
      </c>
      <c r="U115">
        <v>4.40646635800854E-2</v>
      </c>
      <c r="V115" t="s">
        <v>159</v>
      </c>
    </row>
    <row r="116" spans="9:22" x14ac:dyDescent="0.45">
      <c r="I116" t="s">
        <v>178</v>
      </c>
      <c r="J116" t="s">
        <v>165</v>
      </c>
      <c r="K116">
        <v>3.8750224096815521E-2</v>
      </c>
      <c r="L116" t="s">
        <v>159</v>
      </c>
      <c r="N116" t="s">
        <v>221</v>
      </c>
      <c r="O116" t="s">
        <v>165</v>
      </c>
      <c r="P116">
        <v>0.10625747927419356</v>
      </c>
      <c r="Q116" t="s">
        <v>159</v>
      </c>
      <c r="S116" t="s">
        <v>263</v>
      </c>
      <c r="T116" t="s">
        <v>165</v>
      </c>
      <c r="U116">
        <v>0.12349460835514454</v>
      </c>
      <c r="V116" t="s">
        <v>159</v>
      </c>
    </row>
    <row r="117" spans="9:22" x14ac:dyDescent="0.45">
      <c r="I117" t="s">
        <v>178</v>
      </c>
      <c r="J117" t="s">
        <v>166</v>
      </c>
      <c r="K117">
        <v>0.3779383181305625</v>
      </c>
      <c r="L117" t="s">
        <v>159</v>
      </c>
      <c r="N117" t="s">
        <v>221</v>
      </c>
      <c r="O117" t="s">
        <v>166</v>
      </c>
      <c r="P117">
        <v>0.17230662229440269</v>
      </c>
      <c r="Q117" t="s">
        <v>159</v>
      </c>
      <c r="S117" t="s">
        <v>263</v>
      </c>
      <c r="T117" t="s">
        <v>166</v>
      </c>
      <c r="U117">
        <v>0.15491270442678423</v>
      </c>
      <c r="V117" t="s">
        <v>159</v>
      </c>
    </row>
    <row r="118" spans="9:22" x14ac:dyDescent="0.45">
      <c r="I118" t="s">
        <v>178</v>
      </c>
      <c r="J118" t="s">
        <v>167</v>
      </c>
      <c r="K118">
        <v>2.4742678371268024E-2</v>
      </c>
      <c r="L118" t="s">
        <v>159</v>
      </c>
      <c r="N118" t="s">
        <v>221</v>
      </c>
      <c r="O118" t="s">
        <v>167</v>
      </c>
      <c r="P118">
        <v>9.1490618589844572E-2</v>
      </c>
      <c r="Q118" t="s">
        <v>159</v>
      </c>
      <c r="S118" t="s">
        <v>263</v>
      </c>
      <c r="T118" t="s">
        <v>167</v>
      </c>
      <c r="U118">
        <v>0.10404127558977828</v>
      </c>
      <c r="V118" t="s">
        <v>159</v>
      </c>
    </row>
    <row r="119" spans="9:22" x14ac:dyDescent="0.45">
      <c r="I119" t="s">
        <v>179</v>
      </c>
      <c r="J119" t="s">
        <v>158</v>
      </c>
      <c r="K119">
        <v>3.5074558658128391E-2</v>
      </c>
      <c r="L119" t="s">
        <v>159</v>
      </c>
      <c r="N119" t="s">
        <v>222</v>
      </c>
      <c r="O119" t="s">
        <v>158</v>
      </c>
      <c r="P119">
        <v>0.12010123838728375</v>
      </c>
      <c r="Q119" t="s">
        <v>159</v>
      </c>
      <c r="S119" t="s">
        <v>264</v>
      </c>
      <c r="T119" t="s">
        <v>158</v>
      </c>
      <c r="U119">
        <v>0.14506742854109456</v>
      </c>
      <c r="V119" t="s">
        <v>159</v>
      </c>
    </row>
    <row r="120" spans="9:22" x14ac:dyDescent="0.45">
      <c r="I120" t="s">
        <v>179</v>
      </c>
      <c r="J120" t="s">
        <v>160</v>
      </c>
      <c r="K120">
        <v>0.41151004974735017</v>
      </c>
      <c r="L120" t="s">
        <v>159</v>
      </c>
      <c r="N120" t="s">
        <v>222</v>
      </c>
      <c r="O120" t="s">
        <v>160</v>
      </c>
      <c r="P120">
        <v>0.20174332891019389</v>
      </c>
      <c r="Q120" t="s">
        <v>159</v>
      </c>
      <c r="S120" t="s">
        <v>264</v>
      </c>
      <c r="T120" t="s">
        <v>160</v>
      </c>
      <c r="U120">
        <v>0.17524449973224701</v>
      </c>
      <c r="V120" t="s">
        <v>159</v>
      </c>
    </row>
    <row r="121" spans="9:22" x14ac:dyDescent="0.45">
      <c r="I121" t="s">
        <v>179</v>
      </c>
      <c r="J121" t="s">
        <v>161</v>
      </c>
      <c r="K121">
        <v>2.513649698672385E-2</v>
      </c>
      <c r="L121" t="s">
        <v>159</v>
      </c>
      <c r="N121" t="s">
        <v>222</v>
      </c>
      <c r="O121" t="s">
        <v>161</v>
      </c>
      <c r="P121">
        <v>0.11202044261006826</v>
      </c>
      <c r="Q121" t="s">
        <v>159</v>
      </c>
      <c r="S121" t="s">
        <v>264</v>
      </c>
      <c r="T121" t="s">
        <v>161</v>
      </c>
      <c r="U121">
        <v>0.10604429767608557</v>
      </c>
      <c r="V121" t="s">
        <v>159</v>
      </c>
    </row>
    <row r="122" spans="9:22" x14ac:dyDescent="0.45">
      <c r="I122" t="s">
        <v>179</v>
      </c>
      <c r="J122" t="s">
        <v>162</v>
      </c>
      <c r="K122">
        <v>9.9793328355439101E-4</v>
      </c>
      <c r="L122" t="s">
        <v>159</v>
      </c>
      <c r="N122" t="s">
        <v>222</v>
      </c>
      <c r="O122" t="s">
        <v>162</v>
      </c>
      <c r="P122">
        <v>5.3069685340357907E-2</v>
      </c>
      <c r="Q122" t="s">
        <v>159</v>
      </c>
      <c r="S122" t="s">
        <v>264</v>
      </c>
      <c r="T122" t="s">
        <v>162</v>
      </c>
      <c r="U122">
        <v>6.4721431135765686E-2</v>
      </c>
      <c r="V122" t="s">
        <v>159</v>
      </c>
    </row>
    <row r="123" spans="9:22" x14ac:dyDescent="0.45">
      <c r="I123" t="s">
        <v>179</v>
      </c>
      <c r="J123" t="s">
        <v>163</v>
      </c>
      <c r="K123">
        <v>9.0896419900627426E-2</v>
      </c>
      <c r="L123" t="s">
        <v>159</v>
      </c>
      <c r="N123" t="s">
        <v>222</v>
      </c>
      <c r="O123" t="s">
        <v>163</v>
      </c>
      <c r="P123">
        <v>7.780217904909284E-2</v>
      </c>
      <c r="Q123" t="s">
        <v>159</v>
      </c>
      <c r="S123" t="s">
        <v>264</v>
      </c>
      <c r="T123" t="s">
        <v>163</v>
      </c>
      <c r="U123">
        <v>7.7442714103886964E-2</v>
      </c>
      <c r="V123" t="s">
        <v>159</v>
      </c>
    </row>
    <row r="124" spans="9:22" x14ac:dyDescent="0.45">
      <c r="I124" t="s">
        <v>179</v>
      </c>
      <c r="J124" t="s">
        <v>164</v>
      </c>
      <c r="K124">
        <v>0</v>
      </c>
      <c r="L124" t="s">
        <v>159</v>
      </c>
      <c r="N124" t="s">
        <v>222</v>
      </c>
      <c r="O124" t="s">
        <v>164</v>
      </c>
      <c r="P124">
        <v>4.5357353773559581E-2</v>
      </c>
      <c r="Q124" t="s">
        <v>159</v>
      </c>
      <c r="S124" t="s">
        <v>264</v>
      </c>
      <c r="T124" t="s">
        <v>164</v>
      </c>
      <c r="U124">
        <v>4.698542037505777E-2</v>
      </c>
      <c r="V124" t="s">
        <v>159</v>
      </c>
    </row>
    <row r="125" spans="9:22" x14ac:dyDescent="0.45">
      <c r="I125" t="s">
        <v>179</v>
      </c>
      <c r="J125" t="s">
        <v>165</v>
      </c>
      <c r="K125">
        <v>4.4798289075995312E-2</v>
      </c>
      <c r="L125" t="s">
        <v>159</v>
      </c>
      <c r="N125" t="s">
        <v>222</v>
      </c>
      <c r="O125" t="s">
        <v>165</v>
      </c>
      <c r="P125">
        <v>0.10332862833442691</v>
      </c>
      <c r="Q125" t="s">
        <v>159</v>
      </c>
      <c r="S125" t="s">
        <v>264</v>
      </c>
      <c r="T125" t="s">
        <v>165</v>
      </c>
      <c r="U125">
        <v>0.12774219499806438</v>
      </c>
      <c r="V125" t="s">
        <v>159</v>
      </c>
    </row>
    <row r="126" spans="9:22" x14ac:dyDescent="0.45">
      <c r="I126" t="s">
        <v>179</v>
      </c>
      <c r="J126" t="s">
        <v>166</v>
      </c>
      <c r="K126">
        <v>0.37076032485858557</v>
      </c>
      <c r="L126" t="s">
        <v>159</v>
      </c>
      <c r="N126" t="s">
        <v>222</v>
      </c>
      <c r="O126" t="s">
        <v>166</v>
      </c>
      <c r="P126">
        <v>0.18829885470952282</v>
      </c>
      <c r="Q126" t="s">
        <v>159</v>
      </c>
      <c r="S126" t="s">
        <v>264</v>
      </c>
      <c r="T126" t="s">
        <v>166</v>
      </c>
      <c r="U126">
        <v>0.15860838207974301</v>
      </c>
      <c r="V126" t="s">
        <v>159</v>
      </c>
    </row>
    <row r="127" spans="9:22" x14ac:dyDescent="0.45">
      <c r="I127" t="s">
        <v>179</v>
      </c>
      <c r="J127" t="s">
        <v>167</v>
      </c>
      <c r="K127">
        <v>2.0825927489030668E-2</v>
      </c>
      <c r="L127" t="s">
        <v>159</v>
      </c>
      <c r="N127" t="s">
        <v>222</v>
      </c>
      <c r="O127" t="s">
        <v>167</v>
      </c>
      <c r="P127">
        <v>9.8278288885495974E-2</v>
      </c>
      <c r="Q127" t="s">
        <v>159</v>
      </c>
      <c r="S127" t="s">
        <v>264</v>
      </c>
      <c r="T127" t="s">
        <v>167</v>
      </c>
      <c r="U127">
        <v>9.8143631358053804E-2</v>
      </c>
      <c r="V127" t="s">
        <v>159</v>
      </c>
    </row>
    <row r="128" spans="9:22" x14ac:dyDescent="0.45">
      <c r="I128" t="s">
        <v>180</v>
      </c>
      <c r="J128" t="s">
        <v>158</v>
      </c>
      <c r="K128">
        <v>2.9509426946704193E-2</v>
      </c>
      <c r="L128" t="s">
        <v>159</v>
      </c>
      <c r="N128" t="s">
        <v>223</v>
      </c>
      <c r="O128" t="s">
        <v>158</v>
      </c>
      <c r="P128">
        <v>0.12229073550925632</v>
      </c>
      <c r="Q128" t="s">
        <v>159</v>
      </c>
      <c r="S128" t="s">
        <v>265</v>
      </c>
      <c r="T128" t="s">
        <v>158</v>
      </c>
      <c r="U128">
        <v>0.1402716495083948</v>
      </c>
      <c r="V128" t="s">
        <v>159</v>
      </c>
    </row>
    <row r="129" spans="9:22" x14ac:dyDescent="0.45">
      <c r="I129" t="s">
        <v>180</v>
      </c>
      <c r="J129" t="s">
        <v>160</v>
      </c>
      <c r="K129">
        <v>0.41211625539137425</v>
      </c>
      <c r="L129" t="s">
        <v>159</v>
      </c>
      <c r="N129" t="s">
        <v>223</v>
      </c>
      <c r="O129" t="s">
        <v>160</v>
      </c>
      <c r="P129">
        <v>0.20872769924195581</v>
      </c>
      <c r="Q129" t="s">
        <v>159</v>
      </c>
      <c r="S129" t="s">
        <v>265</v>
      </c>
      <c r="T129" t="s">
        <v>160</v>
      </c>
      <c r="U129">
        <v>0.17519249287905189</v>
      </c>
      <c r="V129" t="s">
        <v>159</v>
      </c>
    </row>
    <row r="130" spans="9:22" x14ac:dyDescent="0.45">
      <c r="I130" t="s">
        <v>180</v>
      </c>
      <c r="J130" t="s">
        <v>161</v>
      </c>
      <c r="K130">
        <v>2.6827883147685104E-2</v>
      </c>
      <c r="L130" t="s">
        <v>159</v>
      </c>
      <c r="N130" t="s">
        <v>223</v>
      </c>
      <c r="O130" t="s">
        <v>161</v>
      </c>
      <c r="P130">
        <v>0.10802561892676379</v>
      </c>
      <c r="Q130" t="s">
        <v>159</v>
      </c>
      <c r="S130" t="s">
        <v>265</v>
      </c>
      <c r="T130" t="s">
        <v>161</v>
      </c>
      <c r="U130">
        <v>0.11146138591993088</v>
      </c>
      <c r="V130" t="s">
        <v>159</v>
      </c>
    </row>
    <row r="131" spans="9:22" x14ac:dyDescent="0.45">
      <c r="I131" t="s">
        <v>180</v>
      </c>
      <c r="J131" t="s">
        <v>162</v>
      </c>
      <c r="K131">
        <v>7.606360416414188E-4</v>
      </c>
      <c r="L131" t="s">
        <v>159</v>
      </c>
      <c r="N131" t="s">
        <v>223</v>
      </c>
      <c r="O131" t="s">
        <v>162</v>
      </c>
      <c r="P131">
        <v>6.2578979982508234E-2</v>
      </c>
      <c r="Q131" t="s">
        <v>159</v>
      </c>
      <c r="S131" t="s">
        <v>265</v>
      </c>
      <c r="T131" t="s">
        <v>162</v>
      </c>
      <c r="U131">
        <v>6.491727354838521E-2</v>
      </c>
      <c r="V131" t="s">
        <v>159</v>
      </c>
    </row>
    <row r="132" spans="9:22" x14ac:dyDescent="0.45">
      <c r="I132" t="s">
        <v>180</v>
      </c>
      <c r="J132" t="s">
        <v>163</v>
      </c>
      <c r="K132">
        <v>9.6364672937456278E-2</v>
      </c>
      <c r="L132" t="s">
        <v>159</v>
      </c>
      <c r="N132" t="s">
        <v>223</v>
      </c>
      <c r="O132" t="s">
        <v>163</v>
      </c>
      <c r="P132">
        <v>8.0456922748371434E-2</v>
      </c>
      <c r="Q132" t="s">
        <v>159</v>
      </c>
      <c r="S132" t="s">
        <v>265</v>
      </c>
      <c r="T132" t="s">
        <v>163</v>
      </c>
      <c r="U132">
        <v>7.9025744104870552E-2</v>
      </c>
      <c r="V132" t="s">
        <v>159</v>
      </c>
    </row>
    <row r="133" spans="9:22" x14ac:dyDescent="0.45">
      <c r="I133" t="s">
        <v>180</v>
      </c>
      <c r="J133" t="s">
        <v>164</v>
      </c>
      <c r="K133">
        <v>0</v>
      </c>
      <c r="L133" t="s">
        <v>159</v>
      </c>
      <c r="N133" t="s">
        <v>223</v>
      </c>
      <c r="O133" t="s">
        <v>164</v>
      </c>
      <c r="P133">
        <v>4.8176427858654891E-2</v>
      </c>
      <c r="Q133" t="s">
        <v>159</v>
      </c>
      <c r="S133" t="s">
        <v>265</v>
      </c>
      <c r="T133" t="s">
        <v>164</v>
      </c>
      <c r="U133">
        <v>4.8102887735892254E-2</v>
      </c>
      <c r="V133" t="s">
        <v>159</v>
      </c>
    </row>
    <row r="134" spans="9:22" x14ac:dyDescent="0.45">
      <c r="I134" t="s">
        <v>180</v>
      </c>
      <c r="J134" t="s">
        <v>165</v>
      </c>
      <c r="K134">
        <v>4.0481033405246655E-2</v>
      </c>
      <c r="L134" t="s">
        <v>159</v>
      </c>
      <c r="N134" t="s">
        <v>223</v>
      </c>
      <c r="O134" t="s">
        <v>165</v>
      </c>
      <c r="P134">
        <v>0.10017667301251203</v>
      </c>
      <c r="Q134" t="s">
        <v>159</v>
      </c>
      <c r="S134" t="s">
        <v>265</v>
      </c>
      <c r="T134" t="s">
        <v>165</v>
      </c>
      <c r="U134">
        <v>0.12256633988966643</v>
      </c>
      <c r="V134" t="s">
        <v>159</v>
      </c>
    </row>
    <row r="135" spans="9:22" x14ac:dyDescent="0.45">
      <c r="I135" t="s">
        <v>180</v>
      </c>
      <c r="J135" t="s">
        <v>166</v>
      </c>
      <c r="K135">
        <v>0.37023377198507756</v>
      </c>
      <c r="L135" t="s">
        <v>159</v>
      </c>
      <c r="N135" t="s">
        <v>223</v>
      </c>
      <c r="O135" t="s">
        <v>166</v>
      </c>
      <c r="P135">
        <v>0.17960082649437481</v>
      </c>
      <c r="Q135" t="s">
        <v>159</v>
      </c>
      <c r="S135" t="s">
        <v>265</v>
      </c>
      <c r="T135" t="s">
        <v>166</v>
      </c>
      <c r="U135">
        <v>0.15995422040571905</v>
      </c>
      <c r="V135" t="s">
        <v>159</v>
      </c>
    </row>
    <row r="136" spans="9:22" x14ac:dyDescent="0.45">
      <c r="I136" t="s">
        <v>180</v>
      </c>
      <c r="J136" t="s">
        <v>167</v>
      </c>
      <c r="K136">
        <v>2.3706320144810434E-2</v>
      </c>
      <c r="L136" t="s">
        <v>159</v>
      </c>
      <c r="N136" t="s">
        <v>223</v>
      </c>
      <c r="O136" t="s">
        <v>167</v>
      </c>
      <c r="P136">
        <v>8.9966116225604048E-2</v>
      </c>
      <c r="Q136" t="s">
        <v>159</v>
      </c>
      <c r="S136" t="s">
        <v>265</v>
      </c>
      <c r="T136" t="s">
        <v>167</v>
      </c>
      <c r="U136">
        <v>9.8508006008085985E-2</v>
      </c>
      <c r="V136" t="s">
        <v>159</v>
      </c>
    </row>
    <row r="137" spans="9:22" x14ac:dyDescent="0.45">
      <c r="I137" t="s">
        <v>181</v>
      </c>
      <c r="J137" t="s">
        <v>158</v>
      </c>
      <c r="K137">
        <v>4.2944532913263792E-2</v>
      </c>
      <c r="L137" t="s">
        <v>159</v>
      </c>
      <c r="N137" t="s">
        <v>224</v>
      </c>
      <c r="O137" t="s">
        <v>158</v>
      </c>
      <c r="P137">
        <v>0.11377483871549572</v>
      </c>
      <c r="Q137" t="s">
        <v>159</v>
      </c>
      <c r="S137" t="s">
        <v>266</v>
      </c>
      <c r="T137" t="s">
        <v>158</v>
      </c>
      <c r="U137">
        <v>0.12709726131978166</v>
      </c>
      <c r="V137" t="s">
        <v>159</v>
      </c>
    </row>
    <row r="138" spans="9:22" x14ac:dyDescent="0.45">
      <c r="I138" t="s">
        <v>181</v>
      </c>
      <c r="J138" t="s">
        <v>160</v>
      </c>
      <c r="K138">
        <v>0.40559552671383686</v>
      </c>
      <c r="L138" t="s">
        <v>159</v>
      </c>
      <c r="N138" t="s">
        <v>224</v>
      </c>
      <c r="O138" t="s">
        <v>160</v>
      </c>
      <c r="P138">
        <v>0.1624829754053726</v>
      </c>
      <c r="Q138" t="s">
        <v>159</v>
      </c>
      <c r="S138" t="s">
        <v>266</v>
      </c>
      <c r="T138" t="s">
        <v>160</v>
      </c>
      <c r="U138">
        <v>0.19213218896818529</v>
      </c>
      <c r="V138" t="s">
        <v>159</v>
      </c>
    </row>
    <row r="139" spans="9:22" x14ac:dyDescent="0.45">
      <c r="I139" t="s">
        <v>181</v>
      </c>
      <c r="J139" t="s">
        <v>161</v>
      </c>
      <c r="K139">
        <v>1.3208391058827242E-2</v>
      </c>
      <c r="L139" t="s">
        <v>159</v>
      </c>
      <c r="N139" t="s">
        <v>224</v>
      </c>
      <c r="O139" t="s">
        <v>161</v>
      </c>
      <c r="P139">
        <v>0.12764871860547203</v>
      </c>
      <c r="Q139" t="s">
        <v>159</v>
      </c>
      <c r="S139" t="s">
        <v>266</v>
      </c>
      <c r="T139" t="s">
        <v>161</v>
      </c>
      <c r="U139">
        <v>0.11318247712306072</v>
      </c>
      <c r="V139" t="s">
        <v>159</v>
      </c>
    </row>
    <row r="140" spans="9:22" x14ac:dyDescent="0.45">
      <c r="I140" t="s">
        <v>181</v>
      </c>
      <c r="J140" t="s">
        <v>162</v>
      </c>
      <c r="K140">
        <v>4.2466187009399647E-3</v>
      </c>
      <c r="L140" t="s">
        <v>159</v>
      </c>
      <c r="N140" t="s">
        <v>224</v>
      </c>
      <c r="O140" t="s">
        <v>162</v>
      </c>
      <c r="P140">
        <v>5.9460644432289676E-2</v>
      </c>
      <c r="Q140" t="s">
        <v>159</v>
      </c>
      <c r="S140" t="s">
        <v>266</v>
      </c>
      <c r="T140" t="s">
        <v>162</v>
      </c>
      <c r="U140">
        <v>5.4929407015956298E-2</v>
      </c>
      <c r="V140" t="s">
        <v>159</v>
      </c>
    </row>
    <row r="141" spans="9:22" x14ac:dyDescent="0.45">
      <c r="I141" t="s">
        <v>181</v>
      </c>
      <c r="J141" t="s">
        <v>163</v>
      </c>
      <c r="K141">
        <v>9.1353893854684176E-2</v>
      </c>
      <c r="L141" t="s">
        <v>159</v>
      </c>
      <c r="N141" t="s">
        <v>224</v>
      </c>
      <c r="O141" t="s">
        <v>163</v>
      </c>
      <c r="P141">
        <v>6.0089107305847198E-2</v>
      </c>
      <c r="Q141" t="s">
        <v>159</v>
      </c>
      <c r="S141" t="s">
        <v>266</v>
      </c>
      <c r="T141" t="s">
        <v>163</v>
      </c>
      <c r="U141">
        <v>7.7633720780338866E-2</v>
      </c>
      <c r="V141" t="s">
        <v>159</v>
      </c>
    </row>
    <row r="142" spans="9:22" x14ac:dyDescent="0.45">
      <c r="I142" t="s">
        <v>181</v>
      </c>
      <c r="J142" t="s">
        <v>164</v>
      </c>
      <c r="K142">
        <v>0</v>
      </c>
      <c r="L142" t="s">
        <v>159</v>
      </c>
      <c r="N142" t="s">
        <v>224</v>
      </c>
      <c r="O142" t="s">
        <v>164</v>
      </c>
      <c r="P142">
        <v>4.9385305167240601E-2</v>
      </c>
      <c r="Q142" t="s">
        <v>159</v>
      </c>
      <c r="S142" t="s">
        <v>266</v>
      </c>
      <c r="T142" t="s">
        <v>164</v>
      </c>
      <c r="U142">
        <v>4.4546806034576274E-2</v>
      </c>
      <c r="V142" t="s">
        <v>159</v>
      </c>
    </row>
    <row r="143" spans="9:22" x14ac:dyDescent="0.45">
      <c r="I143" t="s">
        <v>181</v>
      </c>
      <c r="J143" t="s">
        <v>165</v>
      </c>
      <c r="K143">
        <v>5.445597195848189E-2</v>
      </c>
      <c r="L143" t="s">
        <v>159</v>
      </c>
      <c r="N143" t="s">
        <v>224</v>
      </c>
      <c r="O143" t="s">
        <v>165</v>
      </c>
      <c r="P143">
        <v>0.10005271532090408</v>
      </c>
      <c r="Q143" t="s">
        <v>159</v>
      </c>
      <c r="S143" t="s">
        <v>266</v>
      </c>
      <c r="T143" t="s">
        <v>165</v>
      </c>
      <c r="U143">
        <v>0.11122744364788234</v>
      </c>
      <c r="V143" t="s">
        <v>159</v>
      </c>
    </row>
    <row r="144" spans="9:22" x14ac:dyDescent="0.45">
      <c r="I144" t="s">
        <v>181</v>
      </c>
      <c r="J144" t="s">
        <v>166</v>
      </c>
      <c r="K144">
        <v>0.37803719497732297</v>
      </c>
      <c r="L144" t="s">
        <v>159</v>
      </c>
      <c r="N144" t="s">
        <v>224</v>
      </c>
      <c r="O144" t="s">
        <v>166</v>
      </c>
      <c r="P144">
        <v>0.17972264351336367</v>
      </c>
      <c r="Q144" t="s">
        <v>159</v>
      </c>
      <c r="S144" t="s">
        <v>266</v>
      </c>
      <c r="T144" t="s">
        <v>166</v>
      </c>
      <c r="U144">
        <v>0.17995301235013758</v>
      </c>
      <c r="V144" t="s">
        <v>159</v>
      </c>
    </row>
    <row r="145" spans="9:22" x14ac:dyDescent="0.45">
      <c r="I145" t="s">
        <v>181</v>
      </c>
      <c r="J145" t="s">
        <v>167</v>
      </c>
      <c r="K145">
        <v>1.0157869822643981E-2</v>
      </c>
      <c r="L145" t="s">
        <v>159</v>
      </c>
      <c r="N145" t="s">
        <v>224</v>
      </c>
      <c r="O145" t="s">
        <v>167</v>
      </c>
      <c r="P145">
        <v>0.14738305153401643</v>
      </c>
      <c r="Q145" t="s">
        <v>159</v>
      </c>
      <c r="S145" t="s">
        <v>266</v>
      </c>
      <c r="T145" t="s">
        <v>167</v>
      </c>
      <c r="U145">
        <v>9.9297682760078484E-2</v>
      </c>
      <c r="V145" t="s">
        <v>159</v>
      </c>
    </row>
    <row r="146" spans="9:22" x14ac:dyDescent="0.45">
      <c r="I146" t="s">
        <v>182</v>
      </c>
      <c r="J146" t="s">
        <v>158</v>
      </c>
      <c r="K146">
        <v>4.5263786058994053E-2</v>
      </c>
      <c r="L146" t="s">
        <v>159</v>
      </c>
      <c r="N146" t="s">
        <v>225</v>
      </c>
      <c r="O146" t="s">
        <v>158</v>
      </c>
      <c r="P146">
        <v>0.1378655871797472</v>
      </c>
      <c r="Q146" t="s">
        <v>159</v>
      </c>
      <c r="S146" t="s">
        <v>267</v>
      </c>
      <c r="T146" t="s">
        <v>158</v>
      </c>
      <c r="U146">
        <v>0.14831066642432023</v>
      </c>
      <c r="V146" t="s">
        <v>159</v>
      </c>
    </row>
    <row r="147" spans="9:22" x14ac:dyDescent="0.45">
      <c r="I147" t="s">
        <v>182</v>
      </c>
      <c r="J147" t="s">
        <v>160</v>
      </c>
      <c r="K147">
        <v>0.39775165724097189</v>
      </c>
      <c r="L147" t="s">
        <v>159</v>
      </c>
      <c r="N147" t="s">
        <v>225</v>
      </c>
      <c r="O147" t="s">
        <v>160</v>
      </c>
      <c r="P147">
        <v>0.18519216648701553</v>
      </c>
      <c r="Q147" t="s">
        <v>159</v>
      </c>
      <c r="S147" t="s">
        <v>267</v>
      </c>
      <c r="T147" t="s">
        <v>160</v>
      </c>
      <c r="U147">
        <v>0.18147091050859129</v>
      </c>
      <c r="V147" t="s">
        <v>159</v>
      </c>
    </row>
    <row r="148" spans="9:22" x14ac:dyDescent="0.45">
      <c r="I148" t="s">
        <v>182</v>
      </c>
      <c r="J148" t="s">
        <v>161</v>
      </c>
      <c r="K148">
        <v>1.1984681801644387E-2</v>
      </c>
      <c r="L148" t="s">
        <v>159</v>
      </c>
      <c r="N148" t="s">
        <v>225</v>
      </c>
      <c r="O148" t="s">
        <v>161</v>
      </c>
      <c r="P148">
        <v>0.12879646307579659</v>
      </c>
      <c r="Q148" t="s">
        <v>159</v>
      </c>
      <c r="S148" t="s">
        <v>267</v>
      </c>
      <c r="T148" t="s">
        <v>161</v>
      </c>
      <c r="U148">
        <v>0.12003873657358265</v>
      </c>
      <c r="V148" t="s">
        <v>159</v>
      </c>
    </row>
    <row r="149" spans="9:22" x14ac:dyDescent="0.45">
      <c r="I149" t="s">
        <v>182</v>
      </c>
      <c r="J149" t="s">
        <v>162</v>
      </c>
      <c r="K149">
        <v>7.154551712355614E-3</v>
      </c>
      <c r="L149" t="s">
        <v>159</v>
      </c>
      <c r="N149" t="s">
        <v>225</v>
      </c>
      <c r="O149" t="s">
        <v>162</v>
      </c>
      <c r="P149">
        <v>4.4208854160829321E-2</v>
      </c>
      <c r="Q149" t="s">
        <v>159</v>
      </c>
      <c r="S149" t="s">
        <v>267</v>
      </c>
      <c r="T149" t="s">
        <v>162</v>
      </c>
      <c r="U149">
        <v>6.0161412992738993E-2</v>
      </c>
      <c r="V149" t="s">
        <v>159</v>
      </c>
    </row>
    <row r="150" spans="9:22" x14ac:dyDescent="0.45">
      <c r="I150" t="s">
        <v>182</v>
      </c>
      <c r="J150" t="s">
        <v>163</v>
      </c>
      <c r="K150">
        <v>0.10076747745772494</v>
      </c>
      <c r="L150" t="s">
        <v>159</v>
      </c>
      <c r="N150" t="s">
        <v>225</v>
      </c>
      <c r="O150" t="s">
        <v>163</v>
      </c>
      <c r="P150">
        <v>5.7809598635494258E-2</v>
      </c>
      <c r="Q150" t="s">
        <v>159</v>
      </c>
      <c r="S150" t="s">
        <v>267</v>
      </c>
      <c r="T150" t="s">
        <v>163</v>
      </c>
      <c r="U150">
        <v>7.1764777701857282E-2</v>
      </c>
      <c r="V150" t="s">
        <v>159</v>
      </c>
    </row>
    <row r="151" spans="9:22" x14ac:dyDescent="0.45">
      <c r="I151" t="s">
        <v>182</v>
      </c>
      <c r="J151" t="s">
        <v>164</v>
      </c>
      <c r="K151">
        <v>0</v>
      </c>
      <c r="L151" t="s">
        <v>159</v>
      </c>
      <c r="N151" t="s">
        <v>225</v>
      </c>
      <c r="O151" t="s">
        <v>164</v>
      </c>
      <c r="P151">
        <v>4.4249584636902178E-2</v>
      </c>
      <c r="Q151" t="s">
        <v>159</v>
      </c>
      <c r="S151" t="s">
        <v>267</v>
      </c>
      <c r="T151" t="s">
        <v>164</v>
      </c>
      <c r="U151">
        <v>4.3896587624038606E-2</v>
      </c>
      <c r="V151" t="s">
        <v>159</v>
      </c>
    </row>
    <row r="152" spans="9:22" x14ac:dyDescent="0.45">
      <c r="I152" t="s">
        <v>182</v>
      </c>
      <c r="J152" t="s">
        <v>165</v>
      </c>
      <c r="K152">
        <v>5.7364236192170251E-2</v>
      </c>
      <c r="L152" t="s">
        <v>159</v>
      </c>
      <c r="N152" t="s">
        <v>225</v>
      </c>
      <c r="O152" t="s">
        <v>165</v>
      </c>
      <c r="P152">
        <v>0.11965195293486802</v>
      </c>
      <c r="Q152" t="s">
        <v>159</v>
      </c>
      <c r="S152" t="s">
        <v>267</v>
      </c>
      <c r="T152" t="s">
        <v>165</v>
      </c>
      <c r="U152">
        <v>0.12079726122544653</v>
      </c>
      <c r="V152" t="s">
        <v>159</v>
      </c>
    </row>
    <row r="153" spans="9:22" x14ac:dyDescent="0.45">
      <c r="I153" t="s">
        <v>182</v>
      </c>
      <c r="J153" t="s">
        <v>166</v>
      </c>
      <c r="K153">
        <v>0.3710314537269131</v>
      </c>
      <c r="L153" t="s">
        <v>159</v>
      </c>
      <c r="N153" t="s">
        <v>225</v>
      </c>
      <c r="O153" t="s">
        <v>166</v>
      </c>
      <c r="P153">
        <v>0.16612099590169466</v>
      </c>
      <c r="Q153" t="s">
        <v>159</v>
      </c>
      <c r="S153" t="s">
        <v>267</v>
      </c>
      <c r="T153" t="s">
        <v>166</v>
      </c>
      <c r="U153">
        <v>0.15501959953856698</v>
      </c>
      <c r="V153" t="s">
        <v>159</v>
      </c>
    </row>
    <row r="154" spans="9:22" x14ac:dyDescent="0.45">
      <c r="I154" t="s">
        <v>182</v>
      </c>
      <c r="J154" t="s">
        <v>167</v>
      </c>
      <c r="K154">
        <v>8.6821558092226962E-3</v>
      </c>
      <c r="L154" t="s">
        <v>159</v>
      </c>
      <c r="N154" t="s">
        <v>225</v>
      </c>
      <c r="O154" t="s">
        <v>167</v>
      </c>
      <c r="P154">
        <v>0.11610479698765291</v>
      </c>
      <c r="Q154" t="s">
        <v>159</v>
      </c>
      <c r="S154" t="s">
        <v>267</v>
      </c>
      <c r="T154" t="s">
        <v>167</v>
      </c>
      <c r="U154">
        <v>9.8540047410854564E-2</v>
      </c>
      <c r="V154" t="s">
        <v>159</v>
      </c>
    </row>
    <row r="155" spans="9:22" x14ac:dyDescent="0.45">
      <c r="I155" t="s">
        <v>183</v>
      </c>
      <c r="J155" t="s">
        <v>158</v>
      </c>
      <c r="K155">
        <v>4.1095202116303249E-2</v>
      </c>
      <c r="L155" t="s">
        <v>159</v>
      </c>
      <c r="N155" t="s">
        <v>226</v>
      </c>
      <c r="O155" t="s">
        <v>158</v>
      </c>
      <c r="P155">
        <v>0.13721289049713165</v>
      </c>
      <c r="Q155" t="s">
        <v>159</v>
      </c>
      <c r="S155" t="s">
        <v>268</v>
      </c>
      <c r="T155" t="s">
        <v>158</v>
      </c>
      <c r="U155">
        <v>0.14624408132143032</v>
      </c>
      <c r="V155" t="s">
        <v>159</v>
      </c>
    </row>
    <row r="156" spans="9:22" x14ac:dyDescent="0.45">
      <c r="I156" t="s">
        <v>183</v>
      </c>
      <c r="J156" t="s">
        <v>160</v>
      </c>
      <c r="K156">
        <v>0.40364563600893749</v>
      </c>
      <c r="L156" t="s">
        <v>159</v>
      </c>
      <c r="N156" t="s">
        <v>226</v>
      </c>
      <c r="O156" t="s">
        <v>160</v>
      </c>
      <c r="P156">
        <v>0.20611969951017933</v>
      </c>
      <c r="Q156" t="s">
        <v>159</v>
      </c>
      <c r="S156" t="s">
        <v>268</v>
      </c>
      <c r="T156" t="s">
        <v>160</v>
      </c>
      <c r="U156">
        <v>0.18499739376928426</v>
      </c>
      <c r="V156" t="s">
        <v>159</v>
      </c>
    </row>
    <row r="157" spans="9:22" x14ac:dyDescent="0.45">
      <c r="I157" t="s">
        <v>183</v>
      </c>
      <c r="J157" t="s">
        <v>161</v>
      </c>
      <c r="K157">
        <v>1.4600242819626384E-2</v>
      </c>
      <c r="L157" t="s">
        <v>159</v>
      </c>
      <c r="N157" t="s">
        <v>226</v>
      </c>
      <c r="O157" t="s">
        <v>161</v>
      </c>
      <c r="P157">
        <v>0.10042083728505902</v>
      </c>
      <c r="Q157" t="s">
        <v>159</v>
      </c>
      <c r="S157" t="s">
        <v>268</v>
      </c>
      <c r="T157" t="s">
        <v>161</v>
      </c>
      <c r="U157">
        <v>0.1099853047185743</v>
      </c>
      <c r="V157" t="s">
        <v>159</v>
      </c>
    </row>
    <row r="158" spans="9:22" x14ac:dyDescent="0.45">
      <c r="I158" t="s">
        <v>183</v>
      </c>
      <c r="J158" t="s">
        <v>162</v>
      </c>
      <c r="K158">
        <v>4.3108498882130399E-3</v>
      </c>
      <c r="L158" t="s">
        <v>159</v>
      </c>
      <c r="N158" t="s">
        <v>226</v>
      </c>
      <c r="O158" t="s">
        <v>162</v>
      </c>
      <c r="P158">
        <v>5.4426588919951766E-2</v>
      </c>
      <c r="Q158" t="s">
        <v>159</v>
      </c>
      <c r="S158" t="s">
        <v>268</v>
      </c>
      <c r="T158" t="s">
        <v>162</v>
      </c>
      <c r="U158">
        <v>6.3106128640321793E-2</v>
      </c>
      <c r="V158" t="s">
        <v>159</v>
      </c>
    </row>
    <row r="159" spans="9:22" x14ac:dyDescent="0.45">
      <c r="I159" t="s">
        <v>183</v>
      </c>
      <c r="J159" t="s">
        <v>163</v>
      </c>
      <c r="K159">
        <v>9.7354931954005533E-2</v>
      </c>
      <c r="L159" t="s">
        <v>159</v>
      </c>
      <c r="N159" t="s">
        <v>226</v>
      </c>
      <c r="O159" t="s">
        <v>163</v>
      </c>
      <c r="P159">
        <v>7.9612232746064659E-2</v>
      </c>
      <c r="Q159" t="s">
        <v>159</v>
      </c>
      <c r="S159" t="s">
        <v>268</v>
      </c>
      <c r="T159" t="s">
        <v>163</v>
      </c>
      <c r="U159">
        <v>7.3713559917334012E-2</v>
      </c>
      <c r="V159" t="s">
        <v>159</v>
      </c>
    </row>
    <row r="160" spans="9:22" x14ac:dyDescent="0.45">
      <c r="I160" t="s">
        <v>183</v>
      </c>
      <c r="J160" t="s">
        <v>164</v>
      </c>
      <c r="K160">
        <v>0</v>
      </c>
      <c r="L160" t="s">
        <v>159</v>
      </c>
      <c r="N160" t="s">
        <v>226</v>
      </c>
      <c r="O160" t="s">
        <v>164</v>
      </c>
      <c r="P160">
        <v>2.4596046080490434E-2</v>
      </c>
      <c r="Q160" t="s">
        <v>159</v>
      </c>
      <c r="S160" t="s">
        <v>268</v>
      </c>
      <c r="T160" t="s">
        <v>164</v>
      </c>
      <c r="U160">
        <v>4.6002184448338257E-2</v>
      </c>
      <c r="V160" t="s">
        <v>159</v>
      </c>
    </row>
    <row r="161" spans="9:22" x14ac:dyDescent="0.45">
      <c r="I161" t="s">
        <v>183</v>
      </c>
      <c r="J161" t="s">
        <v>165</v>
      </c>
      <c r="K161">
        <v>5.4304184826124133E-2</v>
      </c>
      <c r="L161" t="s">
        <v>159</v>
      </c>
      <c r="N161" t="s">
        <v>226</v>
      </c>
      <c r="O161" t="s">
        <v>165</v>
      </c>
      <c r="P161">
        <v>9.1019537592003111E-2</v>
      </c>
      <c r="Q161" t="s">
        <v>159</v>
      </c>
      <c r="S161" t="s">
        <v>268</v>
      </c>
      <c r="T161" t="s">
        <v>165</v>
      </c>
      <c r="U161">
        <v>0.12440079156212888</v>
      </c>
      <c r="V161" t="s">
        <v>159</v>
      </c>
    </row>
    <row r="162" spans="9:22" x14ac:dyDescent="0.45">
      <c r="I162" t="s">
        <v>183</v>
      </c>
      <c r="J162" t="s">
        <v>166</v>
      </c>
      <c r="K162">
        <v>0.37408209060317893</v>
      </c>
      <c r="L162" t="s">
        <v>159</v>
      </c>
      <c r="N162" t="s">
        <v>226</v>
      </c>
      <c r="O162" t="s">
        <v>166</v>
      </c>
      <c r="P162">
        <v>0.21498663848257529</v>
      </c>
      <c r="Q162" t="s">
        <v>159</v>
      </c>
      <c r="S162" t="s">
        <v>268</v>
      </c>
      <c r="T162" t="s">
        <v>166</v>
      </c>
      <c r="U162">
        <v>0.15868569891685697</v>
      </c>
      <c r="V162" t="s">
        <v>159</v>
      </c>
    </row>
    <row r="163" spans="9:22" x14ac:dyDescent="0.45">
      <c r="I163" t="s">
        <v>183</v>
      </c>
      <c r="J163" t="s">
        <v>167</v>
      </c>
      <c r="K163">
        <v>1.0606861783607041E-2</v>
      </c>
      <c r="L163" t="s">
        <v>159</v>
      </c>
      <c r="N163" t="s">
        <v>226</v>
      </c>
      <c r="O163" t="s">
        <v>167</v>
      </c>
      <c r="P163">
        <v>9.1605528886543844E-2</v>
      </c>
      <c r="Q163" t="s">
        <v>159</v>
      </c>
      <c r="S163" t="s">
        <v>268</v>
      </c>
      <c r="T163" t="s">
        <v>167</v>
      </c>
      <c r="U163">
        <v>9.2864856705728416E-2</v>
      </c>
      <c r="V163" t="s">
        <v>159</v>
      </c>
    </row>
    <row r="164" spans="9:22" x14ac:dyDescent="0.45">
      <c r="I164" t="s">
        <v>184</v>
      </c>
      <c r="J164" t="s">
        <v>158</v>
      </c>
      <c r="K164">
        <v>2.8985684844984774E-2</v>
      </c>
      <c r="L164" t="s">
        <v>159</v>
      </c>
      <c r="N164" t="s">
        <v>227</v>
      </c>
      <c r="O164" t="s">
        <v>158</v>
      </c>
      <c r="P164">
        <v>0.13896643523148325</v>
      </c>
      <c r="Q164" t="s">
        <v>159</v>
      </c>
      <c r="S164" t="s">
        <v>269</v>
      </c>
      <c r="T164" t="s">
        <v>158</v>
      </c>
      <c r="U164">
        <v>0.13760843329182221</v>
      </c>
      <c r="V164" t="s">
        <v>159</v>
      </c>
    </row>
    <row r="165" spans="9:22" x14ac:dyDescent="0.45">
      <c r="I165" t="s">
        <v>184</v>
      </c>
      <c r="J165" t="s">
        <v>160</v>
      </c>
      <c r="K165">
        <v>0.41226680197362414</v>
      </c>
      <c r="L165" t="s">
        <v>159</v>
      </c>
      <c r="N165" t="s">
        <v>227</v>
      </c>
      <c r="O165" t="s">
        <v>160</v>
      </c>
      <c r="P165">
        <v>0.18886801511937135</v>
      </c>
      <c r="Q165" t="s">
        <v>159</v>
      </c>
      <c r="S165" t="s">
        <v>269</v>
      </c>
      <c r="T165" t="s">
        <v>160</v>
      </c>
      <c r="U165">
        <v>0.19098707480705696</v>
      </c>
      <c r="V165" t="s">
        <v>159</v>
      </c>
    </row>
    <row r="166" spans="9:22" x14ac:dyDescent="0.45">
      <c r="I166" t="s">
        <v>184</v>
      </c>
      <c r="J166" t="s">
        <v>161</v>
      </c>
      <c r="K166">
        <v>2.4929780178819361E-2</v>
      </c>
      <c r="L166" t="s">
        <v>159</v>
      </c>
      <c r="N166" t="s">
        <v>227</v>
      </c>
      <c r="O166" t="s">
        <v>161</v>
      </c>
      <c r="P166">
        <v>0.12265215305343635</v>
      </c>
      <c r="Q166" t="s">
        <v>159</v>
      </c>
      <c r="S166" t="s">
        <v>269</v>
      </c>
      <c r="T166" t="s">
        <v>161</v>
      </c>
      <c r="U166">
        <v>0.11088339968868607</v>
      </c>
      <c r="V166" t="s">
        <v>159</v>
      </c>
    </row>
    <row r="167" spans="9:22" x14ac:dyDescent="0.45">
      <c r="I167" t="s">
        <v>184</v>
      </c>
      <c r="J167" t="s">
        <v>162</v>
      </c>
      <c r="K167">
        <v>8.3874553119506819E-4</v>
      </c>
      <c r="L167" t="s">
        <v>159</v>
      </c>
      <c r="N167" t="s">
        <v>227</v>
      </c>
      <c r="O167" t="s">
        <v>162</v>
      </c>
      <c r="P167">
        <v>4.9363433932849178E-2</v>
      </c>
      <c r="Q167" t="s">
        <v>159</v>
      </c>
      <c r="S167" t="s">
        <v>269</v>
      </c>
      <c r="T167" t="s">
        <v>162</v>
      </c>
      <c r="U167">
        <v>6.5080606883859943E-2</v>
      </c>
      <c r="V167" t="s">
        <v>159</v>
      </c>
    </row>
    <row r="168" spans="9:22" x14ac:dyDescent="0.45">
      <c r="I168" t="s">
        <v>184</v>
      </c>
      <c r="J168" t="s">
        <v>163</v>
      </c>
      <c r="K168">
        <v>8.9196751900308097E-2</v>
      </c>
      <c r="L168" t="s">
        <v>159</v>
      </c>
      <c r="N168" t="s">
        <v>227</v>
      </c>
      <c r="O168" t="s">
        <v>163</v>
      </c>
      <c r="P168">
        <v>7.0170630985362595E-2</v>
      </c>
      <c r="Q168" t="s">
        <v>159</v>
      </c>
      <c r="S168" t="s">
        <v>269</v>
      </c>
      <c r="T168" t="s">
        <v>163</v>
      </c>
      <c r="U168">
        <v>7.2552230571361329E-2</v>
      </c>
      <c r="V168" t="s">
        <v>159</v>
      </c>
    </row>
    <row r="169" spans="9:22" x14ac:dyDescent="0.45">
      <c r="I169" t="s">
        <v>184</v>
      </c>
      <c r="J169" t="s">
        <v>164</v>
      </c>
      <c r="K169">
        <v>0</v>
      </c>
      <c r="L169" t="s">
        <v>159</v>
      </c>
      <c r="N169" t="s">
        <v>227</v>
      </c>
      <c r="O169" t="s">
        <v>164</v>
      </c>
      <c r="P169">
        <v>4.1998104721744936E-2</v>
      </c>
      <c r="Q169" t="s">
        <v>159</v>
      </c>
      <c r="S169" t="s">
        <v>269</v>
      </c>
      <c r="T169" t="s">
        <v>164</v>
      </c>
      <c r="U169">
        <v>4.7620544527563688E-2</v>
      </c>
      <c r="V169" t="s">
        <v>159</v>
      </c>
    </row>
    <row r="170" spans="9:22" x14ac:dyDescent="0.45">
      <c r="I170" t="s">
        <v>184</v>
      </c>
      <c r="J170" t="s">
        <v>165</v>
      </c>
      <c r="K170">
        <v>4.0535246280124046E-2</v>
      </c>
      <c r="L170" t="s">
        <v>159</v>
      </c>
      <c r="N170" t="s">
        <v>227</v>
      </c>
      <c r="O170" t="s">
        <v>165</v>
      </c>
      <c r="P170">
        <v>0.11306165147853277</v>
      </c>
      <c r="Q170" t="s">
        <v>159</v>
      </c>
      <c r="S170" t="s">
        <v>269</v>
      </c>
      <c r="T170" t="s">
        <v>165</v>
      </c>
      <c r="U170">
        <v>0.11828724853964952</v>
      </c>
      <c r="V170" t="s">
        <v>159</v>
      </c>
    </row>
    <row r="171" spans="9:22" x14ac:dyDescent="0.45">
      <c r="I171" t="s">
        <v>184</v>
      </c>
      <c r="J171" t="s">
        <v>166</v>
      </c>
      <c r="K171">
        <v>0.38146383266310901</v>
      </c>
      <c r="L171" t="s">
        <v>159</v>
      </c>
      <c r="N171" t="s">
        <v>227</v>
      </c>
      <c r="O171" t="s">
        <v>166</v>
      </c>
      <c r="P171">
        <v>0.17506420329248021</v>
      </c>
      <c r="Q171" t="s">
        <v>159</v>
      </c>
      <c r="S171" t="s">
        <v>269</v>
      </c>
      <c r="T171" t="s">
        <v>166</v>
      </c>
      <c r="U171">
        <v>0.16417332621815886</v>
      </c>
      <c r="V171" t="s">
        <v>159</v>
      </c>
    </row>
    <row r="172" spans="9:22" x14ac:dyDescent="0.45">
      <c r="I172" t="s">
        <v>184</v>
      </c>
      <c r="J172" t="s">
        <v>167</v>
      </c>
      <c r="K172">
        <v>2.1783156627834196E-2</v>
      </c>
      <c r="L172" t="s">
        <v>159</v>
      </c>
      <c r="N172" t="s">
        <v>227</v>
      </c>
      <c r="O172" t="s">
        <v>167</v>
      </c>
      <c r="P172">
        <v>9.9855372184740762E-2</v>
      </c>
      <c r="Q172" t="s">
        <v>159</v>
      </c>
      <c r="S172" t="s">
        <v>269</v>
      </c>
      <c r="T172" t="s">
        <v>167</v>
      </c>
      <c r="U172">
        <v>9.2807135471842966E-2</v>
      </c>
      <c r="V172" t="s">
        <v>159</v>
      </c>
    </row>
    <row r="173" spans="9:22" x14ac:dyDescent="0.45">
      <c r="I173" t="s">
        <v>185</v>
      </c>
      <c r="J173" t="s">
        <v>158</v>
      </c>
      <c r="K173">
        <v>3.3417877222955819E-2</v>
      </c>
      <c r="L173" t="s">
        <v>159</v>
      </c>
      <c r="N173" t="s">
        <v>228</v>
      </c>
      <c r="O173" t="s">
        <v>158</v>
      </c>
      <c r="P173">
        <v>0.12317998322388055</v>
      </c>
      <c r="Q173" t="s">
        <v>159</v>
      </c>
      <c r="S173" t="s">
        <v>270</v>
      </c>
      <c r="T173" t="s">
        <v>158</v>
      </c>
      <c r="U173">
        <v>0.14159669184004856</v>
      </c>
      <c r="V173" t="s">
        <v>159</v>
      </c>
    </row>
    <row r="174" spans="9:22" x14ac:dyDescent="0.45">
      <c r="I174" t="s">
        <v>185</v>
      </c>
      <c r="J174" t="s">
        <v>160</v>
      </c>
      <c r="K174">
        <v>0.40545139681970116</v>
      </c>
      <c r="L174" t="s">
        <v>159</v>
      </c>
      <c r="N174" t="s">
        <v>228</v>
      </c>
      <c r="O174" t="s">
        <v>160</v>
      </c>
      <c r="P174">
        <v>0.20165217061273483</v>
      </c>
      <c r="Q174" t="s">
        <v>159</v>
      </c>
      <c r="S174" t="s">
        <v>270</v>
      </c>
      <c r="T174" t="s">
        <v>160</v>
      </c>
      <c r="U174">
        <v>0.17745162664004643</v>
      </c>
      <c r="V174" t="s">
        <v>159</v>
      </c>
    </row>
    <row r="175" spans="9:22" x14ac:dyDescent="0.45">
      <c r="I175" t="s">
        <v>185</v>
      </c>
      <c r="J175" t="s">
        <v>161</v>
      </c>
      <c r="K175">
        <v>2.2314616216179917E-2</v>
      </c>
      <c r="L175" t="s">
        <v>159</v>
      </c>
      <c r="N175" t="s">
        <v>228</v>
      </c>
      <c r="O175" t="s">
        <v>161</v>
      </c>
      <c r="P175">
        <v>0.12318394221173688</v>
      </c>
      <c r="Q175" t="s">
        <v>159</v>
      </c>
      <c r="S175" t="s">
        <v>270</v>
      </c>
      <c r="T175" t="s">
        <v>161</v>
      </c>
      <c r="U175">
        <v>0.10863490778789302</v>
      </c>
      <c r="V175" t="s">
        <v>159</v>
      </c>
    </row>
    <row r="176" spans="9:22" x14ac:dyDescent="0.45">
      <c r="I176" t="s">
        <v>185</v>
      </c>
      <c r="J176" t="s">
        <v>162</v>
      </c>
      <c r="K176">
        <v>1.455388222954535E-3</v>
      </c>
      <c r="L176" t="s">
        <v>159</v>
      </c>
      <c r="N176" t="s">
        <v>228</v>
      </c>
      <c r="O176" t="s">
        <v>162</v>
      </c>
      <c r="P176">
        <v>3.4706198242464015E-2</v>
      </c>
      <c r="Q176" t="s">
        <v>159</v>
      </c>
      <c r="S176" t="s">
        <v>270</v>
      </c>
      <c r="T176" t="s">
        <v>162</v>
      </c>
      <c r="U176">
        <v>6.2716765891465687E-2</v>
      </c>
      <c r="V176" t="s">
        <v>159</v>
      </c>
    </row>
    <row r="177" spans="9:22" x14ac:dyDescent="0.45">
      <c r="I177" t="s">
        <v>185</v>
      </c>
      <c r="J177" t="s">
        <v>163</v>
      </c>
      <c r="K177">
        <v>8.9863006072266854E-2</v>
      </c>
      <c r="L177" t="s">
        <v>159</v>
      </c>
      <c r="N177" t="s">
        <v>228</v>
      </c>
      <c r="O177" t="s">
        <v>163</v>
      </c>
      <c r="P177">
        <v>6.2077111551045443E-2</v>
      </c>
      <c r="Q177" t="s">
        <v>159</v>
      </c>
      <c r="S177" t="s">
        <v>270</v>
      </c>
      <c r="T177" t="s">
        <v>163</v>
      </c>
      <c r="U177">
        <v>7.4618872112413262E-2</v>
      </c>
      <c r="V177" t="s">
        <v>159</v>
      </c>
    </row>
    <row r="178" spans="9:22" x14ac:dyDescent="0.45">
      <c r="I178" t="s">
        <v>185</v>
      </c>
      <c r="J178" t="s">
        <v>164</v>
      </c>
      <c r="K178">
        <v>0</v>
      </c>
      <c r="L178" t="s">
        <v>159</v>
      </c>
      <c r="N178" t="s">
        <v>228</v>
      </c>
      <c r="O178" t="s">
        <v>164</v>
      </c>
      <c r="P178">
        <v>3.2013237018123253E-2</v>
      </c>
      <c r="Q178" t="s">
        <v>159</v>
      </c>
      <c r="S178" t="s">
        <v>270</v>
      </c>
      <c r="T178" t="s">
        <v>164</v>
      </c>
      <c r="U178">
        <v>4.5192376203970291E-2</v>
      </c>
      <c r="V178" t="s">
        <v>159</v>
      </c>
    </row>
    <row r="179" spans="9:22" x14ac:dyDescent="0.45">
      <c r="I179" t="s">
        <v>185</v>
      </c>
      <c r="J179" t="s">
        <v>165</v>
      </c>
      <c r="K179">
        <v>4.6540458295679391E-2</v>
      </c>
      <c r="L179" t="s">
        <v>159</v>
      </c>
      <c r="N179" t="s">
        <v>228</v>
      </c>
      <c r="O179" t="s">
        <v>165</v>
      </c>
      <c r="P179">
        <v>0.10783947509019473</v>
      </c>
      <c r="Q179" t="s">
        <v>159</v>
      </c>
      <c r="S179" t="s">
        <v>270</v>
      </c>
      <c r="T179" t="s">
        <v>165</v>
      </c>
      <c r="U179">
        <v>0.12504457836378113</v>
      </c>
      <c r="V179" t="s">
        <v>159</v>
      </c>
    </row>
    <row r="180" spans="9:22" x14ac:dyDescent="0.45">
      <c r="I180" t="s">
        <v>185</v>
      </c>
      <c r="J180" t="s">
        <v>166</v>
      </c>
      <c r="K180">
        <v>0.38231923934920076</v>
      </c>
      <c r="L180" t="s">
        <v>159</v>
      </c>
      <c r="N180" t="s">
        <v>228</v>
      </c>
      <c r="O180" t="s">
        <v>166</v>
      </c>
      <c r="P180">
        <v>0.2054160832065077</v>
      </c>
      <c r="Q180" t="s">
        <v>159</v>
      </c>
      <c r="S180" t="s">
        <v>270</v>
      </c>
      <c r="T180" t="s">
        <v>166</v>
      </c>
      <c r="U180">
        <v>0.16452067920393137</v>
      </c>
      <c r="V180" t="s">
        <v>159</v>
      </c>
    </row>
    <row r="181" spans="9:22" x14ac:dyDescent="0.45">
      <c r="I181" t="s">
        <v>185</v>
      </c>
      <c r="J181" t="s">
        <v>167</v>
      </c>
      <c r="K181">
        <v>1.8638017801062879E-2</v>
      </c>
      <c r="L181" t="s">
        <v>159</v>
      </c>
      <c r="N181" t="s">
        <v>228</v>
      </c>
      <c r="O181" t="s">
        <v>167</v>
      </c>
      <c r="P181">
        <v>0.10993179884331669</v>
      </c>
      <c r="Q181" t="s">
        <v>159</v>
      </c>
      <c r="S181" t="s">
        <v>270</v>
      </c>
      <c r="T181" t="s">
        <v>167</v>
      </c>
      <c r="U181">
        <v>0.10022350195644952</v>
      </c>
      <c r="V181" t="s">
        <v>159</v>
      </c>
    </row>
    <row r="182" spans="9:22" x14ac:dyDescent="0.45">
      <c r="I182" t="s">
        <v>186</v>
      </c>
      <c r="J182" t="s">
        <v>158</v>
      </c>
      <c r="K182">
        <v>3.8090361691721954E-2</v>
      </c>
      <c r="L182" t="s">
        <v>159</v>
      </c>
      <c r="N182" t="s">
        <v>229</v>
      </c>
      <c r="O182" t="s">
        <v>158</v>
      </c>
      <c r="P182">
        <v>0.15221363789635398</v>
      </c>
      <c r="Q182" t="s">
        <v>159</v>
      </c>
      <c r="S182" t="s">
        <v>271</v>
      </c>
      <c r="T182" t="s">
        <v>158</v>
      </c>
      <c r="U182">
        <v>0.12897876532032365</v>
      </c>
      <c r="V182" t="s">
        <v>159</v>
      </c>
    </row>
    <row r="183" spans="9:22" x14ac:dyDescent="0.45">
      <c r="I183" t="s">
        <v>186</v>
      </c>
      <c r="J183" t="s">
        <v>160</v>
      </c>
      <c r="K183">
        <v>0.40506565217254176</v>
      </c>
      <c r="L183" t="s">
        <v>159</v>
      </c>
      <c r="N183" t="s">
        <v>229</v>
      </c>
      <c r="O183" t="s">
        <v>160</v>
      </c>
      <c r="P183">
        <v>0.14164168921920861</v>
      </c>
      <c r="Q183" t="s">
        <v>159</v>
      </c>
      <c r="S183" t="s">
        <v>271</v>
      </c>
      <c r="T183" t="s">
        <v>160</v>
      </c>
      <c r="U183">
        <v>0.19458918437667436</v>
      </c>
      <c r="V183" t="s">
        <v>159</v>
      </c>
    </row>
    <row r="184" spans="9:22" x14ac:dyDescent="0.45">
      <c r="I184" t="s">
        <v>186</v>
      </c>
      <c r="J184" t="s">
        <v>161</v>
      </c>
      <c r="K184">
        <v>1.8308463878376986E-2</v>
      </c>
      <c r="L184" t="s">
        <v>159</v>
      </c>
      <c r="N184" t="s">
        <v>229</v>
      </c>
      <c r="O184" t="s">
        <v>161</v>
      </c>
      <c r="P184">
        <v>0.13992427549073985</v>
      </c>
      <c r="Q184" t="s">
        <v>159</v>
      </c>
      <c r="S184" t="s">
        <v>271</v>
      </c>
      <c r="T184" t="s">
        <v>161</v>
      </c>
      <c r="U184">
        <v>0.10923002910360692</v>
      </c>
      <c r="V184" t="s">
        <v>159</v>
      </c>
    </row>
    <row r="185" spans="9:22" x14ac:dyDescent="0.45">
      <c r="I185" t="s">
        <v>186</v>
      </c>
      <c r="J185" t="s">
        <v>162</v>
      </c>
      <c r="K185">
        <v>2.6194774744159191E-3</v>
      </c>
      <c r="L185" t="s">
        <v>159</v>
      </c>
      <c r="N185" t="s">
        <v>229</v>
      </c>
      <c r="O185" t="s">
        <v>162</v>
      </c>
      <c r="P185">
        <v>4.662802162086651E-2</v>
      </c>
      <c r="Q185" t="s">
        <v>159</v>
      </c>
      <c r="S185" t="s">
        <v>271</v>
      </c>
      <c r="T185" t="s">
        <v>162</v>
      </c>
      <c r="U185">
        <v>6.0881009241297523E-2</v>
      </c>
      <c r="V185" t="s">
        <v>159</v>
      </c>
    </row>
    <row r="186" spans="9:22" x14ac:dyDescent="0.45">
      <c r="I186" t="s">
        <v>186</v>
      </c>
      <c r="J186" t="s">
        <v>163</v>
      </c>
      <c r="K186">
        <v>8.9561473012291629E-2</v>
      </c>
      <c r="L186" t="s">
        <v>159</v>
      </c>
      <c r="N186" t="s">
        <v>229</v>
      </c>
      <c r="O186" t="s">
        <v>163</v>
      </c>
      <c r="P186">
        <v>4.6127990524588033E-2</v>
      </c>
      <c r="Q186" t="s">
        <v>159</v>
      </c>
      <c r="S186" t="s">
        <v>271</v>
      </c>
      <c r="T186" t="s">
        <v>163</v>
      </c>
      <c r="U186">
        <v>7.7195581402694932E-2</v>
      </c>
      <c r="V186" t="s">
        <v>159</v>
      </c>
    </row>
    <row r="187" spans="9:22" x14ac:dyDescent="0.45">
      <c r="I187" t="s">
        <v>186</v>
      </c>
      <c r="J187" t="s">
        <v>164</v>
      </c>
      <c r="K187">
        <v>0</v>
      </c>
      <c r="L187" t="s">
        <v>159</v>
      </c>
      <c r="N187" t="s">
        <v>229</v>
      </c>
      <c r="O187" t="s">
        <v>164</v>
      </c>
      <c r="P187">
        <v>3.7424661701819496E-2</v>
      </c>
      <c r="Q187" t="s">
        <v>159</v>
      </c>
      <c r="S187" t="s">
        <v>271</v>
      </c>
      <c r="T187" t="s">
        <v>164</v>
      </c>
      <c r="U187">
        <v>4.8246952472166288E-2</v>
      </c>
      <c r="V187" t="s">
        <v>159</v>
      </c>
    </row>
    <row r="188" spans="9:22" x14ac:dyDescent="0.45">
      <c r="I188" t="s">
        <v>186</v>
      </c>
      <c r="J188" t="s">
        <v>165</v>
      </c>
      <c r="K188">
        <v>5.2830111499814071E-2</v>
      </c>
      <c r="L188" t="s">
        <v>159</v>
      </c>
      <c r="N188" t="s">
        <v>229</v>
      </c>
      <c r="O188" t="s">
        <v>165</v>
      </c>
      <c r="P188">
        <v>0.14277515548613159</v>
      </c>
      <c r="Q188" t="s">
        <v>159</v>
      </c>
      <c r="S188" t="s">
        <v>271</v>
      </c>
      <c r="T188" t="s">
        <v>165</v>
      </c>
      <c r="U188">
        <v>0.11169579033884927</v>
      </c>
      <c r="V188" t="s">
        <v>159</v>
      </c>
    </row>
    <row r="189" spans="9:22" x14ac:dyDescent="0.45">
      <c r="I189" t="s">
        <v>186</v>
      </c>
      <c r="J189" t="s">
        <v>166</v>
      </c>
      <c r="K189">
        <v>0.37987546170051628</v>
      </c>
      <c r="L189" t="s">
        <v>159</v>
      </c>
      <c r="N189" t="s">
        <v>229</v>
      </c>
      <c r="O189" t="s">
        <v>166</v>
      </c>
      <c r="P189">
        <v>0.14330319549005938</v>
      </c>
      <c r="Q189" t="s">
        <v>159</v>
      </c>
      <c r="S189" t="s">
        <v>271</v>
      </c>
      <c r="T189" t="s">
        <v>166</v>
      </c>
      <c r="U189">
        <v>0.17368155101866137</v>
      </c>
      <c r="V189" t="s">
        <v>159</v>
      </c>
    </row>
    <row r="190" spans="9:22" x14ac:dyDescent="0.45">
      <c r="I190" t="s">
        <v>186</v>
      </c>
      <c r="J190" t="s">
        <v>167</v>
      </c>
      <c r="K190">
        <v>1.3648998570322696E-2</v>
      </c>
      <c r="L190" t="s">
        <v>159</v>
      </c>
      <c r="N190" t="s">
        <v>229</v>
      </c>
      <c r="O190" t="s">
        <v>167</v>
      </c>
      <c r="P190">
        <v>0.14996137257023603</v>
      </c>
      <c r="Q190" t="s">
        <v>159</v>
      </c>
      <c r="S190" t="s">
        <v>271</v>
      </c>
      <c r="T190" t="s">
        <v>167</v>
      </c>
      <c r="U190">
        <v>9.5501136725728034E-2</v>
      </c>
      <c r="V190" t="s">
        <v>159</v>
      </c>
    </row>
    <row r="191" spans="9:22" x14ac:dyDescent="0.45">
      <c r="I191" t="s">
        <v>187</v>
      </c>
      <c r="J191" t="s">
        <v>158</v>
      </c>
      <c r="K191">
        <v>3.7942007232165238E-2</v>
      </c>
      <c r="L191" t="s">
        <v>159</v>
      </c>
      <c r="N191" t="s">
        <v>230</v>
      </c>
      <c r="O191" t="s">
        <v>158</v>
      </c>
      <c r="P191">
        <v>0.15083968897966987</v>
      </c>
      <c r="Q191" t="s">
        <v>159</v>
      </c>
    </row>
    <row r="192" spans="9:22" x14ac:dyDescent="0.45">
      <c r="I192" t="s">
        <v>187</v>
      </c>
      <c r="J192" t="s">
        <v>160</v>
      </c>
      <c r="K192">
        <v>0.40460635581706111</v>
      </c>
      <c r="L192" t="s">
        <v>159</v>
      </c>
      <c r="N192" t="s">
        <v>230</v>
      </c>
      <c r="O192" t="s">
        <v>160</v>
      </c>
      <c r="P192">
        <v>0.14753457683328511</v>
      </c>
      <c r="Q192" t="s">
        <v>159</v>
      </c>
    </row>
    <row r="193" spans="9:17" x14ac:dyDescent="0.45">
      <c r="I193" t="s">
        <v>187</v>
      </c>
      <c r="J193" t="s">
        <v>161</v>
      </c>
      <c r="K193">
        <v>2.1001956399846457E-2</v>
      </c>
      <c r="L193" t="s">
        <v>159</v>
      </c>
      <c r="N193" t="s">
        <v>230</v>
      </c>
      <c r="O193" t="s">
        <v>161</v>
      </c>
      <c r="P193">
        <v>0.14983066079039073</v>
      </c>
      <c r="Q193" t="s">
        <v>159</v>
      </c>
    </row>
    <row r="194" spans="9:17" x14ac:dyDescent="0.45">
      <c r="I194" t="s">
        <v>187</v>
      </c>
      <c r="J194" t="s">
        <v>162</v>
      </c>
      <c r="K194">
        <v>2.1797373624440814E-3</v>
      </c>
      <c r="L194" t="s">
        <v>159</v>
      </c>
      <c r="N194" t="s">
        <v>230</v>
      </c>
      <c r="O194" t="s">
        <v>162</v>
      </c>
      <c r="P194">
        <v>5.3520573792922049E-2</v>
      </c>
      <c r="Q194" t="s">
        <v>159</v>
      </c>
    </row>
    <row r="195" spans="9:17" x14ac:dyDescent="0.45">
      <c r="I195" t="s">
        <v>187</v>
      </c>
      <c r="J195" t="s">
        <v>163</v>
      </c>
      <c r="K195">
        <v>9.3335140150412416E-2</v>
      </c>
      <c r="L195" t="s">
        <v>159</v>
      </c>
      <c r="N195" t="s">
        <v>230</v>
      </c>
      <c r="O195" t="s">
        <v>163</v>
      </c>
      <c r="P195">
        <v>4.0335284412404283E-2</v>
      </c>
      <c r="Q195" t="s">
        <v>159</v>
      </c>
    </row>
    <row r="196" spans="9:17" x14ac:dyDescent="0.45">
      <c r="I196" t="s">
        <v>187</v>
      </c>
      <c r="J196" t="s">
        <v>164</v>
      </c>
      <c r="K196">
        <v>0</v>
      </c>
      <c r="L196" t="s">
        <v>159</v>
      </c>
      <c r="N196" t="s">
        <v>230</v>
      </c>
      <c r="O196" t="s">
        <v>164</v>
      </c>
      <c r="P196">
        <v>4.9553171378466182E-2</v>
      </c>
      <c r="Q196" t="s">
        <v>159</v>
      </c>
    </row>
    <row r="197" spans="9:17" x14ac:dyDescent="0.45">
      <c r="I197" t="s">
        <v>187</v>
      </c>
      <c r="J197" t="s">
        <v>165</v>
      </c>
      <c r="K197">
        <v>5.0058241588479858E-2</v>
      </c>
      <c r="L197" t="s">
        <v>159</v>
      </c>
      <c r="N197" t="s">
        <v>230</v>
      </c>
      <c r="O197" t="s">
        <v>165</v>
      </c>
      <c r="P197">
        <v>0.13479937889850785</v>
      </c>
      <c r="Q197" t="s">
        <v>159</v>
      </c>
    </row>
    <row r="198" spans="9:17" x14ac:dyDescent="0.45">
      <c r="I198" t="s">
        <v>187</v>
      </c>
      <c r="J198" t="s">
        <v>166</v>
      </c>
      <c r="K198">
        <v>0.37535717108552202</v>
      </c>
      <c r="L198" t="s">
        <v>159</v>
      </c>
      <c r="N198" t="s">
        <v>230</v>
      </c>
      <c r="O198" t="s">
        <v>166</v>
      </c>
      <c r="P198">
        <v>0.13453111844150051</v>
      </c>
      <c r="Q198" t="s">
        <v>159</v>
      </c>
    </row>
    <row r="199" spans="9:17" x14ac:dyDescent="0.45">
      <c r="I199" t="s">
        <v>187</v>
      </c>
      <c r="J199" t="s">
        <v>167</v>
      </c>
      <c r="K199">
        <v>1.5519390364069324E-2</v>
      </c>
      <c r="L199" t="s">
        <v>159</v>
      </c>
      <c r="N199" t="s">
        <v>230</v>
      </c>
      <c r="O199" t="s">
        <v>167</v>
      </c>
      <c r="P199">
        <v>0.13905554647285104</v>
      </c>
      <c r="Q199" t="s">
        <v>159</v>
      </c>
    </row>
    <row r="200" spans="9:17" x14ac:dyDescent="0.45">
      <c r="I200" t="s">
        <v>188</v>
      </c>
      <c r="J200" t="s">
        <v>158</v>
      </c>
      <c r="K200">
        <v>2.0954572177001744E-2</v>
      </c>
      <c r="L200" t="s">
        <v>159</v>
      </c>
      <c r="N200" t="s">
        <v>231</v>
      </c>
      <c r="O200" t="s">
        <v>158</v>
      </c>
      <c r="P200">
        <v>9.6950562343964958E-2</v>
      </c>
      <c r="Q200" t="s">
        <v>159</v>
      </c>
    </row>
    <row r="201" spans="9:17" x14ac:dyDescent="0.45">
      <c r="I201" t="s">
        <v>188</v>
      </c>
      <c r="J201" t="s">
        <v>160</v>
      </c>
      <c r="K201">
        <v>0.43893532810414065</v>
      </c>
      <c r="L201" t="s">
        <v>159</v>
      </c>
      <c r="N201" t="s">
        <v>231</v>
      </c>
      <c r="O201" t="s">
        <v>160</v>
      </c>
      <c r="P201">
        <v>9.5080647196825643E-2</v>
      </c>
      <c r="Q201" t="s">
        <v>159</v>
      </c>
    </row>
    <row r="202" spans="9:17" x14ac:dyDescent="0.45">
      <c r="I202" t="s">
        <v>188</v>
      </c>
      <c r="J202" t="s">
        <v>161</v>
      </c>
      <c r="K202">
        <v>2.169813973828191E-2</v>
      </c>
      <c r="L202" t="s">
        <v>159</v>
      </c>
      <c r="N202" t="s">
        <v>231</v>
      </c>
      <c r="O202" t="s">
        <v>161</v>
      </c>
      <c r="P202">
        <v>0.17463119832890098</v>
      </c>
      <c r="Q202" t="s">
        <v>159</v>
      </c>
    </row>
    <row r="203" spans="9:17" x14ac:dyDescent="0.45">
      <c r="I203" t="s">
        <v>188</v>
      </c>
      <c r="J203" t="s">
        <v>162</v>
      </c>
      <c r="K203">
        <v>1.1213243106048645E-3</v>
      </c>
      <c r="L203" t="s">
        <v>159</v>
      </c>
      <c r="N203" t="s">
        <v>231</v>
      </c>
      <c r="O203" t="s">
        <v>162</v>
      </c>
      <c r="P203">
        <v>3.2345744133302205E-2</v>
      </c>
      <c r="Q203" t="s">
        <v>159</v>
      </c>
    </row>
    <row r="204" spans="9:17" x14ac:dyDescent="0.45">
      <c r="I204" t="s">
        <v>188</v>
      </c>
      <c r="J204" t="s">
        <v>163</v>
      </c>
      <c r="K204">
        <v>0.12416445763262615</v>
      </c>
      <c r="L204" t="s">
        <v>159</v>
      </c>
      <c r="N204" t="s">
        <v>231</v>
      </c>
      <c r="O204" t="s">
        <v>163</v>
      </c>
      <c r="P204">
        <v>3.7894870757828047E-2</v>
      </c>
      <c r="Q204" t="s">
        <v>159</v>
      </c>
    </row>
    <row r="205" spans="9:17" x14ac:dyDescent="0.45">
      <c r="I205" t="s">
        <v>188</v>
      </c>
      <c r="J205" t="s">
        <v>164</v>
      </c>
      <c r="K205">
        <v>4.4767044378690848E-4</v>
      </c>
      <c r="L205" t="s">
        <v>159</v>
      </c>
      <c r="N205" t="s">
        <v>231</v>
      </c>
      <c r="O205" t="s">
        <v>164</v>
      </c>
      <c r="P205">
        <v>5.6321810048230052E-2</v>
      </c>
      <c r="Q205" t="s">
        <v>159</v>
      </c>
    </row>
    <row r="206" spans="9:17" x14ac:dyDescent="0.45">
      <c r="I206" t="s">
        <v>188</v>
      </c>
      <c r="J206" t="s">
        <v>165</v>
      </c>
      <c r="K206">
        <v>2.819661177059787E-2</v>
      </c>
      <c r="L206" t="s">
        <v>159</v>
      </c>
      <c r="N206" t="s">
        <v>231</v>
      </c>
      <c r="O206" t="s">
        <v>165</v>
      </c>
      <c r="P206">
        <v>0.13222144220744117</v>
      </c>
      <c r="Q206" t="s">
        <v>159</v>
      </c>
    </row>
    <row r="207" spans="9:17" x14ac:dyDescent="0.45">
      <c r="I207" t="s">
        <v>188</v>
      </c>
      <c r="J207" t="s">
        <v>166</v>
      </c>
      <c r="K207">
        <v>0.34631564511221086</v>
      </c>
      <c r="L207" t="s">
        <v>159</v>
      </c>
      <c r="N207" t="s">
        <v>231</v>
      </c>
      <c r="O207" t="s">
        <v>166</v>
      </c>
      <c r="P207">
        <v>0.14300465483437541</v>
      </c>
      <c r="Q207" t="s">
        <v>159</v>
      </c>
    </row>
    <row r="208" spans="9:17" x14ac:dyDescent="0.45">
      <c r="I208" t="s">
        <v>188</v>
      </c>
      <c r="J208" t="s">
        <v>167</v>
      </c>
      <c r="K208">
        <v>1.8166250710743386E-2</v>
      </c>
      <c r="L208" t="s">
        <v>159</v>
      </c>
      <c r="N208" t="s">
        <v>231</v>
      </c>
      <c r="O208" t="s">
        <v>167</v>
      </c>
      <c r="P208">
        <v>0.2315490701491314</v>
      </c>
      <c r="Q208" t="s">
        <v>159</v>
      </c>
    </row>
    <row r="209" spans="9:17" x14ac:dyDescent="0.45">
      <c r="I209" t="s">
        <v>189</v>
      </c>
      <c r="J209" t="s">
        <v>158</v>
      </c>
      <c r="K209">
        <v>1.8257044827977596E-2</v>
      </c>
      <c r="L209" t="s">
        <v>159</v>
      </c>
      <c r="N209" t="s">
        <v>232</v>
      </c>
      <c r="O209" t="s">
        <v>158</v>
      </c>
      <c r="P209">
        <v>0.14469431173377667</v>
      </c>
      <c r="Q209" t="s">
        <v>159</v>
      </c>
    </row>
    <row r="210" spans="9:17" x14ac:dyDescent="0.45">
      <c r="I210" t="s">
        <v>189</v>
      </c>
      <c r="J210" t="s">
        <v>160</v>
      </c>
      <c r="K210">
        <v>0.44262488009571788</v>
      </c>
      <c r="L210" t="s">
        <v>159</v>
      </c>
      <c r="N210" t="s">
        <v>232</v>
      </c>
      <c r="O210" t="s">
        <v>160</v>
      </c>
      <c r="P210">
        <v>0.10514674076826604</v>
      </c>
      <c r="Q210" t="s">
        <v>159</v>
      </c>
    </row>
    <row r="211" spans="9:17" x14ac:dyDescent="0.45">
      <c r="I211" t="s">
        <v>189</v>
      </c>
      <c r="J211" t="s">
        <v>161</v>
      </c>
      <c r="K211">
        <v>2.0530750544863738E-2</v>
      </c>
      <c r="L211" t="s">
        <v>159</v>
      </c>
      <c r="N211" t="s">
        <v>232</v>
      </c>
      <c r="O211" t="s">
        <v>161</v>
      </c>
      <c r="P211">
        <v>0.13894500119487724</v>
      </c>
      <c r="Q211" t="s">
        <v>159</v>
      </c>
    </row>
    <row r="212" spans="9:17" x14ac:dyDescent="0.45">
      <c r="I212" t="s">
        <v>189</v>
      </c>
      <c r="J212" t="s">
        <v>162</v>
      </c>
      <c r="K212">
        <v>5.7869341197491872E-4</v>
      </c>
      <c r="L212" t="s">
        <v>159</v>
      </c>
      <c r="N212" t="s">
        <v>232</v>
      </c>
      <c r="O212" t="s">
        <v>162</v>
      </c>
      <c r="P212">
        <v>4.7875856560716953E-2</v>
      </c>
      <c r="Q212" t="s">
        <v>159</v>
      </c>
    </row>
    <row r="213" spans="9:17" x14ac:dyDescent="0.45">
      <c r="I213" t="s">
        <v>189</v>
      </c>
      <c r="J213" t="s">
        <v>163</v>
      </c>
      <c r="K213">
        <v>0.12757065985018035</v>
      </c>
      <c r="L213" t="s">
        <v>159</v>
      </c>
      <c r="N213" t="s">
        <v>232</v>
      </c>
      <c r="O213" t="s">
        <v>163</v>
      </c>
      <c r="P213">
        <v>3.9998044936251795E-2</v>
      </c>
      <c r="Q213" t="s">
        <v>159</v>
      </c>
    </row>
    <row r="214" spans="9:17" x14ac:dyDescent="0.45">
      <c r="I214" t="s">
        <v>189</v>
      </c>
      <c r="J214" t="s">
        <v>164</v>
      </c>
      <c r="K214">
        <v>6.4730909449733399E-4</v>
      </c>
      <c r="L214" t="s">
        <v>159</v>
      </c>
      <c r="N214" t="s">
        <v>232</v>
      </c>
      <c r="O214" t="s">
        <v>164</v>
      </c>
      <c r="P214">
        <v>4.5667799717719643E-2</v>
      </c>
      <c r="Q214" t="s">
        <v>159</v>
      </c>
    </row>
    <row r="215" spans="9:17" x14ac:dyDescent="0.45">
      <c r="I215" t="s">
        <v>189</v>
      </c>
      <c r="J215" t="s">
        <v>165</v>
      </c>
      <c r="K215">
        <v>2.5112453456526813E-2</v>
      </c>
      <c r="L215" t="s">
        <v>159</v>
      </c>
      <c r="N215" t="s">
        <v>232</v>
      </c>
      <c r="O215" t="s">
        <v>165</v>
      </c>
      <c r="P215">
        <v>0.16175334121732682</v>
      </c>
      <c r="Q215" t="s">
        <v>159</v>
      </c>
    </row>
    <row r="216" spans="9:17" x14ac:dyDescent="0.45">
      <c r="I216" t="s">
        <v>189</v>
      </c>
      <c r="J216" t="s">
        <v>166</v>
      </c>
      <c r="K216">
        <v>0.34708175647342843</v>
      </c>
      <c r="L216" t="s">
        <v>159</v>
      </c>
      <c r="N216" t="s">
        <v>232</v>
      </c>
      <c r="O216" t="s">
        <v>166</v>
      </c>
      <c r="P216">
        <v>0.14296267705897281</v>
      </c>
      <c r="Q216" t="s">
        <v>159</v>
      </c>
    </row>
    <row r="217" spans="9:17" x14ac:dyDescent="0.45">
      <c r="I217" t="s">
        <v>189</v>
      </c>
      <c r="J217" t="s">
        <v>167</v>
      </c>
      <c r="K217">
        <v>1.7596452244835286E-2</v>
      </c>
      <c r="L217" t="s">
        <v>159</v>
      </c>
      <c r="N217" t="s">
        <v>232</v>
      </c>
      <c r="O217" t="s">
        <v>167</v>
      </c>
      <c r="P217">
        <v>0.1729562268120948</v>
      </c>
      <c r="Q217" t="s">
        <v>159</v>
      </c>
    </row>
    <row r="218" spans="9:17" x14ac:dyDescent="0.45">
      <c r="I218" t="s">
        <v>190</v>
      </c>
      <c r="J218" t="s">
        <v>158</v>
      </c>
      <c r="K218">
        <v>2.1644621561994586E-2</v>
      </c>
      <c r="L218" t="s">
        <v>159</v>
      </c>
      <c r="N218" t="s">
        <v>233</v>
      </c>
      <c r="O218" t="s">
        <v>158</v>
      </c>
      <c r="P218">
        <v>0.16594832210584304</v>
      </c>
      <c r="Q218" t="s">
        <v>159</v>
      </c>
    </row>
    <row r="219" spans="9:17" x14ac:dyDescent="0.45">
      <c r="I219" t="s">
        <v>190</v>
      </c>
      <c r="J219" t="s">
        <v>160</v>
      </c>
      <c r="K219">
        <v>0.43429645442438508</v>
      </c>
      <c r="L219" t="s">
        <v>159</v>
      </c>
      <c r="N219" t="s">
        <v>233</v>
      </c>
      <c r="O219" t="s">
        <v>160</v>
      </c>
      <c r="P219">
        <v>9.9591627973778088E-2</v>
      </c>
      <c r="Q219" t="s">
        <v>159</v>
      </c>
    </row>
    <row r="220" spans="9:17" x14ac:dyDescent="0.45">
      <c r="I220" t="s">
        <v>190</v>
      </c>
      <c r="J220" t="s">
        <v>161</v>
      </c>
      <c r="K220">
        <v>2.4201642764798335E-2</v>
      </c>
      <c r="L220" t="s">
        <v>159</v>
      </c>
      <c r="N220" t="s">
        <v>233</v>
      </c>
      <c r="O220" t="s">
        <v>161</v>
      </c>
      <c r="P220">
        <v>0.1017285156159777</v>
      </c>
      <c r="Q220" t="s">
        <v>159</v>
      </c>
    </row>
    <row r="221" spans="9:17" x14ac:dyDescent="0.45">
      <c r="I221" t="s">
        <v>190</v>
      </c>
      <c r="J221" t="s">
        <v>162</v>
      </c>
      <c r="K221">
        <v>1.0695117393688745E-3</v>
      </c>
      <c r="L221" t="s">
        <v>159</v>
      </c>
      <c r="N221" t="s">
        <v>233</v>
      </c>
      <c r="O221" t="s">
        <v>162</v>
      </c>
      <c r="P221">
        <v>6.3495271905669379E-2</v>
      </c>
      <c r="Q221" t="s">
        <v>159</v>
      </c>
    </row>
    <row r="222" spans="9:17" x14ac:dyDescent="0.45">
      <c r="I222" t="s">
        <v>190</v>
      </c>
      <c r="J222" t="s">
        <v>163</v>
      </c>
      <c r="K222">
        <v>0.12336127872793724</v>
      </c>
      <c r="L222" t="s">
        <v>159</v>
      </c>
      <c r="N222" t="s">
        <v>233</v>
      </c>
      <c r="O222" t="s">
        <v>163</v>
      </c>
      <c r="P222">
        <v>4.0218814987961087E-2</v>
      </c>
      <c r="Q222" t="s">
        <v>159</v>
      </c>
    </row>
    <row r="223" spans="9:17" x14ac:dyDescent="0.45">
      <c r="I223" t="s">
        <v>190</v>
      </c>
      <c r="J223" t="s">
        <v>164</v>
      </c>
      <c r="K223">
        <v>1.19122940205679E-3</v>
      </c>
      <c r="L223" t="s">
        <v>159</v>
      </c>
      <c r="N223" t="s">
        <v>233</v>
      </c>
      <c r="O223" t="s">
        <v>164</v>
      </c>
      <c r="P223">
        <v>4.6268757124044275E-2</v>
      </c>
      <c r="Q223" t="s">
        <v>159</v>
      </c>
    </row>
    <row r="224" spans="9:17" x14ac:dyDescent="0.45">
      <c r="I224" t="s">
        <v>190</v>
      </c>
      <c r="J224" t="s">
        <v>165</v>
      </c>
      <c r="K224">
        <v>2.8344079047661973E-2</v>
      </c>
      <c r="L224" t="s">
        <v>159</v>
      </c>
      <c r="N224" t="s">
        <v>233</v>
      </c>
      <c r="O224" t="s">
        <v>165</v>
      </c>
      <c r="P224">
        <v>0.19552791871271541</v>
      </c>
      <c r="Q224" t="s">
        <v>159</v>
      </c>
    </row>
    <row r="225" spans="9:17" x14ac:dyDescent="0.45">
      <c r="I225" t="s">
        <v>190</v>
      </c>
      <c r="J225" t="s">
        <v>166</v>
      </c>
      <c r="K225">
        <v>0.34750251053211234</v>
      </c>
      <c r="L225" t="s">
        <v>159</v>
      </c>
      <c r="N225" t="s">
        <v>233</v>
      </c>
      <c r="O225" t="s">
        <v>166</v>
      </c>
      <c r="P225">
        <v>0.14376436325498365</v>
      </c>
      <c r="Q225" t="s">
        <v>159</v>
      </c>
    </row>
    <row r="226" spans="9:17" x14ac:dyDescent="0.45">
      <c r="I226" t="s">
        <v>190</v>
      </c>
      <c r="J226" t="s">
        <v>167</v>
      </c>
      <c r="K226">
        <v>1.8388671799687145E-2</v>
      </c>
      <c r="L226" t="s">
        <v>159</v>
      </c>
      <c r="N226" t="s">
        <v>233</v>
      </c>
      <c r="O226" t="s">
        <v>167</v>
      </c>
      <c r="P226">
        <v>0.14345640831903017</v>
      </c>
      <c r="Q226" t="s">
        <v>159</v>
      </c>
    </row>
    <row r="227" spans="9:17" x14ac:dyDescent="0.45">
      <c r="I227" t="s">
        <v>191</v>
      </c>
      <c r="J227" t="s">
        <v>158</v>
      </c>
      <c r="K227">
        <v>1.9313758249215867E-2</v>
      </c>
      <c r="L227" t="s">
        <v>159</v>
      </c>
      <c r="N227" t="s">
        <v>234</v>
      </c>
      <c r="O227" t="s">
        <v>158</v>
      </c>
      <c r="P227">
        <v>0.15322919686751127</v>
      </c>
      <c r="Q227" t="s">
        <v>159</v>
      </c>
    </row>
    <row r="228" spans="9:17" x14ac:dyDescent="0.45">
      <c r="I228" t="s">
        <v>191</v>
      </c>
      <c r="J228" t="s">
        <v>160</v>
      </c>
      <c r="K228">
        <v>0.43263610787693402</v>
      </c>
      <c r="L228" t="s">
        <v>159</v>
      </c>
      <c r="N228" t="s">
        <v>234</v>
      </c>
      <c r="O228" t="s">
        <v>160</v>
      </c>
      <c r="P228">
        <v>0.10077977870078082</v>
      </c>
      <c r="Q228" t="s">
        <v>159</v>
      </c>
    </row>
    <row r="229" spans="9:17" x14ac:dyDescent="0.45">
      <c r="I229" t="s">
        <v>191</v>
      </c>
      <c r="J229" t="s">
        <v>161</v>
      </c>
      <c r="K229">
        <v>2.6943873707750587E-2</v>
      </c>
      <c r="L229" t="s">
        <v>159</v>
      </c>
      <c r="N229" t="s">
        <v>234</v>
      </c>
      <c r="O229" t="s">
        <v>161</v>
      </c>
      <c r="P229">
        <v>0.10865649267564118</v>
      </c>
      <c r="Q229" t="s">
        <v>159</v>
      </c>
    </row>
    <row r="230" spans="9:17" x14ac:dyDescent="0.45">
      <c r="I230" t="s">
        <v>191</v>
      </c>
      <c r="J230" t="s">
        <v>162</v>
      </c>
      <c r="K230">
        <v>3.6328728876483155E-4</v>
      </c>
      <c r="L230" t="s">
        <v>159</v>
      </c>
      <c r="N230" t="s">
        <v>234</v>
      </c>
      <c r="O230" t="s">
        <v>162</v>
      </c>
      <c r="P230">
        <v>6.2645452961212586E-2</v>
      </c>
      <c r="Q230" t="s">
        <v>159</v>
      </c>
    </row>
    <row r="231" spans="9:17" x14ac:dyDescent="0.45">
      <c r="I231" t="s">
        <v>191</v>
      </c>
      <c r="J231" t="s">
        <v>163</v>
      </c>
      <c r="K231">
        <v>0.12314951786041188</v>
      </c>
      <c r="L231" t="s">
        <v>159</v>
      </c>
      <c r="N231" t="s">
        <v>234</v>
      </c>
      <c r="O231" t="s">
        <v>163</v>
      </c>
      <c r="P231">
        <v>4.3590780676368353E-2</v>
      </c>
      <c r="Q231" t="s">
        <v>159</v>
      </c>
    </row>
    <row r="232" spans="9:17" x14ac:dyDescent="0.45">
      <c r="I232" t="s">
        <v>191</v>
      </c>
      <c r="J232" t="s">
        <v>164</v>
      </c>
      <c r="K232">
        <v>2.4611285133283342E-3</v>
      </c>
      <c r="L232" t="s">
        <v>159</v>
      </c>
      <c r="N232" t="s">
        <v>234</v>
      </c>
      <c r="O232" t="s">
        <v>164</v>
      </c>
      <c r="P232">
        <v>5.0251708572907818E-2</v>
      </c>
      <c r="Q232" t="s">
        <v>159</v>
      </c>
    </row>
    <row r="233" spans="9:17" x14ac:dyDescent="0.45">
      <c r="I233" t="s">
        <v>191</v>
      </c>
      <c r="J233" t="s">
        <v>165</v>
      </c>
      <c r="K233">
        <v>2.6353748542101877E-2</v>
      </c>
      <c r="L233" t="s">
        <v>159</v>
      </c>
      <c r="N233" t="s">
        <v>234</v>
      </c>
      <c r="O233" t="s">
        <v>165</v>
      </c>
      <c r="P233">
        <v>0.16162028579562968</v>
      </c>
      <c r="Q233" t="s">
        <v>159</v>
      </c>
    </row>
    <row r="234" spans="9:17" x14ac:dyDescent="0.45">
      <c r="I234" t="s">
        <v>191</v>
      </c>
      <c r="J234" t="s">
        <v>166</v>
      </c>
      <c r="K234">
        <v>0.34897547776812715</v>
      </c>
      <c r="L234" t="s">
        <v>159</v>
      </c>
      <c r="N234" t="s">
        <v>234</v>
      </c>
      <c r="O234" t="s">
        <v>166</v>
      </c>
      <c r="P234">
        <v>0.17205832791885703</v>
      </c>
      <c r="Q234" t="s">
        <v>159</v>
      </c>
    </row>
    <row r="235" spans="9:17" x14ac:dyDescent="0.45">
      <c r="I235" t="s">
        <v>191</v>
      </c>
      <c r="J235" t="s">
        <v>167</v>
      </c>
      <c r="K235">
        <v>1.9803100193365758E-2</v>
      </c>
      <c r="L235" t="s">
        <v>159</v>
      </c>
      <c r="N235" t="s">
        <v>234</v>
      </c>
      <c r="O235" t="s">
        <v>167</v>
      </c>
      <c r="P235">
        <v>0.14716797583109109</v>
      </c>
      <c r="Q235" t="s">
        <v>159</v>
      </c>
    </row>
    <row r="236" spans="9:17" x14ac:dyDescent="0.45">
      <c r="I236" t="s">
        <v>192</v>
      </c>
      <c r="J236" t="s">
        <v>158</v>
      </c>
      <c r="K236">
        <v>1.4717344735170028E-2</v>
      </c>
      <c r="L236" t="s">
        <v>159</v>
      </c>
      <c r="N236" t="s">
        <v>235</v>
      </c>
      <c r="O236" t="s">
        <v>158</v>
      </c>
      <c r="P236">
        <v>0.14347854093379542</v>
      </c>
      <c r="Q236" t="s">
        <v>159</v>
      </c>
    </row>
    <row r="237" spans="9:17" x14ac:dyDescent="0.45">
      <c r="I237" t="s">
        <v>192</v>
      </c>
      <c r="J237" t="s">
        <v>160</v>
      </c>
      <c r="K237">
        <v>0.42803143769837193</v>
      </c>
      <c r="L237" t="s">
        <v>159</v>
      </c>
      <c r="N237" t="s">
        <v>235</v>
      </c>
      <c r="O237" t="s">
        <v>160</v>
      </c>
      <c r="P237">
        <v>9.2521085185320803E-2</v>
      </c>
      <c r="Q237" t="s">
        <v>159</v>
      </c>
    </row>
    <row r="238" spans="9:17" x14ac:dyDescent="0.45">
      <c r="I238" t="s">
        <v>192</v>
      </c>
      <c r="J238" t="s">
        <v>161</v>
      </c>
      <c r="K238">
        <v>2.268083387007808E-2</v>
      </c>
      <c r="L238" t="s">
        <v>159</v>
      </c>
      <c r="N238" t="s">
        <v>235</v>
      </c>
      <c r="O238" t="s">
        <v>161</v>
      </c>
      <c r="P238">
        <v>0.13513228113486531</v>
      </c>
      <c r="Q238" t="s">
        <v>159</v>
      </c>
    </row>
    <row r="239" spans="9:17" x14ac:dyDescent="0.45">
      <c r="I239" t="s">
        <v>192</v>
      </c>
      <c r="J239" t="s">
        <v>162</v>
      </c>
      <c r="K239">
        <v>1.6045822243098085E-5</v>
      </c>
      <c r="L239" t="s">
        <v>159</v>
      </c>
      <c r="N239" t="s">
        <v>235</v>
      </c>
      <c r="O239" t="s">
        <v>162</v>
      </c>
      <c r="P239">
        <v>5.5456394517787638E-2</v>
      </c>
      <c r="Q239" t="s">
        <v>159</v>
      </c>
    </row>
    <row r="240" spans="9:17" x14ac:dyDescent="0.45">
      <c r="I240" t="s">
        <v>192</v>
      </c>
      <c r="J240" t="s">
        <v>163</v>
      </c>
      <c r="K240">
        <v>0.1300735877709171</v>
      </c>
      <c r="L240" t="s">
        <v>159</v>
      </c>
      <c r="N240" t="s">
        <v>235</v>
      </c>
      <c r="O240" t="s">
        <v>163</v>
      </c>
      <c r="P240">
        <v>3.9481180868599461E-2</v>
      </c>
      <c r="Q240" t="s">
        <v>159</v>
      </c>
    </row>
    <row r="241" spans="9:17" x14ac:dyDescent="0.45">
      <c r="I241" t="s">
        <v>192</v>
      </c>
      <c r="J241" t="s">
        <v>164</v>
      </c>
      <c r="K241">
        <v>2.2817108839325749E-3</v>
      </c>
      <c r="L241" t="s">
        <v>159</v>
      </c>
      <c r="N241" t="s">
        <v>235</v>
      </c>
      <c r="O241" t="s">
        <v>164</v>
      </c>
      <c r="P241">
        <v>5.3639481163440729E-2</v>
      </c>
      <c r="Q241" t="s">
        <v>159</v>
      </c>
    </row>
    <row r="242" spans="9:17" x14ac:dyDescent="0.45">
      <c r="I242" t="s">
        <v>192</v>
      </c>
      <c r="J242" t="s">
        <v>165</v>
      </c>
      <c r="K242">
        <v>2.3535834362225047E-2</v>
      </c>
      <c r="L242" t="s">
        <v>159</v>
      </c>
      <c r="N242" t="s">
        <v>235</v>
      </c>
      <c r="O242" t="s">
        <v>165</v>
      </c>
      <c r="P242">
        <v>0.16526955693443579</v>
      </c>
      <c r="Q242" t="s">
        <v>159</v>
      </c>
    </row>
    <row r="243" spans="9:17" x14ac:dyDescent="0.45">
      <c r="I243" t="s">
        <v>192</v>
      </c>
      <c r="J243" t="s">
        <v>166</v>
      </c>
      <c r="K243">
        <v>0.35962791972467983</v>
      </c>
      <c r="L243" t="s">
        <v>159</v>
      </c>
      <c r="N243" t="s">
        <v>235</v>
      </c>
      <c r="O243" t="s">
        <v>166</v>
      </c>
      <c r="P243">
        <v>0.13517383275282616</v>
      </c>
      <c r="Q243" t="s">
        <v>159</v>
      </c>
    </row>
    <row r="244" spans="9:17" x14ac:dyDescent="0.45">
      <c r="I244" t="s">
        <v>192</v>
      </c>
      <c r="J244" t="s">
        <v>167</v>
      </c>
      <c r="K244">
        <v>1.9035285132384901E-2</v>
      </c>
      <c r="L244" t="s">
        <v>159</v>
      </c>
      <c r="N244" t="s">
        <v>235</v>
      </c>
      <c r="O244" t="s">
        <v>167</v>
      </c>
      <c r="P244">
        <v>0.17984764650892876</v>
      </c>
      <c r="Q244" t="s">
        <v>159</v>
      </c>
    </row>
    <row r="245" spans="9:17" x14ac:dyDescent="0.45">
      <c r="I245" t="s">
        <v>193</v>
      </c>
      <c r="J245" t="s">
        <v>158</v>
      </c>
      <c r="K245">
        <v>1.4502350266071077E-2</v>
      </c>
      <c r="L245" t="s">
        <v>159</v>
      </c>
      <c r="N245" t="s">
        <v>236</v>
      </c>
      <c r="O245" t="s">
        <v>158</v>
      </c>
      <c r="P245">
        <v>0.17042214584739723</v>
      </c>
      <c r="Q245" t="s">
        <v>159</v>
      </c>
    </row>
    <row r="246" spans="9:17" x14ac:dyDescent="0.45">
      <c r="I246" t="s">
        <v>193</v>
      </c>
      <c r="J246" t="s">
        <v>160</v>
      </c>
      <c r="K246">
        <v>0.42741784907345926</v>
      </c>
      <c r="L246" t="s">
        <v>159</v>
      </c>
      <c r="N246" t="s">
        <v>236</v>
      </c>
      <c r="O246" t="s">
        <v>160</v>
      </c>
      <c r="P246">
        <v>0.10674804248023032</v>
      </c>
      <c r="Q246" t="s">
        <v>159</v>
      </c>
    </row>
    <row r="247" spans="9:17" x14ac:dyDescent="0.45">
      <c r="I247" t="s">
        <v>193</v>
      </c>
      <c r="J247" t="s">
        <v>161</v>
      </c>
      <c r="K247">
        <v>2.1848737846325243E-2</v>
      </c>
      <c r="L247" t="s">
        <v>159</v>
      </c>
      <c r="N247" t="s">
        <v>236</v>
      </c>
      <c r="O247" t="s">
        <v>161</v>
      </c>
      <c r="P247">
        <v>0.1076377018978255</v>
      </c>
      <c r="Q247" t="s">
        <v>159</v>
      </c>
    </row>
    <row r="248" spans="9:17" x14ac:dyDescent="0.45">
      <c r="I248" t="s">
        <v>193</v>
      </c>
      <c r="J248" t="s">
        <v>162</v>
      </c>
      <c r="K248">
        <v>0</v>
      </c>
      <c r="L248" t="s">
        <v>159</v>
      </c>
      <c r="N248" t="s">
        <v>236</v>
      </c>
      <c r="O248" t="s">
        <v>162</v>
      </c>
      <c r="P248">
        <v>6.7294516611223473E-2</v>
      </c>
      <c r="Q248" t="s">
        <v>159</v>
      </c>
    </row>
    <row r="249" spans="9:17" x14ac:dyDescent="0.45">
      <c r="I249" t="s">
        <v>193</v>
      </c>
      <c r="J249" t="s">
        <v>163</v>
      </c>
      <c r="K249">
        <v>0.12818486695336545</v>
      </c>
      <c r="L249" t="s">
        <v>159</v>
      </c>
      <c r="N249" t="s">
        <v>236</v>
      </c>
      <c r="O249" t="s">
        <v>163</v>
      </c>
      <c r="P249">
        <v>5.1094522154551347E-2</v>
      </c>
      <c r="Q249" t="s">
        <v>159</v>
      </c>
    </row>
    <row r="250" spans="9:17" x14ac:dyDescent="0.45">
      <c r="I250" t="s">
        <v>193</v>
      </c>
      <c r="J250" t="s">
        <v>164</v>
      </c>
      <c r="K250">
        <v>1.4366884213270741E-3</v>
      </c>
      <c r="L250" t="s">
        <v>159</v>
      </c>
      <c r="N250" t="s">
        <v>236</v>
      </c>
      <c r="O250" t="s">
        <v>164</v>
      </c>
      <c r="P250">
        <v>4.0457190300546605E-2</v>
      </c>
      <c r="Q250" t="s">
        <v>159</v>
      </c>
    </row>
    <row r="251" spans="9:17" x14ac:dyDescent="0.45">
      <c r="I251" t="s">
        <v>193</v>
      </c>
      <c r="J251" t="s">
        <v>165</v>
      </c>
      <c r="K251">
        <v>2.3040175799696583E-2</v>
      </c>
      <c r="L251" t="s">
        <v>159</v>
      </c>
      <c r="N251" t="s">
        <v>236</v>
      </c>
      <c r="O251" t="s">
        <v>165</v>
      </c>
      <c r="P251">
        <v>0.1815055853533365</v>
      </c>
      <c r="Q251" t="s">
        <v>159</v>
      </c>
    </row>
    <row r="252" spans="9:17" x14ac:dyDescent="0.45">
      <c r="I252" t="s">
        <v>193</v>
      </c>
      <c r="J252" t="s">
        <v>166</v>
      </c>
      <c r="K252">
        <v>0.36395579378198101</v>
      </c>
      <c r="L252" t="s">
        <v>159</v>
      </c>
      <c r="N252" t="s">
        <v>236</v>
      </c>
      <c r="O252" t="s">
        <v>166</v>
      </c>
      <c r="P252">
        <v>0.1563481288191671</v>
      </c>
      <c r="Q252" t="s">
        <v>159</v>
      </c>
    </row>
    <row r="253" spans="9:17" x14ac:dyDescent="0.45">
      <c r="I253" t="s">
        <v>193</v>
      </c>
      <c r="J253" t="s">
        <v>167</v>
      </c>
      <c r="K253">
        <v>1.9613537857774796E-2</v>
      </c>
      <c r="L253" t="s">
        <v>159</v>
      </c>
      <c r="N253" t="s">
        <v>236</v>
      </c>
      <c r="O253" t="s">
        <v>167</v>
      </c>
      <c r="P253">
        <v>0.11849216653572174</v>
      </c>
      <c r="Q253" t="s">
        <v>159</v>
      </c>
    </row>
    <row r="254" spans="9:17" x14ac:dyDescent="0.45">
      <c r="I254" t="s">
        <v>194</v>
      </c>
      <c r="J254" t="s">
        <v>158</v>
      </c>
      <c r="K254">
        <v>1.9063346255175827E-2</v>
      </c>
      <c r="L254" t="s">
        <v>159</v>
      </c>
      <c r="N254" t="s">
        <v>237</v>
      </c>
      <c r="O254" t="s">
        <v>158</v>
      </c>
      <c r="P254">
        <v>0.16775983045880299</v>
      </c>
      <c r="Q254" t="s">
        <v>159</v>
      </c>
    </row>
    <row r="255" spans="9:17" x14ac:dyDescent="0.45">
      <c r="I255" t="s">
        <v>194</v>
      </c>
      <c r="J255" t="s">
        <v>160</v>
      </c>
      <c r="K255">
        <v>0.43033415844069373</v>
      </c>
      <c r="L255" t="s">
        <v>159</v>
      </c>
      <c r="N255" t="s">
        <v>237</v>
      </c>
      <c r="O255" t="s">
        <v>160</v>
      </c>
      <c r="P255">
        <v>0.10802588432869259</v>
      </c>
      <c r="Q255" t="s">
        <v>159</v>
      </c>
    </row>
    <row r="256" spans="9:17" x14ac:dyDescent="0.45">
      <c r="I256" t="s">
        <v>194</v>
      </c>
      <c r="J256" t="s">
        <v>161</v>
      </c>
      <c r="K256">
        <v>1.9577809303317342E-2</v>
      </c>
      <c r="L256" t="s">
        <v>159</v>
      </c>
      <c r="N256" t="s">
        <v>237</v>
      </c>
      <c r="O256" t="s">
        <v>161</v>
      </c>
      <c r="P256">
        <v>9.4119551163960619E-2</v>
      </c>
      <c r="Q256" t="s">
        <v>159</v>
      </c>
    </row>
    <row r="257" spans="9:17" x14ac:dyDescent="0.45">
      <c r="I257" t="s">
        <v>194</v>
      </c>
      <c r="J257" t="s">
        <v>162</v>
      </c>
      <c r="K257">
        <v>2.5782690147812534E-4</v>
      </c>
      <c r="L257" t="s">
        <v>159</v>
      </c>
      <c r="N257" t="s">
        <v>237</v>
      </c>
      <c r="O257" t="s">
        <v>162</v>
      </c>
      <c r="P257">
        <v>7.5022809693496686E-2</v>
      </c>
      <c r="Q257" t="s">
        <v>159</v>
      </c>
    </row>
    <row r="258" spans="9:17" x14ac:dyDescent="0.45">
      <c r="I258" t="s">
        <v>194</v>
      </c>
      <c r="J258" t="s">
        <v>163</v>
      </c>
      <c r="K258">
        <v>0.1219405762932812</v>
      </c>
      <c r="L258" t="s">
        <v>159</v>
      </c>
      <c r="N258" t="s">
        <v>237</v>
      </c>
      <c r="O258" t="s">
        <v>163</v>
      </c>
      <c r="P258">
        <v>5.7160549244286783E-2</v>
      </c>
      <c r="Q258" t="s">
        <v>159</v>
      </c>
    </row>
    <row r="259" spans="9:17" x14ac:dyDescent="0.45">
      <c r="I259" t="s">
        <v>194</v>
      </c>
      <c r="J259" t="s">
        <v>164</v>
      </c>
      <c r="K259">
        <v>0</v>
      </c>
      <c r="L259" t="s">
        <v>159</v>
      </c>
      <c r="N259" t="s">
        <v>237</v>
      </c>
      <c r="O259" t="s">
        <v>164</v>
      </c>
      <c r="P259">
        <v>4.7162714777555008E-2</v>
      </c>
      <c r="Q259" t="s">
        <v>159</v>
      </c>
    </row>
    <row r="260" spans="9:17" x14ac:dyDescent="0.45">
      <c r="I260" t="s">
        <v>194</v>
      </c>
      <c r="J260" t="s">
        <v>165</v>
      </c>
      <c r="K260">
        <v>2.79344343751705E-2</v>
      </c>
      <c r="L260" t="s">
        <v>159</v>
      </c>
      <c r="N260" t="s">
        <v>237</v>
      </c>
      <c r="O260" t="s">
        <v>165</v>
      </c>
      <c r="P260">
        <v>0.17997922845894773</v>
      </c>
      <c r="Q260" t="s">
        <v>159</v>
      </c>
    </row>
    <row r="261" spans="9:17" x14ac:dyDescent="0.45">
      <c r="I261" t="s">
        <v>194</v>
      </c>
      <c r="J261" t="s">
        <v>166</v>
      </c>
      <c r="K261">
        <v>0.36425845212313557</v>
      </c>
      <c r="L261" t="s">
        <v>159</v>
      </c>
      <c r="N261" t="s">
        <v>237</v>
      </c>
      <c r="O261" t="s">
        <v>166</v>
      </c>
      <c r="P261">
        <v>0.16069131674454015</v>
      </c>
      <c r="Q261" t="s">
        <v>159</v>
      </c>
    </row>
    <row r="262" spans="9:17" x14ac:dyDescent="0.45">
      <c r="I262" t="s">
        <v>194</v>
      </c>
      <c r="J262" t="s">
        <v>167</v>
      </c>
      <c r="K262">
        <v>1.6633396307746681E-2</v>
      </c>
      <c r="L262" t="s">
        <v>159</v>
      </c>
      <c r="N262" t="s">
        <v>237</v>
      </c>
      <c r="O262" t="s">
        <v>167</v>
      </c>
      <c r="P262">
        <v>0.11007811512971727</v>
      </c>
      <c r="Q262" t="s">
        <v>159</v>
      </c>
    </row>
    <row r="263" spans="9:17" x14ac:dyDescent="0.45">
      <c r="I263" t="s">
        <v>195</v>
      </c>
      <c r="J263" t="s">
        <v>158</v>
      </c>
      <c r="K263">
        <v>1.6204985366869307E-2</v>
      </c>
      <c r="L263" t="s">
        <v>159</v>
      </c>
      <c r="N263" t="s">
        <v>238</v>
      </c>
      <c r="O263" t="s">
        <v>158</v>
      </c>
      <c r="P263">
        <v>0.16873589967636884</v>
      </c>
      <c r="Q263" t="s">
        <v>159</v>
      </c>
    </row>
    <row r="264" spans="9:17" x14ac:dyDescent="0.45">
      <c r="I264" t="s">
        <v>195</v>
      </c>
      <c r="J264" t="s">
        <v>160</v>
      </c>
      <c r="K264">
        <v>0.430368136325118</v>
      </c>
      <c r="L264" t="s">
        <v>159</v>
      </c>
      <c r="N264" t="s">
        <v>238</v>
      </c>
      <c r="O264" t="s">
        <v>160</v>
      </c>
      <c r="P264">
        <v>0.13551952185181285</v>
      </c>
      <c r="Q264" t="s">
        <v>159</v>
      </c>
    </row>
    <row r="265" spans="9:17" x14ac:dyDescent="0.45">
      <c r="I265" t="s">
        <v>195</v>
      </c>
      <c r="J265" t="s">
        <v>161</v>
      </c>
      <c r="K265">
        <v>1.9170731454143723E-2</v>
      </c>
      <c r="L265" t="s">
        <v>159</v>
      </c>
      <c r="N265" t="s">
        <v>238</v>
      </c>
      <c r="O265" t="s">
        <v>161</v>
      </c>
      <c r="P265">
        <v>0.12609088305072988</v>
      </c>
      <c r="Q265" t="s">
        <v>159</v>
      </c>
    </row>
    <row r="266" spans="9:17" x14ac:dyDescent="0.45">
      <c r="I266" t="s">
        <v>195</v>
      </c>
      <c r="J266" t="s">
        <v>162</v>
      </c>
      <c r="K266">
        <v>6.1474104006414651E-6</v>
      </c>
      <c r="L266" t="s">
        <v>159</v>
      </c>
      <c r="N266" t="s">
        <v>238</v>
      </c>
      <c r="O266" t="s">
        <v>162</v>
      </c>
      <c r="P266">
        <v>5.7259056565942934E-2</v>
      </c>
      <c r="Q266" t="s">
        <v>159</v>
      </c>
    </row>
    <row r="267" spans="9:17" x14ac:dyDescent="0.45">
      <c r="I267" t="s">
        <v>195</v>
      </c>
      <c r="J267" t="s">
        <v>163</v>
      </c>
      <c r="K267">
        <v>0.12889675695775943</v>
      </c>
      <c r="L267" t="s">
        <v>159</v>
      </c>
      <c r="N267" t="s">
        <v>238</v>
      </c>
      <c r="O267" t="s">
        <v>163</v>
      </c>
      <c r="P267">
        <v>6.1348203241894633E-2</v>
      </c>
      <c r="Q267" t="s">
        <v>159</v>
      </c>
    </row>
    <row r="268" spans="9:17" x14ac:dyDescent="0.45">
      <c r="I268" t="s">
        <v>195</v>
      </c>
      <c r="J268" t="s">
        <v>164</v>
      </c>
      <c r="K268">
        <v>2.2087766101491207E-4</v>
      </c>
      <c r="L268" t="s">
        <v>159</v>
      </c>
      <c r="N268" t="s">
        <v>238</v>
      </c>
      <c r="O268" t="s">
        <v>164</v>
      </c>
      <c r="P268">
        <v>4.9184590025882519E-2</v>
      </c>
      <c r="Q268" t="s">
        <v>159</v>
      </c>
    </row>
    <row r="269" spans="9:17" x14ac:dyDescent="0.45">
      <c r="I269" t="s">
        <v>195</v>
      </c>
      <c r="J269" t="s">
        <v>165</v>
      </c>
      <c r="K269">
        <v>2.607997321382105E-2</v>
      </c>
      <c r="L269" t="s">
        <v>159</v>
      </c>
      <c r="N269" t="s">
        <v>238</v>
      </c>
      <c r="O269" t="s">
        <v>165</v>
      </c>
      <c r="P269">
        <v>0.12964206113725155</v>
      </c>
      <c r="Q269" t="s">
        <v>159</v>
      </c>
    </row>
    <row r="270" spans="9:17" x14ac:dyDescent="0.45">
      <c r="I270" t="s">
        <v>195</v>
      </c>
      <c r="J270" t="s">
        <v>166</v>
      </c>
      <c r="K270">
        <v>0.36125269364852347</v>
      </c>
      <c r="L270" t="s">
        <v>159</v>
      </c>
      <c r="N270" t="s">
        <v>238</v>
      </c>
      <c r="O270" t="s">
        <v>166</v>
      </c>
      <c r="P270">
        <v>0.14769172639206413</v>
      </c>
      <c r="Q270" t="s">
        <v>159</v>
      </c>
    </row>
    <row r="271" spans="9:17" x14ac:dyDescent="0.45">
      <c r="I271" t="s">
        <v>195</v>
      </c>
      <c r="J271" t="s">
        <v>167</v>
      </c>
      <c r="K271">
        <v>1.7799697962348749E-2</v>
      </c>
      <c r="L271" t="s">
        <v>159</v>
      </c>
      <c r="N271" t="s">
        <v>238</v>
      </c>
      <c r="O271" t="s">
        <v>167</v>
      </c>
      <c r="P271">
        <v>0.12452805805805105</v>
      </c>
      <c r="Q271" t="s">
        <v>159</v>
      </c>
    </row>
    <row r="272" spans="9:17" x14ac:dyDescent="0.45">
      <c r="I272" t="s">
        <v>196</v>
      </c>
      <c r="J272" t="s">
        <v>158</v>
      </c>
      <c r="K272">
        <v>1.5533904010456165E-2</v>
      </c>
      <c r="L272" t="s">
        <v>159</v>
      </c>
      <c r="N272" t="s">
        <v>239</v>
      </c>
      <c r="O272" t="s">
        <v>158</v>
      </c>
      <c r="P272">
        <v>0.14871977496621369</v>
      </c>
      <c r="Q272" t="s">
        <v>159</v>
      </c>
    </row>
    <row r="273" spans="9:17" x14ac:dyDescent="0.45">
      <c r="I273" t="s">
        <v>196</v>
      </c>
      <c r="J273" t="s">
        <v>160</v>
      </c>
      <c r="K273">
        <v>0.43796747909684003</v>
      </c>
      <c r="L273" t="s">
        <v>159</v>
      </c>
      <c r="N273" t="s">
        <v>239</v>
      </c>
      <c r="O273" t="s">
        <v>160</v>
      </c>
      <c r="P273">
        <v>0.14589123447651547</v>
      </c>
      <c r="Q273" t="s">
        <v>159</v>
      </c>
    </row>
    <row r="274" spans="9:17" x14ac:dyDescent="0.45">
      <c r="I274" t="s">
        <v>196</v>
      </c>
      <c r="J274" t="s">
        <v>161</v>
      </c>
      <c r="K274">
        <v>2.0358035234270551E-2</v>
      </c>
      <c r="L274" t="s">
        <v>159</v>
      </c>
      <c r="N274" t="s">
        <v>239</v>
      </c>
      <c r="O274" t="s">
        <v>161</v>
      </c>
      <c r="P274">
        <v>0.10526528401001638</v>
      </c>
      <c r="Q274" t="s">
        <v>159</v>
      </c>
    </row>
    <row r="275" spans="9:17" x14ac:dyDescent="0.45">
      <c r="I275" t="s">
        <v>196</v>
      </c>
      <c r="J275" t="s">
        <v>162</v>
      </c>
      <c r="K275">
        <v>2.0708751724862626E-4</v>
      </c>
      <c r="L275" t="s">
        <v>159</v>
      </c>
      <c r="N275" t="s">
        <v>239</v>
      </c>
      <c r="O275" t="s">
        <v>162</v>
      </c>
      <c r="P275">
        <v>5.8999418590805632E-2</v>
      </c>
      <c r="Q275" t="s">
        <v>159</v>
      </c>
    </row>
    <row r="276" spans="9:17" x14ac:dyDescent="0.45">
      <c r="I276" t="s">
        <v>196</v>
      </c>
      <c r="J276" t="s">
        <v>163</v>
      </c>
      <c r="K276">
        <v>0.13146018025038467</v>
      </c>
      <c r="L276" t="s">
        <v>159</v>
      </c>
      <c r="N276" t="s">
        <v>239</v>
      </c>
      <c r="O276" t="s">
        <v>163</v>
      </c>
      <c r="P276">
        <v>6.7646076939019584E-2</v>
      </c>
      <c r="Q276" t="s">
        <v>159</v>
      </c>
    </row>
    <row r="277" spans="9:17" x14ac:dyDescent="0.45">
      <c r="I277" t="s">
        <v>196</v>
      </c>
      <c r="J277" t="s">
        <v>164</v>
      </c>
      <c r="K277">
        <v>2.5357818873682832E-4</v>
      </c>
      <c r="L277" t="s">
        <v>159</v>
      </c>
      <c r="N277" t="s">
        <v>239</v>
      </c>
      <c r="O277" t="s">
        <v>164</v>
      </c>
      <c r="P277">
        <v>4.4493277309960062E-2</v>
      </c>
      <c r="Q277" t="s">
        <v>159</v>
      </c>
    </row>
    <row r="278" spans="9:17" x14ac:dyDescent="0.45">
      <c r="I278" t="s">
        <v>196</v>
      </c>
      <c r="J278" t="s">
        <v>165</v>
      </c>
      <c r="K278">
        <v>2.3009012854357802E-2</v>
      </c>
      <c r="L278" t="s">
        <v>159</v>
      </c>
      <c r="N278" t="s">
        <v>239</v>
      </c>
      <c r="O278" t="s">
        <v>165</v>
      </c>
      <c r="P278">
        <v>0.13819197229139282</v>
      </c>
      <c r="Q278" t="s">
        <v>159</v>
      </c>
    </row>
    <row r="279" spans="9:17" x14ac:dyDescent="0.45">
      <c r="I279" t="s">
        <v>196</v>
      </c>
      <c r="J279" t="s">
        <v>166</v>
      </c>
      <c r="K279">
        <v>0.35385395442969647</v>
      </c>
      <c r="L279" t="s">
        <v>159</v>
      </c>
      <c r="N279" t="s">
        <v>239</v>
      </c>
      <c r="O279" t="s">
        <v>166</v>
      </c>
      <c r="P279">
        <v>0.17169574044871691</v>
      </c>
      <c r="Q279" t="s">
        <v>159</v>
      </c>
    </row>
    <row r="280" spans="9:17" x14ac:dyDescent="0.45">
      <c r="I280" t="s">
        <v>196</v>
      </c>
      <c r="J280" t="s">
        <v>167</v>
      </c>
      <c r="K280">
        <v>1.7356768418007717E-2</v>
      </c>
      <c r="L280" t="s">
        <v>159</v>
      </c>
      <c r="N280" t="s">
        <v>239</v>
      </c>
      <c r="O280" t="s">
        <v>167</v>
      </c>
      <c r="P280">
        <v>0.11909722096735939</v>
      </c>
      <c r="Q280" t="s">
        <v>159</v>
      </c>
    </row>
    <row r="281" spans="9:17" x14ac:dyDescent="0.45">
      <c r="I281" t="s">
        <v>197</v>
      </c>
      <c r="J281" t="s">
        <v>158</v>
      </c>
      <c r="K281">
        <v>1.9764591445962019E-2</v>
      </c>
      <c r="L281" t="s">
        <v>159</v>
      </c>
      <c r="N281" t="s">
        <v>240</v>
      </c>
      <c r="O281" t="s">
        <v>158</v>
      </c>
      <c r="P281">
        <v>0.17548873326325734</v>
      </c>
      <c r="Q281" t="s">
        <v>159</v>
      </c>
    </row>
    <row r="282" spans="9:17" x14ac:dyDescent="0.45">
      <c r="I282" t="s">
        <v>197</v>
      </c>
      <c r="J282" t="s">
        <v>160</v>
      </c>
      <c r="K282">
        <v>0.43922189719577459</v>
      </c>
      <c r="L282" t="s">
        <v>159</v>
      </c>
      <c r="N282" t="s">
        <v>240</v>
      </c>
      <c r="O282" t="s">
        <v>160</v>
      </c>
      <c r="P282">
        <v>0.12262170973200341</v>
      </c>
      <c r="Q282" t="s">
        <v>159</v>
      </c>
    </row>
    <row r="283" spans="9:17" x14ac:dyDescent="0.45">
      <c r="I283" t="s">
        <v>197</v>
      </c>
      <c r="J283" t="s">
        <v>161</v>
      </c>
      <c r="K283">
        <v>2.0304889051951422E-2</v>
      </c>
      <c r="L283" t="s">
        <v>159</v>
      </c>
      <c r="N283" t="s">
        <v>240</v>
      </c>
      <c r="O283" t="s">
        <v>161</v>
      </c>
      <c r="P283">
        <v>0.10671843672282945</v>
      </c>
      <c r="Q283" t="s">
        <v>159</v>
      </c>
    </row>
    <row r="284" spans="9:17" x14ac:dyDescent="0.45">
      <c r="I284" t="s">
        <v>197</v>
      </c>
      <c r="J284" t="s">
        <v>162</v>
      </c>
      <c r="K284">
        <v>8.5199709049969829E-4</v>
      </c>
      <c r="L284" t="s">
        <v>159</v>
      </c>
      <c r="N284" t="s">
        <v>240</v>
      </c>
      <c r="O284" t="s">
        <v>162</v>
      </c>
      <c r="P284">
        <v>7.2016184246075726E-2</v>
      </c>
      <c r="Q284" t="s">
        <v>159</v>
      </c>
    </row>
    <row r="285" spans="9:17" x14ac:dyDescent="0.45">
      <c r="I285" t="s">
        <v>197</v>
      </c>
      <c r="J285" t="s">
        <v>163</v>
      </c>
      <c r="K285">
        <v>0.1257302549712872</v>
      </c>
      <c r="L285" t="s">
        <v>159</v>
      </c>
      <c r="N285" t="s">
        <v>240</v>
      </c>
      <c r="O285" t="s">
        <v>163</v>
      </c>
      <c r="P285">
        <v>6.6447728872321463E-2</v>
      </c>
      <c r="Q285" t="s">
        <v>159</v>
      </c>
    </row>
    <row r="286" spans="9:17" x14ac:dyDescent="0.45">
      <c r="I286" t="s">
        <v>197</v>
      </c>
      <c r="J286" t="s">
        <v>164</v>
      </c>
      <c r="K286">
        <v>0</v>
      </c>
      <c r="L286" t="s">
        <v>159</v>
      </c>
      <c r="N286" t="s">
        <v>240</v>
      </c>
      <c r="O286" t="s">
        <v>164</v>
      </c>
      <c r="P286">
        <v>5.126774053090416E-2</v>
      </c>
      <c r="Q286" t="s">
        <v>159</v>
      </c>
    </row>
    <row r="287" spans="9:17" x14ac:dyDescent="0.45">
      <c r="I287" t="s">
        <v>197</v>
      </c>
      <c r="J287" t="s">
        <v>165</v>
      </c>
      <c r="K287">
        <v>2.6311675009296279E-2</v>
      </c>
      <c r="L287" t="s">
        <v>159</v>
      </c>
      <c r="N287" t="s">
        <v>240</v>
      </c>
      <c r="O287" t="s">
        <v>165</v>
      </c>
      <c r="P287">
        <v>0.14897541417567589</v>
      </c>
      <c r="Q287" t="s">
        <v>159</v>
      </c>
    </row>
    <row r="288" spans="9:17" x14ac:dyDescent="0.45">
      <c r="I288" t="s">
        <v>197</v>
      </c>
      <c r="J288" t="s">
        <v>166</v>
      </c>
      <c r="K288">
        <v>0.35137738147326558</v>
      </c>
      <c r="L288" t="s">
        <v>159</v>
      </c>
      <c r="N288" t="s">
        <v>240</v>
      </c>
      <c r="O288" t="s">
        <v>166</v>
      </c>
      <c r="P288">
        <v>0.14475995057825169</v>
      </c>
      <c r="Q288" t="s">
        <v>159</v>
      </c>
    </row>
    <row r="289" spans="9:17" x14ac:dyDescent="0.45">
      <c r="I289" t="s">
        <v>197</v>
      </c>
      <c r="J289" t="s">
        <v>167</v>
      </c>
      <c r="K289">
        <v>1.6437313761960677E-2</v>
      </c>
      <c r="L289" t="s">
        <v>159</v>
      </c>
      <c r="N289" t="s">
        <v>240</v>
      </c>
      <c r="O289" t="s">
        <v>167</v>
      </c>
      <c r="P289">
        <v>0.11170410187868068</v>
      </c>
      <c r="Q289" t="s">
        <v>159</v>
      </c>
    </row>
    <row r="290" spans="9:17" x14ac:dyDescent="0.45">
      <c r="I290" t="s">
        <v>198</v>
      </c>
      <c r="J290" t="s">
        <v>158</v>
      </c>
      <c r="K290">
        <v>1.7126258561731413E-2</v>
      </c>
      <c r="L290" t="s">
        <v>159</v>
      </c>
      <c r="N290" t="s">
        <v>241</v>
      </c>
      <c r="O290" t="s">
        <v>158</v>
      </c>
      <c r="P290">
        <v>0.19169142779309564</v>
      </c>
      <c r="Q290" t="s">
        <v>159</v>
      </c>
    </row>
    <row r="291" spans="9:17" x14ac:dyDescent="0.45">
      <c r="I291" t="s">
        <v>198</v>
      </c>
      <c r="J291" t="s">
        <v>160</v>
      </c>
      <c r="K291">
        <v>0.42447091263380099</v>
      </c>
      <c r="L291" t="s">
        <v>159</v>
      </c>
      <c r="N291" t="s">
        <v>241</v>
      </c>
      <c r="O291" t="s">
        <v>160</v>
      </c>
      <c r="P291">
        <v>0.10353381992453098</v>
      </c>
      <c r="Q291" t="s">
        <v>159</v>
      </c>
    </row>
    <row r="292" spans="9:17" x14ac:dyDescent="0.45">
      <c r="I292" t="s">
        <v>198</v>
      </c>
      <c r="J292" t="s">
        <v>161</v>
      </c>
      <c r="K292">
        <v>1.9256571814204249E-2</v>
      </c>
      <c r="L292" t="s">
        <v>159</v>
      </c>
      <c r="N292" t="s">
        <v>241</v>
      </c>
      <c r="O292" t="s">
        <v>161</v>
      </c>
      <c r="P292">
        <v>0.1083263855151855</v>
      </c>
      <c r="Q292" t="s">
        <v>159</v>
      </c>
    </row>
    <row r="293" spans="9:17" x14ac:dyDescent="0.45">
      <c r="I293" t="s">
        <v>198</v>
      </c>
      <c r="J293" t="s">
        <v>162</v>
      </c>
      <c r="K293">
        <v>0</v>
      </c>
      <c r="L293" t="s">
        <v>159</v>
      </c>
      <c r="N293" t="s">
        <v>241</v>
      </c>
      <c r="O293" t="s">
        <v>162</v>
      </c>
      <c r="P293">
        <v>8.0112401919331333E-2</v>
      </c>
      <c r="Q293" t="s">
        <v>159</v>
      </c>
    </row>
    <row r="294" spans="9:17" x14ac:dyDescent="0.45">
      <c r="I294" t="s">
        <v>198</v>
      </c>
      <c r="J294" t="s">
        <v>163</v>
      </c>
      <c r="K294">
        <v>0.11918502633051048</v>
      </c>
      <c r="L294" t="s">
        <v>159</v>
      </c>
      <c r="N294" t="s">
        <v>241</v>
      </c>
      <c r="O294" t="s">
        <v>163</v>
      </c>
      <c r="P294">
        <v>5.5265933177477099E-2</v>
      </c>
      <c r="Q294" t="s">
        <v>159</v>
      </c>
    </row>
    <row r="295" spans="9:17" x14ac:dyDescent="0.45">
      <c r="I295" t="s">
        <v>198</v>
      </c>
      <c r="J295" t="s">
        <v>164</v>
      </c>
      <c r="K295">
        <v>6.5025514581587974E-5</v>
      </c>
      <c r="L295" t="s">
        <v>159</v>
      </c>
      <c r="N295" t="s">
        <v>241</v>
      </c>
      <c r="O295" t="s">
        <v>164</v>
      </c>
      <c r="P295">
        <v>5.1943034392404858E-2</v>
      </c>
      <c r="Q295" t="s">
        <v>159</v>
      </c>
    </row>
    <row r="296" spans="9:17" x14ac:dyDescent="0.45">
      <c r="I296" t="s">
        <v>198</v>
      </c>
      <c r="J296" t="s">
        <v>165</v>
      </c>
      <c r="K296">
        <v>2.8826097819369668E-2</v>
      </c>
      <c r="L296" t="s">
        <v>159</v>
      </c>
      <c r="N296" t="s">
        <v>241</v>
      </c>
      <c r="O296" t="s">
        <v>165</v>
      </c>
      <c r="P296">
        <v>0.17114434063894862</v>
      </c>
      <c r="Q296" t="s">
        <v>159</v>
      </c>
    </row>
    <row r="297" spans="9:17" x14ac:dyDescent="0.45">
      <c r="I297" t="s">
        <v>198</v>
      </c>
      <c r="J297" t="s">
        <v>166</v>
      </c>
      <c r="K297">
        <v>0.37228260764020743</v>
      </c>
      <c r="L297" t="s">
        <v>159</v>
      </c>
      <c r="N297" t="s">
        <v>241</v>
      </c>
      <c r="O297" t="s">
        <v>166</v>
      </c>
      <c r="P297">
        <v>0.12474011127145004</v>
      </c>
      <c r="Q297" t="s">
        <v>159</v>
      </c>
    </row>
    <row r="298" spans="9:17" x14ac:dyDescent="0.45">
      <c r="I298" t="s">
        <v>198</v>
      </c>
      <c r="J298" t="s">
        <v>167</v>
      </c>
      <c r="K298">
        <v>1.8787499685598764E-2</v>
      </c>
      <c r="L298" t="s">
        <v>159</v>
      </c>
      <c r="N298" t="s">
        <v>241</v>
      </c>
      <c r="O298" t="s">
        <v>167</v>
      </c>
      <c r="P298">
        <v>0.11324254536757321</v>
      </c>
      <c r="Q298" t="s">
        <v>159</v>
      </c>
    </row>
    <row r="299" spans="9:17" x14ac:dyDescent="0.45">
      <c r="I299" t="s">
        <v>199</v>
      </c>
      <c r="J299" t="s">
        <v>158</v>
      </c>
      <c r="K299">
        <v>1.5882018762173957E-2</v>
      </c>
      <c r="L299" t="s">
        <v>159</v>
      </c>
      <c r="N299" t="s">
        <v>242</v>
      </c>
      <c r="O299" t="s">
        <v>158</v>
      </c>
      <c r="P299">
        <v>0.19613709457520595</v>
      </c>
      <c r="Q299" t="s">
        <v>159</v>
      </c>
    </row>
    <row r="300" spans="9:17" x14ac:dyDescent="0.45">
      <c r="I300" t="s">
        <v>199</v>
      </c>
      <c r="J300" t="s">
        <v>160</v>
      </c>
      <c r="K300">
        <v>0.41756836496225413</v>
      </c>
      <c r="L300" t="s">
        <v>159</v>
      </c>
      <c r="N300" t="s">
        <v>242</v>
      </c>
      <c r="O300" t="s">
        <v>160</v>
      </c>
      <c r="P300">
        <v>0.13436991688688896</v>
      </c>
      <c r="Q300" t="s">
        <v>159</v>
      </c>
    </row>
    <row r="301" spans="9:17" x14ac:dyDescent="0.45">
      <c r="I301" t="s">
        <v>199</v>
      </c>
      <c r="J301" t="s">
        <v>161</v>
      </c>
      <c r="K301">
        <v>2.0510954768899036E-2</v>
      </c>
      <c r="L301" t="s">
        <v>159</v>
      </c>
      <c r="N301" t="s">
        <v>242</v>
      </c>
      <c r="O301" t="s">
        <v>161</v>
      </c>
      <c r="P301">
        <v>0.11278372176514388</v>
      </c>
      <c r="Q301" t="s">
        <v>159</v>
      </c>
    </row>
    <row r="302" spans="9:17" x14ac:dyDescent="0.45">
      <c r="I302" t="s">
        <v>199</v>
      </c>
      <c r="J302" t="s">
        <v>162</v>
      </c>
      <c r="K302">
        <v>0</v>
      </c>
      <c r="L302" t="s">
        <v>159</v>
      </c>
      <c r="N302" t="s">
        <v>242</v>
      </c>
      <c r="O302" t="s">
        <v>162</v>
      </c>
      <c r="P302">
        <v>7.2177026151590398E-2</v>
      </c>
      <c r="Q302" t="s">
        <v>159</v>
      </c>
    </row>
    <row r="303" spans="9:17" x14ac:dyDescent="0.45">
      <c r="I303" t="s">
        <v>199</v>
      </c>
      <c r="J303" t="s">
        <v>163</v>
      </c>
      <c r="K303">
        <v>0.1256198872503678</v>
      </c>
      <c r="L303" t="s">
        <v>159</v>
      </c>
      <c r="N303" t="s">
        <v>242</v>
      </c>
      <c r="O303" t="s">
        <v>163</v>
      </c>
      <c r="P303">
        <v>6.2756378886407713E-2</v>
      </c>
      <c r="Q303" t="s">
        <v>159</v>
      </c>
    </row>
    <row r="304" spans="9:17" x14ac:dyDescent="0.45">
      <c r="I304" t="s">
        <v>199</v>
      </c>
      <c r="J304" t="s">
        <v>164</v>
      </c>
      <c r="K304">
        <v>1.5418727412841501E-3</v>
      </c>
      <c r="L304" t="s">
        <v>159</v>
      </c>
      <c r="N304" t="s">
        <v>242</v>
      </c>
      <c r="O304" t="s">
        <v>164</v>
      </c>
      <c r="P304">
        <v>4.4156228687431083E-2</v>
      </c>
      <c r="Q304" t="s">
        <v>159</v>
      </c>
    </row>
    <row r="305" spans="9:17" x14ac:dyDescent="0.45">
      <c r="I305" t="s">
        <v>199</v>
      </c>
      <c r="J305" t="s">
        <v>165</v>
      </c>
      <c r="K305">
        <v>2.8461103167618594E-2</v>
      </c>
      <c r="L305" t="s">
        <v>159</v>
      </c>
      <c r="N305" t="s">
        <v>242</v>
      </c>
      <c r="O305" t="s">
        <v>165</v>
      </c>
      <c r="P305">
        <v>0.15401412658321467</v>
      </c>
      <c r="Q305" t="s">
        <v>159</v>
      </c>
    </row>
    <row r="306" spans="9:17" x14ac:dyDescent="0.45">
      <c r="I306" t="s">
        <v>199</v>
      </c>
      <c r="J306" t="s">
        <v>166</v>
      </c>
      <c r="K306">
        <v>0.36924815313172527</v>
      </c>
      <c r="L306" t="s">
        <v>159</v>
      </c>
      <c r="N306" t="s">
        <v>242</v>
      </c>
      <c r="O306" t="s">
        <v>166</v>
      </c>
      <c r="P306">
        <v>0.11848805349457861</v>
      </c>
      <c r="Q306" t="s">
        <v>159</v>
      </c>
    </row>
    <row r="307" spans="9:17" x14ac:dyDescent="0.45">
      <c r="I307" t="s">
        <v>199</v>
      </c>
      <c r="J307" t="s">
        <v>167</v>
      </c>
      <c r="K307">
        <v>2.1167645215676274E-2</v>
      </c>
      <c r="L307" t="s">
        <v>159</v>
      </c>
      <c r="N307" t="s">
        <v>242</v>
      </c>
      <c r="O307" t="s">
        <v>167</v>
      </c>
      <c r="P307">
        <v>0.10511745296953846</v>
      </c>
      <c r="Q307" t="s">
        <v>159</v>
      </c>
    </row>
    <row r="308" spans="9:17" x14ac:dyDescent="0.45">
      <c r="I308" t="s">
        <v>200</v>
      </c>
      <c r="J308" t="s">
        <v>158</v>
      </c>
      <c r="K308">
        <v>1.3261796628566552E-2</v>
      </c>
      <c r="L308" t="s">
        <v>159</v>
      </c>
      <c r="N308" t="s">
        <v>243</v>
      </c>
      <c r="O308" t="s">
        <v>158</v>
      </c>
      <c r="P308">
        <v>0.17934191201736535</v>
      </c>
      <c r="Q308" t="s">
        <v>159</v>
      </c>
    </row>
    <row r="309" spans="9:17" x14ac:dyDescent="0.45">
      <c r="I309" t="s">
        <v>200</v>
      </c>
      <c r="J309" t="s">
        <v>160</v>
      </c>
      <c r="K309">
        <v>0.41109744052634378</v>
      </c>
      <c r="L309" t="s">
        <v>159</v>
      </c>
      <c r="N309" t="s">
        <v>243</v>
      </c>
      <c r="O309" t="s">
        <v>160</v>
      </c>
      <c r="P309">
        <v>0.16811008606431718</v>
      </c>
      <c r="Q309" t="s">
        <v>159</v>
      </c>
    </row>
    <row r="310" spans="9:17" x14ac:dyDescent="0.45">
      <c r="I310" t="s">
        <v>200</v>
      </c>
      <c r="J310" t="s">
        <v>161</v>
      </c>
      <c r="K310">
        <v>2.2952865985375562E-2</v>
      </c>
      <c r="L310" t="s">
        <v>159</v>
      </c>
      <c r="N310" t="s">
        <v>243</v>
      </c>
      <c r="O310" t="s">
        <v>161</v>
      </c>
      <c r="P310">
        <v>0.11405330123163807</v>
      </c>
      <c r="Q310" t="s">
        <v>159</v>
      </c>
    </row>
    <row r="311" spans="9:17" x14ac:dyDescent="0.45">
      <c r="I311" t="s">
        <v>200</v>
      </c>
      <c r="J311" t="s">
        <v>162</v>
      </c>
      <c r="K311">
        <v>0</v>
      </c>
      <c r="L311" t="s">
        <v>159</v>
      </c>
      <c r="N311" t="s">
        <v>243</v>
      </c>
      <c r="O311" t="s">
        <v>162</v>
      </c>
      <c r="P311">
        <v>6.1129544280318221E-2</v>
      </c>
      <c r="Q311" t="s">
        <v>159</v>
      </c>
    </row>
    <row r="312" spans="9:17" x14ac:dyDescent="0.45">
      <c r="I312" t="s">
        <v>200</v>
      </c>
      <c r="J312" t="s">
        <v>163</v>
      </c>
      <c r="K312">
        <v>0.11765058299069994</v>
      </c>
      <c r="L312" t="s">
        <v>159</v>
      </c>
      <c r="N312" t="s">
        <v>243</v>
      </c>
      <c r="O312" t="s">
        <v>163</v>
      </c>
      <c r="P312">
        <v>7.1909571399092945E-2</v>
      </c>
      <c r="Q312" t="s">
        <v>159</v>
      </c>
    </row>
    <row r="313" spans="9:17" x14ac:dyDescent="0.45">
      <c r="I313" t="s">
        <v>200</v>
      </c>
      <c r="J313" t="s">
        <v>164</v>
      </c>
      <c r="K313">
        <v>1.1292195744262113E-3</v>
      </c>
      <c r="L313" t="s">
        <v>159</v>
      </c>
      <c r="N313" t="s">
        <v>243</v>
      </c>
      <c r="O313" t="s">
        <v>164</v>
      </c>
      <c r="P313">
        <v>4.4502575154338794E-2</v>
      </c>
      <c r="Q313" t="s">
        <v>159</v>
      </c>
    </row>
    <row r="314" spans="9:17" x14ac:dyDescent="0.45">
      <c r="I314" t="s">
        <v>200</v>
      </c>
      <c r="J314" t="s">
        <v>165</v>
      </c>
      <c r="K314">
        <v>2.7015197643142683E-2</v>
      </c>
      <c r="L314" t="s">
        <v>159</v>
      </c>
      <c r="N314" t="s">
        <v>243</v>
      </c>
      <c r="O314" t="s">
        <v>165</v>
      </c>
      <c r="P314">
        <v>0.11910521404694657</v>
      </c>
      <c r="Q314" t="s">
        <v>159</v>
      </c>
    </row>
    <row r="315" spans="9:17" x14ac:dyDescent="0.45">
      <c r="I315" t="s">
        <v>200</v>
      </c>
      <c r="J315" t="s">
        <v>166</v>
      </c>
      <c r="K315">
        <v>0.38260274588208593</v>
      </c>
      <c r="L315" t="s">
        <v>159</v>
      </c>
      <c r="N315" t="s">
        <v>243</v>
      </c>
      <c r="O315" t="s">
        <v>166</v>
      </c>
      <c r="P315">
        <v>0.14364084797906498</v>
      </c>
      <c r="Q315" t="s">
        <v>159</v>
      </c>
    </row>
    <row r="316" spans="9:17" x14ac:dyDescent="0.45">
      <c r="I316" t="s">
        <v>200</v>
      </c>
      <c r="J316" t="s">
        <v>167</v>
      </c>
      <c r="K316">
        <v>2.4290150769360329E-2</v>
      </c>
      <c r="L316" t="s">
        <v>159</v>
      </c>
      <c r="N316" t="s">
        <v>243</v>
      </c>
      <c r="O316" t="s">
        <v>167</v>
      </c>
      <c r="P316">
        <v>9.820694782692245E-2</v>
      </c>
      <c r="Q316" t="s">
        <v>159</v>
      </c>
    </row>
    <row r="317" spans="9:17" x14ac:dyDescent="0.45">
      <c r="I317" t="s">
        <v>201</v>
      </c>
      <c r="J317" t="s">
        <v>158</v>
      </c>
      <c r="K317">
        <v>1.4206928341006744E-2</v>
      </c>
      <c r="L317" t="s">
        <v>159</v>
      </c>
      <c r="N317" t="s">
        <v>244</v>
      </c>
      <c r="O317" t="s">
        <v>158</v>
      </c>
      <c r="P317">
        <v>0.14137770064376087</v>
      </c>
      <c r="Q317" t="s">
        <v>159</v>
      </c>
    </row>
    <row r="318" spans="9:17" x14ac:dyDescent="0.45">
      <c r="I318" t="s">
        <v>201</v>
      </c>
      <c r="J318" t="s">
        <v>160</v>
      </c>
      <c r="K318">
        <v>0.40746854830177165</v>
      </c>
      <c r="L318" t="s">
        <v>159</v>
      </c>
      <c r="N318" t="s">
        <v>244</v>
      </c>
      <c r="O318" t="s">
        <v>160</v>
      </c>
      <c r="P318">
        <v>0.19156588212279466</v>
      </c>
      <c r="Q318" t="s">
        <v>159</v>
      </c>
    </row>
    <row r="319" spans="9:17" x14ac:dyDescent="0.45">
      <c r="I319" t="s">
        <v>201</v>
      </c>
      <c r="J319" t="s">
        <v>161</v>
      </c>
      <c r="K319">
        <v>2.9426084860491201E-2</v>
      </c>
      <c r="L319" t="s">
        <v>159</v>
      </c>
      <c r="N319" t="s">
        <v>244</v>
      </c>
      <c r="O319" t="s">
        <v>161</v>
      </c>
      <c r="P319">
        <v>0.13877212536513223</v>
      </c>
      <c r="Q319" t="s">
        <v>159</v>
      </c>
    </row>
    <row r="320" spans="9:17" x14ac:dyDescent="0.45">
      <c r="I320" t="s">
        <v>201</v>
      </c>
      <c r="J320" t="s">
        <v>162</v>
      </c>
      <c r="K320">
        <v>0</v>
      </c>
      <c r="L320" t="s">
        <v>159</v>
      </c>
      <c r="N320" t="s">
        <v>244</v>
      </c>
      <c r="O320" t="s">
        <v>162</v>
      </c>
      <c r="P320">
        <v>4.9082867969614176E-2</v>
      </c>
      <c r="Q320" t="s">
        <v>159</v>
      </c>
    </row>
    <row r="321" spans="9:17" x14ac:dyDescent="0.45">
      <c r="I321" t="s">
        <v>201</v>
      </c>
      <c r="J321" t="s">
        <v>163</v>
      </c>
      <c r="K321">
        <v>0.1134807272425732</v>
      </c>
      <c r="L321" t="s">
        <v>159</v>
      </c>
      <c r="N321" t="s">
        <v>244</v>
      </c>
      <c r="O321" t="s">
        <v>163</v>
      </c>
      <c r="P321">
        <v>6.0610752250553096E-2</v>
      </c>
      <c r="Q321" t="s">
        <v>159</v>
      </c>
    </row>
    <row r="322" spans="9:17" x14ac:dyDescent="0.45">
      <c r="I322" t="s">
        <v>201</v>
      </c>
      <c r="J322" t="s">
        <v>164</v>
      </c>
      <c r="K322">
        <v>2.7204160189414723E-3</v>
      </c>
      <c r="L322" t="s">
        <v>159</v>
      </c>
      <c r="N322" t="s">
        <v>244</v>
      </c>
      <c r="O322" t="s">
        <v>164</v>
      </c>
      <c r="P322">
        <v>3.8504879626931998E-2</v>
      </c>
      <c r="Q322" t="s">
        <v>159</v>
      </c>
    </row>
    <row r="323" spans="9:17" x14ac:dyDescent="0.45">
      <c r="I323" t="s">
        <v>201</v>
      </c>
      <c r="J323" t="s">
        <v>165</v>
      </c>
      <c r="K323">
        <v>2.6808578511423979E-2</v>
      </c>
      <c r="L323" t="s">
        <v>159</v>
      </c>
      <c r="N323" t="s">
        <v>244</v>
      </c>
      <c r="O323" t="s">
        <v>165</v>
      </c>
      <c r="P323">
        <v>0.10878443905722848</v>
      </c>
      <c r="Q323" t="s">
        <v>159</v>
      </c>
    </row>
    <row r="324" spans="9:17" x14ac:dyDescent="0.45">
      <c r="I324" t="s">
        <v>201</v>
      </c>
      <c r="J324" t="s">
        <v>166</v>
      </c>
      <c r="K324">
        <v>0.37681132273191975</v>
      </c>
      <c r="L324" t="s">
        <v>159</v>
      </c>
      <c r="N324" t="s">
        <v>244</v>
      </c>
      <c r="O324" t="s">
        <v>166</v>
      </c>
      <c r="P324">
        <v>0.16115223409766313</v>
      </c>
      <c r="Q324" t="s">
        <v>159</v>
      </c>
    </row>
    <row r="325" spans="9:17" x14ac:dyDescent="0.45">
      <c r="I325" t="s">
        <v>201</v>
      </c>
      <c r="J325" t="s">
        <v>167</v>
      </c>
      <c r="K325">
        <v>2.9077393991872438E-2</v>
      </c>
      <c r="L325" t="s">
        <v>159</v>
      </c>
      <c r="N325" t="s">
        <v>244</v>
      </c>
      <c r="O325" t="s">
        <v>167</v>
      </c>
      <c r="P325">
        <v>0.11014911886632053</v>
      </c>
      <c r="Q325" t="s">
        <v>159</v>
      </c>
    </row>
    <row r="326" spans="9:17" x14ac:dyDescent="0.45">
      <c r="I326" t="s">
        <v>202</v>
      </c>
      <c r="J326" t="s">
        <v>158</v>
      </c>
      <c r="K326">
        <v>1.3809636439505706E-2</v>
      </c>
      <c r="L326" t="s">
        <v>159</v>
      </c>
      <c r="N326" t="s">
        <v>245</v>
      </c>
      <c r="O326" t="s">
        <v>158</v>
      </c>
      <c r="P326">
        <v>0.15659968144332892</v>
      </c>
      <c r="Q326" t="s">
        <v>159</v>
      </c>
    </row>
    <row r="327" spans="9:17" x14ac:dyDescent="0.45">
      <c r="I327" t="s">
        <v>202</v>
      </c>
      <c r="J327" t="s">
        <v>160</v>
      </c>
      <c r="K327">
        <v>0.40519938629806906</v>
      </c>
      <c r="L327" t="s">
        <v>159</v>
      </c>
      <c r="N327" t="s">
        <v>245</v>
      </c>
      <c r="O327" t="s">
        <v>160</v>
      </c>
      <c r="P327">
        <v>0.165288473720166</v>
      </c>
      <c r="Q327" t="s">
        <v>159</v>
      </c>
    </row>
    <row r="328" spans="9:17" x14ac:dyDescent="0.45">
      <c r="I328" t="s">
        <v>202</v>
      </c>
      <c r="J328" t="s">
        <v>161</v>
      </c>
      <c r="K328">
        <v>2.9178208359803923E-2</v>
      </c>
      <c r="L328" t="s">
        <v>159</v>
      </c>
      <c r="N328" t="s">
        <v>245</v>
      </c>
      <c r="O328" t="s">
        <v>161</v>
      </c>
      <c r="P328">
        <v>0.16387826504192068</v>
      </c>
      <c r="Q328" t="s">
        <v>159</v>
      </c>
    </row>
    <row r="329" spans="9:17" x14ac:dyDescent="0.45">
      <c r="I329" t="s">
        <v>202</v>
      </c>
      <c r="J329" t="s">
        <v>162</v>
      </c>
      <c r="K329">
        <v>0</v>
      </c>
      <c r="L329" t="s">
        <v>159</v>
      </c>
      <c r="N329" t="s">
        <v>245</v>
      </c>
      <c r="O329" t="s">
        <v>162</v>
      </c>
      <c r="P329">
        <v>5.0864838455823243E-2</v>
      </c>
      <c r="Q329" t="s">
        <v>159</v>
      </c>
    </row>
    <row r="330" spans="9:17" x14ac:dyDescent="0.45">
      <c r="I330" t="s">
        <v>202</v>
      </c>
      <c r="J330" t="s">
        <v>163</v>
      </c>
      <c r="K330">
        <v>0.10814582283992757</v>
      </c>
      <c r="L330" t="s">
        <v>159</v>
      </c>
      <c r="N330" t="s">
        <v>245</v>
      </c>
      <c r="O330" t="s">
        <v>163</v>
      </c>
      <c r="P330">
        <v>6.8867480557393293E-2</v>
      </c>
      <c r="Q330" t="s">
        <v>159</v>
      </c>
    </row>
    <row r="331" spans="9:17" x14ac:dyDescent="0.45">
      <c r="I331" t="s">
        <v>202</v>
      </c>
      <c r="J331" t="s">
        <v>164</v>
      </c>
      <c r="K331">
        <v>1.7794772137642535E-3</v>
      </c>
      <c r="L331" t="s">
        <v>159</v>
      </c>
      <c r="N331" t="s">
        <v>245</v>
      </c>
      <c r="O331" t="s">
        <v>164</v>
      </c>
      <c r="P331">
        <v>4.1413649037918339E-2</v>
      </c>
      <c r="Q331" t="s">
        <v>159</v>
      </c>
    </row>
    <row r="332" spans="9:17" x14ac:dyDescent="0.45">
      <c r="I332" t="s">
        <v>202</v>
      </c>
      <c r="J332" t="s">
        <v>165</v>
      </c>
      <c r="K332">
        <v>2.7127574407847237E-2</v>
      </c>
      <c r="L332" t="s">
        <v>159</v>
      </c>
      <c r="N332" t="s">
        <v>245</v>
      </c>
      <c r="O332" t="s">
        <v>165</v>
      </c>
      <c r="P332">
        <v>0.10343905398552221</v>
      </c>
      <c r="Q332" t="s">
        <v>159</v>
      </c>
    </row>
    <row r="333" spans="9:17" x14ac:dyDescent="0.45">
      <c r="I333" t="s">
        <v>202</v>
      </c>
      <c r="J333" t="s">
        <v>166</v>
      </c>
      <c r="K333">
        <v>0.38426015532780844</v>
      </c>
      <c r="L333" t="s">
        <v>159</v>
      </c>
      <c r="N333" t="s">
        <v>245</v>
      </c>
      <c r="O333" t="s">
        <v>166</v>
      </c>
      <c r="P333">
        <v>0.11995107438480924</v>
      </c>
      <c r="Q333" t="s">
        <v>159</v>
      </c>
    </row>
    <row r="334" spans="9:17" x14ac:dyDescent="0.45">
      <c r="I334" t="s">
        <v>202</v>
      </c>
      <c r="J334" t="s">
        <v>167</v>
      </c>
      <c r="K334">
        <v>3.0499739113273194E-2</v>
      </c>
      <c r="L334" t="s">
        <v>159</v>
      </c>
      <c r="N334" t="s">
        <v>245</v>
      </c>
      <c r="O334" t="s">
        <v>167</v>
      </c>
      <c r="P334">
        <v>0.12969748337311693</v>
      </c>
      <c r="Q334" t="s">
        <v>159</v>
      </c>
    </row>
    <row r="335" spans="9:17" x14ac:dyDescent="0.45">
      <c r="I335" t="s">
        <v>203</v>
      </c>
      <c r="J335" t="s">
        <v>158</v>
      </c>
      <c r="K335">
        <v>1.5290886039481616E-2</v>
      </c>
      <c r="L335" t="s">
        <v>159</v>
      </c>
      <c r="N335" t="s">
        <v>246</v>
      </c>
      <c r="O335" t="s">
        <v>158</v>
      </c>
      <c r="P335">
        <v>0.12490581236700223</v>
      </c>
      <c r="Q335" t="s">
        <v>159</v>
      </c>
    </row>
    <row r="336" spans="9:17" x14ac:dyDescent="0.45">
      <c r="I336" t="s">
        <v>203</v>
      </c>
      <c r="J336" t="s">
        <v>160</v>
      </c>
      <c r="K336">
        <v>0.42043570115447731</v>
      </c>
      <c r="L336" t="s">
        <v>159</v>
      </c>
      <c r="N336" t="s">
        <v>246</v>
      </c>
      <c r="O336" t="s">
        <v>160</v>
      </c>
      <c r="P336">
        <v>0.22123236330913332</v>
      </c>
      <c r="Q336" t="s">
        <v>159</v>
      </c>
    </row>
    <row r="337" spans="9:17" x14ac:dyDescent="0.45">
      <c r="I337" t="s">
        <v>203</v>
      </c>
      <c r="J337" t="s">
        <v>161</v>
      </c>
      <c r="K337">
        <v>2.9434009944647822E-2</v>
      </c>
      <c r="L337" t="s">
        <v>159</v>
      </c>
      <c r="N337" t="s">
        <v>246</v>
      </c>
      <c r="O337" t="s">
        <v>161</v>
      </c>
      <c r="P337">
        <v>0.1305234527789631</v>
      </c>
      <c r="Q337" t="s">
        <v>159</v>
      </c>
    </row>
    <row r="338" spans="9:17" x14ac:dyDescent="0.45">
      <c r="I338" t="s">
        <v>203</v>
      </c>
      <c r="J338" t="s">
        <v>162</v>
      </c>
      <c r="K338">
        <v>0</v>
      </c>
      <c r="L338" t="s">
        <v>159</v>
      </c>
      <c r="N338" t="s">
        <v>246</v>
      </c>
      <c r="O338" t="s">
        <v>162</v>
      </c>
      <c r="P338">
        <v>5.7536586539456425E-2</v>
      </c>
      <c r="Q338" t="s">
        <v>159</v>
      </c>
    </row>
    <row r="339" spans="9:17" x14ac:dyDescent="0.45">
      <c r="I339" t="s">
        <v>203</v>
      </c>
      <c r="J339" t="s">
        <v>163</v>
      </c>
      <c r="K339">
        <v>0.12659256673395955</v>
      </c>
      <c r="L339" t="s">
        <v>159</v>
      </c>
      <c r="N339" t="s">
        <v>246</v>
      </c>
      <c r="O339" t="s">
        <v>163</v>
      </c>
      <c r="P339">
        <v>8.3492395249904247E-2</v>
      </c>
      <c r="Q339" t="s">
        <v>159</v>
      </c>
    </row>
    <row r="340" spans="9:17" x14ac:dyDescent="0.45">
      <c r="I340" t="s">
        <v>203</v>
      </c>
      <c r="J340" t="s">
        <v>164</v>
      </c>
      <c r="K340">
        <v>5.4317523195233121E-3</v>
      </c>
      <c r="L340" t="s">
        <v>159</v>
      </c>
      <c r="N340" t="s">
        <v>246</v>
      </c>
      <c r="O340" t="s">
        <v>164</v>
      </c>
      <c r="P340">
        <v>3.8253309810973642E-2</v>
      </c>
      <c r="Q340" t="s">
        <v>159</v>
      </c>
    </row>
    <row r="341" spans="9:17" x14ac:dyDescent="0.45">
      <c r="I341" t="s">
        <v>203</v>
      </c>
      <c r="J341" t="s">
        <v>165</v>
      </c>
      <c r="K341">
        <v>2.3579828830017253E-2</v>
      </c>
      <c r="L341" t="s">
        <v>159</v>
      </c>
      <c r="N341" t="s">
        <v>246</v>
      </c>
      <c r="O341" t="s">
        <v>165</v>
      </c>
      <c r="P341">
        <v>7.7503410328081057E-2</v>
      </c>
      <c r="Q341" t="s">
        <v>159</v>
      </c>
    </row>
    <row r="342" spans="9:17" x14ac:dyDescent="0.45">
      <c r="I342" t="s">
        <v>203</v>
      </c>
      <c r="J342" t="s">
        <v>166</v>
      </c>
      <c r="K342">
        <v>0.35769910022905055</v>
      </c>
      <c r="L342" t="s">
        <v>159</v>
      </c>
      <c r="N342" t="s">
        <v>246</v>
      </c>
      <c r="O342" t="s">
        <v>166</v>
      </c>
      <c r="P342">
        <v>0.17137306466610483</v>
      </c>
      <c r="Q342" t="s">
        <v>159</v>
      </c>
    </row>
    <row r="343" spans="9:17" x14ac:dyDescent="0.45">
      <c r="I343" t="s">
        <v>203</v>
      </c>
      <c r="J343" t="s">
        <v>167</v>
      </c>
      <c r="K343">
        <v>2.1536154748844551E-2</v>
      </c>
      <c r="L343" t="s">
        <v>159</v>
      </c>
      <c r="N343" t="s">
        <v>246</v>
      </c>
      <c r="O343" t="s">
        <v>167</v>
      </c>
      <c r="P343">
        <v>9.5179604950379609E-2</v>
      </c>
      <c r="Q343" t="s">
        <v>159</v>
      </c>
    </row>
    <row r="344" spans="9:17" x14ac:dyDescent="0.45">
      <c r="I344" t="s">
        <v>204</v>
      </c>
      <c r="J344" t="s">
        <v>158</v>
      </c>
      <c r="K344">
        <v>1.482668599087277E-2</v>
      </c>
      <c r="L344" t="s">
        <v>159</v>
      </c>
      <c r="N344" t="s">
        <v>247</v>
      </c>
      <c r="O344" t="s">
        <v>158</v>
      </c>
      <c r="P344">
        <v>0.106701095086178</v>
      </c>
      <c r="Q344" t="s">
        <v>159</v>
      </c>
    </row>
    <row r="345" spans="9:17" x14ac:dyDescent="0.45">
      <c r="I345" t="s">
        <v>204</v>
      </c>
      <c r="J345" t="s">
        <v>160</v>
      </c>
      <c r="K345">
        <v>0.42059957267805553</v>
      </c>
      <c r="L345" t="s">
        <v>159</v>
      </c>
      <c r="N345" t="s">
        <v>247</v>
      </c>
      <c r="O345" t="s">
        <v>160</v>
      </c>
      <c r="P345">
        <v>0.238213182542378</v>
      </c>
      <c r="Q345" t="s">
        <v>159</v>
      </c>
    </row>
    <row r="346" spans="9:17" x14ac:dyDescent="0.45">
      <c r="I346" t="s">
        <v>204</v>
      </c>
      <c r="J346" t="s">
        <v>161</v>
      </c>
      <c r="K346">
        <v>2.9593562532518821E-2</v>
      </c>
      <c r="L346" t="s">
        <v>159</v>
      </c>
      <c r="N346" t="s">
        <v>247</v>
      </c>
      <c r="O346" t="s">
        <v>161</v>
      </c>
      <c r="P346">
        <v>0.13761587227049665</v>
      </c>
      <c r="Q346" t="s">
        <v>159</v>
      </c>
    </row>
    <row r="347" spans="9:17" x14ac:dyDescent="0.45">
      <c r="I347" t="s">
        <v>204</v>
      </c>
      <c r="J347" t="s">
        <v>162</v>
      </c>
      <c r="K347">
        <v>0</v>
      </c>
      <c r="L347" t="s">
        <v>159</v>
      </c>
      <c r="N347" t="s">
        <v>247</v>
      </c>
      <c r="O347" t="s">
        <v>162</v>
      </c>
      <c r="P347">
        <v>5.0877614341513236E-2</v>
      </c>
      <c r="Q347" t="s">
        <v>159</v>
      </c>
    </row>
    <row r="348" spans="9:17" x14ac:dyDescent="0.45">
      <c r="I348" t="s">
        <v>204</v>
      </c>
      <c r="J348" t="s">
        <v>163</v>
      </c>
      <c r="K348">
        <v>0.12573334031079655</v>
      </c>
      <c r="L348" t="s">
        <v>159</v>
      </c>
      <c r="N348" t="s">
        <v>247</v>
      </c>
      <c r="O348" t="s">
        <v>163</v>
      </c>
      <c r="P348">
        <v>7.2715290550294381E-2</v>
      </c>
      <c r="Q348" t="s">
        <v>159</v>
      </c>
    </row>
    <row r="349" spans="9:17" x14ac:dyDescent="0.45">
      <c r="I349" t="s">
        <v>204</v>
      </c>
      <c r="J349" t="s">
        <v>164</v>
      </c>
      <c r="K349">
        <v>4.7951267574873769E-3</v>
      </c>
      <c r="L349" t="s">
        <v>159</v>
      </c>
      <c r="N349" t="s">
        <v>247</v>
      </c>
      <c r="O349" t="s">
        <v>164</v>
      </c>
      <c r="P349">
        <v>3.4982376584097294E-2</v>
      </c>
      <c r="Q349" t="s">
        <v>159</v>
      </c>
    </row>
    <row r="350" spans="9:17" x14ac:dyDescent="0.45">
      <c r="I350" t="s">
        <v>204</v>
      </c>
      <c r="J350" t="s">
        <v>165</v>
      </c>
      <c r="K350">
        <v>2.4538085064969777E-2</v>
      </c>
      <c r="L350" t="s">
        <v>159</v>
      </c>
      <c r="N350" t="s">
        <v>247</v>
      </c>
      <c r="O350" t="s">
        <v>165</v>
      </c>
      <c r="P350">
        <v>6.1351596619358059E-2</v>
      </c>
      <c r="Q350" t="s">
        <v>159</v>
      </c>
    </row>
    <row r="351" spans="9:17" x14ac:dyDescent="0.45">
      <c r="I351" t="s">
        <v>204</v>
      </c>
      <c r="J351" t="s">
        <v>166</v>
      </c>
      <c r="K351">
        <v>0.35796832837696002</v>
      </c>
      <c r="L351" t="s">
        <v>159</v>
      </c>
      <c r="N351" t="s">
        <v>247</v>
      </c>
      <c r="O351" t="s">
        <v>166</v>
      </c>
      <c r="P351">
        <v>0.18911967537332372</v>
      </c>
      <c r="Q351" t="s">
        <v>159</v>
      </c>
    </row>
    <row r="352" spans="9:17" x14ac:dyDescent="0.45">
      <c r="I352" t="s">
        <v>204</v>
      </c>
      <c r="J352" t="s">
        <v>167</v>
      </c>
      <c r="K352">
        <v>2.194529828834069E-2</v>
      </c>
      <c r="L352" t="s">
        <v>159</v>
      </c>
      <c r="N352" t="s">
        <v>247</v>
      </c>
      <c r="O352" t="s">
        <v>167</v>
      </c>
      <c r="P352">
        <v>0.10842329663235961</v>
      </c>
      <c r="Q352" t="s">
        <v>159</v>
      </c>
    </row>
    <row r="353" spans="9:17" x14ac:dyDescent="0.45">
      <c r="I353" t="s">
        <v>205</v>
      </c>
      <c r="J353" t="s">
        <v>158</v>
      </c>
      <c r="K353">
        <v>1.7555941096385551E-2</v>
      </c>
      <c r="L353" t="s">
        <v>159</v>
      </c>
      <c r="N353" t="s">
        <v>248</v>
      </c>
      <c r="O353" t="s">
        <v>158</v>
      </c>
      <c r="P353">
        <v>0.16622602005350531</v>
      </c>
      <c r="Q353" t="s">
        <v>159</v>
      </c>
    </row>
    <row r="354" spans="9:17" x14ac:dyDescent="0.45">
      <c r="I354" t="s">
        <v>205</v>
      </c>
      <c r="J354" t="s">
        <v>160</v>
      </c>
      <c r="K354">
        <v>0.4237218233960926</v>
      </c>
      <c r="L354" t="s">
        <v>159</v>
      </c>
      <c r="N354" t="s">
        <v>248</v>
      </c>
      <c r="O354" t="s">
        <v>160</v>
      </c>
      <c r="P354">
        <v>0.16652962012610348</v>
      </c>
      <c r="Q354" t="s">
        <v>159</v>
      </c>
    </row>
    <row r="355" spans="9:17" x14ac:dyDescent="0.45">
      <c r="I355" t="s">
        <v>205</v>
      </c>
      <c r="J355" t="s">
        <v>161</v>
      </c>
      <c r="K355">
        <v>2.7489830414548402E-2</v>
      </c>
      <c r="L355" t="s">
        <v>159</v>
      </c>
      <c r="N355" t="s">
        <v>248</v>
      </c>
      <c r="O355" t="s">
        <v>161</v>
      </c>
      <c r="P355">
        <v>0.1436506613940054</v>
      </c>
      <c r="Q355" t="s">
        <v>159</v>
      </c>
    </row>
    <row r="356" spans="9:17" x14ac:dyDescent="0.45">
      <c r="I356" t="s">
        <v>205</v>
      </c>
      <c r="J356" t="s">
        <v>162</v>
      </c>
      <c r="K356">
        <v>4.0803535280736333E-6</v>
      </c>
      <c r="L356" t="s">
        <v>159</v>
      </c>
      <c r="N356" t="s">
        <v>248</v>
      </c>
      <c r="O356" t="s">
        <v>162</v>
      </c>
      <c r="P356">
        <v>4.9568043205497535E-2</v>
      </c>
      <c r="Q356" t="s">
        <v>159</v>
      </c>
    </row>
    <row r="357" spans="9:17" x14ac:dyDescent="0.45">
      <c r="I357" t="s">
        <v>205</v>
      </c>
      <c r="J357" t="s">
        <v>163</v>
      </c>
      <c r="K357">
        <v>0.12481561349440995</v>
      </c>
      <c r="L357" t="s">
        <v>159</v>
      </c>
      <c r="N357" t="s">
        <v>248</v>
      </c>
      <c r="O357" t="s">
        <v>163</v>
      </c>
      <c r="P357">
        <v>6.8233874928464971E-2</v>
      </c>
      <c r="Q357" t="s">
        <v>159</v>
      </c>
    </row>
    <row r="358" spans="9:17" x14ac:dyDescent="0.45">
      <c r="I358" t="s">
        <v>205</v>
      </c>
      <c r="J358" t="s">
        <v>164</v>
      </c>
      <c r="K358">
        <v>4.141735151719006E-3</v>
      </c>
      <c r="L358" t="s">
        <v>159</v>
      </c>
      <c r="N358" t="s">
        <v>248</v>
      </c>
      <c r="O358" t="s">
        <v>164</v>
      </c>
      <c r="P358">
        <v>4.1421774435111247E-2</v>
      </c>
      <c r="Q358" t="s">
        <v>159</v>
      </c>
    </row>
    <row r="359" spans="9:17" x14ac:dyDescent="0.45">
      <c r="I359" t="s">
        <v>205</v>
      </c>
      <c r="J359" t="s">
        <v>165</v>
      </c>
      <c r="K359">
        <v>2.5785357622196411E-2</v>
      </c>
      <c r="L359" t="s">
        <v>159</v>
      </c>
      <c r="N359" t="s">
        <v>248</v>
      </c>
      <c r="O359" t="s">
        <v>165</v>
      </c>
      <c r="P359">
        <v>0.11909881185198352</v>
      </c>
      <c r="Q359" t="s">
        <v>159</v>
      </c>
    </row>
    <row r="360" spans="9:17" x14ac:dyDescent="0.45">
      <c r="I360" t="s">
        <v>205</v>
      </c>
      <c r="J360" t="s">
        <v>166</v>
      </c>
      <c r="K360">
        <v>0.35580041794473255</v>
      </c>
      <c r="L360" t="s">
        <v>159</v>
      </c>
      <c r="N360" t="s">
        <v>248</v>
      </c>
      <c r="O360" t="s">
        <v>166</v>
      </c>
      <c r="P360">
        <v>0.13193156690823085</v>
      </c>
      <c r="Q360" t="s">
        <v>159</v>
      </c>
    </row>
    <row r="361" spans="9:17" x14ac:dyDescent="0.45">
      <c r="I361" t="s">
        <v>205</v>
      </c>
      <c r="J361" t="s">
        <v>167</v>
      </c>
      <c r="K361">
        <v>2.0685200526389478E-2</v>
      </c>
      <c r="L361" t="s">
        <v>159</v>
      </c>
      <c r="N361" t="s">
        <v>248</v>
      </c>
      <c r="O361" t="s">
        <v>167</v>
      </c>
      <c r="P361">
        <v>0.11333962709709404</v>
      </c>
      <c r="Q361" t="s">
        <v>159</v>
      </c>
    </row>
    <row r="362" spans="9:17" x14ac:dyDescent="0.45">
      <c r="I362" t="s">
        <v>206</v>
      </c>
      <c r="J362" t="s">
        <v>158</v>
      </c>
      <c r="K362">
        <v>1.8062799209326526E-2</v>
      </c>
      <c r="L362" t="s">
        <v>159</v>
      </c>
      <c r="N362" t="s">
        <v>249</v>
      </c>
      <c r="O362" t="s">
        <v>158</v>
      </c>
      <c r="P362">
        <v>0.15476296021596794</v>
      </c>
      <c r="Q362" t="s">
        <v>159</v>
      </c>
    </row>
    <row r="363" spans="9:17" x14ac:dyDescent="0.45">
      <c r="I363" t="s">
        <v>206</v>
      </c>
      <c r="J363" t="s">
        <v>160</v>
      </c>
      <c r="K363">
        <v>0.42529393965946399</v>
      </c>
      <c r="L363" t="s">
        <v>159</v>
      </c>
      <c r="N363" t="s">
        <v>249</v>
      </c>
      <c r="O363" t="s">
        <v>160</v>
      </c>
      <c r="P363">
        <v>0.16115207897461586</v>
      </c>
      <c r="Q363" t="s">
        <v>159</v>
      </c>
    </row>
    <row r="364" spans="9:17" x14ac:dyDescent="0.45">
      <c r="I364" t="s">
        <v>206</v>
      </c>
      <c r="J364" t="s">
        <v>161</v>
      </c>
      <c r="K364">
        <v>2.4257136608948859E-2</v>
      </c>
      <c r="L364" t="s">
        <v>159</v>
      </c>
      <c r="N364" t="s">
        <v>249</v>
      </c>
      <c r="O364" t="s">
        <v>161</v>
      </c>
      <c r="P364">
        <v>0.13809878691573949</v>
      </c>
      <c r="Q364" t="s">
        <v>159</v>
      </c>
    </row>
    <row r="365" spans="9:17" x14ac:dyDescent="0.45">
      <c r="I365" t="s">
        <v>206</v>
      </c>
      <c r="J365" t="s">
        <v>162</v>
      </c>
      <c r="K365">
        <v>3.5441307422666725E-5</v>
      </c>
      <c r="L365" t="s">
        <v>159</v>
      </c>
      <c r="N365" t="s">
        <v>249</v>
      </c>
      <c r="O365" t="s">
        <v>162</v>
      </c>
      <c r="P365">
        <v>5.0663837458464173E-2</v>
      </c>
      <c r="Q365" t="s">
        <v>159</v>
      </c>
    </row>
    <row r="366" spans="9:17" x14ac:dyDescent="0.45">
      <c r="I366" t="s">
        <v>206</v>
      </c>
      <c r="J366" t="s">
        <v>163</v>
      </c>
      <c r="K366">
        <v>0.12585882165848919</v>
      </c>
      <c r="L366" t="s">
        <v>159</v>
      </c>
      <c r="N366" t="s">
        <v>249</v>
      </c>
      <c r="O366" t="s">
        <v>163</v>
      </c>
      <c r="P366">
        <v>6.5195509186979458E-2</v>
      </c>
      <c r="Q366" t="s">
        <v>159</v>
      </c>
    </row>
    <row r="367" spans="9:17" x14ac:dyDescent="0.45">
      <c r="I367" t="s">
        <v>206</v>
      </c>
      <c r="J367" t="s">
        <v>164</v>
      </c>
      <c r="K367">
        <v>2.9701149589126783E-3</v>
      </c>
      <c r="L367" t="s">
        <v>159</v>
      </c>
      <c r="N367" t="s">
        <v>249</v>
      </c>
      <c r="O367" t="s">
        <v>164</v>
      </c>
      <c r="P367">
        <v>4.4206975231507406E-2</v>
      </c>
      <c r="Q367" t="s">
        <v>159</v>
      </c>
    </row>
    <row r="368" spans="9:17" x14ac:dyDescent="0.45">
      <c r="I368" t="s">
        <v>206</v>
      </c>
      <c r="J368" t="s">
        <v>165</v>
      </c>
      <c r="K368">
        <v>2.7626492676651227E-2</v>
      </c>
      <c r="L368" t="s">
        <v>159</v>
      </c>
      <c r="N368" t="s">
        <v>249</v>
      </c>
      <c r="O368" t="s">
        <v>165</v>
      </c>
      <c r="P368">
        <v>0.11430039235307876</v>
      </c>
      <c r="Q368" t="s">
        <v>159</v>
      </c>
    </row>
    <row r="369" spans="9:17" x14ac:dyDescent="0.45">
      <c r="I369" t="s">
        <v>206</v>
      </c>
      <c r="J369" t="s">
        <v>166</v>
      </c>
      <c r="K369">
        <v>0.35604155560334921</v>
      </c>
      <c r="L369" t="s">
        <v>159</v>
      </c>
      <c r="N369" t="s">
        <v>249</v>
      </c>
      <c r="O369" t="s">
        <v>166</v>
      </c>
      <c r="P369">
        <v>0.14761812095366084</v>
      </c>
      <c r="Q369" t="s">
        <v>159</v>
      </c>
    </row>
    <row r="370" spans="9:17" x14ac:dyDescent="0.45">
      <c r="I370" t="s">
        <v>206</v>
      </c>
      <c r="J370" t="s">
        <v>167</v>
      </c>
      <c r="K370">
        <v>1.9853698317435099E-2</v>
      </c>
      <c r="L370" t="s">
        <v>159</v>
      </c>
      <c r="N370" t="s">
        <v>249</v>
      </c>
      <c r="O370" t="s">
        <v>167</v>
      </c>
      <c r="P370">
        <v>0.12400133870998656</v>
      </c>
      <c r="Q370" t="s">
        <v>159</v>
      </c>
    </row>
    <row r="371" spans="9:17" x14ac:dyDescent="0.45">
      <c r="I371" t="s">
        <v>207</v>
      </c>
      <c r="J371" t="s">
        <v>158</v>
      </c>
      <c r="K371">
        <v>1.6145204271830242E-2</v>
      </c>
      <c r="L371" t="s">
        <v>159</v>
      </c>
      <c r="N371" t="s">
        <v>250</v>
      </c>
      <c r="O371" t="s">
        <v>158</v>
      </c>
      <c r="P371">
        <v>0.19053664028040732</v>
      </c>
      <c r="Q371" t="s">
        <v>159</v>
      </c>
    </row>
    <row r="372" spans="9:17" x14ac:dyDescent="0.45">
      <c r="I372" t="s">
        <v>207</v>
      </c>
      <c r="J372" t="s">
        <v>160</v>
      </c>
      <c r="K372">
        <v>0.40777340463117706</v>
      </c>
      <c r="L372" t="s">
        <v>159</v>
      </c>
      <c r="N372" t="s">
        <v>250</v>
      </c>
      <c r="O372" t="s">
        <v>160</v>
      </c>
      <c r="P372">
        <v>0.1479088246012577</v>
      </c>
      <c r="Q372" t="s">
        <v>159</v>
      </c>
    </row>
    <row r="373" spans="9:17" x14ac:dyDescent="0.45">
      <c r="I373" t="s">
        <v>207</v>
      </c>
      <c r="J373" t="s">
        <v>161</v>
      </c>
      <c r="K373">
        <v>2.9537828588650585E-2</v>
      </c>
      <c r="L373" t="s">
        <v>159</v>
      </c>
      <c r="N373" t="s">
        <v>250</v>
      </c>
      <c r="O373" t="s">
        <v>161</v>
      </c>
      <c r="P373">
        <v>0.14159592068035343</v>
      </c>
      <c r="Q373" t="s">
        <v>159</v>
      </c>
    </row>
    <row r="374" spans="9:17" x14ac:dyDescent="0.45">
      <c r="I374" t="s">
        <v>207</v>
      </c>
      <c r="J374" t="s">
        <v>162</v>
      </c>
      <c r="K374">
        <v>0</v>
      </c>
      <c r="L374" t="s">
        <v>159</v>
      </c>
      <c r="N374" t="s">
        <v>250</v>
      </c>
      <c r="O374" t="s">
        <v>162</v>
      </c>
      <c r="P374">
        <v>5.6076820784078329E-2</v>
      </c>
      <c r="Q374" t="s">
        <v>159</v>
      </c>
    </row>
    <row r="375" spans="9:17" x14ac:dyDescent="0.45">
      <c r="I375" t="s">
        <v>207</v>
      </c>
      <c r="J375" t="s">
        <v>163</v>
      </c>
      <c r="K375">
        <v>0.11567289900292495</v>
      </c>
      <c r="L375" t="s">
        <v>159</v>
      </c>
      <c r="N375" t="s">
        <v>250</v>
      </c>
      <c r="O375" t="s">
        <v>163</v>
      </c>
      <c r="P375">
        <v>6.0116413387005296E-2</v>
      </c>
      <c r="Q375" t="s">
        <v>159</v>
      </c>
    </row>
    <row r="376" spans="9:17" x14ac:dyDescent="0.45">
      <c r="I376" t="s">
        <v>207</v>
      </c>
      <c r="J376" t="s">
        <v>164</v>
      </c>
      <c r="K376">
        <v>3.6137541732890006E-3</v>
      </c>
      <c r="L376" t="s">
        <v>159</v>
      </c>
      <c r="N376" t="s">
        <v>250</v>
      </c>
      <c r="O376" t="s">
        <v>164</v>
      </c>
      <c r="P376">
        <v>4.3517910926814014E-2</v>
      </c>
      <c r="Q376" t="s">
        <v>159</v>
      </c>
    </row>
    <row r="377" spans="9:17" x14ac:dyDescent="0.45">
      <c r="I377" t="s">
        <v>207</v>
      </c>
      <c r="J377" t="s">
        <v>165</v>
      </c>
      <c r="K377">
        <v>2.896008924002471E-2</v>
      </c>
      <c r="L377" t="s">
        <v>159</v>
      </c>
      <c r="N377" t="s">
        <v>250</v>
      </c>
      <c r="O377" t="s">
        <v>165</v>
      </c>
      <c r="P377">
        <v>0.1363027973071797</v>
      </c>
      <c r="Q377" t="s">
        <v>159</v>
      </c>
    </row>
    <row r="378" spans="9:17" x14ac:dyDescent="0.45">
      <c r="I378" t="s">
        <v>207</v>
      </c>
      <c r="J378" t="s">
        <v>166</v>
      </c>
      <c r="K378">
        <v>0.37047581780715982</v>
      </c>
      <c r="L378" t="s">
        <v>159</v>
      </c>
      <c r="N378" t="s">
        <v>250</v>
      </c>
      <c r="O378" t="s">
        <v>166</v>
      </c>
      <c r="P378">
        <v>0.1082346777349902</v>
      </c>
      <c r="Q378" t="s">
        <v>159</v>
      </c>
    </row>
    <row r="379" spans="9:17" x14ac:dyDescent="0.45">
      <c r="I379" t="s">
        <v>207</v>
      </c>
      <c r="J379" t="s">
        <v>167</v>
      </c>
      <c r="K379">
        <v>2.7821002284942005E-2</v>
      </c>
      <c r="L379" t="s">
        <v>159</v>
      </c>
      <c r="N379" t="s">
        <v>250</v>
      </c>
      <c r="O379" t="s">
        <v>167</v>
      </c>
      <c r="P379">
        <v>0.11570999429791436</v>
      </c>
      <c r="Q379" t="s">
        <v>159</v>
      </c>
    </row>
    <row r="380" spans="9:17" x14ac:dyDescent="0.45">
      <c r="I380" t="s">
        <v>208</v>
      </c>
      <c r="J380" t="s">
        <v>158</v>
      </c>
      <c r="K380">
        <v>1.4743980716949968E-2</v>
      </c>
      <c r="L380" t="s">
        <v>159</v>
      </c>
      <c r="N380" t="s">
        <v>251</v>
      </c>
      <c r="O380" t="s">
        <v>158</v>
      </c>
      <c r="P380">
        <v>0.20931763535975459</v>
      </c>
      <c r="Q380" t="s">
        <v>159</v>
      </c>
    </row>
    <row r="381" spans="9:17" x14ac:dyDescent="0.45">
      <c r="I381" t="s">
        <v>208</v>
      </c>
      <c r="J381" t="s">
        <v>160</v>
      </c>
      <c r="K381">
        <v>0.41501833664965398</v>
      </c>
      <c r="L381" t="s">
        <v>159</v>
      </c>
      <c r="N381" t="s">
        <v>251</v>
      </c>
      <c r="O381" t="s">
        <v>160</v>
      </c>
      <c r="P381">
        <v>0.12127492252869469</v>
      </c>
      <c r="Q381" t="s">
        <v>159</v>
      </c>
    </row>
    <row r="382" spans="9:17" x14ac:dyDescent="0.45">
      <c r="I382" t="s">
        <v>208</v>
      </c>
      <c r="J382" t="s">
        <v>161</v>
      </c>
      <c r="K382">
        <v>2.9074364881855431E-2</v>
      </c>
      <c r="L382" t="s">
        <v>159</v>
      </c>
      <c r="N382" t="s">
        <v>251</v>
      </c>
      <c r="O382" t="s">
        <v>161</v>
      </c>
      <c r="P382">
        <v>0.13293426536732422</v>
      </c>
      <c r="Q382" t="s">
        <v>159</v>
      </c>
    </row>
    <row r="383" spans="9:17" x14ac:dyDescent="0.45">
      <c r="I383" t="s">
        <v>208</v>
      </c>
      <c r="J383" t="s">
        <v>162</v>
      </c>
      <c r="K383">
        <v>0</v>
      </c>
      <c r="L383" t="s">
        <v>159</v>
      </c>
      <c r="N383" t="s">
        <v>251</v>
      </c>
      <c r="O383" t="s">
        <v>162</v>
      </c>
      <c r="P383">
        <v>6.9106271535599312E-2</v>
      </c>
      <c r="Q383" t="s">
        <v>159</v>
      </c>
    </row>
    <row r="384" spans="9:17" x14ac:dyDescent="0.45">
      <c r="I384" t="s">
        <v>208</v>
      </c>
      <c r="J384" t="s">
        <v>163</v>
      </c>
      <c r="K384">
        <v>0.12259273388549013</v>
      </c>
      <c r="L384" t="s">
        <v>159</v>
      </c>
      <c r="N384" t="s">
        <v>251</v>
      </c>
      <c r="O384" t="s">
        <v>163</v>
      </c>
      <c r="P384">
        <v>4.9767098527800639E-2</v>
      </c>
      <c r="Q384" t="s">
        <v>159</v>
      </c>
    </row>
    <row r="385" spans="9:17" x14ac:dyDescent="0.45">
      <c r="I385" t="s">
        <v>208</v>
      </c>
      <c r="J385" t="s">
        <v>164</v>
      </c>
      <c r="K385">
        <v>4.5372745407939313E-3</v>
      </c>
      <c r="L385" t="s">
        <v>159</v>
      </c>
      <c r="N385" t="s">
        <v>251</v>
      </c>
      <c r="O385" t="s">
        <v>164</v>
      </c>
      <c r="P385">
        <v>4.8727481514261511E-2</v>
      </c>
      <c r="Q385" t="s">
        <v>159</v>
      </c>
    </row>
    <row r="386" spans="9:17" x14ac:dyDescent="0.45">
      <c r="I386" t="s">
        <v>208</v>
      </c>
      <c r="J386" t="s">
        <v>165</v>
      </c>
      <c r="K386">
        <v>2.5457008644708245E-2</v>
      </c>
      <c r="L386" t="s">
        <v>159</v>
      </c>
      <c r="N386" t="s">
        <v>251</v>
      </c>
      <c r="O386" t="s">
        <v>165</v>
      </c>
      <c r="P386">
        <v>0.15770743727496928</v>
      </c>
      <c r="Q386" t="s">
        <v>159</v>
      </c>
    </row>
    <row r="387" spans="9:17" x14ac:dyDescent="0.45">
      <c r="I387" t="s">
        <v>208</v>
      </c>
      <c r="J387" t="s">
        <v>166</v>
      </c>
      <c r="K387">
        <v>0.36429016693239086</v>
      </c>
      <c r="L387" t="s">
        <v>159</v>
      </c>
      <c r="N387" t="s">
        <v>251</v>
      </c>
      <c r="O387" t="s">
        <v>166</v>
      </c>
      <c r="P387">
        <v>9.2623591574473918E-2</v>
      </c>
      <c r="Q387" t="s">
        <v>159</v>
      </c>
    </row>
    <row r="388" spans="9:17" x14ac:dyDescent="0.45">
      <c r="I388" t="s">
        <v>208</v>
      </c>
      <c r="J388" t="s">
        <v>167</v>
      </c>
      <c r="K388">
        <v>2.4286133748160799E-2</v>
      </c>
      <c r="L388" t="s">
        <v>159</v>
      </c>
      <c r="N388" t="s">
        <v>251</v>
      </c>
      <c r="O388" t="s">
        <v>167</v>
      </c>
      <c r="P388">
        <v>0.11854129631712262</v>
      </c>
      <c r="Q388" t="s">
        <v>159</v>
      </c>
    </row>
    <row r="389" spans="9:17" x14ac:dyDescent="0.45">
      <c r="I389" t="s">
        <v>209</v>
      </c>
      <c r="J389" t="s">
        <v>158</v>
      </c>
      <c r="K389">
        <v>1.5069685473906547E-2</v>
      </c>
      <c r="L389" t="s">
        <v>159</v>
      </c>
    </row>
    <row r="390" spans="9:17" x14ac:dyDescent="0.45">
      <c r="I390" t="s">
        <v>209</v>
      </c>
      <c r="J390" t="s">
        <v>160</v>
      </c>
      <c r="K390">
        <v>0.41817767020551927</v>
      </c>
      <c r="L390" t="s">
        <v>159</v>
      </c>
    </row>
    <row r="391" spans="9:17" x14ac:dyDescent="0.45">
      <c r="I391" t="s">
        <v>209</v>
      </c>
      <c r="J391" t="s">
        <v>161</v>
      </c>
      <c r="K391">
        <v>2.534973051253547E-2</v>
      </c>
      <c r="L391" t="s">
        <v>159</v>
      </c>
    </row>
    <row r="392" spans="9:17" x14ac:dyDescent="0.45">
      <c r="I392" t="s">
        <v>209</v>
      </c>
      <c r="J392" t="s">
        <v>162</v>
      </c>
      <c r="K392">
        <v>0</v>
      </c>
      <c r="L392" t="s">
        <v>159</v>
      </c>
    </row>
    <row r="393" spans="9:17" x14ac:dyDescent="0.45">
      <c r="I393" t="s">
        <v>209</v>
      </c>
      <c r="J393" t="s">
        <v>163</v>
      </c>
      <c r="K393">
        <v>0.12502338279080125</v>
      </c>
      <c r="L393" t="s">
        <v>159</v>
      </c>
    </row>
    <row r="394" spans="9:17" x14ac:dyDescent="0.45">
      <c r="I394" t="s">
        <v>209</v>
      </c>
      <c r="J394" t="s">
        <v>164</v>
      </c>
      <c r="K394">
        <v>2.7297310829428596E-3</v>
      </c>
      <c r="L394" t="s">
        <v>159</v>
      </c>
    </row>
    <row r="395" spans="9:17" x14ac:dyDescent="0.45">
      <c r="I395" t="s">
        <v>209</v>
      </c>
      <c r="J395" t="s">
        <v>165</v>
      </c>
      <c r="K395">
        <v>2.4336554570361806E-2</v>
      </c>
      <c r="L395" t="s">
        <v>159</v>
      </c>
    </row>
    <row r="396" spans="9:17" x14ac:dyDescent="0.45">
      <c r="I396" t="s">
        <v>209</v>
      </c>
      <c r="J396" t="s">
        <v>166</v>
      </c>
      <c r="K396">
        <v>0.36668583565612911</v>
      </c>
      <c r="L396" t="s">
        <v>159</v>
      </c>
    </row>
    <row r="397" spans="9:17" x14ac:dyDescent="0.45">
      <c r="I397" t="s">
        <v>209</v>
      </c>
      <c r="J397" t="s">
        <v>167</v>
      </c>
      <c r="K397">
        <v>2.262740970780355E-2</v>
      </c>
      <c r="L397" t="s">
        <v>159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E5258-FA8A-44E3-850A-734484E4B93F}">
  <dimension ref="A9:AN1085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272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278</v>
      </c>
      <c r="AK10" t="s">
        <v>47</v>
      </c>
      <c r="AL10" t="s">
        <v>115</v>
      </c>
      <c r="AM10" t="s">
        <v>279</v>
      </c>
      <c r="AN10" t="s">
        <v>280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150</v>
      </c>
      <c r="F11" t="s">
        <v>282</v>
      </c>
      <c r="G11" t="s">
        <v>149</v>
      </c>
      <c r="I11" t="s">
        <v>157</v>
      </c>
      <c r="J11" t="s">
        <v>158</v>
      </c>
      <c r="K11">
        <v>1.2144033916198926E-2</v>
      </c>
      <c r="L11" t="s">
        <v>159</v>
      </c>
      <c r="N11" t="s">
        <v>210</v>
      </c>
      <c r="O11" t="s">
        <v>158</v>
      </c>
      <c r="P11">
        <v>0.10171069035691183</v>
      </c>
      <c r="Q11" t="s">
        <v>159</v>
      </c>
      <c r="S11" t="s">
        <v>252</v>
      </c>
      <c r="T11" t="s">
        <v>158</v>
      </c>
      <c r="U11">
        <v>0.14449435058643345</v>
      </c>
      <c r="V11" t="s">
        <v>159</v>
      </c>
      <c r="X11">
        <v>0.13744292237442923</v>
      </c>
      <c r="Y11">
        <v>5.4278729416834481E-2</v>
      </c>
      <c r="Z11" t="s">
        <v>158</v>
      </c>
      <c r="AA11" t="s">
        <v>25</v>
      </c>
      <c r="AC11" t="s">
        <v>22</v>
      </c>
      <c r="AD11" t="s">
        <v>158</v>
      </c>
      <c r="AE11">
        <v>0.1012182061335965</v>
      </c>
      <c r="AG11" t="s">
        <v>96</v>
      </c>
      <c r="AH11" t="s">
        <v>158</v>
      </c>
      <c r="AI11">
        <v>0.34256742981394095</v>
      </c>
      <c r="AK11">
        <v>2020</v>
      </c>
      <c r="AL11" t="s">
        <v>148</v>
      </c>
      <c r="AM11">
        <v>0.12519740727008058</v>
      </c>
      <c r="AN11" t="s">
        <v>281</v>
      </c>
    </row>
    <row r="12" spans="1:40" x14ac:dyDescent="0.45">
      <c r="C12" t="s">
        <v>152</v>
      </c>
      <c r="E12" t="s">
        <v>153</v>
      </c>
      <c r="G12" t="s">
        <v>149</v>
      </c>
      <c r="I12" t="s">
        <v>157</v>
      </c>
      <c r="J12" t="s">
        <v>160</v>
      </c>
      <c r="K12">
        <v>3.3488257328594478E-2</v>
      </c>
      <c r="L12" t="s">
        <v>159</v>
      </c>
      <c r="N12" t="s">
        <v>210</v>
      </c>
      <c r="O12" t="s">
        <v>160</v>
      </c>
      <c r="P12">
        <v>1.632292177116124E-2</v>
      </c>
      <c r="Q12" t="s">
        <v>159</v>
      </c>
      <c r="S12" t="s">
        <v>252</v>
      </c>
      <c r="T12" t="s">
        <v>160</v>
      </c>
      <c r="U12">
        <v>1.884009136133017E-2</v>
      </c>
      <c r="V12" t="s">
        <v>159</v>
      </c>
      <c r="X12">
        <v>1.9634703196347032E-2</v>
      </c>
      <c r="Y12">
        <v>3.2783896443991413E-2</v>
      </c>
      <c r="Z12" t="s">
        <v>160</v>
      </c>
      <c r="AA12" t="s">
        <v>25</v>
      </c>
      <c r="AC12" t="s">
        <v>22</v>
      </c>
      <c r="AD12" t="s">
        <v>160</v>
      </c>
      <c r="AE12">
        <v>2.1592867420078855E-2</v>
      </c>
      <c r="AG12" t="s">
        <v>96</v>
      </c>
      <c r="AH12" t="s">
        <v>160</v>
      </c>
      <c r="AI12">
        <v>0.18121507519696411</v>
      </c>
      <c r="AK12">
        <v>2020</v>
      </c>
      <c r="AL12" t="s">
        <v>152</v>
      </c>
      <c r="AM12">
        <v>7.2879330943846993E-2</v>
      </c>
      <c r="AN12" t="s">
        <v>281</v>
      </c>
    </row>
    <row r="13" spans="1:40" x14ac:dyDescent="0.45">
      <c r="C13" t="s">
        <v>154</v>
      </c>
      <c r="E13" t="s">
        <v>155</v>
      </c>
      <c r="G13" t="s">
        <v>149</v>
      </c>
      <c r="I13" t="s">
        <v>157</v>
      </c>
      <c r="J13" t="s">
        <v>161</v>
      </c>
      <c r="K13">
        <v>0.40747011714083042</v>
      </c>
      <c r="L13" t="s">
        <v>159</v>
      </c>
      <c r="N13" t="s">
        <v>210</v>
      </c>
      <c r="O13" t="s">
        <v>161</v>
      </c>
      <c r="P13">
        <v>0.21766308300843493</v>
      </c>
      <c r="Q13" t="s">
        <v>159</v>
      </c>
      <c r="S13" t="s">
        <v>252</v>
      </c>
      <c r="T13" t="s">
        <v>161</v>
      </c>
      <c r="U13">
        <v>0.18306641932262524</v>
      </c>
      <c r="V13" t="s">
        <v>159</v>
      </c>
      <c r="X13">
        <v>0.19634703196347031</v>
      </c>
      <c r="Y13">
        <v>0.28040209167226049</v>
      </c>
      <c r="Z13" t="s">
        <v>161</v>
      </c>
      <c r="AA13" t="s">
        <v>25</v>
      </c>
      <c r="AC13" t="s">
        <v>22</v>
      </c>
      <c r="AD13" t="s">
        <v>161</v>
      </c>
      <c r="AE13">
        <v>0.22869521477619775</v>
      </c>
      <c r="AG13" t="s">
        <v>96</v>
      </c>
      <c r="AH13" t="s">
        <v>161</v>
      </c>
      <c r="AI13">
        <v>0.20773760141395314</v>
      </c>
      <c r="AK13">
        <v>2020</v>
      </c>
      <c r="AL13" t="s">
        <v>154</v>
      </c>
      <c r="AM13">
        <v>8.0645161290322509E-2</v>
      </c>
      <c r="AN13" t="s">
        <v>281</v>
      </c>
    </row>
    <row r="14" spans="1:40" x14ac:dyDescent="0.45">
      <c r="C14" t="s">
        <v>283</v>
      </c>
      <c r="E14" t="s">
        <v>284</v>
      </c>
      <c r="G14" t="s">
        <v>149</v>
      </c>
      <c r="I14" t="s">
        <v>157</v>
      </c>
      <c r="J14" t="s">
        <v>287</v>
      </c>
      <c r="K14">
        <v>9.9655950017744285E-3</v>
      </c>
      <c r="L14" t="s">
        <v>159</v>
      </c>
      <c r="N14" t="s">
        <v>210</v>
      </c>
      <c r="O14" t="s">
        <v>287</v>
      </c>
      <c r="P14">
        <v>2.2459190847282016E-2</v>
      </c>
      <c r="Q14" t="s">
        <v>159</v>
      </c>
      <c r="S14" t="s">
        <v>252</v>
      </c>
      <c r="T14" t="s">
        <v>287</v>
      </c>
      <c r="U14">
        <v>2.1196411632751277E-2</v>
      </c>
      <c r="V14" t="s">
        <v>159</v>
      </c>
      <c r="X14">
        <v>1.9634703196347032E-2</v>
      </c>
      <c r="Y14">
        <v>2.9648045479783537E-2</v>
      </c>
      <c r="Z14" t="s">
        <v>287</v>
      </c>
      <c r="AA14" t="s">
        <v>25</v>
      </c>
      <c r="AC14" t="s">
        <v>22</v>
      </c>
      <c r="AD14" t="s">
        <v>287</v>
      </c>
      <c r="AE14">
        <v>2.3622140886225447E-2</v>
      </c>
      <c r="AG14" t="s">
        <v>96</v>
      </c>
      <c r="AH14" t="s">
        <v>287</v>
      </c>
      <c r="AI14">
        <v>0.18149986904884519</v>
      </c>
      <c r="AK14">
        <v>2020</v>
      </c>
      <c r="AL14" t="s">
        <v>283</v>
      </c>
      <c r="AM14">
        <v>8.9605734767025005E-2</v>
      </c>
      <c r="AN14" t="s">
        <v>281</v>
      </c>
    </row>
    <row r="15" spans="1:40" x14ac:dyDescent="0.45">
      <c r="C15" t="s">
        <v>285</v>
      </c>
      <c r="E15" t="s">
        <v>286</v>
      </c>
      <c r="G15" t="s">
        <v>149</v>
      </c>
      <c r="I15" t="s">
        <v>157</v>
      </c>
      <c r="J15" t="s">
        <v>288</v>
      </c>
      <c r="K15">
        <v>0</v>
      </c>
      <c r="L15" t="s">
        <v>159</v>
      </c>
      <c r="N15" t="s">
        <v>210</v>
      </c>
      <c r="O15" t="s">
        <v>288</v>
      </c>
      <c r="P15">
        <v>8.330194625813174E-2</v>
      </c>
      <c r="Q15" t="s">
        <v>159</v>
      </c>
      <c r="S15" t="s">
        <v>252</v>
      </c>
      <c r="T15" t="s">
        <v>288</v>
      </c>
      <c r="U15">
        <v>0.10723572043552911</v>
      </c>
      <c r="V15" t="s">
        <v>159</v>
      </c>
      <c r="X15">
        <v>9.8173515981735154E-2</v>
      </c>
      <c r="Y15">
        <v>7.4120113699458839E-2</v>
      </c>
      <c r="Z15" t="s">
        <v>288</v>
      </c>
      <c r="AA15" t="s">
        <v>25</v>
      </c>
      <c r="AC15" t="s">
        <v>22</v>
      </c>
      <c r="AD15" t="s">
        <v>288</v>
      </c>
      <c r="AE15">
        <v>9.4177559096817604E-2</v>
      </c>
      <c r="AG15" t="s">
        <v>96</v>
      </c>
      <c r="AH15" t="s">
        <v>288</v>
      </c>
      <c r="AI15">
        <v>0.2574676103357334</v>
      </c>
      <c r="AK15">
        <v>2020</v>
      </c>
      <c r="AL15" t="s">
        <v>285</v>
      </c>
      <c r="AM15">
        <v>0.10896057347670247</v>
      </c>
      <c r="AN15" t="s">
        <v>281</v>
      </c>
    </row>
    <row r="16" spans="1:40" x14ac:dyDescent="0.45">
      <c r="I16" t="s">
        <v>157</v>
      </c>
      <c r="J16" t="s">
        <v>162</v>
      </c>
      <c r="K16">
        <v>0</v>
      </c>
      <c r="L16" t="s">
        <v>159</v>
      </c>
      <c r="N16" t="s">
        <v>210</v>
      </c>
      <c r="O16" t="s">
        <v>162</v>
      </c>
      <c r="P16">
        <v>2.2170011437628753E-2</v>
      </c>
      <c r="Q16" t="s">
        <v>159</v>
      </c>
      <c r="S16" t="s">
        <v>252</v>
      </c>
      <c r="T16" t="s">
        <v>162</v>
      </c>
      <c r="U16">
        <v>2.1324368996440433E-2</v>
      </c>
      <c r="V16" t="s">
        <v>159</v>
      </c>
      <c r="X16">
        <v>2.3972602739726026E-2</v>
      </c>
      <c r="Y16">
        <v>9.4672202471222967E-3</v>
      </c>
      <c r="Z16" t="s">
        <v>162</v>
      </c>
      <c r="AA16" t="s">
        <v>25</v>
      </c>
      <c r="AC16" t="s">
        <v>22</v>
      </c>
      <c r="AD16" t="s">
        <v>162</v>
      </c>
      <c r="AE16">
        <v>1.9143891703040036E-2</v>
      </c>
      <c r="AG16" t="s">
        <v>96</v>
      </c>
      <c r="AH16" t="s">
        <v>162</v>
      </c>
      <c r="AI16">
        <v>0.27181459844482103</v>
      </c>
      <c r="AK16">
        <v>2021</v>
      </c>
      <c r="AL16" t="s">
        <v>148</v>
      </c>
      <c r="AM16">
        <v>0.30278204471752851</v>
      </c>
      <c r="AN16" t="s">
        <v>281</v>
      </c>
    </row>
    <row r="17" spans="9:40" x14ac:dyDescent="0.45">
      <c r="I17" t="s">
        <v>157</v>
      </c>
      <c r="J17" t="s">
        <v>163</v>
      </c>
      <c r="K17">
        <v>3.5005892787856089E-3</v>
      </c>
      <c r="L17" t="s">
        <v>159</v>
      </c>
      <c r="N17" t="s">
        <v>210</v>
      </c>
      <c r="O17" t="s">
        <v>163</v>
      </c>
      <c r="P17">
        <v>3.07750050536236E-3</v>
      </c>
      <c r="Q17" t="s">
        <v>159</v>
      </c>
      <c r="S17" t="s">
        <v>252</v>
      </c>
      <c r="T17" t="s">
        <v>163</v>
      </c>
      <c r="U17">
        <v>2.7452252352910969E-3</v>
      </c>
      <c r="V17" t="s">
        <v>159</v>
      </c>
      <c r="X17">
        <v>3.4246575342465752E-3</v>
      </c>
      <c r="Y17">
        <v>5.7181214727892006E-3</v>
      </c>
      <c r="Z17" t="s">
        <v>163</v>
      </c>
      <c r="AA17" t="s">
        <v>25</v>
      </c>
      <c r="AC17" t="s">
        <v>22</v>
      </c>
      <c r="AD17" t="s">
        <v>163</v>
      </c>
      <c r="AE17">
        <v>4.3222798197804432E-3</v>
      </c>
      <c r="AG17" t="s">
        <v>96</v>
      </c>
      <c r="AH17" t="s">
        <v>163</v>
      </c>
      <c r="AI17">
        <v>7.734333484117184E-2</v>
      </c>
      <c r="AK17">
        <v>2021</v>
      </c>
      <c r="AL17" t="s">
        <v>152</v>
      </c>
      <c r="AM17">
        <v>6.3620071684587748E-2</v>
      </c>
      <c r="AN17" t="s">
        <v>281</v>
      </c>
    </row>
    <row r="18" spans="9:40" x14ac:dyDescent="0.45">
      <c r="I18" t="s">
        <v>157</v>
      </c>
      <c r="J18" t="s">
        <v>164</v>
      </c>
      <c r="K18">
        <v>5.1568603419596494E-2</v>
      </c>
      <c r="L18" t="s">
        <v>159</v>
      </c>
      <c r="N18" t="s">
        <v>210</v>
      </c>
      <c r="O18" t="s">
        <v>164</v>
      </c>
      <c r="P18">
        <v>4.2253660495564081E-2</v>
      </c>
      <c r="Q18" t="s">
        <v>159</v>
      </c>
      <c r="S18" t="s">
        <v>252</v>
      </c>
      <c r="T18" t="s">
        <v>164</v>
      </c>
      <c r="U18">
        <v>2.8171795837602112E-2</v>
      </c>
      <c r="V18" t="s">
        <v>159</v>
      </c>
      <c r="X18">
        <v>3.4246575342465752E-2</v>
      </c>
      <c r="Y18">
        <v>4.8907341570743113E-2</v>
      </c>
      <c r="Z18" t="s">
        <v>164</v>
      </c>
      <c r="AA18" t="s">
        <v>25</v>
      </c>
      <c r="AC18" t="s">
        <v>22</v>
      </c>
      <c r="AD18" t="s">
        <v>164</v>
      </c>
      <c r="AE18">
        <v>4.2407623785293828E-2</v>
      </c>
      <c r="AG18" t="s">
        <v>96</v>
      </c>
      <c r="AH18" t="s">
        <v>164</v>
      </c>
      <c r="AI18">
        <v>0.13844086975657888</v>
      </c>
      <c r="AK18">
        <v>2021</v>
      </c>
      <c r="AL18" t="s">
        <v>154</v>
      </c>
      <c r="AM18">
        <v>7.1684587813619999E-2</v>
      </c>
      <c r="AN18" t="s">
        <v>281</v>
      </c>
    </row>
    <row r="19" spans="9:40" x14ac:dyDescent="0.45">
      <c r="I19" t="s">
        <v>157</v>
      </c>
      <c r="J19" t="s">
        <v>289</v>
      </c>
      <c r="K19">
        <v>0</v>
      </c>
      <c r="L19" t="s">
        <v>159</v>
      </c>
      <c r="N19" t="s">
        <v>210</v>
      </c>
      <c r="O19" t="s">
        <v>289</v>
      </c>
      <c r="P19">
        <v>3.6120453550585537E-3</v>
      </c>
      <c r="Q19" t="s">
        <v>159</v>
      </c>
      <c r="S19" t="s">
        <v>252</v>
      </c>
      <c r="T19" t="s">
        <v>289</v>
      </c>
      <c r="U19">
        <v>3.0029541659176789E-3</v>
      </c>
      <c r="V19" t="s">
        <v>159</v>
      </c>
      <c r="X19">
        <v>3.4246575342465752E-3</v>
      </c>
      <c r="Y19">
        <v>5.1711707232180593E-3</v>
      </c>
      <c r="Z19" t="s">
        <v>289</v>
      </c>
      <c r="AA19" t="s">
        <v>25</v>
      </c>
      <c r="AC19" t="s">
        <v>22</v>
      </c>
      <c r="AD19" t="s">
        <v>289</v>
      </c>
      <c r="AE19">
        <v>4.7607854487959197E-3</v>
      </c>
      <c r="AG19" t="s">
        <v>96</v>
      </c>
      <c r="AH19" t="s">
        <v>289</v>
      </c>
      <c r="AI19">
        <v>7.1647942232454076E-2</v>
      </c>
      <c r="AK19">
        <v>2021</v>
      </c>
      <c r="AL19" t="s">
        <v>283</v>
      </c>
      <c r="AM19">
        <v>7.1684587813619999E-2</v>
      </c>
      <c r="AN19" t="s">
        <v>281</v>
      </c>
    </row>
    <row r="20" spans="9:40" x14ac:dyDescent="0.45">
      <c r="I20" t="s">
        <v>157</v>
      </c>
      <c r="J20" t="s">
        <v>290</v>
      </c>
      <c r="K20">
        <v>0</v>
      </c>
      <c r="L20" t="s">
        <v>159</v>
      </c>
      <c r="N20" t="s">
        <v>210</v>
      </c>
      <c r="O20" t="s">
        <v>290</v>
      </c>
      <c r="P20">
        <v>1.5315348635235669E-2</v>
      </c>
      <c r="Q20" t="s">
        <v>159</v>
      </c>
      <c r="S20" t="s">
        <v>252</v>
      </c>
      <c r="T20" t="s">
        <v>290</v>
      </c>
      <c r="U20">
        <v>1.6030937138946773E-2</v>
      </c>
      <c r="V20" t="s">
        <v>159</v>
      </c>
      <c r="X20">
        <v>1.7123287671232876E-2</v>
      </c>
      <c r="Y20">
        <v>1.2927926808045149E-2</v>
      </c>
      <c r="Z20" t="s">
        <v>290</v>
      </c>
      <c r="AA20" t="s">
        <v>25</v>
      </c>
      <c r="AC20" t="s">
        <v>22</v>
      </c>
      <c r="AD20" t="s">
        <v>290</v>
      </c>
      <c r="AE20">
        <v>1.7943137750243927E-2</v>
      </c>
      <c r="AG20" t="s">
        <v>96</v>
      </c>
      <c r="AH20" t="s">
        <v>290</v>
      </c>
      <c r="AI20">
        <v>0.19329836946259471</v>
      </c>
      <c r="AK20">
        <v>2021</v>
      </c>
      <c r="AL20" t="s">
        <v>285</v>
      </c>
      <c r="AM20">
        <v>0.20573476702508958</v>
      </c>
      <c r="AN20" t="s">
        <v>281</v>
      </c>
    </row>
    <row r="21" spans="9:40" x14ac:dyDescent="0.45">
      <c r="I21" t="s">
        <v>157</v>
      </c>
      <c r="J21" t="s">
        <v>165</v>
      </c>
      <c r="K21">
        <v>0</v>
      </c>
      <c r="L21" t="s">
        <v>159</v>
      </c>
      <c r="N21" t="s">
        <v>210</v>
      </c>
      <c r="O21" t="s">
        <v>165</v>
      </c>
      <c r="P21">
        <v>3.8709182052173149E-2</v>
      </c>
      <c r="Q21" t="s">
        <v>159</v>
      </c>
      <c r="S21" t="s">
        <v>252</v>
      </c>
      <c r="T21" t="s">
        <v>165</v>
      </c>
      <c r="U21">
        <v>2.4735179124504913E-2</v>
      </c>
      <c r="V21" t="s">
        <v>159</v>
      </c>
      <c r="X21">
        <v>2.4771689497716895E-2</v>
      </c>
      <c r="Y21">
        <v>9.7827942553597048E-3</v>
      </c>
      <c r="Z21" t="s">
        <v>165</v>
      </c>
      <c r="AA21" t="s">
        <v>25</v>
      </c>
      <c r="AC21" t="s">
        <v>22</v>
      </c>
      <c r="AD21" t="s">
        <v>165</v>
      </c>
      <c r="AE21">
        <v>1.9868368849186947E-2</v>
      </c>
      <c r="AG21" t="s">
        <v>96</v>
      </c>
      <c r="AH21" t="s">
        <v>165</v>
      </c>
      <c r="AI21">
        <v>0.28762997520818501</v>
      </c>
      <c r="AK21">
        <v>2022</v>
      </c>
      <c r="AL21" t="s">
        <v>148</v>
      </c>
      <c r="AM21">
        <v>0.64720230983671845</v>
      </c>
      <c r="AN21" t="s">
        <v>281</v>
      </c>
    </row>
    <row r="22" spans="9:40" x14ac:dyDescent="0.45">
      <c r="I22" t="s">
        <v>157</v>
      </c>
      <c r="J22" t="s">
        <v>166</v>
      </c>
      <c r="K22">
        <v>4.3964299837989298E-3</v>
      </c>
      <c r="L22" t="s">
        <v>159</v>
      </c>
      <c r="N22" t="s">
        <v>210</v>
      </c>
      <c r="O22" t="s">
        <v>166</v>
      </c>
      <c r="P22">
        <v>6.4271136940718451E-3</v>
      </c>
      <c r="Q22" t="s">
        <v>159</v>
      </c>
      <c r="S22" t="s">
        <v>252</v>
      </c>
      <c r="T22" t="s">
        <v>166</v>
      </c>
      <c r="U22">
        <v>3.5708273260968834E-3</v>
      </c>
      <c r="V22" t="s">
        <v>159</v>
      </c>
      <c r="X22">
        <v>3.5388127853881279E-3</v>
      </c>
      <c r="Y22">
        <v>5.9087255218821738E-3</v>
      </c>
      <c r="Z22" t="s">
        <v>166</v>
      </c>
      <c r="AA22" t="s">
        <v>25</v>
      </c>
      <c r="AC22" t="s">
        <v>22</v>
      </c>
      <c r="AD22" t="s">
        <v>166</v>
      </c>
      <c r="AE22">
        <v>4.5044003736932382E-3</v>
      </c>
      <c r="AG22" t="s">
        <v>96</v>
      </c>
      <c r="AH22" t="s">
        <v>166</v>
      </c>
      <c r="AI22">
        <v>7.9490680016605308E-2</v>
      </c>
      <c r="AK22">
        <v>2022</v>
      </c>
      <c r="AL22" t="s">
        <v>152</v>
      </c>
      <c r="AM22">
        <v>0.20161290322580638</v>
      </c>
      <c r="AN22" t="s">
        <v>281</v>
      </c>
    </row>
    <row r="23" spans="9:40" x14ac:dyDescent="0.45">
      <c r="I23" t="s">
        <v>157</v>
      </c>
      <c r="J23" t="s">
        <v>167</v>
      </c>
      <c r="K23">
        <v>6.5621152920210132E-2</v>
      </c>
      <c r="L23" t="s">
        <v>159</v>
      </c>
      <c r="N23" t="s">
        <v>210</v>
      </c>
      <c r="O23" t="s">
        <v>167</v>
      </c>
      <c r="P23">
        <v>7.4391535648185306E-2</v>
      </c>
      <c r="Q23" t="s">
        <v>159</v>
      </c>
      <c r="S23" t="s">
        <v>252</v>
      </c>
      <c r="T23" t="s">
        <v>167</v>
      </c>
      <c r="U23">
        <v>3.1258955493160788E-2</v>
      </c>
      <c r="V23" t="s">
        <v>159</v>
      </c>
      <c r="X23">
        <v>3.5388127853881277E-2</v>
      </c>
      <c r="Y23">
        <v>5.0537586289767886E-2</v>
      </c>
      <c r="Z23" t="s">
        <v>167</v>
      </c>
      <c r="AA23" t="s">
        <v>25</v>
      </c>
      <c r="AC23" t="s">
        <v>22</v>
      </c>
      <c r="AD23" t="s">
        <v>167</v>
      </c>
      <c r="AE23">
        <v>4.407352022761829E-2</v>
      </c>
      <c r="AG23" t="s">
        <v>96</v>
      </c>
      <c r="AH23" t="s">
        <v>167</v>
      </c>
      <c r="AI23">
        <v>0.16572792434249117</v>
      </c>
      <c r="AK23">
        <v>2022</v>
      </c>
      <c r="AL23" t="s">
        <v>154</v>
      </c>
      <c r="AM23">
        <v>0.12544802867383509</v>
      </c>
      <c r="AN23" t="s">
        <v>281</v>
      </c>
    </row>
    <row r="24" spans="9:40" x14ac:dyDescent="0.45">
      <c r="I24" t="s">
        <v>157</v>
      </c>
      <c r="J24" t="s">
        <v>291</v>
      </c>
      <c r="K24">
        <v>0</v>
      </c>
      <c r="L24" t="s">
        <v>159</v>
      </c>
      <c r="N24" t="s">
        <v>210</v>
      </c>
      <c r="O24" t="s">
        <v>291</v>
      </c>
      <c r="P24">
        <v>4.6692013730693146E-3</v>
      </c>
      <c r="Q24" t="s">
        <v>159</v>
      </c>
      <c r="S24" t="s">
        <v>252</v>
      </c>
      <c r="T24" t="s">
        <v>291</v>
      </c>
      <c r="U24">
        <v>3.0725532923284726E-3</v>
      </c>
      <c r="V24" t="s">
        <v>159</v>
      </c>
      <c r="X24">
        <v>3.5388127853881279E-3</v>
      </c>
      <c r="Y24">
        <v>5.3435430806586613E-3</v>
      </c>
      <c r="Z24" t="s">
        <v>291</v>
      </c>
      <c r="AA24" t="s">
        <v>25</v>
      </c>
      <c r="AC24" t="s">
        <v>22</v>
      </c>
      <c r="AD24" t="s">
        <v>291</v>
      </c>
      <c r="AE24">
        <v>4.953302256246587E-3</v>
      </c>
      <c r="AG24" t="s">
        <v>96</v>
      </c>
      <c r="AH24" t="s">
        <v>291</v>
      </c>
      <c r="AI24">
        <v>8.5423052306120129E-2</v>
      </c>
      <c r="AK24">
        <v>2022</v>
      </c>
      <c r="AL24" t="s">
        <v>283</v>
      </c>
      <c r="AM24">
        <v>0.12544802867383509</v>
      </c>
      <c r="AN24" t="s">
        <v>281</v>
      </c>
    </row>
    <row r="25" spans="9:40" x14ac:dyDescent="0.45">
      <c r="I25" t="s">
        <v>157</v>
      </c>
      <c r="J25" t="s">
        <v>292</v>
      </c>
      <c r="K25">
        <v>0</v>
      </c>
      <c r="L25" t="s">
        <v>159</v>
      </c>
      <c r="N25" t="s">
        <v>210</v>
      </c>
      <c r="O25" t="s">
        <v>292</v>
      </c>
      <c r="P25">
        <v>2.0093652542073747E-2</v>
      </c>
      <c r="Q25" t="s">
        <v>159</v>
      </c>
      <c r="S25" t="s">
        <v>252</v>
      </c>
      <c r="T25" t="s">
        <v>292</v>
      </c>
      <c r="U25">
        <v>1.5762011655508255E-2</v>
      </c>
      <c r="V25" t="s">
        <v>159</v>
      </c>
      <c r="X25">
        <v>1.7694063926940638E-2</v>
      </c>
      <c r="Y25">
        <v>1.3358857701646654E-2</v>
      </c>
      <c r="Z25" t="s">
        <v>292</v>
      </c>
      <c r="AA25" t="s">
        <v>25</v>
      </c>
      <c r="AC25" t="s">
        <v>22</v>
      </c>
      <c r="AD25" t="s">
        <v>292</v>
      </c>
      <c r="AE25">
        <v>1.8403222487043746E-2</v>
      </c>
      <c r="AG25" t="s">
        <v>96</v>
      </c>
      <c r="AH25" t="s">
        <v>292</v>
      </c>
      <c r="AI25">
        <v>0.20681980140534106</v>
      </c>
      <c r="AK25">
        <v>2022</v>
      </c>
      <c r="AL25" t="s">
        <v>285</v>
      </c>
      <c r="AM25">
        <v>0.34528076463560331</v>
      </c>
      <c r="AN25" t="s">
        <v>281</v>
      </c>
    </row>
    <row r="26" spans="9:40" x14ac:dyDescent="0.45">
      <c r="I26" t="s">
        <v>157</v>
      </c>
      <c r="J26" t="s">
        <v>293</v>
      </c>
      <c r="K26">
        <v>0</v>
      </c>
      <c r="L26" t="s">
        <v>159</v>
      </c>
      <c r="N26" t="s">
        <v>210</v>
      </c>
      <c r="O26" t="s">
        <v>293</v>
      </c>
      <c r="P26">
        <v>8.1771757410565079E-3</v>
      </c>
      <c r="Q26" t="s">
        <v>159</v>
      </c>
      <c r="S26" t="s">
        <v>252</v>
      </c>
      <c r="T26" t="s">
        <v>293</v>
      </c>
      <c r="U26">
        <v>3.1547799907673856E-3</v>
      </c>
      <c r="V26" t="s">
        <v>159</v>
      </c>
      <c r="X26">
        <v>5.5936073059360729E-3</v>
      </c>
      <c r="Y26">
        <v>2.2090180576618689E-3</v>
      </c>
      <c r="Z26" t="s">
        <v>293</v>
      </c>
      <c r="AA26" t="s">
        <v>25</v>
      </c>
      <c r="AC26" t="s">
        <v>22</v>
      </c>
      <c r="AD26" t="s">
        <v>293</v>
      </c>
      <c r="AE26">
        <v>4.3872536714012278E-3</v>
      </c>
      <c r="AG26" t="s">
        <v>96</v>
      </c>
      <c r="AH26" t="s">
        <v>293</v>
      </c>
      <c r="AI26">
        <v>0.24227028784070814</v>
      </c>
      <c r="AK26">
        <v>2025</v>
      </c>
      <c r="AL26" t="s">
        <v>148</v>
      </c>
      <c r="AM26">
        <v>0.31746666666666667</v>
      </c>
      <c r="AN26" t="s">
        <v>281</v>
      </c>
    </row>
    <row r="27" spans="9:40" x14ac:dyDescent="0.45">
      <c r="I27" t="s">
        <v>157</v>
      </c>
      <c r="J27" t="s">
        <v>294</v>
      </c>
      <c r="K27">
        <v>1.1332973668603155E-3</v>
      </c>
      <c r="L27" t="s">
        <v>159</v>
      </c>
      <c r="N27" t="s">
        <v>210</v>
      </c>
      <c r="O27" t="s">
        <v>294</v>
      </c>
      <c r="P27">
        <v>1.594181142220183E-3</v>
      </c>
      <c r="Q27" t="s">
        <v>159</v>
      </c>
      <c r="S27" t="s">
        <v>252</v>
      </c>
      <c r="T27" t="s">
        <v>294</v>
      </c>
      <c r="U27">
        <v>4.0559208371572823E-4</v>
      </c>
      <c r="V27" t="s">
        <v>159</v>
      </c>
      <c r="X27">
        <v>7.9908675799086762E-4</v>
      </c>
      <c r="Y27">
        <v>1.3342283436508136E-3</v>
      </c>
      <c r="Z27" t="s">
        <v>294</v>
      </c>
      <c r="AA27" t="s">
        <v>25</v>
      </c>
      <c r="AC27" t="s">
        <v>22</v>
      </c>
      <c r="AD27" t="s">
        <v>294</v>
      </c>
      <c r="AE27">
        <v>9.7246898199590212E-4</v>
      </c>
      <c r="AG27" t="s">
        <v>96</v>
      </c>
      <c r="AH27" t="s">
        <v>294</v>
      </c>
      <c r="AI27">
        <v>7.9341283869957202E-2</v>
      </c>
      <c r="AK27">
        <v>2025</v>
      </c>
      <c r="AL27" t="s">
        <v>152</v>
      </c>
      <c r="AM27">
        <v>0.11524999999999999</v>
      </c>
      <c r="AN27" t="s">
        <v>281</v>
      </c>
    </row>
    <row r="28" spans="9:40" x14ac:dyDescent="0.45">
      <c r="I28" t="s">
        <v>157</v>
      </c>
      <c r="J28" t="s">
        <v>295</v>
      </c>
      <c r="K28">
        <v>1.6128966689991E-2</v>
      </c>
      <c r="L28" t="s">
        <v>159</v>
      </c>
      <c r="N28" t="s">
        <v>210</v>
      </c>
      <c r="O28" t="s">
        <v>295</v>
      </c>
      <c r="P28">
        <v>1.7294605708596002E-2</v>
      </c>
      <c r="Q28" t="s">
        <v>159</v>
      </c>
      <c r="S28" t="s">
        <v>252</v>
      </c>
      <c r="T28" t="s">
        <v>295</v>
      </c>
      <c r="U28">
        <v>4.4514780694482198E-3</v>
      </c>
      <c r="V28" t="s">
        <v>159</v>
      </c>
      <c r="X28">
        <v>7.9908675799086754E-3</v>
      </c>
      <c r="Y28">
        <v>1.1411713033173392E-2</v>
      </c>
      <c r="Z28" t="s">
        <v>295</v>
      </c>
      <c r="AA28" t="s">
        <v>25</v>
      </c>
      <c r="AC28" t="s">
        <v>22</v>
      </c>
      <c r="AD28" t="s">
        <v>295</v>
      </c>
      <c r="AE28">
        <v>9.6249057674889574E-3</v>
      </c>
      <c r="AG28" t="s">
        <v>96</v>
      </c>
      <c r="AH28" t="s">
        <v>295</v>
      </c>
      <c r="AI28">
        <v>0.16010092780692209</v>
      </c>
      <c r="AK28">
        <v>2025</v>
      </c>
      <c r="AL28" t="s">
        <v>154</v>
      </c>
      <c r="AM28">
        <v>9.7500000000000003E-2</v>
      </c>
      <c r="AN28" t="s">
        <v>281</v>
      </c>
    </row>
    <row r="29" spans="9:40" x14ac:dyDescent="0.45">
      <c r="I29" t="s">
        <v>157</v>
      </c>
      <c r="J29" t="s">
        <v>296</v>
      </c>
      <c r="K29">
        <v>0</v>
      </c>
      <c r="L29" t="s">
        <v>159</v>
      </c>
      <c r="N29" t="s">
        <v>210</v>
      </c>
      <c r="O29" t="s">
        <v>296</v>
      </c>
      <c r="P29">
        <v>7.976843006722434E-4</v>
      </c>
      <c r="Q29" t="s">
        <v>159</v>
      </c>
      <c r="S29" t="s">
        <v>252</v>
      </c>
      <c r="T29" t="s">
        <v>296</v>
      </c>
      <c r="U29">
        <v>6.8756519677693145E-4</v>
      </c>
      <c r="V29" t="s">
        <v>159</v>
      </c>
      <c r="X29">
        <v>7.9908675799086762E-4</v>
      </c>
      <c r="Y29">
        <v>1.2066065020842141E-3</v>
      </c>
      <c r="Z29" t="s">
        <v>296</v>
      </c>
      <c r="AA29" t="s">
        <v>25</v>
      </c>
      <c r="AC29" t="s">
        <v>22</v>
      </c>
      <c r="AD29" t="s">
        <v>296</v>
      </c>
      <c r="AE29">
        <v>1.0384314182361985E-3</v>
      </c>
      <c r="AG29" t="s">
        <v>96</v>
      </c>
      <c r="AH29" t="s">
        <v>296</v>
      </c>
      <c r="AI29">
        <v>9.9782457764406418E-2</v>
      </c>
      <c r="AK29">
        <v>2025</v>
      </c>
      <c r="AL29" t="s">
        <v>283</v>
      </c>
      <c r="AM29">
        <v>0.1051</v>
      </c>
      <c r="AN29" t="s">
        <v>281</v>
      </c>
    </row>
    <row r="30" spans="9:40" x14ac:dyDescent="0.45">
      <c r="I30" t="s">
        <v>157</v>
      </c>
      <c r="J30" t="s">
        <v>297</v>
      </c>
      <c r="K30">
        <v>0</v>
      </c>
      <c r="L30" t="s">
        <v>159</v>
      </c>
      <c r="N30" t="s">
        <v>210</v>
      </c>
      <c r="O30" t="s">
        <v>297</v>
      </c>
      <c r="P30">
        <v>2.4673681086572349E-3</v>
      </c>
      <c r="Q30" t="s">
        <v>159</v>
      </c>
      <c r="S30" t="s">
        <v>252</v>
      </c>
      <c r="T30" t="s">
        <v>297</v>
      </c>
      <c r="U30">
        <v>3.3166105643069378E-3</v>
      </c>
      <c r="V30" t="s">
        <v>159</v>
      </c>
      <c r="X30">
        <v>3.9954337899543377E-3</v>
      </c>
      <c r="Y30">
        <v>3.0165162552105353E-3</v>
      </c>
      <c r="Z30" t="s">
        <v>297</v>
      </c>
      <c r="AA30" t="s">
        <v>25</v>
      </c>
      <c r="AC30" t="s">
        <v>22</v>
      </c>
      <c r="AD30" t="s">
        <v>297</v>
      </c>
      <c r="AE30">
        <v>4.0540641127317246E-3</v>
      </c>
      <c r="AG30" t="s">
        <v>96</v>
      </c>
      <c r="AH30" t="s">
        <v>297</v>
      </c>
      <c r="AI30">
        <v>0.19774027139172357</v>
      </c>
      <c r="AK30">
        <v>2025</v>
      </c>
      <c r="AL30" t="s">
        <v>285</v>
      </c>
      <c r="AM30">
        <v>0.16148000000000001</v>
      </c>
      <c r="AN30" t="s">
        <v>281</v>
      </c>
    </row>
    <row r="31" spans="9:40" x14ac:dyDescent="0.45">
      <c r="I31" t="s">
        <v>157</v>
      </c>
      <c r="J31" t="s">
        <v>298</v>
      </c>
      <c r="K31">
        <v>1.9721765248767124E-2</v>
      </c>
      <c r="L31" t="s">
        <v>159</v>
      </c>
      <c r="N31" t="s">
        <v>210</v>
      </c>
      <c r="O31" t="s">
        <v>298</v>
      </c>
      <c r="P31">
        <v>5.049173481951242E-2</v>
      </c>
      <c r="Q31" t="s">
        <v>159</v>
      </c>
      <c r="S31" t="s">
        <v>252</v>
      </c>
      <c r="T31" t="s">
        <v>298</v>
      </c>
      <c r="U31">
        <v>0.10561467107046474</v>
      </c>
      <c r="V31" t="s">
        <v>159</v>
      </c>
      <c r="X31">
        <v>9.9885844748858449E-2</v>
      </c>
      <c r="Y31">
        <v>3.9446751029676229E-2</v>
      </c>
      <c r="Z31" t="s">
        <v>298</v>
      </c>
      <c r="AA31" t="s">
        <v>25</v>
      </c>
      <c r="AC31" t="s">
        <v>22</v>
      </c>
      <c r="AD31" t="s">
        <v>298</v>
      </c>
      <c r="AE31">
        <v>7.0124571144744199E-2</v>
      </c>
      <c r="AG31" t="s">
        <v>96</v>
      </c>
      <c r="AH31" t="s">
        <v>298</v>
      </c>
      <c r="AI31">
        <v>0.25808206437185133</v>
      </c>
      <c r="AK31">
        <v>2026</v>
      </c>
      <c r="AL31" t="s">
        <v>148</v>
      </c>
      <c r="AM31">
        <v>0.30671666666666669</v>
      </c>
      <c r="AN31" t="s">
        <v>281</v>
      </c>
    </row>
    <row r="32" spans="9:40" x14ac:dyDescent="0.45">
      <c r="I32" t="s">
        <v>157</v>
      </c>
      <c r="J32" t="s">
        <v>299</v>
      </c>
      <c r="K32">
        <v>2.9239157699148428E-2</v>
      </c>
      <c r="L32" t="s">
        <v>159</v>
      </c>
      <c r="N32" t="s">
        <v>210</v>
      </c>
      <c r="O32" t="s">
        <v>299</v>
      </c>
      <c r="P32">
        <v>7.7930614392723195E-3</v>
      </c>
      <c r="Q32" t="s">
        <v>159</v>
      </c>
      <c r="S32" t="s">
        <v>252</v>
      </c>
      <c r="T32" t="s">
        <v>299</v>
      </c>
      <c r="U32">
        <v>1.4212886838859358E-2</v>
      </c>
      <c r="V32" t="s">
        <v>159</v>
      </c>
      <c r="X32">
        <v>1.4269406392694063E-2</v>
      </c>
      <c r="Y32">
        <v>2.3825506136621662E-2</v>
      </c>
      <c r="Z32" t="s">
        <v>299</v>
      </c>
      <c r="AA32" t="s">
        <v>25</v>
      </c>
      <c r="AC32" t="s">
        <v>22</v>
      </c>
      <c r="AD32" t="s">
        <v>299</v>
      </c>
      <c r="AE32">
        <v>1.5036186593910192E-2</v>
      </c>
      <c r="AG32" t="s">
        <v>96</v>
      </c>
      <c r="AH32" t="s">
        <v>299</v>
      </c>
      <c r="AI32">
        <v>9.6641729643607288E-2</v>
      </c>
      <c r="AK32">
        <v>2026</v>
      </c>
      <c r="AL32" t="s">
        <v>152</v>
      </c>
      <c r="AM32">
        <v>0.1206</v>
      </c>
      <c r="AN32" t="s">
        <v>281</v>
      </c>
    </row>
    <row r="33" spans="9:40" x14ac:dyDescent="0.45">
      <c r="I33" t="s">
        <v>157</v>
      </c>
      <c r="J33" t="s">
        <v>300</v>
      </c>
      <c r="K33">
        <v>0.33979847691831727</v>
      </c>
      <c r="L33" t="s">
        <v>159</v>
      </c>
      <c r="N33" t="s">
        <v>210</v>
      </c>
      <c r="O33" t="s">
        <v>300</v>
      </c>
      <c r="P33">
        <v>0.16488865639831457</v>
      </c>
      <c r="Q33" t="s">
        <v>159</v>
      </c>
      <c r="S33" t="s">
        <v>252</v>
      </c>
      <c r="T33" t="s">
        <v>300</v>
      </c>
      <c r="U33">
        <v>0.14501797793119958</v>
      </c>
      <c r="V33" t="s">
        <v>159</v>
      </c>
      <c r="X33">
        <v>0.14269406392694065</v>
      </c>
      <c r="Y33">
        <v>0.2037805898780963</v>
      </c>
      <c r="Z33" t="s">
        <v>300</v>
      </c>
      <c r="AA33" t="s">
        <v>25</v>
      </c>
      <c r="AC33" t="s">
        <v>22</v>
      </c>
      <c r="AD33" t="s">
        <v>300</v>
      </c>
      <c r="AE33">
        <v>0.16187723003658433</v>
      </c>
      <c r="AG33" t="s">
        <v>96</v>
      </c>
      <c r="AH33" t="s">
        <v>300</v>
      </c>
      <c r="AI33">
        <v>0.14304843607538675</v>
      </c>
      <c r="AK33">
        <v>2026</v>
      </c>
      <c r="AL33" t="s">
        <v>154</v>
      </c>
      <c r="AM33">
        <v>9.5500000000000002E-2</v>
      </c>
      <c r="AN33" t="s">
        <v>281</v>
      </c>
    </row>
    <row r="34" spans="9:40" x14ac:dyDescent="0.45">
      <c r="I34" t="s">
        <v>157</v>
      </c>
      <c r="J34" t="s">
        <v>301</v>
      </c>
      <c r="K34">
        <v>5.8235570871283159E-3</v>
      </c>
      <c r="L34" t="s">
        <v>159</v>
      </c>
      <c r="N34" t="s">
        <v>210</v>
      </c>
      <c r="O34" t="s">
        <v>301</v>
      </c>
      <c r="P34">
        <v>2.0399916289818451E-2</v>
      </c>
      <c r="Q34" t="s">
        <v>159</v>
      </c>
      <c r="S34" t="s">
        <v>252</v>
      </c>
      <c r="T34" t="s">
        <v>301</v>
      </c>
      <c r="U34">
        <v>1.6825947967205712E-2</v>
      </c>
      <c r="V34" t="s">
        <v>159</v>
      </c>
      <c r="X34">
        <v>1.4269406392694063E-2</v>
      </c>
      <c r="Y34">
        <v>2.154654468007524E-2</v>
      </c>
      <c r="Z34" t="s">
        <v>301</v>
      </c>
      <c r="AA34" t="s">
        <v>25</v>
      </c>
      <c r="AC34" t="s">
        <v>22</v>
      </c>
      <c r="AD34" t="s">
        <v>301</v>
      </c>
      <c r="AE34">
        <v>1.6497427337782564E-2</v>
      </c>
      <c r="AG34" t="s">
        <v>96</v>
      </c>
      <c r="AH34" t="s">
        <v>301</v>
      </c>
      <c r="AI34">
        <v>0.11704425887686454</v>
      </c>
      <c r="AK34">
        <v>2026</v>
      </c>
      <c r="AL34" t="s">
        <v>283</v>
      </c>
      <c r="AM34">
        <v>0.1013</v>
      </c>
      <c r="AN34" t="s">
        <v>281</v>
      </c>
    </row>
    <row r="35" spans="9:40" x14ac:dyDescent="0.45">
      <c r="I35" t="s">
        <v>157</v>
      </c>
      <c r="J35" t="s">
        <v>302</v>
      </c>
      <c r="K35">
        <v>0</v>
      </c>
      <c r="L35" t="s">
        <v>159</v>
      </c>
      <c r="N35" t="s">
        <v>210</v>
      </c>
      <c r="O35" t="s">
        <v>302</v>
      </c>
      <c r="P35">
        <v>5.39185320715359E-2</v>
      </c>
      <c r="Q35" t="s">
        <v>159</v>
      </c>
      <c r="S35" t="s">
        <v>252</v>
      </c>
      <c r="T35" t="s">
        <v>302</v>
      </c>
      <c r="U35">
        <v>8.1804688682787077E-2</v>
      </c>
      <c r="V35" t="s">
        <v>159</v>
      </c>
      <c r="X35">
        <v>7.1347031963470323E-2</v>
      </c>
      <c r="Y35">
        <v>5.3866361700188124E-2</v>
      </c>
      <c r="Z35" t="s">
        <v>302</v>
      </c>
      <c r="AA35" t="s">
        <v>25</v>
      </c>
      <c r="AC35" t="s">
        <v>22</v>
      </c>
      <c r="AD35" t="s">
        <v>302</v>
      </c>
      <c r="AE35">
        <v>6.6700939921265523E-2</v>
      </c>
      <c r="AG35" t="s">
        <v>96</v>
      </c>
      <c r="AH35" t="s">
        <v>302</v>
      </c>
      <c r="AI35">
        <v>0.21648974749686412</v>
      </c>
      <c r="AK35">
        <v>2026</v>
      </c>
      <c r="AL35" t="s">
        <v>285</v>
      </c>
      <c r="AM35">
        <v>0.15834000000000001</v>
      </c>
      <c r="AN35" t="s">
        <v>281</v>
      </c>
    </row>
    <row r="36" spans="9:40" x14ac:dyDescent="0.45">
      <c r="I36" t="s">
        <v>168</v>
      </c>
      <c r="J36" t="s">
        <v>158</v>
      </c>
      <c r="K36">
        <v>1.1038188482767521E-2</v>
      </c>
      <c r="L36" t="s">
        <v>159</v>
      </c>
      <c r="N36" t="s">
        <v>211</v>
      </c>
      <c r="O36" t="s">
        <v>158</v>
      </c>
      <c r="P36">
        <v>9.9312322061314323E-2</v>
      </c>
      <c r="Q36" t="s">
        <v>159</v>
      </c>
      <c r="S36" t="s">
        <v>253</v>
      </c>
      <c r="T36" t="s">
        <v>158</v>
      </c>
      <c r="U36">
        <v>0.14406437260083843</v>
      </c>
      <c r="V36" t="s">
        <v>159</v>
      </c>
      <c r="AC36" t="s">
        <v>19</v>
      </c>
      <c r="AD36" t="s">
        <v>158</v>
      </c>
      <c r="AE36">
        <v>0.13573818333269982</v>
      </c>
      <c r="AK36">
        <v>2027</v>
      </c>
      <c r="AL36" t="s">
        <v>148</v>
      </c>
      <c r="AM36">
        <v>0.31264999999999998</v>
      </c>
      <c r="AN36" t="s">
        <v>281</v>
      </c>
    </row>
    <row r="37" spans="9:40" x14ac:dyDescent="0.45">
      <c r="I37" t="s">
        <v>168</v>
      </c>
      <c r="J37" t="s">
        <v>160</v>
      </c>
      <c r="K37">
        <v>3.3262239881269084E-2</v>
      </c>
      <c r="L37" t="s">
        <v>159</v>
      </c>
      <c r="N37" t="s">
        <v>211</v>
      </c>
      <c r="O37" t="s">
        <v>160</v>
      </c>
      <c r="P37">
        <v>1.4597265227862012E-2</v>
      </c>
      <c r="Q37" t="s">
        <v>159</v>
      </c>
      <c r="S37" t="s">
        <v>253</v>
      </c>
      <c r="T37" t="s">
        <v>160</v>
      </c>
      <c r="U37">
        <v>1.8134904106446661E-2</v>
      </c>
      <c r="V37" t="s">
        <v>159</v>
      </c>
      <c r="AC37" t="s">
        <v>19</v>
      </c>
      <c r="AD37" t="s">
        <v>160</v>
      </c>
      <c r="AE37">
        <v>1.9732971880100592E-2</v>
      </c>
      <c r="AK37">
        <v>2027</v>
      </c>
      <c r="AL37" t="s">
        <v>152</v>
      </c>
      <c r="AM37">
        <v>0.11085</v>
      </c>
      <c r="AN37" t="s">
        <v>281</v>
      </c>
    </row>
    <row r="38" spans="9:40" x14ac:dyDescent="0.45">
      <c r="I38" t="s">
        <v>168</v>
      </c>
      <c r="J38" t="s">
        <v>161</v>
      </c>
      <c r="K38">
        <v>0.40242348239992226</v>
      </c>
      <c r="L38" t="s">
        <v>159</v>
      </c>
      <c r="N38" t="s">
        <v>211</v>
      </c>
      <c r="O38" t="s">
        <v>161</v>
      </c>
      <c r="P38">
        <v>0.21851303195671673</v>
      </c>
      <c r="Q38" t="s">
        <v>159</v>
      </c>
      <c r="S38" t="s">
        <v>253</v>
      </c>
      <c r="T38" t="s">
        <v>161</v>
      </c>
      <c r="U38">
        <v>0.18432799920533288</v>
      </c>
      <c r="V38" t="s">
        <v>159</v>
      </c>
      <c r="AC38" t="s">
        <v>19</v>
      </c>
      <c r="AD38" t="s">
        <v>161</v>
      </c>
      <c r="AE38">
        <v>0.19794146197587226</v>
      </c>
      <c r="AK38">
        <v>2027</v>
      </c>
      <c r="AL38" t="s">
        <v>154</v>
      </c>
      <c r="AM38">
        <v>9.5799999999999996E-2</v>
      </c>
      <c r="AN38" t="s">
        <v>281</v>
      </c>
    </row>
    <row r="39" spans="9:40" x14ac:dyDescent="0.45">
      <c r="I39" t="s">
        <v>168</v>
      </c>
      <c r="J39" t="s">
        <v>287</v>
      </c>
      <c r="K39">
        <v>1.2149619814640506E-2</v>
      </c>
      <c r="L39" t="s">
        <v>159</v>
      </c>
      <c r="N39" t="s">
        <v>211</v>
      </c>
      <c r="O39" t="s">
        <v>287</v>
      </c>
      <c r="P39">
        <v>2.3330971128320714E-2</v>
      </c>
      <c r="Q39" t="s">
        <v>159</v>
      </c>
      <c r="S39" t="s">
        <v>253</v>
      </c>
      <c r="T39" t="s">
        <v>287</v>
      </c>
      <c r="U39">
        <v>2.3316179652172291E-2</v>
      </c>
      <c r="V39" t="s">
        <v>159</v>
      </c>
      <c r="AC39" t="s">
        <v>19</v>
      </c>
      <c r="AD39" t="s">
        <v>287</v>
      </c>
      <c r="AE39">
        <v>1.9830209983525703E-2</v>
      </c>
      <c r="AK39">
        <v>2027</v>
      </c>
      <c r="AL39" t="s">
        <v>283</v>
      </c>
      <c r="AM39">
        <v>9.9099999999999994E-2</v>
      </c>
      <c r="AN39" t="s">
        <v>281</v>
      </c>
    </row>
    <row r="40" spans="9:40" x14ac:dyDescent="0.45">
      <c r="I40" t="s">
        <v>168</v>
      </c>
      <c r="J40" t="s">
        <v>288</v>
      </c>
      <c r="K40">
        <v>0</v>
      </c>
      <c r="L40" t="s">
        <v>159</v>
      </c>
      <c r="N40" t="s">
        <v>211</v>
      </c>
      <c r="O40" t="s">
        <v>288</v>
      </c>
      <c r="P40">
        <v>9.695345943829721E-2</v>
      </c>
      <c r="Q40" t="s">
        <v>159</v>
      </c>
      <c r="S40" t="s">
        <v>253</v>
      </c>
      <c r="T40" t="s">
        <v>288</v>
      </c>
      <c r="U40">
        <v>0.11532383753848326</v>
      </c>
      <c r="V40" t="s">
        <v>159</v>
      </c>
      <c r="AC40" t="s">
        <v>19</v>
      </c>
      <c r="AD40" t="s">
        <v>288</v>
      </c>
      <c r="AE40">
        <v>9.8004228801534699E-2</v>
      </c>
      <c r="AK40">
        <v>2027</v>
      </c>
      <c r="AL40" t="s">
        <v>285</v>
      </c>
      <c r="AM40">
        <v>0.16108</v>
      </c>
      <c r="AN40" t="s">
        <v>281</v>
      </c>
    </row>
    <row r="41" spans="9:40" x14ac:dyDescent="0.45">
      <c r="I41" t="s">
        <v>168</v>
      </c>
      <c r="J41" t="s">
        <v>162</v>
      </c>
      <c r="K41">
        <v>0</v>
      </c>
      <c r="L41" t="s">
        <v>159</v>
      </c>
      <c r="N41" t="s">
        <v>211</v>
      </c>
      <c r="O41" t="s">
        <v>162</v>
      </c>
      <c r="P41">
        <v>2.1051982727391897E-2</v>
      </c>
      <c r="Q41" t="s">
        <v>159</v>
      </c>
      <c r="S41" t="s">
        <v>253</v>
      </c>
      <c r="T41" t="s">
        <v>162</v>
      </c>
      <c r="U41">
        <v>1.9466394774652666E-2</v>
      </c>
      <c r="V41" t="s">
        <v>159</v>
      </c>
      <c r="AC41" t="s">
        <v>19</v>
      </c>
      <c r="AD41" t="s">
        <v>162</v>
      </c>
      <c r="AE41">
        <v>2.3645681182064948E-2</v>
      </c>
      <c r="AK41">
        <v>2028</v>
      </c>
      <c r="AL41" t="s">
        <v>148</v>
      </c>
      <c r="AM41">
        <v>0.26011666666666666</v>
      </c>
      <c r="AN41" t="s">
        <v>281</v>
      </c>
    </row>
    <row r="42" spans="9:40" x14ac:dyDescent="0.45">
      <c r="I42" t="s">
        <v>168</v>
      </c>
      <c r="J42" t="s">
        <v>163</v>
      </c>
      <c r="K42">
        <v>3.6843471146033591E-3</v>
      </c>
      <c r="L42" t="s">
        <v>159</v>
      </c>
      <c r="N42" t="s">
        <v>211</v>
      </c>
      <c r="O42" t="s">
        <v>163</v>
      </c>
      <c r="P42">
        <v>3.3195284272465723E-3</v>
      </c>
      <c r="Q42" t="s">
        <v>159</v>
      </c>
      <c r="S42" t="s">
        <v>253</v>
      </c>
      <c r="T42" t="s">
        <v>163</v>
      </c>
      <c r="U42">
        <v>2.6976269032371251E-3</v>
      </c>
      <c r="V42" t="s">
        <v>159</v>
      </c>
      <c r="AC42" t="s">
        <v>19</v>
      </c>
      <c r="AD42" t="s">
        <v>163</v>
      </c>
      <c r="AE42">
        <v>3.4540208287699319E-3</v>
      </c>
      <c r="AK42">
        <v>2028</v>
      </c>
      <c r="AL42" t="s">
        <v>152</v>
      </c>
      <c r="AM42">
        <v>9.7799999999999998E-2</v>
      </c>
      <c r="AN42" t="s">
        <v>281</v>
      </c>
    </row>
    <row r="43" spans="9:40" x14ac:dyDescent="0.45">
      <c r="I43" t="s">
        <v>168</v>
      </c>
      <c r="J43" t="s">
        <v>164</v>
      </c>
      <c r="K43">
        <v>4.9838210746156811E-2</v>
      </c>
      <c r="L43" t="s">
        <v>159</v>
      </c>
      <c r="N43" t="s">
        <v>211</v>
      </c>
      <c r="O43" t="s">
        <v>164</v>
      </c>
      <c r="P43">
        <v>4.288782630415712E-2</v>
      </c>
      <c r="Q43" t="s">
        <v>159</v>
      </c>
      <c r="S43" t="s">
        <v>253</v>
      </c>
      <c r="T43" t="s">
        <v>164</v>
      </c>
      <c r="U43">
        <v>2.757395978014434E-2</v>
      </c>
      <c r="V43" t="s">
        <v>159</v>
      </c>
      <c r="AC43" t="s">
        <v>19</v>
      </c>
      <c r="AD43" t="s">
        <v>164</v>
      </c>
      <c r="AE43">
        <v>3.4501147010273896E-2</v>
      </c>
      <c r="AK43">
        <v>2028</v>
      </c>
      <c r="AL43" t="s">
        <v>154</v>
      </c>
      <c r="AM43">
        <v>7.8E-2</v>
      </c>
      <c r="AN43" t="s">
        <v>281</v>
      </c>
    </row>
    <row r="44" spans="9:40" x14ac:dyDescent="0.45">
      <c r="I44" t="s">
        <v>168</v>
      </c>
      <c r="J44" t="s">
        <v>289</v>
      </c>
      <c r="K44">
        <v>0</v>
      </c>
      <c r="L44" t="s">
        <v>159</v>
      </c>
      <c r="N44" t="s">
        <v>211</v>
      </c>
      <c r="O44" t="s">
        <v>289</v>
      </c>
      <c r="P44">
        <v>3.5265166765247554E-3</v>
      </c>
      <c r="Q44" t="s">
        <v>159</v>
      </c>
      <c r="S44" t="s">
        <v>253</v>
      </c>
      <c r="T44" t="s">
        <v>289</v>
      </c>
      <c r="U44">
        <v>3.0304186660047713E-3</v>
      </c>
      <c r="V44" t="s">
        <v>159</v>
      </c>
      <c r="AC44" t="s">
        <v>19</v>
      </c>
      <c r="AD44" t="s">
        <v>289</v>
      </c>
      <c r="AE44">
        <v>3.4750330069795391E-3</v>
      </c>
      <c r="AK44">
        <v>2028</v>
      </c>
      <c r="AL44" t="s">
        <v>283</v>
      </c>
      <c r="AM44">
        <v>8.1299999999999997E-2</v>
      </c>
      <c r="AN44" t="s">
        <v>281</v>
      </c>
    </row>
    <row r="45" spans="9:40" x14ac:dyDescent="0.45">
      <c r="I45" t="s">
        <v>168</v>
      </c>
      <c r="J45" t="s">
        <v>290</v>
      </c>
      <c r="K45">
        <v>0</v>
      </c>
      <c r="L45" t="s">
        <v>159</v>
      </c>
      <c r="N45" t="s">
        <v>211</v>
      </c>
      <c r="O45" t="s">
        <v>290</v>
      </c>
      <c r="P45">
        <v>1.5163931187498789E-2</v>
      </c>
      <c r="Q45" t="s">
        <v>159</v>
      </c>
      <c r="S45" t="s">
        <v>253</v>
      </c>
      <c r="T45" t="s">
        <v>290</v>
      </c>
      <c r="U45">
        <v>1.5475177743487769E-2</v>
      </c>
      <c r="V45" t="s">
        <v>159</v>
      </c>
      <c r="AC45" t="s">
        <v>19</v>
      </c>
      <c r="AD45" t="s">
        <v>290</v>
      </c>
      <c r="AE45">
        <v>1.7094329521867097E-2</v>
      </c>
      <c r="AK45">
        <v>2028</v>
      </c>
      <c r="AL45" t="s">
        <v>285</v>
      </c>
      <c r="AM45">
        <v>0.14872000000000002</v>
      </c>
      <c r="AN45" t="s">
        <v>281</v>
      </c>
    </row>
    <row r="46" spans="9:40" x14ac:dyDescent="0.45">
      <c r="I46" t="s">
        <v>168</v>
      </c>
      <c r="J46" t="s">
        <v>165</v>
      </c>
      <c r="K46">
        <v>0</v>
      </c>
      <c r="L46" t="s">
        <v>159</v>
      </c>
      <c r="N46" t="s">
        <v>211</v>
      </c>
      <c r="O46" t="s">
        <v>165</v>
      </c>
      <c r="P46">
        <v>3.0293619439851698E-2</v>
      </c>
      <c r="Q46" t="s">
        <v>159</v>
      </c>
      <c r="S46" t="s">
        <v>253</v>
      </c>
      <c r="T46" t="s">
        <v>165</v>
      </c>
      <c r="U46">
        <v>2.2224772427201896E-2</v>
      </c>
      <c r="V46" t="s">
        <v>159</v>
      </c>
      <c r="AC46" t="s">
        <v>19</v>
      </c>
      <c r="AD46" t="s">
        <v>165</v>
      </c>
      <c r="AE46">
        <v>2.4460553010991867E-2</v>
      </c>
      <c r="AK46">
        <v>2029</v>
      </c>
      <c r="AL46" t="s">
        <v>148</v>
      </c>
      <c r="AM46">
        <v>0.36823333333333336</v>
      </c>
      <c r="AN46" t="s">
        <v>281</v>
      </c>
    </row>
    <row r="47" spans="9:40" x14ac:dyDescent="0.45">
      <c r="I47" t="s">
        <v>168</v>
      </c>
      <c r="J47" t="s">
        <v>166</v>
      </c>
      <c r="K47">
        <v>4.2595881953971047E-3</v>
      </c>
      <c r="L47" t="s">
        <v>159</v>
      </c>
      <c r="N47" t="s">
        <v>211</v>
      </c>
      <c r="O47" t="s">
        <v>166</v>
      </c>
      <c r="P47">
        <v>4.365428023006275E-3</v>
      </c>
      <c r="Q47" t="s">
        <v>159</v>
      </c>
      <c r="S47" t="s">
        <v>253</v>
      </c>
      <c r="T47" t="s">
        <v>166</v>
      </c>
      <c r="U47">
        <v>3.1391823232907417E-3</v>
      </c>
      <c r="V47" t="s">
        <v>159</v>
      </c>
      <c r="AC47" t="s">
        <v>19</v>
      </c>
      <c r="AD47" t="s">
        <v>166</v>
      </c>
      <c r="AE47">
        <v>3.5741985620723776E-3</v>
      </c>
      <c r="AK47">
        <v>2029</v>
      </c>
      <c r="AL47" t="s">
        <v>152</v>
      </c>
      <c r="AM47">
        <v>0.14224999999999999</v>
      </c>
      <c r="AN47" t="s">
        <v>281</v>
      </c>
    </row>
    <row r="48" spans="9:40" x14ac:dyDescent="0.45">
      <c r="I48" t="s">
        <v>168</v>
      </c>
      <c r="J48" t="s">
        <v>167</v>
      </c>
      <c r="K48">
        <v>6.3145563125454468E-2</v>
      </c>
      <c r="L48" t="s">
        <v>159</v>
      </c>
      <c r="N48" t="s">
        <v>211</v>
      </c>
      <c r="O48" t="s">
        <v>167</v>
      </c>
      <c r="P48">
        <v>5.9305738935664654E-2</v>
      </c>
      <c r="Q48" t="s">
        <v>159</v>
      </c>
      <c r="S48" t="s">
        <v>253</v>
      </c>
      <c r="T48" t="s">
        <v>167</v>
      </c>
      <c r="U48">
        <v>2.8362385729677007E-2</v>
      </c>
      <c r="V48" t="s">
        <v>159</v>
      </c>
      <c r="AC48" t="s">
        <v>19</v>
      </c>
      <c r="AD48" t="s">
        <v>167</v>
      </c>
      <c r="AE48">
        <v>3.5695482289642311E-2</v>
      </c>
      <c r="AK48">
        <v>2029</v>
      </c>
      <c r="AL48" t="s">
        <v>154</v>
      </c>
      <c r="AM48">
        <v>0.10744999999999999</v>
      </c>
      <c r="AN48" t="s">
        <v>281</v>
      </c>
    </row>
    <row r="49" spans="9:40" x14ac:dyDescent="0.45">
      <c r="I49" t="s">
        <v>168</v>
      </c>
      <c r="J49" t="s">
        <v>291</v>
      </c>
      <c r="K49">
        <v>0</v>
      </c>
      <c r="L49" t="s">
        <v>159</v>
      </c>
      <c r="N49" t="s">
        <v>211</v>
      </c>
      <c r="O49" t="s">
        <v>291</v>
      </c>
      <c r="P49">
        <v>4.6976240684421782E-3</v>
      </c>
      <c r="Q49" t="s">
        <v>159</v>
      </c>
      <c r="S49" t="s">
        <v>253</v>
      </c>
      <c r="T49" t="s">
        <v>291</v>
      </c>
      <c r="U49">
        <v>2.7954122233652332E-3</v>
      </c>
      <c r="V49" t="s">
        <v>159</v>
      </c>
      <c r="AC49" t="s">
        <v>19</v>
      </c>
      <c r="AD49" t="s">
        <v>291</v>
      </c>
      <c r="AE49">
        <v>3.5957089047697261E-3</v>
      </c>
      <c r="AK49">
        <v>2029</v>
      </c>
      <c r="AL49" t="s">
        <v>283</v>
      </c>
      <c r="AM49">
        <v>0.1021</v>
      </c>
      <c r="AN49" t="s">
        <v>281</v>
      </c>
    </row>
    <row r="50" spans="9:40" x14ac:dyDescent="0.45">
      <c r="I50" t="s">
        <v>168</v>
      </c>
      <c r="J50" t="s">
        <v>292</v>
      </c>
      <c r="K50">
        <v>0</v>
      </c>
      <c r="L50" t="s">
        <v>159</v>
      </c>
      <c r="N50" t="s">
        <v>211</v>
      </c>
      <c r="O50" t="s">
        <v>292</v>
      </c>
      <c r="P50">
        <v>2.1678085609561547E-2</v>
      </c>
      <c r="Q50" t="s">
        <v>159</v>
      </c>
      <c r="S50" t="s">
        <v>253</v>
      </c>
      <c r="T50" t="s">
        <v>292</v>
      </c>
      <c r="U50">
        <v>1.4277406977608572E-2</v>
      </c>
      <c r="V50" t="s">
        <v>159</v>
      </c>
      <c r="AC50" t="s">
        <v>19</v>
      </c>
      <c r="AD50" t="s">
        <v>292</v>
      </c>
      <c r="AE50">
        <v>1.7673630403491965E-2</v>
      </c>
      <c r="AK50">
        <v>2029</v>
      </c>
      <c r="AL50" t="s">
        <v>285</v>
      </c>
      <c r="AM50">
        <v>0.18934000000000001</v>
      </c>
      <c r="AN50" t="s">
        <v>281</v>
      </c>
    </row>
    <row r="51" spans="9:40" x14ac:dyDescent="0.45">
      <c r="I51" t="s">
        <v>168</v>
      </c>
      <c r="J51" t="s">
        <v>293</v>
      </c>
      <c r="K51">
        <v>0</v>
      </c>
      <c r="L51" t="s">
        <v>159</v>
      </c>
      <c r="N51" t="s">
        <v>211</v>
      </c>
      <c r="O51" t="s">
        <v>293</v>
      </c>
      <c r="P51">
        <v>7.6003664367818588E-3</v>
      </c>
      <c r="Q51" t="s">
        <v>159</v>
      </c>
      <c r="S51" t="s">
        <v>253</v>
      </c>
      <c r="T51" t="s">
        <v>293</v>
      </c>
      <c r="U51">
        <v>5.0292886265656906E-3</v>
      </c>
      <c r="V51" t="s">
        <v>159</v>
      </c>
      <c r="AC51" t="s">
        <v>19</v>
      </c>
      <c r="AD51" t="s">
        <v>293</v>
      </c>
      <c r="AE51">
        <v>5.5210323351610443E-3</v>
      </c>
      <c r="AK51">
        <v>2030</v>
      </c>
      <c r="AL51" t="s">
        <v>148</v>
      </c>
      <c r="AM51">
        <v>0.26701666666666668</v>
      </c>
      <c r="AN51" t="s">
        <v>281</v>
      </c>
    </row>
    <row r="52" spans="9:40" x14ac:dyDescent="0.45">
      <c r="I52" t="s">
        <v>168</v>
      </c>
      <c r="J52" t="s">
        <v>294</v>
      </c>
      <c r="K52">
        <v>1.1229721481778232E-3</v>
      </c>
      <c r="L52" t="s">
        <v>159</v>
      </c>
      <c r="N52" t="s">
        <v>211</v>
      </c>
      <c r="O52" t="s">
        <v>294</v>
      </c>
      <c r="P52">
        <v>1.1802078655179862E-3</v>
      </c>
      <c r="Q52" t="s">
        <v>159</v>
      </c>
      <c r="S52" t="s">
        <v>253</v>
      </c>
      <c r="T52" t="s">
        <v>294</v>
      </c>
      <c r="U52">
        <v>6.2570104434928053E-4</v>
      </c>
      <c r="V52" t="s">
        <v>159</v>
      </c>
      <c r="AC52" t="s">
        <v>19</v>
      </c>
      <c r="AD52" t="s">
        <v>294</v>
      </c>
      <c r="AE52">
        <v>8.0528493601298584E-4</v>
      </c>
      <c r="AK52">
        <v>2030</v>
      </c>
      <c r="AL52" t="s">
        <v>152</v>
      </c>
      <c r="AM52">
        <v>0.10249999999999999</v>
      </c>
      <c r="AN52" t="s">
        <v>281</v>
      </c>
    </row>
    <row r="53" spans="9:40" x14ac:dyDescent="0.45">
      <c r="I53" t="s">
        <v>168</v>
      </c>
      <c r="J53" t="s">
        <v>295</v>
      </c>
      <c r="K53">
        <v>1.5694537261006017E-2</v>
      </c>
      <c r="L53" t="s">
        <v>159</v>
      </c>
      <c r="N53" t="s">
        <v>211</v>
      </c>
      <c r="O53" t="s">
        <v>295</v>
      </c>
      <c r="P53">
        <v>1.342721391411713E-2</v>
      </c>
      <c r="Q53" t="s">
        <v>159</v>
      </c>
      <c r="S53" t="s">
        <v>253</v>
      </c>
      <c r="T53" t="s">
        <v>295</v>
      </c>
      <c r="U53">
        <v>6.0427779577398181E-3</v>
      </c>
      <c r="V53" t="s">
        <v>159</v>
      </c>
      <c r="AC53" t="s">
        <v>19</v>
      </c>
      <c r="AD53" t="s">
        <v>295</v>
      </c>
      <c r="AE53">
        <v>8.0480679385146209E-3</v>
      </c>
      <c r="AK53">
        <v>2030</v>
      </c>
      <c r="AL53" t="s">
        <v>154</v>
      </c>
      <c r="AM53">
        <v>7.569999999999999E-2</v>
      </c>
      <c r="AN53" t="s">
        <v>281</v>
      </c>
    </row>
    <row r="54" spans="9:40" x14ac:dyDescent="0.45">
      <c r="I54" t="s">
        <v>168</v>
      </c>
      <c r="J54" t="s">
        <v>296</v>
      </c>
      <c r="K54">
        <v>0</v>
      </c>
      <c r="L54" t="s">
        <v>159</v>
      </c>
      <c r="N54" t="s">
        <v>211</v>
      </c>
      <c r="O54" t="s">
        <v>296</v>
      </c>
      <c r="P54">
        <v>9.3703306265806188E-4</v>
      </c>
      <c r="Q54" t="s">
        <v>159</v>
      </c>
      <c r="S54" t="s">
        <v>253</v>
      </c>
      <c r="T54" t="s">
        <v>296</v>
      </c>
      <c r="U54">
        <v>7.2734963636812981E-4</v>
      </c>
      <c r="V54" t="s">
        <v>159</v>
      </c>
      <c r="AC54" t="s">
        <v>19</v>
      </c>
      <c r="AD54" t="s">
        <v>296</v>
      </c>
      <c r="AE54">
        <v>8.0844570379727369E-4</v>
      </c>
      <c r="AK54">
        <v>2030</v>
      </c>
      <c r="AL54" t="s">
        <v>283</v>
      </c>
      <c r="AM54">
        <v>7.6999999999999999E-2</v>
      </c>
      <c r="AN54" t="s">
        <v>281</v>
      </c>
    </row>
    <row r="55" spans="9:40" x14ac:dyDescent="0.45">
      <c r="I55" t="s">
        <v>168</v>
      </c>
      <c r="J55" t="s">
        <v>297</v>
      </c>
      <c r="K55">
        <v>0</v>
      </c>
      <c r="L55" t="s">
        <v>159</v>
      </c>
      <c r="N55" t="s">
        <v>211</v>
      </c>
      <c r="O55" t="s">
        <v>297</v>
      </c>
      <c r="P55">
        <v>3.6499250709056521E-3</v>
      </c>
      <c r="Q55" t="s">
        <v>159</v>
      </c>
      <c r="S55" t="s">
        <v>253</v>
      </c>
      <c r="T55" t="s">
        <v>297</v>
      </c>
      <c r="U55">
        <v>4.0960593985649909E-3</v>
      </c>
      <c r="V55" t="s">
        <v>159</v>
      </c>
      <c r="AC55" t="s">
        <v>19</v>
      </c>
      <c r="AD55" t="s">
        <v>297</v>
      </c>
      <c r="AE55">
        <v>3.9876937287808938E-3</v>
      </c>
      <c r="AK55">
        <v>2030</v>
      </c>
      <c r="AL55" t="s">
        <v>285</v>
      </c>
      <c r="AM55">
        <v>0.14948</v>
      </c>
      <c r="AN55" t="s">
        <v>281</v>
      </c>
    </row>
    <row r="56" spans="9:40" x14ac:dyDescent="0.45">
      <c r="I56" t="s">
        <v>168</v>
      </c>
      <c r="J56" t="s">
        <v>298</v>
      </c>
      <c r="K56">
        <v>1.9558027768943737E-2</v>
      </c>
      <c r="L56" t="s">
        <v>159</v>
      </c>
      <c r="N56" t="s">
        <v>211</v>
      </c>
      <c r="O56" t="s">
        <v>298</v>
      </c>
      <c r="P56">
        <v>5.6590926973865537E-2</v>
      </c>
      <c r="Q56" t="s">
        <v>159</v>
      </c>
      <c r="S56" t="s">
        <v>253</v>
      </c>
      <c r="T56" t="s">
        <v>298</v>
      </c>
      <c r="U56">
        <v>0.10235647117602252</v>
      </c>
      <c r="V56" t="s">
        <v>159</v>
      </c>
      <c r="AC56" t="s">
        <v>19</v>
      </c>
      <c r="AD56" t="s">
        <v>298</v>
      </c>
      <c r="AE56">
        <v>9.8615178194905381E-2</v>
      </c>
      <c r="AK56">
        <v>2031</v>
      </c>
      <c r="AL56" t="s">
        <v>148</v>
      </c>
      <c r="AM56">
        <v>0.27793333333333331</v>
      </c>
      <c r="AN56" t="s">
        <v>281</v>
      </c>
    </row>
    <row r="57" spans="9:40" x14ac:dyDescent="0.45">
      <c r="I57" t="s">
        <v>168</v>
      </c>
      <c r="J57" t="s">
        <v>299</v>
      </c>
      <c r="K57">
        <v>3.0201220293053905E-2</v>
      </c>
      <c r="L57" t="s">
        <v>159</v>
      </c>
      <c r="N57" t="s">
        <v>211</v>
      </c>
      <c r="O57" t="s">
        <v>299</v>
      </c>
      <c r="P57">
        <v>8.5331569423979479E-3</v>
      </c>
      <c r="Q57" t="s">
        <v>159</v>
      </c>
      <c r="S57" t="s">
        <v>253</v>
      </c>
      <c r="T57" t="s">
        <v>299</v>
      </c>
      <c r="U57">
        <v>1.3046189455017976E-2</v>
      </c>
      <c r="V57" t="s">
        <v>159</v>
      </c>
      <c r="AC57" t="s">
        <v>19</v>
      </c>
      <c r="AD57" t="s">
        <v>299</v>
      </c>
      <c r="AE57">
        <v>1.4328352306100502E-2</v>
      </c>
      <c r="AK57">
        <v>2031</v>
      </c>
      <c r="AL57" t="s">
        <v>152</v>
      </c>
      <c r="AM57">
        <v>0.10115</v>
      </c>
      <c r="AN57" t="s">
        <v>281</v>
      </c>
    </row>
    <row r="58" spans="9:40" x14ac:dyDescent="0.45">
      <c r="I58" t="s">
        <v>168</v>
      </c>
      <c r="J58" t="s">
        <v>300</v>
      </c>
      <c r="K58">
        <v>0.3448303284669606</v>
      </c>
      <c r="L58" t="s">
        <v>159</v>
      </c>
      <c r="N58" t="s">
        <v>211</v>
      </c>
      <c r="O58" t="s">
        <v>300</v>
      </c>
      <c r="P58">
        <v>0.16381623233797143</v>
      </c>
      <c r="Q58" t="s">
        <v>159</v>
      </c>
      <c r="S58" t="s">
        <v>253</v>
      </c>
      <c r="T58" t="s">
        <v>300</v>
      </c>
      <c r="U58">
        <v>0.14213461662955396</v>
      </c>
      <c r="V58" t="s">
        <v>159</v>
      </c>
      <c r="AC58" t="s">
        <v>19</v>
      </c>
      <c r="AD58" t="s">
        <v>300</v>
      </c>
      <c r="AE58">
        <v>0.14383531274522884</v>
      </c>
      <c r="AK58">
        <v>2031</v>
      </c>
      <c r="AL58" t="s">
        <v>154</v>
      </c>
      <c r="AM58">
        <v>7.6950000000000005E-2</v>
      </c>
      <c r="AN58" t="s">
        <v>281</v>
      </c>
    </row>
    <row r="59" spans="9:40" x14ac:dyDescent="0.45">
      <c r="I59" t="s">
        <v>168</v>
      </c>
      <c r="J59" t="s">
        <v>301</v>
      </c>
      <c r="K59">
        <v>8.7916743016451162E-3</v>
      </c>
      <c r="L59" t="s">
        <v>159</v>
      </c>
      <c r="N59" t="s">
        <v>211</v>
      </c>
      <c r="O59" t="s">
        <v>301</v>
      </c>
      <c r="P59">
        <v>1.8533555814873776E-2</v>
      </c>
      <c r="Q59" t="s">
        <v>159</v>
      </c>
      <c r="S59" t="s">
        <v>253</v>
      </c>
      <c r="T59" t="s">
        <v>301</v>
      </c>
      <c r="U59">
        <v>1.7615654234766194E-2</v>
      </c>
      <c r="V59" t="s">
        <v>159</v>
      </c>
      <c r="AC59" t="s">
        <v>19</v>
      </c>
      <c r="AD59" t="s">
        <v>301</v>
      </c>
      <c r="AE59">
        <v>1.4398371591796608E-2</v>
      </c>
      <c r="AK59">
        <v>2031</v>
      </c>
      <c r="AL59" t="s">
        <v>283</v>
      </c>
      <c r="AM59">
        <v>7.9100000000000004E-2</v>
      </c>
      <c r="AN59" t="s">
        <v>281</v>
      </c>
    </row>
    <row r="60" spans="9:40" x14ac:dyDescent="0.45">
      <c r="I60" t="s">
        <v>168</v>
      </c>
      <c r="J60" t="s">
        <v>302</v>
      </c>
      <c r="K60">
        <v>0</v>
      </c>
      <c r="L60" t="s">
        <v>159</v>
      </c>
      <c r="N60" t="s">
        <v>211</v>
      </c>
      <c r="O60" t="s">
        <v>302</v>
      </c>
      <c r="P60">
        <v>6.673405036905164E-2</v>
      </c>
      <c r="Q60" t="s">
        <v>159</v>
      </c>
      <c r="S60" t="s">
        <v>253</v>
      </c>
      <c r="T60" t="s">
        <v>302</v>
      </c>
      <c r="U60">
        <v>8.4115861189106467E-2</v>
      </c>
      <c r="V60" t="s">
        <v>159</v>
      </c>
      <c r="AC60" t="s">
        <v>19</v>
      </c>
      <c r="AD60" t="s">
        <v>302</v>
      </c>
      <c r="AE60">
        <v>7.1235419825045151E-2</v>
      </c>
      <c r="AK60">
        <v>2031</v>
      </c>
      <c r="AL60" t="s">
        <v>285</v>
      </c>
      <c r="AM60">
        <v>0.14069999999999999</v>
      </c>
      <c r="AN60" t="s">
        <v>281</v>
      </c>
    </row>
    <row r="61" spans="9:40" x14ac:dyDescent="0.45">
      <c r="I61" t="s">
        <v>169</v>
      </c>
      <c r="J61" t="s">
        <v>158</v>
      </c>
      <c r="K61">
        <v>1.2274543387240214E-2</v>
      </c>
      <c r="L61" t="s">
        <v>159</v>
      </c>
      <c r="N61" t="s">
        <v>212</v>
      </c>
      <c r="O61" t="s">
        <v>158</v>
      </c>
      <c r="P61">
        <v>0.10200027101023464</v>
      </c>
      <c r="Q61" t="s">
        <v>159</v>
      </c>
      <c r="S61" t="s">
        <v>254</v>
      </c>
      <c r="T61" t="s">
        <v>158</v>
      </c>
      <c r="U61">
        <v>0.11284185138361646</v>
      </c>
      <c r="V61" t="s">
        <v>159</v>
      </c>
      <c r="AK61">
        <v>2032</v>
      </c>
      <c r="AL61" t="s">
        <v>148</v>
      </c>
      <c r="AM61">
        <v>0.27374999999999999</v>
      </c>
      <c r="AN61" t="s">
        <v>281</v>
      </c>
    </row>
    <row r="62" spans="9:40" x14ac:dyDescent="0.45">
      <c r="I62" t="s">
        <v>169</v>
      </c>
      <c r="J62" t="s">
        <v>160</v>
      </c>
      <c r="K62">
        <v>3.2187354504649504E-2</v>
      </c>
      <c r="L62" t="s">
        <v>159</v>
      </c>
      <c r="N62" t="s">
        <v>212</v>
      </c>
      <c r="O62" t="s">
        <v>160</v>
      </c>
      <c r="P62">
        <v>1.1367088563752407E-2</v>
      </c>
      <c r="Q62" t="s">
        <v>159</v>
      </c>
      <c r="S62" t="s">
        <v>254</v>
      </c>
      <c r="T62" t="s">
        <v>160</v>
      </c>
      <c r="U62">
        <v>1.3997571082418019E-2</v>
      </c>
      <c r="V62" t="s">
        <v>159</v>
      </c>
      <c r="AK62">
        <v>2032</v>
      </c>
      <c r="AL62" t="s">
        <v>152</v>
      </c>
      <c r="AM62">
        <v>0.1003</v>
      </c>
      <c r="AN62" t="s">
        <v>281</v>
      </c>
    </row>
    <row r="63" spans="9:40" x14ac:dyDescent="0.45">
      <c r="I63" t="s">
        <v>169</v>
      </c>
      <c r="J63" t="s">
        <v>161</v>
      </c>
      <c r="K63">
        <v>0.40146614656830959</v>
      </c>
      <c r="L63" t="s">
        <v>159</v>
      </c>
      <c r="N63" t="s">
        <v>212</v>
      </c>
      <c r="O63" t="s">
        <v>161</v>
      </c>
      <c r="P63">
        <v>0.19796168930405728</v>
      </c>
      <c r="Q63" t="s">
        <v>159</v>
      </c>
      <c r="S63" t="s">
        <v>254</v>
      </c>
      <c r="T63" t="s">
        <v>161</v>
      </c>
      <c r="U63">
        <v>0.20260845822479756</v>
      </c>
      <c r="V63" t="s">
        <v>159</v>
      </c>
      <c r="AK63">
        <v>2032</v>
      </c>
      <c r="AL63" t="s">
        <v>154</v>
      </c>
      <c r="AM63">
        <v>7.7699999999999991E-2</v>
      </c>
      <c r="AN63" t="s">
        <v>281</v>
      </c>
    </row>
    <row r="64" spans="9:40" x14ac:dyDescent="0.45">
      <c r="I64" t="s">
        <v>169</v>
      </c>
      <c r="J64" t="s">
        <v>287</v>
      </c>
      <c r="K64">
        <v>1.3910195530566105E-2</v>
      </c>
      <c r="L64" t="s">
        <v>159</v>
      </c>
      <c r="N64" t="s">
        <v>212</v>
      </c>
      <c r="O64" t="s">
        <v>287</v>
      </c>
      <c r="P64">
        <v>2.8793028407152366E-2</v>
      </c>
      <c r="Q64" t="s">
        <v>159</v>
      </c>
      <c r="S64" t="s">
        <v>254</v>
      </c>
      <c r="T64" t="s">
        <v>287</v>
      </c>
      <c r="U64">
        <v>2.9334471437816041E-2</v>
      </c>
      <c r="V64" t="s">
        <v>159</v>
      </c>
      <c r="AK64">
        <v>2032</v>
      </c>
      <c r="AL64" t="s">
        <v>283</v>
      </c>
      <c r="AM64">
        <v>7.5700000000000003E-2</v>
      </c>
      <c r="AN64" t="s">
        <v>281</v>
      </c>
    </row>
    <row r="65" spans="9:40" x14ac:dyDescent="0.45">
      <c r="I65" t="s">
        <v>169</v>
      </c>
      <c r="J65" t="s">
        <v>288</v>
      </c>
      <c r="K65">
        <v>2.8903344152138879E-5</v>
      </c>
      <c r="L65" t="s">
        <v>159</v>
      </c>
      <c r="N65" t="s">
        <v>212</v>
      </c>
      <c r="O65" t="s">
        <v>288</v>
      </c>
      <c r="P65">
        <v>0.11849166692445284</v>
      </c>
      <c r="Q65" t="s">
        <v>159</v>
      </c>
      <c r="S65" t="s">
        <v>254</v>
      </c>
      <c r="T65" t="s">
        <v>288</v>
      </c>
      <c r="U65">
        <v>0.1194940542884996</v>
      </c>
      <c r="V65" t="s">
        <v>159</v>
      </c>
      <c r="AK65">
        <v>2032</v>
      </c>
      <c r="AL65" t="s">
        <v>285</v>
      </c>
      <c r="AM65">
        <v>0.13972000000000001</v>
      </c>
      <c r="AN65" t="s">
        <v>281</v>
      </c>
    </row>
    <row r="66" spans="9:40" x14ac:dyDescent="0.45">
      <c r="I66" t="s">
        <v>169</v>
      </c>
      <c r="J66" t="s">
        <v>162</v>
      </c>
      <c r="K66">
        <v>0</v>
      </c>
      <c r="L66" t="s">
        <v>159</v>
      </c>
      <c r="N66" t="s">
        <v>212</v>
      </c>
      <c r="O66" t="s">
        <v>162</v>
      </c>
      <c r="P66">
        <v>1.8496076668782724E-2</v>
      </c>
      <c r="Q66" t="s">
        <v>159</v>
      </c>
      <c r="S66" t="s">
        <v>254</v>
      </c>
      <c r="T66" t="s">
        <v>162</v>
      </c>
      <c r="U66">
        <v>1.8138909760204047E-2</v>
      </c>
      <c r="V66" t="s">
        <v>159</v>
      </c>
      <c r="AK66">
        <v>2033</v>
      </c>
      <c r="AL66" t="s">
        <v>148</v>
      </c>
      <c r="AM66">
        <v>0.26978333333333332</v>
      </c>
      <c r="AN66" t="s">
        <v>281</v>
      </c>
    </row>
    <row r="67" spans="9:40" x14ac:dyDescent="0.45">
      <c r="I67" t="s">
        <v>169</v>
      </c>
      <c r="J67" t="s">
        <v>163</v>
      </c>
      <c r="K67">
        <v>6.6064803337919774E-4</v>
      </c>
      <c r="L67" t="s">
        <v>159</v>
      </c>
      <c r="N67" t="s">
        <v>212</v>
      </c>
      <c r="O67" t="s">
        <v>163</v>
      </c>
      <c r="P67">
        <v>2.4667760741872522E-3</v>
      </c>
      <c r="Q67" t="s">
        <v>159</v>
      </c>
      <c r="S67" t="s">
        <v>254</v>
      </c>
      <c r="T67" t="s">
        <v>163</v>
      </c>
      <c r="U67">
        <v>2.6145337517882732E-3</v>
      </c>
      <c r="V67" t="s">
        <v>159</v>
      </c>
      <c r="AK67">
        <v>2033</v>
      </c>
      <c r="AL67" t="s">
        <v>152</v>
      </c>
      <c r="AM67">
        <v>9.7200000000000009E-2</v>
      </c>
      <c r="AN67" t="s">
        <v>281</v>
      </c>
    </row>
    <row r="68" spans="9:40" x14ac:dyDescent="0.45">
      <c r="I68" t="s">
        <v>169</v>
      </c>
      <c r="J68" t="s">
        <v>164</v>
      </c>
      <c r="K68">
        <v>4.41440827523168E-2</v>
      </c>
      <c r="L68" t="s">
        <v>159</v>
      </c>
      <c r="N68" t="s">
        <v>212</v>
      </c>
      <c r="O68" t="s">
        <v>164</v>
      </c>
      <c r="P68">
        <v>3.3217042489759575E-2</v>
      </c>
      <c r="Q68" t="s">
        <v>159</v>
      </c>
      <c r="S68" t="s">
        <v>254</v>
      </c>
      <c r="T68" t="s">
        <v>164</v>
      </c>
      <c r="U68">
        <v>2.7053328484180794E-2</v>
      </c>
      <c r="V68" t="s">
        <v>159</v>
      </c>
      <c r="AK68">
        <v>2033</v>
      </c>
      <c r="AL68" t="s">
        <v>154</v>
      </c>
      <c r="AM68">
        <v>8.6800000000000002E-2</v>
      </c>
      <c r="AN68" t="s">
        <v>281</v>
      </c>
    </row>
    <row r="69" spans="9:40" x14ac:dyDescent="0.45">
      <c r="I69" t="s">
        <v>169</v>
      </c>
      <c r="J69" t="s">
        <v>289</v>
      </c>
      <c r="K69">
        <v>0</v>
      </c>
      <c r="L69" t="s">
        <v>159</v>
      </c>
      <c r="N69" t="s">
        <v>212</v>
      </c>
      <c r="O69" t="s">
        <v>289</v>
      </c>
      <c r="P69">
        <v>3.2971296108554671E-3</v>
      </c>
      <c r="Q69" t="s">
        <v>159</v>
      </c>
      <c r="S69" t="s">
        <v>254</v>
      </c>
      <c r="T69" t="s">
        <v>289</v>
      </c>
      <c r="U69">
        <v>3.2982840440247698E-3</v>
      </c>
      <c r="V69" t="s">
        <v>159</v>
      </c>
      <c r="AK69">
        <v>2033</v>
      </c>
      <c r="AL69" t="s">
        <v>283</v>
      </c>
      <c r="AM69">
        <v>8.8400000000000006E-2</v>
      </c>
      <c r="AN69" t="s">
        <v>281</v>
      </c>
    </row>
    <row r="70" spans="9:40" x14ac:dyDescent="0.45">
      <c r="I70" t="s">
        <v>169</v>
      </c>
      <c r="J70" t="s">
        <v>290</v>
      </c>
      <c r="K70">
        <v>0</v>
      </c>
      <c r="L70" t="s">
        <v>159</v>
      </c>
      <c r="N70" t="s">
        <v>212</v>
      </c>
      <c r="O70" t="s">
        <v>290</v>
      </c>
      <c r="P70">
        <v>1.5756601741042653E-2</v>
      </c>
      <c r="Q70" t="s">
        <v>159</v>
      </c>
      <c r="S70" t="s">
        <v>254</v>
      </c>
      <c r="T70" t="s">
        <v>290</v>
      </c>
      <c r="U70">
        <v>1.5046692278671612E-2</v>
      </c>
      <c r="V70" t="s">
        <v>159</v>
      </c>
      <c r="AK70">
        <v>2033</v>
      </c>
      <c r="AL70" t="s">
        <v>285</v>
      </c>
      <c r="AM70">
        <v>0.14872000000000002</v>
      </c>
      <c r="AN70" t="s">
        <v>281</v>
      </c>
    </row>
    <row r="71" spans="9:40" x14ac:dyDescent="0.45">
      <c r="I71" t="s">
        <v>169</v>
      </c>
      <c r="J71" t="s">
        <v>165</v>
      </c>
      <c r="K71">
        <v>0</v>
      </c>
      <c r="L71" t="s">
        <v>159</v>
      </c>
      <c r="N71" t="s">
        <v>212</v>
      </c>
      <c r="O71" t="s">
        <v>165</v>
      </c>
      <c r="P71">
        <v>2.2145889971582497E-2</v>
      </c>
      <c r="Q71" t="s">
        <v>159</v>
      </c>
      <c r="S71" t="s">
        <v>254</v>
      </c>
      <c r="T71" t="s">
        <v>165</v>
      </c>
      <c r="U71">
        <v>2.4195213825526429E-2</v>
      </c>
      <c r="V71" t="s">
        <v>159</v>
      </c>
      <c r="AK71">
        <v>2034</v>
      </c>
      <c r="AL71" t="s">
        <v>148</v>
      </c>
      <c r="AM71">
        <v>0.2690333333333334</v>
      </c>
      <c r="AN71" t="s">
        <v>281</v>
      </c>
    </row>
    <row r="72" spans="9:40" x14ac:dyDescent="0.45">
      <c r="I72" t="s">
        <v>169</v>
      </c>
      <c r="J72" t="s">
        <v>166</v>
      </c>
      <c r="K72">
        <v>4.0739084379353974E-3</v>
      </c>
      <c r="L72" t="s">
        <v>159</v>
      </c>
      <c r="N72" t="s">
        <v>212</v>
      </c>
      <c r="O72" t="s">
        <v>166</v>
      </c>
      <c r="P72">
        <v>3.3592142916700238E-3</v>
      </c>
      <c r="Q72" t="s">
        <v>159</v>
      </c>
      <c r="S72" t="s">
        <v>254</v>
      </c>
      <c r="T72" t="s">
        <v>166</v>
      </c>
      <c r="U72">
        <v>3.5720786943302988E-3</v>
      </c>
      <c r="V72" t="s">
        <v>159</v>
      </c>
      <c r="AK72">
        <v>2034</v>
      </c>
      <c r="AL72" t="s">
        <v>152</v>
      </c>
      <c r="AM72">
        <v>9.715E-2</v>
      </c>
      <c r="AN72" t="s">
        <v>281</v>
      </c>
    </row>
    <row r="73" spans="9:40" x14ac:dyDescent="0.45">
      <c r="I73" t="s">
        <v>169</v>
      </c>
      <c r="J73" t="s">
        <v>167</v>
      </c>
      <c r="K73">
        <v>5.8709664359952299E-2</v>
      </c>
      <c r="L73" t="s">
        <v>159</v>
      </c>
      <c r="N73" t="s">
        <v>212</v>
      </c>
      <c r="O73" t="s">
        <v>167</v>
      </c>
      <c r="P73">
        <v>5.1306148954845511E-2</v>
      </c>
      <c r="Q73" t="s">
        <v>159</v>
      </c>
      <c r="S73" t="s">
        <v>254</v>
      </c>
      <c r="T73" t="s">
        <v>167</v>
      </c>
      <c r="U73">
        <v>3.1852413549325782E-2</v>
      </c>
      <c r="V73" t="s">
        <v>159</v>
      </c>
      <c r="AK73">
        <v>2034</v>
      </c>
      <c r="AL73" t="s">
        <v>154</v>
      </c>
      <c r="AM73">
        <v>7.9949999999999993E-2</v>
      </c>
      <c r="AN73" t="s">
        <v>281</v>
      </c>
    </row>
    <row r="74" spans="9:40" x14ac:dyDescent="0.45">
      <c r="I74" t="s">
        <v>169</v>
      </c>
      <c r="J74" t="s">
        <v>291</v>
      </c>
      <c r="K74">
        <v>0</v>
      </c>
      <c r="L74" t="s">
        <v>159</v>
      </c>
      <c r="N74" t="s">
        <v>212</v>
      </c>
      <c r="O74" t="s">
        <v>291</v>
      </c>
      <c r="P74">
        <v>3.6973595768427284E-3</v>
      </c>
      <c r="Q74" t="s">
        <v>159</v>
      </c>
      <c r="S74" t="s">
        <v>254</v>
      </c>
      <c r="T74" t="s">
        <v>291</v>
      </c>
      <c r="U74">
        <v>3.1026741073115287E-3</v>
      </c>
      <c r="V74" t="s">
        <v>159</v>
      </c>
      <c r="AK74">
        <v>2034</v>
      </c>
      <c r="AL74" t="s">
        <v>283</v>
      </c>
      <c r="AM74">
        <v>8.0600000000000005E-2</v>
      </c>
      <c r="AN74" t="s">
        <v>281</v>
      </c>
    </row>
    <row r="75" spans="9:40" x14ac:dyDescent="0.45">
      <c r="I75" t="s">
        <v>169</v>
      </c>
      <c r="J75" t="s">
        <v>292</v>
      </c>
      <c r="K75">
        <v>0</v>
      </c>
      <c r="L75" t="s">
        <v>159</v>
      </c>
      <c r="N75" t="s">
        <v>212</v>
      </c>
      <c r="O75" t="s">
        <v>292</v>
      </c>
      <c r="P75">
        <v>1.5837367972337715E-2</v>
      </c>
      <c r="Q75" t="s">
        <v>159</v>
      </c>
      <c r="S75" t="s">
        <v>254</v>
      </c>
      <c r="T75" t="s">
        <v>292</v>
      </c>
      <c r="U75">
        <v>1.5286887382219715E-2</v>
      </c>
      <c r="V75" t="s">
        <v>159</v>
      </c>
      <c r="AK75">
        <v>2034</v>
      </c>
      <c r="AL75" t="s">
        <v>285</v>
      </c>
      <c r="AM75">
        <v>0.14486000000000002</v>
      </c>
      <c r="AN75" t="s">
        <v>281</v>
      </c>
    </row>
    <row r="76" spans="9:40" x14ac:dyDescent="0.45">
      <c r="I76" t="s">
        <v>169</v>
      </c>
      <c r="J76" t="s">
        <v>293</v>
      </c>
      <c r="K76">
        <v>0</v>
      </c>
      <c r="L76" t="s">
        <v>159</v>
      </c>
      <c r="N76" t="s">
        <v>212</v>
      </c>
      <c r="O76" t="s">
        <v>293</v>
      </c>
      <c r="P76">
        <v>2.3557282877126142E-3</v>
      </c>
      <c r="Q76" t="s">
        <v>159</v>
      </c>
      <c r="S76" t="s">
        <v>254</v>
      </c>
      <c r="T76" t="s">
        <v>293</v>
      </c>
      <c r="U76">
        <v>4.2473455399021452E-3</v>
      </c>
      <c r="V76" t="s">
        <v>159</v>
      </c>
      <c r="AK76">
        <v>2035</v>
      </c>
      <c r="AL76" t="s">
        <v>148</v>
      </c>
      <c r="AM76">
        <v>0.32013333333333333</v>
      </c>
      <c r="AN76" t="s">
        <v>281</v>
      </c>
    </row>
    <row r="77" spans="9:40" x14ac:dyDescent="0.45">
      <c r="I77" t="s">
        <v>169</v>
      </c>
      <c r="J77" t="s">
        <v>294</v>
      </c>
      <c r="K77">
        <v>1.1758248239984474E-3</v>
      </c>
      <c r="L77" t="s">
        <v>159</v>
      </c>
      <c r="N77" t="s">
        <v>212</v>
      </c>
      <c r="O77" t="s">
        <v>294</v>
      </c>
      <c r="P77">
        <v>4.5728645087477941E-4</v>
      </c>
      <c r="Q77" t="s">
        <v>159</v>
      </c>
      <c r="S77" t="s">
        <v>254</v>
      </c>
      <c r="T77" t="s">
        <v>294</v>
      </c>
      <c r="U77">
        <v>5.4672565008420746E-4</v>
      </c>
      <c r="V77" t="s">
        <v>159</v>
      </c>
      <c r="AK77">
        <v>2035</v>
      </c>
      <c r="AL77" t="s">
        <v>152</v>
      </c>
      <c r="AM77">
        <v>0.11874999999999999</v>
      </c>
      <c r="AN77" t="s">
        <v>281</v>
      </c>
    </row>
    <row r="78" spans="9:40" x14ac:dyDescent="0.45">
      <c r="I78" t="s">
        <v>169</v>
      </c>
      <c r="J78" t="s">
        <v>295</v>
      </c>
      <c r="K78">
        <v>1.5926894167059096E-2</v>
      </c>
      <c r="L78" t="s">
        <v>159</v>
      </c>
      <c r="N78" t="s">
        <v>212</v>
      </c>
      <c r="O78" t="s">
        <v>295</v>
      </c>
      <c r="P78">
        <v>8.9780754996821501E-3</v>
      </c>
      <c r="Q78" t="s">
        <v>159</v>
      </c>
      <c r="S78" t="s">
        <v>254</v>
      </c>
      <c r="T78" t="s">
        <v>295</v>
      </c>
      <c r="U78">
        <v>8.0078490347596613E-3</v>
      </c>
      <c r="V78" t="s">
        <v>159</v>
      </c>
      <c r="AK78">
        <v>2035</v>
      </c>
      <c r="AL78" t="s">
        <v>154</v>
      </c>
      <c r="AM78">
        <v>9.1600000000000001E-2</v>
      </c>
      <c r="AN78" t="s">
        <v>281</v>
      </c>
    </row>
    <row r="79" spans="9:40" x14ac:dyDescent="0.45">
      <c r="I79" t="s">
        <v>169</v>
      </c>
      <c r="J79" t="s">
        <v>296</v>
      </c>
      <c r="K79">
        <v>0</v>
      </c>
      <c r="L79" t="s">
        <v>159</v>
      </c>
      <c r="N79" t="s">
        <v>212</v>
      </c>
      <c r="O79" t="s">
        <v>296</v>
      </c>
      <c r="P79">
        <v>7.1781842999902581E-4</v>
      </c>
      <c r="Q79" t="s">
        <v>159</v>
      </c>
      <c r="S79" t="s">
        <v>254</v>
      </c>
      <c r="T79" t="s">
        <v>296</v>
      </c>
      <c r="U79">
        <v>1.2652543127313906E-3</v>
      </c>
      <c r="V79" t="s">
        <v>159</v>
      </c>
      <c r="AK79">
        <v>2035</v>
      </c>
      <c r="AL79" t="s">
        <v>283</v>
      </c>
      <c r="AM79">
        <v>9.9400000000000002E-2</v>
      </c>
      <c r="AN79" t="s">
        <v>281</v>
      </c>
    </row>
    <row r="80" spans="9:40" x14ac:dyDescent="0.45">
      <c r="I80" t="s">
        <v>169</v>
      </c>
      <c r="J80" t="s">
        <v>297</v>
      </c>
      <c r="K80">
        <v>0</v>
      </c>
      <c r="L80" t="s">
        <v>159</v>
      </c>
      <c r="N80" t="s">
        <v>212</v>
      </c>
      <c r="O80" t="s">
        <v>297</v>
      </c>
      <c r="P80">
        <v>2.9986135609203855E-3</v>
      </c>
      <c r="Q80" t="s">
        <v>159</v>
      </c>
      <c r="S80" t="s">
        <v>254</v>
      </c>
      <c r="T80" t="s">
        <v>297</v>
      </c>
      <c r="U80">
        <v>4.7277590619252546E-3</v>
      </c>
      <c r="V80" t="s">
        <v>159</v>
      </c>
      <c r="AK80">
        <v>2035</v>
      </c>
      <c r="AL80" t="s">
        <v>285</v>
      </c>
      <c r="AM80">
        <v>0.17097999999999999</v>
      </c>
      <c r="AN80" t="s">
        <v>281</v>
      </c>
    </row>
    <row r="81" spans="9:40" x14ac:dyDescent="0.45">
      <c r="I81" t="s">
        <v>169</v>
      </c>
      <c r="J81" t="s">
        <v>298</v>
      </c>
      <c r="K81">
        <v>2.4217980324830895E-2</v>
      </c>
      <c r="L81" t="s">
        <v>159</v>
      </c>
      <c r="N81" t="s">
        <v>212</v>
      </c>
      <c r="O81" t="s">
        <v>298</v>
      </c>
      <c r="P81">
        <v>7.9265546590755159E-2</v>
      </c>
      <c r="Q81" t="s">
        <v>159</v>
      </c>
      <c r="S81" t="s">
        <v>254</v>
      </c>
      <c r="T81" t="s">
        <v>298</v>
      </c>
      <c r="U81">
        <v>8.1402963541379394E-2</v>
      </c>
      <c r="V81" t="s">
        <v>159</v>
      </c>
      <c r="AK81">
        <v>2036</v>
      </c>
      <c r="AL81" t="s">
        <v>148</v>
      </c>
      <c r="AM81">
        <v>0.30823333333333336</v>
      </c>
      <c r="AN81" t="s">
        <v>281</v>
      </c>
    </row>
    <row r="82" spans="9:40" x14ac:dyDescent="0.45">
      <c r="I82" t="s">
        <v>169</v>
      </c>
      <c r="J82" t="s">
        <v>299</v>
      </c>
      <c r="K82">
        <v>3.0859273752671942E-2</v>
      </c>
      <c r="L82" t="s">
        <v>159</v>
      </c>
      <c r="N82" t="s">
        <v>212</v>
      </c>
      <c r="O82" t="s">
        <v>299</v>
      </c>
      <c r="P82">
        <v>9.0573692154062423E-3</v>
      </c>
      <c r="Q82" t="s">
        <v>159</v>
      </c>
      <c r="S82" t="s">
        <v>254</v>
      </c>
      <c r="T82" t="s">
        <v>299</v>
      </c>
      <c r="U82">
        <v>9.1935148637064604E-3</v>
      </c>
      <c r="V82" t="s">
        <v>159</v>
      </c>
      <c r="AK82">
        <v>2036</v>
      </c>
      <c r="AL82" t="s">
        <v>152</v>
      </c>
      <c r="AM82">
        <v>0.1222</v>
      </c>
      <c r="AN82" t="s">
        <v>281</v>
      </c>
    </row>
    <row r="83" spans="9:40" x14ac:dyDescent="0.45">
      <c r="I83" t="s">
        <v>169</v>
      </c>
      <c r="J83" t="s">
        <v>300</v>
      </c>
      <c r="K83">
        <v>0.34972439325993399</v>
      </c>
      <c r="L83" t="s">
        <v>159</v>
      </c>
      <c r="N83" t="s">
        <v>212</v>
      </c>
      <c r="O83" t="s">
        <v>300</v>
      </c>
      <c r="P83">
        <v>0.15668526170520022</v>
      </c>
      <c r="Q83" t="s">
        <v>159</v>
      </c>
      <c r="S83" t="s">
        <v>254</v>
      </c>
      <c r="T83" t="s">
        <v>300</v>
      </c>
      <c r="U83">
        <v>0.15843722346549208</v>
      </c>
      <c r="V83" t="s">
        <v>159</v>
      </c>
      <c r="AK83">
        <v>2036</v>
      </c>
      <c r="AL83" t="s">
        <v>154</v>
      </c>
      <c r="AM83">
        <v>9.6700000000000008E-2</v>
      </c>
      <c r="AN83" t="s">
        <v>281</v>
      </c>
    </row>
    <row r="84" spans="9:40" x14ac:dyDescent="0.45">
      <c r="I84" t="s">
        <v>169</v>
      </c>
      <c r="J84" t="s">
        <v>301</v>
      </c>
      <c r="K84">
        <v>1.0638971602219577E-2</v>
      </c>
      <c r="L84" t="s">
        <v>159</v>
      </c>
      <c r="N84" t="s">
        <v>212</v>
      </c>
      <c r="O84" t="s">
        <v>301</v>
      </c>
      <c r="P84">
        <v>2.1677133729355928E-2</v>
      </c>
      <c r="Q84" t="s">
        <v>159</v>
      </c>
      <c r="S84" t="s">
        <v>254</v>
      </c>
      <c r="T84" t="s">
        <v>301</v>
      </c>
      <c r="U84">
        <v>2.2471012502461463E-2</v>
      </c>
      <c r="V84" t="s">
        <v>159</v>
      </c>
      <c r="AK84">
        <v>2036</v>
      </c>
      <c r="AL84" t="s">
        <v>283</v>
      </c>
      <c r="AM84">
        <v>9.2999999999999999E-2</v>
      </c>
      <c r="AN84" t="s">
        <v>281</v>
      </c>
    </row>
    <row r="85" spans="9:40" x14ac:dyDescent="0.45">
      <c r="I85" t="s">
        <v>169</v>
      </c>
      <c r="J85" t="s">
        <v>302</v>
      </c>
      <c r="K85">
        <v>1.2151507827096974E-6</v>
      </c>
      <c r="L85" t="s">
        <v>159</v>
      </c>
      <c r="N85" t="s">
        <v>212</v>
      </c>
      <c r="O85" t="s">
        <v>302</v>
      </c>
      <c r="P85">
        <v>8.9613814968536487E-2</v>
      </c>
      <c r="Q85" t="s">
        <v>159</v>
      </c>
      <c r="S85" t="s">
        <v>254</v>
      </c>
      <c r="T85" t="s">
        <v>302</v>
      </c>
      <c r="U85">
        <v>8.7262929732826872E-2</v>
      </c>
      <c r="V85" t="s">
        <v>159</v>
      </c>
      <c r="AK85">
        <v>2036</v>
      </c>
      <c r="AL85" t="s">
        <v>285</v>
      </c>
      <c r="AM85">
        <v>0.16764000000000001</v>
      </c>
      <c r="AN85" t="s">
        <v>281</v>
      </c>
    </row>
    <row r="86" spans="9:40" x14ac:dyDescent="0.45">
      <c r="I86" t="s">
        <v>170</v>
      </c>
      <c r="J86" t="s">
        <v>158</v>
      </c>
      <c r="K86">
        <v>1.4192260781463552E-2</v>
      </c>
      <c r="L86" t="s">
        <v>159</v>
      </c>
      <c r="N86" t="s">
        <v>213</v>
      </c>
      <c r="O86" t="s">
        <v>158</v>
      </c>
      <c r="P86">
        <v>7.9733273902406199E-2</v>
      </c>
      <c r="Q86" t="s">
        <v>159</v>
      </c>
      <c r="S86" t="s">
        <v>255</v>
      </c>
      <c r="T86" t="s">
        <v>158</v>
      </c>
      <c r="U86">
        <v>0.14246177840428118</v>
      </c>
      <c r="V86" t="s">
        <v>159</v>
      </c>
      <c r="AK86">
        <v>2037</v>
      </c>
      <c r="AL86" t="s">
        <v>148</v>
      </c>
      <c r="AM86">
        <v>0.32333333333333331</v>
      </c>
      <c r="AN86" t="s">
        <v>281</v>
      </c>
    </row>
    <row r="87" spans="9:40" x14ac:dyDescent="0.45">
      <c r="I87" t="s">
        <v>170</v>
      </c>
      <c r="J87" t="s">
        <v>160</v>
      </c>
      <c r="K87">
        <v>3.3757024074305052E-2</v>
      </c>
      <c r="L87" t="s">
        <v>159</v>
      </c>
      <c r="N87" t="s">
        <v>213</v>
      </c>
      <c r="O87" t="s">
        <v>160</v>
      </c>
      <c r="P87">
        <v>1.1088995512151653E-2</v>
      </c>
      <c r="Q87" t="s">
        <v>159</v>
      </c>
      <c r="S87" t="s">
        <v>255</v>
      </c>
      <c r="T87" t="s">
        <v>160</v>
      </c>
      <c r="U87">
        <v>1.9137035169698394E-2</v>
      </c>
      <c r="V87" t="s">
        <v>159</v>
      </c>
      <c r="AK87">
        <v>2037</v>
      </c>
      <c r="AL87" t="s">
        <v>152</v>
      </c>
      <c r="AM87">
        <v>0.1106</v>
      </c>
      <c r="AN87" t="s">
        <v>281</v>
      </c>
    </row>
    <row r="88" spans="9:40" x14ac:dyDescent="0.45">
      <c r="I88" t="s">
        <v>170</v>
      </c>
      <c r="J88" t="s">
        <v>161</v>
      </c>
      <c r="K88">
        <v>0.39528042700560856</v>
      </c>
      <c r="L88" t="s">
        <v>159</v>
      </c>
      <c r="N88" t="s">
        <v>213</v>
      </c>
      <c r="O88" t="s">
        <v>161</v>
      </c>
      <c r="P88">
        <v>0.22621452106909418</v>
      </c>
      <c r="Q88" t="s">
        <v>159</v>
      </c>
      <c r="S88" t="s">
        <v>255</v>
      </c>
      <c r="T88" t="s">
        <v>161</v>
      </c>
      <c r="U88">
        <v>0.1944188947382916</v>
      </c>
      <c r="V88" t="s">
        <v>159</v>
      </c>
      <c r="AK88">
        <v>2037</v>
      </c>
      <c r="AL88" t="s">
        <v>154</v>
      </c>
      <c r="AM88">
        <v>9.4799999999999995E-2</v>
      </c>
      <c r="AN88" t="s">
        <v>281</v>
      </c>
    </row>
    <row r="89" spans="9:40" x14ac:dyDescent="0.45">
      <c r="I89" t="s">
        <v>170</v>
      </c>
      <c r="J89" t="s">
        <v>287</v>
      </c>
      <c r="K89">
        <v>1.1586638346400061E-2</v>
      </c>
      <c r="L89" t="s">
        <v>159</v>
      </c>
      <c r="N89" t="s">
        <v>213</v>
      </c>
      <c r="O89" t="s">
        <v>287</v>
      </c>
      <c r="P89">
        <v>2.7490428548628223E-2</v>
      </c>
      <c r="Q89" t="s">
        <v>159</v>
      </c>
      <c r="S89" t="s">
        <v>255</v>
      </c>
      <c r="T89" t="s">
        <v>287</v>
      </c>
      <c r="U89">
        <v>2.2899123050910908E-2</v>
      </c>
      <c r="V89" t="s">
        <v>159</v>
      </c>
      <c r="AK89">
        <v>2037</v>
      </c>
      <c r="AL89" t="s">
        <v>283</v>
      </c>
      <c r="AM89">
        <v>0.1012</v>
      </c>
      <c r="AN89" t="s">
        <v>281</v>
      </c>
    </row>
    <row r="90" spans="9:40" x14ac:dyDescent="0.45">
      <c r="I90" t="s">
        <v>170</v>
      </c>
      <c r="J90" t="s">
        <v>288</v>
      </c>
      <c r="K90">
        <v>0</v>
      </c>
      <c r="L90" t="s">
        <v>159</v>
      </c>
      <c r="N90" t="s">
        <v>213</v>
      </c>
      <c r="O90" t="s">
        <v>288</v>
      </c>
      <c r="P90">
        <v>7.9359483906592337E-2</v>
      </c>
      <c r="Q90" t="s">
        <v>159</v>
      </c>
      <c r="S90" t="s">
        <v>255</v>
      </c>
      <c r="T90" t="s">
        <v>288</v>
      </c>
      <c r="U90">
        <v>0.11258628976521355</v>
      </c>
      <c r="V90" t="s">
        <v>159</v>
      </c>
      <c r="AK90">
        <v>2037</v>
      </c>
      <c r="AL90" t="s">
        <v>285</v>
      </c>
      <c r="AM90">
        <v>0.16956000000000002</v>
      </c>
      <c r="AN90" t="s">
        <v>281</v>
      </c>
    </row>
    <row r="91" spans="9:40" x14ac:dyDescent="0.45">
      <c r="I91" t="s">
        <v>170</v>
      </c>
      <c r="J91" t="s">
        <v>162</v>
      </c>
      <c r="K91">
        <v>0</v>
      </c>
      <c r="L91" t="s">
        <v>159</v>
      </c>
      <c r="N91" t="s">
        <v>213</v>
      </c>
      <c r="O91" t="s">
        <v>162</v>
      </c>
      <c r="P91">
        <v>1.8971264454299721E-2</v>
      </c>
      <c r="Q91" t="s">
        <v>159</v>
      </c>
      <c r="S91" t="s">
        <v>255</v>
      </c>
      <c r="T91" t="s">
        <v>162</v>
      </c>
      <c r="U91">
        <v>1.7919950444627179E-2</v>
      </c>
      <c r="V91" t="s">
        <v>159</v>
      </c>
      <c r="AK91">
        <v>2038</v>
      </c>
      <c r="AL91" t="s">
        <v>148</v>
      </c>
      <c r="AM91">
        <v>0.29701666666666665</v>
      </c>
      <c r="AN91" t="s">
        <v>281</v>
      </c>
    </row>
    <row r="92" spans="9:40" x14ac:dyDescent="0.45">
      <c r="I92" t="s">
        <v>170</v>
      </c>
      <c r="J92" t="s">
        <v>163</v>
      </c>
      <c r="K92">
        <v>3.5813565573538809E-3</v>
      </c>
      <c r="L92" t="s">
        <v>159</v>
      </c>
      <c r="N92" t="s">
        <v>213</v>
      </c>
      <c r="O92" t="s">
        <v>163</v>
      </c>
      <c r="P92">
        <v>2.6311136686984183E-3</v>
      </c>
      <c r="Q92" t="s">
        <v>159</v>
      </c>
      <c r="S92" t="s">
        <v>255</v>
      </c>
      <c r="T92" t="s">
        <v>163</v>
      </c>
      <c r="U92">
        <v>2.5797761312716392E-3</v>
      </c>
      <c r="V92" t="s">
        <v>159</v>
      </c>
      <c r="AK92">
        <v>2038</v>
      </c>
      <c r="AL92" t="s">
        <v>152</v>
      </c>
      <c r="AM92">
        <v>0.108</v>
      </c>
      <c r="AN92" t="s">
        <v>281</v>
      </c>
    </row>
    <row r="93" spans="9:40" x14ac:dyDescent="0.45">
      <c r="I93" t="s">
        <v>170</v>
      </c>
      <c r="J93" t="s">
        <v>164</v>
      </c>
      <c r="K93">
        <v>4.337371867059072E-2</v>
      </c>
      <c r="L93" t="s">
        <v>159</v>
      </c>
      <c r="N93" t="s">
        <v>213</v>
      </c>
      <c r="O93" t="s">
        <v>164</v>
      </c>
      <c r="P93">
        <v>3.9373953352553885E-2</v>
      </c>
      <c r="Q93" t="s">
        <v>159</v>
      </c>
      <c r="S93" t="s">
        <v>255</v>
      </c>
      <c r="T93" t="s">
        <v>164</v>
      </c>
      <c r="U93">
        <v>2.6039127864662597E-2</v>
      </c>
      <c r="V93" t="s">
        <v>159</v>
      </c>
      <c r="AK93">
        <v>2038</v>
      </c>
      <c r="AL93" t="s">
        <v>154</v>
      </c>
      <c r="AM93">
        <v>8.9200000000000002E-2</v>
      </c>
      <c r="AN93" t="s">
        <v>281</v>
      </c>
    </row>
    <row r="94" spans="9:40" x14ac:dyDescent="0.45">
      <c r="I94" t="s">
        <v>170</v>
      </c>
      <c r="J94" t="s">
        <v>289</v>
      </c>
      <c r="K94">
        <v>0</v>
      </c>
      <c r="L94" t="s">
        <v>159</v>
      </c>
      <c r="N94" t="s">
        <v>213</v>
      </c>
      <c r="O94" t="s">
        <v>289</v>
      </c>
      <c r="P94">
        <v>3.3936781271858749E-3</v>
      </c>
      <c r="Q94" t="s">
        <v>159</v>
      </c>
      <c r="S94" t="s">
        <v>255</v>
      </c>
      <c r="T94" t="s">
        <v>289</v>
      </c>
      <c r="U94">
        <v>2.8927819485756448E-3</v>
      </c>
      <c r="V94" t="s">
        <v>159</v>
      </c>
      <c r="AK94">
        <v>2038</v>
      </c>
      <c r="AL94" t="s">
        <v>283</v>
      </c>
      <c r="AM94">
        <v>9.1399999999999995E-2</v>
      </c>
      <c r="AN94" t="s">
        <v>281</v>
      </c>
    </row>
    <row r="95" spans="9:40" x14ac:dyDescent="0.45">
      <c r="I95" t="s">
        <v>170</v>
      </c>
      <c r="J95" t="s">
        <v>290</v>
      </c>
      <c r="K95">
        <v>0</v>
      </c>
      <c r="L95" t="s">
        <v>159</v>
      </c>
      <c r="N95" t="s">
        <v>213</v>
      </c>
      <c r="O95" t="s">
        <v>290</v>
      </c>
      <c r="P95">
        <v>1.46349350627162E-2</v>
      </c>
      <c r="Q95" t="s">
        <v>159</v>
      </c>
      <c r="S95" t="s">
        <v>255</v>
      </c>
      <c r="T95" t="s">
        <v>290</v>
      </c>
      <c r="U95">
        <v>1.4128061197059682E-2</v>
      </c>
      <c r="V95" t="s">
        <v>159</v>
      </c>
      <c r="AK95">
        <v>2038</v>
      </c>
      <c r="AL95" t="s">
        <v>285</v>
      </c>
      <c r="AM95">
        <v>0.16020000000000001</v>
      </c>
      <c r="AN95" t="s">
        <v>281</v>
      </c>
    </row>
    <row r="96" spans="9:40" x14ac:dyDescent="0.45">
      <c r="I96" t="s">
        <v>170</v>
      </c>
      <c r="J96" t="s">
        <v>165</v>
      </c>
      <c r="K96">
        <v>0</v>
      </c>
      <c r="L96" t="s">
        <v>159</v>
      </c>
      <c r="N96" t="s">
        <v>213</v>
      </c>
      <c r="O96" t="s">
        <v>165</v>
      </c>
      <c r="P96">
        <v>2.6935497119162283E-2</v>
      </c>
      <c r="Q96" t="s">
        <v>159</v>
      </c>
      <c r="S96" t="s">
        <v>255</v>
      </c>
      <c r="T96" t="s">
        <v>165</v>
      </c>
      <c r="U96">
        <v>2.09317203522363E-2</v>
      </c>
      <c r="V96" t="s">
        <v>159</v>
      </c>
      <c r="AK96">
        <v>2039</v>
      </c>
      <c r="AL96" t="s">
        <v>148</v>
      </c>
      <c r="AM96">
        <v>0.30709999999999998</v>
      </c>
      <c r="AN96" t="s">
        <v>281</v>
      </c>
    </row>
    <row r="97" spans="9:40" x14ac:dyDescent="0.45">
      <c r="I97" t="s">
        <v>170</v>
      </c>
      <c r="J97" t="s">
        <v>166</v>
      </c>
      <c r="K97">
        <v>4.4461970249988908E-3</v>
      </c>
      <c r="L97" t="s">
        <v>159</v>
      </c>
      <c r="N97" t="s">
        <v>213</v>
      </c>
      <c r="O97" t="s">
        <v>166</v>
      </c>
      <c r="P97">
        <v>3.8981707225308271E-3</v>
      </c>
      <c r="Q97" t="s">
        <v>159</v>
      </c>
      <c r="S97" t="s">
        <v>255</v>
      </c>
      <c r="T97" t="s">
        <v>166</v>
      </c>
      <c r="U97">
        <v>2.8394911392597513E-3</v>
      </c>
      <c r="V97" t="s">
        <v>159</v>
      </c>
      <c r="AK97">
        <v>2039</v>
      </c>
      <c r="AL97" t="s">
        <v>152</v>
      </c>
      <c r="AM97">
        <v>0.1091</v>
      </c>
      <c r="AN97" t="s">
        <v>281</v>
      </c>
    </row>
    <row r="98" spans="9:40" x14ac:dyDescent="0.45">
      <c r="I98" t="s">
        <v>170</v>
      </c>
      <c r="J98" t="s">
        <v>167</v>
      </c>
      <c r="K98">
        <v>6.1281801049509067E-2</v>
      </c>
      <c r="L98" t="s">
        <v>159</v>
      </c>
      <c r="N98" t="s">
        <v>213</v>
      </c>
      <c r="O98" t="s">
        <v>167</v>
      </c>
      <c r="P98">
        <v>6.2176233411951214E-2</v>
      </c>
      <c r="Q98" t="s">
        <v>159</v>
      </c>
      <c r="S98" t="s">
        <v>255</v>
      </c>
      <c r="T98" t="s">
        <v>167</v>
      </c>
      <c r="U98">
        <v>2.6091463733375335E-2</v>
      </c>
      <c r="V98" t="s">
        <v>159</v>
      </c>
      <c r="AK98">
        <v>2039</v>
      </c>
      <c r="AL98" t="s">
        <v>154</v>
      </c>
      <c r="AM98">
        <v>9.0650000000000008E-2</v>
      </c>
      <c r="AN98" t="s">
        <v>281</v>
      </c>
    </row>
    <row r="99" spans="9:40" x14ac:dyDescent="0.45">
      <c r="I99" t="s">
        <v>170</v>
      </c>
      <c r="J99" t="s">
        <v>291</v>
      </c>
      <c r="K99">
        <v>0</v>
      </c>
      <c r="L99" t="s">
        <v>159</v>
      </c>
      <c r="N99" t="s">
        <v>213</v>
      </c>
      <c r="O99" t="s">
        <v>291</v>
      </c>
      <c r="P99">
        <v>4.7979258672583023E-3</v>
      </c>
      <c r="Q99" t="s">
        <v>159</v>
      </c>
      <c r="S99" t="s">
        <v>255</v>
      </c>
      <c r="T99" t="s">
        <v>291</v>
      </c>
      <c r="U99">
        <v>2.8771353601558807E-3</v>
      </c>
      <c r="V99" t="s">
        <v>159</v>
      </c>
      <c r="AK99">
        <v>2039</v>
      </c>
      <c r="AL99" t="s">
        <v>283</v>
      </c>
      <c r="AM99">
        <v>9.1700000000000004E-2</v>
      </c>
      <c r="AN99" t="s">
        <v>281</v>
      </c>
    </row>
    <row r="100" spans="9:40" x14ac:dyDescent="0.45">
      <c r="I100" t="s">
        <v>170</v>
      </c>
      <c r="J100" t="s">
        <v>292</v>
      </c>
      <c r="K100">
        <v>0</v>
      </c>
      <c r="L100" t="s">
        <v>159</v>
      </c>
      <c r="N100" t="s">
        <v>213</v>
      </c>
      <c r="O100" t="s">
        <v>292</v>
      </c>
      <c r="P100">
        <v>2.0609465613689846E-2</v>
      </c>
      <c r="Q100" t="s">
        <v>159</v>
      </c>
      <c r="S100" t="s">
        <v>255</v>
      </c>
      <c r="T100" t="s">
        <v>292</v>
      </c>
      <c r="U100">
        <v>1.4662082771034141E-2</v>
      </c>
      <c r="V100" t="s">
        <v>159</v>
      </c>
      <c r="AK100">
        <v>2039</v>
      </c>
      <c r="AL100" t="s">
        <v>285</v>
      </c>
      <c r="AM100">
        <v>0.16633999999999999</v>
      </c>
      <c r="AN100" t="s">
        <v>281</v>
      </c>
    </row>
    <row r="101" spans="9:40" x14ac:dyDescent="0.45">
      <c r="I101" t="s">
        <v>170</v>
      </c>
      <c r="J101" t="s">
        <v>293</v>
      </c>
      <c r="K101">
        <v>0</v>
      </c>
      <c r="L101" t="s">
        <v>159</v>
      </c>
      <c r="N101" t="s">
        <v>213</v>
      </c>
      <c r="O101" t="s">
        <v>293</v>
      </c>
      <c r="P101">
        <v>2.8057808525996019E-3</v>
      </c>
      <c r="Q101" t="s">
        <v>159</v>
      </c>
      <c r="S101" t="s">
        <v>255</v>
      </c>
      <c r="T101" t="s">
        <v>293</v>
      </c>
      <c r="U101">
        <v>5.787768894530484E-3</v>
      </c>
      <c r="V101" t="s">
        <v>159</v>
      </c>
      <c r="AK101">
        <v>2040</v>
      </c>
      <c r="AL101" t="s">
        <v>148</v>
      </c>
      <c r="AM101">
        <v>0.31546666666666662</v>
      </c>
      <c r="AN101" t="s">
        <v>281</v>
      </c>
    </row>
    <row r="102" spans="9:40" x14ac:dyDescent="0.45">
      <c r="I102" t="s">
        <v>170</v>
      </c>
      <c r="J102" t="s">
        <v>294</v>
      </c>
      <c r="K102">
        <v>1.2602813002888351E-3</v>
      </c>
      <c r="L102" t="s">
        <v>159</v>
      </c>
      <c r="N102" t="s">
        <v>213</v>
      </c>
      <c r="O102" t="s">
        <v>294</v>
      </c>
      <c r="P102">
        <v>5.2633430712123181E-4</v>
      </c>
      <c r="Q102" t="s">
        <v>159</v>
      </c>
      <c r="S102" t="s">
        <v>255</v>
      </c>
      <c r="T102" t="s">
        <v>294</v>
      </c>
      <c r="U102">
        <v>8.1438654295170514E-4</v>
      </c>
      <c r="V102" t="s">
        <v>159</v>
      </c>
      <c r="AK102">
        <v>2040</v>
      </c>
      <c r="AL102" t="s">
        <v>152</v>
      </c>
      <c r="AM102">
        <v>0.11165</v>
      </c>
      <c r="AN102" t="s">
        <v>281</v>
      </c>
    </row>
    <row r="103" spans="9:40" x14ac:dyDescent="0.45">
      <c r="I103" t="s">
        <v>170</v>
      </c>
      <c r="J103" t="s">
        <v>295</v>
      </c>
      <c r="K103">
        <v>1.5800419805992495E-2</v>
      </c>
      <c r="L103" t="s">
        <v>159</v>
      </c>
      <c r="N103" t="s">
        <v>213</v>
      </c>
      <c r="O103" t="s">
        <v>295</v>
      </c>
      <c r="P103">
        <v>8.7238672365674997E-3</v>
      </c>
      <c r="Q103" t="s">
        <v>159</v>
      </c>
      <c r="S103" t="s">
        <v>255</v>
      </c>
      <c r="T103" t="s">
        <v>295</v>
      </c>
      <c r="U103">
        <v>8.2677270281212249E-3</v>
      </c>
      <c r="V103" t="s">
        <v>159</v>
      </c>
      <c r="AK103">
        <v>2040</v>
      </c>
      <c r="AL103" t="s">
        <v>154</v>
      </c>
      <c r="AM103">
        <v>0.1</v>
      </c>
      <c r="AN103" t="s">
        <v>281</v>
      </c>
    </row>
    <row r="104" spans="9:40" x14ac:dyDescent="0.45">
      <c r="I104" t="s">
        <v>170</v>
      </c>
      <c r="J104" t="s">
        <v>296</v>
      </c>
      <c r="K104">
        <v>0</v>
      </c>
      <c r="L104" t="s">
        <v>159</v>
      </c>
      <c r="N104" t="s">
        <v>213</v>
      </c>
      <c r="O104" t="s">
        <v>296</v>
      </c>
      <c r="P104">
        <v>5.9694333789405861E-4</v>
      </c>
      <c r="Q104" t="s">
        <v>159</v>
      </c>
      <c r="S104" t="s">
        <v>255</v>
      </c>
      <c r="T104" t="s">
        <v>296</v>
      </c>
      <c r="U104">
        <v>9.021696272016375E-4</v>
      </c>
      <c r="V104" t="s">
        <v>159</v>
      </c>
      <c r="AK104">
        <v>2040</v>
      </c>
      <c r="AL104" t="s">
        <v>283</v>
      </c>
      <c r="AM104">
        <v>0.10630000000000001</v>
      </c>
      <c r="AN104" t="s">
        <v>281</v>
      </c>
    </row>
    <row r="105" spans="9:40" x14ac:dyDescent="0.45">
      <c r="I105" t="s">
        <v>170</v>
      </c>
      <c r="J105" t="s">
        <v>297</v>
      </c>
      <c r="K105">
        <v>0</v>
      </c>
      <c r="L105" t="s">
        <v>159</v>
      </c>
      <c r="N105" t="s">
        <v>213</v>
      </c>
      <c r="O105" t="s">
        <v>297</v>
      </c>
      <c r="P105">
        <v>2.2860564102729995E-3</v>
      </c>
      <c r="Q105" t="s">
        <v>159</v>
      </c>
      <c r="S105" t="s">
        <v>255</v>
      </c>
      <c r="T105" t="s">
        <v>297</v>
      </c>
      <c r="U105">
        <v>4.4509350707672242E-3</v>
      </c>
      <c r="V105" t="s">
        <v>159</v>
      </c>
      <c r="AK105">
        <v>2040</v>
      </c>
      <c r="AL105" t="s">
        <v>285</v>
      </c>
      <c r="AM105">
        <v>0.16641999999999998</v>
      </c>
      <c r="AN105" t="s">
        <v>281</v>
      </c>
    </row>
    <row r="106" spans="9:40" x14ac:dyDescent="0.45">
      <c r="I106" t="s">
        <v>170</v>
      </c>
      <c r="J106" t="s">
        <v>298</v>
      </c>
      <c r="K106">
        <v>2.7211107344788481E-2</v>
      </c>
      <c r="L106" t="s">
        <v>159</v>
      </c>
      <c r="N106" t="s">
        <v>213</v>
      </c>
      <c r="O106" t="s">
        <v>298</v>
      </c>
      <c r="P106">
        <v>6.285587510411389E-2</v>
      </c>
      <c r="Q106" t="s">
        <v>159</v>
      </c>
      <c r="S106" t="s">
        <v>255</v>
      </c>
      <c r="T106" t="s">
        <v>298</v>
      </c>
      <c r="U106">
        <v>0.10260711707603189</v>
      </c>
      <c r="V106" t="s">
        <v>159</v>
      </c>
      <c r="AK106">
        <v>2041</v>
      </c>
      <c r="AL106" t="s">
        <v>148</v>
      </c>
      <c r="AM106">
        <v>0.30156666666666671</v>
      </c>
      <c r="AN106" t="s">
        <v>281</v>
      </c>
    </row>
    <row r="107" spans="9:40" x14ac:dyDescent="0.45">
      <c r="I107" t="s">
        <v>170</v>
      </c>
      <c r="J107" t="s">
        <v>299</v>
      </c>
      <c r="K107">
        <v>3.0537213273047498E-2</v>
      </c>
      <c r="L107" t="s">
        <v>159</v>
      </c>
      <c r="N107" t="s">
        <v>213</v>
      </c>
      <c r="O107" t="s">
        <v>299</v>
      </c>
      <c r="P107">
        <v>9.4261006706993933E-3</v>
      </c>
      <c r="Q107" t="s">
        <v>159</v>
      </c>
      <c r="S107" t="s">
        <v>255</v>
      </c>
      <c r="T107" t="s">
        <v>299</v>
      </c>
      <c r="U107">
        <v>1.3725454832233058E-2</v>
      </c>
      <c r="V107" t="s">
        <v>159</v>
      </c>
      <c r="AK107">
        <v>2041</v>
      </c>
      <c r="AL107" t="s">
        <v>152</v>
      </c>
      <c r="AM107">
        <v>0.11019999999999999</v>
      </c>
      <c r="AN107" t="s">
        <v>281</v>
      </c>
    </row>
    <row r="108" spans="9:40" x14ac:dyDescent="0.45">
      <c r="I108" t="s">
        <v>170</v>
      </c>
      <c r="J108" t="s">
        <v>300</v>
      </c>
      <c r="K108">
        <v>0.3490718362976411</v>
      </c>
      <c r="L108" t="s">
        <v>159</v>
      </c>
      <c r="N108" t="s">
        <v>213</v>
      </c>
      <c r="O108" t="s">
        <v>300</v>
      </c>
      <c r="P108">
        <v>0.20765056013043343</v>
      </c>
      <c r="Q108" t="s">
        <v>159</v>
      </c>
      <c r="S108" t="s">
        <v>255</v>
      </c>
      <c r="T108" t="s">
        <v>300</v>
      </c>
      <c r="U108">
        <v>0.14346195441817966</v>
      </c>
      <c r="V108" t="s">
        <v>159</v>
      </c>
      <c r="AK108">
        <v>2041</v>
      </c>
      <c r="AL108" t="s">
        <v>154</v>
      </c>
      <c r="AM108">
        <v>9.5250000000000001E-2</v>
      </c>
      <c r="AN108" t="s">
        <v>281</v>
      </c>
    </row>
    <row r="109" spans="9:40" x14ac:dyDescent="0.45">
      <c r="I109" t="s">
        <v>170</v>
      </c>
      <c r="J109" t="s">
        <v>301</v>
      </c>
      <c r="K109">
        <v>8.6197184680123599E-3</v>
      </c>
      <c r="L109" t="s">
        <v>159</v>
      </c>
      <c r="N109" t="s">
        <v>213</v>
      </c>
      <c r="O109" t="s">
        <v>301</v>
      </c>
      <c r="P109">
        <v>2.2145901946274176E-2</v>
      </c>
      <c r="Q109" t="s">
        <v>159</v>
      </c>
      <c r="S109" t="s">
        <v>255</v>
      </c>
      <c r="T109" t="s">
        <v>301</v>
      </c>
      <c r="U109">
        <v>1.6959869922903808E-2</v>
      </c>
      <c r="V109" t="s">
        <v>159</v>
      </c>
      <c r="AK109">
        <v>2041</v>
      </c>
      <c r="AL109" t="s">
        <v>283</v>
      </c>
      <c r="AM109">
        <v>0.10680000000000001</v>
      </c>
      <c r="AN109" t="s">
        <v>281</v>
      </c>
    </row>
    <row r="110" spans="9:40" x14ac:dyDescent="0.45">
      <c r="I110" t="s">
        <v>170</v>
      </c>
      <c r="J110" t="s">
        <v>302</v>
      </c>
      <c r="K110">
        <v>0</v>
      </c>
      <c r="L110" t="s">
        <v>159</v>
      </c>
      <c r="N110" t="s">
        <v>213</v>
      </c>
      <c r="O110" t="s">
        <v>302</v>
      </c>
      <c r="P110">
        <v>6.1673639665105202E-2</v>
      </c>
      <c r="Q110" t="s">
        <v>159</v>
      </c>
      <c r="S110" t="s">
        <v>255</v>
      </c>
      <c r="T110" t="s">
        <v>302</v>
      </c>
      <c r="U110">
        <v>8.0557904516421516E-2</v>
      </c>
      <c r="V110" t="s">
        <v>159</v>
      </c>
      <c r="AK110">
        <v>2041</v>
      </c>
      <c r="AL110" t="s">
        <v>285</v>
      </c>
      <c r="AM110">
        <v>0.17704</v>
      </c>
      <c r="AN110" t="s">
        <v>281</v>
      </c>
    </row>
    <row r="111" spans="9:40" x14ac:dyDescent="0.45">
      <c r="I111" t="s">
        <v>171</v>
      </c>
      <c r="J111" t="s">
        <v>158</v>
      </c>
      <c r="K111">
        <v>1.3685207236426699E-2</v>
      </c>
      <c r="L111" t="s">
        <v>159</v>
      </c>
      <c r="N111" t="s">
        <v>214</v>
      </c>
      <c r="O111" t="s">
        <v>158</v>
      </c>
      <c r="P111">
        <v>8.6362116324702712E-2</v>
      </c>
      <c r="Q111" t="s">
        <v>159</v>
      </c>
      <c r="S111" t="s">
        <v>256</v>
      </c>
      <c r="T111" t="s">
        <v>158</v>
      </c>
      <c r="U111">
        <v>0.11440204034807704</v>
      </c>
      <c r="V111" t="s">
        <v>159</v>
      </c>
      <c r="AK111">
        <v>2042</v>
      </c>
      <c r="AL111" t="s">
        <v>148</v>
      </c>
      <c r="AM111">
        <v>0.30063333333333331</v>
      </c>
      <c r="AN111" t="s">
        <v>281</v>
      </c>
    </row>
    <row r="112" spans="9:40" x14ac:dyDescent="0.45">
      <c r="I112" t="s">
        <v>171</v>
      </c>
      <c r="J112" t="s">
        <v>160</v>
      </c>
      <c r="K112">
        <v>3.4004598863872651E-2</v>
      </c>
      <c r="L112" t="s">
        <v>159</v>
      </c>
      <c r="N112" t="s">
        <v>214</v>
      </c>
      <c r="O112" t="s">
        <v>160</v>
      </c>
      <c r="P112">
        <v>1.3751099312941982E-2</v>
      </c>
      <c r="Q112" t="s">
        <v>159</v>
      </c>
      <c r="S112" t="s">
        <v>256</v>
      </c>
      <c r="T112" t="s">
        <v>160</v>
      </c>
      <c r="U112">
        <v>1.478850138591495E-2</v>
      </c>
      <c r="V112" t="s">
        <v>159</v>
      </c>
      <c r="AK112">
        <v>2042</v>
      </c>
      <c r="AL112" t="s">
        <v>152</v>
      </c>
      <c r="AM112">
        <v>0.10969999999999999</v>
      </c>
      <c r="AN112" t="s">
        <v>281</v>
      </c>
    </row>
    <row r="113" spans="9:40" x14ac:dyDescent="0.45">
      <c r="I113" t="s">
        <v>171</v>
      </c>
      <c r="J113" t="s">
        <v>161</v>
      </c>
      <c r="K113">
        <v>0.39763638029931619</v>
      </c>
      <c r="L113" t="s">
        <v>159</v>
      </c>
      <c r="N113" t="s">
        <v>214</v>
      </c>
      <c r="O113" t="s">
        <v>161</v>
      </c>
      <c r="P113">
        <v>0.21196241086426898</v>
      </c>
      <c r="Q113" t="s">
        <v>159</v>
      </c>
      <c r="S113" t="s">
        <v>256</v>
      </c>
      <c r="T113" t="s">
        <v>161</v>
      </c>
      <c r="U113">
        <v>0.21153772470481957</v>
      </c>
      <c r="V113" t="s">
        <v>159</v>
      </c>
      <c r="AK113">
        <v>2042</v>
      </c>
      <c r="AL113" t="s">
        <v>154</v>
      </c>
      <c r="AM113">
        <v>9.06E-2</v>
      </c>
      <c r="AN113" t="s">
        <v>281</v>
      </c>
    </row>
    <row r="114" spans="9:40" x14ac:dyDescent="0.45">
      <c r="I114" t="s">
        <v>171</v>
      </c>
      <c r="J114" t="s">
        <v>287</v>
      </c>
      <c r="K114">
        <v>1.0059923917482044E-2</v>
      </c>
      <c r="L114" t="s">
        <v>159</v>
      </c>
      <c r="N114" t="s">
        <v>214</v>
      </c>
      <c r="O114" t="s">
        <v>287</v>
      </c>
      <c r="P114">
        <v>3.1870461421931021E-2</v>
      </c>
      <c r="Q114" t="s">
        <v>159</v>
      </c>
      <c r="S114" t="s">
        <v>256</v>
      </c>
      <c r="T114" t="s">
        <v>287</v>
      </c>
      <c r="U114">
        <v>2.7888171210161128E-2</v>
      </c>
      <c r="V114" t="s">
        <v>159</v>
      </c>
      <c r="AK114">
        <v>2042</v>
      </c>
      <c r="AL114" t="s">
        <v>283</v>
      </c>
      <c r="AM114">
        <v>9.6100000000000005E-2</v>
      </c>
      <c r="AN114" t="s">
        <v>281</v>
      </c>
    </row>
    <row r="115" spans="9:40" x14ac:dyDescent="0.45">
      <c r="I115" t="s">
        <v>171</v>
      </c>
      <c r="J115" t="s">
        <v>288</v>
      </c>
      <c r="K115">
        <v>0</v>
      </c>
      <c r="L115" t="s">
        <v>159</v>
      </c>
      <c r="N115" t="s">
        <v>214</v>
      </c>
      <c r="O115" t="s">
        <v>288</v>
      </c>
      <c r="P115">
        <v>9.9619715288700242E-2</v>
      </c>
      <c r="Q115" t="s">
        <v>159</v>
      </c>
      <c r="S115" t="s">
        <v>256</v>
      </c>
      <c r="T115" t="s">
        <v>288</v>
      </c>
      <c r="U115">
        <v>0.11230362490480351</v>
      </c>
      <c r="V115" t="s">
        <v>159</v>
      </c>
      <c r="AK115">
        <v>2042</v>
      </c>
      <c r="AL115" t="s">
        <v>285</v>
      </c>
      <c r="AM115">
        <v>0.16719999999999999</v>
      </c>
      <c r="AN115" t="s">
        <v>281</v>
      </c>
    </row>
    <row r="116" spans="9:40" x14ac:dyDescent="0.45">
      <c r="I116" t="s">
        <v>171</v>
      </c>
      <c r="J116" t="s">
        <v>162</v>
      </c>
      <c r="K116">
        <v>0</v>
      </c>
      <c r="L116" t="s">
        <v>159</v>
      </c>
      <c r="N116" t="s">
        <v>214</v>
      </c>
      <c r="O116" t="s">
        <v>162</v>
      </c>
      <c r="P116">
        <v>2.1903202983188222E-2</v>
      </c>
      <c r="Q116" t="s">
        <v>159</v>
      </c>
      <c r="S116" t="s">
        <v>256</v>
      </c>
      <c r="T116" t="s">
        <v>162</v>
      </c>
      <c r="U116">
        <v>1.6186221761169493E-2</v>
      </c>
      <c r="V116" t="s">
        <v>159</v>
      </c>
      <c r="AK116">
        <v>2043</v>
      </c>
      <c r="AL116" t="s">
        <v>148</v>
      </c>
      <c r="AM116">
        <v>0.31211666666666665</v>
      </c>
      <c r="AN116" t="s">
        <v>281</v>
      </c>
    </row>
    <row r="117" spans="9:40" x14ac:dyDescent="0.45">
      <c r="I117" t="s">
        <v>171</v>
      </c>
      <c r="J117" t="s">
        <v>163</v>
      </c>
      <c r="K117">
        <v>3.7027542136557042E-3</v>
      </c>
      <c r="L117" t="s">
        <v>159</v>
      </c>
      <c r="N117" t="s">
        <v>214</v>
      </c>
      <c r="O117" t="s">
        <v>163</v>
      </c>
      <c r="P117">
        <v>3.4017299274757937E-3</v>
      </c>
      <c r="Q117" t="s">
        <v>159</v>
      </c>
      <c r="S117" t="s">
        <v>256</v>
      </c>
      <c r="T117" t="s">
        <v>163</v>
      </c>
      <c r="U117">
        <v>2.2517665535301437E-3</v>
      </c>
      <c r="V117" t="s">
        <v>159</v>
      </c>
      <c r="AK117">
        <v>2043</v>
      </c>
      <c r="AL117" t="s">
        <v>152</v>
      </c>
      <c r="AM117">
        <v>0.10925000000000001</v>
      </c>
      <c r="AN117" t="s">
        <v>281</v>
      </c>
    </row>
    <row r="118" spans="9:40" x14ac:dyDescent="0.45">
      <c r="I118" t="s">
        <v>171</v>
      </c>
      <c r="J118" t="s">
        <v>164</v>
      </c>
      <c r="K118">
        <v>4.7525720866189218E-2</v>
      </c>
      <c r="L118" t="s">
        <v>159</v>
      </c>
      <c r="N118" t="s">
        <v>214</v>
      </c>
      <c r="O118" t="s">
        <v>164</v>
      </c>
      <c r="P118">
        <v>4.4632579678222331E-2</v>
      </c>
      <c r="Q118" t="s">
        <v>159</v>
      </c>
      <c r="S118" t="s">
        <v>256</v>
      </c>
      <c r="T118" t="s">
        <v>164</v>
      </c>
      <c r="U118">
        <v>2.2970105916974438E-2</v>
      </c>
      <c r="V118" t="s">
        <v>159</v>
      </c>
      <c r="AK118">
        <v>2043</v>
      </c>
      <c r="AL118" t="s">
        <v>154</v>
      </c>
      <c r="AM118">
        <v>9.0249999999999997E-2</v>
      </c>
      <c r="AN118" t="s">
        <v>281</v>
      </c>
    </row>
    <row r="119" spans="9:40" x14ac:dyDescent="0.45">
      <c r="I119" t="s">
        <v>171</v>
      </c>
      <c r="J119" t="s">
        <v>289</v>
      </c>
      <c r="K119">
        <v>0</v>
      </c>
      <c r="L119" t="s">
        <v>159</v>
      </c>
      <c r="N119" t="s">
        <v>214</v>
      </c>
      <c r="O119" t="s">
        <v>289</v>
      </c>
      <c r="P119">
        <v>3.8621262478548998E-3</v>
      </c>
      <c r="Q119" t="s">
        <v>159</v>
      </c>
      <c r="S119" t="s">
        <v>256</v>
      </c>
      <c r="T119" t="s">
        <v>289</v>
      </c>
      <c r="U119">
        <v>2.7458685000727647E-3</v>
      </c>
      <c r="V119" t="s">
        <v>159</v>
      </c>
      <c r="AK119">
        <v>2043</v>
      </c>
      <c r="AL119" t="s">
        <v>283</v>
      </c>
      <c r="AM119">
        <v>9.0700000000000003E-2</v>
      </c>
      <c r="AN119" t="s">
        <v>281</v>
      </c>
    </row>
    <row r="120" spans="9:40" x14ac:dyDescent="0.45">
      <c r="I120" t="s">
        <v>171</v>
      </c>
      <c r="J120" t="s">
        <v>290</v>
      </c>
      <c r="K120">
        <v>0</v>
      </c>
      <c r="L120" t="s">
        <v>159</v>
      </c>
      <c r="N120" t="s">
        <v>214</v>
      </c>
      <c r="O120" t="s">
        <v>290</v>
      </c>
      <c r="P120">
        <v>1.7494541588119517E-2</v>
      </c>
      <c r="Q120" t="s">
        <v>159</v>
      </c>
      <c r="S120" t="s">
        <v>256</v>
      </c>
      <c r="T120" t="s">
        <v>290</v>
      </c>
      <c r="U120">
        <v>1.2604200473758259E-2</v>
      </c>
      <c r="V120" t="s">
        <v>159</v>
      </c>
      <c r="AK120">
        <v>2043</v>
      </c>
      <c r="AL120" t="s">
        <v>285</v>
      </c>
      <c r="AM120">
        <v>0.15770000000000001</v>
      </c>
      <c r="AN120" t="s">
        <v>281</v>
      </c>
    </row>
    <row r="121" spans="9:40" x14ac:dyDescent="0.45">
      <c r="I121" t="s">
        <v>171</v>
      </c>
      <c r="J121" t="s">
        <v>165</v>
      </c>
      <c r="K121">
        <v>0</v>
      </c>
      <c r="L121" t="s">
        <v>159</v>
      </c>
      <c r="N121" t="s">
        <v>214</v>
      </c>
      <c r="O121" t="s">
        <v>165</v>
      </c>
      <c r="P121">
        <v>3.3680602055758069E-2</v>
      </c>
      <c r="Q121" t="s">
        <v>159</v>
      </c>
      <c r="S121" t="s">
        <v>256</v>
      </c>
      <c r="T121" t="s">
        <v>165</v>
      </c>
      <c r="U121">
        <v>2.2118690589617605E-2</v>
      </c>
      <c r="V121" t="s">
        <v>159</v>
      </c>
      <c r="AK121">
        <v>2044</v>
      </c>
      <c r="AL121" t="s">
        <v>148</v>
      </c>
      <c r="AM121">
        <v>0.29396666666666665</v>
      </c>
      <c r="AN121" t="s">
        <v>281</v>
      </c>
    </row>
    <row r="122" spans="9:40" x14ac:dyDescent="0.45">
      <c r="I122" t="s">
        <v>171</v>
      </c>
      <c r="J122" t="s">
        <v>166</v>
      </c>
      <c r="K122">
        <v>4.535883829365454E-3</v>
      </c>
      <c r="L122" t="s">
        <v>159</v>
      </c>
      <c r="N122" t="s">
        <v>214</v>
      </c>
      <c r="O122" t="s">
        <v>166</v>
      </c>
      <c r="P122">
        <v>5.2360333410625681E-3</v>
      </c>
      <c r="Q122" t="s">
        <v>159</v>
      </c>
      <c r="S122" t="s">
        <v>256</v>
      </c>
      <c r="T122" t="s">
        <v>166</v>
      </c>
      <c r="U122">
        <v>3.4067185055163046E-3</v>
      </c>
      <c r="V122" t="s">
        <v>159</v>
      </c>
      <c r="AK122">
        <v>2044</v>
      </c>
      <c r="AL122" t="s">
        <v>152</v>
      </c>
      <c r="AM122">
        <v>0.11430000000000001</v>
      </c>
      <c r="AN122" t="s">
        <v>281</v>
      </c>
    </row>
    <row r="123" spans="9:40" x14ac:dyDescent="0.45">
      <c r="I123" t="s">
        <v>171</v>
      </c>
      <c r="J123" t="s">
        <v>167</v>
      </c>
      <c r="K123">
        <v>6.3999047993924113E-2</v>
      </c>
      <c r="L123" t="s">
        <v>159</v>
      </c>
      <c r="N123" t="s">
        <v>214</v>
      </c>
      <c r="O123" t="s">
        <v>167</v>
      </c>
      <c r="P123">
        <v>6.2120785721568962E-2</v>
      </c>
      <c r="Q123" t="s">
        <v>159</v>
      </c>
      <c r="S123" t="s">
        <v>256</v>
      </c>
      <c r="T123" t="s">
        <v>167</v>
      </c>
      <c r="U123">
        <v>3.2376749653990851E-2</v>
      </c>
      <c r="V123" t="s">
        <v>159</v>
      </c>
      <c r="AK123">
        <v>2044</v>
      </c>
      <c r="AL123" t="s">
        <v>154</v>
      </c>
      <c r="AM123">
        <v>9.0299999999999991E-2</v>
      </c>
      <c r="AN123" t="s">
        <v>281</v>
      </c>
    </row>
    <row r="124" spans="9:40" x14ac:dyDescent="0.45">
      <c r="I124" t="s">
        <v>171</v>
      </c>
      <c r="J124" t="s">
        <v>291</v>
      </c>
      <c r="K124">
        <v>0</v>
      </c>
      <c r="L124" t="s">
        <v>159</v>
      </c>
      <c r="N124" t="s">
        <v>214</v>
      </c>
      <c r="O124" t="s">
        <v>291</v>
      </c>
      <c r="P124">
        <v>4.6642067754563612E-3</v>
      </c>
      <c r="Q124" t="s">
        <v>159</v>
      </c>
      <c r="S124" t="s">
        <v>256</v>
      </c>
      <c r="T124" t="s">
        <v>291</v>
      </c>
      <c r="U124">
        <v>3.5488082517445467E-3</v>
      </c>
      <c r="V124" t="s">
        <v>159</v>
      </c>
      <c r="AK124">
        <v>2044</v>
      </c>
      <c r="AL124" t="s">
        <v>283</v>
      </c>
      <c r="AM124">
        <v>9.3799999999999994E-2</v>
      </c>
      <c r="AN124" t="s">
        <v>281</v>
      </c>
    </row>
    <row r="125" spans="9:40" x14ac:dyDescent="0.45">
      <c r="I125" t="s">
        <v>171</v>
      </c>
      <c r="J125" t="s">
        <v>292</v>
      </c>
      <c r="K125">
        <v>0</v>
      </c>
      <c r="L125" t="s">
        <v>159</v>
      </c>
      <c r="N125" t="s">
        <v>214</v>
      </c>
      <c r="O125" t="s">
        <v>292</v>
      </c>
      <c r="P125">
        <v>2.2849473153729739E-2</v>
      </c>
      <c r="Q125" t="s">
        <v>159</v>
      </c>
      <c r="S125" t="s">
        <v>256</v>
      </c>
      <c r="T125" t="s">
        <v>292</v>
      </c>
      <c r="U125">
        <v>1.6430672558941407E-2</v>
      </c>
      <c r="V125" t="s">
        <v>159</v>
      </c>
      <c r="AK125">
        <v>2044</v>
      </c>
      <c r="AL125" t="s">
        <v>285</v>
      </c>
      <c r="AM125">
        <v>0.17416000000000001</v>
      </c>
      <c r="AN125" t="s">
        <v>281</v>
      </c>
    </row>
    <row r="126" spans="9:40" x14ac:dyDescent="0.45">
      <c r="I126" t="s">
        <v>171</v>
      </c>
      <c r="J126" t="s">
        <v>293</v>
      </c>
      <c r="K126">
        <v>0</v>
      </c>
      <c r="L126" t="s">
        <v>159</v>
      </c>
      <c r="N126" t="s">
        <v>214</v>
      </c>
      <c r="O126" t="s">
        <v>293</v>
      </c>
      <c r="P126">
        <v>4.0999130480117094E-3</v>
      </c>
      <c r="Q126" t="s">
        <v>159</v>
      </c>
      <c r="S126" t="s">
        <v>256</v>
      </c>
      <c r="T126" t="s">
        <v>293</v>
      </c>
      <c r="U126">
        <v>4.6141145457371099E-3</v>
      </c>
      <c r="V126" t="s">
        <v>159</v>
      </c>
      <c r="AK126">
        <v>2045</v>
      </c>
      <c r="AL126" t="s">
        <v>148</v>
      </c>
      <c r="AM126">
        <v>0.30726666666666663</v>
      </c>
      <c r="AN126" t="s">
        <v>281</v>
      </c>
    </row>
    <row r="127" spans="9:40" x14ac:dyDescent="0.45">
      <c r="I127" t="s">
        <v>171</v>
      </c>
      <c r="J127" t="s">
        <v>294</v>
      </c>
      <c r="K127">
        <v>1.2079812986022826E-3</v>
      </c>
      <c r="L127" t="s">
        <v>159</v>
      </c>
      <c r="N127" t="s">
        <v>214</v>
      </c>
      <c r="O127" t="s">
        <v>294</v>
      </c>
      <c r="P127">
        <v>8.5161041426362789E-4</v>
      </c>
      <c r="Q127" t="s">
        <v>159</v>
      </c>
      <c r="S127" t="s">
        <v>256</v>
      </c>
      <c r="T127" t="s">
        <v>294</v>
      </c>
      <c r="U127">
        <v>5.9402371427393552E-4</v>
      </c>
      <c r="V127" t="s">
        <v>159</v>
      </c>
      <c r="AK127">
        <v>2045</v>
      </c>
      <c r="AL127" t="s">
        <v>152</v>
      </c>
      <c r="AM127">
        <v>0.11635000000000001</v>
      </c>
      <c r="AN127" t="s">
        <v>281</v>
      </c>
    </row>
    <row r="128" spans="9:40" x14ac:dyDescent="0.45">
      <c r="I128" t="s">
        <v>171</v>
      </c>
      <c r="J128" t="s">
        <v>295</v>
      </c>
      <c r="K128">
        <v>1.579000335386441E-2</v>
      </c>
      <c r="L128" t="s">
        <v>159</v>
      </c>
      <c r="N128" t="s">
        <v>214</v>
      </c>
      <c r="O128" t="s">
        <v>295</v>
      </c>
      <c r="P128">
        <v>1.1592977201260055E-2</v>
      </c>
      <c r="Q128" t="s">
        <v>159</v>
      </c>
      <c r="S128" t="s">
        <v>256</v>
      </c>
      <c r="T128" t="s">
        <v>295</v>
      </c>
      <c r="U128">
        <v>7.6032331836679073E-3</v>
      </c>
      <c r="V128" t="s">
        <v>159</v>
      </c>
      <c r="AK128">
        <v>2045</v>
      </c>
      <c r="AL128" t="s">
        <v>154</v>
      </c>
      <c r="AM128">
        <v>9.3100000000000002E-2</v>
      </c>
      <c r="AN128" t="s">
        <v>281</v>
      </c>
    </row>
    <row r="129" spans="9:40" x14ac:dyDescent="0.45">
      <c r="I129" t="s">
        <v>171</v>
      </c>
      <c r="J129" t="s">
        <v>296</v>
      </c>
      <c r="K129">
        <v>0</v>
      </c>
      <c r="L129" t="s">
        <v>159</v>
      </c>
      <c r="N129" t="s">
        <v>214</v>
      </c>
      <c r="O129" t="s">
        <v>296</v>
      </c>
      <c r="P129">
        <v>7.6239543267813293E-4</v>
      </c>
      <c r="Q129" t="s">
        <v>159</v>
      </c>
      <c r="S129" t="s">
        <v>256</v>
      </c>
      <c r="T129" t="s">
        <v>296</v>
      </c>
      <c r="U129">
        <v>1.0076050675791816E-3</v>
      </c>
      <c r="V129" t="s">
        <v>159</v>
      </c>
      <c r="AK129">
        <v>2045</v>
      </c>
      <c r="AL129" t="s">
        <v>283</v>
      </c>
      <c r="AM129">
        <v>9.5899999999999999E-2</v>
      </c>
      <c r="AN129" t="s">
        <v>281</v>
      </c>
    </row>
    <row r="130" spans="9:40" x14ac:dyDescent="0.45">
      <c r="I130" t="s">
        <v>171</v>
      </c>
      <c r="J130" t="s">
        <v>297</v>
      </c>
      <c r="K130">
        <v>0</v>
      </c>
      <c r="L130" t="s">
        <v>159</v>
      </c>
      <c r="N130" t="s">
        <v>214</v>
      </c>
      <c r="O130" t="s">
        <v>297</v>
      </c>
      <c r="P130">
        <v>1.9262862139689471E-3</v>
      </c>
      <c r="Q130" t="s">
        <v>159</v>
      </c>
      <c r="S130" t="s">
        <v>256</v>
      </c>
      <c r="T130" t="s">
        <v>297</v>
      </c>
      <c r="U130">
        <v>3.8755029682251215E-3</v>
      </c>
      <c r="V130" t="s">
        <v>159</v>
      </c>
      <c r="AK130">
        <v>2045</v>
      </c>
      <c r="AL130" t="s">
        <v>285</v>
      </c>
      <c r="AM130">
        <v>0.16531999999999997</v>
      </c>
      <c r="AN130" t="s">
        <v>281</v>
      </c>
    </row>
    <row r="131" spans="9:40" x14ac:dyDescent="0.45">
      <c r="I131" t="s">
        <v>171</v>
      </c>
      <c r="J131" t="s">
        <v>298</v>
      </c>
      <c r="K131">
        <v>2.5868300715351188E-2</v>
      </c>
      <c r="L131" t="s">
        <v>159</v>
      </c>
      <c r="N131" t="s">
        <v>214</v>
      </c>
      <c r="O131" t="s">
        <v>298</v>
      </c>
      <c r="P131">
        <v>4.9717269664768429E-2</v>
      </c>
      <c r="Q131" t="s">
        <v>159</v>
      </c>
      <c r="S131" t="s">
        <v>256</v>
      </c>
      <c r="T131" t="s">
        <v>298</v>
      </c>
      <c r="U131">
        <v>7.8397449742777112E-2</v>
      </c>
      <c r="V131" t="s">
        <v>159</v>
      </c>
      <c r="AK131">
        <v>2046</v>
      </c>
      <c r="AL131" t="s">
        <v>148</v>
      </c>
      <c r="AM131">
        <v>0.31570000000000004</v>
      </c>
      <c r="AN131" t="s">
        <v>281</v>
      </c>
    </row>
    <row r="132" spans="9:40" x14ac:dyDescent="0.45">
      <c r="I132" t="s">
        <v>171</v>
      </c>
      <c r="J132" t="s">
        <v>299</v>
      </c>
      <c r="K132">
        <v>3.0893262635067937E-2</v>
      </c>
      <c r="L132" t="s">
        <v>159</v>
      </c>
      <c r="N132" t="s">
        <v>214</v>
      </c>
      <c r="O132" t="s">
        <v>299</v>
      </c>
      <c r="P132">
        <v>7.8875194598260097E-3</v>
      </c>
      <c r="Q132" t="s">
        <v>159</v>
      </c>
      <c r="S132" t="s">
        <v>256</v>
      </c>
      <c r="T132" t="s">
        <v>299</v>
      </c>
      <c r="U132">
        <v>9.0733130794238628E-3</v>
      </c>
      <c r="V132" t="s">
        <v>159</v>
      </c>
      <c r="AK132">
        <v>2046</v>
      </c>
      <c r="AL132" t="s">
        <v>152</v>
      </c>
      <c r="AM132">
        <v>0.1091</v>
      </c>
      <c r="AN132" t="s">
        <v>281</v>
      </c>
    </row>
    <row r="133" spans="9:40" x14ac:dyDescent="0.45">
      <c r="I133" t="s">
        <v>171</v>
      </c>
      <c r="J133" t="s">
        <v>300</v>
      </c>
      <c r="K133">
        <v>0.34417071557774742</v>
      </c>
      <c r="L133" t="s">
        <v>159</v>
      </c>
      <c r="N133" t="s">
        <v>214</v>
      </c>
      <c r="O133" t="s">
        <v>300</v>
      </c>
      <c r="P133">
        <v>0.16325355463026781</v>
      </c>
      <c r="Q133" t="s">
        <v>159</v>
      </c>
      <c r="S133" t="s">
        <v>256</v>
      </c>
      <c r="T133" t="s">
        <v>300</v>
      </c>
      <c r="U133">
        <v>0.16939309945064684</v>
      </c>
      <c r="V133" t="s">
        <v>159</v>
      </c>
      <c r="AK133">
        <v>2046</v>
      </c>
      <c r="AL133" t="s">
        <v>154</v>
      </c>
      <c r="AM133">
        <v>8.8900000000000007E-2</v>
      </c>
      <c r="AN133" t="s">
        <v>281</v>
      </c>
    </row>
    <row r="134" spans="9:40" x14ac:dyDescent="0.45">
      <c r="I134" t="s">
        <v>171</v>
      </c>
      <c r="J134" t="s">
        <v>301</v>
      </c>
      <c r="K134">
        <v>6.9202191991368399E-3</v>
      </c>
      <c r="L134" t="s">
        <v>159</v>
      </c>
      <c r="N134" t="s">
        <v>214</v>
      </c>
      <c r="O134" t="s">
        <v>301</v>
      </c>
      <c r="P134">
        <v>2.5977250952430572E-2</v>
      </c>
      <c r="Q134" t="s">
        <v>159</v>
      </c>
      <c r="S134" t="s">
        <v>256</v>
      </c>
      <c r="T134" t="s">
        <v>301</v>
      </c>
      <c r="U134">
        <v>2.2474964086299044E-2</v>
      </c>
      <c r="V134" t="s">
        <v>159</v>
      </c>
      <c r="AK134">
        <v>2046</v>
      </c>
      <c r="AL134" t="s">
        <v>283</v>
      </c>
      <c r="AM134">
        <v>9.4500000000000001E-2</v>
      </c>
      <c r="AN134" t="s">
        <v>281</v>
      </c>
    </row>
    <row r="135" spans="9:40" x14ac:dyDescent="0.45">
      <c r="I135" t="s">
        <v>171</v>
      </c>
      <c r="J135" t="s">
        <v>302</v>
      </c>
      <c r="K135">
        <v>0</v>
      </c>
      <c r="L135" t="s">
        <v>159</v>
      </c>
      <c r="N135" t="s">
        <v>214</v>
      </c>
      <c r="O135" t="s">
        <v>302</v>
      </c>
      <c r="P135">
        <v>7.0520138297537421E-2</v>
      </c>
      <c r="Q135" t="s">
        <v>159</v>
      </c>
      <c r="S135" t="s">
        <v>256</v>
      </c>
      <c r="T135" t="s">
        <v>302</v>
      </c>
      <c r="U135">
        <v>8.7406828842276907E-2</v>
      </c>
      <c r="V135" t="s">
        <v>159</v>
      </c>
      <c r="AK135">
        <v>2046</v>
      </c>
      <c r="AL135" t="s">
        <v>285</v>
      </c>
      <c r="AM135">
        <v>0.16908000000000001</v>
      </c>
      <c r="AN135" t="s">
        <v>281</v>
      </c>
    </row>
    <row r="136" spans="9:40" x14ac:dyDescent="0.45">
      <c r="I136" t="s">
        <v>172</v>
      </c>
      <c r="J136" t="s">
        <v>158</v>
      </c>
      <c r="K136">
        <v>7.3612169931421998E-3</v>
      </c>
      <c r="L136" t="s">
        <v>159</v>
      </c>
      <c r="N136" t="s">
        <v>215</v>
      </c>
      <c r="O136" t="s">
        <v>158</v>
      </c>
      <c r="P136">
        <v>0.10475060644834068</v>
      </c>
      <c r="Q136" t="s">
        <v>159</v>
      </c>
      <c r="S136" t="s">
        <v>257</v>
      </c>
      <c r="T136" t="s">
        <v>158</v>
      </c>
      <c r="U136">
        <v>0.13783968439225144</v>
      </c>
      <c r="V136" t="s">
        <v>159</v>
      </c>
      <c r="AK136">
        <v>2047</v>
      </c>
      <c r="AL136" t="s">
        <v>148</v>
      </c>
      <c r="AM136">
        <v>0.34925</v>
      </c>
      <c r="AN136" t="s">
        <v>281</v>
      </c>
    </row>
    <row r="137" spans="9:40" x14ac:dyDescent="0.45">
      <c r="I137" t="s">
        <v>172</v>
      </c>
      <c r="J137" t="s">
        <v>160</v>
      </c>
      <c r="K137">
        <v>2.736326790198414E-2</v>
      </c>
      <c r="L137" t="s">
        <v>159</v>
      </c>
      <c r="N137" t="s">
        <v>215</v>
      </c>
      <c r="O137" t="s">
        <v>160</v>
      </c>
      <c r="P137">
        <v>1.3204483314492425E-2</v>
      </c>
      <c r="Q137" t="s">
        <v>159</v>
      </c>
      <c r="S137" t="s">
        <v>257</v>
      </c>
      <c r="T137" t="s">
        <v>160</v>
      </c>
      <c r="U137">
        <v>1.7775821464596827E-2</v>
      </c>
      <c r="V137" t="s">
        <v>159</v>
      </c>
      <c r="AK137">
        <v>2047</v>
      </c>
      <c r="AL137" t="s">
        <v>152</v>
      </c>
      <c r="AM137">
        <v>0.13155</v>
      </c>
      <c r="AN137" t="s">
        <v>281</v>
      </c>
    </row>
    <row r="138" spans="9:40" x14ac:dyDescent="0.45">
      <c r="I138" t="s">
        <v>172</v>
      </c>
      <c r="J138" t="s">
        <v>161</v>
      </c>
      <c r="K138">
        <v>0.41006238095653208</v>
      </c>
      <c r="L138" t="s">
        <v>159</v>
      </c>
      <c r="N138" t="s">
        <v>215</v>
      </c>
      <c r="O138" t="s">
        <v>161</v>
      </c>
      <c r="P138">
        <v>0.1909995292061219</v>
      </c>
      <c r="Q138" t="s">
        <v>159</v>
      </c>
      <c r="S138" t="s">
        <v>257</v>
      </c>
      <c r="T138" t="s">
        <v>161</v>
      </c>
      <c r="U138">
        <v>0.19691978399369398</v>
      </c>
      <c r="V138" t="s">
        <v>159</v>
      </c>
      <c r="AK138">
        <v>2047</v>
      </c>
      <c r="AL138" t="s">
        <v>154</v>
      </c>
      <c r="AM138">
        <v>0.105</v>
      </c>
      <c r="AN138" t="s">
        <v>281</v>
      </c>
    </row>
    <row r="139" spans="9:40" x14ac:dyDescent="0.45">
      <c r="I139" t="s">
        <v>172</v>
      </c>
      <c r="J139" t="s">
        <v>287</v>
      </c>
      <c r="K139">
        <v>1.7007007710566166E-2</v>
      </c>
      <c r="L139" t="s">
        <v>159</v>
      </c>
      <c r="N139" t="s">
        <v>215</v>
      </c>
      <c r="O139" t="s">
        <v>287</v>
      </c>
      <c r="P139">
        <v>2.6315865491717255E-2</v>
      </c>
      <c r="Q139" t="s">
        <v>159</v>
      </c>
      <c r="S139" t="s">
        <v>257</v>
      </c>
      <c r="T139" t="s">
        <v>287</v>
      </c>
      <c r="U139">
        <v>2.3891310820383076E-2</v>
      </c>
      <c r="V139" t="s">
        <v>159</v>
      </c>
      <c r="AK139">
        <v>2047</v>
      </c>
      <c r="AL139" t="s">
        <v>283</v>
      </c>
      <c r="AM139">
        <v>0.11119999999999999</v>
      </c>
      <c r="AN139" t="s">
        <v>281</v>
      </c>
    </row>
    <row r="140" spans="9:40" x14ac:dyDescent="0.45">
      <c r="I140" t="s">
        <v>172</v>
      </c>
      <c r="J140" t="s">
        <v>288</v>
      </c>
      <c r="K140">
        <v>4.8112783091086384E-3</v>
      </c>
      <c r="L140" t="s">
        <v>159</v>
      </c>
      <c r="N140" t="s">
        <v>215</v>
      </c>
      <c r="O140" t="s">
        <v>288</v>
      </c>
      <c r="P140">
        <v>0.1195037522001214</v>
      </c>
      <c r="Q140" t="s">
        <v>159</v>
      </c>
      <c r="S140" t="s">
        <v>257</v>
      </c>
      <c r="T140" t="s">
        <v>288</v>
      </c>
      <c r="U140">
        <v>0.11156478161986477</v>
      </c>
      <c r="V140" t="s">
        <v>159</v>
      </c>
      <c r="AK140">
        <v>2047</v>
      </c>
      <c r="AL140" t="s">
        <v>285</v>
      </c>
      <c r="AM140">
        <v>0.19047999999999998</v>
      </c>
      <c r="AN140" t="s">
        <v>281</v>
      </c>
    </row>
    <row r="141" spans="9:40" x14ac:dyDescent="0.45">
      <c r="I141" t="s">
        <v>172</v>
      </c>
      <c r="J141" t="s">
        <v>162</v>
      </c>
      <c r="K141">
        <v>0</v>
      </c>
      <c r="L141" t="s">
        <v>159</v>
      </c>
      <c r="N141" t="s">
        <v>215</v>
      </c>
      <c r="O141" t="s">
        <v>162</v>
      </c>
      <c r="P141">
        <v>2.2496911297032778E-2</v>
      </c>
      <c r="Q141" t="s">
        <v>159</v>
      </c>
      <c r="S141" t="s">
        <v>257</v>
      </c>
      <c r="T141" t="s">
        <v>162</v>
      </c>
      <c r="U141">
        <v>1.706466141033525E-2</v>
      </c>
      <c r="V141" t="s">
        <v>159</v>
      </c>
      <c r="AK141">
        <v>2048</v>
      </c>
      <c r="AL141" t="s">
        <v>148</v>
      </c>
      <c r="AM141">
        <v>0.36323333333333335</v>
      </c>
      <c r="AN141" t="s">
        <v>281</v>
      </c>
    </row>
    <row r="142" spans="9:40" x14ac:dyDescent="0.45">
      <c r="I142" t="s">
        <v>172</v>
      </c>
      <c r="J142" t="s">
        <v>163</v>
      </c>
      <c r="K142">
        <v>0</v>
      </c>
      <c r="L142" t="s">
        <v>159</v>
      </c>
      <c r="N142" t="s">
        <v>215</v>
      </c>
      <c r="O142" t="s">
        <v>163</v>
      </c>
      <c r="P142">
        <v>3.1451975373868657E-3</v>
      </c>
      <c r="Q142" t="s">
        <v>159</v>
      </c>
      <c r="S142" t="s">
        <v>257</v>
      </c>
      <c r="T142" t="s">
        <v>163</v>
      </c>
      <c r="U142">
        <v>2.3846597793970906E-3</v>
      </c>
      <c r="V142" t="s">
        <v>159</v>
      </c>
      <c r="AK142">
        <v>2048</v>
      </c>
      <c r="AL142" t="s">
        <v>152</v>
      </c>
      <c r="AM142">
        <v>0.14095000000000002</v>
      </c>
      <c r="AN142" t="s">
        <v>281</v>
      </c>
    </row>
    <row r="143" spans="9:40" x14ac:dyDescent="0.45">
      <c r="I143" t="s">
        <v>172</v>
      </c>
      <c r="J143" t="s">
        <v>164</v>
      </c>
      <c r="K143">
        <v>4.6119048255820555E-2</v>
      </c>
      <c r="L143" t="s">
        <v>159</v>
      </c>
      <c r="N143" t="s">
        <v>215</v>
      </c>
      <c r="O143" t="s">
        <v>164</v>
      </c>
      <c r="P143">
        <v>3.899418149211948E-2</v>
      </c>
      <c r="Q143" t="s">
        <v>159</v>
      </c>
      <c r="S143" t="s">
        <v>257</v>
      </c>
      <c r="T143" t="s">
        <v>164</v>
      </c>
      <c r="U143">
        <v>2.4378789571797576E-2</v>
      </c>
      <c r="V143" t="s">
        <v>159</v>
      </c>
      <c r="AK143">
        <v>2048</v>
      </c>
      <c r="AL143" t="s">
        <v>154</v>
      </c>
      <c r="AM143">
        <v>0.1115</v>
      </c>
      <c r="AN143" t="s">
        <v>281</v>
      </c>
    </row>
    <row r="144" spans="9:40" x14ac:dyDescent="0.45">
      <c r="I144" t="s">
        <v>172</v>
      </c>
      <c r="J144" t="s">
        <v>289</v>
      </c>
      <c r="K144">
        <v>0</v>
      </c>
      <c r="L144" t="s">
        <v>159</v>
      </c>
      <c r="N144" t="s">
        <v>215</v>
      </c>
      <c r="O144" t="s">
        <v>289</v>
      </c>
      <c r="P144">
        <v>3.7607087560998574E-3</v>
      </c>
      <c r="Q144" t="s">
        <v>159</v>
      </c>
      <c r="S144" t="s">
        <v>257</v>
      </c>
      <c r="T144" t="s">
        <v>289</v>
      </c>
      <c r="U144">
        <v>2.898782286646973E-3</v>
      </c>
      <c r="V144" t="s">
        <v>159</v>
      </c>
      <c r="AK144">
        <v>2048</v>
      </c>
      <c r="AL144" t="s">
        <v>283</v>
      </c>
      <c r="AM144">
        <v>0.1157</v>
      </c>
      <c r="AN144" t="s">
        <v>281</v>
      </c>
    </row>
    <row r="145" spans="9:40" x14ac:dyDescent="0.45">
      <c r="I145" t="s">
        <v>172</v>
      </c>
      <c r="J145" t="s">
        <v>290</v>
      </c>
      <c r="K145">
        <v>0</v>
      </c>
      <c r="L145" t="s">
        <v>159</v>
      </c>
      <c r="N145" t="s">
        <v>215</v>
      </c>
      <c r="O145" t="s">
        <v>290</v>
      </c>
      <c r="P145">
        <v>1.7803753176982209E-2</v>
      </c>
      <c r="Q145" t="s">
        <v>159</v>
      </c>
      <c r="S145" t="s">
        <v>257</v>
      </c>
      <c r="T145" t="s">
        <v>290</v>
      </c>
      <c r="U145">
        <v>1.3508816772119243E-2</v>
      </c>
      <c r="V145" t="s">
        <v>159</v>
      </c>
      <c r="AK145">
        <v>2048</v>
      </c>
      <c r="AL145" t="s">
        <v>285</v>
      </c>
      <c r="AM145">
        <v>0.20015999999999998</v>
      </c>
      <c r="AN145" t="s">
        <v>281</v>
      </c>
    </row>
    <row r="146" spans="9:40" x14ac:dyDescent="0.45">
      <c r="I146" t="s">
        <v>172</v>
      </c>
      <c r="J146" t="s">
        <v>165</v>
      </c>
      <c r="K146">
        <v>0</v>
      </c>
      <c r="L146" t="s">
        <v>159</v>
      </c>
      <c r="N146" t="s">
        <v>215</v>
      </c>
      <c r="O146" t="s">
        <v>165</v>
      </c>
      <c r="P146">
        <v>2.7770390578834771E-2</v>
      </c>
      <c r="Q146" t="s">
        <v>159</v>
      </c>
      <c r="S146" t="s">
        <v>257</v>
      </c>
      <c r="T146" t="s">
        <v>165</v>
      </c>
      <c r="U146">
        <v>2.0250124920527381E-2</v>
      </c>
      <c r="V146" t="s">
        <v>159</v>
      </c>
      <c r="AK146">
        <v>2049</v>
      </c>
      <c r="AL146" t="s">
        <v>148</v>
      </c>
      <c r="AM146">
        <v>0.36641666666666667</v>
      </c>
      <c r="AN146" t="s">
        <v>281</v>
      </c>
    </row>
    <row r="147" spans="9:40" x14ac:dyDescent="0.45">
      <c r="I147" t="s">
        <v>172</v>
      </c>
      <c r="J147" t="s">
        <v>166</v>
      </c>
      <c r="K147">
        <v>1.6522641348016352E-3</v>
      </c>
      <c r="L147" t="s">
        <v>159</v>
      </c>
      <c r="N147" t="s">
        <v>215</v>
      </c>
      <c r="O147" t="s">
        <v>166</v>
      </c>
      <c r="P147">
        <v>3.9805670276088648E-3</v>
      </c>
      <c r="Q147" t="s">
        <v>159</v>
      </c>
      <c r="S147" t="s">
        <v>257</v>
      </c>
      <c r="T147" t="s">
        <v>166</v>
      </c>
      <c r="U147">
        <v>2.7566664458202853E-3</v>
      </c>
      <c r="V147" t="s">
        <v>159</v>
      </c>
      <c r="AK147">
        <v>2049</v>
      </c>
      <c r="AL147" t="s">
        <v>152</v>
      </c>
      <c r="AM147">
        <v>0.12470000000000001</v>
      </c>
      <c r="AN147" t="s">
        <v>281</v>
      </c>
    </row>
    <row r="148" spans="9:40" x14ac:dyDescent="0.45">
      <c r="I148" t="s">
        <v>172</v>
      </c>
      <c r="J148" t="s">
        <v>167</v>
      </c>
      <c r="K148">
        <v>5.5747513405087303E-2</v>
      </c>
      <c r="L148" t="s">
        <v>159</v>
      </c>
      <c r="N148" t="s">
        <v>215</v>
      </c>
      <c r="O148" t="s">
        <v>167</v>
      </c>
      <c r="P148">
        <v>5.2889322586021609E-2</v>
      </c>
      <c r="Q148" t="s">
        <v>159</v>
      </c>
      <c r="S148" t="s">
        <v>257</v>
      </c>
      <c r="T148" t="s">
        <v>167</v>
      </c>
      <c r="U148">
        <v>2.6277785638337575E-2</v>
      </c>
      <c r="V148" t="s">
        <v>159</v>
      </c>
      <c r="AK148">
        <v>2049</v>
      </c>
      <c r="AL148" t="s">
        <v>154</v>
      </c>
      <c r="AM148">
        <v>0.10255</v>
      </c>
      <c r="AN148" t="s">
        <v>281</v>
      </c>
    </row>
    <row r="149" spans="9:40" x14ac:dyDescent="0.45">
      <c r="I149" t="s">
        <v>172</v>
      </c>
      <c r="J149" t="s">
        <v>291</v>
      </c>
      <c r="K149">
        <v>0</v>
      </c>
      <c r="L149" t="s">
        <v>159</v>
      </c>
      <c r="N149" t="s">
        <v>215</v>
      </c>
      <c r="O149" t="s">
        <v>291</v>
      </c>
      <c r="P149">
        <v>4.8167805917314266E-3</v>
      </c>
      <c r="Q149" t="s">
        <v>159</v>
      </c>
      <c r="S149" t="s">
        <v>257</v>
      </c>
      <c r="T149" t="s">
        <v>291</v>
      </c>
      <c r="U149">
        <v>3.1985925544293159E-3</v>
      </c>
      <c r="V149" t="s">
        <v>159</v>
      </c>
      <c r="AK149">
        <v>2049</v>
      </c>
      <c r="AL149" t="s">
        <v>283</v>
      </c>
      <c r="AM149">
        <v>0.1043</v>
      </c>
      <c r="AN149" t="s">
        <v>281</v>
      </c>
    </row>
    <row r="150" spans="9:40" x14ac:dyDescent="0.45">
      <c r="I150" t="s">
        <v>172</v>
      </c>
      <c r="J150" t="s">
        <v>292</v>
      </c>
      <c r="K150">
        <v>0</v>
      </c>
      <c r="L150" t="s">
        <v>159</v>
      </c>
      <c r="N150" t="s">
        <v>215</v>
      </c>
      <c r="O150" t="s">
        <v>292</v>
      </c>
      <c r="P150">
        <v>2.1493509181117004E-2</v>
      </c>
      <c r="Q150" t="s">
        <v>159</v>
      </c>
      <c r="S150" t="s">
        <v>257</v>
      </c>
      <c r="T150" t="s">
        <v>292</v>
      </c>
      <c r="U150">
        <v>1.5396816912799363E-2</v>
      </c>
      <c r="V150" t="s">
        <v>159</v>
      </c>
      <c r="AK150">
        <v>2049</v>
      </c>
      <c r="AL150" t="s">
        <v>285</v>
      </c>
      <c r="AM150">
        <v>0.19075999999999999</v>
      </c>
      <c r="AN150" t="s">
        <v>281</v>
      </c>
    </row>
    <row r="151" spans="9:40" x14ac:dyDescent="0.45">
      <c r="I151" t="s">
        <v>172</v>
      </c>
      <c r="J151" t="s">
        <v>293</v>
      </c>
      <c r="K151">
        <v>0</v>
      </c>
      <c r="L151" t="s">
        <v>159</v>
      </c>
      <c r="N151" t="s">
        <v>215</v>
      </c>
      <c r="O151" t="s">
        <v>293</v>
      </c>
      <c r="P151">
        <v>3.7562800158589074E-3</v>
      </c>
      <c r="Q151" t="s">
        <v>159</v>
      </c>
      <c r="S151" t="s">
        <v>257</v>
      </c>
      <c r="T151" t="s">
        <v>293</v>
      </c>
      <c r="U151">
        <v>5.466700565709237E-3</v>
      </c>
      <c r="V151" t="s">
        <v>159</v>
      </c>
      <c r="AK151">
        <v>2050</v>
      </c>
      <c r="AL151" t="s">
        <v>148</v>
      </c>
      <c r="AM151">
        <v>0.36294999999999994</v>
      </c>
      <c r="AN151" t="s">
        <v>281</v>
      </c>
    </row>
    <row r="152" spans="9:40" x14ac:dyDescent="0.45">
      <c r="I152" t="s">
        <v>172</v>
      </c>
      <c r="J152" t="s">
        <v>294</v>
      </c>
      <c r="K152">
        <v>1.0314024814259031E-3</v>
      </c>
      <c r="L152" t="s">
        <v>159</v>
      </c>
      <c r="N152" t="s">
        <v>215</v>
      </c>
      <c r="O152" t="s">
        <v>294</v>
      </c>
      <c r="P152">
        <v>6.5943369099880468E-4</v>
      </c>
      <c r="Q152" t="s">
        <v>159</v>
      </c>
      <c r="S152" t="s">
        <v>257</v>
      </c>
      <c r="T152" t="s">
        <v>294</v>
      </c>
      <c r="U152">
        <v>8.2895482724703348E-4</v>
      </c>
      <c r="V152" t="s">
        <v>159</v>
      </c>
      <c r="AK152">
        <v>2050</v>
      </c>
      <c r="AL152" t="s">
        <v>152</v>
      </c>
      <c r="AM152">
        <v>0.12475</v>
      </c>
      <c r="AN152" t="s">
        <v>281</v>
      </c>
    </row>
    <row r="153" spans="9:40" x14ac:dyDescent="0.45">
      <c r="I153" t="s">
        <v>172</v>
      </c>
      <c r="J153" t="s">
        <v>295</v>
      </c>
      <c r="K153">
        <v>1.6001500086789557E-2</v>
      </c>
      <c r="L153" t="s">
        <v>159</v>
      </c>
      <c r="N153" t="s">
        <v>215</v>
      </c>
      <c r="O153" t="s">
        <v>295</v>
      </c>
      <c r="P153">
        <v>9.7157567836809317E-3</v>
      </c>
      <c r="Q153" t="s">
        <v>159</v>
      </c>
      <c r="S153" t="s">
        <v>257</v>
      </c>
      <c r="T153" t="s">
        <v>295</v>
      </c>
      <c r="U153">
        <v>8.4824980683398457E-3</v>
      </c>
      <c r="V153" t="s">
        <v>159</v>
      </c>
      <c r="AK153">
        <v>2050</v>
      </c>
      <c r="AL153" t="s">
        <v>154</v>
      </c>
      <c r="AM153">
        <v>0.1132</v>
      </c>
      <c r="AN153" t="s">
        <v>281</v>
      </c>
    </row>
    <row r="154" spans="9:40" x14ac:dyDescent="0.45">
      <c r="I154" t="s">
        <v>172</v>
      </c>
      <c r="J154" t="s">
        <v>296</v>
      </c>
      <c r="K154">
        <v>0</v>
      </c>
      <c r="L154" t="s">
        <v>159</v>
      </c>
      <c r="N154" t="s">
        <v>215</v>
      </c>
      <c r="O154" t="s">
        <v>296</v>
      </c>
      <c r="P154">
        <v>8.8994851782616552E-4</v>
      </c>
      <c r="Q154" t="s">
        <v>159</v>
      </c>
      <c r="S154" t="s">
        <v>257</v>
      </c>
      <c r="T154" t="s">
        <v>296</v>
      </c>
      <c r="U154">
        <v>9.3895191488394068E-4</v>
      </c>
      <c r="V154" t="s">
        <v>159</v>
      </c>
      <c r="AK154">
        <v>2050</v>
      </c>
      <c r="AL154" t="s">
        <v>283</v>
      </c>
      <c r="AM154">
        <v>0.1227</v>
      </c>
      <c r="AN154" t="s">
        <v>281</v>
      </c>
    </row>
    <row r="155" spans="9:40" x14ac:dyDescent="0.45">
      <c r="I155" t="s">
        <v>172</v>
      </c>
      <c r="J155" t="s">
        <v>297</v>
      </c>
      <c r="K155">
        <v>0</v>
      </c>
      <c r="L155" t="s">
        <v>159</v>
      </c>
      <c r="N155" t="s">
        <v>215</v>
      </c>
      <c r="O155" t="s">
        <v>297</v>
      </c>
      <c r="P155">
        <v>3.2858518106443036E-3</v>
      </c>
      <c r="Q155" t="s">
        <v>159</v>
      </c>
      <c r="S155" t="s">
        <v>257</v>
      </c>
      <c r="T155" t="s">
        <v>297</v>
      </c>
      <c r="U155">
        <v>3.9127978709670094E-3</v>
      </c>
      <c r="V155" t="s">
        <v>159</v>
      </c>
      <c r="AK155">
        <v>2050</v>
      </c>
      <c r="AL155" t="s">
        <v>285</v>
      </c>
      <c r="AM155">
        <v>0.19012000000000001</v>
      </c>
      <c r="AN155" t="s">
        <v>281</v>
      </c>
    </row>
    <row r="156" spans="9:40" x14ac:dyDescent="0.45">
      <c r="I156" t="s">
        <v>172</v>
      </c>
      <c r="J156" t="s">
        <v>298</v>
      </c>
      <c r="K156">
        <v>1.5695342841378721E-2</v>
      </c>
      <c r="L156" t="s">
        <v>159</v>
      </c>
      <c r="N156" t="s">
        <v>215</v>
      </c>
      <c r="O156" t="s">
        <v>298</v>
      </c>
      <c r="P156">
        <v>6.9089054880620226E-2</v>
      </c>
      <c r="Q156" t="s">
        <v>159</v>
      </c>
      <c r="S156" t="s">
        <v>257</v>
      </c>
      <c r="T156" t="s">
        <v>298</v>
      </c>
      <c r="U156">
        <v>9.941916246625121E-2</v>
      </c>
      <c r="V156" t="s">
        <v>159</v>
      </c>
    </row>
    <row r="157" spans="9:40" x14ac:dyDescent="0.45">
      <c r="I157" t="s">
        <v>172</v>
      </c>
      <c r="J157" t="s">
        <v>299</v>
      </c>
      <c r="K157">
        <v>2.8520397284345092E-2</v>
      </c>
      <c r="L157" t="s">
        <v>159</v>
      </c>
      <c r="N157" t="s">
        <v>215</v>
      </c>
      <c r="O157" t="s">
        <v>299</v>
      </c>
      <c r="P157">
        <v>8.7169556324413495E-3</v>
      </c>
      <c r="Q157" t="s">
        <v>159</v>
      </c>
      <c r="S157" t="s">
        <v>257</v>
      </c>
      <c r="T157" t="s">
        <v>299</v>
      </c>
      <c r="U157">
        <v>1.2940733766192872E-2</v>
      </c>
      <c r="V157" t="s">
        <v>159</v>
      </c>
    </row>
    <row r="158" spans="9:40" x14ac:dyDescent="0.45">
      <c r="I158" t="s">
        <v>172</v>
      </c>
      <c r="J158" t="s">
        <v>300</v>
      </c>
      <c r="K158">
        <v>0.35075770733868217</v>
      </c>
      <c r="L158" t="s">
        <v>159</v>
      </c>
      <c r="N158" t="s">
        <v>215</v>
      </c>
      <c r="O158" t="s">
        <v>300</v>
      </c>
      <c r="P158">
        <v>0.14267129613510265</v>
      </c>
      <c r="Q158" t="s">
        <v>159</v>
      </c>
      <c r="S158" t="s">
        <v>257</v>
      </c>
      <c r="T158" t="s">
        <v>300</v>
      </c>
      <c r="U158">
        <v>0.15152051676130512</v>
      </c>
      <c r="V158" t="s">
        <v>159</v>
      </c>
    </row>
    <row r="159" spans="9:40" x14ac:dyDescent="0.45">
      <c r="I159" t="s">
        <v>172</v>
      </c>
      <c r="J159" t="s">
        <v>301</v>
      </c>
      <c r="K159">
        <v>1.6190227799531734E-2</v>
      </c>
      <c r="L159" t="s">
        <v>159</v>
      </c>
      <c r="N159" t="s">
        <v>215</v>
      </c>
      <c r="O159" t="s">
        <v>301</v>
      </c>
      <c r="P159">
        <v>2.1353807730237116E-2</v>
      </c>
      <c r="Q159" t="s">
        <v>159</v>
      </c>
      <c r="S159" t="s">
        <v>257</v>
      </c>
      <c r="T159" t="s">
        <v>301</v>
      </c>
      <c r="U159">
        <v>1.8230146701620296E-2</v>
      </c>
      <c r="V159" t="s">
        <v>159</v>
      </c>
    </row>
    <row r="160" spans="9:40" x14ac:dyDescent="0.45">
      <c r="I160" t="s">
        <v>172</v>
      </c>
      <c r="J160" t="s">
        <v>302</v>
      </c>
      <c r="K160">
        <v>1.6794445008047677E-3</v>
      </c>
      <c r="L160" t="s">
        <v>159</v>
      </c>
      <c r="N160" t="s">
        <v>215</v>
      </c>
      <c r="O160" t="s">
        <v>302</v>
      </c>
      <c r="P160">
        <v>8.7936055916860295E-2</v>
      </c>
      <c r="Q160" t="s">
        <v>159</v>
      </c>
      <c r="S160" t="s">
        <v>257</v>
      </c>
      <c r="T160" t="s">
        <v>302</v>
      </c>
      <c r="U160">
        <v>8.2152458474482368E-2</v>
      </c>
      <c r="V160" t="s">
        <v>159</v>
      </c>
    </row>
    <row r="161" spans="9:22" x14ac:dyDescent="0.45">
      <c r="I161" t="s">
        <v>173</v>
      </c>
      <c r="J161" t="s">
        <v>158</v>
      </c>
      <c r="K161">
        <v>9.8169743692247367E-3</v>
      </c>
      <c r="L161" t="s">
        <v>159</v>
      </c>
      <c r="N161" t="s">
        <v>216</v>
      </c>
      <c r="O161" t="s">
        <v>158</v>
      </c>
      <c r="P161">
        <v>7.0120405513549505E-2</v>
      </c>
      <c r="Q161" t="s">
        <v>159</v>
      </c>
      <c r="S161" t="s">
        <v>258</v>
      </c>
      <c r="T161" t="s">
        <v>158</v>
      </c>
      <c r="U161">
        <v>0.11987503161247724</v>
      </c>
      <c r="V161" t="s">
        <v>159</v>
      </c>
    </row>
    <row r="162" spans="9:22" x14ac:dyDescent="0.45">
      <c r="I162" t="s">
        <v>173</v>
      </c>
      <c r="J162" t="s">
        <v>160</v>
      </c>
      <c r="K162">
        <v>2.9536387177250715E-2</v>
      </c>
      <c r="L162" t="s">
        <v>159</v>
      </c>
      <c r="N162" t="s">
        <v>216</v>
      </c>
      <c r="O162" t="s">
        <v>160</v>
      </c>
      <c r="P162">
        <v>1.0284566497653047E-2</v>
      </c>
      <c r="Q162" t="s">
        <v>159</v>
      </c>
      <c r="S162" t="s">
        <v>258</v>
      </c>
      <c r="T162" t="s">
        <v>160</v>
      </c>
      <c r="U162">
        <v>1.6961202095763933E-2</v>
      </c>
      <c r="V162" t="s">
        <v>159</v>
      </c>
    </row>
    <row r="163" spans="9:22" x14ac:dyDescent="0.45">
      <c r="I163" t="s">
        <v>173</v>
      </c>
      <c r="J163" t="s">
        <v>161</v>
      </c>
      <c r="K163">
        <v>0.40904799882101833</v>
      </c>
      <c r="L163" t="s">
        <v>159</v>
      </c>
      <c r="N163" t="s">
        <v>216</v>
      </c>
      <c r="O163" t="s">
        <v>161</v>
      </c>
      <c r="P163">
        <v>0.20051523380149833</v>
      </c>
      <c r="Q163" t="s">
        <v>159</v>
      </c>
      <c r="S163" t="s">
        <v>258</v>
      </c>
      <c r="T163" t="s">
        <v>161</v>
      </c>
      <c r="U163">
        <v>0.18923754862643294</v>
      </c>
      <c r="V163" t="s">
        <v>159</v>
      </c>
    </row>
    <row r="164" spans="9:22" x14ac:dyDescent="0.45">
      <c r="I164" t="s">
        <v>173</v>
      </c>
      <c r="J164" t="s">
        <v>287</v>
      </c>
      <c r="K164">
        <v>1.6856423572495734E-2</v>
      </c>
      <c r="L164" t="s">
        <v>159</v>
      </c>
      <c r="N164" t="s">
        <v>216</v>
      </c>
      <c r="O164" t="s">
        <v>287</v>
      </c>
      <c r="P164">
        <v>1.3747520799176948E-2</v>
      </c>
      <c r="Q164" t="s">
        <v>159</v>
      </c>
      <c r="S164" t="s">
        <v>258</v>
      </c>
      <c r="T164" t="s">
        <v>287</v>
      </c>
      <c r="U164">
        <v>2.0851021218454953E-2</v>
      </c>
      <c r="V164" t="s">
        <v>159</v>
      </c>
    </row>
    <row r="165" spans="9:22" x14ac:dyDescent="0.45">
      <c r="I165" t="s">
        <v>173</v>
      </c>
      <c r="J165" t="s">
        <v>288</v>
      </c>
      <c r="K165">
        <v>4.0158622202361854E-3</v>
      </c>
      <c r="L165" t="s">
        <v>159</v>
      </c>
      <c r="N165" t="s">
        <v>216</v>
      </c>
      <c r="O165" t="s">
        <v>288</v>
      </c>
      <c r="P165">
        <v>5.3432769494075938E-2</v>
      </c>
      <c r="Q165" t="s">
        <v>159</v>
      </c>
      <c r="S165" t="s">
        <v>258</v>
      </c>
      <c r="T165" t="s">
        <v>288</v>
      </c>
      <c r="U165">
        <v>9.481475727402848E-2</v>
      </c>
      <c r="V165" t="s">
        <v>159</v>
      </c>
    </row>
    <row r="166" spans="9:22" x14ac:dyDescent="0.45">
      <c r="I166" t="s">
        <v>173</v>
      </c>
      <c r="J166" t="s">
        <v>162</v>
      </c>
      <c r="K166">
        <v>0</v>
      </c>
      <c r="L166" t="s">
        <v>159</v>
      </c>
      <c r="N166" t="s">
        <v>216</v>
      </c>
      <c r="O166" t="s">
        <v>162</v>
      </c>
      <c r="P166">
        <v>1.6574923390579574E-2</v>
      </c>
      <c r="Q166" t="s">
        <v>159</v>
      </c>
      <c r="S166" t="s">
        <v>258</v>
      </c>
      <c r="T166" t="s">
        <v>162</v>
      </c>
      <c r="U166">
        <v>2.5270309092809251E-2</v>
      </c>
      <c r="V166" t="s">
        <v>159</v>
      </c>
    </row>
    <row r="167" spans="9:22" x14ac:dyDescent="0.45">
      <c r="I167" t="s">
        <v>173</v>
      </c>
      <c r="J167" t="s">
        <v>163</v>
      </c>
      <c r="K167">
        <v>0</v>
      </c>
      <c r="L167" t="s">
        <v>159</v>
      </c>
      <c r="N167" t="s">
        <v>216</v>
      </c>
      <c r="O167" t="s">
        <v>163</v>
      </c>
      <c r="P167">
        <v>1.936504768446643E-3</v>
      </c>
      <c r="Q167" t="s">
        <v>159</v>
      </c>
      <c r="S167" t="s">
        <v>258</v>
      </c>
      <c r="T167" t="s">
        <v>163</v>
      </c>
      <c r="U167">
        <v>3.5585436191650204E-3</v>
      </c>
      <c r="V167" t="s">
        <v>159</v>
      </c>
    </row>
    <row r="168" spans="9:22" x14ac:dyDescent="0.45">
      <c r="I168" t="s">
        <v>173</v>
      </c>
      <c r="J168" t="s">
        <v>164</v>
      </c>
      <c r="K168">
        <v>4.2274449181083924E-2</v>
      </c>
      <c r="L168" t="s">
        <v>159</v>
      </c>
      <c r="N168" t="s">
        <v>216</v>
      </c>
      <c r="O168" t="s">
        <v>164</v>
      </c>
      <c r="P168">
        <v>4.5737471273663205E-2</v>
      </c>
      <c r="Q168" t="s">
        <v>159</v>
      </c>
      <c r="S168" t="s">
        <v>258</v>
      </c>
      <c r="T168" t="s">
        <v>164</v>
      </c>
      <c r="U168">
        <v>3.1666273930314369E-2</v>
      </c>
      <c r="V168" t="s">
        <v>159</v>
      </c>
    </row>
    <row r="169" spans="9:22" x14ac:dyDescent="0.45">
      <c r="I169" t="s">
        <v>173</v>
      </c>
      <c r="J169" t="s">
        <v>289</v>
      </c>
      <c r="K169">
        <v>0</v>
      </c>
      <c r="L169" t="s">
        <v>159</v>
      </c>
      <c r="N169" t="s">
        <v>216</v>
      </c>
      <c r="O169" t="s">
        <v>289</v>
      </c>
      <c r="P169">
        <v>2.4109504804102678E-3</v>
      </c>
      <c r="Q169" t="s">
        <v>159</v>
      </c>
      <c r="S169" t="s">
        <v>258</v>
      </c>
      <c r="T169" t="s">
        <v>289</v>
      </c>
      <c r="U169">
        <v>3.4967217577589744E-3</v>
      </c>
      <c r="V169" t="s">
        <v>159</v>
      </c>
    </row>
    <row r="170" spans="9:22" x14ac:dyDescent="0.45">
      <c r="I170" t="s">
        <v>173</v>
      </c>
      <c r="J170" t="s">
        <v>290</v>
      </c>
      <c r="K170">
        <v>0</v>
      </c>
      <c r="L170" t="s">
        <v>159</v>
      </c>
      <c r="N170" t="s">
        <v>216</v>
      </c>
      <c r="O170" t="s">
        <v>290</v>
      </c>
      <c r="P170">
        <v>9.7628660750156433E-3</v>
      </c>
      <c r="Q170" t="s">
        <v>159</v>
      </c>
      <c r="S170" t="s">
        <v>258</v>
      </c>
      <c r="T170" t="s">
        <v>290</v>
      </c>
      <c r="U170">
        <v>1.6551040576722544E-2</v>
      </c>
      <c r="V170" t="s">
        <v>159</v>
      </c>
    </row>
    <row r="171" spans="9:22" x14ac:dyDescent="0.45">
      <c r="I171" t="s">
        <v>173</v>
      </c>
      <c r="J171" t="s">
        <v>165</v>
      </c>
      <c r="K171">
        <v>0</v>
      </c>
      <c r="L171" t="s">
        <v>159</v>
      </c>
      <c r="N171" t="s">
        <v>216</v>
      </c>
      <c r="O171" t="s">
        <v>165</v>
      </c>
      <c r="P171">
        <v>3.4747133042182542E-2</v>
      </c>
      <c r="Q171" t="s">
        <v>159</v>
      </c>
      <c r="S171" t="s">
        <v>258</v>
      </c>
      <c r="T171" t="s">
        <v>165</v>
      </c>
      <c r="U171">
        <v>2.8561280978713344E-2</v>
      </c>
      <c r="V171" t="s">
        <v>159</v>
      </c>
    </row>
    <row r="172" spans="9:22" x14ac:dyDescent="0.45">
      <c r="I172" t="s">
        <v>173</v>
      </c>
      <c r="J172" t="s">
        <v>166</v>
      </c>
      <c r="K172">
        <v>2.0874693249185983E-3</v>
      </c>
      <c r="L172" t="s">
        <v>159</v>
      </c>
      <c r="N172" t="s">
        <v>216</v>
      </c>
      <c r="O172" t="s">
        <v>166</v>
      </c>
      <c r="P172">
        <v>4.7766965463098788E-3</v>
      </c>
      <c r="Q172" t="s">
        <v>159</v>
      </c>
      <c r="S172" t="s">
        <v>258</v>
      </c>
      <c r="T172" t="s">
        <v>166</v>
      </c>
      <c r="U172">
        <v>4.069378087700604E-3</v>
      </c>
      <c r="V172" t="s">
        <v>159</v>
      </c>
    </row>
    <row r="173" spans="9:22" x14ac:dyDescent="0.45">
      <c r="I173" t="s">
        <v>173</v>
      </c>
      <c r="J173" t="s">
        <v>167</v>
      </c>
      <c r="K173">
        <v>5.3461452023084013E-2</v>
      </c>
      <c r="L173" t="s">
        <v>159</v>
      </c>
      <c r="N173" t="s">
        <v>216</v>
      </c>
      <c r="O173" t="s">
        <v>167</v>
      </c>
      <c r="P173">
        <v>7.6571414006323904E-2</v>
      </c>
      <c r="Q173" t="s">
        <v>159</v>
      </c>
      <c r="S173" t="s">
        <v>258</v>
      </c>
      <c r="T173" t="s">
        <v>167</v>
      </c>
      <c r="U173">
        <v>3.7862364189946068E-2</v>
      </c>
      <c r="V173" t="s">
        <v>159</v>
      </c>
    </row>
    <row r="174" spans="9:22" x14ac:dyDescent="0.45">
      <c r="I174" t="s">
        <v>173</v>
      </c>
      <c r="J174" t="s">
        <v>291</v>
      </c>
      <c r="K174">
        <v>0</v>
      </c>
      <c r="L174" t="s">
        <v>159</v>
      </c>
      <c r="N174" t="s">
        <v>216</v>
      </c>
      <c r="O174" t="s">
        <v>291</v>
      </c>
      <c r="P174">
        <v>5.2051947560139023E-3</v>
      </c>
      <c r="Q174" t="s">
        <v>159</v>
      </c>
      <c r="S174" t="s">
        <v>258</v>
      </c>
      <c r="T174" t="s">
        <v>291</v>
      </c>
      <c r="U174">
        <v>4.2989646197932364E-3</v>
      </c>
      <c r="V174" t="s">
        <v>159</v>
      </c>
    </row>
    <row r="175" spans="9:22" x14ac:dyDescent="0.45">
      <c r="I175" t="s">
        <v>173</v>
      </c>
      <c r="J175" t="s">
        <v>292</v>
      </c>
      <c r="K175">
        <v>0</v>
      </c>
      <c r="L175" t="s">
        <v>159</v>
      </c>
      <c r="N175" t="s">
        <v>216</v>
      </c>
      <c r="O175" t="s">
        <v>292</v>
      </c>
      <c r="P175">
        <v>1.9937016462905521E-2</v>
      </c>
      <c r="Q175" t="s">
        <v>159</v>
      </c>
      <c r="S175" t="s">
        <v>258</v>
      </c>
      <c r="T175" t="s">
        <v>292</v>
      </c>
      <c r="U175">
        <v>2.1604865332691708E-2</v>
      </c>
      <c r="V175" t="s">
        <v>159</v>
      </c>
    </row>
    <row r="176" spans="9:22" x14ac:dyDescent="0.45">
      <c r="I176" t="s">
        <v>173</v>
      </c>
      <c r="J176" t="s">
        <v>293</v>
      </c>
      <c r="K176">
        <v>0</v>
      </c>
      <c r="L176" t="s">
        <v>159</v>
      </c>
      <c r="N176" t="s">
        <v>216</v>
      </c>
      <c r="O176" t="s">
        <v>293</v>
      </c>
      <c r="P176">
        <v>5.6306921871789326E-3</v>
      </c>
      <c r="Q176" t="s">
        <v>159</v>
      </c>
      <c r="S176" t="s">
        <v>258</v>
      </c>
      <c r="T176" t="s">
        <v>293</v>
      </c>
      <c r="U176">
        <v>4.5809225901062975E-3</v>
      </c>
      <c r="V176" t="s">
        <v>159</v>
      </c>
    </row>
    <row r="177" spans="9:22" x14ac:dyDescent="0.45">
      <c r="I177" t="s">
        <v>173</v>
      </c>
      <c r="J177" t="s">
        <v>294</v>
      </c>
      <c r="K177">
        <v>1.1103941313845894E-3</v>
      </c>
      <c r="L177" t="s">
        <v>159</v>
      </c>
      <c r="N177" t="s">
        <v>216</v>
      </c>
      <c r="O177" t="s">
        <v>294</v>
      </c>
      <c r="P177">
        <v>7.2377733794563447E-4</v>
      </c>
      <c r="Q177" t="s">
        <v>159</v>
      </c>
      <c r="S177" t="s">
        <v>258</v>
      </c>
      <c r="T177" t="s">
        <v>294</v>
      </c>
      <c r="U177">
        <v>6.662707839142902E-4</v>
      </c>
      <c r="V177" t="s">
        <v>159</v>
      </c>
    </row>
    <row r="178" spans="9:22" x14ac:dyDescent="0.45">
      <c r="I178" t="s">
        <v>173</v>
      </c>
      <c r="J178" t="s">
        <v>295</v>
      </c>
      <c r="K178">
        <v>1.6124622007734658E-2</v>
      </c>
      <c r="L178" t="s">
        <v>159</v>
      </c>
      <c r="N178" t="s">
        <v>216</v>
      </c>
      <c r="O178" t="s">
        <v>295</v>
      </c>
      <c r="P178">
        <v>1.4549648258097245E-2</v>
      </c>
      <c r="Q178" t="s">
        <v>159</v>
      </c>
      <c r="S178" t="s">
        <v>258</v>
      </c>
      <c r="T178" t="s">
        <v>295</v>
      </c>
      <c r="U178">
        <v>7.2420909159559878E-3</v>
      </c>
      <c r="V178" t="s">
        <v>159</v>
      </c>
    </row>
    <row r="179" spans="9:22" x14ac:dyDescent="0.45">
      <c r="I179" t="s">
        <v>173</v>
      </c>
      <c r="J179" t="s">
        <v>296</v>
      </c>
      <c r="K179">
        <v>0</v>
      </c>
      <c r="L179" t="s">
        <v>159</v>
      </c>
      <c r="N179" t="s">
        <v>216</v>
      </c>
      <c r="O179" t="s">
        <v>296</v>
      </c>
      <c r="P179">
        <v>7.9475262266609937E-4</v>
      </c>
      <c r="Q179" t="s">
        <v>159</v>
      </c>
      <c r="S179" t="s">
        <v>258</v>
      </c>
      <c r="T179" t="s">
        <v>296</v>
      </c>
      <c r="U179">
        <v>7.7391899332664377E-4</v>
      </c>
      <c r="V179" t="s">
        <v>159</v>
      </c>
    </row>
    <row r="180" spans="9:22" x14ac:dyDescent="0.45">
      <c r="I180" t="s">
        <v>173</v>
      </c>
      <c r="J180" t="s">
        <v>297</v>
      </c>
      <c r="K180">
        <v>0</v>
      </c>
      <c r="L180" t="s">
        <v>159</v>
      </c>
      <c r="N180" t="s">
        <v>216</v>
      </c>
      <c r="O180" t="s">
        <v>297</v>
      </c>
      <c r="P180">
        <v>2.8703335344809847E-3</v>
      </c>
      <c r="Q180" t="s">
        <v>159</v>
      </c>
      <c r="S180" t="s">
        <v>258</v>
      </c>
      <c r="T180" t="s">
        <v>297</v>
      </c>
      <c r="U180">
        <v>3.3136590637477957E-3</v>
      </c>
      <c r="V180" t="s">
        <v>159</v>
      </c>
    </row>
    <row r="181" spans="9:22" x14ac:dyDescent="0.45">
      <c r="I181" t="s">
        <v>173</v>
      </c>
      <c r="J181" t="s">
        <v>298</v>
      </c>
      <c r="K181">
        <v>1.7984566729068473E-2</v>
      </c>
      <c r="L181" t="s">
        <v>159</v>
      </c>
      <c r="N181" t="s">
        <v>216</v>
      </c>
      <c r="O181" t="s">
        <v>298</v>
      </c>
      <c r="P181">
        <v>6.3067145499611343E-2</v>
      </c>
      <c r="Q181" t="s">
        <v>159</v>
      </c>
      <c r="S181" t="s">
        <v>258</v>
      </c>
      <c r="T181" t="s">
        <v>298</v>
      </c>
      <c r="U181">
        <v>9.7341169595416374E-2</v>
      </c>
      <c r="V181" t="s">
        <v>159</v>
      </c>
    </row>
    <row r="182" spans="9:22" x14ac:dyDescent="0.45">
      <c r="I182" t="s">
        <v>173</v>
      </c>
      <c r="J182" t="s">
        <v>299</v>
      </c>
      <c r="K182">
        <v>2.9796403899852525E-2</v>
      </c>
      <c r="L182" t="s">
        <v>159</v>
      </c>
      <c r="N182" t="s">
        <v>216</v>
      </c>
      <c r="O182" t="s">
        <v>299</v>
      </c>
      <c r="P182">
        <v>8.4844488344267069E-3</v>
      </c>
      <c r="Q182" t="s">
        <v>159</v>
      </c>
      <c r="S182" t="s">
        <v>258</v>
      </c>
      <c r="T182" t="s">
        <v>299</v>
      </c>
      <c r="U182">
        <v>1.4481761778033021E-2</v>
      </c>
      <c r="V182" t="s">
        <v>159</v>
      </c>
    </row>
    <row r="183" spans="9:22" x14ac:dyDescent="0.45">
      <c r="I183" t="s">
        <v>173</v>
      </c>
      <c r="J183" t="s">
        <v>300</v>
      </c>
      <c r="K183">
        <v>0.35219373043814711</v>
      </c>
      <c r="L183" t="s">
        <v>159</v>
      </c>
      <c r="N183" t="s">
        <v>216</v>
      </c>
      <c r="O183" t="s">
        <v>300</v>
      </c>
      <c r="P183">
        <v>0.27649329973290165</v>
      </c>
      <c r="Q183" t="s">
        <v>159</v>
      </c>
      <c r="S183" t="s">
        <v>258</v>
      </c>
      <c r="T183" t="s">
        <v>300</v>
      </c>
      <c r="U183">
        <v>0.16327083591697739</v>
      </c>
      <c r="V183" t="s">
        <v>159</v>
      </c>
    </row>
    <row r="184" spans="9:22" x14ac:dyDescent="0.45">
      <c r="I184" t="s">
        <v>173</v>
      </c>
      <c r="J184" t="s">
        <v>301</v>
      </c>
      <c r="K184">
        <v>1.4359124882159152E-2</v>
      </c>
      <c r="L184" t="s">
        <v>159</v>
      </c>
      <c r="N184" t="s">
        <v>216</v>
      </c>
      <c r="O184" t="s">
        <v>301</v>
      </c>
      <c r="P184">
        <v>1.5912712354191623E-2</v>
      </c>
      <c r="Q184" t="s">
        <v>159</v>
      </c>
      <c r="S184" t="s">
        <v>258</v>
      </c>
      <c r="T184" t="s">
        <v>301</v>
      </c>
      <c r="U184">
        <v>1.659846274411839E-2</v>
      </c>
      <c r="V184" t="s">
        <v>159</v>
      </c>
    </row>
    <row r="185" spans="9:22" x14ac:dyDescent="0.45">
      <c r="I185" t="s">
        <v>173</v>
      </c>
      <c r="J185" t="s">
        <v>302</v>
      </c>
      <c r="K185">
        <v>1.3341412223444463E-3</v>
      </c>
      <c r="L185" t="s">
        <v>159</v>
      </c>
      <c r="N185" t="s">
        <v>216</v>
      </c>
      <c r="O185" t="s">
        <v>302</v>
      </c>
      <c r="P185">
        <v>4.571252273069823E-2</v>
      </c>
      <c r="Q185" t="s">
        <v>159</v>
      </c>
      <c r="S185" t="s">
        <v>258</v>
      </c>
      <c r="T185" t="s">
        <v>302</v>
      </c>
      <c r="U185">
        <v>7.3051604605631051E-2</v>
      </c>
      <c r="V185" t="s">
        <v>159</v>
      </c>
    </row>
    <row r="186" spans="9:22" x14ac:dyDescent="0.45">
      <c r="I186" t="s">
        <v>174</v>
      </c>
      <c r="J186" t="s">
        <v>158</v>
      </c>
      <c r="K186">
        <v>6.5306276162040685E-3</v>
      </c>
      <c r="L186" t="s">
        <v>159</v>
      </c>
      <c r="N186" t="s">
        <v>217</v>
      </c>
      <c r="O186" t="s">
        <v>158</v>
      </c>
      <c r="P186">
        <v>9.9845712283687396E-2</v>
      </c>
      <c r="Q186" t="s">
        <v>159</v>
      </c>
      <c r="S186" t="s">
        <v>259</v>
      </c>
      <c r="T186" t="s">
        <v>158</v>
      </c>
      <c r="U186">
        <v>0.12813695878680226</v>
      </c>
      <c r="V186" t="s">
        <v>159</v>
      </c>
    </row>
    <row r="187" spans="9:22" x14ac:dyDescent="0.45">
      <c r="I187" t="s">
        <v>174</v>
      </c>
      <c r="J187" t="s">
        <v>160</v>
      </c>
      <c r="K187">
        <v>2.9974244724570262E-2</v>
      </c>
      <c r="L187" t="s">
        <v>159</v>
      </c>
      <c r="N187" t="s">
        <v>217</v>
      </c>
      <c r="O187" t="s">
        <v>160</v>
      </c>
      <c r="P187">
        <v>1.173864659677692E-2</v>
      </c>
      <c r="Q187" t="s">
        <v>159</v>
      </c>
      <c r="S187" t="s">
        <v>259</v>
      </c>
      <c r="T187" t="s">
        <v>160</v>
      </c>
      <c r="U187">
        <v>1.7047349153192733E-2</v>
      </c>
      <c r="V187" t="s">
        <v>159</v>
      </c>
    </row>
    <row r="188" spans="9:22" x14ac:dyDescent="0.45">
      <c r="I188" t="s">
        <v>174</v>
      </c>
      <c r="J188" t="s">
        <v>161</v>
      </c>
      <c r="K188">
        <v>0.41349865103077832</v>
      </c>
      <c r="L188" t="s">
        <v>159</v>
      </c>
      <c r="N188" t="s">
        <v>217</v>
      </c>
      <c r="O188" t="s">
        <v>161</v>
      </c>
      <c r="P188">
        <v>0.13711681837662315</v>
      </c>
      <c r="Q188" t="s">
        <v>159</v>
      </c>
      <c r="S188" t="s">
        <v>259</v>
      </c>
      <c r="T188" t="s">
        <v>161</v>
      </c>
      <c r="U188">
        <v>0.18639494816471103</v>
      </c>
      <c r="V188" t="s">
        <v>159</v>
      </c>
    </row>
    <row r="189" spans="9:22" x14ac:dyDescent="0.45">
      <c r="I189" t="s">
        <v>174</v>
      </c>
      <c r="J189" t="s">
        <v>287</v>
      </c>
      <c r="K189">
        <v>1.4490922680311172E-2</v>
      </c>
      <c r="L189" t="s">
        <v>159</v>
      </c>
      <c r="N189" t="s">
        <v>217</v>
      </c>
      <c r="O189" t="s">
        <v>287</v>
      </c>
      <c r="P189">
        <v>1.6861447795410704E-2</v>
      </c>
      <c r="Q189" t="s">
        <v>159</v>
      </c>
      <c r="S189" t="s">
        <v>259</v>
      </c>
      <c r="T189" t="s">
        <v>287</v>
      </c>
      <c r="U189">
        <v>2.1630695722607542E-2</v>
      </c>
      <c r="V189" t="s">
        <v>159</v>
      </c>
    </row>
    <row r="190" spans="9:22" x14ac:dyDescent="0.45">
      <c r="I190" t="s">
        <v>174</v>
      </c>
      <c r="J190" t="s">
        <v>288</v>
      </c>
      <c r="K190">
        <v>0</v>
      </c>
      <c r="L190" t="s">
        <v>159</v>
      </c>
      <c r="N190" t="s">
        <v>217</v>
      </c>
      <c r="O190" t="s">
        <v>288</v>
      </c>
      <c r="P190">
        <v>9.8928742033585135E-2</v>
      </c>
      <c r="Q190" t="s">
        <v>159</v>
      </c>
      <c r="S190" t="s">
        <v>259</v>
      </c>
      <c r="T190" t="s">
        <v>288</v>
      </c>
      <c r="U190">
        <v>0.10476090398790185</v>
      </c>
      <c r="V190" t="s">
        <v>159</v>
      </c>
    </row>
    <row r="191" spans="9:22" x14ac:dyDescent="0.45">
      <c r="I191" t="s">
        <v>174</v>
      </c>
      <c r="J191" t="s">
        <v>162</v>
      </c>
      <c r="K191">
        <v>0</v>
      </c>
      <c r="L191" t="s">
        <v>159</v>
      </c>
      <c r="N191" t="s">
        <v>217</v>
      </c>
      <c r="O191" t="s">
        <v>162</v>
      </c>
      <c r="P191">
        <v>2.640998388553803E-2</v>
      </c>
      <c r="Q191" t="s">
        <v>159</v>
      </c>
      <c r="S191" t="s">
        <v>259</v>
      </c>
      <c r="T191" t="s">
        <v>162</v>
      </c>
      <c r="U191">
        <v>1.5564400344284376E-2</v>
      </c>
      <c r="V191" t="s">
        <v>159</v>
      </c>
    </row>
    <row r="192" spans="9:22" x14ac:dyDescent="0.45">
      <c r="I192" t="s">
        <v>174</v>
      </c>
      <c r="J192" t="s">
        <v>163</v>
      </c>
      <c r="K192">
        <v>1.4937542373408296E-4</v>
      </c>
      <c r="L192" t="s">
        <v>159</v>
      </c>
      <c r="N192" t="s">
        <v>217</v>
      </c>
      <c r="O192" t="s">
        <v>163</v>
      </c>
      <c r="P192">
        <v>2.9156678650167252E-3</v>
      </c>
      <c r="Q192" t="s">
        <v>159</v>
      </c>
      <c r="S192" t="s">
        <v>259</v>
      </c>
      <c r="T192" t="s">
        <v>163</v>
      </c>
      <c r="U192">
        <v>2.242399436436197E-3</v>
      </c>
      <c r="V192" t="s">
        <v>159</v>
      </c>
    </row>
    <row r="193" spans="9:22" x14ac:dyDescent="0.45">
      <c r="I193" t="s">
        <v>174</v>
      </c>
      <c r="J193" t="s">
        <v>164</v>
      </c>
      <c r="K193">
        <v>5.1745574151650008E-2</v>
      </c>
      <c r="L193" t="s">
        <v>159</v>
      </c>
      <c r="N193" t="s">
        <v>217</v>
      </c>
      <c r="O193" t="s">
        <v>164</v>
      </c>
      <c r="P193">
        <v>3.3370927244721862E-2</v>
      </c>
      <c r="Q193" t="s">
        <v>159</v>
      </c>
      <c r="S193" t="s">
        <v>259</v>
      </c>
      <c r="T193" t="s">
        <v>164</v>
      </c>
      <c r="U193">
        <v>2.98051429680629E-2</v>
      </c>
      <c r="V193" t="s">
        <v>159</v>
      </c>
    </row>
    <row r="194" spans="9:22" x14ac:dyDescent="0.45">
      <c r="I194" t="s">
        <v>174</v>
      </c>
      <c r="J194" t="s">
        <v>289</v>
      </c>
      <c r="K194">
        <v>0</v>
      </c>
      <c r="L194" t="s">
        <v>159</v>
      </c>
      <c r="N194" t="s">
        <v>217</v>
      </c>
      <c r="O194" t="s">
        <v>289</v>
      </c>
      <c r="P194">
        <v>3.2797453637241083E-3</v>
      </c>
      <c r="Q194" t="s">
        <v>159</v>
      </c>
      <c r="S194" t="s">
        <v>259</v>
      </c>
      <c r="T194" t="s">
        <v>289</v>
      </c>
      <c r="U194">
        <v>3.289979283739058E-3</v>
      </c>
      <c r="V194" t="s">
        <v>159</v>
      </c>
    </row>
    <row r="195" spans="9:22" x14ac:dyDescent="0.45">
      <c r="I195" t="s">
        <v>174</v>
      </c>
      <c r="J195" t="s">
        <v>290</v>
      </c>
      <c r="K195">
        <v>0</v>
      </c>
      <c r="L195" t="s">
        <v>159</v>
      </c>
      <c r="N195" t="s">
        <v>217</v>
      </c>
      <c r="O195" t="s">
        <v>290</v>
      </c>
      <c r="P195">
        <v>1.9681542290009613E-2</v>
      </c>
      <c r="Q195" t="s">
        <v>159</v>
      </c>
      <c r="S195" t="s">
        <v>259</v>
      </c>
      <c r="T195" t="s">
        <v>290</v>
      </c>
      <c r="U195">
        <v>1.5363518969926096E-2</v>
      </c>
      <c r="V195" t="s">
        <v>159</v>
      </c>
    </row>
    <row r="196" spans="9:22" x14ac:dyDescent="0.45">
      <c r="I196" t="s">
        <v>174</v>
      </c>
      <c r="J196" t="s">
        <v>165</v>
      </c>
      <c r="K196">
        <v>0</v>
      </c>
      <c r="L196" t="s">
        <v>159</v>
      </c>
      <c r="N196" t="s">
        <v>217</v>
      </c>
      <c r="O196" t="s">
        <v>165</v>
      </c>
      <c r="P196">
        <v>3.5904317084061589E-2</v>
      </c>
      <c r="Q196" t="s">
        <v>159</v>
      </c>
      <c r="S196" t="s">
        <v>259</v>
      </c>
      <c r="T196" t="s">
        <v>165</v>
      </c>
      <c r="U196">
        <v>2.1616609554391951E-2</v>
      </c>
      <c r="V196" t="s">
        <v>159</v>
      </c>
    </row>
    <row r="197" spans="9:22" x14ac:dyDescent="0.45">
      <c r="I197" t="s">
        <v>174</v>
      </c>
      <c r="J197" t="s">
        <v>166</v>
      </c>
      <c r="K197">
        <v>3.9224272749167448E-3</v>
      </c>
      <c r="L197" t="s">
        <v>159</v>
      </c>
      <c r="N197" t="s">
        <v>217</v>
      </c>
      <c r="O197" t="s">
        <v>166</v>
      </c>
      <c r="P197">
        <v>4.2696663959745822E-3</v>
      </c>
      <c r="Q197" t="s">
        <v>159</v>
      </c>
      <c r="S197" t="s">
        <v>259</v>
      </c>
      <c r="T197" t="s">
        <v>166</v>
      </c>
      <c r="U197">
        <v>3.1201309694930067E-3</v>
      </c>
      <c r="V197" t="s">
        <v>159</v>
      </c>
    </row>
    <row r="198" spans="9:22" x14ac:dyDescent="0.45">
      <c r="I198" t="s">
        <v>174</v>
      </c>
      <c r="J198" t="s">
        <v>167</v>
      </c>
      <c r="K198">
        <v>6.3942466714221061E-2</v>
      </c>
      <c r="L198" t="s">
        <v>159</v>
      </c>
      <c r="N198" t="s">
        <v>217</v>
      </c>
      <c r="O198" t="s">
        <v>167</v>
      </c>
      <c r="P198">
        <v>5.2390782877334036E-2</v>
      </c>
      <c r="Q198" t="s">
        <v>159</v>
      </c>
      <c r="S198" t="s">
        <v>259</v>
      </c>
      <c r="T198" t="s">
        <v>167</v>
      </c>
      <c r="U198">
        <v>3.7301443730265199E-2</v>
      </c>
      <c r="V198" t="s">
        <v>159</v>
      </c>
    </row>
    <row r="199" spans="9:22" x14ac:dyDescent="0.45">
      <c r="I199" t="s">
        <v>174</v>
      </c>
      <c r="J199" t="s">
        <v>291</v>
      </c>
      <c r="K199">
        <v>0</v>
      </c>
      <c r="L199" t="s">
        <v>159</v>
      </c>
      <c r="N199" t="s">
        <v>217</v>
      </c>
      <c r="O199" t="s">
        <v>291</v>
      </c>
      <c r="P199">
        <v>4.7067329732593879E-3</v>
      </c>
      <c r="Q199" t="s">
        <v>159</v>
      </c>
      <c r="S199" t="s">
        <v>259</v>
      </c>
      <c r="T199" t="s">
        <v>291</v>
      </c>
      <c r="U199">
        <v>4.3446283607077455E-3</v>
      </c>
      <c r="V199" t="s">
        <v>159</v>
      </c>
    </row>
    <row r="200" spans="9:22" x14ac:dyDescent="0.45">
      <c r="I200" t="s">
        <v>174</v>
      </c>
      <c r="J200" t="s">
        <v>292</v>
      </c>
      <c r="K200">
        <v>0</v>
      </c>
      <c r="L200" t="s">
        <v>159</v>
      </c>
      <c r="N200" t="s">
        <v>217</v>
      </c>
      <c r="O200" t="s">
        <v>292</v>
      </c>
      <c r="P200">
        <v>2.6303095566379824E-2</v>
      </c>
      <c r="Q200" t="s">
        <v>159</v>
      </c>
      <c r="S200" t="s">
        <v>259</v>
      </c>
      <c r="T200" t="s">
        <v>292</v>
      </c>
      <c r="U200">
        <v>2.0345697033506409E-2</v>
      </c>
      <c r="V200" t="s">
        <v>159</v>
      </c>
    </row>
    <row r="201" spans="9:22" x14ac:dyDescent="0.45">
      <c r="I201" t="s">
        <v>174</v>
      </c>
      <c r="J201" t="s">
        <v>293</v>
      </c>
      <c r="K201">
        <v>0</v>
      </c>
      <c r="L201" t="s">
        <v>159</v>
      </c>
      <c r="N201" t="s">
        <v>217</v>
      </c>
      <c r="O201" t="s">
        <v>293</v>
      </c>
      <c r="P201">
        <v>7.9380916187198943E-3</v>
      </c>
      <c r="Q201" t="s">
        <v>159</v>
      </c>
      <c r="S201" t="s">
        <v>259</v>
      </c>
      <c r="T201" t="s">
        <v>293</v>
      </c>
      <c r="U201">
        <v>7.3685690041778613E-3</v>
      </c>
      <c r="V201" t="s">
        <v>159</v>
      </c>
    </row>
    <row r="202" spans="9:22" x14ac:dyDescent="0.45">
      <c r="I202" t="s">
        <v>174</v>
      </c>
      <c r="J202" t="s">
        <v>294</v>
      </c>
      <c r="K202">
        <v>1.021782946250794E-3</v>
      </c>
      <c r="L202" t="s">
        <v>159</v>
      </c>
      <c r="N202" t="s">
        <v>217</v>
      </c>
      <c r="O202" t="s">
        <v>294</v>
      </c>
      <c r="P202">
        <v>6.064778750620685E-4</v>
      </c>
      <c r="Q202" t="s">
        <v>159</v>
      </c>
      <c r="S202" t="s">
        <v>259</v>
      </c>
      <c r="T202" t="s">
        <v>294</v>
      </c>
      <c r="U202">
        <v>8.0082259128159722E-4</v>
      </c>
      <c r="V202" t="s">
        <v>159</v>
      </c>
    </row>
    <row r="203" spans="9:22" x14ac:dyDescent="0.45">
      <c r="I203" t="s">
        <v>174</v>
      </c>
      <c r="J203" t="s">
        <v>295</v>
      </c>
      <c r="K203">
        <v>1.5955071554779422E-2</v>
      </c>
      <c r="L203" t="s">
        <v>159</v>
      </c>
      <c r="N203" t="s">
        <v>217</v>
      </c>
      <c r="O203" t="s">
        <v>295</v>
      </c>
      <c r="P203">
        <v>6.231327512460234E-3</v>
      </c>
      <c r="Q203" t="s">
        <v>159</v>
      </c>
      <c r="S203" t="s">
        <v>259</v>
      </c>
      <c r="T203" t="s">
        <v>295</v>
      </c>
      <c r="U203">
        <v>1.0494167569537829E-2</v>
      </c>
      <c r="V203" t="s">
        <v>159</v>
      </c>
    </row>
    <row r="204" spans="9:22" x14ac:dyDescent="0.45">
      <c r="I204" t="s">
        <v>174</v>
      </c>
      <c r="J204" t="s">
        <v>296</v>
      </c>
      <c r="K204">
        <v>0</v>
      </c>
      <c r="L204" t="s">
        <v>159</v>
      </c>
      <c r="N204" t="s">
        <v>217</v>
      </c>
      <c r="O204" t="s">
        <v>296</v>
      </c>
      <c r="P204">
        <v>4.3333766469508164E-4</v>
      </c>
      <c r="Q204" t="s">
        <v>159</v>
      </c>
      <c r="S204" t="s">
        <v>259</v>
      </c>
      <c r="T204" t="s">
        <v>296</v>
      </c>
      <c r="U204">
        <v>1.4843706063441551E-3</v>
      </c>
      <c r="V204" t="s">
        <v>159</v>
      </c>
    </row>
    <row r="205" spans="9:22" x14ac:dyDescent="0.45">
      <c r="I205" t="s">
        <v>174</v>
      </c>
      <c r="J205" t="s">
        <v>297</v>
      </c>
      <c r="K205">
        <v>0</v>
      </c>
      <c r="L205" t="s">
        <v>159</v>
      </c>
      <c r="N205" t="s">
        <v>217</v>
      </c>
      <c r="O205" t="s">
        <v>297</v>
      </c>
      <c r="P205">
        <v>4.6854787312866865E-3</v>
      </c>
      <c r="Q205" t="s">
        <v>159</v>
      </c>
      <c r="S205" t="s">
        <v>259</v>
      </c>
      <c r="T205" t="s">
        <v>297</v>
      </c>
      <c r="U205">
        <v>7.0041636481365452E-3</v>
      </c>
      <c r="V205" t="s">
        <v>159</v>
      </c>
    </row>
    <row r="206" spans="9:22" x14ac:dyDescent="0.45">
      <c r="I206" t="s">
        <v>174</v>
      </c>
      <c r="J206" t="s">
        <v>298</v>
      </c>
      <c r="K206">
        <v>1.4219510412883683E-2</v>
      </c>
      <c r="L206" t="s">
        <v>159</v>
      </c>
      <c r="N206" t="s">
        <v>217</v>
      </c>
      <c r="O206" t="s">
        <v>298</v>
      </c>
      <c r="P206">
        <v>0.10160595487810367</v>
      </c>
      <c r="Q206" t="s">
        <v>159</v>
      </c>
      <c r="S206" t="s">
        <v>259</v>
      </c>
      <c r="T206" t="s">
        <v>298</v>
      </c>
      <c r="U206">
        <v>9.7102094994917731E-2</v>
      </c>
      <c r="V206" t="s">
        <v>159</v>
      </c>
    </row>
    <row r="207" spans="9:22" x14ac:dyDescent="0.45">
      <c r="I207" t="s">
        <v>174</v>
      </c>
      <c r="J207" t="s">
        <v>299</v>
      </c>
      <c r="K207">
        <v>2.7831008009503496E-2</v>
      </c>
      <c r="L207" t="s">
        <v>159</v>
      </c>
      <c r="N207" t="s">
        <v>217</v>
      </c>
      <c r="O207" t="s">
        <v>299</v>
      </c>
      <c r="P207">
        <v>1.0390919304470789E-2</v>
      </c>
      <c r="Q207" t="s">
        <v>159</v>
      </c>
      <c r="S207" t="s">
        <v>259</v>
      </c>
      <c r="T207" t="s">
        <v>299</v>
      </c>
      <c r="U207">
        <v>1.3067216143620376E-2</v>
      </c>
      <c r="V207" t="s">
        <v>159</v>
      </c>
    </row>
    <row r="208" spans="9:22" x14ac:dyDescent="0.45">
      <c r="I208" t="s">
        <v>174</v>
      </c>
      <c r="J208" t="s">
        <v>300</v>
      </c>
      <c r="K208">
        <v>0.3444345184628308</v>
      </c>
      <c r="L208" t="s">
        <v>159</v>
      </c>
      <c r="N208" t="s">
        <v>217</v>
      </c>
      <c r="O208" t="s">
        <v>300</v>
      </c>
      <c r="P208">
        <v>0.18389365593900114</v>
      </c>
      <c r="Q208" t="s">
        <v>159</v>
      </c>
      <c r="S208" t="s">
        <v>259</v>
      </c>
      <c r="T208" t="s">
        <v>300</v>
      </c>
      <c r="U208">
        <v>0.1517730790411147</v>
      </c>
      <c r="V208" t="s">
        <v>159</v>
      </c>
    </row>
    <row r="209" spans="9:22" x14ac:dyDescent="0.45">
      <c r="I209" t="s">
        <v>174</v>
      </c>
      <c r="J209" t="s">
        <v>301</v>
      </c>
      <c r="K209">
        <v>1.228381899736335E-2</v>
      </c>
      <c r="L209" t="s">
        <v>159</v>
      </c>
      <c r="N209" t="s">
        <v>217</v>
      </c>
      <c r="O209" t="s">
        <v>301</v>
      </c>
      <c r="P209">
        <v>1.7910944177231353E-2</v>
      </c>
      <c r="Q209" t="s">
        <v>159</v>
      </c>
      <c r="S209" t="s">
        <v>259</v>
      </c>
      <c r="T209" t="s">
        <v>301</v>
      </c>
      <c r="U209">
        <v>1.7365702781035761E-2</v>
      </c>
      <c r="V209" t="s">
        <v>159</v>
      </c>
    </row>
    <row r="210" spans="9:22" x14ac:dyDescent="0.45">
      <c r="I210" t="s">
        <v>174</v>
      </c>
      <c r="J210" t="s">
        <v>302</v>
      </c>
      <c r="K210">
        <v>0</v>
      </c>
      <c r="L210" t="s">
        <v>159</v>
      </c>
      <c r="N210" t="s">
        <v>217</v>
      </c>
      <c r="O210" t="s">
        <v>302</v>
      </c>
      <c r="P210">
        <v>9.2579983666864984E-2</v>
      </c>
      <c r="Q210" t="s">
        <v>159</v>
      </c>
      <c r="S210" t="s">
        <v>259</v>
      </c>
      <c r="T210" t="s">
        <v>302</v>
      </c>
      <c r="U210">
        <v>8.2575007153806987E-2</v>
      </c>
      <c r="V210" t="s">
        <v>159</v>
      </c>
    </row>
    <row r="211" spans="9:22" x14ac:dyDescent="0.45">
      <c r="I211" t="s">
        <v>175</v>
      </c>
      <c r="J211" t="s">
        <v>158</v>
      </c>
      <c r="K211">
        <v>8.8758262751635827E-3</v>
      </c>
      <c r="L211" t="s">
        <v>159</v>
      </c>
      <c r="N211" t="s">
        <v>218</v>
      </c>
      <c r="O211" t="s">
        <v>158</v>
      </c>
      <c r="P211">
        <v>0.1182892317299903</v>
      </c>
      <c r="Q211" t="s">
        <v>159</v>
      </c>
      <c r="S211" t="s">
        <v>260</v>
      </c>
      <c r="T211" t="s">
        <v>158</v>
      </c>
      <c r="U211">
        <v>0.12397375953892245</v>
      </c>
      <c r="V211" t="s">
        <v>159</v>
      </c>
    </row>
    <row r="212" spans="9:22" x14ac:dyDescent="0.45">
      <c r="I212" t="s">
        <v>175</v>
      </c>
      <c r="J212" t="s">
        <v>160</v>
      </c>
      <c r="K212">
        <v>3.0417608661641001E-2</v>
      </c>
      <c r="L212" t="s">
        <v>159</v>
      </c>
      <c r="N212" t="s">
        <v>218</v>
      </c>
      <c r="O212" t="s">
        <v>160</v>
      </c>
      <c r="P212">
        <v>1.3733508389290874E-2</v>
      </c>
      <c r="Q212" t="s">
        <v>159</v>
      </c>
      <c r="S212" t="s">
        <v>260</v>
      </c>
      <c r="T212" t="s">
        <v>160</v>
      </c>
      <c r="U212">
        <v>1.6507633622386088E-2</v>
      </c>
      <c r="V212" t="s">
        <v>159</v>
      </c>
    </row>
    <row r="213" spans="9:22" x14ac:dyDescent="0.45">
      <c r="I213" t="s">
        <v>175</v>
      </c>
      <c r="J213" t="s">
        <v>161</v>
      </c>
      <c r="K213">
        <v>0.40886585169850098</v>
      </c>
      <c r="L213" t="s">
        <v>159</v>
      </c>
      <c r="N213" t="s">
        <v>218</v>
      </c>
      <c r="O213" t="s">
        <v>161</v>
      </c>
      <c r="P213">
        <v>0.1139026380904771</v>
      </c>
      <c r="Q213" t="s">
        <v>159</v>
      </c>
      <c r="S213" t="s">
        <v>260</v>
      </c>
      <c r="T213" t="s">
        <v>161</v>
      </c>
      <c r="U213">
        <v>0.18167310713049664</v>
      </c>
      <c r="V213" t="s">
        <v>159</v>
      </c>
    </row>
    <row r="214" spans="9:22" x14ac:dyDescent="0.45">
      <c r="I214" t="s">
        <v>175</v>
      </c>
      <c r="J214" t="s">
        <v>287</v>
      </c>
      <c r="K214">
        <v>1.4920672771253288E-2</v>
      </c>
      <c r="L214" t="s">
        <v>159</v>
      </c>
      <c r="N214" t="s">
        <v>218</v>
      </c>
      <c r="O214" t="s">
        <v>287</v>
      </c>
      <c r="P214">
        <v>1.4915344302335409E-2</v>
      </c>
      <c r="Q214" t="s">
        <v>159</v>
      </c>
      <c r="S214" t="s">
        <v>260</v>
      </c>
      <c r="T214" t="s">
        <v>287</v>
      </c>
      <c r="U214">
        <v>2.0921159135838911E-2</v>
      </c>
      <c r="V214" t="s">
        <v>159</v>
      </c>
    </row>
    <row r="215" spans="9:22" x14ac:dyDescent="0.45">
      <c r="I215" t="s">
        <v>175</v>
      </c>
      <c r="J215" t="s">
        <v>288</v>
      </c>
      <c r="K215">
        <v>6.2573388804143548E-4</v>
      </c>
      <c r="L215" t="s">
        <v>159</v>
      </c>
      <c r="N215" t="s">
        <v>218</v>
      </c>
      <c r="O215" t="s">
        <v>288</v>
      </c>
      <c r="P215">
        <v>0.10975078017843427</v>
      </c>
      <c r="Q215" t="s">
        <v>159</v>
      </c>
      <c r="S215" t="s">
        <v>260</v>
      </c>
      <c r="T215" t="s">
        <v>288</v>
      </c>
      <c r="U215">
        <v>0.1013336740787239</v>
      </c>
      <c r="V215" t="s">
        <v>159</v>
      </c>
    </row>
    <row r="216" spans="9:22" x14ac:dyDescent="0.45">
      <c r="I216" t="s">
        <v>175</v>
      </c>
      <c r="J216" t="s">
        <v>162</v>
      </c>
      <c r="K216">
        <v>0</v>
      </c>
      <c r="L216" t="s">
        <v>159</v>
      </c>
      <c r="N216" t="s">
        <v>218</v>
      </c>
      <c r="O216" t="s">
        <v>162</v>
      </c>
      <c r="P216">
        <v>2.8920241388311854E-2</v>
      </c>
      <c r="Q216" t="s">
        <v>159</v>
      </c>
      <c r="S216" t="s">
        <v>260</v>
      </c>
      <c r="T216" t="s">
        <v>162</v>
      </c>
      <c r="U216">
        <v>1.8568246564394431E-2</v>
      </c>
      <c r="V216" t="s">
        <v>159</v>
      </c>
    </row>
    <row r="217" spans="9:22" x14ac:dyDescent="0.45">
      <c r="I217" t="s">
        <v>175</v>
      </c>
      <c r="J217" t="s">
        <v>163</v>
      </c>
      <c r="K217">
        <v>1.3921272071316964E-4</v>
      </c>
      <c r="L217" t="s">
        <v>159</v>
      </c>
      <c r="N217" t="s">
        <v>218</v>
      </c>
      <c r="O217" t="s">
        <v>163</v>
      </c>
      <c r="P217">
        <v>3.2679045586354277E-3</v>
      </c>
      <c r="Q217" t="s">
        <v>159</v>
      </c>
      <c r="S217" t="s">
        <v>260</v>
      </c>
      <c r="T217" t="s">
        <v>163</v>
      </c>
      <c r="U217">
        <v>3.1098564993030046E-3</v>
      </c>
      <c r="V217" t="s">
        <v>159</v>
      </c>
    </row>
    <row r="218" spans="9:22" x14ac:dyDescent="0.45">
      <c r="I218" t="s">
        <v>175</v>
      </c>
      <c r="J218" t="s">
        <v>164</v>
      </c>
      <c r="K218">
        <v>4.8856393749615853E-2</v>
      </c>
      <c r="L218" t="s">
        <v>159</v>
      </c>
      <c r="N218" t="s">
        <v>218</v>
      </c>
      <c r="O218" t="s">
        <v>164</v>
      </c>
      <c r="P218">
        <v>2.5030425910518829E-2</v>
      </c>
      <c r="Q218" t="s">
        <v>159</v>
      </c>
      <c r="S218" t="s">
        <v>260</v>
      </c>
      <c r="T218" t="s">
        <v>164</v>
      </c>
      <c r="U218">
        <v>3.1994298710711036E-2</v>
      </c>
      <c r="V218" t="s">
        <v>159</v>
      </c>
    </row>
    <row r="219" spans="9:22" x14ac:dyDescent="0.45">
      <c r="I219" t="s">
        <v>175</v>
      </c>
      <c r="J219" t="s">
        <v>289</v>
      </c>
      <c r="K219">
        <v>0</v>
      </c>
      <c r="L219" t="s">
        <v>159</v>
      </c>
      <c r="N219" t="s">
        <v>218</v>
      </c>
      <c r="O219" t="s">
        <v>289</v>
      </c>
      <c r="P219">
        <v>3.2341374670947025E-3</v>
      </c>
      <c r="Q219" t="s">
        <v>159</v>
      </c>
      <c r="S219" t="s">
        <v>260</v>
      </c>
      <c r="T219" t="s">
        <v>289</v>
      </c>
      <c r="U219">
        <v>3.284087195947933E-3</v>
      </c>
      <c r="V219" t="s">
        <v>159</v>
      </c>
    </row>
    <row r="220" spans="9:22" x14ac:dyDescent="0.45">
      <c r="I220" t="s">
        <v>175</v>
      </c>
      <c r="J220" t="s">
        <v>290</v>
      </c>
      <c r="K220">
        <v>0</v>
      </c>
      <c r="L220" t="s">
        <v>159</v>
      </c>
      <c r="N220" t="s">
        <v>218</v>
      </c>
      <c r="O220" t="s">
        <v>290</v>
      </c>
      <c r="P220">
        <v>2.3052833149562892E-2</v>
      </c>
      <c r="Q220" t="s">
        <v>159</v>
      </c>
      <c r="S220" t="s">
        <v>260</v>
      </c>
      <c r="T220" t="s">
        <v>290</v>
      </c>
      <c r="U220">
        <v>1.44418971796972E-2</v>
      </c>
      <c r="V220" t="s">
        <v>159</v>
      </c>
    </row>
    <row r="221" spans="9:22" x14ac:dyDescent="0.45">
      <c r="I221" t="s">
        <v>175</v>
      </c>
      <c r="J221" t="s">
        <v>165</v>
      </c>
      <c r="K221">
        <v>0</v>
      </c>
      <c r="L221" t="s">
        <v>159</v>
      </c>
      <c r="N221" t="s">
        <v>218</v>
      </c>
      <c r="O221" t="s">
        <v>165</v>
      </c>
      <c r="P221">
        <v>3.4802141334910108E-2</v>
      </c>
      <c r="Q221" t="s">
        <v>159</v>
      </c>
      <c r="S221" t="s">
        <v>260</v>
      </c>
      <c r="T221" t="s">
        <v>165</v>
      </c>
      <c r="U221">
        <v>2.5779368973973222E-2</v>
      </c>
      <c r="V221" t="s">
        <v>159</v>
      </c>
    </row>
    <row r="222" spans="9:22" x14ac:dyDescent="0.45">
      <c r="I222" t="s">
        <v>175</v>
      </c>
      <c r="J222" t="s">
        <v>166</v>
      </c>
      <c r="K222">
        <v>3.5487348819195218E-3</v>
      </c>
      <c r="L222" t="s">
        <v>159</v>
      </c>
      <c r="N222" t="s">
        <v>218</v>
      </c>
      <c r="O222" t="s">
        <v>166</v>
      </c>
      <c r="P222">
        <v>3.9141908393757821E-3</v>
      </c>
      <c r="Q222" t="s">
        <v>159</v>
      </c>
      <c r="S222" t="s">
        <v>260</v>
      </c>
      <c r="T222" t="s">
        <v>166</v>
      </c>
      <c r="U222">
        <v>3.7606787933027633E-3</v>
      </c>
      <c r="V222" t="s">
        <v>159</v>
      </c>
    </row>
    <row r="223" spans="9:22" x14ac:dyDescent="0.45">
      <c r="I223" t="s">
        <v>175</v>
      </c>
      <c r="J223" t="s">
        <v>167</v>
      </c>
      <c r="K223">
        <v>6.0704983482780785E-2</v>
      </c>
      <c r="L223" t="s">
        <v>159</v>
      </c>
      <c r="N223" t="s">
        <v>218</v>
      </c>
      <c r="O223" t="s">
        <v>167</v>
      </c>
      <c r="P223">
        <v>3.547703725453262E-2</v>
      </c>
      <c r="Q223" t="s">
        <v>159</v>
      </c>
      <c r="S223" t="s">
        <v>260</v>
      </c>
      <c r="T223" t="s">
        <v>167</v>
      </c>
      <c r="U223">
        <v>4.0369719246263133E-2</v>
      </c>
      <c r="V223" t="s">
        <v>159</v>
      </c>
    </row>
    <row r="224" spans="9:22" x14ac:dyDescent="0.45">
      <c r="I224" t="s">
        <v>175</v>
      </c>
      <c r="J224" t="s">
        <v>291</v>
      </c>
      <c r="K224">
        <v>0</v>
      </c>
      <c r="L224" t="s">
        <v>159</v>
      </c>
      <c r="N224" t="s">
        <v>218</v>
      </c>
      <c r="O224" t="s">
        <v>291</v>
      </c>
      <c r="P224">
        <v>3.8508181625169485E-3</v>
      </c>
      <c r="Q224" t="s">
        <v>159</v>
      </c>
      <c r="S224" t="s">
        <v>260</v>
      </c>
      <c r="T224" t="s">
        <v>291</v>
      </c>
      <c r="U224">
        <v>4.4860072400086633E-3</v>
      </c>
      <c r="V224" t="s">
        <v>159</v>
      </c>
    </row>
    <row r="225" spans="9:22" x14ac:dyDescent="0.45">
      <c r="I225" t="s">
        <v>175</v>
      </c>
      <c r="J225" t="s">
        <v>292</v>
      </c>
      <c r="K225">
        <v>0</v>
      </c>
      <c r="L225" t="s">
        <v>159</v>
      </c>
      <c r="N225" t="s">
        <v>218</v>
      </c>
      <c r="O225" t="s">
        <v>292</v>
      </c>
      <c r="P225">
        <v>2.5959654256359099E-2</v>
      </c>
      <c r="Q225" t="s">
        <v>159</v>
      </c>
      <c r="S225" t="s">
        <v>260</v>
      </c>
      <c r="T225" t="s">
        <v>292</v>
      </c>
      <c r="U225">
        <v>2.176222614094496E-2</v>
      </c>
      <c r="V225" t="s">
        <v>159</v>
      </c>
    </row>
    <row r="226" spans="9:22" x14ac:dyDescent="0.45">
      <c r="I226" t="s">
        <v>175</v>
      </c>
      <c r="J226" t="s">
        <v>293</v>
      </c>
      <c r="K226">
        <v>0</v>
      </c>
      <c r="L226" t="s">
        <v>159</v>
      </c>
      <c r="N226" t="s">
        <v>218</v>
      </c>
      <c r="O226" t="s">
        <v>293</v>
      </c>
      <c r="P226">
        <v>8.9791982851095582E-3</v>
      </c>
      <c r="Q226" t="s">
        <v>159</v>
      </c>
      <c r="S226" t="s">
        <v>260</v>
      </c>
      <c r="T226" t="s">
        <v>293</v>
      </c>
      <c r="U226">
        <v>6.617461221495962E-3</v>
      </c>
      <c r="V226" t="s">
        <v>159</v>
      </c>
    </row>
    <row r="227" spans="9:22" x14ac:dyDescent="0.45">
      <c r="I227" t="s">
        <v>175</v>
      </c>
      <c r="J227" t="s">
        <v>294</v>
      </c>
      <c r="K227">
        <v>1.0912075925159791E-3</v>
      </c>
      <c r="L227" t="s">
        <v>159</v>
      </c>
      <c r="N227" t="s">
        <v>218</v>
      </c>
      <c r="O227" t="s">
        <v>294</v>
      </c>
      <c r="P227">
        <v>8.5066843656622637E-4</v>
      </c>
      <c r="Q227" t="s">
        <v>159</v>
      </c>
      <c r="S227" t="s">
        <v>260</v>
      </c>
      <c r="T227" t="s">
        <v>294</v>
      </c>
      <c r="U227">
        <v>7.081383208809315E-4</v>
      </c>
      <c r="V227" t="s">
        <v>159</v>
      </c>
    </row>
    <row r="228" spans="9:22" x14ac:dyDescent="0.45">
      <c r="I228" t="s">
        <v>175</v>
      </c>
      <c r="J228" t="s">
        <v>295</v>
      </c>
      <c r="K228">
        <v>1.5833362053248125E-2</v>
      </c>
      <c r="L228" t="s">
        <v>159</v>
      </c>
      <c r="N228" t="s">
        <v>218</v>
      </c>
      <c r="O228" t="s">
        <v>295</v>
      </c>
      <c r="P228">
        <v>5.1532112146560919E-3</v>
      </c>
      <c r="Q228" t="s">
        <v>159</v>
      </c>
      <c r="S228" t="s">
        <v>260</v>
      </c>
      <c r="T228" t="s">
        <v>295</v>
      </c>
      <c r="U228">
        <v>1.0004088196425445E-2</v>
      </c>
      <c r="V228" t="s">
        <v>159</v>
      </c>
    </row>
    <row r="229" spans="9:22" x14ac:dyDescent="0.45">
      <c r="I229" t="s">
        <v>175</v>
      </c>
      <c r="J229" t="s">
        <v>296</v>
      </c>
      <c r="K229">
        <v>0</v>
      </c>
      <c r="L229" t="s">
        <v>159</v>
      </c>
      <c r="N229" t="s">
        <v>218</v>
      </c>
      <c r="O229" t="s">
        <v>296</v>
      </c>
      <c r="P229">
        <v>6.9194166206916453E-4</v>
      </c>
      <c r="Q229" t="s">
        <v>159</v>
      </c>
      <c r="S229" t="s">
        <v>260</v>
      </c>
      <c r="T229" t="s">
        <v>296</v>
      </c>
      <c r="U229">
        <v>1.3254399425701767E-3</v>
      </c>
      <c r="V229" t="s">
        <v>159</v>
      </c>
    </row>
    <row r="230" spans="9:22" x14ac:dyDescent="0.45">
      <c r="I230" t="s">
        <v>175</v>
      </c>
      <c r="J230" t="s">
        <v>297</v>
      </c>
      <c r="K230">
        <v>0</v>
      </c>
      <c r="L230" t="s">
        <v>159</v>
      </c>
      <c r="N230" t="s">
        <v>218</v>
      </c>
      <c r="O230" t="s">
        <v>297</v>
      </c>
      <c r="P230">
        <v>6.2993997226633526E-3</v>
      </c>
      <c r="Q230" t="s">
        <v>159</v>
      </c>
      <c r="S230" t="s">
        <v>260</v>
      </c>
      <c r="T230" t="s">
        <v>297</v>
      </c>
      <c r="U230">
        <v>5.7749469988842943E-3</v>
      </c>
      <c r="V230" t="s">
        <v>159</v>
      </c>
    </row>
    <row r="231" spans="9:22" x14ac:dyDescent="0.45">
      <c r="I231" t="s">
        <v>175</v>
      </c>
      <c r="J231" t="s">
        <v>298</v>
      </c>
      <c r="K231">
        <v>1.6867978644425151E-2</v>
      </c>
      <c r="L231" t="s">
        <v>159</v>
      </c>
      <c r="N231" t="s">
        <v>218</v>
      </c>
      <c r="O231" t="s">
        <v>298</v>
      </c>
      <c r="P231">
        <v>0.12820576821649049</v>
      </c>
      <c r="Q231" t="s">
        <v>159</v>
      </c>
      <c r="S231" t="s">
        <v>260</v>
      </c>
      <c r="T231" t="s">
        <v>298</v>
      </c>
      <c r="U231">
        <v>9.5960243828438888E-2</v>
      </c>
      <c r="V231" t="s">
        <v>159</v>
      </c>
    </row>
    <row r="232" spans="9:22" x14ac:dyDescent="0.45">
      <c r="I232" t="s">
        <v>175</v>
      </c>
      <c r="J232" t="s">
        <v>299</v>
      </c>
      <c r="K232">
        <v>2.9368152874199787E-2</v>
      </c>
      <c r="L232" t="s">
        <v>159</v>
      </c>
      <c r="N232" t="s">
        <v>218</v>
      </c>
      <c r="O232" t="s">
        <v>299</v>
      </c>
      <c r="P232">
        <v>1.2886947832563988E-2</v>
      </c>
      <c r="Q232" t="s">
        <v>159</v>
      </c>
      <c r="S232" t="s">
        <v>260</v>
      </c>
      <c r="T232" t="s">
        <v>299</v>
      </c>
      <c r="U232">
        <v>1.373587719087996E-2</v>
      </c>
      <c r="V232" t="s">
        <v>159</v>
      </c>
    </row>
    <row r="233" spans="9:22" x14ac:dyDescent="0.45">
      <c r="I233" t="s">
        <v>175</v>
      </c>
      <c r="J233" t="s">
        <v>300</v>
      </c>
      <c r="K233">
        <v>0.34736599150147918</v>
      </c>
      <c r="L233" t="s">
        <v>159</v>
      </c>
      <c r="N233" t="s">
        <v>218</v>
      </c>
      <c r="O233" t="s">
        <v>300</v>
      </c>
      <c r="P233">
        <v>0.15496649316862393</v>
      </c>
      <c r="Q233" t="s">
        <v>159</v>
      </c>
      <c r="S233" t="s">
        <v>260</v>
      </c>
      <c r="T233" t="s">
        <v>300</v>
      </c>
      <c r="U233">
        <v>0.16226924472202967</v>
      </c>
      <c r="V233" t="s">
        <v>159</v>
      </c>
    </row>
    <row r="234" spans="9:22" x14ac:dyDescent="0.45">
      <c r="I234" t="s">
        <v>175</v>
      </c>
      <c r="J234" t="s">
        <v>301</v>
      </c>
      <c r="K234">
        <v>1.2460547902165933E-2</v>
      </c>
      <c r="L234" t="s">
        <v>159</v>
      </c>
      <c r="N234" t="s">
        <v>218</v>
      </c>
      <c r="O234" t="s">
        <v>301</v>
      </c>
      <c r="P234">
        <v>1.6047356850460825E-2</v>
      </c>
      <c r="Q234" t="s">
        <v>159</v>
      </c>
      <c r="S234" t="s">
        <v>260</v>
      </c>
      <c r="T234" t="s">
        <v>301</v>
      </c>
      <c r="U234">
        <v>1.6628491893981436E-2</v>
      </c>
      <c r="V234" t="s">
        <v>159</v>
      </c>
    </row>
    <row r="235" spans="9:22" x14ac:dyDescent="0.45">
      <c r="I235" t="s">
        <v>175</v>
      </c>
      <c r="J235" t="s">
        <v>302</v>
      </c>
      <c r="K235">
        <v>5.7741302336285159E-5</v>
      </c>
      <c r="L235" t="s">
        <v>159</v>
      </c>
      <c r="N235" t="s">
        <v>218</v>
      </c>
      <c r="O235" t="s">
        <v>302</v>
      </c>
      <c r="P235">
        <v>0.10781812759844893</v>
      </c>
      <c r="Q235" t="s">
        <v>159</v>
      </c>
      <c r="S235" t="s">
        <v>260</v>
      </c>
      <c r="T235" t="s">
        <v>302</v>
      </c>
      <c r="U235">
        <v>7.50103476334983E-2</v>
      </c>
      <c r="V235" t="s">
        <v>159</v>
      </c>
    </row>
    <row r="236" spans="9:22" x14ac:dyDescent="0.45">
      <c r="I236" t="s">
        <v>176</v>
      </c>
      <c r="J236" t="s">
        <v>158</v>
      </c>
      <c r="K236">
        <v>7.2091570351855835E-3</v>
      </c>
      <c r="L236" t="s">
        <v>159</v>
      </c>
      <c r="N236" t="s">
        <v>219</v>
      </c>
      <c r="O236" t="s">
        <v>158</v>
      </c>
      <c r="P236">
        <v>8.1648343922486322E-2</v>
      </c>
      <c r="Q236" t="s">
        <v>159</v>
      </c>
      <c r="S236" t="s">
        <v>261</v>
      </c>
      <c r="T236" t="s">
        <v>158</v>
      </c>
      <c r="U236">
        <v>0.11959951479754106</v>
      </c>
      <c r="V236" t="s">
        <v>159</v>
      </c>
    </row>
    <row r="237" spans="9:22" x14ac:dyDescent="0.45">
      <c r="I237" t="s">
        <v>176</v>
      </c>
      <c r="J237" t="s">
        <v>160</v>
      </c>
      <c r="K237">
        <v>2.3042756592996892E-2</v>
      </c>
      <c r="L237" t="s">
        <v>159</v>
      </c>
      <c r="N237" t="s">
        <v>219</v>
      </c>
      <c r="O237" t="s">
        <v>160</v>
      </c>
      <c r="P237">
        <v>9.881609686089492E-3</v>
      </c>
      <c r="Q237" t="s">
        <v>159</v>
      </c>
      <c r="S237" t="s">
        <v>261</v>
      </c>
      <c r="T237" t="s">
        <v>160</v>
      </c>
      <c r="U237">
        <v>1.6390402646874982E-2</v>
      </c>
      <c r="V237" t="s">
        <v>159</v>
      </c>
    </row>
    <row r="238" spans="9:22" x14ac:dyDescent="0.45">
      <c r="I238" t="s">
        <v>176</v>
      </c>
      <c r="J238" t="s">
        <v>161</v>
      </c>
      <c r="K238">
        <v>0.41220422285783964</v>
      </c>
      <c r="L238" t="s">
        <v>159</v>
      </c>
      <c r="N238" t="s">
        <v>219</v>
      </c>
      <c r="O238" t="s">
        <v>161</v>
      </c>
      <c r="P238">
        <v>0.17885414638156477</v>
      </c>
      <c r="Q238" t="s">
        <v>159</v>
      </c>
      <c r="S238" t="s">
        <v>261</v>
      </c>
      <c r="T238" t="s">
        <v>161</v>
      </c>
      <c r="U238">
        <v>0.17452810553395559</v>
      </c>
      <c r="V238" t="s">
        <v>159</v>
      </c>
    </row>
    <row r="239" spans="9:22" x14ac:dyDescent="0.45">
      <c r="I239" t="s">
        <v>176</v>
      </c>
      <c r="J239" t="s">
        <v>287</v>
      </c>
      <c r="K239">
        <v>2.0630106632358123E-2</v>
      </c>
      <c r="L239" t="s">
        <v>159</v>
      </c>
      <c r="N239" t="s">
        <v>219</v>
      </c>
      <c r="O239" t="s">
        <v>287</v>
      </c>
      <c r="P239">
        <v>2.9087770718490467E-2</v>
      </c>
      <c r="Q239" t="s">
        <v>159</v>
      </c>
      <c r="S239" t="s">
        <v>261</v>
      </c>
      <c r="T239" t="s">
        <v>287</v>
      </c>
      <c r="U239">
        <v>2.1604395609949305E-2</v>
      </c>
      <c r="V239" t="s">
        <v>159</v>
      </c>
    </row>
    <row r="240" spans="9:22" x14ac:dyDescent="0.45">
      <c r="I240" t="s">
        <v>176</v>
      </c>
      <c r="J240" t="s">
        <v>288</v>
      </c>
      <c r="K240">
        <v>7.8635673959883204E-3</v>
      </c>
      <c r="L240" t="s">
        <v>159</v>
      </c>
      <c r="N240" t="s">
        <v>219</v>
      </c>
      <c r="O240" t="s">
        <v>288</v>
      </c>
      <c r="P240">
        <v>9.6413766978334675E-2</v>
      </c>
      <c r="Q240" t="s">
        <v>159</v>
      </c>
      <c r="S240" t="s">
        <v>261</v>
      </c>
      <c r="T240" t="s">
        <v>288</v>
      </c>
      <c r="U240">
        <v>0.10657203179334694</v>
      </c>
      <c r="V240" t="s">
        <v>159</v>
      </c>
    </row>
    <row r="241" spans="9:22" x14ac:dyDescent="0.45">
      <c r="I241" t="s">
        <v>176</v>
      </c>
      <c r="J241" t="s">
        <v>162</v>
      </c>
      <c r="K241">
        <v>0</v>
      </c>
      <c r="L241" t="s">
        <v>159</v>
      </c>
      <c r="N241" t="s">
        <v>219</v>
      </c>
      <c r="O241" t="s">
        <v>162</v>
      </c>
      <c r="P241">
        <v>1.7724343781197974E-2</v>
      </c>
      <c r="Q241" t="s">
        <v>159</v>
      </c>
      <c r="S241" t="s">
        <v>261</v>
      </c>
      <c r="T241" t="s">
        <v>162</v>
      </c>
      <c r="U241">
        <v>1.8143089267424074E-2</v>
      </c>
      <c r="V241" t="s">
        <v>159</v>
      </c>
    </row>
    <row r="242" spans="9:22" x14ac:dyDescent="0.45">
      <c r="I242" t="s">
        <v>176</v>
      </c>
      <c r="J242" t="s">
        <v>163</v>
      </c>
      <c r="K242">
        <v>0</v>
      </c>
      <c r="L242" t="s">
        <v>159</v>
      </c>
      <c r="N242" t="s">
        <v>219</v>
      </c>
      <c r="O242" t="s">
        <v>163</v>
      </c>
      <c r="P242">
        <v>1.8062047979808158E-3</v>
      </c>
      <c r="Q242" t="s">
        <v>159</v>
      </c>
      <c r="S242" t="s">
        <v>261</v>
      </c>
      <c r="T242" t="s">
        <v>163</v>
      </c>
      <c r="U242">
        <v>2.6529191402900301E-3</v>
      </c>
      <c r="V242" t="s">
        <v>159</v>
      </c>
    </row>
    <row r="243" spans="9:22" x14ac:dyDescent="0.45">
      <c r="I243" t="s">
        <v>176</v>
      </c>
      <c r="J243" t="s">
        <v>164</v>
      </c>
      <c r="K243">
        <v>3.8541414643110922E-2</v>
      </c>
      <c r="L243" t="s">
        <v>159</v>
      </c>
      <c r="N243" t="s">
        <v>219</v>
      </c>
      <c r="O243" t="s">
        <v>164</v>
      </c>
      <c r="P243">
        <v>2.4406543092602685E-2</v>
      </c>
      <c r="Q243" t="s">
        <v>159</v>
      </c>
      <c r="S243" t="s">
        <v>261</v>
      </c>
      <c r="T243" t="s">
        <v>164</v>
      </c>
      <c r="U243">
        <v>2.4735989845741449E-2</v>
      </c>
      <c r="V243" t="s">
        <v>159</v>
      </c>
    </row>
    <row r="244" spans="9:22" x14ac:dyDescent="0.45">
      <c r="I244" t="s">
        <v>176</v>
      </c>
      <c r="J244" t="s">
        <v>289</v>
      </c>
      <c r="K244">
        <v>0</v>
      </c>
      <c r="L244" t="s">
        <v>159</v>
      </c>
      <c r="N244" t="s">
        <v>219</v>
      </c>
      <c r="O244" t="s">
        <v>289</v>
      </c>
      <c r="P244">
        <v>3.7854396209741664E-3</v>
      </c>
      <c r="Q244" t="s">
        <v>159</v>
      </c>
      <c r="S244" t="s">
        <v>261</v>
      </c>
      <c r="T244" t="s">
        <v>289</v>
      </c>
      <c r="U244">
        <v>2.7660250619036364E-3</v>
      </c>
      <c r="V244" t="s">
        <v>159</v>
      </c>
    </row>
    <row r="245" spans="9:22" x14ac:dyDescent="0.45">
      <c r="I245" t="s">
        <v>176</v>
      </c>
      <c r="J245" t="s">
        <v>290</v>
      </c>
      <c r="K245">
        <v>0</v>
      </c>
      <c r="L245" t="s">
        <v>159</v>
      </c>
      <c r="N245" t="s">
        <v>219</v>
      </c>
      <c r="O245" t="s">
        <v>290</v>
      </c>
      <c r="P245">
        <v>1.3828083524510995E-2</v>
      </c>
      <c r="Q245" t="s">
        <v>159</v>
      </c>
      <c r="S245" t="s">
        <v>261</v>
      </c>
      <c r="T245" t="s">
        <v>290</v>
      </c>
      <c r="U245">
        <v>1.3478985364331836E-2</v>
      </c>
      <c r="V245" t="s">
        <v>159</v>
      </c>
    </row>
    <row r="246" spans="9:22" x14ac:dyDescent="0.45">
      <c r="I246" t="s">
        <v>176</v>
      </c>
      <c r="J246" t="s">
        <v>165</v>
      </c>
      <c r="K246">
        <v>0</v>
      </c>
      <c r="L246" t="s">
        <v>159</v>
      </c>
      <c r="N246" t="s">
        <v>219</v>
      </c>
      <c r="O246" t="s">
        <v>165</v>
      </c>
      <c r="P246">
        <v>2.5138600125136676E-2</v>
      </c>
      <c r="Q246" t="s">
        <v>159</v>
      </c>
      <c r="S246" t="s">
        <v>261</v>
      </c>
      <c r="T246" t="s">
        <v>165</v>
      </c>
      <c r="U246">
        <v>2.5519609311094954E-2</v>
      </c>
      <c r="V246" t="s">
        <v>159</v>
      </c>
    </row>
    <row r="247" spans="9:22" x14ac:dyDescent="0.45">
      <c r="I247" t="s">
        <v>176</v>
      </c>
      <c r="J247" t="s">
        <v>166</v>
      </c>
      <c r="K247">
        <v>3.807678192107091E-4</v>
      </c>
      <c r="L247" t="s">
        <v>159</v>
      </c>
      <c r="N247" t="s">
        <v>219</v>
      </c>
      <c r="O247" t="s">
        <v>166</v>
      </c>
      <c r="P247">
        <v>3.3015318333315482E-3</v>
      </c>
      <c r="Q247" t="s">
        <v>159</v>
      </c>
      <c r="S247" t="s">
        <v>261</v>
      </c>
      <c r="T247" t="s">
        <v>166</v>
      </c>
      <c r="U247">
        <v>3.4470196524667247E-3</v>
      </c>
      <c r="V247" t="s">
        <v>159</v>
      </c>
    </row>
    <row r="248" spans="9:22" x14ac:dyDescent="0.45">
      <c r="I248" t="s">
        <v>176</v>
      </c>
      <c r="J248" t="s">
        <v>167</v>
      </c>
      <c r="K248">
        <v>4.8840438350958519E-2</v>
      </c>
      <c r="L248" t="s">
        <v>159</v>
      </c>
      <c r="N248" t="s">
        <v>219</v>
      </c>
      <c r="O248" t="s">
        <v>167</v>
      </c>
      <c r="P248">
        <v>2.9693629164863969E-2</v>
      </c>
      <c r="Q248" t="s">
        <v>159</v>
      </c>
      <c r="S248" t="s">
        <v>261</v>
      </c>
      <c r="T248" t="s">
        <v>167</v>
      </c>
      <c r="U248">
        <v>3.5986674908555262E-2</v>
      </c>
      <c r="V248" t="s">
        <v>159</v>
      </c>
    </row>
    <row r="249" spans="9:22" x14ac:dyDescent="0.45">
      <c r="I249" t="s">
        <v>176</v>
      </c>
      <c r="J249" t="s">
        <v>291</v>
      </c>
      <c r="K249">
        <v>0</v>
      </c>
      <c r="L249" t="s">
        <v>159</v>
      </c>
      <c r="N249" t="s">
        <v>219</v>
      </c>
      <c r="O249" t="s">
        <v>291</v>
      </c>
      <c r="P249">
        <v>4.7880349550483738E-3</v>
      </c>
      <c r="Q249" t="s">
        <v>159</v>
      </c>
      <c r="S249" t="s">
        <v>261</v>
      </c>
      <c r="T249" t="s">
        <v>291</v>
      </c>
      <c r="U249">
        <v>4.5078296221393137E-3</v>
      </c>
      <c r="V249" t="s">
        <v>159</v>
      </c>
    </row>
    <row r="250" spans="9:22" x14ac:dyDescent="0.45">
      <c r="I250" t="s">
        <v>176</v>
      </c>
      <c r="J250" t="s">
        <v>292</v>
      </c>
      <c r="K250">
        <v>0</v>
      </c>
      <c r="L250" t="s">
        <v>159</v>
      </c>
      <c r="N250" t="s">
        <v>219</v>
      </c>
      <c r="O250" t="s">
        <v>292</v>
      </c>
      <c r="P250">
        <v>1.8843436356865504E-2</v>
      </c>
      <c r="Q250" t="s">
        <v>159</v>
      </c>
      <c r="S250" t="s">
        <v>261</v>
      </c>
      <c r="T250" t="s">
        <v>292</v>
      </c>
      <c r="U250">
        <v>2.2135002306955826E-2</v>
      </c>
      <c r="V250" t="s">
        <v>159</v>
      </c>
    </row>
    <row r="251" spans="9:22" x14ac:dyDescent="0.45">
      <c r="I251" t="s">
        <v>176</v>
      </c>
      <c r="J251" t="s">
        <v>293</v>
      </c>
      <c r="K251">
        <v>0</v>
      </c>
      <c r="L251" t="s">
        <v>159</v>
      </c>
      <c r="N251" t="s">
        <v>219</v>
      </c>
      <c r="O251" t="s">
        <v>293</v>
      </c>
      <c r="P251">
        <v>8.4323255930603691E-3</v>
      </c>
      <c r="Q251" t="s">
        <v>159</v>
      </c>
      <c r="S251" t="s">
        <v>261</v>
      </c>
      <c r="T251" t="s">
        <v>293</v>
      </c>
      <c r="U251">
        <v>7.461645060081362E-3</v>
      </c>
      <c r="V251" t="s">
        <v>159</v>
      </c>
    </row>
    <row r="252" spans="9:22" x14ac:dyDescent="0.45">
      <c r="I252" t="s">
        <v>176</v>
      </c>
      <c r="J252" t="s">
        <v>294</v>
      </c>
      <c r="K252">
        <v>7.4674436664871197E-4</v>
      </c>
      <c r="L252" t="s">
        <v>159</v>
      </c>
      <c r="N252" t="s">
        <v>219</v>
      </c>
      <c r="O252" t="s">
        <v>294</v>
      </c>
      <c r="P252">
        <v>1.3513406180847226E-3</v>
      </c>
      <c r="Q252" t="s">
        <v>159</v>
      </c>
      <c r="S252" t="s">
        <v>261</v>
      </c>
      <c r="T252" t="s">
        <v>294</v>
      </c>
      <c r="U252">
        <v>1.1692335124185937E-3</v>
      </c>
      <c r="V252" t="s">
        <v>159</v>
      </c>
    </row>
    <row r="253" spans="9:22" x14ac:dyDescent="0.45">
      <c r="I253" t="s">
        <v>176</v>
      </c>
      <c r="J253" t="s">
        <v>295</v>
      </c>
      <c r="K253">
        <v>1.2294172645943765E-2</v>
      </c>
      <c r="L253" t="s">
        <v>159</v>
      </c>
      <c r="N253" t="s">
        <v>219</v>
      </c>
      <c r="O253" t="s">
        <v>295</v>
      </c>
      <c r="P253">
        <v>8.8504912875022358E-3</v>
      </c>
      <c r="Q253" t="s">
        <v>159</v>
      </c>
      <c r="S253" t="s">
        <v>261</v>
      </c>
      <c r="T253" t="s">
        <v>295</v>
      </c>
      <c r="U253">
        <v>1.2546867517105398E-2</v>
      </c>
      <c r="V253" t="s">
        <v>159</v>
      </c>
    </row>
    <row r="254" spans="9:22" x14ac:dyDescent="0.45">
      <c r="I254" t="s">
        <v>176</v>
      </c>
      <c r="J254" t="s">
        <v>296</v>
      </c>
      <c r="K254">
        <v>0</v>
      </c>
      <c r="L254" t="s">
        <v>159</v>
      </c>
      <c r="N254" t="s">
        <v>219</v>
      </c>
      <c r="O254" t="s">
        <v>296</v>
      </c>
      <c r="P254">
        <v>1.5617177360321968E-3</v>
      </c>
      <c r="Q254" t="s">
        <v>159</v>
      </c>
      <c r="S254" t="s">
        <v>261</v>
      </c>
      <c r="T254" t="s">
        <v>296</v>
      </c>
      <c r="U254">
        <v>1.2706375808299306E-3</v>
      </c>
      <c r="V254" t="s">
        <v>159</v>
      </c>
    </row>
    <row r="255" spans="9:22" x14ac:dyDescent="0.45">
      <c r="I255" t="s">
        <v>176</v>
      </c>
      <c r="J255" t="s">
        <v>297</v>
      </c>
      <c r="K255">
        <v>0</v>
      </c>
      <c r="L255" t="s">
        <v>159</v>
      </c>
      <c r="N255" t="s">
        <v>219</v>
      </c>
      <c r="O255" t="s">
        <v>297</v>
      </c>
      <c r="P255">
        <v>6.0945113748982482E-3</v>
      </c>
      <c r="Q255" t="s">
        <v>159</v>
      </c>
      <c r="S255" t="s">
        <v>261</v>
      </c>
      <c r="T255" t="s">
        <v>297</v>
      </c>
      <c r="U255">
        <v>5.7594787350008043E-3</v>
      </c>
      <c r="V255" t="s">
        <v>159</v>
      </c>
    </row>
    <row r="256" spans="9:22" x14ac:dyDescent="0.45">
      <c r="I256" t="s">
        <v>176</v>
      </c>
      <c r="J256" t="s">
        <v>298</v>
      </c>
      <c r="K256">
        <v>1.4971108459235943E-2</v>
      </c>
      <c r="L256" t="s">
        <v>159</v>
      </c>
      <c r="N256" t="s">
        <v>219</v>
      </c>
      <c r="O256" t="s">
        <v>298</v>
      </c>
      <c r="P256">
        <v>7.2490717761758E-2</v>
      </c>
      <c r="Q256" t="s">
        <v>159</v>
      </c>
      <c r="S256" t="s">
        <v>261</v>
      </c>
      <c r="T256" t="s">
        <v>298</v>
      </c>
      <c r="U256">
        <v>0.10774969591336434</v>
      </c>
      <c r="V256" t="s">
        <v>159</v>
      </c>
    </row>
    <row r="257" spans="9:22" x14ac:dyDescent="0.45">
      <c r="I257" t="s">
        <v>176</v>
      </c>
      <c r="J257" t="s">
        <v>299</v>
      </c>
      <c r="K257">
        <v>2.6474225169656675E-2</v>
      </c>
      <c r="L257" t="s">
        <v>159</v>
      </c>
      <c r="N257" t="s">
        <v>219</v>
      </c>
      <c r="O257" t="s">
        <v>299</v>
      </c>
      <c r="P257">
        <v>9.6332640462970867E-3</v>
      </c>
      <c r="Q257" t="s">
        <v>159</v>
      </c>
      <c r="S257" t="s">
        <v>261</v>
      </c>
      <c r="T257" t="s">
        <v>299</v>
      </c>
      <c r="U257">
        <v>1.4854008467941682E-2</v>
      </c>
      <c r="V257" t="s">
        <v>159</v>
      </c>
    </row>
    <row r="258" spans="9:22" x14ac:dyDescent="0.45">
      <c r="I258" t="s">
        <v>176</v>
      </c>
      <c r="J258" t="s">
        <v>300</v>
      </c>
      <c r="K258">
        <v>0.36210554796353034</v>
      </c>
      <c r="L258" t="s">
        <v>159</v>
      </c>
      <c r="N258" t="s">
        <v>219</v>
      </c>
      <c r="O258" t="s">
        <v>300</v>
      </c>
      <c r="P258">
        <v>0.22013903492782286</v>
      </c>
      <c r="Q258" t="s">
        <v>159</v>
      </c>
      <c r="S258" t="s">
        <v>261</v>
      </c>
      <c r="T258" t="s">
        <v>300</v>
      </c>
      <c r="U258">
        <v>0.15126434267552658</v>
      </c>
      <c r="V258" t="s">
        <v>159</v>
      </c>
    </row>
    <row r="259" spans="9:22" x14ac:dyDescent="0.45">
      <c r="I259" t="s">
        <v>176</v>
      </c>
      <c r="J259" t="s">
        <v>301</v>
      </c>
      <c r="K259">
        <v>2.0172688915767151E-2</v>
      </c>
      <c r="L259" t="s">
        <v>159</v>
      </c>
      <c r="N259" t="s">
        <v>219</v>
      </c>
      <c r="O259" t="s">
        <v>301</v>
      </c>
      <c r="P259">
        <v>3.3291579244568784E-2</v>
      </c>
      <c r="Q259" t="s">
        <v>159</v>
      </c>
      <c r="S259" t="s">
        <v>261</v>
      </c>
      <c r="T259" t="s">
        <v>301</v>
      </c>
      <c r="U259">
        <v>1.7849411577849455E-2</v>
      </c>
      <c r="V259" t="s">
        <v>159</v>
      </c>
    </row>
    <row r="260" spans="9:22" x14ac:dyDescent="0.45">
      <c r="I260" t="s">
        <v>176</v>
      </c>
      <c r="J260" t="s">
        <v>302</v>
      </c>
      <c r="K260">
        <v>4.5230811515700074E-3</v>
      </c>
      <c r="L260" t="s">
        <v>159</v>
      </c>
      <c r="N260" t="s">
        <v>219</v>
      </c>
      <c r="O260" t="s">
        <v>302</v>
      </c>
      <c r="P260">
        <v>9.8953532470498123E-2</v>
      </c>
      <c r="Q260" t="s">
        <v>159</v>
      </c>
      <c r="S260" t="s">
        <v>261</v>
      </c>
      <c r="T260" t="s">
        <v>302</v>
      </c>
      <c r="U260">
        <v>8.8007084097308244E-2</v>
      </c>
      <c r="V260" t="s">
        <v>159</v>
      </c>
    </row>
    <row r="261" spans="9:22" x14ac:dyDescent="0.45">
      <c r="I261" t="s">
        <v>177</v>
      </c>
      <c r="J261" t="s">
        <v>158</v>
      </c>
      <c r="K261">
        <v>8.8361490054528445E-3</v>
      </c>
      <c r="L261" t="s">
        <v>159</v>
      </c>
      <c r="N261" t="s">
        <v>220</v>
      </c>
      <c r="O261" t="s">
        <v>158</v>
      </c>
      <c r="P261">
        <v>0.10065905231090326</v>
      </c>
      <c r="Q261" t="s">
        <v>159</v>
      </c>
      <c r="S261" t="s">
        <v>262</v>
      </c>
      <c r="T261" t="s">
        <v>158</v>
      </c>
      <c r="U261">
        <v>0.12578009628135409</v>
      </c>
      <c r="V261" t="s">
        <v>159</v>
      </c>
    </row>
    <row r="262" spans="9:22" x14ac:dyDescent="0.45">
      <c r="I262" t="s">
        <v>177</v>
      </c>
      <c r="J262" t="s">
        <v>160</v>
      </c>
      <c r="K262">
        <v>2.6639582170277887E-2</v>
      </c>
      <c r="L262" t="s">
        <v>159</v>
      </c>
      <c r="N262" t="s">
        <v>220</v>
      </c>
      <c r="O262" t="s">
        <v>160</v>
      </c>
      <c r="P262">
        <v>1.382859916439887E-2</v>
      </c>
      <c r="Q262" t="s">
        <v>159</v>
      </c>
      <c r="S262" t="s">
        <v>262</v>
      </c>
      <c r="T262" t="s">
        <v>160</v>
      </c>
      <c r="U262">
        <v>1.7738962210179701E-2</v>
      </c>
      <c r="V262" t="s">
        <v>159</v>
      </c>
    </row>
    <row r="263" spans="9:22" x14ac:dyDescent="0.45">
      <c r="I263" t="s">
        <v>177</v>
      </c>
      <c r="J263" t="s">
        <v>161</v>
      </c>
      <c r="K263">
        <v>0.41054178808507891</v>
      </c>
      <c r="L263" t="s">
        <v>159</v>
      </c>
      <c r="N263" t="s">
        <v>220</v>
      </c>
      <c r="O263" t="s">
        <v>161</v>
      </c>
      <c r="P263">
        <v>0.1310331035286843</v>
      </c>
      <c r="Q263" t="s">
        <v>159</v>
      </c>
      <c r="S263" t="s">
        <v>262</v>
      </c>
      <c r="T263" t="s">
        <v>161</v>
      </c>
      <c r="U263">
        <v>0.18891524489903799</v>
      </c>
      <c r="V263" t="s">
        <v>159</v>
      </c>
    </row>
    <row r="264" spans="9:22" x14ac:dyDescent="0.45">
      <c r="I264" t="s">
        <v>177</v>
      </c>
      <c r="J264" t="s">
        <v>287</v>
      </c>
      <c r="K264">
        <v>1.9059672661555109E-2</v>
      </c>
      <c r="L264" t="s">
        <v>159</v>
      </c>
      <c r="N264" t="s">
        <v>220</v>
      </c>
      <c r="O264" t="s">
        <v>287</v>
      </c>
      <c r="P264">
        <v>2.1046864341194852E-2</v>
      </c>
      <c r="Q264" t="s">
        <v>159</v>
      </c>
      <c r="S264" t="s">
        <v>262</v>
      </c>
      <c r="T264" t="s">
        <v>287</v>
      </c>
      <c r="U264">
        <v>2.1319641756647557E-2</v>
      </c>
      <c r="V264" t="s">
        <v>159</v>
      </c>
    </row>
    <row r="265" spans="9:22" x14ac:dyDescent="0.45">
      <c r="I265" t="s">
        <v>177</v>
      </c>
      <c r="J265" t="s">
        <v>288</v>
      </c>
      <c r="K265">
        <v>6.5001562217875735E-3</v>
      </c>
      <c r="L265" t="s">
        <v>159</v>
      </c>
      <c r="N265" t="s">
        <v>220</v>
      </c>
      <c r="O265" t="s">
        <v>288</v>
      </c>
      <c r="P265">
        <v>9.2782412841846212E-2</v>
      </c>
      <c r="Q265" t="s">
        <v>159</v>
      </c>
      <c r="S265" t="s">
        <v>262</v>
      </c>
      <c r="T265" t="s">
        <v>288</v>
      </c>
      <c r="U265">
        <v>0.10165065065880304</v>
      </c>
      <c r="V265" t="s">
        <v>159</v>
      </c>
    </row>
    <row r="266" spans="9:22" x14ac:dyDescent="0.45">
      <c r="I266" t="s">
        <v>177</v>
      </c>
      <c r="J266" t="s">
        <v>162</v>
      </c>
      <c r="K266">
        <v>0</v>
      </c>
      <c r="L266" t="s">
        <v>159</v>
      </c>
      <c r="N266" t="s">
        <v>220</v>
      </c>
      <c r="O266" t="s">
        <v>162</v>
      </c>
      <c r="P266">
        <v>2.9031111633922326E-2</v>
      </c>
      <c r="Q266" t="s">
        <v>159</v>
      </c>
      <c r="S266" t="s">
        <v>262</v>
      </c>
      <c r="T266" t="s">
        <v>162</v>
      </c>
      <c r="U266">
        <v>1.9275618918691957E-2</v>
      </c>
      <c r="V266" t="s">
        <v>159</v>
      </c>
    </row>
    <row r="267" spans="9:22" x14ac:dyDescent="0.45">
      <c r="I267" t="s">
        <v>177</v>
      </c>
      <c r="J267" t="s">
        <v>163</v>
      </c>
      <c r="K267">
        <v>0</v>
      </c>
      <c r="L267" t="s">
        <v>159</v>
      </c>
      <c r="N267" t="s">
        <v>220</v>
      </c>
      <c r="O267" t="s">
        <v>163</v>
      </c>
      <c r="P267">
        <v>3.9075626377851518E-3</v>
      </c>
      <c r="Q267" t="s">
        <v>159</v>
      </c>
      <c r="S267" t="s">
        <v>262</v>
      </c>
      <c r="T267" t="s">
        <v>163</v>
      </c>
      <c r="U267">
        <v>2.6878352703530741E-3</v>
      </c>
      <c r="V267" t="s">
        <v>159</v>
      </c>
    </row>
    <row r="268" spans="9:22" x14ac:dyDescent="0.45">
      <c r="I268" t="s">
        <v>177</v>
      </c>
      <c r="J268" t="s">
        <v>164</v>
      </c>
      <c r="K268">
        <v>3.9703211997580985E-2</v>
      </c>
      <c r="L268" t="s">
        <v>159</v>
      </c>
      <c r="N268" t="s">
        <v>220</v>
      </c>
      <c r="O268" t="s">
        <v>164</v>
      </c>
      <c r="P268">
        <v>2.6904546348170227E-2</v>
      </c>
      <c r="Q268" t="s">
        <v>159</v>
      </c>
      <c r="S268" t="s">
        <v>262</v>
      </c>
      <c r="T268" t="s">
        <v>164</v>
      </c>
      <c r="U268">
        <v>2.8658042295947848E-2</v>
      </c>
      <c r="V268" t="s">
        <v>159</v>
      </c>
    </row>
    <row r="269" spans="9:22" x14ac:dyDescent="0.45">
      <c r="I269" t="s">
        <v>177</v>
      </c>
      <c r="J269" t="s">
        <v>289</v>
      </c>
      <c r="K269">
        <v>0</v>
      </c>
      <c r="L269" t="s">
        <v>159</v>
      </c>
      <c r="N269" t="s">
        <v>220</v>
      </c>
      <c r="O269" t="s">
        <v>289</v>
      </c>
      <c r="P269">
        <v>3.7816170510760502E-3</v>
      </c>
      <c r="Q269" t="s">
        <v>159</v>
      </c>
      <c r="S269" t="s">
        <v>262</v>
      </c>
      <c r="T269" t="s">
        <v>289</v>
      </c>
      <c r="U269">
        <v>3.2251562794581119E-3</v>
      </c>
      <c r="V269" t="s">
        <v>159</v>
      </c>
    </row>
    <row r="270" spans="9:22" x14ac:dyDescent="0.45">
      <c r="I270" t="s">
        <v>177</v>
      </c>
      <c r="J270" t="s">
        <v>290</v>
      </c>
      <c r="K270">
        <v>0</v>
      </c>
      <c r="L270" t="s">
        <v>159</v>
      </c>
      <c r="N270" t="s">
        <v>220</v>
      </c>
      <c r="O270" t="s">
        <v>290</v>
      </c>
      <c r="P270">
        <v>1.7480162989482628E-2</v>
      </c>
      <c r="Q270" t="s">
        <v>159</v>
      </c>
      <c r="S270" t="s">
        <v>262</v>
      </c>
      <c r="T270" t="s">
        <v>290</v>
      </c>
      <c r="U270">
        <v>1.5789117357360796E-2</v>
      </c>
      <c r="V270" t="s">
        <v>159</v>
      </c>
    </row>
    <row r="271" spans="9:22" x14ac:dyDescent="0.45">
      <c r="I271" t="s">
        <v>177</v>
      </c>
      <c r="J271" t="s">
        <v>165</v>
      </c>
      <c r="K271">
        <v>0</v>
      </c>
      <c r="L271" t="s">
        <v>159</v>
      </c>
      <c r="N271" t="s">
        <v>220</v>
      </c>
      <c r="O271" t="s">
        <v>165</v>
      </c>
      <c r="P271">
        <v>4.6823684157806744E-2</v>
      </c>
      <c r="Q271" t="s">
        <v>159</v>
      </c>
      <c r="S271" t="s">
        <v>262</v>
      </c>
      <c r="T271" t="s">
        <v>165</v>
      </c>
      <c r="U271">
        <v>2.3039015656255941E-2</v>
      </c>
      <c r="V271" t="s">
        <v>159</v>
      </c>
    </row>
    <row r="272" spans="9:22" x14ac:dyDescent="0.45">
      <c r="I272" t="s">
        <v>177</v>
      </c>
      <c r="J272" t="s">
        <v>166</v>
      </c>
      <c r="K272">
        <v>7.482877803137479E-4</v>
      </c>
      <c r="L272" t="s">
        <v>159</v>
      </c>
      <c r="N272" t="s">
        <v>220</v>
      </c>
      <c r="O272" t="s">
        <v>166</v>
      </c>
      <c r="P272">
        <v>6.8508211536480509E-3</v>
      </c>
      <c r="Q272" t="s">
        <v>159</v>
      </c>
      <c r="S272" t="s">
        <v>262</v>
      </c>
      <c r="T272" t="s">
        <v>166</v>
      </c>
      <c r="U272">
        <v>3.3062632356805877E-3</v>
      </c>
      <c r="V272" t="s">
        <v>159</v>
      </c>
    </row>
    <row r="273" spans="9:22" x14ac:dyDescent="0.45">
      <c r="I273" t="s">
        <v>177</v>
      </c>
      <c r="J273" t="s">
        <v>167</v>
      </c>
      <c r="K273">
        <v>4.7622088648219603E-2</v>
      </c>
      <c r="L273" t="s">
        <v>159</v>
      </c>
      <c r="N273" t="s">
        <v>220</v>
      </c>
      <c r="O273" t="s">
        <v>167</v>
      </c>
      <c r="P273">
        <v>5.0532342355334089E-2</v>
      </c>
      <c r="Q273" t="s">
        <v>159</v>
      </c>
      <c r="S273" t="s">
        <v>262</v>
      </c>
      <c r="T273" t="s">
        <v>167</v>
      </c>
      <c r="U273">
        <v>3.6057224422080217E-2</v>
      </c>
      <c r="V273" t="s">
        <v>159</v>
      </c>
    </row>
    <row r="274" spans="9:22" x14ac:dyDescent="0.45">
      <c r="I274" t="s">
        <v>177</v>
      </c>
      <c r="J274" t="s">
        <v>291</v>
      </c>
      <c r="K274">
        <v>0</v>
      </c>
      <c r="L274" t="s">
        <v>159</v>
      </c>
      <c r="N274" t="s">
        <v>220</v>
      </c>
      <c r="O274" t="s">
        <v>291</v>
      </c>
      <c r="P274">
        <v>5.0964951425829675E-3</v>
      </c>
      <c r="Q274" t="s">
        <v>159</v>
      </c>
      <c r="S274" t="s">
        <v>262</v>
      </c>
      <c r="T274" t="s">
        <v>291</v>
      </c>
      <c r="U274">
        <v>4.0605255297787119E-3</v>
      </c>
      <c r="V274" t="s">
        <v>159</v>
      </c>
    </row>
    <row r="275" spans="9:22" x14ac:dyDescent="0.45">
      <c r="I275" t="s">
        <v>177</v>
      </c>
      <c r="J275" t="s">
        <v>292</v>
      </c>
      <c r="K275">
        <v>0</v>
      </c>
      <c r="L275" t="s">
        <v>159</v>
      </c>
      <c r="N275" t="s">
        <v>220</v>
      </c>
      <c r="O275" t="s">
        <v>292</v>
      </c>
      <c r="P275">
        <v>2.9684090381489652E-2</v>
      </c>
      <c r="Q275" t="s">
        <v>159</v>
      </c>
      <c r="S275" t="s">
        <v>262</v>
      </c>
      <c r="T275" t="s">
        <v>292</v>
      </c>
      <c r="U275">
        <v>2.0101475632721164E-2</v>
      </c>
      <c r="V275" t="s">
        <v>159</v>
      </c>
    </row>
    <row r="276" spans="9:22" x14ac:dyDescent="0.45">
      <c r="I276" t="s">
        <v>177</v>
      </c>
      <c r="J276" t="s">
        <v>293</v>
      </c>
      <c r="K276">
        <v>0</v>
      </c>
      <c r="L276" t="s">
        <v>159</v>
      </c>
      <c r="N276" t="s">
        <v>220</v>
      </c>
      <c r="O276" t="s">
        <v>293</v>
      </c>
      <c r="P276">
        <v>8.3127394229469548E-3</v>
      </c>
      <c r="Q276" t="s">
        <v>159</v>
      </c>
      <c r="S276" t="s">
        <v>262</v>
      </c>
      <c r="T276" t="s">
        <v>293</v>
      </c>
      <c r="U276">
        <v>8.3711582571377868E-3</v>
      </c>
      <c r="V276" t="s">
        <v>159</v>
      </c>
    </row>
    <row r="277" spans="9:22" x14ac:dyDescent="0.45">
      <c r="I277" t="s">
        <v>177</v>
      </c>
      <c r="J277" t="s">
        <v>294</v>
      </c>
      <c r="K277">
        <v>9.1447861376072414E-4</v>
      </c>
      <c r="L277" t="s">
        <v>159</v>
      </c>
      <c r="N277" t="s">
        <v>220</v>
      </c>
      <c r="O277" t="s">
        <v>294</v>
      </c>
      <c r="P277">
        <v>1.0169222465505152E-3</v>
      </c>
      <c r="Q277" t="s">
        <v>159</v>
      </c>
      <c r="S277" t="s">
        <v>262</v>
      </c>
      <c r="T277" t="s">
        <v>294</v>
      </c>
      <c r="U277">
        <v>1.2730049782991204E-3</v>
      </c>
      <c r="V277" t="s">
        <v>159</v>
      </c>
    </row>
    <row r="278" spans="9:22" x14ac:dyDescent="0.45">
      <c r="I278" t="s">
        <v>177</v>
      </c>
      <c r="J278" t="s">
        <v>295</v>
      </c>
      <c r="K278">
        <v>1.4243289498393853E-2</v>
      </c>
      <c r="L278" t="s">
        <v>159</v>
      </c>
      <c r="N278" t="s">
        <v>220</v>
      </c>
      <c r="O278" t="s">
        <v>295</v>
      </c>
      <c r="P278">
        <v>6.5002643527419237E-3</v>
      </c>
      <c r="Q278" t="s">
        <v>159</v>
      </c>
      <c r="S278" t="s">
        <v>262</v>
      </c>
      <c r="T278" t="s">
        <v>295</v>
      </c>
      <c r="U278">
        <v>1.1997808432384023E-2</v>
      </c>
      <c r="V278" t="s">
        <v>159</v>
      </c>
    </row>
    <row r="279" spans="9:22" x14ac:dyDescent="0.45">
      <c r="I279" t="s">
        <v>177</v>
      </c>
      <c r="J279" t="s">
        <v>296</v>
      </c>
      <c r="K279">
        <v>0</v>
      </c>
      <c r="L279" t="s">
        <v>159</v>
      </c>
      <c r="N279" t="s">
        <v>220</v>
      </c>
      <c r="O279" t="s">
        <v>296</v>
      </c>
      <c r="P279">
        <v>1.1327614401676575E-3</v>
      </c>
      <c r="Q279" t="s">
        <v>159</v>
      </c>
      <c r="S279" t="s">
        <v>262</v>
      </c>
      <c r="T279" t="s">
        <v>296</v>
      </c>
      <c r="U279">
        <v>1.1834596607567475E-3</v>
      </c>
      <c r="V279" t="s">
        <v>159</v>
      </c>
    </row>
    <row r="280" spans="9:22" x14ac:dyDescent="0.45">
      <c r="I280" t="s">
        <v>177</v>
      </c>
      <c r="J280" t="s">
        <v>297</v>
      </c>
      <c r="K280">
        <v>0</v>
      </c>
      <c r="L280" t="s">
        <v>159</v>
      </c>
      <c r="N280" t="s">
        <v>220</v>
      </c>
      <c r="O280" t="s">
        <v>297</v>
      </c>
      <c r="P280">
        <v>5.719767761682041E-3</v>
      </c>
      <c r="Q280" t="s">
        <v>159</v>
      </c>
      <c r="S280" t="s">
        <v>262</v>
      </c>
      <c r="T280" t="s">
        <v>297</v>
      </c>
      <c r="U280">
        <v>5.4141845061659883E-3</v>
      </c>
      <c r="V280" t="s">
        <v>159</v>
      </c>
    </row>
    <row r="281" spans="9:22" x14ac:dyDescent="0.45">
      <c r="I281" t="s">
        <v>177</v>
      </c>
      <c r="J281" t="s">
        <v>298</v>
      </c>
      <c r="K281">
        <v>1.669948717265296E-2</v>
      </c>
      <c r="L281" t="s">
        <v>159</v>
      </c>
      <c r="N281" t="s">
        <v>220</v>
      </c>
      <c r="O281" t="s">
        <v>298</v>
      </c>
      <c r="P281">
        <v>9.3217796487003957E-2</v>
      </c>
      <c r="Q281" t="s">
        <v>159</v>
      </c>
      <c r="S281" t="s">
        <v>262</v>
      </c>
      <c r="T281" t="s">
        <v>298</v>
      </c>
      <c r="U281">
        <v>0.10118249673068566</v>
      </c>
      <c r="V281" t="s">
        <v>159</v>
      </c>
    </row>
    <row r="282" spans="9:22" x14ac:dyDescent="0.45">
      <c r="I282" t="s">
        <v>177</v>
      </c>
      <c r="J282" t="s">
        <v>299</v>
      </c>
      <c r="K282">
        <v>2.8329143889073299E-2</v>
      </c>
      <c r="L282" t="s">
        <v>159</v>
      </c>
      <c r="N282" t="s">
        <v>220</v>
      </c>
      <c r="O282" t="s">
        <v>299</v>
      </c>
      <c r="P282">
        <v>1.182748928701825E-2</v>
      </c>
      <c r="Q282" t="s">
        <v>159</v>
      </c>
      <c r="S282" t="s">
        <v>262</v>
      </c>
      <c r="T282" t="s">
        <v>299</v>
      </c>
      <c r="U282">
        <v>1.3996670725157097E-2</v>
      </c>
      <c r="V282" t="s">
        <v>159</v>
      </c>
    </row>
    <row r="283" spans="9:22" x14ac:dyDescent="0.45">
      <c r="I283" t="s">
        <v>177</v>
      </c>
      <c r="J283" t="s">
        <v>300</v>
      </c>
      <c r="K283">
        <v>0.35861920746079523</v>
      </c>
      <c r="L283" t="s">
        <v>159</v>
      </c>
      <c r="N283" t="s">
        <v>220</v>
      </c>
      <c r="O283" t="s">
        <v>300</v>
      </c>
      <c r="P283">
        <v>0.16761801764446083</v>
      </c>
      <c r="Q283" t="s">
        <v>159</v>
      </c>
      <c r="S283" t="s">
        <v>262</v>
      </c>
      <c r="T283" t="s">
        <v>300</v>
      </c>
      <c r="U283">
        <v>0.14844595632197649</v>
      </c>
      <c r="V283" t="s">
        <v>159</v>
      </c>
    </row>
    <row r="284" spans="9:22" x14ac:dyDescent="0.45">
      <c r="I284" t="s">
        <v>177</v>
      </c>
      <c r="J284" t="s">
        <v>301</v>
      </c>
      <c r="K284">
        <v>1.803610396282054E-2</v>
      </c>
      <c r="L284" t="s">
        <v>159</v>
      </c>
      <c r="N284" t="s">
        <v>220</v>
      </c>
      <c r="O284" t="s">
        <v>301</v>
      </c>
      <c r="P284">
        <v>2.567815077109659E-2</v>
      </c>
      <c r="Q284" t="s">
        <v>159</v>
      </c>
      <c r="S284" t="s">
        <v>262</v>
      </c>
      <c r="T284" t="s">
        <v>301</v>
      </c>
      <c r="U284">
        <v>1.6600525108055816E-2</v>
      </c>
      <c r="V284" t="s">
        <v>159</v>
      </c>
    </row>
    <row r="285" spans="9:22" x14ac:dyDescent="0.45">
      <c r="I285" t="s">
        <v>177</v>
      </c>
      <c r="J285" t="s">
        <v>302</v>
      </c>
      <c r="K285">
        <v>3.5073528322385715E-3</v>
      </c>
      <c r="L285" t="s">
        <v>159</v>
      </c>
      <c r="N285" t="s">
        <v>220</v>
      </c>
      <c r="O285" t="s">
        <v>302</v>
      </c>
      <c r="P285">
        <v>9.9533624548005878E-2</v>
      </c>
      <c r="Q285" t="s">
        <v>159</v>
      </c>
      <c r="S285" t="s">
        <v>262</v>
      </c>
      <c r="T285" t="s">
        <v>302</v>
      </c>
      <c r="U285">
        <v>7.9929864875034021E-2</v>
      </c>
      <c r="V285" t="s">
        <v>159</v>
      </c>
    </row>
    <row r="286" spans="9:22" x14ac:dyDescent="0.45">
      <c r="I286" t="s">
        <v>178</v>
      </c>
      <c r="J286" t="s">
        <v>158</v>
      </c>
      <c r="K286">
        <v>5.8091517262474938E-3</v>
      </c>
      <c r="L286" t="s">
        <v>159</v>
      </c>
      <c r="N286" t="s">
        <v>221</v>
      </c>
      <c r="O286" t="s">
        <v>158</v>
      </c>
      <c r="P286">
        <v>0.11682546236853182</v>
      </c>
      <c r="Q286" t="s">
        <v>159</v>
      </c>
      <c r="S286" t="s">
        <v>263</v>
      </c>
      <c r="T286" t="s">
        <v>158</v>
      </c>
      <c r="U286">
        <v>0.13047048152005428</v>
      </c>
      <c r="V286" t="s">
        <v>159</v>
      </c>
    </row>
    <row r="287" spans="9:22" x14ac:dyDescent="0.45">
      <c r="I287" t="s">
        <v>178</v>
      </c>
      <c r="J287" t="s">
        <v>160</v>
      </c>
      <c r="K287">
        <v>2.1918251737373592E-2</v>
      </c>
      <c r="L287" t="s">
        <v>159</v>
      </c>
      <c r="N287" t="s">
        <v>221</v>
      </c>
      <c r="O287" t="s">
        <v>160</v>
      </c>
      <c r="P287">
        <v>1.6959551158394197E-2</v>
      </c>
      <c r="Q287" t="s">
        <v>159</v>
      </c>
      <c r="S287" t="s">
        <v>263</v>
      </c>
      <c r="T287" t="s">
        <v>160</v>
      </c>
      <c r="U287">
        <v>1.8110638399478671E-2</v>
      </c>
      <c r="V287" t="s">
        <v>159</v>
      </c>
    </row>
    <row r="288" spans="9:22" x14ac:dyDescent="0.45">
      <c r="I288" t="s">
        <v>178</v>
      </c>
      <c r="J288" t="s">
        <v>161</v>
      </c>
      <c r="K288">
        <v>0.4106068841936204</v>
      </c>
      <c r="L288" t="s">
        <v>159</v>
      </c>
      <c r="N288" t="s">
        <v>221</v>
      </c>
      <c r="O288" t="s">
        <v>161</v>
      </c>
      <c r="P288">
        <v>0.19697700905983989</v>
      </c>
      <c r="Q288" t="s">
        <v>159</v>
      </c>
      <c r="S288" t="s">
        <v>263</v>
      </c>
      <c r="T288" t="s">
        <v>161</v>
      </c>
      <c r="U288">
        <v>0.18799697801624643</v>
      </c>
      <c r="V288" t="s">
        <v>159</v>
      </c>
    </row>
    <row r="289" spans="9:22" x14ac:dyDescent="0.45">
      <c r="I289" t="s">
        <v>178</v>
      </c>
      <c r="J289" t="s">
        <v>287</v>
      </c>
      <c r="K289">
        <v>2.0383573884818963E-2</v>
      </c>
      <c r="L289" t="s">
        <v>159</v>
      </c>
      <c r="N289" t="s">
        <v>221</v>
      </c>
      <c r="O289" t="s">
        <v>287</v>
      </c>
      <c r="P289">
        <v>2.2320958198662592E-2</v>
      </c>
      <c r="Q289" t="s">
        <v>159</v>
      </c>
      <c r="S289" t="s">
        <v>263</v>
      </c>
      <c r="T289" t="s">
        <v>287</v>
      </c>
      <c r="U289">
        <v>2.0952120675755626E-2</v>
      </c>
      <c r="V289" t="s">
        <v>159</v>
      </c>
    </row>
    <row r="290" spans="9:22" x14ac:dyDescent="0.45">
      <c r="I290" t="s">
        <v>178</v>
      </c>
      <c r="J290" t="s">
        <v>288</v>
      </c>
      <c r="K290">
        <v>7.2681785271967985E-3</v>
      </c>
      <c r="L290" t="s">
        <v>159</v>
      </c>
      <c r="N290" t="s">
        <v>221</v>
      </c>
      <c r="O290" t="s">
        <v>288</v>
      </c>
      <c r="P290">
        <v>9.0795062788650308E-2</v>
      </c>
      <c r="Q290" t="s">
        <v>159</v>
      </c>
      <c r="S290" t="s">
        <v>263</v>
      </c>
      <c r="T290" t="s">
        <v>288</v>
      </c>
      <c r="U290">
        <v>0.10248199628405893</v>
      </c>
      <c r="V290" t="s">
        <v>159</v>
      </c>
    </row>
    <row r="291" spans="9:22" x14ac:dyDescent="0.45">
      <c r="I291" t="s">
        <v>178</v>
      </c>
      <c r="J291" t="s">
        <v>162</v>
      </c>
      <c r="K291">
        <v>0</v>
      </c>
      <c r="L291" t="s">
        <v>159</v>
      </c>
      <c r="N291" t="s">
        <v>221</v>
      </c>
      <c r="O291" t="s">
        <v>162</v>
      </c>
      <c r="P291">
        <v>2.6415134001377846E-2</v>
      </c>
      <c r="Q291" t="s">
        <v>159</v>
      </c>
      <c r="S291" t="s">
        <v>263</v>
      </c>
      <c r="T291" t="s">
        <v>162</v>
      </c>
      <c r="U291">
        <v>1.9398500760853532E-2</v>
      </c>
      <c r="V291" t="s">
        <v>159</v>
      </c>
    </row>
    <row r="292" spans="9:22" x14ac:dyDescent="0.45">
      <c r="I292" t="s">
        <v>178</v>
      </c>
      <c r="J292" t="s">
        <v>163</v>
      </c>
      <c r="K292">
        <v>0</v>
      </c>
      <c r="L292" t="s">
        <v>159</v>
      </c>
      <c r="N292" t="s">
        <v>221</v>
      </c>
      <c r="O292" t="s">
        <v>163</v>
      </c>
      <c r="P292">
        <v>3.7951075196437319E-3</v>
      </c>
      <c r="Q292" t="s">
        <v>159</v>
      </c>
      <c r="S292" t="s">
        <v>263</v>
      </c>
      <c r="T292" t="s">
        <v>163</v>
      </c>
      <c r="U292">
        <v>2.593249417464894E-3</v>
      </c>
      <c r="V292" t="s">
        <v>159</v>
      </c>
    </row>
    <row r="293" spans="9:22" x14ac:dyDescent="0.45">
      <c r="I293" t="s">
        <v>178</v>
      </c>
      <c r="J293" t="s">
        <v>164</v>
      </c>
      <c r="K293">
        <v>4.2518546535341539E-2</v>
      </c>
      <c r="L293" t="s">
        <v>159</v>
      </c>
      <c r="N293" t="s">
        <v>221</v>
      </c>
      <c r="O293" t="s">
        <v>164</v>
      </c>
      <c r="P293">
        <v>3.4328734135886795E-2</v>
      </c>
      <c r="Q293" t="s">
        <v>159</v>
      </c>
      <c r="S293" t="s">
        <v>263</v>
      </c>
      <c r="T293" t="s">
        <v>164</v>
      </c>
      <c r="U293">
        <v>2.9146919230689631E-2</v>
      </c>
      <c r="V293" t="s">
        <v>159</v>
      </c>
    </row>
    <row r="294" spans="9:22" x14ac:dyDescent="0.45">
      <c r="I294" t="s">
        <v>178</v>
      </c>
      <c r="J294" t="s">
        <v>289</v>
      </c>
      <c r="K294">
        <v>0</v>
      </c>
      <c r="L294" t="s">
        <v>159</v>
      </c>
      <c r="N294" t="s">
        <v>221</v>
      </c>
      <c r="O294" t="s">
        <v>289</v>
      </c>
      <c r="P294">
        <v>3.4342341496281896E-3</v>
      </c>
      <c r="Q294" t="s">
        <v>159</v>
      </c>
      <c r="S294" t="s">
        <v>263</v>
      </c>
      <c r="T294" t="s">
        <v>289</v>
      </c>
      <c r="U294">
        <v>3.4433386862630921E-3</v>
      </c>
      <c r="V294" t="s">
        <v>159</v>
      </c>
    </row>
    <row r="295" spans="9:22" x14ac:dyDescent="0.45">
      <c r="I295" t="s">
        <v>178</v>
      </c>
      <c r="J295" t="s">
        <v>290</v>
      </c>
      <c r="K295">
        <v>0</v>
      </c>
      <c r="L295" t="s">
        <v>159</v>
      </c>
      <c r="N295" t="s">
        <v>221</v>
      </c>
      <c r="O295" t="s">
        <v>290</v>
      </c>
      <c r="P295">
        <v>1.6290334480448601E-2</v>
      </c>
      <c r="Q295" t="s">
        <v>159</v>
      </c>
      <c r="S295" t="s">
        <v>263</v>
      </c>
      <c r="T295" t="s">
        <v>290</v>
      </c>
      <c r="U295">
        <v>1.596165354474393E-2</v>
      </c>
      <c r="V295" t="s">
        <v>159</v>
      </c>
    </row>
    <row r="296" spans="9:22" x14ac:dyDescent="0.45">
      <c r="I296" t="s">
        <v>178</v>
      </c>
      <c r="J296" t="s">
        <v>165</v>
      </c>
      <c r="K296">
        <v>0</v>
      </c>
      <c r="L296" t="s">
        <v>159</v>
      </c>
      <c r="N296" t="s">
        <v>221</v>
      </c>
      <c r="O296" t="s">
        <v>165</v>
      </c>
      <c r="P296">
        <v>3.0399008711412434E-2</v>
      </c>
      <c r="Q296" t="s">
        <v>159</v>
      </c>
      <c r="S296" t="s">
        <v>263</v>
      </c>
      <c r="T296" t="s">
        <v>165</v>
      </c>
      <c r="U296">
        <v>2.3411739337222192E-2</v>
      </c>
      <c r="V296" t="s">
        <v>159</v>
      </c>
    </row>
    <row r="297" spans="9:22" x14ac:dyDescent="0.45">
      <c r="I297" t="s">
        <v>178</v>
      </c>
      <c r="J297" t="s">
        <v>166</v>
      </c>
      <c r="K297">
        <v>5.3550105386853059E-4</v>
      </c>
      <c r="L297" t="s">
        <v>159</v>
      </c>
      <c r="N297" t="s">
        <v>221</v>
      </c>
      <c r="O297" t="s">
        <v>166</v>
      </c>
      <c r="P297">
        <v>4.615366728348674E-3</v>
      </c>
      <c r="Q297" t="s">
        <v>159</v>
      </c>
      <c r="S297" t="s">
        <v>263</v>
      </c>
      <c r="T297" t="s">
        <v>166</v>
      </c>
      <c r="U297">
        <v>3.4211482716047141E-3</v>
      </c>
      <c r="V297" t="s">
        <v>159</v>
      </c>
    </row>
    <row r="298" spans="9:22" x14ac:dyDescent="0.45">
      <c r="I298" t="s">
        <v>178</v>
      </c>
      <c r="J298" t="s">
        <v>167</v>
      </c>
      <c r="K298">
        <v>4.9528691742890409E-2</v>
      </c>
      <c r="L298" t="s">
        <v>159</v>
      </c>
      <c r="N298" t="s">
        <v>221</v>
      </c>
      <c r="O298" t="s">
        <v>167</v>
      </c>
      <c r="P298">
        <v>4.2182171839912554E-2</v>
      </c>
      <c r="Q298" t="s">
        <v>159</v>
      </c>
      <c r="S298" t="s">
        <v>263</v>
      </c>
      <c r="T298" t="s">
        <v>167</v>
      </c>
      <c r="U298">
        <v>3.5502976134775328E-2</v>
      </c>
      <c r="V298" t="s">
        <v>159</v>
      </c>
    </row>
    <row r="299" spans="9:22" x14ac:dyDescent="0.45">
      <c r="I299" t="s">
        <v>178</v>
      </c>
      <c r="J299" t="s">
        <v>291</v>
      </c>
      <c r="K299">
        <v>0</v>
      </c>
      <c r="L299" t="s">
        <v>159</v>
      </c>
      <c r="N299" t="s">
        <v>221</v>
      </c>
      <c r="O299" t="s">
        <v>291</v>
      </c>
      <c r="P299">
        <v>4.1830485515035546E-3</v>
      </c>
      <c r="Q299" t="s">
        <v>159</v>
      </c>
      <c r="S299" t="s">
        <v>263</v>
      </c>
      <c r="T299" t="s">
        <v>291</v>
      </c>
      <c r="U299">
        <v>4.2308020370429656E-3</v>
      </c>
      <c r="V299" t="s">
        <v>159</v>
      </c>
    </row>
    <row r="300" spans="9:22" x14ac:dyDescent="0.45">
      <c r="I300" t="s">
        <v>178</v>
      </c>
      <c r="J300" t="s">
        <v>292</v>
      </c>
      <c r="K300">
        <v>0</v>
      </c>
      <c r="L300" t="s">
        <v>159</v>
      </c>
      <c r="N300" t="s">
        <v>221</v>
      </c>
      <c r="O300" t="s">
        <v>292</v>
      </c>
      <c r="P300">
        <v>2.0424096149319084E-2</v>
      </c>
      <c r="Q300" t="s">
        <v>159</v>
      </c>
      <c r="S300" t="s">
        <v>263</v>
      </c>
      <c r="T300" t="s">
        <v>292</v>
      </c>
      <c r="U300">
        <v>2.042886931203541E-2</v>
      </c>
      <c r="V300" t="s">
        <v>159</v>
      </c>
    </row>
    <row r="301" spans="9:22" x14ac:dyDescent="0.45">
      <c r="I301" t="s">
        <v>178</v>
      </c>
      <c r="J301" t="s">
        <v>293</v>
      </c>
      <c r="K301">
        <v>0</v>
      </c>
      <c r="L301" t="s">
        <v>159</v>
      </c>
      <c r="N301" t="s">
        <v>221</v>
      </c>
      <c r="O301" t="s">
        <v>293</v>
      </c>
      <c r="P301">
        <v>5.0183149334243338E-3</v>
      </c>
      <c r="Q301" t="s">
        <v>159</v>
      </c>
      <c r="S301" t="s">
        <v>263</v>
      </c>
      <c r="T301" t="s">
        <v>293</v>
      </c>
      <c r="U301">
        <v>8.6490434449391466E-3</v>
      </c>
      <c r="V301" t="s">
        <v>159</v>
      </c>
    </row>
    <row r="302" spans="9:22" x14ac:dyDescent="0.45">
      <c r="I302" t="s">
        <v>178</v>
      </c>
      <c r="J302" t="s">
        <v>294</v>
      </c>
      <c r="K302">
        <v>8.7062278649197272E-4</v>
      </c>
      <c r="L302" t="s">
        <v>159</v>
      </c>
      <c r="N302" t="s">
        <v>221</v>
      </c>
      <c r="O302" t="s">
        <v>294</v>
      </c>
      <c r="P302">
        <v>8.3884104296108055E-4</v>
      </c>
      <c r="Q302" t="s">
        <v>159</v>
      </c>
      <c r="S302" t="s">
        <v>263</v>
      </c>
      <c r="T302" t="s">
        <v>294</v>
      </c>
      <c r="U302">
        <v>1.115005649563329E-3</v>
      </c>
      <c r="V302" t="s">
        <v>159</v>
      </c>
    </row>
    <row r="303" spans="9:22" x14ac:dyDescent="0.45">
      <c r="I303" t="s">
        <v>178</v>
      </c>
      <c r="J303" t="s">
        <v>295</v>
      </c>
      <c r="K303">
        <v>1.4660447085339852E-2</v>
      </c>
      <c r="L303" t="s">
        <v>159</v>
      </c>
      <c r="N303" t="s">
        <v>221</v>
      </c>
      <c r="O303" t="s">
        <v>295</v>
      </c>
      <c r="P303">
        <v>8.4692876987511097E-3</v>
      </c>
      <c r="Q303" t="s">
        <v>159</v>
      </c>
      <c r="S303" t="s">
        <v>263</v>
      </c>
      <c r="T303" t="s">
        <v>295</v>
      </c>
      <c r="U303">
        <v>1.0379674179783241E-2</v>
      </c>
      <c r="V303" t="s">
        <v>159</v>
      </c>
    </row>
    <row r="304" spans="9:22" x14ac:dyDescent="0.45">
      <c r="I304" t="s">
        <v>178</v>
      </c>
      <c r="J304" t="s">
        <v>296</v>
      </c>
      <c r="K304">
        <v>0</v>
      </c>
      <c r="L304" t="s">
        <v>159</v>
      </c>
      <c r="N304" t="s">
        <v>221</v>
      </c>
      <c r="O304" t="s">
        <v>296</v>
      </c>
      <c r="P304">
        <v>7.1907636753036478E-4</v>
      </c>
      <c r="Q304" t="s">
        <v>159</v>
      </c>
      <c r="S304" t="s">
        <v>263</v>
      </c>
      <c r="T304" t="s">
        <v>296</v>
      </c>
      <c r="U304">
        <v>1.2401484778850448E-3</v>
      </c>
      <c r="V304" t="s">
        <v>159</v>
      </c>
    </row>
    <row r="305" spans="9:22" x14ac:dyDescent="0.45">
      <c r="I305" t="s">
        <v>178</v>
      </c>
      <c r="J305" t="s">
        <v>297</v>
      </c>
      <c r="K305">
        <v>0</v>
      </c>
      <c r="L305" t="s">
        <v>159</v>
      </c>
      <c r="N305" t="s">
        <v>221</v>
      </c>
      <c r="O305" t="s">
        <v>297</v>
      </c>
      <c r="P305">
        <v>2.5737741459898279E-3</v>
      </c>
      <c r="Q305" t="s">
        <v>159</v>
      </c>
      <c r="S305" t="s">
        <v>263</v>
      </c>
      <c r="T305" t="s">
        <v>297</v>
      </c>
      <c r="U305">
        <v>6.3922402980102939E-3</v>
      </c>
      <c r="V305" t="s">
        <v>159</v>
      </c>
    </row>
    <row r="306" spans="9:22" x14ac:dyDescent="0.45">
      <c r="I306" t="s">
        <v>178</v>
      </c>
      <c r="J306" t="s">
        <v>298</v>
      </c>
      <c r="K306">
        <v>1.3003901323836784E-2</v>
      </c>
      <c r="L306" t="s">
        <v>159</v>
      </c>
      <c r="N306" t="s">
        <v>221</v>
      </c>
      <c r="O306" t="s">
        <v>298</v>
      </c>
      <c r="P306">
        <v>8.7909551348285653E-2</v>
      </c>
      <c r="Q306" t="s">
        <v>159</v>
      </c>
      <c r="S306" t="s">
        <v>263</v>
      </c>
      <c r="T306" t="s">
        <v>298</v>
      </c>
      <c r="U306">
        <v>0.10006407010675063</v>
      </c>
      <c r="V306" t="s">
        <v>159</v>
      </c>
    </row>
    <row r="307" spans="9:22" x14ac:dyDescent="0.45">
      <c r="I307" t="s">
        <v>178</v>
      </c>
      <c r="J307" t="s">
        <v>299</v>
      </c>
      <c r="K307">
        <v>2.4875699986486765E-2</v>
      </c>
      <c r="L307" t="s">
        <v>159</v>
      </c>
      <c r="N307" t="s">
        <v>221</v>
      </c>
      <c r="O307" t="s">
        <v>299</v>
      </c>
      <c r="P307">
        <v>1.2490771949522491E-2</v>
      </c>
      <c r="Q307" t="s">
        <v>159</v>
      </c>
      <c r="S307" t="s">
        <v>263</v>
      </c>
      <c r="T307" t="s">
        <v>299</v>
      </c>
      <c r="U307">
        <v>1.3666489153891447E-2</v>
      </c>
      <c r="V307" t="s">
        <v>159</v>
      </c>
    </row>
    <row r="308" spans="9:22" x14ac:dyDescent="0.45">
      <c r="I308" t="s">
        <v>178</v>
      </c>
      <c r="J308" t="s">
        <v>300</v>
      </c>
      <c r="K308">
        <v>0.36327787104522263</v>
      </c>
      <c r="L308" t="s">
        <v>159</v>
      </c>
      <c r="N308" t="s">
        <v>221</v>
      </c>
      <c r="O308" t="s">
        <v>300</v>
      </c>
      <c r="P308">
        <v>0.16383733459565158</v>
      </c>
      <c r="Q308" t="s">
        <v>159</v>
      </c>
      <c r="S308" t="s">
        <v>263</v>
      </c>
      <c r="T308" t="s">
        <v>300</v>
      </c>
      <c r="U308">
        <v>0.14453303024700098</v>
      </c>
      <c r="V308" t="s">
        <v>159</v>
      </c>
    </row>
    <row r="309" spans="9:22" x14ac:dyDescent="0.45">
      <c r="I309" t="s">
        <v>178</v>
      </c>
      <c r="J309" t="s">
        <v>301</v>
      </c>
      <c r="K309">
        <v>2.0785173198133753E-2</v>
      </c>
      <c r="L309" t="s">
        <v>159</v>
      </c>
      <c r="N309" t="s">
        <v>221</v>
      </c>
      <c r="O309" t="s">
        <v>301</v>
      </c>
      <c r="P309">
        <v>1.834991018878018E-2</v>
      </c>
      <c r="Q309" t="s">
        <v>159</v>
      </c>
      <c r="S309" t="s">
        <v>263</v>
      </c>
      <c r="T309" t="s">
        <v>301</v>
      </c>
      <c r="U309">
        <v>1.6366145303943376E-2</v>
      </c>
      <c r="V309" t="s">
        <v>159</v>
      </c>
    </row>
    <row r="310" spans="9:22" x14ac:dyDescent="0.45">
      <c r="I310" t="s">
        <v>178</v>
      </c>
      <c r="J310" t="s">
        <v>302</v>
      </c>
      <c r="K310">
        <v>3.9575051731342726E-3</v>
      </c>
      <c r="L310" t="s">
        <v>159</v>
      </c>
      <c r="N310" t="s">
        <v>221</v>
      </c>
      <c r="O310" t="s">
        <v>302</v>
      </c>
      <c r="P310">
        <v>6.9847857887544204E-2</v>
      </c>
      <c r="Q310" t="s">
        <v>159</v>
      </c>
      <c r="S310" t="s">
        <v>263</v>
      </c>
      <c r="T310" t="s">
        <v>302</v>
      </c>
      <c r="U310">
        <v>8.0042741509939577E-2</v>
      </c>
      <c r="V310" t="s">
        <v>159</v>
      </c>
    </row>
    <row r="311" spans="9:22" x14ac:dyDescent="0.45">
      <c r="I311" t="s">
        <v>179</v>
      </c>
      <c r="J311" t="s">
        <v>158</v>
      </c>
      <c r="K311">
        <v>8.0045574795972099E-3</v>
      </c>
      <c r="L311" t="s">
        <v>159</v>
      </c>
      <c r="N311" t="s">
        <v>222</v>
      </c>
      <c r="O311" t="s">
        <v>158</v>
      </c>
      <c r="P311">
        <v>0.10537664326511269</v>
      </c>
      <c r="Q311" t="s">
        <v>159</v>
      </c>
      <c r="S311" t="s">
        <v>264</v>
      </c>
      <c r="T311" t="s">
        <v>158</v>
      </c>
      <c r="U311">
        <v>0.12719805018006677</v>
      </c>
      <c r="V311" t="s">
        <v>159</v>
      </c>
    </row>
    <row r="312" spans="9:22" x14ac:dyDescent="0.45">
      <c r="I312" t="s">
        <v>179</v>
      </c>
      <c r="J312" t="s">
        <v>160</v>
      </c>
      <c r="K312">
        <v>2.7070001178531179E-2</v>
      </c>
      <c r="L312" t="s">
        <v>159</v>
      </c>
      <c r="N312" t="s">
        <v>222</v>
      </c>
      <c r="O312" t="s">
        <v>160</v>
      </c>
      <c r="P312">
        <v>1.4724595122171063E-2</v>
      </c>
      <c r="Q312" t="s">
        <v>159</v>
      </c>
      <c r="S312" t="s">
        <v>264</v>
      </c>
      <c r="T312" t="s">
        <v>160</v>
      </c>
      <c r="U312">
        <v>1.7869378361027786E-2</v>
      </c>
      <c r="V312" t="s">
        <v>159</v>
      </c>
    </row>
    <row r="313" spans="9:22" x14ac:dyDescent="0.45">
      <c r="I313" t="s">
        <v>179</v>
      </c>
      <c r="J313" t="s">
        <v>161</v>
      </c>
      <c r="K313">
        <v>0.41151004974735017</v>
      </c>
      <c r="L313" t="s">
        <v>159</v>
      </c>
      <c r="N313" t="s">
        <v>222</v>
      </c>
      <c r="O313" t="s">
        <v>161</v>
      </c>
      <c r="P313">
        <v>0.20174332891019389</v>
      </c>
      <c r="Q313" t="s">
        <v>159</v>
      </c>
      <c r="S313" t="s">
        <v>264</v>
      </c>
      <c r="T313" t="s">
        <v>161</v>
      </c>
      <c r="U313">
        <v>0.17524449973224701</v>
      </c>
      <c r="V313" t="s">
        <v>159</v>
      </c>
    </row>
    <row r="314" spans="9:22" x14ac:dyDescent="0.45">
      <c r="I314" t="s">
        <v>179</v>
      </c>
      <c r="J314" t="s">
        <v>287</v>
      </c>
      <c r="K314">
        <v>1.9033208819808328E-2</v>
      </c>
      <c r="L314" t="s">
        <v>159</v>
      </c>
      <c r="N314" t="s">
        <v>222</v>
      </c>
      <c r="O314" t="s">
        <v>287</v>
      </c>
      <c r="P314">
        <v>2.287012443907608E-2</v>
      </c>
      <c r="Q314" t="s">
        <v>159</v>
      </c>
      <c r="S314" t="s">
        <v>264</v>
      </c>
      <c r="T314" t="s">
        <v>287</v>
      </c>
      <c r="U314">
        <v>1.7868941983784806E-2</v>
      </c>
      <c r="V314" t="s">
        <v>159</v>
      </c>
    </row>
    <row r="315" spans="9:22" x14ac:dyDescent="0.45">
      <c r="I315" t="s">
        <v>179</v>
      </c>
      <c r="J315" t="s">
        <v>288</v>
      </c>
      <c r="K315">
        <v>6.1032881669155215E-3</v>
      </c>
      <c r="L315" t="s">
        <v>159</v>
      </c>
      <c r="N315" t="s">
        <v>222</v>
      </c>
      <c r="O315" t="s">
        <v>288</v>
      </c>
      <c r="P315">
        <v>8.9150318170992185E-2</v>
      </c>
      <c r="Q315" t="s">
        <v>159</v>
      </c>
      <c r="S315" t="s">
        <v>264</v>
      </c>
      <c r="T315" t="s">
        <v>288</v>
      </c>
      <c r="U315">
        <v>8.8175355692300755E-2</v>
      </c>
      <c r="V315" t="s">
        <v>159</v>
      </c>
    </row>
    <row r="316" spans="9:22" x14ac:dyDescent="0.45">
      <c r="I316" t="s">
        <v>179</v>
      </c>
      <c r="J316" t="s">
        <v>162</v>
      </c>
      <c r="K316">
        <v>0</v>
      </c>
      <c r="L316" t="s">
        <v>159</v>
      </c>
      <c r="N316" t="s">
        <v>222</v>
      </c>
      <c r="O316" t="s">
        <v>162</v>
      </c>
      <c r="P316">
        <v>2.1048492851331008E-2</v>
      </c>
      <c r="Q316" t="s">
        <v>159</v>
      </c>
      <c r="S316" t="s">
        <v>264</v>
      </c>
      <c r="T316" t="s">
        <v>162</v>
      </c>
      <c r="U316">
        <v>2.6201604549191418E-2</v>
      </c>
      <c r="V316" t="s">
        <v>159</v>
      </c>
    </row>
    <row r="317" spans="9:22" x14ac:dyDescent="0.45">
      <c r="I317" t="s">
        <v>179</v>
      </c>
      <c r="J317" t="s">
        <v>163</v>
      </c>
      <c r="K317">
        <v>0</v>
      </c>
      <c r="L317" t="s">
        <v>159</v>
      </c>
      <c r="N317" t="s">
        <v>222</v>
      </c>
      <c r="O317" t="s">
        <v>163</v>
      </c>
      <c r="P317">
        <v>2.8834882853146348E-3</v>
      </c>
      <c r="Q317" t="s">
        <v>159</v>
      </c>
      <c r="S317" t="s">
        <v>264</v>
      </c>
      <c r="T317" t="s">
        <v>163</v>
      </c>
      <c r="U317">
        <v>3.6335825328961957E-3</v>
      </c>
      <c r="V317" t="s">
        <v>159</v>
      </c>
    </row>
    <row r="318" spans="9:22" x14ac:dyDescent="0.45">
      <c r="I318" t="s">
        <v>179</v>
      </c>
      <c r="J318" t="s">
        <v>164</v>
      </c>
      <c r="K318">
        <v>4.1863245900810094E-2</v>
      </c>
      <c r="L318" t="s">
        <v>159</v>
      </c>
      <c r="N318" t="s">
        <v>222</v>
      </c>
      <c r="O318" t="s">
        <v>164</v>
      </c>
      <c r="P318">
        <v>3.0683000653685E-2</v>
      </c>
      <c r="Q318" t="s">
        <v>159</v>
      </c>
      <c r="S318" t="s">
        <v>264</v>
      </c>
      <c r="T318" t="s">
        <v>164</v>
      </c>
      <c r="U318">
        <v>3.40470011839836E-2</v>
      </c>
      <c r="V318" t="s">
        <v>159</v>
      </c>
    </row>
    <row r="319" spans="9:22" x14ac:dyDescent="0.45">
      <c r="I319" t="s">
        <v>179</v>
      </c>
      <c r="J319" t="s">
        <v>289</v>
      </c>
      <c r="K319">
        <v>0</v>
      </c>
      <c r="L319" t="s">
        <v>159</v>
      </c>
      <c r="N319" t="s">
        <v>222</v>
      </c>
      <c r="O319" t="s">
        <v>289</v>
      </c>
      <c r="P319">
        <v>3.3078799712551107E-3</v>
      </c>
      <c r="Q319" t="s">
        <v>159</v>
      </c>
      <c r="S319" t="s">
        <v>264</v>
      </c>
      <c r="T319" t="s">
        <v>289</v>
      </c>
      <c r="U319">
        <v>3.2023178229143951E-3</v>
      </c>
      <c r="V319" t="s">
        <v>159</v>
      </c>
    </row>
    <row r="320" spans="9:22" x14ac:dyDescent="0.45">
      <c r="I320" t="s">
        <v>179</v>
      </c>
      <c r="J320" t="s">
        <v>290</v>
      </c>
      <c r="K320">
        <v>0</v>
      </c>
      <c r="L320" t="s">
        <v>159</v>
      </c>
      <c r="N320" t="s">
        <v>222</v>
      </c>
      <c r="O320" t="s">
        <v>290</v>
      </c>
      <c r="P320">
        <v>1.5926738170997868E-2</v>
      </c>
      <c r="Q320" t="s">
        <v>159</v>
      </c>
      <c r="S320" t="s">
        <v>264</v>
      </c>
      <c r="T320" t="s">
        <v>290</v>
      </c>
      <c r="U320">
        <v>1.6538170800938189E-2</v>
      </c>
      <c r="V320" t="s">
        <v>159</v>
      </c>
    </row>
    <row r="321" spans="9:22" x14ac:dyDescent="0.45">
      <c r="I321" t="s">
        <v>179</v>
      </c>
      <c r="J321" t="s">
        <v>165</v>
      </c>
      <c r="K321">
        <v>0</v>
      </c>
      <c r="L321" t="s">
        <v>159</v>
      </c>
      <c r="N321" t="s">
        <v>222</v>
      </c>
      <c r="O321" t="s">
        <v>165</v>
      </c>
      <c r="P321">
        <v>2.5238322696758665E-2</v>
      </c>
      <c r="Q321" t="s">
        <v>159</v>
      </c>
      <c r="S321" t="s">
        <v>264</v>
      </c>
      <c r="T321" t="s">
        <v>165</v>
      </c>
      <c r="U321">
        <v>3.0647793526300607E-2</v>
      </c>
      <c r="V321" t="s">
        <v>159</v>
      </c>
    </row>
    <row r="322" spans="9:22" x14ac:dyDescent="0.45">
      <c r="I322" t="s">
        <v>179</v>
      </c>
      <c r="J322" t="s">
        <v>166</v>
      </c>
      <c r="K322">
        <v>9.9793328355439101E-4</v>
      </c>
      <c r="L322" t="s">
        <v>159</v>
      </c>
      <c r="N322" t="s">
        <v>222</v>
      </c>
      <c r="O322" t="s">
        <v>166</v>
      </c>
      <c r="P322">
        <v>3.8993815069535993E-3</v>
      </c>
      <c r="Q322" t="s">
        <v>159</v>
      </c>
      <c r="S322" t="s">
        <v>264</v>
      </c>
      <c r="T322" t="s">
        <v>166</v>
      </c>
      <c r="U322">
        <v>4.238450527377465E-3</v>
      </c>
      <c r="V322" t="s">
        <v>159</v>
      </c>
    </row>
    <row r="323" spans="9:22" x14ac:dyDescent="0.45">
      <c r="I323" t="s">
        <v>179</v>
      </c>
      <c r="J323" t="s">
        <v>167</v>
      </c>
      <c r="K323">
        <v>4.9033173999817325E-2</v>
      </c>
      <c r="L323" t="s">
        <v>159</v>
      </c>
      <c r="N323" t="s">
        <v>222</v>
      </c>
      <c r="O323" t="s">
        <v>167</v>
      </c>
      <c r="P323">
        <v>4.7119178395407843E-2</v>
      </c>
      <c r="Q323" t="s">
        <v>159</v>
      </c>
      <c r="S323" t="s">
        <v>264</v>
      </c>
      <c r="T323" t="s">
        <v>167</v>
      </c>
      <c r="U323">
        <v>4.3395712919903372E-2</v>
      </c>
      <c r="V323" t="s">
        <v>159</v>
      </c>
    </row>
    <row r="324" spans="9:22" x14ac:dyDescent="0.45">
      <c r="I324" t="s">
        <v>179</v>
      </c>
      <c r="J324" t="s">
        <v>291</v>
      </c>
      <c r="K324">
        <v>0</v>
      </c>
      <c r="L324" t="s">
        <v>159</v>
      </c>
      <c r="N324" t="s">
        <v>222</v>
      </c>
      <c r="O324" t="s">
        <v>291</v>
      </c>
      <c r="P324">
        <v>4.8602448964108584E-3</v>
      </c>
      <c r="Q324" t="s">
        <v>159</v>
      </c>
      <c r="S324" t="s">
        <v>264</v>
      </c>
      <c r="T324" t="s">
        <v>291</v>
      </c>
      <c r="U324">
        <v>4.4376600535362505E-3</v>
      </c>
      <c r="V324" t="s">
        <v>159</v>
      </c>
    </row>
    <row r="325" spans="9:22" x14ac:dyDescent="0.45">
      <c r="I325" t="s">
        <v>179</v>
      </c>
      <c r="J325" t="s">
        <v>292</v>
      </c>
      <c r="K325">
        <v>0</v>
      </c>
      <c r="L325" t="s">
        <v>159</v>
      </c>
      <c r="N325" t="s">
        <v>222</v>
      </c>
      <c r="O325" t="s">
        <v>292</v>
      </c>
      <c r="P325">
        <v>2.1262490734895743E-2</v>
      </c>
      <c r="Q325" t="s">
        <v>159</v>
      </c>
      <c r="S325" t="s">
        <v>264</v>
      </c>
      <c r="T325" t="s">
        <v>292</v>
      </c>
      <c r="U325">
        <v>2.2807271697668937E-2</v>
      </c>
      <c r="V325" t="s">
        <v>159</v>
      </c>
    </row>
    <row r="326" spans="9:22" x14ac:dyDescent="0.45">
      <c r="I326" t="s">
        <v>179</v>
      </c>
      <c r="J326" t="s">
        <v>293</v>
      </c>
      <c r="K326">
        <v>0</v>
      </c>
      <c r="L326" t="s">
        <v>159</v>
      </c>
      <c r="N326" t="s">
        <v>222</v>
      </c>
      <c r="O326" t="s">
        <v>293</v>
      </c>
      <c r="P326">
        <v>2.7051632686806736E-3</v>
      </c>
      <c r="Q326" t="s">
        <v>159</v>
      </c>
      <c r="S326" t="s">
        <v>264</v>
      </c>
      <c r="T326" t="s">
        <v>293</v>
      </c>
      <c r="U326">
        <v>6.0760258773636441E-3</v>
      </c>
      <c r="V326" t="s">
        <v>159</v>
      </c>
    </row>
    <row r="327" spans="9:22" x14ac:dyDescent="0.45">
      <c r="I327" t="s">
        <v>179</v>
      </c>
      <c r="J327" t="s">
        <v>294</v>
      </c>
      <c r="K327">
        <v>8.4295529252034675E-4</v>
      </c>
      <c r="L327" t="s">
        <v>159</v>
      </c>
      <c r="N327" t="s">
        <v>222</v>
      </c>
      <c r="O327" t="s">
        <v>294</v>
      </c>
      <c r="P327">
        <v>5.5935104488143324E-4</v>
      </c>
      <c r="Q327" t="s">
        <v>159</v>
      </c>
      <c r="S327" t="s">
        <v>264</v>
      </c>
      <c r="T327" t="s">
        <v>294</v>
      </c>
      <c r="U327">
        <v>8.1444704239283863E-4</v>
      </c>
      <c r="V327" t="s">
        <v>159</v>
      </c>
    </row>
    <row r="328" spans="9:22" x14ac:dyDescent="0.45">
      <c r="I328" t="s">
        <v>179</v>
      </c>
      <c r="J328" t="s">
        <v>295</v>
      </c>
      <c r="K328">
        <v>1.5449869659917112E-2</v>
      </c>
      <c r="L328" t="s">
        <v>159</v>
      </c>
      <c r="N328" t="s">
        <v>222</v>
      </c>
      <c r="O328" t="s">
        <v>295</v>
      </c>
      <c r="P328">
        <v>6.2549655264963503E-3</v>
      </c>
      <c r="Q328" t="s">
        <v>159</v>
      </c>
      <c r="S328" t="s">
        <v>264</v>
      </c>
      <c r="T328" t="s">
        <v>295</v>
      </c>
      <c r="U328">
        <v>9.3464556657387298E-3</v>
      </c>
      <c r="V328" t="s">
        <v>159</v>
      </c>
    </row>
    <row r="329" spans="9:22" x14ac:dyDescent="0.45">
      <c r="I329" t="s">
        <v>179</v>
      </c>
      <c r="J329" t="s">
        <v>296</v>
      </c>
      <c r="K329">
        <v>0</v>
      </c>
      <c r="L329" t="s">
        <v>159</v>
      </c>
      <c r="N329" t="s">
        <v>222</v>
      </c>
      <c r="O329" t="s">
        <v>296</v>
      </c>
      <c r="P329">
        <v>5.7243376901393371E-4</v>
      </c>
      <c r="Q329" t="s">
        <v>159</v>
      </c>
      <c r="S329" t="s">
        <v>264</v>
      </c>
      <c r="T329" t="s">
        <v>296</v>
      </c>
      <c r="U329">
        <v>1.0281176025001035E-3</v>
      </c>
      <c r="V329" t="s">
        <v>159</v>
      </c>
    </row>
    <row r="330" spans="9:22" x14ac:dyDescent="0.45">
      <c r="I330" t="s">
        <v>179</v>
      </c>
      <c r="J330" t="s">
        <v>297</v>
      </c>
      <c r="K330">
        <v>0</v>
      </c>
      <c r="L330" t="s">
        <v>159</v>
      </c>
      <c r="N330" t="s">
        <v>222</v>
      </c>
      <c r="O330" t="s">
        <v>297</v>
      </c>
      <c r="P330">
        <v>1.8423820891501545E-3</v>
      </c>
      <c r="Q330" t="s">
        <v>159</v>
      </c>
      <c r="S330" t="s">
        <v>264</v>
      </c>
      <c r="T330" t="s">
        <v>297</v>
      </c>
      <c r="U330">
        <v>4.9425334464695703E-3</v>
      </c>
      <c r="V330" t="s">
        <v>159</v>
      </c>
    </row>
    <row r="331" spans="9:22" x14ac:dyDescent="0.45">
      <c r="I331" t="s">
        <v>179</v>
      </c>
      <c r="J331" t="s">
        <v>298</v>
      </c>
      <c r="K331">
        <v>1.6156960442171638E-2</v>
      </c>
      <c r="L331" t="s">
        <v>159</v>
      </c>
      <c r="N331" t="s">
        <v>222</v>
      </c>
      <c r="O331" t="s">
        <v>298</v>
      </c>
      <c r="P331">
        <v>8.7982475994454454E-2</v>
      </c>
      <c r="Q331" t="s">
        <v>159</v>
      </c>
      <c r="S331" t="s">
        <v>264</v>
      </c>
      <c r="T331" t="s">
        <v>298</v>
      </c>
      <c r="U331">
        <v>0.10597268280657235</v>
      </c>
      <c r="V331" t="s">
        <v>159</v>
      </c>
    </row>
    <row r="332" spans="9:22" x14ac:dyDescent="0.45">
      <c r="I332" t="s">
        <v>179</v>
      </c>
      <c r="J332" t="s">
        <v>299</v>
      </c>
      <c r="K332">
        <v>2.7798373341303327E-2</v>
      </c>
      <c r="L332" t="s">
        <v>159</v>
      </c>
      <c r="N332" t="s">
        <v>222</v>
      </c>
      <c r="O332" t="s">
        <v>299</v>
      </c>
      <c r="P332">
        <v>1.2081638026410343E-2</v>
      </c>
      <c r="Q332" t="s">
        <v>159</v>
      </c>
      <c r="S332" t="s">
        <v>264</v>
      </c>
      <c r="T332" t="s">
        <v>299</v>
      </c>
      <c r="U332">
        <v>1.4879039271735546E-2</v>
      </c>
      <c r="V332" t="s">
        <v>159</v>
      </c>
    </row>
    <row r="333" spans="9:22" x14ac:dyDescent="0.45">
      <c r="I333" t="s">
        <v>179</v>
      </c>
      <c r="J333" t="s">
        <v>300</v>
      </c>
      <c r="K333">
        <v>0.3553104551986685</v>
      </c>
      <c r="L333" t="s">
        <v>159</v>
      </c>
      <c r="N333" t="s">
        <v>222</v>
      </c>
      <c r="O333" t="s">
        <v>300</v>
      </c>
      <c r="P333">
        <v>0.18204388918302647</v>
      </c>
      <c r="Q333" t="s">
        <v>159</v>
      </c>
      <c r="S333" t="s">
        <v>264</v>
      </c>
      <c r="T333" t="s">
        <v>300</v>
      </c>
      <c r="U333">
        <v>0.14926192641400429</v>
      </c>
      <c r="V333" t="s">
        <v>159</v>
      </c>
    </row>
    <row r="334" spans="9:22" x14ac:dyDescent="0.45">
      <c r="I334" t="s">
        <v>179</v>
      </c>
      <c r="J334" t="s">
        <v>301</v>
      </c>
      <c r="K334">
        <v>1.7890636998770238E-2</v>
      </c>
      <c r="L334" t="s">
        <v>159</v>
      </c>
      <c r="N334" t="s">
        <v>222</v>
      </c>
      <c r="O334" t="s">
        <v>301</v>
      </c>
      <c r="P334">
        <v>1.9340417031996373E-2</v>
      </c>
      <c r="Q334" t="s">
        <v>159</v>
      </c>
      <c r="S334" t="s">
        <v>264</v>
      </c>
      <c r="T334" t="s">
        <v>301</v>
      </c>
      <c r="U334">
        <v>1.5787517842601722E-2</v>
      </c>
      <c r="V334" t="s">
        <v>159</v>
      </c>
    </row>
    <row r="335" spans="9:22" x14ac:dyDescent="0.45">
      <c r="I335" t="s">
        <v>179</v>
      </c>
      <c r="J335" t="s">
        <v>302</v>
      </c>
      <c r="K335">
        <v>2.9352904902604296E-3</v>
      </c>
      <c r="L335" t="s">
        <v>159</v>
      </c>
      <c r="N335" t="s">
        <v>222</v>
      </c>
      <c r="O335" t="s">
        <v>302</v>
      </c>
      <c r="P335">
        <v>7.6523055995335515E-2</v>
      </c>
      <c r="Q335" t="s">
        <v>159</v>
      </c>
      <c r="S335" t="s">
        <v>264</v>
      </c>
      <c r="T335" t="s">
        <v>302</v>
      </c>
      <c r="U335">
        <v>7.6385462466482409E-2</v>
      </c>
      <c r="V335" t="s">
        <v>159</v>
      </c>
    </row>
    <row r="336" spans="9:22" x14ac:dyDescent="0.45">
      <c r="I336" t="s">
        <v>180</v>
      </c>
      <c r="J336" t="s">
        <v>158</v>
      </c>
      <c r="K336">
        <v>5.4395696237115312E-3</v>
      </c>
      <c r="L336" t="s">
        <v>159</v>
      </c>
      <c r="N336" t="s">
        <v>223</v>
      </c>
      <c r="O336" t="s">
        <v>158</v>
      </c>
      <c r="P336">
        <v>0.1064411421057498</v>
      </c>
      <c r="Q336" t="s">
        <v>159</v>
      </c>
      <c r="S336" t="s">
        <v>265</v>
      </c>
      <c r="T336" t="s">
        <v>158</v>
      </c>
      <c r="U336">
        <v>0.12335566162731601</v>
      </c>
      <c r="V336" t="s">
        <v>159</v>
      </c>
    </row>
    <row r="337" spans="9:22" x14ac:dyDescent="0.45">
      <c r="I337" t="s">
        <v>180</v>
      </c>
      <c r="J337" t="s">
        <v>160</v>
      </c>
      <c r="K337">
        <v>2.4069857322992664E-2</v>
      </c>
      <c r="L337" t="s">
        <v>159</v>
      </c>
      <c r="N337" t="s">
        <v>223</v>
      </c>
      <c r="O337" t="s">
        <v>160</v>
      </c>
      <c r="P337">
        <v>1.5849593403506501E-2</v>
      </c>
      <c r="Q337" t="s">
        <v>159</v>
      </c>
      <c r="S337" t="s">
        <v>265</v>
      </c>
      <c r="T337" t="s">
        <v>160</v>
      </c>
      <c r="U337">
        <v>1.6915987881078769E-2</v>
      </c>
      <c r="V337" t="s">
        <v>159</v>
      </c>
    </row>
    <row r="338" spans="9:22" x14ac:dyDescent="0.45">
      <c r="I338" t="s">
        <v>180</v>
      </c>
      <c r="J338" t="s">
        <v>161</v>
      </c>
      <c r="K338">
        <v>0.41211625539137425</v>
      </c>
      <c r="L338" t="s">
        <v>159</v>
      </c>
      <c r="N338" t="s">
        <v>223</v>
      </c>
      <c r="O338" t="s">
        <v>161</v>
      </c>
      <c r="P338">
        <v>0.20872769924195581</v>
      </c>
      <c r="Q338" t="s">
        <v>159</v>
      </c>
      <c r="S338" t="s">
        <v>265</v>
      </c>
      <c r="T338" t="s">
        <v>161</v>
      </c>
      <c r="U338">
        <v>0.17519249287905189</v>
      </c>
      <c r="V338" t="s">
        <v>159</v>
      </c>
    </row>
    <row r="339" spans="9:22" x14ac:dyDescent="0.45">
      <c r="I339" t="s">
        <v>180</v>
      </c>
      <c r="J339" t="s">
        <v>287</v>
      </c>
      <c r="K339">
        <v>2.0024156280375592E-2</v>
      </c>
      <c r="L339" t="s">
        <v>159</v>
      </c>
      <c r="N339" t="s">
        <v>223</v>
      </c>
      <c r="O339" t="s">
        <v>287</v>
      </c>
      <c r="P339">
        <v>2.0960906856800736E-2</v>
      </c>
      <c r="Q339" t="s">
        <v>159</v>
      </c>
      <c r="S339" t="s">
        <v>265</v>
      </c>
      <c r="T339" t="s">
        <v>287</v>
      </c>
      <c r="U339">
        <v>1.9091079460387066E-2</v>
      </c>
      <c r="V339" t="s">
        <v>159</v>
      </c>
    </row>
    <row r="340" spans="9:22" x14ac:dyDescent="0.45">
      <c r="I340" t="s">
        <v>180</v>
      </c>
      <c r="J340" t="s">
        <v>288</v>
      </c>
      <c r="K340">
        <v>6.8037268673095111E-3</v>
      </c>
      <c r="L340" t="s">
        <v>159</v>
      </c>
      <c r="N340" t="s">
        <v>223</v>
      </c>
      <c r="O340" t="s">
        <v>288</v>
      </c>
      <c r="P340">
        <v>8.7064712069963052E-2</v>
      </c>
      <c r="Q340" t="s">
        <v>159</v>
      </c>
      <c r="S340" t="s">
        <v>265</v>
      </c>
      <c r="T340" t="s">
        <v>288</v>
      </c>
      <c r="U340">
        <v>9.2370306459543819E-2</v>
      </c>
      <c r="V340" t="s">
        <v>159</v>
      </c>
    </row>
    <row r="341" spans="9:22" x14ac:dyDescent="0.45">
      <c r="I341" t="s">
        <v>180</v>
      </c>
      <c r="J341" t="s">
        <v>162</v>
      </c>
      <c r="K341">
        <v>0</v>
      </c>
      <c r="L341" t="s">
        <v>159</v>
      </c>
      <c r="N341" t="s">
        <v>223</v>
      </c>
      <c r="O341" t="s">
        <v>162</v>
      </c>
      <c r="P341">
        <v>2.549241159862678E-2</v>
      </c>
      <c r="Q341" t="s">
        <v>159</v>
      </c>
      <c r="S341" t="s">
        <v>265</v>
      </c>
      <c r="T341" t="s">
        <v>162</v>
      </c>
      <c r="U341">
        <v>2.673620602496956E-2</v>
      </c>
      <c r="V341" t="s">
        <v>159</v>
      </c>
    </row>
    <row r="342" spans="9:22" x14ac:dyDescent="0.45">
      <c r="I342" t="s">
        <v>180</v>
      </c>
      <c r="J342" t="s">
        <v>163</v>
      </c>
      <c r="K342">
        <v>0</v>
      </c>
      <c r="L342" t="s">
        <v>159</v>
      </c>
      <c r="N342" t="s">
        <v>223</v>
      </c>
      <c r="O342" t="s">
        <v>163</v>
      </c>
      <c r="P342">
        <v>3.449610807396902E-3</v>
      </c>
      <c r="Q342" t="s">
        <v>159</v>
      </c>
      <c r="S342" t="s">
        <v>265</v>
      </c>
      <c r="T342" t="s">
        <v>163</v>
      </c>
      <c r="U342">
        <v>3.6812037355546112E-3</v>
      </c>
      <c r="V342" t="s">
        <v>159</v>
      </c>
    </row>
    <row r="343" spans="9:22" x14ac:dyDescent="0.45">
      <c r="I343" t="s">
        <v>180</v>
      </c>
      <c r="J343" t="s">
        <v>164</v>
      </c>
      <c r="K343">
        <v>4.4778206324899865E-2</v>
      </c>
      <c r="L343" t="s">
        <v>159</v>
      </c>
      <c r="N343" t="s">
        <v>223</v>
      </c>
      <c r="O343" t="s">
        <v>164</v>
      </c>
      <c r="P343">
        <v>3.6374529383839997E-2</v>
      </c>
      <c r="Q343" t="s">
        <v>159</v>
      </c>
      <c r="S343" t="s">
        <v>265</v>
      </c>
      <c r="T343" t="s">
        <v>164</v>
      </c>
      <c r="U343">
        <v>3.4347442592528608E-2</v>
      </c>
      <c r="V343" t="s">
        <v>159</v>
      </c>
    </row>
    <row r="344" spans="9:22" x14ac:dyDescent="0.45">
      <c r="I344" t="s">
        <v>180</v>
      </c>
      <c r="J344" t="s">
        <v>289</v>
      </c>
      <c r="K344">
        <v>0</v>
      </c>
      <c r="L344" t="s">
        <v>159</v>
      </c>
      <c r="N344" t="s">
        <v>223</v>
      </c>
      <c r="O344" t="s">
        <v>289</v>
      </c>
      <c r="P344">
        <v>3.3595577914423917E-3</v>
      </c>
      <c r="Q344" t="s">
        <v>159</v>
      </c>
      <c r="S344" t="s">
        <v>265</v>
      </c>
      <c r="T344" t="s">
        <v>289</v>
      </c>
      <c r="U344">
        <v>3.5913689765645464E-3</v>
      </c>
      <c r="V344" t="s">
        <v>159</v>
      </c>
    </row>
    <row r="345" spans="9:22" x14ac:dyDescent="0.45">
      <c r="I345" t="s">
        <v>180</v>
      </c>
      <c r="J345" t="s">
        <v>290</v>
      </c>
      <c r="K345">
        <v>0</v>
      </c>
      <c r="L345" t="s">
        <v>159</v>
      </c>
      <c r="N345" t="s">
        <v>223</v>
      </c>
      <c r="O345" t="s">
        <v>290</v>
      </c>
      <c r="P345">
        <v>1.7794906570668387E-2</v>
      </c>
      <c r="Q345" t="s">
        <v>159</v>
      </c>
      <c r="S345" t="s">
        <v>265</v>
      </c>
      <c r="T345" t="s">
        <v>290</v>
      </c>
      <c r="U345">
        <v>1.7770584009898876E-2</v>
      </c>
      <c r="V345" t="s">
        <v>159</v>
      </c>
    </row>
    <row r="346" spans="9:22" x14ac:dyDescent="0.45">
      <c r="I346" t="s">
        <v>180</v>
      </c>
      <c r="J346" t="s">
        <v>165</v>
      </c>
      <c r="K346">
        <v>0</v>
      </c>
      <c r="L346" t="s">
        <v>159</v>
      </c>
      <c r="N346" t="s">
        <v>223</v>
      </c>
      <c r="O346" t="s">
        <v>165</v>
      </c>
      <c r="P346">
        <v>2.9509787276424431E-2</v>
      </c>
      <c r="Q346" t="s">
        <v>159</v>
      </c>
      <c r="S346" t="s">
        <v>265</v>
      </c>
      <c r="T346" t="s">
        <v>165</v>
      </c>
      <c r="U346">
        <v>3.0178254072819738E-2</v>
      </c>
      <c r="V346" t="s">
        <v>159</v>
      </c>
    </row>
    <row r="347" spans="9:22" x14ac:dyDescent="0.45">
      <c r="I347" t="s">
        <v>180</v>
      </c>
      <c r="J347" t="s">
        <v>166</v>
      </c>
      <c r="K347">
        <v>7.606360416414188E-4</v>
      </c>
      <c r="L347" t="s">
        <v>159</v>
      </c>
      <c r="N347" t="s">
        <v>223</v>
      </c>
      <c r="O347" t="s">
        <v>166</v>
      </c>
      <c r="P347">
        <v>4.1271703000601255E-3</v>
      </c>
      <c r="Q347" t="s">
        <v>159</v>
      </c>
      <c r="S347" t="s">
        <v>265</v>
      </c>
      <c r="T347" t="s">
        <v>166</v>
      </c>
      <c r="U347">
        <v>4.321609715041295E-3</v>
      </c>
      <c r="V347" t="s">
        <v>159</v>
      </c>
    </row>
    <row r="348" spans="9:22" x14ac:dyDescent="0.45">
      <c r="I348" t="s">
        <v>180</v>
      </c>
      <c r="J348" t="s">
        <v>167</v>
      </c>
      <c r="K348">
        <v>5.1586466612556413E-2</v>
      </c>
      <c r="L348" t="s">
        <v>159</v>
      </c>
      <c r="N348" t="s">
        <v>223</v>
      </c>
      <c r="O348" t="s">
        <v>167</v>
      </c>
      <c r="P348">
        <v>4.4082393364531437E-2</v>
      </c>
      <c r="Q348" t="s">
        <v>159</v>
      </c>
      <c r="S348" t="s">
        <v>265</v>
      </c>
      <c r="T348" t="s">
        <v>167</v>
      </c>
      <c r="U348">
        <v>4.4678301512341943E-2</v>
      </c>
      <c r="V348" t="s">
        <v>159</v>
      </c>
    </row>
    <row r="349" spans="9:22" x14ac:dyDescent="0.45">
      <c r="I349" t="s">
        <v>180</v>
      </c>
      <c r="J349" t="s">
        <v>291</v>
      </c>
      <c r="K349">
        <v>0</v>
      </c>
      <c r="L349" t="s">
        <v>159</v>
      </c>
      <c r="N349" t="s">
        <v>223</v>
      </c>
      <c r="O349" t="s">
        <v>291</v>
      </c>
      <c r="P349">
        <v>4.3430442051470113E-3</v>
      </c>
      <c r="Q349" t="s">
        <v>159</v>
      </c>
      <c r="S349" t="s">
        <v>265</v>
      </c>
      <c r="T349" t="s">
        <v>291</v>
      </c>
      <c r="U349">
        <v>4.493600164184733E-3</v>
      </c>
      <c r="V349" t="s">
        <v>159</v>
      </c>
    </row>
    <row r="350" spans="9:22" x14ac:dyDescent="0.45">
      <c r="I350" t="s">
        <v>180</v>
      </c>
      <c r="J350" t="s">
        <v>292</v>
      </c>
      <c r="K350">
        <v>0</v>
      </c>
      <c r="L350" t="s">
        <v>159</v>
      </c>
      <c r="N350" t="s">
        <v>223</v>
      </c>
      <c r="O350" t="s">
        <v>292</v>
      </c>
      <c r="P350">
        <v>2.26789192913971E-2</v>
      </c>
      <c r="Q350" t="s">
        <v>159</v>
      </c>
      <c r="S350" t="s">
        <v>265</v>
      </c>
      <c r="T350" t="s">
        <v>292</v>
      </c>
      <c r="U350">
        <v>2.22473345852441E-2</v>
      </c>
      <c r="V350" t="s">
        <v>159</v>
      </c>
    </row>
    <row r="351" spans="9:22" x14ac:dyDescent="0.45">
      <c r="I351" t="s">
        <v>180</v>
      </c>
      <c r="J351" t="s">
        <v>293</v>
      </c>
      <c r="K351">
        <v>0</v>
      </c>
      <c r="L351" t="s">
        <v>159</v>
      </c>
      <c r="N351" t="s">
        <v>223</v>
      </c>
      <c r="O351" t="s">
        <v>293</v>
      </c>
      <c r="P351">
        <v>3.3461984339092053E-3</v>
      </c>
      <c r="Q351" t="s">
        <v>159</v>
      </c>
      <c r="S351" t="s">
        <v>265</v>
      </c>
      <c r="T351" t="s">
        <v>293</v>
      </c>
      <c r="U351">
        <v>5.04971141770795E-3</v>
      </c>
      <c r="V351" t="s">
        <v>159</v>
      </c>
    </row>
    <row r="352" spans="9:22" x14ac:dyDescent="0.45">
      <c r="I352" t="s">
        <v>180</v>
      </c>
      <c r="J352" t="s">
        <v>294</v>
      </c>
      <c r="K352">
        <v>9.5531208961882499E-4</v>
      </c>
      <c r="L352" t="s">
        <v>159</v>
      </c>
      <c r="N352" t="s">
        <v>223</v>
      </c>
      <c r="O352" t="s">
        <v>294</v>
      </c>
      <c r="P352">
        <v>5.4842921370223334E-4</v>
      </c>
      <c r="Q352" t="s">
        <v>159</v>
      </c>
      <c r="S352" t="s">
        <v>265</v>
      </c>
      <c r="T352" t="s">
        <v>294</v>
      </c>
      <c r="U352">
        <v>7.0802274493349552E-4</v>
      </c>
      <c r="V352" t="s">
        <v>159</v>
      </c>
    </row>
    <row r="353" spans="9:22" x14ac:dyDescent="0.45">
      <c r="I353" t="s">
        <v>180</v>
      </c>
      <c r="J353" t="s">
        <v>295</v>
      </c>
      <c r="K353">
        <v>1.5982398242623656E-2</v>
      </c>
      <c r="L353" t="s">
        <v>159</v>
      </c>
      <c r="N353" t="s">
        <v>223</v>
      </c>
      <c r="O353" t="s">
        <v>295</v>
      </c>
      <c r="P353">
        <v>7.3222163543691394E-3</v>
      </c>
      <c r="Q353" t="s">
        <v>159</v>
      </c>
      <c r="S353" t="s">
        <v>265</v>
      </c>
      <c r="T353" t="s">
        <v>295</v>
      </c>
      <c r="U353">
        <v>8.8439553263498019E-3</v>
      </c>
      <c r="V353" t="s">
        <v>159</v>
      </c>
    </row>
    <row r="354" spans="9:22" x14ac:dyDescent="0.45">
      <c r="I354" t="s">
        <v>180</v>
      </c>
      <c r="J354" t="s">
        <v>296</v>
      </c>
      <c r="K354">
        <v>2.1608056074377336E-7</v>
      </c>
      <c r="L354" t="s">
        <v>159</v>
      </c>
      <c r="N354" t="s">
        <v>223</v>
      </c>
      <c r="O354" t="s">
        <v>296</v>
      </c>
      <c r="P354">
        <v>4.4170895095908157E-4</v>
      </c>
      <c r="Q354" t="s">
        <v>159</v>
      </c>
      <c r="S354" t="s">
        <v>265</v>
      </c>
      <c r="T354" t="s">
        <v>296</v>
      </c>
      <c r="U354">
        <v>9.5129471780360181E-4</v>
      </c>
      <c r="V354" t="s">
        <v>159</v>
      </c>
    </row>
    <row r="355" spans="9:22" x14ac:dyDescent="0.45">
      <c r="I355" t="s">
        <v>180</v>
      </c>
      <c r="J355" t="s">
        <v>297</v>
      </c>
      <c r="K355">
        <v>0</v>
      </c>
      <c r="L355" t="s">
        <v>159</v>
      </c>
      <c r="N355" t="s">
        <v>223</v>
      </c>
      <c r="O355" t="s">
        <v>297</v>
      </c>
      <c r="P355">
        <v>1.4514028776802456E-3</v>
      </c>
      <c r="Q355" t="s">
        <v>159</v>
      </c>
      <c r="S355" t="s">
        <v>265</v>
      </c>
      <c r="T355" t="s">
        <v>297</v>
      </c>
      <c r="U355">
        <v>4.4988556059295604E-3</v>
      </c>
      <c r="V355" t="s">
        <v>159</v>
      </c>
    </row>
    <row r="356" spans="9:22" x14ac:dyDescent="0.45">
      <c r="I356" t="s">
        <v>180</v>
      </c>
      <c r="J356" t="s">
        <v>298</v>
      </c>
      <c r="K356">
        <v>1.3327779368198765E-2</v>
      </c>
      <c r="L356" t="s">
        <v>159</v>
      </c>
      <c r="N356" t="s">
        <v>223</v>
      </c>
      <c r="O356" t="s">
        <v>298</v>
      </c>
      <c r="P356">
        <v>8.4225441807560669E-2</v>
      </c>
      <c r="Q356" t="s">
        <v>159</v>
      </c>
      <c r="S356" t="s">
        <v>265</v>
      </c>
      <c r="T356" t="s">
        <v>298</v>
      </c>
      <c r="U356">
        <v>0.10232943307268581</v>
      </c>
      <c r="V356" t="s">
        <v>159</v>
      </c>
    </row>
    <row r="357" spans="9:22" x14ac:dyDescent="0.45">
      <c r="I357" t="s">
        <v>180</v>
      </c>
      <c r="J357" t="s">
        <v>299</v>
      </c>
      <c r="K357">
        <v>2.6197941947429065E-2</v>
      </c>
      <c r="L357" t="s">
        <v>159</v>
      </c>
      <c r="N357" t="s">
        <v>223</v>
      </c>
      <c r="O357" t="s">
        <v>299</v>
      </c>
      <c r="P357">
        <v>1.2056603557339909E-2</v>
      </c>
      <c r="Q357" t="s">
        <v>159</v>
      </c>
      <c r="S357" t="s">
        <v>265</v>
      </c>
      <c r="T357" t="s">
        <v>299</v>
      </c>
      <c r="U357">
        <v>1.447917265433917E-2</v>
      </c>
      <c r="V357" t="s">
        <v>159</v>
      </c>
    </row>
    <row r="358" spans="9:22" x14ac:dyDescent="0.45">
      <c r="I358" t="s">
        <v>180</v>
      </c>
      <c r="J358" t="s">
        <v>300</v>
      </c>
      <c r="K358">
        <v>0.35425137374245391</v>
      </c>
      <c r="L358" t="s">
        <v>159</v>
      </c>
      <c r="N358" t="s">
        <v>223</v>
      </c>
      <c r="O358" t="s">
        <v>300</v>
      </c>
      <c r="P358">
        <v>0.17227861014000567</v>
      </c>
      <c r="Q358" t="s">
        <v>159</v>
      </c>
      <c r="S358" t="s">
        <v>265</v>
      </c>
      <c r="T358" t="s">
        <v>300</v>
      </c>
      <c r="U358">
        <v>0.15111026507936925</v>
      </c>
      <c r="V358" t="s">
        <v>159</v>
      </c>
    </row>
    <row r="359" spans="9:22" x14ac:dyDescent="0.45">
      <c r="I359" t="s">
        <v>180</v>
      </c>
      <c r="J359" t="s">
        <v>301</v>
      </c>
      <c r="K359">
        <v>2.0356905454849378E-2</v>
      </c>
      <c r="L359" t="s">
        <v>159</v>
      </c>
      <c r="N359" t="s">
        <v>223</v>
      </c>
      <c r="O359" t="s">
        <v>301</v>
      </c>
      <c r="P359">
        <v>1.7176152926271952E-2</v>
      </c>
      <c r="Q359" t="s">
        <v>159</v>
      </c>
      <c r="S359" t="s">
        <v>265</v>
      </c>
      <c r="T359" t="s">
        <v>301</v>
      </c>
      <c r="U359">
        <v>1.626910430510755E-2</v>
      </c>
      <c r="V359" t="s">
        <v>159</v>
      </c>
    </row>
    <row r="360" spans="9:22" x14ac:dyDescent="0.45">
      <c r="I360" t="s">
        <v>180</v>
      </c>
      <c r="J360" t="s">
        <v>302</v>
      </c>
      <c r="K360">
        <v>3.34919860940031E-3</v>
      </c>
      <c r="L360" t="s">
        <v>159</v>
      </c>
      <c r="N360" t="s">
        <v>223</v>
      </c>
      <c r="O360" t="s">
        <v>302</v>
      </c>
      <c r="P360">
        <v>7.0896851470692773E-2</v>
      </c>
      <c r="Q360" t="s">
        <v>159</v>
      </c>
      <c r="S360" t="s">
        <v>265</v>
      </c>
      <c r="T360" t="s">
        <v>302</v>
      </c>
      <c r="U360">
        <v>7.6788751379245263E-2</v>
      </c>
      <c r="V360" t="s">
        <v>159</v>
      </c>
    </row>
    <row r="361" spans="9:22" x14ac:dyDescent="0.45">
      <c r="I361" t="s">
        <v>181</v>
      </c>
      <c r="J361" t="s">
        <v>158</v>
      </c>
      <c r="K361">
        <v>1.3598993078403381E-2</v>
      </c>
      <c r="L361" t="s">
        <v>159</v>
      </c>
      <c r="N361" t="s">
        <v>224</v>
      </c>
      <c r="O361" t="s">
        <v>158</v>
      </c>
      <c r="P361">
        <v>9.9962701258671849E-2</v>
      </c>
      <c r="Q361" t="s">
        <v>159</v>
      </c>
      <c r="S361" t="s">
        <v>266</v>
      </c>
      <c r="T361" t="s">
        <v>158</v>
      </c>
      <c r="U361">
        <v>0.11174924479647989</v>
      </c>
      <c r="V361" t="s">
        <v>159</v>
      </c>
    </row>
    <row r="362" spans="9:22" x14ac:dyDescent="0.45">
      <c r="I362" t="s">
        <v>181</v>
      </c>
      <c r="J362" t="s">
        <v>160</v>
      </c>
      <c r="K362">
        <v>2.9345539834860407E-2</v>
      </c>
      <c r="L362" t="s">
        <v>159</v>
      </c>
      <c r="N362" t="s">
        <v>224</v>
      </c>
      <c r="O362" t="s">
        <v>160</v>
      </c>
      <c r="P362">
        <v>1.3812137456823879E-2</v>
      </c>
      <c r="Q362" t="s">
        <v>159</v>
      </c>
      <c r="S362" t="s">
        <v>266</v>
      </c>
      <c r="T362" t="s">
        <v>160</v>
      </c>
      <c r="U362">
        <v>1.5348016523301783E-2</v>
      </c>
      <c r="V362" t="s">
        <v>159</v>
      </c>
    </row>
    <row r="363" spans="9:22" x14ac:dyDescent="0.45">
      <c r="I363" t="s">
        <v>181</v>
      </c>
      <c r="J363" t="s">
        <v>161</v>
      </c>
      <c r="K363">
        <v>0.40559552671383686</v>
      </c>
      <c r="L363" t="s">
        <v>159</v>
      </c>
      <c r="N363" t="s">
        <v>224</v>
      </c>
      <c r="O363" t="s">
        <v>161</v>
      </c>
      <c r="P363">
        <v>0.1624829754053726</v>
      </c>
      <c r="Q363" t="s">
        <v>159</v>
      </c>
      <c r="S363" t="s">
        <v>266</v>
      </c>
      <c r="T363" t="s">
        <v>161</v>
      </c>
      <c r="U363">
        <v>0.19213218896818529</v>
      </c>
      <c r="V363" t="s">
        <v>159</v>
      </c>
    </row>
    <row r="364" spans="9:22" x14ac:dyDescent="0.45">
      <c r="I364" t="s">
        <v>181</v>
      </c>
      <c r="J364" t="s">
        <v>287</v>
      </c>
      <c r="K364">
        <v>1.3174450393203221E-2</v>
      </c>
      <c r="L364" t="s">
        <v>159</v>
      </c>
      <c r="N364" t="s">
        <v>224</v>
      </c>
      <c r="O364" t="s">
        <v>287</v>
      </c>
      <c r="P364">
        <v>2.7273829075931032E-2</v>
      </c>
      <c r="Q364" t="s">
        <v>159</v>
      </c>
      <c r="S364" t="s">
        <v>266</v>
      </c>
      <c r="T364" t="s">
        <v>287</v>
      </c>
      <c r="U364">
        <v>2.2216837375863292E-2</v>
      </c>
      <c r="V364" t="s">
        <v>159</v>
      </c>
    </row>
    <row r="365" spans="9:22" x14ac:dyDescent="0.45">
      <c r="I365" t="s">
        <v>181</v>
      </c>
      <c r="J365" t="s">
        <v>288</v>
      </c>
      <c r="K365">
        <v>3.3940665624020166E-5</v>
      </c>
      <c r="L365" t="s">
        <v>159</v>
      </c>
      <c r="N365" t="s">
        <v>224</v>
      </c>
      <c r="O365" t="s">
        <v>288</v>
      </c>
      <c r="P365">
        <v>0.10037488952954099</v>
      </c>
      <c r="Q365" t="s">
        <v>159</v>
      </c>
      <c r="S365" t="s">
        <v>266</v>
      </c>
      <c r="T365" t="s">
        <v>288</v>
      </c>
      <c r="U365">
        <v>9.096563974719743E-2</v>
      </c>
      <c r="V365" t="s">
        <v>159</v>
      </c>
    </row>
    <row r="366" spans="9:22" x14ac:dyDescent="0.45">
      <c r="I366" t="s">
        <v>181</v>
      </c>
      <c r="J366" t="s">
        <v>162</v>
      </c>
      <c r="K366">
        <v>0</v>
      </c>
      <c r="L366" t="s">
        <v>159</v>
      </c>
      <c r="N366" t="s">
        <v>224</v>
      </c>
      <c r="O366" t="s">
        <v>162</v>
      </c>
      <c r="P366">
        <v>2.2368722801210231E-2</v>
      </c>
      <c r="Q366" t="s">
        <v>159</v>
      </c>
      <c r="S366" t="s">
        <v>266</v>
      </c>
      <c r="T366" t="s">
        <v>162</v>
      </c>
      <c r="U366">
        <v>2.1208585174235951E-2</v>
      </c>
      <c r="V366" t="s">
        <v>159</v>
      </c>
    </row>
    <row r="367" spans="9:22" x14ac:dyDescent="0.45">
      <c r="I367" t="s">
        <v>181</v>
      </c>
      <c r="J367" t="s">
        <v>163</v>
      </c>
      <c r="K367">
        <v>3.9428539551525479E-4</v>
      </c>
      <c r="L367" t="s">
        <v>159</v>
      </c>
      <c r="N367" t="s">
        <v>224</v>
      </c>
      <c r="O367" t="s">
        <v>163</v>
      </c>
      <c r="P367">
        <v>3.2503670910292129E-3</v>
      </c>
      <c r="Q367" t="s">
        <v>159</v>
      </c>
      <c r="S367" t="s">
        <v>266</v>
      </c>
      <c r="T367" t="s">
        <v>163</v>
      </c>
      <c r="U367">
        <v>2.9800274661180479E-3</v>
      </c>
      <c r="V367" t="s">
        <v>159</v>
      </c>
    </row>
    <row r="368" spans="9:22" x14ac:dyDescent="0.45">
      <c r="I368" t="s">
        <v>181</v>
      </c>
      <c r="J368" t="s">
        <v>164</v>
      </c>
      <c r="K368">
        <v>3.6148078412745518E-2</v>
      </c>
      <c r="L368" t="s">
        <v>159</v>
      </c>
      <c r="N368" t="s">
        <v>224</v>
      </c>
      <c r="O368" t="s">
        <v>164</v>
      </c>
      <c r="P368">
        <v>2.587256603132617E-2</v>
      </c>
      <c r="Q368" t="s">
        <v>159</v>
      </c>
      <c r="S368" t="s">
        <v>266</v>
      </c>
      <c r="T368" t="s">
        <v>164</v>
      </c>
      <c r="U368">
        <v>3.1197853258582754E-2</v>
      </c>
      <c r="V368" t="s">
        <v>159</v>
      </c>
    </row>
    <row r="369" spans="9:22" x14ac:dyDescent="0.45">
      <c r="I369" t="s">
        <v>181</v>
      </c>
      <c r="J369" t="s">
        <v>289</v>
      </c>
      <c r="K369">
        <v>0</v>
      </c>
      <c r="L369" t="s">
        <v>159</v>
      </c>
      <c r="N369" t="s">
        <v>224</v>
      </c>
      <c r="O369" t="s">
        <v>289</v>
      </c>
      <c r="P369">
        <v>4.2586953299754678E-3</v>
      </c>
      <c r="Q369" t="s">
        <v>159</v>
      </c>
      <c r="S369" t="s">
        <v>266</v>
      </c>
      <c r="T369" t="s">
        <v>289</v>
      </c>
      <c r="U369">
        <v>3.4258674446976788E-3</v>
      </c>
      <c r="V369" t="s">
        <v>159</v>
      </c>
    </row>
    <row r="370" spans="9:22" x14ac:dyDescent="0.45">
      <c r="I370" t="s">
        <v>181</v>
      </c>
      <c r="J370" t="s">
        <v>290</v>
      </c>
      <c r="K370">
        <v>0</v>
      </c>
      <c r="L370" t="s">
        <v>159</v>
      </c>
      <c r="N370" t="s">
        <v>224</v>
      </c>
      <c r="O370" t="s">
        <v>290</v>
      </c>
      <c r="P370">
        <v>1.3142894309017425E-2</v>
      </c>
      <c r="Q370" t="s">
        <v>159</v>
      </c>
      <c r="S370" t="s">
        <v>266</v>
      </c>
      <c r="T370" t="s">
        <v>290</v>
      </c>
      <c r="U370">
        <v>1.6037718323212297E-2</v>
      </c>
      <c r="V370" t="s">
        <v>159</v>
      </c>
    </row>
    <row r="371" spans="9:22" x14ac:dyDescent="0.45">
      <c r="I371" t="s">
        <v>181</v>
      </c>
      <c r="J371" t="s">
        <v>165</v>
      </c>
      <c r="K371">
        <v>0</v>
      </c>
      <c r="L371" t="s">
        <v>159</v>
      </c>
      <c r="N371" t="s">
        <v>224</v>
      </c>
      <c r="O371" t="s">
        <v>165</v>
      </c>
      <c r="P371">
        <v>2.9017925434565529E-2</v>
      </c>
      <c r="Q371" t="s">
        <v>159</v>
      </c>
      <c r="S371" t="s">
        <v>266</v>
      </c>
      <c r="T371" t="s">
        <v>165</v>
      </c>
      <c r="U371">
        <v>2.6635906480984125E-2</v>
      </c>
      <c r="V371" t="s">
        <v>159</v>
      </c>
    </row>
    <row r="372" spans="9:22" x14ac:dyDescent="0.45">
      <c r="I372" t="s">
        <v>181</v>
      </c>
      <c r="J372" t="s">
        <v>166</v>
      </c>
      <c r="K372">
        <v>3.8523333054247101E-3</v>
      </c>
      <c r="L372" t="s">
        <v>159</v>
      </c>
      <c r="N372" t="s">
        <v>224</v>
      </c>
      <c r="O372" t="s">
        <v>166</v>
      </c>
      <c r="P372">
        <v>4.8236291054847046E-3</v>
      </c>
      <c r="Q372" t="s">
        <v>159</v>
      </c>
      <c r="S372" t="s">
        <v>266</v>
      </c>
      <c r="T372" t="s">
        <v>166</v>
      </c>
      <c r="U372">
        <v>4.1048878946181805E-3</v>
      </c>
      <c r="V372" t="s">
        <v>159</v>
      </c>
    </row>
    <row r="373" spans="9:22" x14ac:dyDescent="0.45">
      <c r="I373" t="s">
        <v>181</v>
      </c>
      <c r="J373" t="s">
        <v>167</v>
      </c>
      <c r="K373">
        <v>5.5205815441938651E-2</v>
      </c>
      <c r="L373" t="s">
        <v>159</v>
      </c>
      <c r="N373" t="s">
        <v>224</v>
      </c>
      <c r="O373" t="s">
        <v>167</v>
      </c>
      <c r="P373">
        <v>3.4216541274521027E-2</v>
      </c>
      <c r="Q373" t="s">
        <v>159</v>
      </c>
      <c r="S373" t="s">
        <v>266</v>
      </c>
      <c r="T373" t="s">
        <v>167</v>
      </c>
      <c r="U373">
        <v>4.6435867521756116E-2</v>
      </c>
      <c r="V373" t="s">
        <v>159</v>
      </c>
    </row>
    <row r="374" spans="9:22" x14ac:dyDescent="0.45">
      <c r="I374" t="s">
        <v>181</v>
      </c>
      <c r="J374" t="s">
        <v>291</v>
      </c>
      <c r="K374">
        <v>0</v>
      </c>
      <c r="L374" t="s">
        <v>159</v>
      </c>
      <c r="N374" t="s">
        <v>224</v>
      </c>
      <c r="O374" t="s">
        <v>291</v>
      </c>
      <c r="P374">
        <v>6.6332532733699929E-3</v>
      </c>
      <c r="Q374" t="s">
        <v>159</v>
      </c>
      <c r="S374" t="s">
        <v>266</v>
      </c>
      <c r="T374" t="s">
        <v>291</v>
      </c>
      <c r="U374">
        <v>4.625353273355848E-3</v>
      </c>
      <c r="V374" t="s">
        <v>159</v>
      </c>
    </row>
    <row r="375" spans="9:22" x14ac:dyDescent="0.45">
      <c r="I375" t="s">
        <v>181</v>
      </c>
      <c r="J375" t="s">
        <v>292</v>
      </c>
      <c r="K375">
        <v>0</v>
      </c>
      <c r="L375" t="s">
        <v>159</v>
      </c>
      <c r="N375" t="s">
        <v>224</v>
      </c>
      <c r="O375" t="s">
        <v>292</v>
      </c>
      <c r="P375">
        <v>2.5350462254877717E-2</v>
      </c>
      <c r="Q375" t="s">
        <v>159</v>
      </c>
      <c r="S375" t="s">
        <v>266</v>
      </c>
      <c r="T375" t="s">
        <v>292</v>
      </c>
      <c r="U375">
        <v>2.0457866993310449E-2</v>
      </c>
      <c r="V375" t="s">
        <v>159</v>
      </c>
    </row>
    <row r="376" spans="9:22" x14ac:dyDescent="0.45">
      <c r="I376" t="s">
        <v>181</v>
      </c>
      <c r="J376" t="s">
        <v>293</v>
      </c>
      <c r="K376">
        <v>0</v>
      </c>
      <c r="L376" t="s">
        <v>159</v>
      </c>
      <c r="N376" t="s">
        <v>224</v>
      </c>
      <c r="O376" t="s">
        <v>293</v>
      </c>
      <c r="P376">
        <v>7.0896697508363218E-3</v>
      </c>
      <c r="Q376" t="s">
        <v>159</v>
      </c>
      <c r="S376" t="s">
        <v>266</v>
      </c>
      <c r="T376" t="s">
        <v>293</v>
      </c>
      <c r="U376">
        <v>3.0442873899969836E-3</v>
      </c>
      <c r="V376" t="s">
        <v>159</v>
      </c>
    </row>
    <row r="377" spans="9:22" x14ac:dyDescent="0.45">
      <c r="I377" t="s">
        <v>181</v>
      </c>
      <c r="J377" t="s">
        <v>294</v>
      </c>
      <c r="K377">
        <v>1.2529910600307837E-3</v>
      </c>
      <c r="L377" t="s">
        <v>159</v>
      </c>
      <c r="N377" t="s">
        <v>224</v>
      </c>
      <c r="O377" t="s">
        <v>294</v>
      </c>
      <c r="P377">
        <v>1.0315586196843782E-3</v>
      </c>
      <c r="Q377" t="s">
        <v>159</v>
      </c>
      <c r="S377" t="s">
        <v>266</v>
      </c>
      <c r="T377" t="s">
        <v>294</v>
      </c>
      <c r="U377">
        <v>4.6913359680795684E-4</v>
      </c>
      <c r="V377" t="s">
        <v>159</v>
      </c>
    </row>
    <row r="378" spans="9:22" x14ac:dyDescent="0.45">
      <c r="I378" t="s">
        <v>181</v>
      </c>
      <c r="J378" t="s">
        <v>295</v>
      </c>
      <c r="K378">
        <v>1.7220394989324758E-2</v>
      </c>
      <c r="L378" t="s">
        <v>159</v>
      </c>
      <c r="N378" t="s">
        <v>224</v>
      </c>
      <c r="O378" t="s">
        <v>295</v>
      </c>
      <c r="P378">
        <v>1.106614182878457E-2</v>
      </c>
      <c r="Q378" t="s">
        <v>159</v>
      </c>
      <c r="S378" t="s">
        <v>266</v>
      </c>
      <c r="T378" t="s">
        <v>295</v>
      </c>
      <c r="U378">
        <v>6.3211952844181886E-3</v>
      </c>
      <c r="V378" t="s">
        <v>159</v>
      </c>
    </row>
    <row r="379" spans="9:22" x14ac:dyDescent="0.45">
      <c r="I379" t="s">
        <v>181</v>
      </c>
      <c r="J379" t="s">
        <v>296</v>
      </c>
      <c r="K379">
        <v>0</v>
      </c>
      <c r="L379" t="s">
        <v>159</v>
      </c>
      <c r="N379" t="s">
        <v>224</v>
      </c>
      <c r="O379" t="s">
        <v>296</v>
      </c>
      <c r="P379">
        <v>2.7213077576872498E-3</v>
      </c>
      <c r="Q379" t="s">
        <v>159</v>
      </c>
      <c r="S379" t="s">
        <v>266</v>
      </c>
      <c r="T379" t="s">
        <v>296</v>
      </c>
      <c r="U379">
        <v>7.3077424085233537E-4</v>
      </c>
      <c r="V379" t="s">
        <v>159</v>
      </c>
    </row>
    <row r="380" spans="9:22" x14ac:dyDescent="0.45">
      <c r="I380" t="s">
        <v>181</v>
      </c>
      <c r="J380" t="s">
        <v>297</v>
      </c>
      <c r="K380">
        <v>0</v>
      </c>
      <c r="L380" t="s">
        <v>159</v>
      </c>
      <c r="N380" t="s">
        <v>224</v>
      </c>
      <c r="O380" t="s">
        <v>297</v>
      </c>
      <c r="P380">
        <v>9.9559387007667581E-3</v>
      </c>
      <c r="Q380" t="s">
        <v>159</v>
      </c>
      <c r="S380" t="s">
        <v>266</v>
      </c>
      <c r="T380" t="s">
        <v>297</v>
      </c>
      <c r="U380">
        <v>2.9306196043032405E-3</v>
      </c>
      <c r="V380" t="s">
        <v>159</v>
      </c>
    </row>
    <row r="381" spans="9:22" x14ac:dyDescent="0.45">
      <c r="I381" t="s">
        <v>181</v>
      </c>
      <c r="J381" t="s">
        <v>298</v>
      </c>
      <c r="K381">
        <v>2.4975171641114666E-2</v>
      </c>
      <c r="L381" t="s">
        <v>159</v>
      </c>
      <c r="N381" t="s">
        <v>224</v>
      </c>
      <c r="O381" t="s">
        <v>298</v>
      </c>
      <c r="P381">
        <v>8.1815437191912005E-2</v>
      </c>
      <c r="Q381" t="s">
        <v>159</v>
      </c>
      <c r="S381" t="s">
        <v>266</v>
      </c>
      <c r="T381" t="s">
        <v>298</v>
      </c>
      <c r="U381">
        <v>9.4152427341588893E-2</v>
      </c>
      <c r="V381" t="s">
        <v>159</v>
      </c>
    </row>
    <row r="382" spans="9:22" x14ac:dyDescent="0.45">
      <c r="I382" t="s">
        <v>181</v>
      </c>
      <c r="J382" t="s">
        <v>299</v>
      </c>
      <c r="K382">
        <v>2.8227809257336443E-2</v>
      </c>
      <c r="L382" t="s">
        <v>159</v>
      </c>
      <c r="N382" t="s">
        <v>224</v>
      </c>
      <c r="O382" t="s">
        <v>299</v>
      </c>
      <c r="P382">
        <v>1.0116049758471374E-2</v>
      </c>
      <c r="Q382" t="s">
        <v>159</v>
      </c>
      <c r="S382" t="s">
        <v>266</v>
      </c>
      <c r="T382" t="s">
        <v>299</v>
      </c>
      <c r="U382">
        <v>1.3561595319488513E-2</v>
      </c>
      <c r="V382" t="s">
        <v>159</v>
      </c>
    </row>
    <row r="383" spans="9:22" x14ac:dyDescent="0.45">
      <c r="I383" t="s">
        <v>181</v>
      </c>
      <c r="J383" t="s">
        <v>300</v>
      </c>
      <c r="K383">
        <v>0.3608167999879982</v>
      </c>
      <c r="L383" t="s">
        <v>159</v>
      </c>
      <c r="N383" t="s">
        <v>224</v>
      </c>
      <c r="O383" t="s">
        <v>300</v>
      </c>
      <c r="P383">
        <v>0.1686565016845791</v>
      </c>
      <c r="Q383" t="s">
        <v>159</v>
      </c>
      <c r="S383" t="s">
        <v>266</v>
      </c>
      <c r="T383" t="s">
        <v>300</v>
      </c>
      <c r="U383">
        <v>0.1736318170657194</v>
      </c>
      <c r="V383" t="s">
        <v>159</v>
      </c>
    </row>
    <row r="384" spans="9:22" x14ac:dyDescent="0.45">
      <c r="I384" t="s">
        <v>181</v>
      </c>
      <c r="J384" t="s">
        <v>301</v>
      </c>
      <c r="K384">
        <v>1.0157869822643981E-2</v>
      </c>
      <c r="L384" t="s">
        <v>159</v>
      </c>
      <c r="N384" t="s">
        <v>224</v>
      </c>
      <c r="O384" t="s">
        <v>301</v>
      </c>
      <c r="P384">
        <v>2.8805638218218233E-2</v>
      </c>
      <c r="Q384" t="s">
        <v>159</v>
      </c>
      <c r="S384" t="s">
        <v>266</v>
      </c>
      <c r="T384" t="s">
        <v>301</v>
      </c>
      <c r="U384">
        <v>1.8692799641439158E-2</v>
      </c>
      <c r="V384" t="s">
        <v>159</v>
      </c>
    </row>
    <row r="385" spans="9:22" x14ac:dyDescent="0.45">
      <c r="I385" t="s">
        <v>181</v>
      </c>
      <c r="J385" t="s">
        <v>302</v>
      </c>
      <c r="K385">
        <v>0</v>
      </c>
      <c r="L385" t="s">
        <v>159</v>
      </c>
      <c r="N385" t="s">
        <v>224</v>
      </c>
      <c r="O385" t="s">
        <v>302</v>
      </c>
      <c r="P385">
        <v>0.10590016685734419</v>
      </c>
      <c r="Q385" t="s">
        <v>159</v>
      </c>
      <c r="S385" t="s">
        <v>266</v>
      </c>
      <c r="T385" t="s">
        <v>302</v>
      </c>
      <c r="U385">
        <v>7.6943489273483753E-2</v>
      </c>
      <c r="V385" t="s">
        <v>159</v>
      </c>
    </row>
    <row r="386" spans="9:22" x14ac:dyDescent="0.45">
      <c r="I386" t="s">
        <v>182</v>
      </c>
      <c r="J386" t="s">
        <v>158</v>
      </c>
      <c r="K386">
        <v>1.3729889898042935E-2</v>
      </c>
      <c r="L386" t="s">
        <v>159</v>
      </c>
      <c r="N386" t="s">
        <v>225</v>
      </c>
      <c r="O386" t="s">
        <v>158</v>
      </c>
      <c r="P386">
        <v>0.12151462300363233</v>
      </c>
      <c r="Q386" t="s">
        <v>159</v>
      </c>
      <c r="S386" t="s">
        <v>267</v>
      </c>
      <c r="T386" t="s">
        <v>158</v>
      </c>
      <c r="U386">
        <v>0.13074007245208005</v>
      </c>
      <c r="V386" t="s">
        <v>159</v>
      </c>
    </row>
    <row r="387" spans="9:22" x14ac:dyDescent="0.45">
      <c r="I387" t="s">
        <v>182</v>
      </c>
      <c r="J387" t="s">
        <v>160</v>
      </c>
      <c r="K387">
        <v>3.1533896160951119E-2</v>
      </c>
      <c r="L387" t="s">
        <v>159</v>
      </c>
      <c r="N387" t="s">
        <v>225</v>
      </c>
      <c r="O387" t="s">
        <v>160</v>
      </c>
      <c r="P387">
        <v>1.6350964176114879E-2</v>
      </c>
      <c r="Q387" t="s">
        <v>159</v>
      </c>
      <c r="S387" t="s">
        <v>267</v>
      </c>
      <c r="T387" t="s">
        <v>160</v>
      </c>
      <c r="U387">
        <v>1.7570593972240173E-2</v>
      </c>
      <c r="V387" t="s">
        <v>159</v>
      </c>
    </row>
    <row r="388" spans="9:22" x14ac:dyDescent="0.45">
      <c r="I388" t="s">
        <v>182</v>
      </c>
      <c r="J388" t="s">
        <v>161</v>
      </c>
      <c r="K388">
        <v>0.39775165724097189</v>
      </c>
      <c r="L388" t="s">
        <v>159</v>
      </c>
      <c r="N388" t="s">
        <v>225</v>
      </c>
      <c r="O388" t="s">
        <v>161</v>
      </c>
      <c r="P388">
        <v>0.18519216648701553</v>
      </c>
      <c r="Q388" t="s">
        <v>159</v>
      </c>
      <c r="S388" t="s">
        <v>267</v>
      </c>
      <c r="T388" t="s">
        <v>161</v>
      </c>
      <c r="U388">
        <v>0.18147091050859129</v>
      </c>
      <c r="V388" t="s">
        <v>159</v>
      </c>
    </row>
    <row r="389" spans="9:22" x14ac:dyDescent="0.45">
      <c r="I389" t="s">
        <v>182</v>
      </c>
      <c r="J389" t="s">
        <v>287</v>
      </c>
      <c r="K389">
        <v>1.1984681801644387E-2</v>
      </c>
      <c r="L389" t="s">
        <v>159</v>
      </c>
      <c r="N389" t="s">
        <v>225</v>
      </c>
      <c r="O389" t="s">
        <v>287</v>
      </c>
      <c r="P389">
        <v>2.3647063545289646E-2</v>
      </c>
      <c r="Q389" t="s">
        <v>159</v>
      </c>
      <c r="S389" t="s">
        <v>267</v>
      </c>
      <c r="T389" t="s">
        <v>287</v>
      </c>
      <c r="U389">
        <v>2.0488220993151809E-2</v>
      </c>
      <c r="V389" t="s">
        <v>159</v>
      </c>
    </row>
    <row r="390" spans="9:22" x14ac:dyDescent="0.45">
      <c r="I390" t="s">
        <v>182</v>
      </c>
      <c r="J390" t="s">
        <v>288</v>
      </c>
      <c r="K390">
        <v>0</v>
      </c>
      <c r="L390" t="s">
        <v>159</v>
      </c>
      <c r="N390" t="s">
        <v>225</v>
      </c>
      <c r="O390" t="s">
        <v>288</v>
      </c>
      <c r="P390">
        <v>0.10514939953050695</v>
      </c>
      <c r="Q390" t="s">
        <v>159</v>
      </c>
      <c r="S390" t="s">
        <v>267</v>
      </c>
      <c r="T390" t="s">
        <v>288</v>
      </c>
      <c r="U390">
        <v>9.9550515580430848E-2</v>
      </c>
      <c r="V390" t="s">
        <v>159</v>
      </c>
    </row>
    <row r="391" spans="9:22" x14ac:dyDescent="0.45">
      <c r="I391" t="s">
        <v>182</v>
      </c>
      <c r="J391" t="s">
        <v>162</v>
      </c>
      <c r="K391">
        <v>0</v>
      </c>
      <c r="L391" t="s">
        <v>159</v>
      </c>
      <c r="N391" t="s">
        <v>225</v>
      </c>
      <c r="O391" t="s">
        <v>162</v>
      </c>
      <c r="P391">
        <v>1.7433318503140588E-2</v>
      </c>
      <c r="Q391" t="s">
        <v>159</v>
      </c>
      <c r="S391" t="s">
        <v>267</v>
      </c>
      <c r="T391" t="s">
        <v>162</v>
      </c>
      <c r="U391">
        <v>2.4797289124031983E-2</v>
      </c>
      <c r="V391" t="s">
        <v>159</v>
      </c>
    </row>
    <row r="392" spans="9:22" x14ac:dyDescent="0.45">
      <c r="I392" t="s">
        <v>182</v>
      </c>
      <c r="J392" t="s">
        <v>163</v>
      </c>
      <c r="K392">
        <v>2.5873540002770068E-3</v>
      </c>
      <c r="L392" t="s">
        <v>159</v>
      </c>
      <c r="N392" t="s">
        <v>225</v>
      </c>
      <c r="O392" t="s">
        <v>163</v>
      </c>
      <c r="P392">
        <v>2.3445531907857714E-3</v>
      </c>
      <c r="Q392" t="s">
        <v>159</v>
      </c>
      <c r="S392" t="s">
        <v>267</v>
      </c>
      <c r="T392" t="s">
        <v>163</v>
      </c>
      <c r="U392">
        <v>3.385630979977264E-3</v>
      </c>
      <c r="V392" t="s">
        <v>159</v>
      </c>
    </row>
    <row r="393" spans="9:22" x14ac:dyDescent="0.45">
      <c r="I393" t="s">
        <v>182</v>
      </c>
      <c r="J393" t="s">
        <v>164</v>
      </c>
      <c r="K393">
        <v>4.0895212404384824E-2</v>
      </c>
      <c r="L393" t="s">
        <v>159</v>
      </c>
      <c r="N393" t="s">
        <v>225</v>
      </c>
      <c r="O393" t="s">
        <v>164</v>
      </c>
      <c r="P393">
        <v>2.6189147957845257E-2</v>
      </c>
      <c r="Q393" t="s">
        <v>159</v>
      </c>
      <c r="S393" t="s">
        <v>267</v>
      </c>
      <c r="T393" t="s">
        <v>164</v>
      </c>
      <c r="U393">
        <v>3.3213575310239225E-2</v>
      </c>
      <c r="V393" t="s">
        <v>159</v>
      </c>
    </row>
    <row r="394" spans="9:22" x14ac:dyDescent="0.45">
      <c r="I394" t="s">
        <v>182</v>
      </c>
      <c r="J394" t="s">
        <v>289</v>
      </c>
      <c r="K394">
        <v>0</v>
      </c>
      <c r="L394" t="s">
        <v>159</v>
      </c>
      <c r="N394" t="s">
        <v>225</v>
      </c>
      <c r="O394" t="s">
        <v>289</v>
      </c>
      <c r="P394">
        <v>3.443709252455704E-3</v>
      </c>
      <c r="Q394" t="s">
        <v>159</v>
      </c>
      <c r="S394" t="s">
        <v>267</v>
      </c>
      <c r="T394" t="s">
        <v>289</v>
      </c>
      <c r="U394">
        <v>3.3569081425287718E-3</v>
      </c>
      <c r="V394" t="s">
        <v>159</v>
      </c>
    </row>
    <row r="395" spans="9:22" x14ac:dyDescent="0.45">
      <c r="I395" t="s">
        <v>182</v>
      </c>
      <c r="J395" t="s">
        <v>290</v>
      </c>
      <c r="K395">
        <v>0</v>
      </c>
      <c r="L395" t="s">
        <v>159</v>
      </c>
      <c r="N395" t="s">
        <v>225</v>
      </c>
      <c r="O395" t="s">
        <v>290</v>
      </c>
      <c r="P395">
        <v>1.514936692040557E-2</v>
      </c>
      <c r="Q395" t="s">
        <v>159</v>
      </c>
      <c r="S395" t="s">
        <v>267</v>
      </c>
      <c r="T395" t="s">
        <v>290</v>
      </c>
      <c r="U395">
        <v>1.7272000670932056E-2</v>
      </c>
      <c r="V395" t="s">
        <v>159</v>
      </c>
    </row>
    <row r="396" spans="9:22" x14ac:dyDescent="0.45">
      <c r="I396" t="s">
        <v>182</v>
      </c>
      <c r="J396" t="s">
        <v>165</v>
      </c>
      <c r="K396">
        <v>0</v>
      </c>
      <c r="L396" t="s">
        <v>159</v>
      </c>
      <c r="N396" t="s">
        <v>225</v>
      </c>
      <c r="O396" t="s">
        <v>165</v>
      </c>
      <c r="P396">
        <v>2.1462882097689925E-2</v>
      </c>
      <c r="Q396" t="s">
        <v>159</v>
      </c>
      <c r="S396" t="s">
        <v>267</v>
      </c>
      <c r="T396" t="s">
        <v>165</v>
      </c>
      <c r="U396">
        <v>2.7848947500259322E-2</v>
      </c>
      <c r="V396" t="s">
        <v>159</v>
      </c>
    </row>
    <row r="397" spans="9:22" x14ac:dyDescent="0.45">
      <c r="I397" t="s">
        <v>182</v>
      </c>
      <c r="J397" t="s">
        <v>166</v>
      </c>
      <c r="K397">
        <v>4.5671977120786073E-3</v>
      </c>
      <c r="L397" t="s">
        <v>159</v>
      </c>
      <c r="N397" t="s">
        <v>225</v>
      </c>
      <c r="O397" t="s">
        <v>166</v>
      </c>
      <c r="P397">
        <v>2.9681003692130364E-3</v>
      </c>
      <c r="Q397" t="s">
        <v>159</v>
      </c>
      <c r="S397" t="s">
        <v>267</v>
      </c>
      <c r="T397" t="s">
        <v>166</v>
      </c>
      <c r="U397">
        <v>4.1295453884704261E-3</v>
      </c>
      <c r="V397" t="s">
        <v>159</v>
      </c>
    </row>
    <row r="398" spans="9:22" x14ac:dyDescent="0.45">
      <c r="I398" t="s">
        <v>182</v>
      </c>
      <c r="J398" t="s">
        <v>167</v>
      </c>
      <c r="K398">
        <v>5.9872265053340111E-2</v>
      </c>
      <c r="L398" t="s">
        <v>159</v>
      </c>
      <c r="N398" t="s">
        <v>225</v>
      </c>
      <c r="O398" t="s">
        <v>167</v>
      </c>
      <c r="P398">
        <v>3.1620450677649001E-2</v>
      </c>
      <c r="Q398" t="s">
        <v>159</v>
      </c>
      <c r="S398" t="s">
        <v>267</v>
      </c>
      <c r="T398" t="s">
        <v>167</v>
      </c>
      <c r="U398">
        <v>3.8551202391618057E-2</v>
      </c>
      <c r="V398" t="s">
        <v>159</v>
      </c>
    </row>
    <row r="399" spans="9:22" x14ac:dyDescent="0.45">
      <c r="I399" t="s">
        <v>182</v>
      </c>
      <c r="J399" t="s">
        <v>291</v>
      </c>
      <c r="K399">
        <v>0</v>
      </c>
      <c r="L399" t="s">
        <v>159</v>
      </c>
      <c r="N399" t="s">
        <v>225</v>
      </c>
      <c r="O399" t="s">
        <v>291</v>
      </c>
      <c r="P399">
        <v>4.7518544234192422E-3</v>
      </c>
      <c r="Q399" t="s">
        <v>159</v>
      </c>
      <c r="S399" t="s">
        <v>267</v>
      </c>
      <c r="T399" t="s">
        <v>291</v>
      </c>
      <c r="U399">
        <v>3.8134619297943654E-3</v>
      </c>
      <c r="V399" t="s">
        <v>159</v>
      </c>
    </row>
    <row r="400" spans="9:22" x14ac:dyDescent="0.45">
      <c r="I400" t="s">
        <v>182</v>
      </c>
      <c r="J400" t="s">
        <v>292</v>
      </c>
      <c r="K400">
        <v>0</v>
      </c>
      <c r="L400" t="s">
        <v>159</v>
      </c>
      <c r="N400" t="s">
        <v>225</v>
      </c>
      <c r="O400" t="s">
        <v>292</v>
      </c>
      <c r="P400">
        <v>2.0904654040621664E-2</v>
      </c>
      <c r="Q400" t="s">
        <v>159</v>
      </c>
      <c r="S400" t="s">
        <v>267</v>
      </c>
      <c r="T400" t="s">
        <v>292</v>
      </c>
      <c r="U400">
        <v>1.9454216880783411E-2</v>
      </c>
      <c r="V400" t="s">
        <v>159</v>
      </c>
    </row>
    <row r="401" spans="9:22" x14ac:dyDescent="0.45">
      <c r="I401" t="s">
        <v>182</v>
      </c>
      <c r="J401" t="s">
        <v>293</v>
      </c>
      <c r="K401">
        <v>0</v>
      </c>
      <c r="L401" t="s">
        <v>159</v>
      </c>
      <c r="N401" t="s">
        <v>225</v>
      </c>
      <c r="O401" t="s">
        <v>293</v>
      </c>
      <c r="P401">
        <v>8.8498595165443627E-3</v>
      </c>
      <c r="Q401" t="s">
        <v>159</v>
      </c>
      <c r="S401" t="s">
        <v>267</v>
      </c>
      <c r="T401" t="s">
        <v>293</v>
      </c>
      <c r="U401">
        <v>3.3211354002650119E-3</v>
      </c>
      <c r="V401" t="s">
        <v>159</v>
      </c>
    </row>
    <row r="402" spans="9:22" x14ac:dyDescent="0.45">
      <c r="I402" t="s">
        <v>182</v>
      </c>
      <c r="J402" t="s">
        <v>294</v>
      </c>
      <c r="K402">
        <v>1.3659277043725979E-3</v>
      </c>
      <c r="L402" t="s">
        <v>159</v>
      </c>
      <c r="N402" t="s">
        <v>225</v>
      </c>
      <c r="O402" t="s">
        <v>294</v>
      </c>
      <c r="P402">
        <v>1.2477262142093638E-3</v>
      </c>
      <c r="Q402" t="s">
        <v>159</v>
      </c>
      <c r="S402" t="s">
        <v>267</v>
      </c>
      <c r="T402" t="s">
        <v>294</v>
      </c>
      <c r="U402">
        <v>4.5982122127516704E-4</v>
      </c>
      <c r="V402" t="s">
        <v>159</v>
      </c>
    </row>
    <row r="403" spans="9:22" x14ac:dyDescent="0.45">
      <c r="I403" t="s">
        <v>182</v>
      </c>
      <c r="J403" t="s">
        <v>295</v>
      </c>
      <c r="K403">
        <v>1.6997432653464681E-2</v>
      </c>
      <c r="L403" t="s">
        <v>159</v>
      </c>
      <c r="N403" t="s">
        <v>225</v>
      </c>
      <c r="O403" t="s">
        <v>295</v>
      </c>
      <c r="P403">
        <v>1.212800669494685E-2</v>
      </c>
      <c r="Q403" t="s">
        <v>159</v>
      </c>
      <c r="S403" t="s">
        <v>267</v>
      </c>
      <c r="T403" t="s">
        <v>295</v>
      </c>
      <c r="U403">
        <v>6.4060730049888878E-3</v>
      </c>
      <c r="V403" t="s">
        <v>159</v>
      </c>
    </row>
    <row r="404" spans="9:22" x14ac:dyDescent="0.45">
      <c r="I404" t="s">
        <v>182</v>
      </c>
      <c r="J404" t="s">
        <v>296</v>
      </c>
      <c r="K404">
        <v>0</v>
      </c>
      <c r="L404" t="s">
        <v>159</v>
      </c>
      <c r="N404" t="s">
        <v>225</v>
      </c>
      <c r="O404" t="s">
        <v>296</v>
      </c>
      <c r="P404">
        <v>1.5561220636251618E-3</v>
      </c>
      <c r="Q404" t="s">
        <v>159</v>
      </c>
      <c r="S404" t="s">
        <v>267</v>
      </c>
      <c r="T404" t="s">
        <v>296</v>
      </c>
      <c r="U404">
        <v>7.5016378130165562E-4</v>
      </c>
      <c r="V404" t="s">
        <v>159</v>
      </c>
    </row>
    <row r="405" spans="9:22" x14ac:dyDescent="0.45">
      <c r="I405" t="s">
        <v>182</v>
      </c>
      <c r="J405" t="s">
        <v>297</v>
      </c>
      <c r="K405">
        <v>0</v>
      </c>
      <c r="L405" t="s">
        <v>159</v>
      </c>
      <c r="N405" t="s">
        <v>225</v>
      </c>
      <c r="O405" t="s">
        <v>297</v>
      </c>
      <c r="P405">
        <v>6.937101009656472E-3</v>
      </c>
      <c r="Q405" t="s">
        <v>159</v>
      </c>
      <c r="S405" t="s">
        <v>267</v>
      </c>
      <c r="T405" t="s">
        <v>297</v>
      </c>
      <c r="U405">
        <v>3.4390302757760067E-3</v>
      </c>
      <c r="V405" t="s">
        <v>159</v>
      </c>
    </row>
    <row r="406" spans="9:22" x14ac:dyDescent="0.45">
      <c r="I406" t="s">
        <v>182</v>
      </c>
      <c r="J406" t="s">
        <v>298</v>
      </c>
      <c r="K406">
        <v>2.6352805611666218E-2</v>
      </c>
      <c r="L406" t="s">
        <v>159</v>
      </c>
      <c r="N406" t="s">
        <v>225</v>
      </c>
      <c r="O406" t="s">
        <v>298</v>
      </c>
      <c r="P406">
        <v>9.6998251585992054E-2</v>
      </c>
      <c r="Q406" t="s">
        <v>159</v>
      </c>
      <c r="S406" t="s">
        <v>267</v>
      </c>
      <c r="T406" t="s">
        <v>298</v>
      </c>
      <c r="U406">
        <v>0.10247826406966018</v>
      </c>
      <c r="V406" t="s">
        <v>159</v>
      </c>
    </row>
    <row r="407" spans="9:22" x14ac:dyDescent="0.45">
      <c r="I407" t="s">
        <v>182</v>
      </c>
      <c r="J407" t="s">
        <v>299</v>
      </c>
      <c r="K407">
        <v>2.9645502876131435E-2</v>
      </c>
      <c r="L407" t="s">
        <v>159</v>
      </c>
      <c r="N407" t="s">
        <v>225</v>
      </c>
      <c r="O407" t="s">
        <v>299</v>
      </c>
      <c r="P407">
        <v>1.2556115618122242E-2</v>
      </c>
      <c r="Q407" t="s">
        <v>159</v>
      </c>
      <c r="S407" t="s">
        <v>267</v>
      </c>
      <c r="T407" t="s">
        <v>299</v>
      </c>
      <c r="U407">
        <v>1.4538040534246172E-2</v>
      </c>
      <c r="V407" t="s">
        <v>159</v>
      </c>
    </row>
    <row r="408" spans="9:22" x14ac:dyDescent="0.45">
      <c r="I408" t="s">
        <v>182</v>
      </c>
      <c r="J408" t="s">
        <v>300</v>
      </c>
      <c r="K408">
        <v>0.35403402107344839</v>
      </c>
      <c r="L408" t="s">
        <v>159</v>
      </c>
      <c r="N408" t="s">
        <v>225</v>
      </c>
      <c r="O408" t="s">
        <v>300</v>
      </c>
      <c r="P408">
        <v>0.15399298920674781</v>
      </c>
      <c r="Q408" t="s">
        <v>159</v>
      </c>
      <c r="S408" t="s">
        <v>267</v>
      </c>
      <c r="T408" t="s">
        <v>300</v>
      </c>
      <c r="U408">
        <v>0.14861352653357807</v>
      </c>
      <c r="V408" t="s">
        <v>159</v>
      </c>
    </row>
    <row r="409" spans="9:22" x14ac:dyDescent="0.45">
      <c r="I409" t="s">
        <v>182</v>
      </c>
      <c r="J409" t="s">
        <v>301</v>
      </c>
      <c r="K409">
        <v>8.6821558092226962E-3</v>
      </c>
      <c r="L409" t="s">
        <v>159</v>
      </c>
      <c r="N409" t="s">
        <v>225</v>
      </c>
      <c r="O409" t="s">
        <v>301</v>
      </c>
      <c r="P409">
        <v>1.9675538323509208E-2</v>
      </c>
      <c r="Q409" t="s">
        <v>159</v>
      </c>
      <c r="S409" t="s">
        <v>267</v>
      </c>
      <c r="T409" t="s">
        <v>301</v>
      </c>
      <c r="U409">
        <v>1.6358256306341752E-2</v>
      </c>
      <c r="V409" t="s">
        <v>159</v>
      </c>
    </row>
    <row r="410" spans="9:22" x14ac:dyDescent="0.45">
      <c r="I410" t="s">
        <v>182</v>
      </c>
      <c r="J410" t="s">
        <v>302</v>
      </c>
      <c r="K410">
        <v>0</v>
      </c>
      <c r="L410" t="s">
        <v>159</v>
      </c>
      <c r="N410" t="s">
        <v>225</v>
      </c>
      <c r="O410" t="s">
        <v>302</v>
      </c>
      <c r="P410">
        <v>8.7936035590862077E-2</v>
      </c>
      <c r="Q410" t="s">
        <v>159</v>
      </c>
      <c r="S410" t="s">
        <v>267</v>
      </c>
      <c r="T410" t="s">
        <v>302</v>
      </c>
      <c r="U410">
        <v>7.799259704743515E-2</v>
      </c>
      <c r="V410" t="s">
        <v>159</v>
      </c>
    </row>
    <row r="411" spans="9:22" x14ac:dyDescent="0.45">
      <c r="I411" t="s">
        <v>183</v>
      </c>
      <c r="J411" t="s">
        <v>158</v>
      </c>
      <c r="K411">
        <v>1.1886181355141325E-2</v>
      </c>
      <c r="L411" t="s">
        <v>159</v>
      </c>
      <c r="N411" t="s">
        <v>226</v>
      </c>
      <c r="O411" t="s">
        <v>158</v>
      </c>
      <c r="P411">
        <v>0.11872920487777089</v>
      </c>
      <c r="Q411" t="s">
        <v>159</v>
      </c>
      <c r="S411" t="s">
        <v>268</v>
      </c>
      <c r="T411" t="s">
        <v>158</v>
      </c>
      <c r="U411">
        <v>0.12803626769329615</v>
      </c>
      <c r="V411" t="s">
        <v>159</v>
      </c>
    </row>
    <row r="412" spans="9:22" x14ac:dyDescent="0.45">
      <c r="I412" t="s">
        <v>183</v>
      </c>
      <c r="J412" t="s">
        <v>160</v>
      </c>
      <c r="K412">
        <v>2.9209020761161924E-2</v>
      </c>
      <c r="L412" t="s">
        <v>159</v>
      </c>
      <c r="N412" t="s">
        <v>226</v>
      </c>
      <c r="O412" t="s">
        <v>160</v>
      </c>
      <c r="P412">
        <v>1.8483685619360757E-2</v>
      </c>
      <c r="Q412" t="s">
        <v>159</v>
      </c>
      <c r="S412" t="s">
        <v>268</v>
      </c>
      <c r="T412" t="s">
        <v>160</v>
      </c>
      <c r="U412">
        <v>1.8207813628134176E-2</v>
      </c>
      <c r="V412" t="s">
        <v>159</v>
      </c>
    </row>
    <row r="413" spans="9:22" x14ac:dyDescent="0.45">
      <c r="I413" t="s">
        <v>183</v>
      </c>
      <c r="J413" t="s">
        <v>161</v>
      </c>
      <c r="K413">
        <v>0.40364563600893749</v>
      </c>
      <c r="L413" t="s">
        <v>159</v>
      </c>
      <c r="N413" t="s">
        <v>226</v>
      </c>
      <c r="O413" t="s">
        <v>161</v>
      </c>
      <c r="P413">
        <v>0.20611969951017933</v>
      </c>
      <c r="Q413" t="s">
        <v>159</v>
      </c>
      <c r="S413" t="s">
        <v>268</v>
      </c>
      <c r="T413" t="s">
        <v>161</v>
      </c>
      <c r="U413">
        <v>0.18499739376928426</v>
      </c>
      <c r="V413" t="s">
        <v>159</v>
      </c>
    </row>
    <row r="414" spans="9:22" x14ac:dyDescent="0.45">
      <c r="I414" t="s">
        <v>183</v>
      </c>
      <c r="J414" t="s">
        <v>287</v>
      </c>
      <c r="K414">
        <v>1.4488244441475229E-2</v>
      </c>
      <c r="L414" t="s">
        <v>159</v>
      </c>
      <c r="N414" t="s">
        <v>226</v>
      </c>
      <c r="O414" t="s">
        <v>287</v>
      </c>
      <c r="P414">
        <v>2.2785715827335792E-2</v>
      </c>
      <c r="Q414" t="s">
        <v>159</v>
      </c>
      <c r="S414" t="s">
        <v>268</v>
      </c>
      <c r="T414" t="s">
        <v>287</v>
      </c>
      <c r="U414">
        <v>1.8585699891831963E-2</v>
      </c>
      <c r="V414" t="s">
        <v>159</v>
      </c>
    </row>
    <row r="415" spans="9:22" x14ac:dyDescent="0.45">
      <c r="I415" t="s">
        <v>183</v>
      </c>
      <c r="J415" t="s">
        <v>288</v>
      </c>
      <c r="K415">
        <v>1.1199837815115508E-4</v>
      </c>
      <c r="L415" t="s">
        <v>159</v>
      </c>
      <c r="N415" t="s">
        <v>226</v>
      </c>
      <c r="O415" t="s">
        <v>288</v>
      </c>
      <c r="P415">
        <v>7.7635121457723222E-2</v>
      </c>
      <c r="Q415" t="s">
        <v>159</v>
      </c>
      <c r="S415" t="s">
        <v>268</v>
      </c>
      <c r="T415" t="s">
        <v>288</v>
      </c>
      <c r="U415">
        <v>9.1399604826742337E-2</v>
      </c>
      <c r="V415" t="s">
        <v>159</v>
      </c>
    </row>
    <row r="416" spans="9:22" x14ac:dyDescent="0.45">
      <c r="I416" t="s">
        <v>183</v>
      </c>
      <c r="J416" t="s">
        <v>162</v>
      </c>
      <c r="K416">
        <v>0</v>
      </c>
      <c r="L416" t="s">
        <v>159</v>
      </c>
      <c r="N416" t="s">
        <v>226</v>
      </c>
      <c r="O416" t="s">
        <v>162</v>
      </c>
      <c r="P416">
        <v>1.4177772980178537E-2</v>
      </c>
      <c r="Q416" t="s">
        <v>159</v>
      </c>
      <c r="S416" t="s">
        <v>268</v>
      </c>
      <c r="T416" t="s">
        <v>162</v>
      </c>
      <c r="U416">
        <v>2.5803319785265087E-2</v>
      </c>
      <c r="V416" t="s">
        <v>159</v>
      </c>
    </row>
    <row r="417" spans="9:22" x14ac:dyDescent="0.45">
      <c r="I417" t="s">
        <v>183</v>
      </c>
      <c r="J417" t="s">
        <v>163</v>
      </c>
      <c r="K417">
        <v>3.0407951896572859E-4</v>
      </c>
      <c r="L417" t="s">
        <v>159</v>
      </c>
      <c r="N417" t="s">
        <v>226</v>
      </c>
      <c r="O417" t="s">
        <v>163</v>
      </c>
      <c r="P417">
        <v>2.5926376756492992E-3</v>
      </c>
      <c r="Q417" t="s">
        <v>159</v>
      </c>
      <c r="S417" t="s">
        <v>268</v>
      </c>
      <c r="T417" t="s">
        <v>163</v>
      </c>
      <c r="U417">
        <v>3.9472402676897795E-3</v>
      </c>
      <c r="V417" t="s">
        <v>159</v>
      </c>
    </row>
    <row r="418" spans="9:22" x14ac:dyDescent="0.45">
      <c r="I418" t="s">
        <v>183</v>
      </c>
      <c r="J418" t="s">
        <v>164</v>
      </c>
      <c r="K418">
        <v>4.0085823770189884E-2</v>
      </c>
      <c r="L418" t="s">
        <v>159</v>
      </c>
      <c r="N418" t="s">
        <v>226</v>
      </c>
      <c r="O418" t="s">
        <v>164</v>
      </c>
      <c r="P418">
        <v>2.7675571840999263E-2</v>
      </c>
      <c r="Q418" t="s">
        <v>159</v>
      </c>
      <c r="S418" t="s">
        <v>268</v>
      </c>
      <c r="T418" t="s">
        <v>164</v>
      </c>
      <c r="U418">
        <v>3.5440169006662671E-2</v>
      </c>
      <c r="V418" t="s">
        <v>159</v>
      </c>
    </row>
    <row r="419" spans="9:22" x14ac:dyDescent="0.45">
      <c r="I419" t="s">
        <v>183</v>
      </c>
      <c r="J419" t="s">
        <v>289</v>
      </c>
      <c r="K419">
        <v>0</v>
      </c>
      <c r="L419" t="s">
        <v>159</v>
      </c>
      <c r="N419" t="s">
        <v>226</v>
      </c>
      <c r="O419" t="s">
        <v>289</v>
      </c>
      <c r="P419">
        <v>2.6657870980946667E-3</v>
      </c>
      <c r="Q419" t="s">
        <v>159</v>
      </c>
      <c r="S419" t="s">
        <v>268</v>
      </c>
      <c r="T419" t="s">
        <v>289</v>
      </c>
      <c r="U419">
        <v>3.3613482780384739E-3</v>
      </c>
      <c r="V419" t="s">
        <v>159</v>
      </c>
    </row>
    <row r="420" spans="9:22" x14ac:dyDescent="0.45">
      <c r="I420" t="s">
        <v>183</v>
      </c>
      <c r="J420" t="s">
        <v>290</v>
      </c>
      <c r="K420">
        <v>0</v>
      </c>
      <c r="L420" t="s">
        <v>159</v>
      </c>
      <c r="N420" t="s">
        <v>226</v>
      </c>
      <c r="O420" t="s">
        <v>290</v>
      </c>
      <c r="P420">
        <v>7.6517043785401745E-3</v>
      </c>
      <c r="Q420" t="s">
        <v>159</v>
      </c>
      <c r="S420" t="s">
        <v>268</v>
      </c>
      <c r="T420" t="s">
        <v>290</v>
      </c>
      <c r="U420">
        <v>1.7403899313016839E-2</v>
      </c>
      <c r="V420" t="s">
        <v>159</v>
      </c>
    </row>
    <row r="421" spans="9:22" x14ac:dyDescent="0.45">
      <c r="I421" t="s">
        <v>183</v>
      </c>
      <c r="J421" t="s">
        <v>165</v>
      </c>
      <c r="K421">
        <v>0</v>
      </c>
      <c r="L421" t="s">
        <v>159</v>
      </c>
      <c r="N421" t="s">
        <v>226</v>
      </c>
      <c r="O421" t="s">
        <v>165</v>
      </c>
      <c r="P421">
        <v>3.1911231560916929E-2</v>
      </c>
      <c r="Q421" t="s">
        <v>159</v>
      </c>
      <c r="S421" t="s">
        <v>268</v>
      </c>
      <c r="T421" t="s">
        <v>165</v>
      </c>
      <c r="U421">
        <v>2.9326019420313518E-2</v>
      </c>
      <c r="V421" t="s">
        <v>159</v>
      </c>
    </row>
    <row r="422" spans="9:22" x14ac:dyDescent="0.45">
      <c r="I422" t="s">
        <v>183</v>
      </c>
      <c r="J422" t="s">
        <v>166</v>
      </c>
      <c r="K422">
        <v>4.0067703692473113E-3</v>
      </c>
      <c r="L422" t="s">
        <v>159</v>
      </c>
      <c r="N422" t="s">
        <v>226</v>
      </c>
      <c r="O422" t="s">
        <v>166</v>
      </c>
      <c r="P422">
        <v>5.7449467032069995E-3</v>
      </c>
      <c r="Q422" t="s">
        <v>159</v>
      </c>
      <c r="S422" t="s">
        <v>268</v>
      </c>
      <c r="T422" t="s">
        <v>166</v>
      </c>
      <c r="U422">
        <v>4.0295491670534131E-3</v>
      </c>
      <c r="V422" t="s">
        <v>159</v>
      </c>
    </row>
    <row r="423" spans="9:22" x14ac:dyDescent="0.45">
      <c r="I423" t="s">
        <v>183</v>
      </c>
      <c r="J423" t="s">
        <v>167</v>
      </c>
      <c r="K423">
        <v>5.7269108183815649E-2</v>
      </c>
      <c r="L423" t="s">
        <v>159</v>
      </c>
      <c r="N423" t="s">
        <v>226</v>
      </c>
      <c r="O423" t="s">
        <v>167</v>
      </c>
      <c r="P423">
        <v>5.1936660905065393E-2</v>
      </c>
      <c r="Q423" t="s">
        <v>159</v>
      </c>
      <c r="S423" t="s">
        <v>268</v>
      </c>
      <c r="T423" t="s">
        <v>167</v>
      </c>
      <c r="U423">
        <v>3.8273390910671341E-2</v>
      </c>
      <c r="V423" t="s">
        <v>159</v>
      </c>
    </row>
    <row r="424" spans="9:22" x14ac:dyDescent="0.45">
      <c r="I424" t="s">
        <v>183</v>
      </c>
      <c r="J424" t="s">
        <v>291</v>
      </c>
      <c r="K424">
        <v>0</v>
      </c>
      <c r="L424" t="s">
        <v>159</v>
      </c>
      <c r="N424" t="s">
        <v>226</v>
      </c>
      <c r="O424" t="s">
        <v>291</v>
      </c>
      <c r="P424">
        <v>3.3142407359812625E-3</v>
      </c>
      <c r="Q424" t="s">
        <v>159</v>
      </c>
      <c r="S424" t="s">
        <v>268</v>
      </c>
      <c r="T424" t="s">
        <v>291</v>
      </c>
      <c r="U424">
        <v>3.7649964582200201E-3</v>
      </c>
      <c r="V424" t="s">
        <v>159</v>
      </c>
    </row>
    <row r="425" spans="9:22" x14ac:dyDescent="0.45">
      <c r="I425" t="s">
        <v>183</v>
      </c>
      <c r="J425" t="s">
        <v>292</v>
      </c>
      <c r="K425">
        <v>0</v>
      </c>
      <c r="L425" t="s">
        <v>159</v>
      </c>
      <c r="N425" t="s">
        <v>226</v>
      </c>
      <c r="O425" t="s">
        <v>292</v>
      </c>
      <c r="P425">
        <v>1.096431386787433E-2</v>
      </c>
      <c r="Q425" t="s">
        <v>159</v>
      </c>
      <c r="S425" t="s">
        <v>268</v>
      </c>
      <c r="T425" t="s">
        <v>292</v>
      </c>
      <c r="U425">
        <v>2.1471940399062927E-2</v>
      </c>
      <c r="V425" t="s">
        <v>159</v>
      </c>
    </row>
    <row r="426" spans="9:22" x14ac:dyDescent="0.45">
      <c r="I426" t="s">
        <v>183</v>
      </c>
      <c r="J426" t="s">
        <v>293</v>
      </c>
      <c r="K426">
        <v>0</v>
      </c>
      <c r="L426" t="s">
        <v>159</v>
      </c>
      <c r="N426" t="s">
        <v>226</v>
      </c>
      <c r="O426" t="s">
        <v>293</v>
      </c>
      <c r="P426">
        <v>8.4570427510616362E-3</v>
      </c>
      <c r="Q426" t="s">
        <v>159</v>
      </c>
      <c r="S426" t="s">
        <v>268</v>
      </c>
      <c r="T426" t="s">
        <v>293</v>
      </c>
      <c r="U426">
        <v>4.9297207254106632E-3</v>
      </c>
      <c r="V426" t="s">
        <v>159</v>
      </c>
    </row>
    <row r="427" spans="9:22" x14ac:dyDescent="0.45">
      <c r="I427" t="s">
        <v>183</v>
      </c>
      <c r="J427" t="s">
        <v>294</v>
      </c>
      <c r="K427">
        <v>1.290274979247203E-3</v>
      </c>
      <c r="L427" t="s">
        <v>159</v>
      </c>
      <c r="N427" t="s">
        <v>226</v>
      </c>
      <c r="O427" t="s">
        <v>294</v>
      </c>
      <c r="P427">
        <v>1.9998763150901777E-3</v>
      </c>
      <c r="Q427" t="s">
        <v>159</v>
      </c>
      <c r="S427" t="s">
        <v>268</v>
      </c>
      <c r="T427" t="s">
        <v>294</v>
      </c>
      <c r="U427">
        <v>5.9995187407444264E-4</v>
      </c>
      <c r="V427" t="s">
        <v>159</v>
      </c>
    </row>
    <row r="428" spans="9:22" x14ac:dyDescent="0.45">
      <c r="I428" t="s">
        <v>183</v>
      </c>
      <c r="J428" t="s">
        <v>295</v>
      </c>
      <c r="K428">
        <v>1.6952016501672846E-2</v>
      </c>
      <c r="L428" t="s">
        <v>159</v>
      </c>
      <c r="N428" t="s">
        <v>226</v>
      </c>
      <c r="O428" t="s">
        <v>295</v>
      </c>
      <c r="P428">
        <v>1.5897963962878153E-2</v>
      </c>
      <c r="Q428" t="s">
        <v>159</v>
      </c>
      <c r="S428" t="s">
        <v>268</v>
      </c>
      <c r="T428" t="s">
        <v>295</v>
      </c>
      <c r="U428">
        <v>8.1260310249774859E-3</v>
      </c>
      <c r="V428" t="s">
        <v>159</v>
      </c>
    </row>
    <row r="429" spans="9:22" x14ac:dyDescent="0.45">
      <c r="I429" t="s">
        <v>183</v>
      </c>
      <c r="J429" t="s">
        <v>296</v>
      </c>
      <c r="K429">
        <v>0</v>
      </c>
      <c r="L429" t="s">
        <v>159</v>
      </c>
      <c r="N429" t="s">
        <v>226</v>
      </c>
      <c r="O429" t="s">
        <v>296</v>
      </c>
      <c r="P429">
        <v>1.187982543256203E-3</v>
      </c>
      <c r="Q429" t="s">
        <v>159</v>
      </c>
      <c r="S429" t="s">
        <v>268</v>
      </c>
      <c r="T429" t="s">
        <v>296</v>
      </c>
      <c r="U429">
        <v>8.7886114356361845E-4</v>
      </c>
      <c r="V429" t="s">
        <v>159</v>
      </c>
    </row>
    <row r="430" spans="9:22" x14ac:dyDescent="0.45">
      <c r="I430" t="s">
        <v>183</v>
      </c>
      <c r="J430" t="s">
        <v>297</v>
      </c>
      <c r="K430">
        <v>0</v>
      </c>
      <c r="L430" t="s">
        <v>159</v>
      </c>
      <c r="N430" t="s">
        <v>226</v>
      </c>
      <c r="O430" t="s">
        <v>297</v>
      </c>
      <c r="P430">
        <v>4.0141611039840458E-3</v>
      </c>
      <c r="Q430" t="s">
        <v>159</v>
      </c>
      <c r="S430" t="s">
        <v>268</v>
      </c>
      <c r="T430" t="s">
        <v>297</v>
      </c>
      <c r="U430">
        <v>3.3737728015204413E-3</v>
      </c>
      <c r="V430" t="s">
        <v>159</v>
      </c>
    </row>
    <row r="431" spans="9:22" x14ac:dyDescent="0.45">
      <c r="I431" t="s">
        <v>183</v>
      </c>
      <c r="J431" t="s">
        <v>298</v>
      </c>
      <c r="K431">
        <v>2.3944368782527516E-2</v>
      </c>
      <c r="L431" t="s">
        <v>159</v>
      </c>
      <c r="N431" t="s">
        <v>226</v>
      </c>
      <c r="O431" t="s">
        <v>298</v>
      </c>
      <c r="P431">
        <v>7.03520635003482E-2</v>
      </c>
      <c r="Q431" t="s">
        <v>159</v>
      </c>
      <c r="S431" t="s">
        <v>268</v>
      </c>
      <c r="T431" t="s">
        <v>298</v>
      </c>
      <c r="U431">
        <v>0.10409776999733059</v>
      </c>
      <c r="V431" t="s">
        <v>159</v>
      </c>
    </row>
    <row r="432" spans="9:22" x14ac:dyDescent="0.45">
      <c r="I432" t="s">
        <v>183</v>
      </c>
      <c r="J432" t="s">
        <v>299</v>
      </c>
      <c r="K432">
        <v>2.9069541064349416E-2</v>
      </c>
      <c r="L432" t="s">
        <v>159</v>
      </c>
      <c r="N432" t="s">
        <v>226</v>
      </c>
      <c r="O432" t="s">
        <v>299</v>
      </c>
      <c r="P432">
        <v>1.0210555025503101E-2</v>
      </c>
      <c r="Q432" t="s">
        <v>159</v>
      </c>
      <c r="S432" t="s">
        <v>268</v>
      </c>
      <c r="T432" t="s">
        <v>299</v>
      </c>
      <c r="U432">
        <v>1.4773348965313187E-2</v>
      </c>
      <c r="V432" t="s">
        <v>159</v>
      </c>
    </row>
    <row r="433" spans="9:22" x14ac:dyDescent="0.45">
      <c r="I433" t="s">
        <v>183</v>
      </c>
      <c r="J433" t="s">
        <v>300</v>
      </c>
      <c r="K433">
        <v>0.3571300741015061</v>
      </c>
      <c r="L433" t="s">
        <v>159</v>
      </c>
      <c r="N433" t="s">
        <v>226</v>
      </c>
      <c r="O433" t="s">
        <v>300</v>
      </c>
      <c r="P433">
        <v>0.19908867451969714</v>
      </c>
      <c r="Q433" t="s">
        <v>159</v>
      </c>
      <c r="S433" t="s">
        <v>268</v>
      </c>
      <c r="T433" t="s">
        <v>300</v>
      </c>
      <c r="U433">
        <v>0.1505596678918795</v>
      </c>
      <c r="V433" t="s">
        <v>159</v>
      </c>
    </row>
    <row r="434" spans="9:22" x14ac:dyDescent="0.45">
      <c r="I434" t="s">
        <v>183</v>
      </c>
      <c r="J434" t="s">
        <v>301</v>
      </c>
      <c r="K434">
        <v>1.0606861783607041E-2</v>
      </c>
      <c r="L434" t="s">
        <v>159</v>
      </c>
      <c r="N434" t="s">
        <v>226</v>
      </c>
      <c r="O434" t="s">
        <v>301</v>
      </c>
      <c r="P434">
        <v>2.4397081689100878E-2</v>
      </c>
      <c r="Q434" t="s">
        <v>159</v>
      </c>
      <c r="S434" t="s">
        <v>268</v>
      </c>
      <c r="T434" t="s">
        <v>301</v>
      </c>
      <c r="U434">
        <v>1.5196647116823093E-2</v>
      </c>
      <c r="V434" t="s">
        <v>159</v>
      </c>
    </row>
    <row r="435" spans="9:22" x14ac:dyDescent="0.45">
      <c r="I435" t="s">
        <v>183</v>
      </c>
      <c r="J435" t="s">
        <v>302</v>
      </c>
      <c r="K435">
        <v>0</v>
      </c>
      <c r="L435" t="s">
        <v>159</v>
      </c>
      <c r="N435" t="s">
        <v>226</v>
      </c>
      <c r="O435" t="s">
        <v>302</v>
      </c>
      <c r="P435">
        <v>6.2006303550202715E-2</v>
      </c>
      <c r="Q435" t="s">
        <v>159</v>
      </c>
      <c r="S435" t="s">
        <v>268</v>
      </c>
      <c r="T435" t="s">
        <v>302</v>
      </c>
      <c r="U435">
        <v>7.3415575643821271E-2</v>
      </c>
      <c r="V435" t="s">
        <v>159</v>
      </c>
    </row>
    <row r="436" spans="9:22" x14ac:dyDescent="0.45">
      <c r="I436" t="s">
        <v>184</v>
      </c>
      <c r="J436" t="s">
        <v>158</v>
      </c>
      <c r="K436">
        <v>6.9445874433932591E-3</v>
      </c>
      <c r="L436" t="s">
        <v>159</v>
      </c>
      <c r="N436" t="s">
        <v>227</v>
      </c>
      <c r="O436" t="s">
        <v>158</v>
      </c>
      <c r="P436">
        <v>0.12225128624496666</v>
      </c>
      <c r="Q436" t="s">
        <v>159</v>
      </c>
      <c r="S436" t="s">
        <v>269</v>
      </c>
      <c r="T436" t="s">
        <v>158</v>
      </c>
      <c r="U436">
        <v>0.1204494464121165</v>
      </c>
      <c r="V436" t="s">
        <v>159</v>
      </c>
    </row>
    <row r="437" spans="9:22" x14ac:dyDescent="0.45">
      <c r="I437" t="s">
        <v>184</v>
      </c>
      <c r="J437" t="s">
        <v>160</v>
      </c>
      <c r="K437">
        <v>2.2041097401591513E-2</v>
      </c>
      <c r="L437" t="s">
        <v>159</v>
      </c>
      <c r="N437" t="s">
        <v>227</v>
      </c>
      <c r="O437" t="s">
        <v>160</v>
      </c>
      <c r="P437">
        <v>1.671514898651659E-2</v>
      </c>
      <c r="Q437" t="s">
        <v>159</v>
      </c>
      <c r="S437" t="s">
        <v>269</v>
      </c>
      <c r="T437" t="s">
        <v>160</v>
      </c>
      <c r="U437">
        <v>1.7158986879705712E-2</v>
      </c>
      <c r="V437" t="s">
        <v>159</v>
      </c>
    </row>
    <row r="438" spans="9:22" x14ac:dyDescent="0.45">
      <c r="I438" t="s">
        <v>184</v>
      </c>
      <c r="J438" t="s">
        <v>161</v>
      </c>
      <c r="K438">
        <v>0.41226680197362414</v>
      </c>
      <c r="L438" t="s">
        <v>159</v>
      </c>
      <c r="N438" t="s">
        <v>227</v>
      </c>
      <c r="O438" t="s">
        <v>161</v>
      </c>
      <c r="P438">
        <v>0.18886801511937135</v>
      </c>
      <c r="Q438" t="s">
        <v>159</v>
      </c>
      <c r="S438" t="s">
        <v>269</v>
      </c>
      <c r="T438" t="s">
        <v>161</v>
      </c>
      <c r="U438">
        <v>0.19098707480705696</v>
      </c>
      <c r="V438" t="s">
        <v>159</v>
      </c>
    </row>
    <row r="439" spans="9:22" x14ac:dyDescent="0.45">
      <c r="I439" t="s">
        <v>184</v>
      </c>
      <c r="J439" t="s">
        <v>287</v>
      </c>
      <c r="K439">
        <v>1.8636441018673316E-2</v>
      </c>
      <c r="L439" t="s">
        <v>159</v>
      </c>
      <c r="N439" t="s">
        <v>227</v>
      </c>
      <c r="O439" t="s">
        <v>287</v>
      </c>
      <c r="P439">
        <v>2.165298962682816E-2</v>
      </c>
      <c r="Q439" t="s">
        <v>159</v>
      </c>
      <c r="S439" t="s">
        <v>269</v>
      </c>
      <c r="T439" t="s">
        <v>287</v>
      </c>
      <c r="U439">
        <v>2.029789149085633E-2</v>
      </c>
      <c r="V439" t="s">
        <v>159</v>
      </c>
    </row>
    <row r="440" spans="9:22" x14ac:dyDescent="0.45">
      <c r="I440" t="s">
        <v>184</v>
      </c>
      <c r="J440" t="s">
        <v>288</v>
      </c>
      <c r="K440">
        <v>6.293339160146046E-3</v>
      </c>
      <c r="L440" t="s">
        <v>159</v>
      </c>
      <c r="N440" t="s">
        <v>227</v>
      </c>
      <c r="O440" t="s">
        <v>288</v>
      </c>
      <c r="P440">
        <v>0.1009991634266082</v>
      </c>
      <c r="Q440" t="s">
        <v>159</v>
      </c>
      <c r="S440" t="s">
        <v>269</v>
      </c>
      <c r="T440" t="s">
        <v>288</v>
      </c>
      <c r="U440">
        <v>9.0585508197829748E-2</v>
      </c>
      <c r="V440" t="s">
        <v>159</v>
      </c>
    </row>
    <row r="441" spans="9:22" x14ac:dyDescent="0.45">
      <c r="I441" t="s">
        <v>184</v>
      </c>
      <c r="J441" t="s">
        <v>162</v>
      </c>
      <c r="K441">
        <v>0</v>
      </c>
      <c r="L441" t="s">
        <v>159</v>
      </c>
      <c r="N441" t="s">
        <v>227</v>
      </c>
      <c r="O441" t="s">
        <v>162</v>
      </c>
      <c r="P441">
        <v>1.8467488133543358E-2</v>
      </c>
      <c r="Q441" t="s">
        <v>159</v>
      </c>
      <c r="S441" t="s">
        <v>269</v>
      </c>
      <c r="T441" t="s">
        <v>162</v>
      </c>
      <c r="U441">
        <v>2.718244219559051E-2</v>
      </c>
      <c r="V441" t="s">
        <v>159</v>
      </c>
    </row>
    <row r="442" spans="9:22" x14ac:dyDescent="0.45">
      <c r="I442" t="s">
        <v>184</v>
      </c>
      <c r="J442" t="s">
        <v>163</v>
      </c>
      <c r="K442">
        <v>0</v>
      </c>
      <c r="L442" t="s">
        <v>159</v>
      </c>
      <c r="N442" t="s">
        <v>227</v>
      </c>
      <c r="O442" t="s">
        <v>163</v>
      </c>
      <c r="P442">
        <v>2.9854659636612654E-3</v>
      </c>
      <c r="Q442" t="s">
        <v>159</v>
      </c>
      <c r="S442" t="s">
        <v>269</v>
      </c>
      <c r="T442" t="s">
        <v>163</v>
      </c>
      <c r="U442">
        <v>3.8884333567378434E-3</v>
      </c>
      <c r="V442" t="s">
        <v>159</v>
      </c>
    </row>
    <row r="443" spans="9:22" x14ac:dyDescent="0.45">
      <c r="I443" t="s">
        <v>184</v>
      </c>
      <c r="J443" t="s">
        <v>164</v>
      </c>
      <c r="K443">
        <v>3.7776311210085803E-2</v>
      </c>
      <c r="L443" t="s">
        <v>159</v>
      </c>
      <c r="N443" t="s">
        <v>227</v>
      </c>
      <c r="O443" t="s">
        <v>164</v>
      </c>
      <c r="P443">
        <v>3.1309400405958435E-2</v>
      </c>
      <c r="Q443" t="s">
        <v>159</v>
      </c>
      <c r="S443" t="s">
        <v>269</v>
      </c>
      <c r="T443" t="s">
        <v>164</v>
      </c>
      <c r="U443">
        <v>3.4828462962353451E-2</v>
      </c>
      <c r="V443" t="s">
        <v>159</v>
      </c>
    </row>
    <row r="444" spans="9:22" x14ac:dyDescent="0.45">
      <c r="I444" t="s">
        <v>184</v>
      </c>
      <c r="J444" t="s">
        <v>289</v>
      </c>
      <c r="K444">
        <v>0</v>
      </c>
      <c r="L444" t="s">
        <v>159</v>
      </c>
      <c r="N444" t="s">
        <v>227</v>
      </c>
      <c r="O444" t="s">
        <v>289</v>
      </c>
      <c r="P444">
        <v>3.2963245623153247E-3</v>
      </c>
      <c r="Q444" t="s">
        <v>159</v>
      </c>
      <c r="S444" t="s">
        <v>269</v>
      </c>
      <c r="T444" t="s">
        <v>289</v>
      </c>
      <c r="U444">
        <v>3.5389010529374701E-3</v>
      </c>
      <c r="V444" t="s">
        <v>159</v>
      </c>
    </row>
    <row r="445" spans="9:22" x14ac:dyDescent="0.45">
      <c r="I445" t="s">
        <v>184</v>
      </c>
      <c r="J445" t="s">
        <v>290</v>
      </c>
      <c r="K445">
        <v>0</v>
      </c>
      <c r="L445" t="s">
        <v>159</v>
      </c>
      <c r="N445" t="s">
        <v>227</v>
      </c>
      <c r="O445" t="s">
        <v>290</v>
      </c>
      <c r="P445">
        <v>1.4144380521772141E-2</v>
      </c>
      <c r="Q445" t="s">
        <v>159</v>
      </c>
      <c r="S445" t="s">
        <v>269</v>
      </c>
      <c r="T445" t="s">
        <v>290</v>
      </c>
      <c r="U445">
        <v>1.8665469342441239E-2</v>
      </c>
      <c r="V445" t="s">
        <v>159</v>
      </c>
    </row>
    <row r="446" spans="9:22" x14ac:dyDescent="0.45">
      <c r="I446" t="s">
        <v>184</v>
      </c>
      <c r="J446" t="s">
        <v>165</v>
      </c>
      <c r="K446">
        <v>0</v>
      </c>
      <c r="L446" t="s">
        <v>159</v>
      </c>
      <c r="N446" t="s">
        <v>227</v>
      </c>
      <c r="O446" t="s">
        <v>165</v>
      </c>
      <c r="P446">
        <v>2.4297092740577557E-2</v>
      </c>
      <c r="Q446" t="s">
        <v>159</v>
      </c>
      <c r="S446" t="s">
        <v>269</v>
      </c>
      <c r="T446" t="s">
        <v>165</v>
      </c>
      <c r="U446">
        <v>2.9943317790690573E-2</v>
      </c>
      <c r="V446" t="s">
        <v>159</v>
      </c>
    </row>
    <row r="447" spans="9:22" x14ac:dyDescent="0.45">
      <c r="I447" t="s">
        <v>184</v>
      </c>
      <c r="J447" t="s">
        <v>166</v>
      </c>
      <c r="K447">
        <v>8.3874553119506819E-4</v>
      </c>
      <c r="L447" t="s">
        <v>159</v>
      </c>
      <c r="N447" t="s">
        <v>227</v>
      </c>
      <c r="O447" t="s">
        <v>166</v>
      </c>
      <c r="P447">
        <v>3.6133870950669942E-3</v>
      </c>
      <c r="Q447" t="s">
        <v>159</v>
      </c>
      <c r="S447" t="s">
        <v>269</v>
      </c>
      <c r="T447" t="s">
        <v>166</v>
      </c>
      <c r="U447">
        <v>4.0664135408410226E-3</v>
      </c>
      <c r="V447" t="s">
        <v>159</v>
      </c>
    </row>
    <row r="448" spans="9:22" x14ac:dyDescent="0.45">
      <c r="I448" t="s">
        <v>184</v>
      </c>
      <c r="J448" t="s">
        <v>167</v>
      </c>
      <c r="K448">
        <v>5.1420440690222287E-2</v>
      </c>
      <c r="L448" t="s">
        <v>159</v>
      </c>
      <c r="N448" t="s">
        <v>227</v>
      </c>
      <c r="O448" t="s">
        <v>167</v>
      </c>
      <c r="P448">
        <v>3.8861230579404153E-2</v>
      </c>
      <c r="Q448" t="s">
        <v>159</v>
      </c>
      <c r="S448" t="s">
        <v>269</v>
      </c>
      <c r="T448" t="s">
        <v>167</v>
      </c>
      <c r="U448">
        <v>3.7723767609007877E-2</v>
      </c>
      <c r="V448" t="s">
        <v>159</v>
      </c>
    </row>
    <row r="449" spans="9:22" x14ac:dyDescent="0.45">
      <c r="I449" t="s">
        <v>184</v>
      </c>
      <c r="J449" t="s">
        <v>291</v>
      </c>
      <c r="K449">
        <v>0</v>
      </c>
      <c r="L449" t="s">
        <v>159</v>
      </c>
      <c r="N449" t="s">
        <v>227</v>
      </c>
      <c r="O449" t="s">
        <v>291</v>
      </c>
      <c r="P449">
        <v>4.318084725104779E-3</v>
      </c>
      <c r="Q449" t="s">
        <v>159</v>
      </c>
      <c r="S449" t="s">
        <v>269</v>
      </c>
      <c r="T449" t="s">
        <v>291</v>
      </c>
      <c r="U449">
        <v>3.9282739700971609E-3</v>
      </c>
      <c r="V449" t="s">
        <v>159</v>
      </c>
    </row>
    <row r="450" spans="9:22" x14ac:dyDescent="0.45">
      <c r="I450" t="s">
        <v>184</v>
      </c>
      <c r="J450" t="s">
        <v>292</v>
      </c>
      <c r="K450">
        <v>0</v>
      </c>
      <c r="L450" t="s">
        <v>159</v>
      </c>
      <c r="N450" t="s">
        <v>227</v>
      </c>
      <c r="O450" t="s">
        <v>292</v>
      </c>
      <c r="P450">
        <v>2.0239314912552691E-2</v>
      </c>
      <c r="Q450" t="s">
        <v>159</v>
      </c>
      <c r="S450" t="s">
        <v>269</v>
      </c>
      <c r="T450" t="s">
        <v>292</v>
      </c>
      <c r="U450">
        <v>2.148790016208782E-2</v>
      </c>
      <c r="V450" t="s">
        <v>159</v>
      </c>
    </row>
    <row r="451" spans="9:22" x14ac:dyDescent="0.45">
      <c r="I451" t="s">
        <v>184</v>
      </c>
      <c r="J451" t="s">
        <v>293</v>
      </c>
      <c r="K451">
        <v>0</v>
      </c>
      <c r="L451" t="s">
        <v>159</v>
      </c>
      <c r="N451" t="s">
        <v>227</v>
      </c>
      <c r="O451" t="s">
        <v>293</v>
      </c>
      <c r="P451">
        <v>6.1941803512479124E-3</v>
      </c>
      <c r="Q451" t="s">
        <v>159</v>
      </c>
      <c r="S451" t="s">
        <v>269</v>
      </c>
      <c r="T451" t="s">
        <v>293</v>
      </c>
      <c r="U451">
        <v>4.5288788051253276E-3</v>
      </c>
      <c r="V451" t="s">
        <v>159</v>
      </c>
    </row>
    <row r="452" spans="9:22" x14ac:dyDescent="0.45">
      <c r="I452" t="s">
        <v>184</v>
      </c>
      <c r="J452" t="s">
        <v>294</v>
      </c>
      <c r="K452">
        <v>9.5438563958694393E-4</v>
      </c>
      <c r="L452" t="s">
        <v>159</v>
      </c>
      <c r="N452" t="s">
        <v>227</v>
      </c>
      <c r="O452" t="s">
        <v>294</v>
      </c>
      <c r="P452">
        <v>7.1550575637423914E-4</v>
      </c>
      <c r="Q452" t="s">
        <v>159</v>
      </c>
      <c r="S452" t="s">
        <v>269</v>
      </c>
      <c r="T452" t="s">
        <v>294</v>
      </c>
      <c r="U452">
        <v>6.0315102566072909E-4</v>
      </c>
      <c r="V452" t="s">
        <v>159</v>
      </c>
    </row>
    <row r="453" spans="9:22" x14ac:dyDescent="0.45">
      <c r="I453" t="s">
        <v>184</v>
      </c>
      <c r="J453" t="s">
        <v>295</v>
      </c>
      <c r="K453">
        <v>1.3849699499125035E-2</v>
      </c>
      <c r="L453" t="s">
        <v>159</v>
      </c>
      <c r="N453" t="s">
        <v>227</v>
      </c>
      <c r="O453" t="s">
        <v>295</v>
      </c>
      <c r="P453">
        <v>9.58186050629504E-3</v>
      </c>
      <c r="Q453" t="s">
        <v>159</v>
      </c>
      <c r="S453" t="s">
        <v>269</v>
      </c>
      <c r="T453" t="s">
        <v>295</v>
      </c>
      <c r="U453">
        <v>7.1588989901817017E-3</v>
      </c>
      <c r="V453" t="s">
        <v>159</v>
      </c>
    </row>
    <row r="454" spans="9:22" x14ac:dyDescent="0.45">
      <c r="I454" t="s">
        <v>184</v>
      </c>
      <c r="J454" t="s">
        <v>296</v>
      </c>
      <c r="K454">
        <v>0</v>
      </c>
      <c r="L454" t="s">
        <v>159</v>
      </c>
      <c r="N454" t="s">
        <v>227</v>
      </c>
      <c r="O454" t="s">
        <v>296</v>
      </c>
      <c r="P454">
        <v>1.2459101844245674E-3</v>
      </c>
      <c r="Q454" t="s">
        <v>159</v>
      </c>
      <c r="S454" t="s">
        <v>269</v>
      </c>
      <c r="T454" t="s">
        <v>296</v>
      </c>
      <c r="U454">
        <v>7.1518331589202379E-4</v>
      </c>
      <c r="V454" t="s">
        <v>159</v>
      </c>
    </row>
    <row r="455" spans="9:22" x14ac:dyDescent="0.45">
      <c r="I455" t="s">
        <v>184</v>
      </c>
      <c r="J455" t="s">
        <v>297</v>
      </c>
      <c r="K455">
        <v>0</v>
      </c>
      <c r="L455" t="s">
        <v>159</v>
      </c>
      <c r="N455" t="s">
        <v>227</v>
      </c>
      <c r="O455" t="s">
        <v>297</v>
      </c>
      <c r="P455">
        <v>5.3902514773875136E-3</v>
      </c>
      <c r="Q455" t="s">
        <v>159</v>
      </c>
      <c r="S455" t="s">
        <v>269</v>
      </c>
      <c r="T455" t="s">
        <v>297</v>
      </c>
      <c r="U455">
        <v>2.594620020123862E-3</v>
      </c>
      <c r="V455" t="s">
        <v>159</v>
      </c>
    </row>
    <row r="456" spans="9:22" x14ac:dyDescent="0.45">
      <c r="I456" t="s">
        <v>184</v>
      </c>
      <c r="J456" t="s">
        <v>298</v>
      </c>
      <c r="K456">
        <v>1.4269781134994492E-2</v>
      </c>
      <c r="L456" t="s">
        <v>159</v>
      </c>
      <c r="N456" t="s">
        <v>227</v>
      </c>
      <c r="O456" t="s">
        <v>298</v>
      </c>
      <c r="P456">
        <v>9.2717704671408607E-2</v>
      </c>
      <c r="Q456" t="s">
        <v>159</v>
      </c>
      <c r="S456" t="s">
        <v>269</v>
      </c>
      <c r="T456" t="s">
        <v>298</v>
      </c>
      <c r="U456">
        <v>9.9302059453552138E-2</v>
      </c>
      <c r="V456" t="s">
        <v>159</v>
      </c>
    </row>
    <row r="457" spans="9:22" x14ac:dyDescent="0.45">
      <c r="I457" t="s">
        <v>184</v>
      </c>
      <c r="J457" t="s">
        <v>299</v>
      </c>
      <c r="K457">
        <v>2.5311079505542608E-2</v>
      </c>
      <c r="L457" t="s">
        <v>159</v>
      </c>
      <c r="N457" t="s">
        <v>227</v>
      </c>
      <c r="O457" t="s">
        <v>299</v>
      </c>
      <c r="P457">
        <v>1.3434260699502017E-2</v>
      </c>
      <c r="Q457" t="s">
        <v>159</v>
      </c>
      <c r="S457" t="s">
        <v>269</v>
      </c>
      <c r="T457" t="s">
        <v>299</v>
      </c>
      <c r="U457">
        <v>1.3853159255311326E-2</v>
      </c>
      <c r="V457" t="s">
        <v>159</v>
      </c>
    </row>
    <row r="458" spans="9:22" x14ac:dyDescent="0.45">
      <c r="I458" t="s">
        <v>184</v>
      </c>
      <c r="J458" t="s">
        <v>300</v>
      </c>
      <c r="K458">
        <v>0.367614133163984</v>
      </c>
      <c r="L458" t="s">
        <v>159</v>
      </c>
      <c r="N458" t="s">
        <v>227</v>
      </c>
      <c r="O458" t="s">
        <v>300</v>
      </c>
      <c r="P458">
        <v>0.16548234278618518</v>
      </c>
      <c r="Q458" t="s">
        <v>159</v>
      </c>
      <c r="S458" t="s">
        <v>269</v>
      </c>
      <c r="T458" t="s">
        <v>300</v>
      </c>
      <c r="U458">
        <v>0.15701442722797715</v>
      </c>
      <c r="V458" t="s">
        <v>159</v>
      </c>
    </row>
    <row r="459" spans="9:22" x14ac:dyDescent="0.45">
      <c r="I459" t="s">
        <v>184</v>
      </c>
      <c r="J459" t="s">
        <v>301</v>
      </c>
      <c r="K459">
        <v>1.7911005210875929E-2</v>
      </c>
      <c r="L459" t="s">
        <v>159</v>
      </c>
      <c r="N459" t="s">
        <v>227</v>
      </c>
      <c r="O459" t="s">
        <v>301</v>
      </c>
      <c r="P459">
        <v>1.7324911645612034E-2</v>
      </c>
      <c r="Q459" t="s">
        <v>159</v>
      </c>
      <c r="S459" t="s">
        <v>269</v>
      </c>
      <c r="T459" t="s">
        <v>301</v>
      </c>
      <c r="U459">
        <v>1.6439817144250829E-2</v>
      </c>
      <c r="V459" t="s">
        <v>159</v>
      </c>
    </row>
    <row r="460" spans="9:22" x14ac:dyDescent="0.45">
      <c r="I460" t="s">
        <v>184</v>
      </c>
      <c r="J460" t="s">
        <v>302</v>
      </c>
      <c r="K460">
        <v>3.8721514169582673E-3</v>
      </c>
      <c r="L460" t="s">
        <v>159</v>
      </c>
      <c r="N460" t="s">
        <v>227</v>
      </c>
      <c r="O460" t="s">
        <v>302</v>
      </c>
      <c r="P460">
        <v>7.5894298877316649E-2</v>
      </c>
      <c r="Q460" t="s">
        <v>159</v>
      </c>
      <c r="S460" t="s">
        <v>269</v>
      </c>
      <c r="T460" t="s">
        <v>302</v>
      </c>
      <c r="U460">
        <v>7.3057514991576242E-2</v>
      </c>
      <c r="V460" t="s">
        <v>159</v>
      </c>
    </row>
    <row r="461" spans="9:22" x14ac:dyDescent="0.45">
      <c r="I461" t="s">
        <v>185</v>
      </c>
      <c r="J461" t="s">
        <v>158</v>
      </c>
      <c r="K461">
        <v>8.8601583874263565E-3</v>
      </c>
      <c r="L461" t="s">
        <v>159</v>
      </c>
      <c r="N461" t="s">
        <v>228</v>
      </c>
      <c r="O461" t="s">
        <v>158</v>
      </c>
      <c r="P461">
        <v>0.1087259379561907</v>
      </c>
      <c r="Q461" t="s">
        <v>159</v>
      </c>
      <c r="S461" t="s">
        <v>270</v>
      </c>
      <c r="T461" t="s">
        <v>158</v>
      </c>
      <c r="U461">
        <v>0.12430683772082177</v>
      </c>
      <c r="V461" t="s">
        <v>159</v>
      </c>
    </row>
    <row r="462" spans="9:22" x14ac:dyDescent="0.45">
      <c r="I462" t="s">
        <v>185</v>
      </c>
      <c r="J462" t="s">
        <v>160</v>
      </c>
      <c r="K462">
        <v>2.4557718835529461E-2</v>
      </c>
      <c r="L462" t="s">
        <v>159</v>
      </c>
      <c r="N462" t="s">
        <v>228</v>
      </c>
      <c r="O462" t="s">
        <v>160</v>
      </c>
      <c r="P462">
        <v>1.4454045267689838E-2</v>
      </c>
      <c r="Q462" t="s">
        <v>159</v>
      </c>
      <c r="S462" t="s">
        <v>270</v>
      </c>
      <c r="T462" t="s">
        <v>160</v>
      </c>
      <c r="U462">
        <v>1.7289854119226785E-2</v>
      </c>
      <c r="V462" t="s">
        <v>159</v>
      </c>
    </row>
    <row r="463" spans="9:22" x14ac:dyDescent="0.45">
      <c r="I463" t="s">
        <v>185</v>
      </c>
      <c r="J463" t="s">
        <v>161</v>
      </c>
      <c r="K463">
        <v>0.40545139681970116</v>
      </c>
      <c r="L463" t="s">
        <v>159</v>
      </c>
      <c r="N463" t="s">
        <v>228</v>
      </c>
      <c r="O463" t="s">
        <v>161</v>
      </c>
      <c r="P463">
        <v>0.20165217061273483</v>
      </c>
      <c r="Q463" t="s">
        <v>159</v>
      </c>
      <c r="S463" t="s">
        <v>270</v>
      </c>
      <c r="T463" t="s">
        <v>161</v>
      </c>
      <c r="U463">
        <v>0.17745162664004643</v>
      </c>
      <c r="V463" t="s">
        <v>159</v>
      </c>
    </row>
    <row r="464" spans="9:22" x14ac:dyDescent="0.45">
      <c r="I464" t="s">
        <v>185</v>
      </c>
      <c r="J464" t="s">
        <v>287</v>
      </c>
      <c r="K464">
        <v>1.7207066099815552E-2</v>
      </c>
      <c r="L464" t="s">
        <v>159</v>
      </c>
      <c r="N464" t="s">
        <v>228</v>
      </c>
      <c r="O464" t="s">
        <v>287</v>
      </c>
      <c r="P464">
        <v>2.5344314996356802E-2</v>
      </c>
      <c r="Q464" t="s">
        <v>159</v>
      </c>
      <c r="S464" t="s">
        <v>270</v>
      </c>
      <c r="T464" t="s">
        <v>287</v>
      </c>
      <c r="U464">
        <v>1.8914440698415153E-2</v>
      </c>
      <c r="V464" t="s">
        <v>159</v>
      </c>
    </row>
    <row r="465" spans="9:22" x14ac:dyDescent="0.45">
      <c r="I465" t="s">
        <v>185</v>
      </c>
      <c r="J465" t="s">
        <v>288</v>
      </c>
      <c r="K465">
        <v>5.1075501163643641E-3</v>
      </c>
      <c r="L465" t="s">
        <v>159</v>
      </c>
      <c r="N465" t="s">
        <v>228</v>
      </c>
      <c r="O465" t="s">
        <v>288</v>
      </c>
      <c r="P465">
        <v>9.7839627215380087E-2</v>
      </c>
      <c r="Q465" t="s">
        <v>159</v>
      </c>
      <c r="S465" t="s">
        <v>270</v>
      </c>
      <c r="T465" t="s">
        <v>288</v>
      </c>
      <c r="U465">
        <v>8.9720467089477868E-2</v>
      </c>
      <c r="V465" t="s">
        <v>159</v>
      </c>
    </row>
    <row r="466" spans="9:22" x14ac:dyDescent="0.45">
      <c r="I466" t="s">
        <v>185</v>
      </c>
      <c r="J466" t="s">
        <v>162</v>
      </c>
      <c r="K466">
        <v>0</v>
      </c>
      <c r="L466" t="s">
        <v>159</v>
      </c>
      <c r="N466" t="s">
        <v>228</v>
      </c>
      <c r="O466" t="s">
        <v>162</v>
      </c>
      <c r="P466">
        <v>1.2595945792655158E-2</v>
      </c>
      <c r="Q466" t="s">
        <v>159</v>
      </c>
      <c r="S466" t="s">
        <v>270</v>
      </c>
      <c r="T466" t="s">
        <v>162</v>
      </c>
      <c r="U466">
        <v>2.5280412938209127E-2</v>
      </c>
      <c r="V466" t="s">
        <v>159</v>
      </c>
    </row>
    <row r="467" spans="9:22" x14ac:dyDescent="0.45">
      <c r="I467" t="s">
        <v>185</v>
      </c>
      <c r="J467" t="s">
        <v>163</v>
      </c>
      <c r="K467">
        <v>0</v>
      </c>
      <c r="L467" t="s">
        <v>159</v>
      </c>
      <c r="N467" t="s">
        <v>228</v>
      </c>
      <c r="O467" t="s">
        <v>163</v>
      </c>
      <c r="P467">
        <v>1.8300703818145303E-3</v>
      </c>
      <c r="Q467" t="s">
        <v>159</v>
      </c>
      <c r="S467" t="s">
        <v>270</v>
      </c>
      <c r="T467" t="s">
        <v>163</v>
      </c>
      <c r="U467">
        <v>3.6870322030134943E-3</v>
      </c>
      <c r="V467" t="s">
        <v>159</v>
      </c>
    </row>
    <row r="468" spans="9:22" x14ac:dyDescent="0.45">
      <c r="I468" t="s">
        <v>185</v>
      </c>
      <c r="J468" t="s">
        <v>164</v>
      </c>
      <c r="K468">
        <v>3.7372747655875838E-2</v>
      </c>
      <c r="L468" t="s">
        <v>159</v>
      </c>
      <c r="N468" t="s">
        <v>228</v>
      </c>
      <c r="O468" t="s">
        <v>164</v>
      </c>
      <c r="P468">
        <v>2.9445728283144658E-2</v>
      </c>
      <c r="Q468" t="s">
        <v>159</v>
      </c>
      <c r="S468" t="s">
        <v>270</v>
      </c>
      <c r="T468" t="s">
        <v>164</v>
      </c>
      <c r="U468">
        <v>3.0823623187356909E-2</v>
      </c>
      <c r="V468" t="s">
        <v>159</v>
      </c>
    </row>
    <row r="469" spans="9:22" x14ac:dyDescent="0.45">
      <c r="I469" t="s">
        <v>185</v>
      </c>
      <c r="J469" t="s">
        <v>289</v>
      </c>
      <c r="K469">
        <v>0</v>
      </c>
      <c r="L469" t="s">
        <v>159</v>
      </c>
      <c r="N469" t="s">
        <v>228</v>
      </c>
      <c r="O469" t="s">
        <v>289</v>
      </c>
      <c r="P469">
        <v>3.1458945045607645E-3</v>
      </c>
      <c r="Q469" t="s">
        <v>159</v>
      </c>
      <c r="S469" t="s">
        <v>270</v>
      </c>
      <c r="T469" t="s">
        <v>289</v>
      </c>
      <c r="U469">
        <v>2.8695817084840396E-3</v>
      </c>
      <c r="V469" t="s">
        <v>159</v>
      </c>
    </row>
    <row r="470" spans="9:22" x14ac:dyDescent="0.45">
      <c r="I470" t="s">
        <v>185</v>
      </c>
      <c r="J470" t="s">
        <v>290</v>
      </c>
      <c r="K470">
        <v>0</v>
      </c>
      <c r="L470" t="s">
        <v>159</v>
      </c>
      <c r="N470" t="s">
        <v>228</v>
      </c>
      <c r="O470" t="s">
        <v>290</v>
      </c>
      <c r="P470">
        <v>1.1627069255015544E-2</v>
      </c>
      <c r="Q470" t="s">
        <v>159</v>
      </c>
      <c r="S470" t="s">
        <v>270</v>
      </c>
      <c r="T470" t="s">
        <v>290</v>
      </c>
      <c r="U470">
        <v>1.4838177169373835E-2</v>
      </c>
      <c r="V470" t="s">
        <v>159</v>
      </c>
    </row>
    <row r="471" spans="9:22" x14ac:dyDescent="0.45">
      <c r="I471" t="s">
        <v>185</v>
      </c>
      <c r="J471" t="s">
        <v>165</v>
      </c>
      <c r="K471">
        <v>0</v>
      </c>
      <c r="L471" t="s">
        <v>159</v>
      </c>
      <c r="N471" t="s">
        <v>228</v>
      </c>
      <c r="O471" t="s">
        <v>165</v>
      </c>
      <c r="P471">
        <v>1.7336377036388462E-2</v>
      </c>
      <c r="Q471" t="s">
        <v>159</v>
      </c>
      <c r="S471" t="s">
        <v>270</v>
      </c>
      <c r="T471" t="s">
        <v>165</v>
      </c>
      <c r="U471">
        <v>2.9523180317517054E-2</v>
      </c>
      <c r="V471" t="s">
        <v>159</v>
      </c>
    </row>
    <row r="472" spans="9:22" x14ac:dyDescent="0.45">
      <c r="I472" t="s">
        <v>185</v>
      </c>
      <c r="J472" t="s">
        <v>166</v>
      </c>
      <c r="K472">
        <v>1.4553882229545348E-3</v>
      </c>
      <c r="L472" t="s">
        <v>159</v>
      </c>
      <c r="N472" t="s">
        <v>228</v>
      </c>
      <c r="O472" t="s">
        <v>166</v>
      </c>
      <c r="P472">
        <v>2.9438050316058623E-3</v>
      </c>
      <c r="Q472" t="s">
        <v>159</v>
      </c>
      <c r="S472" t="s">
        <v>270</v>
      </c>
      <c r="T472" t="s">
        <v>166</v>
      </c>
      <c r="U472">
        <v>4.226140432726018E-3</v>
      </c>
      <c r="V472" t="s">
        <v>159</v>
      </c>
    </row>
    <row r="473" spans="9:22" x14ac:dyDescent="0.45">
      <c r="I473" t="s">
        <v>185</v>
      </c>
      <c r="J473" t="s">
        <v>167</v>
      </c>
      <c r="K473">
        <v>5.2490258416391017E-2</v>
      </c>
      <c r="L473" t="s">
        <v>159</v>
      </c>
      <c r="N473" t="s">
        <v>228</v>
      </c>
      <c r="O473" t="s">
        <v>167</v>
      </c>
      <c r="P473">
        <v>3.2631383267900785E-2</v>
      </c>
      <c r="Q473" t="s">
        <v>159</v>
      </c>
      <c r="S473" t="s">
        <v>270</v>
      </c>
      <c r="T473" t="s">
        <v>167</v>
      </c>
      <c r="U473">
        <v>4.3795248925056353E-2</v>
      </c>
      <c r="V473" t="s">
        <v>159</v>
      </c>
    </row>
    <row r="474" spans="9:22" x14ac:dyDescent="0.45">
      <c r="I474" t="s">
        <v>185</v>
      </c>
      <c r="J474" t="s">
        <v>291</v>
      </c>
      <c r="K474">
        <v>0</v>
      </c>
      <c r="L474" t="s">
        <v>159</v>
      </c>
      <c r="N474" t="s">
        <v>228</v>
      </c>
      <c r="O474" t="s">
        <v>291</v>
      </c>
      <c r="P474">
        <v>3.9597576760879794E-3</v>
      </c>
      <c r="Q474" t="s">
        <v>159</v>
      </c>
      <c r="S474" t="s">
        <v>270</v>
      </c>
      <c r="T474" t="s">
        <v>291</v>
      </c>
      <c r="U474">
        <v>4.551072872123159E-3</v>
      </c>
      <c r="V474" t="s">
        <v>159</v>
      </c>
    </row>
    <row r="475" spans="9:22" x14ac:dyDescent="0.45">
      <c r="I475" t="s">
        <v>185</v>
      </c>
      <c r="J475" t="s">
        <v>292</v>
      </c>
      <c r="K475">
        <v>0</v>
      </c>
      <c r="L475" t="s">
        <v>159</v>
      </c>
      <c r="N475" t="s">
        <v>228</v>
      </c>
      <c r="O475" t="s">
        <v>292</v>
      </c>
      <c r="P475">
        <v>1.3280515582458966E-2</v>
      </c>
      <c r="Q475" t="s">
        <v>159</v>
      </c>
      <c r="S475" t="s">
        <v>270</v>
      </c>
      <c r="T475" t="s">
        <v>292</v>
      </c>
      <c r="U475">
        <v>2.2933544453989256E-2</v>
      </c>
      <c r="V475" t="s">
        <v>159</v>
      </c>
    </row>
    <row r="476" spans="9:22" x14ac:dyDescent="0.45">
      <c r="I476" t="s">
        <v>185</v>
      </c>
      <c r="J476" t="s">
        <v>293</v>
      </c>
      <c r="K476">
        <v>0</v>
      </c>
      <c r="L476" t="s">
        <v>159</v>
      </c>
      <c r="N476" t="s">
        <v>228</v>
      </c>
      <c r="O476" t="s">
        <v>293</v>
      </c>
      <c r="P476">
        <v>8.4629359110779262E-3</v>
      </c>
      <c r="Q476" t="s">
        <v>159</v>
      </c>
      <c r="S476" t="s">
        <v>270</v>
      </c>
      <c r="T476" t="s">
        <v>293</v>
      </c>
      <c r="U476">
        <v>3.9552932571968787E-3</v>
      </c>
      <c r="V476" t="s">
        <v>159</v>
      </c>
    </row>
    <row r="477" spans="9:22" x14ac:dyDescent="0.45">
      <c r="I477" t="s">
        <v>185</v>
      </c>
      <c r="J477" t="s">
        <v>294</v>
      </c>
      <c r="K477">
        <v>1.007335982427787E-3</v>
      </c>
      <c r="L477" t="s">
        <v>159</v>
      </c>
      <c r="N477" t="s">
        <v>228</v>
      </c>
      <c r="O477" t="s">
        <v>294</v>
      </c>
      <c r="P477">
        <v>1.1413475457297179E-3</v>
      </c>
      <c r="Q477" t="s">
        <v>159</v>
      </c>
      <c r="S477" t="s">
        <v>270</v>
      </c>
      <c r="T477" t="s">
        <v>294</v>
      </c>
      <c r="U477">
        <v>6.3260266845544617E-4</v>
      </c>
      <c r="V477" t="s">
        <v>159</v>
      </c>
    </row>
    <row r="478" spans="9:22" x14ac:dyDescent="0.45">
      <c r="I478" t="s">
        <v>185</v>
      </c>
      <c r="J478" t="s">
        <v>295</v>
      </c>
      <c r="K478">
        <v>1.5630338917834927E-2</v>
      </c>
      <c r="L478" t="s">
        <v>159</v>
      </c>
      <c r="N478" t="s">
        <v>228</v>
      </c>
      <c r="O478" t="s">
        <v>295</v>
      </c>
      <c r="P478">
        <v>1.0152687963722356E-2</v>
      </c>
      <c r="Q478" t="s">
        <v>159</v>
      </c>
      <c r="S478" t="s">
        <v>270</v>
      </c>
      <c r="T478" t="s">
        <v>295</v>
      </c>
      <c r="U478">
        <v>7.6776678604243845E-3</v>
      </c>
      <c r="V478" t="s">
        <v>159</v>
      </c>
    </row>
    <row r="479" spans="9:22" x14ac:dyDescent="0.45">
      <c r="I479" t="s">
        <v>185</v>
      </c>
      <c r="J479" t="s">
        <v>296</v>
      </c>
      <c r="K479">
        <v>0</v>
      </c>
      <c r="L479" t="s">
        <v>159</v>
      </c>
      <c r="N479" t="s">
        <v>228</v>
      </c>
      <c r="O479" t="s">
        <v>296</v>
      </c>
      <c r="P479">
        <v>1.4600714587530391E-3</v>
      </c>
      <c r="Q479" t="s">
        <v>159</v>
      </c>
      <c r="S479" t="s">
        <v>270</v>
      </c>
      <c r="T479" t="s">
        <v>296</v>
      </c>
      <c r="U479">
        <v>7.8223418828545258E-4</v>
      </c>
      <c r="V479" t="s">
        <v>159</v>
      </c>
    </row>
    <row r="480" spans="9:22" x14ac:dyDescent="0.45">
      <c r="I480" t="s">
        <v>185</v>
      </c>
      <c r="J480" t="s">
        <v>297</v>
      </c>
      <c r="K480">
        <v>0</v>
      </c>
      <c r="L480" t="s">
        <v>159</v>
      </c>
      <c r="N480" t="s">
        <v>228</v>
      </c>
      <c r="O480" t="s">
        <v>297</v>
      </c>
      <c r="P480">
        <v>5.8549604209346242E-3</v>
      </c>
      <c r="Q480" t="s">
        <v>159</v>
      </c>
      <c r="S480" t="s">
        <v>270</v>
      </c>
      <c r="T480" t="s">
        <v>297</v>
      </c>
      <c r="U480">
        <v>3.3403453208360025E-3</v>
      </c>
      <c r="V480" t="s">
        <v>159</v>
      </c>
    </row>
    <row r="481" spans="9:22" x14ac:dyDescent="0.45">
      <c r="I481" t="s">
        <v>185</v>
      </c>
      <c r="J481" t="s">
        <v>298</v>
      </c>
      <c r="K481">
        <v>1.8582812743994283E-2</v>
      </c>
      <c r="L481" t="s">
        <v>159</v>
      </c>
      <c r="N481" t="s">
        <v>228</v>
      </c>
      <c r="O481" t="s">
        <v>298</v>
      </c>
      <c r="P481">
        <v>8.6536255830843997E-2</v>
      </c>
      <c r="Q481" t="s">
        <v>159</v>
      </c>
      <c r="S481" t="s">
        <v>270</v>
      </c>
      <c r="T481" t="s">
        <v>298</v>
      </c>
      <c r="U481">
        <v>0.10616523813906996</v>
      </c>
      <c r="V481" t="s">
        <v>159</v>
      </c>
    </row>
    <row r="482" spans="9:22" x14ac:dyDescent="0.45">
      <c r="I482" t="s">
        <v>185</v>
      </c>
      <c r="J482" t="s">
        <v>299</v>
      </c>
      <c r="K482">
        <v>2.6950309569257321E-2</v>
      </c>
      <c r="L482" t="s">
        <v>159</v>
      </c>
      <c r="N482" t="s">
        <v>228</v>
      </c>
      <c r="O482" t="s">
        <v>299</v>
      </c>
      <c r="P482">
        <v>1.1698935802543079E-2</v>
      </c>
      <c r="Q482" t="s">
        <v>159</v>
      </c>
      <c r="S482" t="s">
        <v>270</v>
      </c>
      <c r="T482" t="s">
        <v>299</v>
      </c>
      <c r="U482">
        <v>1.429144429905886E-2</v>
      </c>
      <c r="V482" t="s">
        <v>159</v>
      </c>
    </row>
    <row r="483" spans="9:22" x14ac:dyDescent="0.45">
      <c r="I483" t="s">
        <v>185</v>
      </c>
      <c r="J483" t="s">
        <v>300</v>
      </c>
      <c r="K483">
        <v>0.36668890043136587</v>
      </c>
      <c r="L483" t="s">
        <v>159</v>
      </c>
      <c r="N483" t="s">
        <v>228</v>
      </c>
      <c r="O483" t="s">
        <v>300</v>
      </c>
      <c r="P483">
        <v>0.19526339524278533</v>
      </c>
      <c r="Q483" t="s">
        <v>159</v>
      </c>
      <c r="S483" t="s">
        <v>270</v>
      </c>
      <c r="T483" t="s">
        <v>300</v>
      </c>
      <c r="U483">
        <v>0.15684301134350701</v>
      </c>
      <c r="V483" t="s">
        <v>159</v>
      </c>
    </row>
    <row r="484" spans="9:22" x14ac:dyDescent="0.45">
      <c r="I484" t="s">
        <v>185</v>
      </c>
      <c r="J484" t="s">
        <v>301</v>
      </c>
      <c r="K484">
        <v>1.56785188901599E-2</v>
      </c>
      <c r="L484" t="s">
        <v>159</v>
      </c>
      <c r="N484" t="s">
        <v>228</v>
      </c>
      <c r="O484" t="s">
        <v>301</v>
      </c>
      <c r="P484">
        <v>2.2519291063389266E-2</v>
      </c>
      <c r="Q484" t="s">
        <v>159</v>
      </c>
      <c r="S484" t="s">
        <v>270</v>
      </c>
      <c r="T484" t="s">
        <v>301</v>
      </c>
      <c r="U484">
        <v>1.6643310665003089E-2</v>
      </c>
      <c r="V484" t="s">
        <v>159</v>
      </c>
    </row>
    <row r="485" spans="9:22" x14ac:dyDescent="0.45">
      <c r="I485" t="s">
        <v>185</v>
      </c>
      <c r="J485" t="s">
        <v>302</v>
      </c>
      <c r="K485">
        <v>2.9594989109029799E-3</v>
      </c>
      <c r="L485" t="s">
        <v>159</v>
      </c>
      <c r="N485" t="s">
        <v>228</v>
      </c>
      <c r="O485" t="s">
        <v>302</v>
      </c>
      <c r="P485">
        <v>8.0097475900239759E-2</v>
      </c>
      <c r="Q485" t="s">
        <v>159</v>
      </c>
      <c r="S485" t="s">
        <v>270</v>
      </c>
      <c r="T485" t="s">
        <v>302</v>
      </c>
      <c r="U485">
        <v>7.9457611782324966E-2</v>
      </c>
      <c r="V485" t="s">
        <v>159</v>
      </c>
    </row>
    <row r="486" spans="9:22" x14ac:dyDescent="0.45">
      <c r="I486" t="s">
        <v>186</v>
      </c>
      <c r="J486" t="s">
        <v>158</v>
      </c>
      <c r="K486">
        <v>1.1135807075060504E-2</v>
      </c>
      <c r="L486" t="s">
        <v>159</v>
      </c>
      <c r="N486" t="s">
        <v>229</v>
      </c>
      <c r="O486" t="s">
        <v>158</v>
      </c>
      <c r="P486">
        <v>0.13623530850784163</v>
      </c>
      <c r="Q486" t="s">
        <v>159</v>
      </c>
      <c r="S486" t="s">
        <v>271</v>
      </c>
      <c r="T486" t="s">
        <v>158</v>
      </c>
      <c r="U486">
        <v>0.11292966908909058</v>
      </c>
      <c r="V486" t="s">
        <v>159</v>
      </c>
    </row>
    <row r="487" spans="9:22" x14ac:dyDescent="0.45">
      <c r="I487" t="s">
        <v>186</v>
      </c>
      <c r="J487" t="s">
        <v>160</v>
      </c>
      <c r="K487">
        <v>2.6954554616661453E-2</v>
      </c>
      <c r="L487" t="s">
        <v>159</v>
      </c>
      <c r="N487" t="s">
        <v>229</v>
      </c>
      <c r="O487" t="s">
        <v>160</v>
      </c>
      <c r="P487">
        <v>1.5978329388512354E-2</v>
      </c>
      <c r="Q487" t="s">
        <v>159</v>
      </c>
      <c r="S487" t="s">
        <v>271</v>
      </c>
      <c r="T487" t="s">
        <v>160</v>
      </c>
      <c r="U487">
        <v>1.6049096231233077E-2</v>
      </c>
      <c r="V487" t="s">
        <v>159</v>
      </c>
    </row>
    <row r="488" spans="9:22" x14ac:dyDescent="0.45">
      <c r="I488" t="s">
        <v>186</v>
      </c>
      <c r="J488" t="s">
        <v>161</v>
      </c>
      <c r="K488">
        <v>0.40506565217254176</v>
      </c>
      <c r="L488" t="s">
        <v>159</v>
      </c>
      <c r="N488" t="s">
        <v>229</v>
      </c>
      <c r="O488" t="s">
        <v>161</v>
      </c>
      <c r="P488">
        <v>0.14164168921920861</v>
      </c>
      <c r="Q488" t="s">
        <v>159</v>
      </c>
      <c r="S488" t="s">
        <v>271</v>
      </c>
      <c r="T488" t="s">
        <v>161</v>
      </c>
      <c r="U488">
        <v>0.19458918437667436</v>
      </c>
      <c r="V488" t="s">
        <v>159</v>
      </c>
    </row>
    <row r="489" spans="9:22" x14ac:dyDescent="0.45">
      <c r="I489" t="s">
        <v>186</v>
      </c>
      <c r="J489" t="s">
        <v>287</v>
      </c>
      <c r="K489">
        <v>1.5371258571065057E-2</v>
      </c>
      <c r="L489" t="s">
        <v>159</v>
      </c>
      <c r="N489" t="s">
        <v>229</v>
      </c>
      <c r="O489" t="s">
        <v>287</v>
      </c>
      <c r="P489">
        <v>1.8925627178248774E-2</v>
      </c>
      <c r="Q489" t="s">
        <v>159</v>
      </c>
      <c r="S489" t="s">
        <v>271</v>
      </c>
      <c r="T489" t="s">
        <v>287</v>
      </c>
      <c r="U489">
        <v>1.9660465008506406E-2</v>
      </c>
      <c r="V489" t="s">
        <v>159</v>
      </c>
    </row>
    <row r="490" spans="9:22" x14ac:dyDescent="0.45">
      <c r="I490" t="s">
        <v>186</v>
      </c>
      <c r="J490" t="s">
        <v>288</v>
      </c>
      <c r="K490">
        <v>2.9372053073119307E-3</v>
      </c>
      <c r="L490" t="s">
        <v>159</v>
      </c>
      <c r="N490" t="s">
        <v>229</v>
      </c>
      <c r="O490" t="s">
        <v>288</v>
      </c>
      <c r="P490">
        <v>0.12099864831249109</v>
      </c>
      <c r="Q490" t="s">
        <v>159</v>
      </c>
      <c r="S490" t="s">
        <v>271</v>
      </c>
      <c r="T490" t="s">
        <v>288</v>
      </c>
      <c r="U490">
        <v>8.9569564095100515E-2</v>
      </c>
      <c r="V490" t="s">
        <v>159</v>
      </c>
    </row>
    <row r="491" spans="9:22" x14ac:dyDescent="0.45">
      <c r="I491" t="s">
        <v>186</v>
      </c>
      <c r="J491" t="s">
        <v>162</v>
      </c>
      <c r="K491">
        <v>0</v>
      </c>
      <c r="L491" t="s">
        <v>159</v>
      </c>
      <c r="N491" t="s">
        <v>229</v>
      </c>
      <c r="O491" t="s">
        <v>162</v>
      </c>
      <c r="P491">
        <v>1.6990281453410635E-2</v>
      </c>
      <c r="Q491" t="s">
        <v>159</v>
      </c>
      <c r="S491" t="s">
        <v>271</v>
      </c>
      <c r="T491" t="s">
        <v>162</v>
      </c>
      <c r="U491">
        <v>2.5336555865313623E-2</v>
      </c>
      <c r="V491" t="s">
        <v>159</v>
      </c>
    </row>
    <row r="492" spans="9:22" x14ac:dyDescent="0.45">
      <c r="I492" t="s">
        <v>186</v>
      </c>
      <c r="J492" t="s">
        <v>163</v>
      </c>
      <c r="K492">
        <v>0</v>
      </c>
      <c r="L492" t="s">
        <v>159</v>
      </c>
      <c r="N492" t="s">
        <v>229</v>
      </c>
      <c r="O492" t="s">
        <v>163</v>
      </c>
      <c r="P492">
        <v>2.5186605765805106E-3</v>
      </c>
      <c r="Q492" t="s">
        <v>159</v>
      </c>
      <c r="S492" t="s">
        <v>271</v>
      </c>
      <c r="T492" t="s">
        <v>163</v>
      </c>
      <c r="U492">
        <v>3.4172357661989036E-3</v>
      </c>
      <c r="V492" t="s">
        <v>159</v>
      </c>
    </row>
    <row r="493" spans="9:22" x14ac:dyDescent="0.45">
      <c r="I493" t="s">
        <v>186</v>
      </c>
      <c r="J493" t="s">
        <v>164</v>
      </c>
      <c r="K493">
        <v>3.6897233156731463E-2</v>
      </c>
      <c r="L493" t="s">
        <v>159</v>
      </c>
      <c r="N493" t="s">
        <v>229</v>
      </c>
      <c r="O493" t="s">
        <v>164</v>
      </c>
      <c r="P493">
        <v>2.1386053329579231E-2</v>
      </c>
      <c r="Q493" t="s">
        <v>159</v>
      </c>
      <c r="S493" t="s">
        <v>271</v>
      </c>
      <c r="T493" t="s">
        <v>164</v>
      </c>
      <c r="U493">
        <v>3.3097590666676883E-2</v>
      </c>
      <c r="V493" t="s">
        <v>159</v>
      </c>
    </row>
    <row r="494" spans="9:22" x14ac:dyDescent="0.45">
      <c r="I494" t="s">
        <v>186</v>
      </c>
      <c r="J494" t="s">
        <v>289</v>
      </c>
      <c r="K494">
        <v>0</v>
      </c>
      <c r="L494" t="s">
        <v>159</v>
      </c>
      <c r="N494" t="s">
        <v>229</v>
      </c>
      <c r="O494" t="s">
        <v>289</v>
      </c>
      <c r="P494">
        <v>2.434193832587148E-3</v>
      </c>
      <c r="Q494" t="s">
        <v>159</v>
      </c>
      <c r="S494" t="s">
        <v>271</v>
      </c>
      <c r="T494" t="s">
        <v>289</v>
      </c>
      <c r="U494">
        <v>3.2255423913454982E-3</v>
      </c>
      <c r="V494" t="s">
        <v>159</v>
      </c>
    </row>
    <row r="495" spans="9:22" x14ac:dyDescent="0.45">
      <c r="I495" t="s">
        <v>186</v>
      </c>
      <c r="J495" t="s">
        <v>290</v>
      </c>
      <c r="K495">
        <v>0</v>
      </c>
      <c r="L495" t="s">
        <v>159</v>
      </c>
      <c r="N495" t="s">
        <v>229</v>
      </c>
      <c r="O495" t="s">
        <v>290</v>
      </c>
      <c r="P495">
        <v>1.4041267048437639E-2</v>
      </c>
      <c r="Q495" t="s">
        <v>159</v>
      </c>
      <c r="S495" t="s">
        <v>271</v>
      </c>
      <c r="T495" t="s">
        <v>290</v>
      </c>
      <c r="U495">
        <v>1.7324514464492111E-2</v>
      </c>
      <c r="V495" t="s">
        <v>159</v>
      </c>
    </row>
    <row r="496" spans="9:22" x14ac:dyDescent="0.45">
      <c r="I496" t="s">
        <v>186</v>
      </c>
      <c r="J496" t="s">
        <v>165</v>
      </c>
      <c r="K496">
        <v>0</v>
      </c>
      <c r="L496" t="s">
        <v>159</v>
      </c>
      <c r="N496" t="s">
        <v>229</v>
      </c>
      <c r="O496" t="s">
        <v>165</v>
      </c>
      <c r="P496">
        <v>2.4045407680398208E-2</v>
      </c>
      <c r="Q496" t="s">
        <v>159</v>
      </c>
      <c r="S496" t="s">
        <v>271</v>
      </c>
      <c r="T496" t="s">
        <v>165</v>
      </c>
      <c r="U496">
        <v>2.8262193942178687E-2</v>
      </c>
      <c r="V496" t="s">
        <v>159</v>
      </c>
    </row>
    <row r="497" spans="9:22" x14ac:dyDescent="0.45">
      <c r="I497" t="s">
        <v>186</v>
      </c>
      <c r="J497" t="s">
        <v>166</v>
      </c>
      <c r="K497">
        <v>2.6194774744159191E-3</v>
      </c>
      <c r="L497" t="s">
        <v>159</v>
      </c>
      <c r="N497" t="s">
        <v>229</v>
      </c>
      <c r="O497" t="s">
        <v>166</v>
      </c>
      <c r="P497">
        <v>3.0736719104771533E-3</v>
      </c>
      <c r="Q497" t="s">
        <v>159</v>
      </c>
      <c r="S497" t="s">
        <v>271</v>
      </c>
      <c r="T497" t="s">
        <v>166</v>
      </c>
      <c r="U497">
        <v>3.8650236676063066E-3</v>
      </c>
      <c r="V497" t="s">
        <v>159</v>
      </c>
    </row>
    <row r="498" spans="9:22" x14ac:dyDescent="0.45">
      <c r="I498" t="s">
        <v>186</v>
      </c>
      <c r="J498" t="s">
        <v>167</v>
      </c>
      <c r="K498">
        <v>5.2664239855560173E-2</v>
      </c>
      <c r="L498" t="s">
        <v>159</v>
      </c>
      <c r="N498" t="s">
        <v>229</v>
      </c>
      <c r="O498" t="s">
        <v>167</v>
      </c>
      <c r="P498">
        <v>2.4741937195008799E-2</v>
      </c>
      <c r="Q498" t="s">
        <v>159</v>
      </c>
      <c r="S498" t="s">
        <v>271</v>
      </c>
      <c r="T498" t="s">
        <v>167</v>
      </c>
      <c r="U498">
        <v>4.4097990736018042E-2</v>
      </c>
      <c r="V498" t="s">
        <v>159</v>
      </c>
    </row>
    <row r="499" spans="9:22" x14ac:dyDescent="0.45">
      <c r="I499" t="s">
        <v>186</v>
      </c>
      <c r="J499" t="s">
        <v>291</v>
      </c>
      <c r="K499">
        <v>0</v>
      </c>
      <c r="L499" t="s">
        <v>159</v>
      </c>
      <c r="N499" t="s">
        <v>229</v>
      </c>
      <c r="O499" t="s">
        <v>291</v>
      </c>
      <c r="P499">
        <v>2.8327663774784882E-3</v>
      </c>
      <c r="Q499" t="s">
        <v>159</v>
      </c>
      <c r="S499" t="s">
        <v>271</v>
      </c>
      <c r="T499" t="s">
        <v>291</v>
      </c>
      <c r="U499">
        <v>4.6341616449047194E-3</v>
      </c>
      <c r="V499" t="s">
        <v>159</v>
      </c>
    </row>
    <row r="500" spans="9:22" x14ac:dyDescent="0.45">
      <c r="I500" t="s">
        <v>186</v>
      </c>
      <c r="J500" t="s">
        <v>292</v>
      </c>
      <c r="K500">
        <v>0</v>
      </c>
      <c r="L500" t="s">
        <v>159</v>
      </c>
      <c r="N500" t="s">
        <v>229</v>
      </c>
      <c r="O500" t="s">
        <v>292</v>
      </c>
      <c r="P500">
        <v>1.8116434443316225E-2</v>
      </c>
      <c r="Q500" t="s">
        <v>159</v>
      </c>
      <c r="S500" t="s">
        <v>271</v>
      </c>
      <c r="T500" t="s">
        <v>292</v>
      </c>
      <c r="U500">
        <v>2.3062733971423957E-2</v>
      </c>
      <c r="V500" t="s">
        <v>159</v>
      </c>
    </row>
    <row r="501" spans="9:22" x14ac:dyDescent="0.45">
      <c r="I501" t="s">
        <v>186</v>
      </c>
      <c r="J501" t="s">
        <v>293</v>
      </c>
      <c r="K501">
        <v>0</v>
      </c>
      <c r="L501" t="s">
        <v>159</v>
      </c>
      <c r="N501" t="s">
        <v>229</v>
      </c>
      <c r="O501" t="s">
        <v>293</v>
      </c>
      <c r="P501">
        <v>5.8256383659931873E-3</v>
      </c>
      <c r="Q501" t="s">
        <v>159</v>
      </c>
      <c r="S501" t="s">
        <v>271</v>
      </c>
      <c r="T501" t="s">
        <v>293</v>
      </c>
      <c r="U501">
        <v>3.1538263558586899E-3</v>
      </c>
      <c r="V501" t="s">
        <v>159</v>
      </c>
    </row>
    <row r="502" spans="9:22" x14ac:dyDescent="0.45">
      <c r="I502" t="s">
        <v>186</v>
      </c>
      <c r="J502" t="s">
        <v>294</v>
      </c>
      <c r="K502">
        <v>1.0402130591950689E-3</v>
      </c>
      <c r="L502" t="s">
        <v>159</v>
      </c>
      <c r="N502" t="s">
        <v>229</v>
      </c>
      <c r="O502" t="s">
        <v>294</v>
      </c>
      <c r="P502">
        <v>6.4645339398603245E-4</v>
      </c>
      <c r="Q502" t="s">
        <v>159</v>
      </c>
      <c r="S502" t="s">
        <v>271</v>
      </c>
      <c r="T502" t="s">
        <v>294</v>
      </c>
      <c r="U502">
        <v>5.1166612445598851E-4</v>
      </c>
      <c r="V502" t="s">
        <v>159</v>
      </c>
    </row>
    <row r="503" spans="9:22" x14ac:dyDescent="0.45">
      <c r="I503" t="s">
        <v>186</v>
      </c>
      <c r="J503" t="s">
        <v>295</v>
      </c>
      <c r="K503">
        <v>1.6366105064145181E-2</v>
      </c>
      <c r="L503" t="s">
        <v>159</v>
      </c>
      <c r="N503" t="s">
        <v>229</v>
      </c>
      <c r="O503" t="s">
        <v>295</v>
      </c>
      <c r="P503">
        <v>7.3262950015559993E-3</v>
      </c>
      <c r="Q503" t="s">
        <v>159</v>
      </c>
      <c r="S503" t="s">
        <v>271</v>
      </c>
      <c r="T503" t="s">
        <v>295</v>
      </c>
      <c r="U503">
        <v>6.1272264386092326E-3</v>
      </c>
      <c r="V503" t="s">
        <v>159</v>
      </c>
    </row>
    <row r="504" spans="9:22" x14ac:dyDescent="0.45">
      <c r="I504" t="s">
        <v>186</v>
      </c>
      <c r="J504" t="s">
        <v>296</v>
      </c>
      <c r="K504">
        <v>0</v>
      </c>
      <c r="L504" t="s">
        <v>159</v>
      </c>
      <c r="N504" t="s">
        <v>229</v>
      </c>
      <c r="O504" t="s">
        <v>296</v>
      </c>
      <c r="P504">
        <v>1.3119493405759968E-3</v>
      </c>
      <c r="Q504" t="s">
        <v>159</v>
      </c>
      <c r="S504" t="s">
        <v>271</v>
      </c>
      <c r="T504" t="s">
        <v>296</v>
      </c>
      <c r="U504">
        <v>4.702437032983234E-4</v>
      </c>
      <c r="V504" t="s">
        <v>159</v>
      </c>
    </row>
    <row r="505" spans="9:22" x14ac:dyDescent="0.45">
      <c r="I505" t="s">
        <v>186</v>
      </c>
      <c r="J505" t="s">
        <v>297</v>
      </c>
      <c r="K505">
        <v>0</v>
      </c>
      <c r="L505" t="s">
        <v>159</v>
      </c>
      <c r="N505" t="s">
        <v>229</v>
      </c>
      <c r="O505" t="s">
        <v>297</v>
      </c>
      <c r="P505">
        <v>7.3528793011077452E-3</v>
      </c>
      <c r="Q505" t="s">
        <v>159</v>
      </c>
      <c r="S505" t="s">
        <v>271</v>
      </c>
      <c r="T505" t="s">
        <v>297</v>
      </c>
      <c r="U505">
        <v>1.5297918761242003E-3</v>
      </c>
      <c r="V505" t="s">
        <v>159</v>
      </c>
    </row>
    <row r="506" spans="9:22" x14ac:dyDescent="0.45">
      <c r="I506" t="s">
        <v>186</v>
      </c>
      <c r="J506" t="s">
        <v>298</v>
      </c>
      <c r="K506">
        <v>2.3505837886947926E-2</v>
      </c>
      <c r="L506" t="s">
        <v>159</v>
      </c>
      <c r="N506" t="s">
        <v>229</v>
      </c>
      <c r="O506" t="s">
        <v>298</v>
      </c>
      <c r="P506">
        <v>0.12059187501214572</v>
      </c>
      <c r="Q506" t="s">
        <v>159</v>
      </c>
      <c r="S506" t="s">
        <v>271</v>
      </c>
      <c r="T506" t="s">
        <v>298</v>
      </c>
      <c r="U506">
        <v>9.5182730706584437E-2</v>
      </c>
      <c r="V506" t="s">
        <v>159</v>
      </c>
    </row>
    <row r="507" spans="9:22" x14ac:dyDescent="0.45">
      <c r="I507" t="s">
        <v>186</v>
      </c>
      <c r="J507" t="s">
        <v>299</v>
      </c>
      <c r="K507">
        <v>2.8284060553671081E-2</v>
      </c>
      <c r="L507" t="s">
        <v>159</v>
      </c>
      <c r="N507" t="s">
        <v>229</v>
      </c>
      <c r="O507" t="s">
        <v>299</v>
      </c>
      <c r="P507">
        <v>1.571118871400665E-2</v>
      </c>
      <c r="Q507" t="s">
        <v>159</v>
      </c>
      <c r="S507" t="s">
        <v>271</v>
      </c>
      <c r="T507" t="s">
        <v>299</v>
      </c>
      <c r="U507">
        <v>1.2847567151950153E-2</v>
      </c>
      <c r="V507" t="s">
        <v>159</v>
      </c>
    </row>
    <row r="508" spans="9:22" x14ac:dyDescent="0.45">
      <c r="I508" t="s">
        <v>186</v>
      </c>
      <c r="J508" t="s">
        <v>300</v>
      </c>
      <c r="K508">
        <v>0.36350935663637107</v>
      </c>
      <c r="L508" t="s">
        <v>159</v>
      </c>
      <c r="N508" t="s">
        <v>229</v>
      </c>
      <c r="O508" t="s">
        <v>300</v>
      </c>
      <c r="P508">
        <v>0.13597690048850339</v>
      </c>
      <c r="Q508" t="s">
        <v>159</v>
      </c>
      <c r="S508" t="s">
        <v>271</v>
      </c>
      <c r="T508" t="s">
        <v>300</v>
      </c>
      <c r="U508">
        <v>0.16755432458005212</v>
      </c>
      <c r="V508" t="s">
        <v>159</v>
      </c>
    </row>
    <row r="509" spans="9:22" x14ac:dyDescent="0.45">
      <c r="I509" t="s">
        <v>186</v>
      </c>
      <c r="J509" t="s">
        <v>301</v>
      </c>
      <c r="K509">
        <v>1.2623101566563438E-2</v>
      </c>
      <c r="L509" t="s">
        <v>159</v>
      </c>
      <c r="N509" t="s">
        <v>229</v>
      </c>
      <c r="O509" t="s">
        <v>301</v>
      </c>
      <c r="P509">
        <v>1.9384197168057532E-2</v>
      </c>
      <c r="Q509" t="s">
        <v>159</v>
      </c>
      <c r="S509" t="s">
        <v>271</v>
      </c>
      <c r="T509" t="s">
        <v>301</v>
      </c>
      <c r="U509">
        <v>1.6832208329511735E-2</v>
      </c>
      <c r="V509" t="s">
        <v>159</v>
      </c>
    </row>
    <row r="510" spans="9:22" x14ac:dyDescent="0.45">
      <c r="I510" t="s">
        <v>186</v>
      </c>
      <c r="J510" t="s">
        <v>302</v>
      </c>
      <c r="K510">
        <v>1.0258970037592568E-3</v>
      </c>
      <c r="L510" t="s">
        <v>159</v>
      </c>
      <c r="N510" t="s">
        <v>229</v>
      </c>
      <c r="O510" t="s">
        <v>302</v>
      </c>
      <c r="P510">
        <v>0.12191234676049476</v>
      </c>
      <c r="Q510" t="s">
        <v>159</v>
      </c>
      <c r="S510" t="s">
        <v>271</v>
      </c>
      <c r="T510" t="s">
        <v>302</v>
      </c>
      <c r="U510">
        <v>7.6668892816793774E-2</v>
      </c>
      <c r="V510" t="s">
        <v>159</v>
      </c>
    </row>
    <row r="511" spans="9:22" x14ac:dyDescent="0.45">
      <c r="I511" t="s">
        <v>187</v>
      </c>
      <c r="J511" t="s">
        <v>158</v>
      </c>
      <c r="K511">
        <v>1.0224195528533856E-2</v>
      </c>
      <c r="L511" t="s">
        <v>159</v>
      </c>
      <c r="N511" t="s">
        <v>230</v>
      </c>
      <c r="O511" t="s">
        <v>158</v>
      </c>
      <c r="P511">
        <v>0.13455471291677651</v>
      </c>
      <c r="Q511" t="s">
        <v>159</v>
      </c>
    </row>
    <row r="512" spans="9:22" x14ac:dyDescent="0.45">
      <c r="I512" t="s">
        <v>187</v>
      </c>
      <c r="J512" t="s">
        <v>160</v>
      </c>
      <c r="K512">
        <v>2.7717811703631384E-2</v>
      </c>
      <c r="L512" t="s">
        <v>159</v>
      </c>
      <c r="N512" t="s">
        <v>230</v>
      </c>
      <c r="O512" t="s">
        <v>160</v>
      </c>
      <c r="P512">
        <v>1.6284976062893371E-2</v>
      </c>
      <c r="Q512" t="s">
        <v>159</v>
      </c>
    </row>
    <row r="513" spans="9:17" x14ac:dyDescent="0.45">
      <c r="I513" t="s">
        <v>187</v>
      </c>
      <c r="J513" t="s">
        <v>161</v>
      </c>
      <c r="K513">
        <v>0.40460635581706111</v>
      </c>
      <c r="L513" t="s">
        <v>159</v>
      </c>
      <c r="N513" t="s">
        <v>230</v>
      </c>
      <c r="O513" t="s">
        <v>161</v>
      </c>
      <c r="P513">
        <v>0.14753457683328511</v>
      </c>
      <c r="Q513" t="s">
        <v>159</v>
      </c>
    </row>
    <row r="514" spans="9:17" x14ac:dyDescent="0.45">
      <c r="I514" t="s">
        <v>187</v>
      </c>
      <c r="J514" t="s">
        <v>287</v>
      </c>
      <c r="K514">
        <v>1.6792419504518978E-2</v>
      </c>
      <c r="L514" t="s">
        <v>159</v>
      </c>
      <c r="N514" t="s">
        <v>230</v>
      </c>
      <c r="O514" t="s">
        <v>287</v>
      </c>
      <c r="P514">
        <v>2.1663445184528861E-2</v>
      </c>
      <c r="Q514" t="s">
        <v>159</v>
      </c>
    </row>
    <row r="515" spans="9:17" x14ac:dyDescent="0.45">
      <c r="I515" t="s">
        <v>187</v>
      </c>
      <c r="J515" t="s">
        <v>288</v>
      </c>
      <c r="K515">
        <v>4.2095368953274778E-3</v>
      </c>
      <c r="L515" t="s">
        <v>159</v>
      </c>
      <c r="N515" t="s">
        <v>230</v>
      </c>
      <c r="O515" t="s">
        <v>288</v>
      </c>
      <c r="P515">
        <v>0.12816721560586186</v>
      </c>
      <c r="Q515" t="s">
        <v>159</v>
      </c>
    </row>
    <row r="516" spans="9:17" x14ac:dyDescent="0.45">
      <c r="I516" t="s">
        <v>187</v>
      </c>
      <c r="J516" t="s">
        <v>162</v>
      </c>
      <c r="K516">
        <v>0</v>
      </c>
      <c r="L516" t="s">
        <v>159</v>
      </c>
      <c r="N516" t="s">
        <v>230</v>
      </c>
      <c r="O516" t="s">
        <v>162</v>
      </c>
      <c r="P516">
        <v>2.1424066273659254E-2</v>
      </c>
      <c r="Q516" t="s">
        <v>159</v>
      </c>
    </row>
    <row r="517" spans="9:17" x14ac:dyDescent="0.45">
      <c r="I517" t="s">
        <v>187</v>
      </c>
      <c r="J517" t="s">
        <v>163</v>
      </c>
      <c r="K517">
        <v>0</v>
      </c>
      <c r="L517" t="s">
        <v>159</v>
      </c>
      <c r="N517" t="s">
        <v>230</v>
      </c>
      <c r="O517" t="s">
        <v>163</v>
      </c>
      <c r="P517">
        <v>2.6689589687486416E-3</v>
      </c>
      <c r="Q517" t="s">
        <v>159</v>
      </c>
    </row>
    <row r="518" spans="9:17" x14ac:dyDescent="0.45">
      <c r="I518" t="s">
        <v>187</v>
      </c>
      <c r="J518" t="s">
        <v>164</v>
      </c>
      <c r="K518">
        <v>3.9874154233961533E-2</v>
      </c>
      <c r="L518" t="s">
        <v>159</v>
      </c>
      <c r="N518" t="s">
        <v>230</v>
      </c>
      <c r="O518" t="s">
        <v>164</v>
      </c>
      <c r="P518">
        <v>1.7400746494236664E-2</v>
      </c>
      <c r="Q518" t="s">
        <v>159</v>
      </c>
    </row>
    <row r="519" spans="9:17" x14ac:dyDescent="0.45">
      <c r="I519" t="s">
        <v>187</v>
      </c>
      <c r="J519" t="s">
        <v>289</v>
      </c>
      <c r="K519">
        <v>0</v>
      </c>
      <c r="L519" t="s">
        <v>159</v>
      </c>
      <c r="N519" t="s">
        <v>230</v>
      </c>
      <c r="O519" t="s">
        <v>289</v>
      </c>
      <c r="P519">
        <v>2.8362197518983132E-3</v>
      </c>
      <c r="Q519" t="s">
        <v>159</v>
      </c>
    </row>
    <row r="520" spans="9:17" x14ac:dyDescent="0.45">
      <c r="I520" t="s">
        <v>187</v>
      </c>
      <c r="J520" t="s">
        <v>290</v>
      </c>
      <c r="K520">
        <v>0</v>
      </c>
      <c r="L520" t="s">
        <v>159</v>
      </c>
      <c r="N520" t="s">
        <v>230</v>
      </c>
      <c r="O520" t="s">
        <v>290</v>
      </c>
      <c r="P520">
        <v>1.6992736389018354E-2</v>
      </c>
      <c r="Q520" t="s">
        <v>159</v>
      </c>
    </row>
    <row r="521" spans="9:17" x14ac:dyDescent="0.45">
      <c r="I521" t="s">
        <v>187</v>
      </c>
      <c r="J521" t="s">
        <v>165</v>
      </c>
      <c r="K521">
        <v>0</v>
      </c>
      <c r="L521" t="s">
        <v>159</v>
      </c>
      <c r="N521" t="s">
        <v>230</v>
      </c>
      <c r="O521" t="s">
        <v>165</v>
      </c>
      <c r="P521">
        <v>2.6158585017402647E-2</v>
      </c>
      <c r="Q521" t="s">
        <v>159</v>
      </c>
    </row>
    <row r="522" spans="9:17" x14ac:dyDescent="0.45">
      <c r="I522" t="s">
        <v>187</v>
      </c>
      <c r="J522" t="s">
        <v>166</v>
      </c>
      <c r="K522">
        <v>2.1797373624440814E-3</v>
      </c>
      <c r="L522" t="s">
        <v>159</v>
      </c>
      <c r="N522" t="s">
        <v>230</v>
      </c>
      <c r="O522" t="s">
        <v>166</v>
      </c>
      <c r="P522">
        <v>3.2689635331115108E-3</v>
      </c>
      <c r="Q522" t="s">
        <v>159</v>
      </c>
    </row>
    <row r="523" spans="9:17" x14ac:dyDescent="0.45">
      <c r="I523" t="s">
        <v>187</v>
      </c>
      <c r="J523" t="s">
        <v>167</v>
      </c>
      <c r="K523">
        <v>5.3460985916450876E-2</v>
      </c>
      <c r="L523" t="s">
        <v>159</v>
      </c>
      <c r="N523" t="s">
        <v>230</v>
      </c>
      <c r="O523" t="s">
        <v>167</v>
      </c>
      <c r="P523">
        <v>2.2934537918167616E-2</v>
      </c>
      <c r="Q523" t="s">
        <v>159</v>
      </c>
    </row>
    <row r="524" spans="9:17" x14ac:dyDescent="0.45">
      <c r="I524" t="s">
        <v>187</v>
      </c>
      <c r="J524" t="s">
        <v>291</v>
      </c>
      <c r="K524">
        <v>0</v>
      </c>
      <c r="L524" t="s">
        <v>159</v>
      </c>
      <c r="N524" t="s">
        <v>230</v>
      </c>
      <c r="O524" t="s">
        <v>291</v>
      </c>
      <c r="P524">
        <v>4.2043923292516879E-3</v>
      </c>
      <c r="Q524" t="s">
        <v>159</v>
      </c>
    </row>
    <row r="525" spans="9:17" x14ac:dyDescent="0.45">
      <c r="I525" t="s">
        <v>187</v>
      </c>
      <c r="J525" t="s">
        <v>292</v>
      </c>
      <c r="K525">
        <v>0</v>
      </c>
      <c r="L525" t="s">
        <v>159</v>
      </c>
      <c r="N525" t="s">
        <v>230</v>
      </c>
      <c r="O525" t="s">
        <v>292</v>
      </c>
      <c r="P525">
        <v>2.5519822908297823E-2</v>
      </c>
      <c r="Q525" t="s">
        <v>159</v>
      </c>
    </row>
    <row r="526" spans="9:17" x14ac:dyDescent="0.45">
      <c r="I526" t="s">
        <v>187</v>
      </c>
      <c r="J526" t="s">
        <v>293</v>
      </c>
      <c r="K526">
        <v>0</v>
      </c>
      <c r="L526" t="s">
        <v>159</v>
      </c>
      <c r="N526" t="s">
        <v>230</v>
      </c>
      <c r="O526" t="s">
        <v>293</v>
      </c>
      <c r="P526">
        <v>5.7300243114411144E-3</v>
      </c>
      <c r="Q526" t="s">
        <v>159</v>
      </c>
    </row>
    <row r="527" spans="9:17" x14ac:dyDescent="0.45">
      <c r="I527" t="s">
        <v>187</v>
      </c>
      <c r="J527" t="s">
        <v>294</v>
      </c>
      <c r="K527">
        <v>1.157195581962697E-3</v>
      </c>
      <c r="L527" t="s">
        <v>159</v>
      </c>
      <c r="N527" t="s">
        <v>230</v>
      </c>
      <c r="O527" t="s">
        <v>294</v>
      </c>
      <c r="P527">
        <v>6.9400525398778873E-4</v>
      </c>
      <c r="Q527" t="s">
        <v>159</v>
      </c>
    </row>
    <row r="528" spans="9:17" x14ac:dyDescent="0.45">
      <c r="I528" t="s">
        <v>187</v>
      </c>
      <c r="J528" t="s">
        <v>295</v>
      </c>
      <c r="K528">
        <v>1.6307578222321987E-2</v>
      </c>
      <c r="L528" t="s">
        <v>159</v>
      </c>
      <c r="N528" t="s">
        <v>230</v>
      </c>
      <c r="O528" t="s">
        <v>295</v>
      </c>
      <c r="P528">
        <v>8.4643692095730996E-3</v>
      </c>
      <c r="Q528" t="s">
        <v>159</v>
      </c>
    </row>
    <row r="529" spans="9:17" x14ac:dyDescent="0.45">
      <c r="I529" t="s">
        <v>187</v>
      </c>
      <c r="J529" t="s">
        <v>296</v>
      </c>
      <c r="K529">
        <v>0</v>
      </c>
      <c r="L529" t="s">
        <v>159</v>
      </c>
      <c r="N529" t="s">
        <v>230</v>
      </c>
      <c r="O529" t="s">
        <v>296</v>
      </c>
      <c r="P529">
        <v>1.1784845592054676E-3</v>
      </c>
      <c r="Q529" t="s">
        <v>159</v>
      </c>
    </row>
    <row r="530" spans="9:17" x14ac:dyDescent="0.45">
      <c r="I530" t="s">
        <v>187</v>
      </c>
      <c r="J530" t="s">
        <v>297</v>
      </c>
      <c r="K530">
        <v>0</v>
      </c>
      <c r="L530" t="s">
        <v>159</v>
      </c>
      <c r="N530" t="s">
        <v>230</v>
      </c>
      <c r="O530" t="s">
        <v>297</v>
      </c>
      <c r="P530">
        <v>5.9319939846758521E-3</v>
      </c>
      <c r="Q530" t="s">
        <v>159</v>
      </c>
    </row>
    <row r="531" spans="9:17" x14ac:dyDescent="0.45">
      <c r="I531" t="s">
        <v>187</v>
      </c>
      <c r="J531" t="s">
        <v>298</v>
      </c>
      <c r="K531">
        <v>2.0107928118448921E-2</v>
      </c>
      <c r="L531" t="s">
        <v>159</v>
      </c>
      <c r="N531" t="s">
        <v>230</v>
      </c>
      <c r="O531" t="s">
        <v>298</v>
      </c>
      <c r="P531">
        <v>0.1139872655482583</v>
      </c>
      <c r="Q531" t="s">
        <v>159</v>
      </c>
    </row>
    <row r="532" spans="9:17" x14ac:dyDescent="0.45">
      <c r="I532" t="s">
        <v>187</v>
      </c>
      <c r="J532" t="s">
        <v>299</v>
      </c>
      <c r="K532">
        <v>2.879311788806824E-2</v>
      </c>
      <c r="L532" t="s">
        <v>159</v>
      </c>
      <c r="N532" t="s">
        <v>230</v>
      </c>
      <c r="O532" t="s">
        <v>299</v>
      </c>
      <c r="P532">
        <v>1.438808378482064E-2</v>
      </c>
      <c r="Q532" t="s">
        <v>159</v>
      </c>
    </row>
    <row r="533" spans="9:17" x14ac:dyDescent="0.45">
      <c r="I533" t="s">
        <v>187</v>
      </c>
      <c r="J533" t="s">
        <v>300</v>
      </c>
      <c r="K533">
        <v>0.35904959286320004</v>
      </c>
      <c r="L533" t="s">
        <v>159</v>
      </c>
      <c r="N533" t="s">
        <v>230</v>
      </c>
      <c r="O533" t="s">
        <v>300</v>
      </c>
      <c r="P533">
        <v>0.1260667492319274</v>
      </c>
      <c r="Q533" t="s">
        <v>159</v>
      </c>
    </row>
    <row r="534" spans="9:17" x14ac:dyDescent="0.45">
      <c r="I534" t="s">
        <v>187</v>
      </c>
      <c r="J534" t="s">
        <v>301</v>
      </c>
      <c r="K534">
        <v>1.3918179990148268E-2</v>
      </c>
      <c r="L534" t="s">
        <v>159</v>
      </c>
      <c r="N534" t="s">
        <v>230</v>
      </c>
      <c r="O534" t="s">
        <v>301</v>
      </c>
      <c r="P534">
        <v>1.9001033525994301E-2</v>
      </c>
      <c r="Q534" t="s">
        <v>159</v>
      </c>
    </row>
    <row r="535" spans="9:17" x14ac:dyDescent="0.45">
      <c r="I535" t="s">
        <v>187</v>
      </c>
      <c r="J535" t="s">
        <v>302</v>
      </c>
      <c r="K535">
        <v>1.6012103739210558E-3</v>
      </c>
      <c r="L535" t="s">
        <v>159</v>
      </c>
      <c r="N535" t="s">
        <v>230</v>
      </c>
      <c r="O535" t="s">
        <v>302</v>
      </c>
      <c r="P535">
        <v>0.11294403440297542</v>
      </c>
      <c r="Q535" t="s">
        <v>159</v>
      </c>
    </row>
    <row r="536" spans="9:17" x14ac:dyDescent="0.45">
      <c r="I536" t="s">
        <v>188</v>
      </c>
      <c r="J536" t="s">
        <v>158</v>
      </c>
      <c r="K536">
        <v>1.345226520987888E-3</v>
      </c>
      <c r="L536" t="s">
        <v>159</v>
      </c>
      <c r="N536" t="s">
        <v>231</v>
      </c>
      <c r="O536" t="s">
        <v>158</v>
      </c>
      <c r="P536">
        <v>9.0335254982754118E-2</v>
      </c>
      <c r="Q536" t="s">
        <v>159</v>
      </c>
    </row>
    <row r="537" spans="9:17" x14ac:dyDescent="0.45">
      <c r="I537" t="s">
        <v>188</v>
      </c>
      <c r="J537" t="s">
        <v>160</v>
      </c>
      <c r="K537">
        <v>1.9609345656013855E-2</v>
      </c>
      <c r="L537" t="s">
        <v>159</v>
      </c>
      <c r="N537" t="s">
        <v>231</v>
      </c>
      <c r="O537" t="s">
        <v>160</v>
      </c>
      <c r="P537">
        <v>6.6153073612108433E-3</v>
      </c>
      <c r="Q537" t="s">
        <v>159</v>
      </c>
    </row>
    <row r="538" spans="9:17" x14ac:dyDescent="0.45">
      <c r="I538" t="s">
        <v>188</v>
      </c>
      <c r="J538" t="s">
        <v>161</v>
      </c>
      <c r="K538">
        <v>0.43893532810414065</v>
      </c>
      <c r="L538" t="s">
        <v>159</v>
      </c>
      <c r="N538" t="s">
        <v>231</v>
      </c>
      <c r="O538" t="s">
        <v>161</v>
      </c>
      <c r="P538">
        <v>9.5080647196825643E-2</v>
      </c>
      <c r="Q538" t="s">
        <v>159</v>
      </c>
    </row>
    <row r="539" spans="9:17" x14ac:dyDescent="0.45">
      <c r="I539" t="s">
        <v>188</v>
      </c>
      <c r="J539" t="s">
        <v>287</v>
      </c>
      <c r="K539">
        <v>1.7408317724154004E-2</v>
      </c>
      <c r="L539" t="s">
        <v>159</v>
      </c>
      <c r="N539" t="s">
        <v>231</v>
      </c>
      <c r="O539" t="s">
        <v>287</v>
      </c>
      <c r="P539">
        <v>1.9983803365924511E-2</v>
      </c>
      <c r="Q539" t="s">
        <v>159</v>
      </c>
    </row>
    <row r="540" spans="9:17" x14ac:dyDescent="0.45">
      <c r="I540" t="s">
        <v>188</v>
      </c>
      <c r="J540" t="s">
        <v>288</v>
      </c>
      <c r="K540">
        <v>4.2898220141279041E-3</v>
      </c>
      <c r="L540" t="s">
        <v>159</v>
      </c>
      <c r="N540" t="s">
        <v>231</v>
      </c>
      <c r="O540" t="s">
        <v>288</v>
      </c>
      <c r="P540">
        <v>0.15464739496297644</v>
      </c>
      <c r="Q540" t="s">
        <v>159</v>
      </c>
    </row>
    <row r="541" spans="9:17" x14ac:dyDescent="0.45">
      <c r="I541" t="s">
        <v>188</v>
      </c>
      <c r="J541" t="s">
        <v>162</v>
      </c>
      <c r="K541">
        <v>0</v>
      </c>
      <c r="L541" t="s">
        <v>159</v>
      </c>
      <c r="N541" t="s">
        <v>231</v>
      </c>
      <c r="O541" t="s">
        <v>162</v>
      </c>
      <c r="P541">
        <v>1.2531925612901373E-2</v>
      </c>
      <c r="Q541" t="s">
        <v>159</v>
      </c>
    </row>
    <row r="542" spans="9:17" x14ac:dyDescent="0.45">
      <c r="I542" t="s">
        <v>188</v>
      </c>
      <c r="J542" t="s">
        <v>163</v>
      </c>
      <c r="K542">
        <v>0</v>
      </c>
      <c r="L542" t="s">
        <v>159</v>
      </c>
      <c r="N542" t="s">
        <v>231</v>
      </c>
      <c r="O542" t="s">
        <v>163</v>
      </c>
      <c r="P542">
        <v>8.0007872659735202E-4</v>
      </c>
      <c r="Q542" t="s">
        <v>159</v>
      </c>
    </row>
    <row r="543" spans="9:17" x14ac:dyDescent="0.45">
      <c r="I543" t="s">
        <v>188</v>
      </c>
      <c r="J543" t="s">
        <v>164</v>
      </c>
      <c r="K543">
        <v>5.644566723413242E-2</v>
      </c>
      <c r="L543" t="s">
        <v>159</v>
      </c>
      <c r="N543" t="s">
        <v>231</v>
      </c>
      <c r="O543" t="s">
        <v>164</v>
      </c>
      <c r="P543">
        <v>1.5751596394096522E-2</v>
      </c>
      <c r="Q543" t="s">
        <v>159</v>
      </c>
    </row>
    <row r="544" spans="9:17" x14ac:dyDescent="0.45">
      <c r="I544" t="s">
        <v>188</v>
      </c>
      <c r="J544" t="s">
        <v>289</v>
      </c>
      <c r="K544">
        <v>0</v>
      </c>
      <c r="L544" t="s">
        <v>159</v>
      </c>
      <c r="N544" t="s">
        <v>231</v>
      </c>
      <c r="O544" t="s">
        <v>289</v>
      </c>
      <c r="P544">
        <v>3.4810454570962769E-3</v>
      </c>
      <c r="Q544" t="s">
        <v>159</v>
      </c>
    </row>
    <row r="545" spans="9:17" x14ac:dyDescent="0.45">
      <c r="I545" t="s">
        <v>188</v>
      </c>
      <c r="J545" t="s">
        <v>290</v>
      </c>
      <c r="K545">
        <v>0</v>
      </c>
      <c r="L545" t="s">
        <v>159</v>
      </c>
      <c r="N545" t="s">
        <v>231</v>
      </c>
      <c r="O545" t="s">
        <v>290</v>
      </c>
      <c r="P545">
        <v>2.083309979643291E-2</v>
      </c>
      <c r="Q545" t="s">
        <v>159</v>
      </c>
    </row>
    <row r="546" spans="9:17" x14ac:dyDescent="0.45">
      <c r="I546" t="s">
        <v>188</v>
      </c>
      <c r="J546" t="s">
        <v>165</v>
      </c>
      <c r="K546">
        <v>0</v>
      </c>
      <c r="L546" t="s">
        <v>159</v>
      </c>
      <c r="N546" t="s">
        <v>231</v>
      </c>
      <c r="O546" t="s">
        <v>165</v>
      </c>
      <c r="P546">
        <v>1.7647904840585125E-2</v>
      </c>
      <c r="Q546" t="s">
        <v>159</v>
      </c>
    </row>
    <row r="547" spans="9:17" x14ac:dyDescent="0.45">
      <c r="I547" t="s">
        <v>188</v>
      </c>
      <c r="J547" t="s">
        <v>166</v>
      </c>
      <c r="K547">
        <v>1.1213243106048645E-3</v>
      </c>
      <c r="L547" t="s">
        <v>159</v>
      </c>
      <c r="N547" t="s">
        <v>231</v>
      </c>
      <c r="O547" t="s">
        <v>166</v>
      </c>
      <c r="P547">
        <v>1.3658349532183567E-3</v>
      </c>
      <c r="Q547" t="s">
        <v>159</v>
      </c>
    </row>
    <row r="548" spans="9:17" x14ac:dyDescent="0.45">
      <c r="I548" t="s">
        <v>188</v>
      </c>
      <c r="J548" t="s">
        <v>167</v>
      </c>
      <c r="K548">
        <v>6.7718790398493725E-2</v>
      </c>
      <c r="L548" t="s">
        <v>159</v>
      </c>
      <c r="N548" t="s">
        <v>231</v>
      </c>
      <c r="O548" t="s">
        <v>167</v>
      </c>
      <c r="P548">
        <v>2.2143274363731525E-2</v>
      </c>
      <c r="Q548" t="s">
        <v>159</v>
      </c>
    </row>
    <row r="549" spans="9:17" x14ac:dyDescent="0.45">
      <c r="I549" t="s">
        <v>188</v>
      </c>
      <c r="J549" t="s">
        <v>291</v>
      </c>
      <c r="K549">
        <v>4.4767044378690848E-4</v>
      </c>
      <c r="L549" t="s">
        <v>159</v>
      </c>
      <c r="N549" t="s">
        <v>231</v>
      </c>
      <c r="O549" t="s">
        <v>291</v>
      </c>
      <c r="P549">
        <v>4.3134562628445164E-3</v>
      </c>
      <c r="Q549" t="s">
        <v>159</v>
      </c>
    </row>
    <row r="550" spans="9:17" x14ac:dyDescent="0.45">
      <c r="I550" t="s">
        <v>188</v>
      </c>
      <c r="J550" t="s">
        <v>292</v>
      </c>
      <c r="K550">
        <v>0</v>
      </c>
      <c r="L550" t="s">
        <v>159</v>
      </c>
      <c r="N550" t="s">
        <v>231</v>
      </c>
      <c r="O550" t="s">
        <v>292</v>
      </c>
      <c r="P550">
        <v>2.7694208531856352E-2</v>
      </c>
      <c r="Q550" t="s">
        <v>159</v>
      </c>
    </row>
    <row r="551" spans="9:17" x14ac:dyDescent="0.45">
      <c r="I551" t="s">
        <v>188</v>
      </c>
      <c r="J551" t="s">
        <v>293</v>
      </c>
      <c r="K551">
        <v>0</v>
      </c>
      <c r="L551" t="s">
        <v>159</v>
      </c>
      <c r="N551" t="s">
        <v>231</v>
      </c>
      <c r="O551" t="s">
        <v>293</v>
      </c>
      <c r="P551">
        <v>6.5842034875059387E-3</v>
      </c>
      <c r="Q551" t="s">
        <v>159</v>
      </c>
    </row>
    <row r="552" spans="9:17" x14ac:dyDescent="0.45">
      <c r="I552" t="s">
        <v>188</v>
      </c>
      <c r="J552" t="s">
        <v>294</v>
      </c>
      <c r="K552">
        <v>8.1645167899032224E-4</v>
      </c>
      <c r="L552" t="s">
        <v>159</v>
      </c>
      <c r="N552" t="s">
        <v>231</v>
      </c>
      <c r="O552" t="s">
        <v>294</v>
      </c>
      <c r="P552">
        <v>5.733116055503107E-4</v>
      </c>
      <c r="Q552" t="s">
        <v>159</v>
      </c>
    </row>
    <row r="553" spans="9:17" x14ac:dyDescent="0.45">
      <c r="I553" t="s">
        <v>188</v>
      </c>
      <c r="J553" t="s">
        <v>295</v>
      </c>
      <c r="K553">
        <v>1.6629090165213755E-2</v>
      </c>
      <c r="L553" t="s">
        <v>159</v>
      </c>
      <c r="N553" t="s">
        <v>231</v>
      </c>
      <c r="O553" t="s">
        <v>295</v>
      </c>
      <c r="P553">
        <v>7.6385635156876932E-3</v>
      </c>
      <c r="Q553" t="s">
        <v>159</v>
      </c>
    </row>
    <row r="554" spans="9:17" x14ac:dyDescent="0.45">
      <c r="I554" t="s">
        <v>188</v>
      </c>
      <c r="J554" t="s">
        <v>296</v>
      </c>
      <c r="K554">
        <v>8.2541257755526422E-4</v>
      </c>
      <c r="L554" t="s">
        <v>159</v>
      </c>
      <c r="N554" t="s">
        <v>231</v>
      </c>
      <c r="O554" t="s">
        <v>296</v>
      </c>
      <c r="P554">
        <v>1.5022537890389584E-3</v>
      </c>
      <c r="Q554" t="s">
        <v>159</v>
      </c>
    </row>
    <row r="555" spans="9:17" x14ac:dyDescent="0.45">
      <c r="I555" t="s">
        <v>188</v>
      </c>
      <c r="J555" t="s">
        <v>297</v>
      </c>
      <c r="K555">
        <v>0</v>
      </c>
      <c r="L555" t="s">
        <v>159</v>
      </c>
      <c r="N555" t="s">
        <v>231</v>
      </c>
      <c r="O555" t="s">
        <v>297</v>
      </c>
      <c r="P555">
        <v>1.0954755208815628E-2</v>
      </c>
      <c r="Q555" t="s">
        <v>159</v>
      </c>
    </row>
    <row r="556" spans="9:17" x14ac:dyDescent="0.45">
      <c r="I556" t="s">
        <v>188</v>
      </c>
      <c r="J556" t="s">
        <v>298</v>
      </c>
      <c r="K556">
        <v>7.1771220696632441E-3</v>
      </c>
      <c r="L556" t="s">
        <v>159</v>
      </c>
      <c r="N556" t="s">
        <v>231</v>
      </c>
      <c r="O556" t="s">
        <v>298</v>
      </c>
      <c r="P556">
        <v>0.11413127713148499</v>
      </c>
      <c r="Q556" t="s">
        <v>159</v>
      </c>
    </row>
    <row r="557" spans="9:17" x14ac:dyDescent="0.45">
      <c r="I557" t="s">
        <v>188</v>
      </c>
      <c r="J557" t="s">
        <v>299</v>
      </c>
      <c r="K557">
        <v>2.0203038021944304E-2</v>
      </c>
      <c r="L557" t="s">
        <v>159</v>
      </c>
      <c r="N557" t="s">
        <v>231</v>
      </c>
      <c r="O557" t="s">
        <v>299</v>
      </c>
      <c r="P557">
        <v>1.093264998289992E-2</v>
      </c>
      <c r="Q557" t="s">
        <v>159</v>
      </c>
    </row>
    <row r="558" spans="9:17" x14ac:dyDescent="0.45">
      <c r="I558" t="s">
        <v>188</v>
      </c>
      <c r="J558" t="s">
        <v>300</v>
      </c>
      <c r="K558">
        <v>0.32968655494699711</v>
      </c>
      <c r="L558" t="s">
        <v>159</v>
      </c>
      <c r="N558" t="s">
        <v>231</v>
      </c>
      <c r="O558" t="s">
        <v>300</v>
      </c>
      <c r="P558">
        <v>0.13536609131868771</v>
      </c>
      <c r="Q558" t="s">
        <v>159</v>
      </c>
    </row>
    <row r="559" spans="9:17" x14ac:dyDescent="0.45">
      <c r="I559" t="s">
        <v>188</v>
      </c>
      <c r="J559" t="s">
        <v>301</v>
      </c>
      <c r="K559">
        <v>1.5755093029134991E-2</v>
      </c>
      <c r="L559" t="s">
        <v>159</v>
      </c>
      <c r="N559" t="s">
        <v>231</v>
      </c>
      <c r="O559" t="s">
        <v>301</v>
      </c>
      <c r="P559">
        <v>2.6452395648493637E-2</v>
      </c>
      <c r="Q559" t="s">
        <v>159</v>
      </c>
    </row>
    <row r="560" spans="9:17" x14ac:dyDescent="0.45">
      <c r="I560" t="s">
        <v>188</v>
      </c>
      <c r="J560" t="s">
        <v>302</v>
      </c>
      <c r="K560">
        <v>1.5857451040531317E-3</v>
      </c>
      <c r="L560" t="s">
        <v>159</v>
      </c>
      <c r="N560" t="s">
        <v>231</v>
      </c>
      <c r="O560" t="s">
        <v>302</v>
      </c>
      <c r="P560">
        <v>0.19263966550278316</v>
      </c>
      <c r="Q560" t="s">
        <v>159</v>
      </c>
    </row>
    <row r="561" spans="9:17" x14ac:dyDescent="0.45">
      <c r="I561" t="s">
        <v>189</v>
      </c>
      <c r="J561" t="s">
        <v>158</v>
      </c>
      <c r="K561">
        <v>1.3321472112198236E-3</v>
      </c>
      <c r="L561" t="s">
        <v>159</v>
      </c>
      <c r="N561" t="s">
        <v>232</v>
      </c>
      <c r="O561" t="s">
        <v>158</v>
      </c>
      <c r="P561">
        <v>0.13162915710773984</v>
      </c>
      <c r="Q561" t="s">
        <v>159</v>
      </c>
    </row>
    <row r="562" spans="9:17" x14ac:dyDescent="0.45">
      <c r="I562" t="s">
        <v>189</v>
      </c>
      <c r="J562" t="s">
        <v>160</v>
      </c>
      <c r="K562">
        <v>1.6924897616757771E-2</v>
      </c>
      <c r="L562" t="s">
        <v>159</v>
      </c>
      <c r="N562" t="s">
        <v>232</v>
      </c>
      <c r="O562" t="s">
        <v>160</v>
      </c>
      <c r="P562">
        <v>1.3065154626036815E-2</v>
      </c>
      <c r="Q562" t="s">
        <v>159</v>
      </c>
    </row>
    <row r="563" spans="9:17" x14ac:dyDescent="0.45">
      <c r="I563" t="s">
        <v>189</v>
      </c>
      <c r="J563" t="s">
        <v>161</v>
      </c>
      <c r="K563">
        <v>0.44262488009571788</v>
      </c>
      <c r="L563" t="s">
        <v>159</v>
      </c>
      <c r="N563" t="s">
        <v>232</v>
      </c>
      <c r="O563" t="s">
        <v>161</v>
      </c>
      <c r="P563">
        <v>0.10514674076826604</v>
      </c>
      <c r="Q563" t="s">
        <v>159</v>
      </c>
    </row>
    <row r="564" spans="9:17" x14ac:dyDescent="0.45">
      <c r="I564" t="s">
        <v>189</v>
      </c>
      <c r="J564" t="s">
        <v>287</v>
      </c>
      <c r="K564">
        <v>1.6325638913069953E-2</v>
      </c>
      <c r="L564" t="s">
        <v>159</v>
      </c>
      <c r="N564" t="s">
        <v>232</v>
      </c>
      <c r="O564" t="s">
        <v>287</v>
      </c>
      <c r="P564">
        <v>1.3730139241044454E-2</v>
      </c>
      <c r="Q564" t="s">
        <v>159</v>
      </c>
    </row>
    <row r="565" spans="9:17" x14ac:dyDescent="0.45">
      <c r="I565" t="s">
        <v>189</v>
      </c>
      <c r="J565" t="s">
        <v>288</v>
      </c>
      <c r="K565">
        <v>4.2051116317937858E-3</v>
      </c>
      <c r="L565" t="s">
        <v>159</v>
      </c>
      <c r="N565" t="s">
        <v>232</v>
      </c>
      <c r="O565" t="s">
        <v>288</v>
      </c>
      <c r="P565">
        <v>0.1252148619538328</v>
      </c>
      <c r="Q565" t="s">
        <v>159</v>
      </c>
    </row>
    <row r="566" spans="9:17" x14ac:dyDescent="0.45">
      <c r="I566" t="s">
        <v>189</v>
      </c>
      <c r="J566" t="s">
        <v>162</v>
      </c>
      <c r="K566">
        <v>0</v>
      </c>
      <c r="L566" t="s">
        <v>159</v>
      </c>
      <c r="N566" t="s">
        <v>232</v>
      </c>
      <c r="O566" t="s">
        <v>162</v>
      </c>
      <c r="P566">
        <v>1.87509007688649E-2</v>
      </c>
      <c r="Q566" t="s">
        <v>159</v>
      </c>
    </row>
    <row r="567" spans="9:17" x14ac:dyDescent="0.45">
      <c r="I567" t="s">
        <v>189</v>
      </c>
      <c r="J567" t="s">
        <v>163</v>
      </c>
      <c r="K567">
        <v>0</v>
      </c>
      <c r="L567" t="s">
        <v>159</v>
      </c>
      <c r="N567" t="s">
        <v>232</v>
      </c>
      <c r="O567" t="s">
        <v>163</v>
      </c>
      <c r="P567">
        <v>2.4030195041178756E-3</v>
      </c>
      <c r="Q567" t="s">
        <v>159</v>
      </c>
    </row>
    <row r="568" spans="9:17" x14ac:dyDescent="0.45">
      <c r="I568" t="s">
        <v>189</v>
      </c>
      <c r="J568" t="s">
        <v>164</v>
      </c>
      <c r="K568">
        <v>5.6374675057832772E-2</v>
      </c>
      <c r="L568" t="s">
        <v>159</v>
      </c>
      <c r="N568" t="s">
        <v>232</v>
      </c>
      <c r="O568" t="s">
        <v>164</v>
      </c>
      <c r="P568">
        <v>2.0098235085441448E-2</v>
      </c>
      <c r="Q568" t="s">
        <v>159</v>
      </c>
    </row>
    <row r="569" spans="9:17" x14ac:dyDescent="0.45">
      <c r="I569" t="s">
        <v>189</v>
      </c>
      <c r="J569" t="s">
        <v>289</v>
      </c>
      <c r="K569">
        <v>0</v>
      </c>
      <c r="L569" t="s">
        <v>159</v>
      </c>
      <c r="N569" t="s">
        <v>232</v>
      </c>
      <c r="O569" t="s">
        <v>289</v>
      </c>
      <c r="P569">
        <v>2.6847134123666638E-3</v>
      </c>
      <c r="Q569" t="s">
        <v>159</v>
      </c>
    </row>
    <row r="570" spans="9:17" x14ac:dyDescent="0.45">
      <c r="I570" t="s">
        <v>189</v>
      </c>
      <c r="J570" t="s">
        <v>290</v>
      </c>
      <c r="K570">
        <v>0</v>
      </c>
      <c r="L570" t="s">
        <v>159</v>
      </c>
      <c r="N570" t="s">
        <v>232</v>
      </c>
      <c r="O570" t="s">
        <v>290</v>
      </c>
      <c r="P570">
        <v>1.8216484805840687E-2</v>
      </c>
      <c r="Q570" t="s">
        <v>159</v>
      </c>
    </row>
    <row r="571" spans="9:17" x14ac:dyDescent="0.45">
      <c r="I571" t="s">
        <v>189</v>
      </c>
      <c r="J571" t="s">
        <v>165</v>
      </c>
      <c r="K571">
        <v>0</v>
      </c>
      <c r="L571" t="s">
        <v>159</v>
      </c>
      <c r="N571" t="s">
        <v>232</v>
      </c>
      <c r="O571" t="s">
        <v>165</v>
      </c>
      <c r="P571">
        <v>2.4012736021163082E-2</v>
      </c>
      <c r="Q571" t="s">
        <v>159</v>
      </c>
    </row>
    <row r="572" spans="9:17" x14ac:dyDescent="0.45">
      <c r="I572" t="s">
        <v>189</v>
      </c>
      <c r="J572" t="s">
        <v>166</v>
      </c>
      <c r="K572">
        <v>5.7869341197491872E-4</v>
      </c>
      <c r="L572" t="s">
        <v>159</v>
      </c>
      <c r="N572" t="s">
        <v>232</v>
      </c>
      <c r="O572" t="s">
        <v>166</v>
      </c>
      <c r="P572">
        <v>2.7092002665710978E-3</v>
      </c>
      <c r="Q572" t="s">
        <v>159</v>
      </c>
    </row>
    <row r="573" spans="9:17" x14ac:dyDescent="0.45">
      <c r="I573" t="s">
        <v>189</v>
      </c>
      <c r="J573" t="s">
        <v>167</v>
      </c>
      <c r="K573">
        <v>7.119598479234758E-2</v>
      </c>
      <c r="L573" t="s">
        <v>159</v>
      </c>
      <c r="N573" t="s">
        <v>232</v>
      </c>
      <c r="O573" t="s">
        <v>167</v>
      </c>
      <c r="P573">
        <v>1.9899809850810347E-2</v>
      </c>
      <c r="Q573" t="s">
        <v>159</v>
      </c>
    </row>
    <row r="574" spans="9:17" x14ac:dyDescent="0.45">
      <c r="I574" t="s">
        <v>189</v>
      </c>
      <c r="J574" t="s">
        <v>291</v>
      </c>
      <c r="K574">
        <v>6.4730909449733399E-4</v>
      </c>
      <c r="L574" t="s">
        <v>159</v>
      </c>
      <c r="N574" t="s">
        <v>232</v>
      </c>
      <c r="O574" t="s">
        <v>291</v>
      </c>
      <c r="P574">
        <v>2.8872490789958872E-3</v>
      </c>
      <c r="Q574" t="s">
        <v>159</v>
      </c>
    </row>
    <row r="575" spans="9:17" x14ac:dyDescent="0.45">
      <c r="I575" t="s">
        <v>189</v>
      </c>
      <c r="J575" t="s">
        <v>292</v>
      </c>
      <c r="K575">
        <v>0</v>
      </c>
      <c r="L575" t="s">
        <v>159</v>
      </c>
      <c r="N575" t="s">
        <v>232</v>
      </c>
      <c r="O575" t="s">
        <v>292</v>
      </c>
      <c r="P575">
        <v>2.1879352420516401E-2</v>
      </c>
      <c r="Q575" t="s">
        <v>159</v>
      </c>
    </row>
    <row r="576" spans="9:17" x14ac:dyDescent="0.45">
      <c r="I576" t="s">
        <v>189</v>
      </c>
      <c r="J576" t="s">
        <v>293</v>
      </c>
      <c r="K576">
        <v>0</v>
      </c>
      <c r="L576" t="s">
        <v>159</v>
      </c>
      <c r="N576" t="s">
        <v>232</v>
      </c>
      <c r="O576" t="s">
        <v>293</v>
      </c>
      <c r="P576">
        <v>8.1336579191260746E-3</v>
      </c>
      <c r="Q576" t="s">
        <v>159</v>
      </c>
    </row>
    <row r="577" spans="9:17" x14ac:dyDescent="0.45">
      <c r="I577" t="s">
        <v>189</v>
      </c>
      <c r="J577" t="s">
        <v>294</v>
      </c>
      <c r="K577">
        <v>8.0794543127141172E-4</v>
      </c>
      <c r="L577" t="s">
        <v>159</v>
      </c>
      <c r="N577" t="s">
        <v>232</v>
      </c>
      <c r="O577" t="s">
        <v>294</v>
      </c>
      <c r="P577">
        <v>8.7237761982789899E-4</v>
      </c>
      <c r="Q577" t="s">
        <v>159</v>
      </c>
    </row>
    <row r="578" spans="9:17" x14ac:dyDescent="0.45">
      <c r="I578" t="s">
        <v>189</v>
      </c>
      <c r="J578" t="s">
        <v>295</v>
      </c>
      <c r="K578">
        <v>1.6536748663126523E-2</v>
      </c>
      <c r="L578" t="s">
        <v>159</v>
      </c>
      <c r="N578" t="s">
        <v>232</v>
      </c>
      <c r="O578" t="s">
        <v>295</v>
      </c>
      <c r="P578">
        <v>8.2874049567150578E-3</v>
      </c>
      <c r="Q578" t="s">
        <v>159</v>
      </c>
    </row>
    <row r="579" spans="9:17" x14ac:dyDescent="0.45">
      <c r="I579" t="s">
        <v>189</v>
      </c>
      <c r="J579" t="s">
        <v>296</v>
      </c>
      <c r="K579">
        <v>8.0447439399531956E-4</v>
      </c>
      <c r="L579" t="s">
        <v>159</v>
      </c>
      <c r="N579" t="s">
        <v>232</v>
      </c>
      <c r="O579" t="s">
        <v>296</v>
      </c>
      <c r="P579">
        <v>9.8912109202506024E-4</v>
      </c>
      <c r="Q579" t="s">
        <v>159</v>
      </c>
    </row>
    <row r="580" spans="9:17" x14ac:dyDescent="0.45">
      <c r="I580" t="s">
        <v>189</v>
      </c>
      <c r="J580" t="s">
        <v>297</v>
      </c>
      <c r="K580">
        <v>0</v>
      </c>
      <c r="L580" t="s">
        <v>159</v>
      </c>
      <c r="N580" t="s">
        <v>232</v>
      </c>
      <c r="O580" t="s">
        <v>297</v>
      </c>
      <c r="P580">
        <v>8.4795938143885259E-3</v>
      </c>
      <c r="Q580" t="s">
        <v>159</v>
      </c>
    </row>
    <row r="581" spans="9:17" x14ac:dyDescent="0.45">
      <c r="I581" t="s">
        <v>189</v>
      </c>
      <c r="J581" t="s">
        <v>298</v>
      </c>
      <c r="K581">
        <v>5.6812789055491857E-3</v>
      </c>
      <c r="L581" t="s">
        <v>159</v>
      </c>
      <c r="N581" t="s">
        <v>232</v>
      </c>
      <c r="O581" t="s">
        <v>298</v>
      </c>
      <c r="P581">
        <v>0.13683181652519333</v>
      </c>
      <c r="Q581" t="s">
        <v>159</v>
      </c>
    </row>
    <row r="582" spans="9:17" x14ac:dyDescent="0.45">
      <c r="I582" t="s">
        <v>189</v>
      </c>
      <c r="J582" t="s">
        <v>299</v>
      </c>
      <c r="K582">
        <v>1.8623229119706215E-2</v>
      </c>
      <c r="L582" t="s">
        <v>159</v>
      </c>
      <c r="N582" t="s">
        <v>232</v>
      </c>
      <c r="O582" t="s">
        <v>299</v>
      </c>
      <c r="P582">
        <v>1.5915489153179512E-2</v>
      </c>
      <c r="Q582" t="s">
        <v>159</v>
      </c>
    </row>
    <row r="583" spans="9:17" x14ac:dyDescent="0.45">
      <c r="I583" t="s">
        <v>189</v>
      </c>
      <c r="J583" t="s">
        <v>300</v>
      </c>
      <c r="K583">
        <v>0.33054500781030194</v>
      </c>
      <c r="L583" t="s">
        <v>159</v>
      </c>
      <c r="N583" t="s">
        <v>232</v>
      </c>
      <c r="O583" t="s">
        <v>300</v>
      </c>
      <c r="P583">
        <v>0.13467527210225774</v>
      </c>
      <c r="Q583" t="s">
        <v>159</v>
      </c>
    </row>
    <row r="584" spans="9:17" x14ac:dyDescent="0.45">
      <c r="I584" t="s">
        <v>189</v>
      </c>
      <c r="J584" t="s">
        <v>301</v>
      </c>
      <c r="K584">
        <v>1.5237804820996029E-2</v>
      </c>
      <c r="L584" t="s">
        <v>159</v>
      </c>
      <c r="N584" t="s">
        <v>232</v>
      </c>
      <c r="O584" t="s">
        <v>301</v>
      </c>
      <c r="P584">
        <v>1.7967430141432286E-2</v>
      </c>
      <c r="Q584" t="s">
        <v>159</v>
      </c>
    </row>
    <row r="585" spans="9:17" x14ac:dyDescent="0.45">
      <c r="I585" t="s">
        <v>189</v>
      </c>
      <c r="J585" t="s">
        <v>302</v>
      </c>
      <c r="K585">
        <v>1.5541730298439399E-3</v>
      </c>
      <c r="L585" t="s">
        <v>159</v>
      </c>
      <c r="N585" t="s">
        <v>232</v>
      </c>
      <c r="O585" t="s">
        <v>302</v>
      </c>
      <c r="P585">
        <v>0.14552008176424894</v>
      </c>
      <c r="Q585" t="s">
        <v>159</v>
      </c>
    </row>
    <row r="586" spans="9:17" x14ac:dyDescent="0.45">
      <c r="I586" t="s">
        <v>190</v>
      </c>
      <c r="J586" t="s">
        <v>158</v>
      </c>
      <c r="K586">
        <v>1.0581243755480949E-3</v>
      </c>
      <c r="L586" t="s">
        <v>159</v>
      </c>
      <c r="N586" t="s">
        <v>233</v>
      </c>
      <c r="O586" t="s">
        <v>158</v>
      </c>
      <c r="P586">
        <v>0.15003548151857043</v>
      </c>
      <c r="Q586" t="s">
        <v>159</v>
      </c>
    </row>
    <row r="587" spans="9:17" x14ac:dyDescent="0.45">
      <c r="I587" t="s">
        <v>190</v>
      </c>
      <c r="J587" t="s">
        <v>160</v>
      </c>
      <c r="K587">
        <v>2.0586497186446489E-2</v>
      </c>
      <c r="L587" t="s">
        <v>159</v>
      </c>
      <c r="N587" t="s">
        <v>233</v>
      </c>
      <c r="O587" t="s">
        <v>160</v>
      </c>
      <c r="P587">
        <v>1.5912840587272613E-2</v>
      </c>
      <c r="Q587" t="s">
        <v>159</v>
      </c>
    </row>
    <row r="588" spans="9:17" x14ac:dyDescent="0.45">
      <c r="I588" t="s">
        <v>190</v>
      </c>
      <c r="J588" t="s">
        <v>161</v>
      </c>
      <c r="K588">
        <v>0.43429645442438508</v>
      </c>
      <c r="L588" t="s">
        <v>159</v>
      </c>
      <c r="N588" t="s">
        <v>233</v>
      </c>
      <c r="O588" t="s">
        <v>161</v>
      </c>
      <c r="P588">
        <v>9.9591627973778088E-2</v>
      </c>
      <c r="Q588" t="s">
        <v>159</v>
      </c>
    </row>
    <row r="589" spans="9:17" x14ac:dyDescent="0.45">
      <c r="I589" t="s">
        <v>190</v>
      </c>
      <c r="J589" t="s">
        <v>287</v>
      </c>
      <c r="K589">
        <v>1.9267528361957154E-2</v>
      </c>
      <c r="L589" t="s">
        <v>159</v>
      </c>
      <c r="N589" t="s">
        <v>233</v>
      </c>
      <c r="O589" t="s">
        <v>287</v>
      </c>
      <c r="P589">
        <v>9.327883057821694E-3</v>
      </c>
      <c r="Q589" t="s">
        <v>159</v>
      </c>
    </row>
    <row r="590" spans="9:17" x14ac:dyDescent="0.45">
      <c r="I590" t="s">
        <v>190</v>
      </c>
      <c r="J590" t="s">
        <v>288</v>
      </c>
      <c r="K590">
        <v>4.9341144028411804E-3</v>
      </c>
      <c r="L590" t="s">
        <v>159</v>
      </c>
      <c r="N590" t="s">
        <v>233</v>
      </c>
      <c r="O590" t="s">
        <v>288</v>
      </c>
      <c r="P590">
        <v>9.2400632558156018E-2</v>
      </c>
      <c r="Q590" t="s">
        <v>159</v>
      </c>
    </row>
    <row r="591" spans="9:17" x14ac:dyDescent="0.45">
      <c r="I591" t="s">
        <v>190</v>
      </c>
      <c r="J591" t="s">
        <v>162</v>
      </c>
      <c r="K591">
        <v>0</v>
      </c>
      <c r="L591" t="s">
        <v>159</v>
      </c>
      <c r="N591" t="s">
        <v>233</v>
      </c>
      <c r="O591" t="s">
        <v>162</v>
      </c>
      <c r="P591">
        <v>2.341939645207684E-2</v>
      </c>
      <c r="Q591" t="s">
        <v>159</v>
      </c>
    </row>
    <row r="592" spans="9:17" x14ac:dyDescent="0.45">
      <c r="I592" t="s">
        <v>190</v>
      </c>
      <c r="J592" t="s">
        <v>163</v>
      </c>
      <c r="K592">
        <v>0</v>
      </c>
      <c r="L592" t="s">
        <v>159</v>
      </c>
      <c r="N592" t="s">
        <v>233</v>
      </c>
      <c r="O592" t="s">
        <v>163</v>
      </c>
      <c r="P592">
        <v>2.6878232331893621E-3</v>
      </c>
      <c r="Q592" t="s">
        <v>159</v>
      </c>
    </row>
    <row r="593" spans="9:17" x14ac:dyDescent="0.45">
      <c r="I593" t="s">
        <v>190</v>
      </c>
      <c r="J593" t="s">
        <v>164</v>
      </c>
      <c r="K593">
        <v>5.728984489713259E-2</v>
      </c>
      <c r="L593" t="s">
        <v>159</v>
      </c>
      <c r="N593" t="s">
        <v>233</v>
      </c>
      <c r="O593" t="s">
        <v>164</v>
      </c>
      <c r="P593">
        <v>1.9769312448234433E-2</v>
      </c>
      <c r="Q593" t="s">
        <v>159</v>
      </c>
    </row>
    <row r="594" spans="9:17" x14ac:dyDescent="0.45">
      <c r="I594" t="s">
        <v>190</v>
      </c>
      <c r="J594" t="s">
        <v>289</v>
      </c>
      <c r="K594">
        <v>0</v>
      </c>
      <c r="L594" t="s">
        <v>159</v>
      </c>
      <c r="N594" t="s">
        <v>233</v>
      </c>
      <c r="O594" t="s">
        <v>289</v>
      </c>
      <c r="P594">
        <v>2.1604675763613069E-3</v>
      </c>
      <c r="Q594" t="s">
        <v>159</v>
      </c>
    </row>
    <row r="595" spans="9:17" x14ac:dyDescent="0.45">
      <c r="I595" t="s">
        <v>190</v>
      </c>
      <c r="J595" t="s">
        <v>290</v>
      </c>
      <c r="K595">
        <v>0</v>
      </c>
      <c r="L595" t="s">
        <v>159</v>
      </c>
      <c r="N595" t="s">
        <v>233</v>
      </c>
      <c r="O595" t="s">
        <v>290</v>
      </c>
      <c r="P595">
        <v>1.8748846601759604E-2</v>
      </c>
      <c r="Q595" t="s">
        <v>159</v>
      </c>
    </row>
    <row r="596" spans="9:17" x14ac:dyDescent="0.45">
      <c r="I596" t="s">
        <v>190</v>
      </c>
      <c r="J596" t="s">
        <v>165</v>
      </c>
      <c r="K596">
        <v>0</v>
      </c>
      <c r="L596" t="s">
        <v>159</v>
      </c>
      <c r="N596" t="s">
        <v>233</v>
      </c>
      <c r="O596" t="s">
        <v>165</v>
      </c>
      <c r="P596">
        <v>3.3992506404164048E-2</v>
      </c>
      <c r="Q596" t="s">
        <v>159</v>
      </c>
    </row>
    <row r="597" spans="9:17" x14ac:dyDescent="0.45">
      <c r="I597" t="s">
        <v>190</v>
      </c>
      <c r="J597" t="s">
        <v>166</v>
      </c>
      <c r="K597">
        <v>1.0695117393688745E-3</v>
      </c>
      <c r="L597" t="s">
        <v>159</v>
      </c>
      <c r="N597" t="s">
        <v>233</v>
      </c>
      <c r="O597" t="s">
        <v>166</v>
      </c>
      <c r="P597">
        <v>3.3955458162391182E-3</v>
      </c>
      <c r="Q597" t="s">
        <v>159</v>
      </c>
    </row>
    <row r="598" spans="9:17" x14ac:dyDescent="0.45">
      <c r="I598" t="s">
        <v>190</v>
      </c>
      <c r="J598" t="s">
        <v>167</v>
      </c>
      <c r="K598">
        <v>6.607143383080466E-2</v>
      </c>
      <c r="L598" t="s">
        <v>159</v>
      </c>
      <c r="N598" t="s">
        <v>233</v>
      </c>
      <c r="O598" t="s">
        <v>167</v>
      </c>
      <c r="P598">
        <v>2.0449502539726654E-2</v>
      </c>
      <c r="Q598" t="s">
        <v>159</v>
      </c>
    </row>
    <row r="599" spans="9:17" x14ac:dyDescent="0.45">
      <c r="I599" t="s">
        <v>190</v>
      </c>
      <c r="J599" t="s">
        <v>291</v>
      </c>
      <c r="K599">
        <v>1.19122940205679E-3</v>
      </c>
      <c r="L599" t="s">
        <v>159</v>
      </c>
      <c r="N599" t="s">
        <v>233</v>
      </c>
      <c r="O599" t="s">
        <v>291</v>
      </c>
      <c r="P599">
        <v>2.5662895503776365E-3</v>
      </c>
      <c r="Q599" t="s">
        <v>159</v>
      </c>
    </row>
    <row r="600" spans="9:17" x14ac:dyDescent="0.45">
      <c r="I600" t="s">
        <v>190</v>
      </c>
      <c r="J600" t="s">
        <v>292</v>
      </c>
      <c r="K600">
        <v>0</v>
      </c>
      <c r="L600" t="s">
        <v>159</v>
      </c>
      <c r="N600" t="s">
        <v>233</v>
      </c>
      <c r="O600" t="s">
        <v>292</v>
      </c>
      <c r="P600">
        <v>2.2793153395545728E-2</v>
      </c>
      <c r="Q600" t="s">
        <v>159</v>
      </c>
    </row>
    <row r="601" spans="9:17" x14ac:dyDescent="0.45">
      <c r="I601" t="s">
        <v>190</v>
      </c>
      <c r="J601" t="s">
        <v>293</v>
      </c>
      <c r="K601">
        <v>0</v>
      </c>
      <c r="L601" t="s">
        <v>159</v>
      </c>
      <c r="N601" t="s">
        <v>233</v>
      </c>
      <c r="O601" t="s">
        <v>293</v>
      </c>
      <c r="P601">
        <v>1.1752236712463511E-2</v>
      </c>
      <c r="Q601" t="s">
        <v>159</v>
      </c>
    </row>
    <row r="602" spans="9:17" x14ac:dyDescent="0.45">
      <c r="I602" t="s">
        <v>190</v>
      </c>
      <c r="J602" t="s">
        <v>294</v>
      </c>
      <c r="K602">
        <v>9.2686555422072251E-4</v>
      </c>
      <c r="L602" t="s">
        <v>159</v>
      </c>
      <c r="N602" t="s">
        <v>233</v>
      </c>
      <c r="O602" t="s">
        <v>294</v>
      </c>
      <c r="P602">
        <v>1.3759305045829E-3</v>
      </c>
      <c r="Q602" t="s">
        <v>159</v>
      </c>
    </row>
    <row r="603" spans="9:17" x14ac:dyDescent="0.45">
      <c r="I603" t="s">
        <v>190</v>
      </c>
      <c r="J603" t="s">
        <v>295</v>
      </c>
      <c r="K603">
        <v>1.7617974423944513E-2</v>
      </c>
      <c r="L603" t="s">
        <v>159</v>
      </c>
      <c r="N603" t="s">
        <v>233</v>
      </c>
      <c r="O603" t="s">
        <v>295</v>
      </c>
      <c r="P603">
        <v>9.3721275037110981E-3</v>
      </c>
      <c r="Q603" t="s">
        <v>159</v>
      </c>
    </row>
    <row r="604" spans="9:17" x14ac:dyDescent="0.45">
      <c r="I604" t="s">
        <v>190</v>
      </c>
      <c r="J604" t="s">
        <v>296</v>
      </c>
      <c r="K604">
        <v>8.9072356232486013E-4</v>
      </c>
      <c r="L604" t="s">
        <v>159</v>
      </c>
      <c r="N604" t="s">
        <v>233</v>
      </c>
      <c r="O604" t="s">
        <v>296</v>
      </c>
      <c r="P604">
        <v>9.2236761704161908E-4</v>
      </c>
      <c r="Q604" t="s">
        <v>159</v>
      </c>
    </row>
    <row r="605" spans="9:17" x14ac:dyDescent="0.45">
      <c r="I605" t="s">
        <v>190</v>
      </c>
      <c r="J605" t="s">
        <v>297</v>
      </c>
      <c r="K605">
        <v>0</v>
      </c>
      <c r="L605" t="s">
        <v>159</v>
      </c>
      <c r="N605" t="s">
        <v>233</v>
      </c>
      <c r="O605" t="s">
        <v>297</v>
      </c>
      <c r="P605">
        <v>8.0495187618631336E-3</v>
      </c>
      <c r="Q605" t="s">
        <v>159</v>
      </c>
    </row>
    <row r="606" spans="9:17" x14ac:dyDescent="0.45">
      <c r="I606" t="s">
        <v>190</v>
      </c>
      <c r="J606" t="s">
        <v>298</v>
      </c>
      <c r="K606">
        <v>7.0904130479725221E-3</v>
      </c>
      <c r="L606" t="s">
        <v>159</v>
      </c>
      <c r="N606" t="s">
        <v>233</v>
      </c>
      <c r="O606" t="s">
        <v>298</v>
      </c>
      <c r="P606">
        <v>0.16380144446286907</v>
      </c>
      <c r="Q606" t="s">
        <v>159</v>
      </c>
    </row>
    <row r="607" spans="9:17" x14ac:dyDescent="0.45">
      <c r="I607" t="s">
        <v>190</v>
      </c>
      <c r="J607" t="s">
        <v>299</v>
      </c>
      <c r="K607">
        <v>2.0326800445468727E-2</v>
      </c>
      <c r="L607" t="s">
        <v>159</v>
      </c>
      <c r="N607" t="s">
        <v>233</v>
      </c>
      <c r="O607" t="s">
        <v>299</v>
      </c>
      <c r="P607">
        <v>1.8598307032799945E-2</v>
      </c>
      <c r="Q607" t="s">
        <v>159</v>
      </c>
    </row>
    <row r="608" spans="9:17" x14ac:dyDescent="0.45">
      <c r="I608" t="s">
        <v>190</v>
      </c>
      <c r="J608" t="s">
        <v>300</v>
      </c>
      <c r="K608">
        <v>0.32988453610816781</v>
      </c>
      <c r="L608" t="s">
        <v>159</v>
      </c>
      <c r="N608" t="s">
        <v>233</v>
      </c>
      <c r="O608" t="s">
        <v>300</v>
      </c>
      <c r="P608">
        <v>0.13439223575127257</v>
      </c>
      <c r="Q608" t="s">
        <v>159</v>
      </c>
    </row>
    <row r="609" spans="9:17" x14ac:dyDescent="0.45">
      <c r="I609" t="s">
        <v>190</v>
      </c>
      <c r="J609" t="s">
        <v>301</v>
      </c>
      <c r="K609">
        <v>1.6082366017024601E-2</v>
      </c>
      <c r="L609" t="s">
        <v>159</v>
      </c>
      <c r="N609" t="s">
        <v>233</v>
      </c>
      <c r="O609" t="s">
        <v>301</v>
      </c>
      <c r="P609">
        <v>1.2858710043662829E-2</v>
      </c>
      <c r="Q609" t="s">
        <v>159</v>
      </c>
    </row>
    <row r="610" spans="9:17" x14ac:dyDescent="0.45">
      <c r="I610" t="s">
        <v>190</v>
      </c>
      <c r="J610" t="s">
        <v>302</v>
      </c>
      <c r="K610">
        <v>1.415582220337685E-3</v>
      </c>
      <c r="L610" t="s">
        <v>159</v>
      </c>
      <c r="N610" t="s">
        <v>233</v>
      </c>
      <c r="O610" t="s">
        <v>302</v>
      </c>
      <c r="P610">
        <v>0.12162581189646259</v>
      </c>
      <c r="Q610" t="s">
        <v>159</v>
      </c>
    </row>
    <row r="611" spans="9:17" x14ac:dyDescent="0.45">
      <c r="I611" t="s">
        <v>191</v>
      </c>
      <c r="J611" t="s">
        <v>158</v>
      </c>
      <c r="K611">
        <v>7.0688324420688014E-4</v>
      </c>
      <c r="L611" t="s">
        <v>159</v>
      </c>
      <c r="N611" t="s">
        <v>234</v>
      </c>
      <c r="O611" t="s">
        <v>158</v>
      </c>
      <c r="P611">
        <v>0.14057480967620692</v>
      </c>
      <c r="Q611" t="s">
        <v>159</v>
      </c>
    </row>
    <row r="612" spans="9:17" x14ac:dyDescent="0.45">
      <c r="I612" t="s">
        <v>191</v>
      </c>
      <c r="J612" t="s">
        <v>160</v>
      </c>
      <c r="K612">
        <v>1.8606875005008985E-2</v>
      </c>
      <c r="L612" t="s">
        <v>159</v>
      </c>
      <c r="N612" t="s">
        <v>234</v>
      </c>
      <c r="O612" t="s">
        <v>160</v>
      </c>
      <c r="P612">
        <v>1.2654387191304331E-2</v>
      </c>
      <c r="Q612" t="s">
        <v>159</v>
      </c>
    </row>
    <row r="613" spans="9:17" x14ac:dyDescent="0.45">
      <c r="I613" t="s">
        <v>191</v>
      </c>
      <c r="J613" t="s">
        <v>161</v>
      </c>
      <c r="K613">
        <v>0.43263610787693402</v>
      </c>
      <c r="L613" t="s">
        <v>159</v>
      </c>
      <c r="N613" t="s">
        <v>234</v>
      </c>
      <c r="O613" t="s">
        <v>161</v>
      </c>
      <c r="P613">
        <v>0.10077977870078082</v>
      </c>
      <c r="Q613" t="s">
        <v>159</v>
      </c>
    </row>
    <row r="614" spans="9:17" x14ac:dyDescent="0.45">
      <c r="I614" t="s">
        <v>191</v>
      </c>
      <c r="J614" t="s">
        <v>287</v>
      </c>
      <c r="K614">
        <v>2.0855489253260993E-2</v>
      </c>
      <c r="L614" t="s">
        <v>159</v>
      </c>
      <c r="N614" t="s">
        <v>234</v>
      </c>
      <c r="O614" t="s">
        <v>287</v>
      </c>
      <c r="P614">
        <v>1.2427949320323154E-2</v>
      </c>
      <c r="Q614" t="s">
        <v>159</v>
      </c>
    </row>
    <row r="615" spans="9:17" x14ac:dyDescent="0.45">
      <c r="I615" t="s">
        <v>191</v>
      </c>
      <c r="J615" t="s">
        <v>288</v>
      </c>
      <c r="K615">
        <v>6.0883844544895958E-3</v>
      </c>
      <c r="L615" t="s">
        <v>159</v>
      </c>
      <c r="N615" t="s">
        <v>234</v>
      </c>
      <c r="O615" t="s">
        <v>288</v>
      </c>
      <c r="P615">
        <v>9.6228543355318025E-2</v>
      </c>
      <c r="Q615" t="s">
        <v>159</v>
      </c>
    </row>
    <row r="616" spans="9:17" x14ac:dyDescent="0.45">
      <c r="I616" t="s">
        <v>191</v>
      </c>
      <c r="J616" t="s">
        <v>162</v>
      </c>
      <c r="K616">
        <v>0</v>
      </c>
      <c r="L616" t="s">
        <v>159</v>
      </c>
      <c r="N616" t="s">
        <v>234</v>
      </c>
      <c r="O616" t="s">
        <v>162</v>
      </c>
      <c r="P616">
        <v>2.1688094043353059E-2</v>
      </c>
      <c r="Q616" t="s">
        <v>159</v>
      </c>
    </row>
    <row r="617" spans="9:17" x14ac:dyDescent="0.45">
      <c r="I617" t="s">
        <v>191</v>
      </c>
      <c r="J617" t="s">
        <v>163</v>
      </c>
      <c r="K617">
        <v>0</v>
      </c>
      <c r="L617" t="s">
        <v>159</v>
      </c>
      <c r="N617" t="s">
        <v>234</v>
      </c>
      <c r="O617" t="s">
        <v>163</v>
      </c>
      <c r="P617">
        <v>2.237258305403193E-3</v>
      </c>
      <c r="Q617" t="s">
        <v>159</v>
      </c>
    </row>
    <row r="618" spans="9:17" x14ac:dyDescent="0.45">
      <c r="I618" t="s">
        <v>191</v>
      </c>
      <c r="J618" t="s">
        <v>164</v>
      </c>
      <c r="K618">
        <v>5.6909829504395874E-2</v>
      </c>
      <c r="L618" t="s">
        <v>159</v>
      </c>
      <c r="N618" t="s">
        <v>234</v>
      </c>
      <c r="O618" t="s">
        <v>164</v>
      </c>
      <c r="P618">
        <v>1.8857809701373879E-2</v>
      </c>
      <c r="Q618" t="s">
        <v>159</v>
      </c>
    </row>
    <row r="619" spans="9:17" x14ac:dyDescent="0.45">
      <c r="I619" t="s">
        <v>191</v>
      </c>
      <c r="J619" t="s">
        <v>289</v>
      </c>
      <c r="K619">
        <v>0</v>
      </c>
      <c r="L619" t="s">
        <v>159</v>
      </c>
      <c r="N619" t="s">
        <v>234</v>
      </c>
      <c r="O619" t="s">
        <v>289</v>
      </c>
      <c r="P619">
        <v>2.6934024153906677E-3</v>
      </c>
      <c r="Q619" t="s">
        <v>159</v>
      </c>
    </row>
    <row r="620" spans="9:17" x14ac:dyDescent="0.45">
      <c r="I620" t="s">
        <v>191</v>
      </c>
      <c r="J620" t="s">
        <v>290</v>
      </c>
      <c r="K620">
        <v>0</v>
      </c>
      <c r="L620" t="s">
        <v>159</v>
      </c>
      <c r="N620" t="s">
        <v>234</v>
      </c>
      <c r="O620" t="s">
        <v>290</v>
      </c>
      <c r="P620">
        <v>1.9174490990097184E-2</v>
      </c>
      <c r="Q620" t="s">
        <v>159</v>
      </c>
    </row>
    <row r="621" spans="9:17" x14ac:dyDescent="0.45">
      <c r="I621" t="s">
        <v>191</v>
      </c>
      <c r="J621" t="s">
        <v>165</v>
      </c>
      <c r="K621">
        <v>0</v>
      </c>
      <c r="L621" t="s">
        <v>159</v>
      </c>
      <c r="N621" t="s">
        <v>234</v>
      </c>
      <c r="O621" t="s">
        <v>165</v>
      </c>
      <c r="P621">
        <v>3.5726087584862044E-2</v>
      </c>
      <c r="Q621" t="s">
        <v>159</v>
      </c>
    </row>
    <row r="622" spans="9:17" x14ac:dyDescent="0.45">
      <c r="I622" t="s">
        <v>191</v>
      </c>
      <c r="J622" t="s">
        <v>166</v>
      </c>
      <c r="K622">
        <v>3.6328728876483155E-4</v>
      </c>
      <c r="L622" t="s">
        <v>159</v>
      </c>
      <c r="N622" t="s">
        <v>234</v>
      </c>
      <c r="O622" t="s">
        <v>166</v>
      </c>
      <c r="P622">
        <v>2.9940130275942843E-3</v>
      </c>
      <c r="Q622" t="s">
        <v>159</v>
      </c>
    </row>
    <row r="623" spans="9:17" x14ac:dyDescent="0.45">
      <c r="I623" t="s">
        <v>191</v>
      </c>
      <c r="J623" t="s">
        <v>167</v>
      </c>
      <c r="K623">
        <v>6.6239688356015999E-2</v>
      </c>
      <c r="L623" t="s">
        <v>159</v>
      </c>
      <c r="N623" t="s">
        <v>234</v>
      </c>
      <c r="O623" t="s">
        <v>167</v>
      </c>
      <c r="P623">
        <v>2.4732970974994477E-2</v>
      </c>
      <c r="Q623" t="s">
        <v>159</v>
      </c>
    </row>
    <row r="624" spans="9:17" x14ac:dyDescent="0.45">
      <c r="I624" t="s">
        <v>191</v>
      </c>
      <c r="J624" t="s">
        <v>291</v>
      </c>
      <c r="K624">
        <v>2.4611285133283342E-3</v>
      </c>
      <c r="L624" t="s">
        <v>159</v>
      </c>
      <c r="N624" t="s">
        <v>234</v>
      </c>
      <c r="O624" t="s">
        <v>291</v>
      </c>
      <c r="P624">
        <v>3.5802323288524492E-3</v>
      </c>
      <c r="Q624" t="s">
        <v>159</v>
      </c>
    </row>
    <row r="625" spans="9:17" x14ac:dyDescent="0.45">
      <c r="I625" t="s">
        <v>191</v>
      </c>
      <c r="J625" t="s">
        <v>292</v>
      </c>
      <c r="K625">
        <v>0</v>
      </c>
      <c r="L625" t="s">
        <v>159</v>
      </c>
      <c r="N625" t="s">
        <v>234</v>
      </c>
      <c r="O625" t="s">
        <v>292</v>
      </c>
      <c r="P625">
        <v>2.4803582838567515E-2</v>
      </c>
      <c r="Q625" t="s">
        <v>159</v>
      </c>
    </row>
    <row r="626" spans="9:17" x14ac:dyDescent="0.45">
      <c r="I626" t="s">
        <v>191</v>
      </c>
      <c r="J626" t="s">
        <v>293</v>
      </c>
      <c r="K626">
        <v>0</v>
      </c>
      <c r="L626" t="s">
        <v>159</v>
      </c>
      <c r="N626" t="s">
        <v>234</v>
      </c>
      <c r="O626" t="s">
        <v>293</v>
      </c>
      <c r="P626">
        <v>9.0632729826885684E-3</v>
      </c>
      <c r="Q626" t="s">
        <v>159</v>
      </c>
    </row>
    <row r="627" spans="9:17" x14ac:dyDescent="0.45">
      <c r="I627" t="s">
        <v>191</v>
      </c>
      <c r="J627" t="s">
        <v>294</v>
      </c>
      <c r="K627">
        <v>8.4990203002881367E-4</v>
      </c>
      <c r="L627" t="s">
        <v>159</v>
      </c>
      <c r="N627" t="s">
        <v>234</v>
      </c>
      <c r="O627" t="s">
        <v>294</v>
      </c>
      <c r="P627">
        <v>9.1832102418983085E-4</v>
      </c>
      <c r="Q627" t="s">
        <v>159</v>
      </c>
    </row>
    <row r="628" spans="9:17" x14ac:dyDescent="0.45">
      <c r="I628" t="s">
        <v>191</v>
      </c>
      <c r="J628" t="s">
        <v>295</v>
      </c>
      <c r="K628">
        <v>1.6766688771189489E-2</v>
      </c>
      <c r="L628" t="s">
        <v>159</v>
      </c>
      <c r="N628" t="s">
        <v>234</v>
      </c>
      <c r="O628" t="s">
        <v>295</v>
      </c>
      <c r="P628">
        <v>6.2917346694572737E-3</v>
      </c>
      <c r="Q628" t="s">
        <v>159</v>
      </c>
    </row>
    <row r="629" spans="9:17" x14ac:dyDescent="0.45">
      <c r="I629" t="s">
        <v>191</v>
      </c>
      <c r="J629" t="s">
        <v>296</v>
      </c>
      <c r="K629">
        <v>8.3793259860301102E-4</v>
      </c>
      <c r="L629" t="s">
        <v>159</v>
      </c>
      <c r="N629" t="s">
        <v>234</v>
      </c>
      <c r="O629" t="s">
        <v>296</v>
      </c>
      <c r="P629">
        <v>6.9700249551975788E-4</v>
      </c>
      <c r="Q629" t="s">
        <v>159</v>
      </c>
    </row>
    <row r="630" spans="9:17" x14ac:dyDescent="0.45">
      <c r="I630" t="s">
        <v>191</v>
      </c>
      <c r="J630" t="s">
        <v>297</v>
      </c>
      <c r="K630">
        <v>0</v>
      </c>
      <c r="L630" t="s">
        <v>159</v>
      </c>
      <c r="N630" t="s">
        <v>234</v>
      </c>
      <c r="O630" t="s">
        <v>297</v>
      </c>
      <c r="P630">
        <v>5.6390597549578828E-3</v>
      </c>
      <c r="Q630" t="s">
        <v>159</v>
      </c>
    </row>
    <row r="631" spans="9:17" x14ac:dyDescent="0.45">
      <c r="I631" t="s">
        <v>191</v>
      </c>
      <c r="J631" t="s">
        <v>298</v>
      </c>
      <c r="K631">
        <v>6.2772963366050632E-3</v>
      </c>
      <c r="L631" t="s">
        <v>159</v>
      </c>
      <c r="N631" t="s">
        <v>234</v>
      </c>
      <c r="O631" t="s">
        <v>298</v>
      </c>
      <c r="P631">
        <v>0.13931378073338085</v>
      </c>
      <c r="Q631" t="s">
        <v>159</v>
      </c>
    </row>
    <row r="632" spans="9:17" x14ac:dyDescent="0.45">
      <c r="I632" t="s">
        <v>191</v>
      </c>
      <c r="J632" t="s">
        <v>299</v>
      </c>
      <c r="K632">
        <v>1.9226550175468E-2</v>
      </c>
      <c r="L632" t="s">
        <v>159</v>
      </c>
      <c r="N632" t="s">
        <v>234</v>
      </c>
      <c r="O632" t="s">
        <v>299</v>
      </c>
      <c r="P632">
        <v>1.2324911055370426E-2</v>
      </c>
      <c r="Q632" t="s">
        <v>159</v>
      </c>
    </row>
    <row r="633" spans="9:17" x14ac:dyDescent="0.45">
      <c r="I633" t="s">
        <v>191</v>
      </c>
      <c r="J633" t="s">
        <v>300</v>
      </c>
      <c r="K633">
        <v>0.33220878899693762</v>
      </c>
      <c r="L633" t="s">
        <v>159</v>
      </c>
      <c r="N633" t="s">
        <v>234</v>
      </c>
      <c r="O633" t="s">
        <v>300</v>
      </c>
      <c r="P633">
        <v>0.16576659324939977</v>
      </c>
      <c r="Q633" t="s">
        <v>159</v>
      </c>
    </row>
    <row r="634" spans="9:17" x14ac:dyDescent="0.45">
      <c r="I634" t="s">
        <v>191</v>
      </c>
      <c r="J634" t="s">
        <v>301</v>
      </c>
      <c r="K634">
        <v>1.6904015785150661E-2</v>
      </c>
      <c r="L634" t="s">
        <v>159</v>
      </c>
      <c r="N634" t="s">
        <v>234</v>
      </c>
      <c r="O634" t="s">
        <v>301</v>
      </c>
      <c r="P634">
        <v>1.6427679816966641E-2</v>
      </c>
      <c r="Q634" t="s">
        <v>159</v>
      </c>
    </row>
    <row r="635" spans="9:17" x14ac:dyDescent="0.45">
      <c r="I635" t="s">
        <v>191</v>
      </c>
      <c r="J635" t="s">
        <v>302</v>
      </c>
      <c r="K635">
        <v>2.0611518096120859E-3</v>
      </c>
      <c r="L635" t="s">
        <v>159</v>
      </c>
      <c r="N635" t="s">
        <v>234</v>
      </c>
      <c r="O635" t="s">
        <v>302</v>
      </c>
      <c r="P635">
        <v>0.12440423376364682</v>
      </c>
      <c r="Q635" t="s">
        <v>159</v>
      </c>
    </row>
    <row r="636" spans="9:17" x14ac:dyDescent="0.45">
      <c r="I636" t="s">
        <v>192</v>
      </c>
      <c r="J636" t="s">
        <v>158</v>
      </c>
      <c r="K636">
        <v>1.1309490066213159E-3</v>
      </c>
      <c r="L636" t="s">
        <v>159</v>
      </c>
      <c r="N636" t="s">
        <v>235</v>
      </c>
      <c r="O636" t="s">
        <v>158</v>
      </c>
      <c r="P636">
        <v>0.1326078406128211</v>
      </c>
      <c r="Q636" t="s">
        <v>159</v>
      </c>
    </row>
    <row r="637" spans="9:17" x14ac:dyDescent="0.45">
      <c r="I637" t="s">
        <v>192</v>
      </c>
      <c r="J637" t="s">
        <v>160</v>
      </c>
      <c r="K637">
        <v>1.3586395728548712E-2</v>
      </c>
      <c r="L637" t="s">
        <v>159</v>
      </c>
      <c r="N637" t="s">
        <v>235</v>
      </c>
      <c r="O637" t="s">
        <v>160</v>
      </c>
      <c r="P637">
        <v>1.0870700320974307E-2</v>
      </c>
      <c r="Q637" t="s">
        <v>159</v>
      </c>
    </row>
    <row r="638" spans="9:17" x14ac:dyDescent="0.45">
      <c r="I638" t="s">
        <v>192</v>
      </c>
      <c r="J638" t="s">
        <v>161</v>
      </c>
      <c r="K638">
        <v>0.42803143769837193</v>
      </c>
      <c r="L638" t="s">
        <v>159</v>
      </c>
      <c r="N638" t="s">
        <v>235</v>
      </c>
      <c r="O638" t="s">
        <v>161</v>
      </c>
      <c r="P638">
        <v>9.2521085185320803E-2</v>
      </c>
      <c r="Q638" t="s">
        <v>159</v>
      </c>
    </row>
    <row r="639" spans="9:17" x14ac:dyDescent="0.45">
      <c r="I639" t="s">
        <v>192</v>
      </c>
      <c r="J639" t="s">
        <v>287</v>
      </c>
      <c r="K639">
        <v>1.6916284635490539E-2</v>
      </c>
      <c r="L639" t="s">
        <v>159</v>
      </c>
      <c r="N639" t="s">
        <v>235</v>
      </c>
      <c r="O639" t="s">
        <v>287</v>
      </c>
      <c r="P639">
        <v>1.4396412051200083E-2</v>
      </c>
      <c r="Q639" t="s">
        <v>159</v>
      </c>
    </row>
    <row r="640" spans="9:17" x14ac:dyDescent="0.45">
      <c r="I640" t="s">
        <v>192</v>
      </c>
      <c r="J640" t="s">
        <v>288</v>
      </c>
      <c r="K640">
        <v>5.7645492345875385E-3</v>
      </c>
      <c r="L640" t="s">
        <v>159</v>
      </c>
      <c r="N640" t="s">
        <v>235</v>
      </c>
      <c r="O640" t="s">
        <v>288</v>
      </c>
      <c r="P640">
        <v>0.12073586908366522</v>
      </c>
      <c r="Q640" t="s">
        <v>159</v>
      </c>
    </row>
    <row r="641" spans="9:17" x14ac:dyDescent="0.45">
      <c r="I641" t="s">
        <v>192</v>
      </c>
      <c r="J641" t="s">
        <v>162</v>
      </c>
      <c r="K641">
        <v>0</v>
      </c>
      <c r="L641" t="s">
        <v>159</v>
      </c>
      <c r="N641" t="s">
        <v>235</v>
      </c>
      <c r="O641" t="s">
        <v>162</v>
      </c>
      <c r="P641">
        <v>1.9235073131009032E-2</v>
      </c>
      <c r="Q641" t="s">
        <v>159</v>
      </c>
    </row>
    <row r="642" spans="9:17" x14ac:dyDescent="0.45">
      <c r="I642" t="s">
        <v>192</v>
      </c>
      <c r="J642" t="s">
        <v>163</v>
      </c>
      <c r="K642">
        <v>0</v>
      </c>
      <c r="L642" t="s">
        <v>159</v>
      </c>
      <c r="N642" t="s">
        <v>235</v>
      </c>
      <c r="O642" t="s">
        <v>163</v>
      </c>
      <c r="P642">
        <v>2.1868916872532897E-3</v>
      </c>
      <c r="Q642" t="s">
        <v>159</v>
      </c>
    </row>
    <row r="643" spans="9:17" x14ac:dyDescent="0.45">
      <c r="I643" t="s">
        <v>192</v>
      </c>
      <c r="J643" t="s">
        <v>164</v>
      </c>
      <c r="K643">
        <v>5.7897920926873118E-2</v>
      </c>
      <c r="L643" t="s">
        <v>159</v>
      </c>
      <c r="N643" t="s">
        <v>235</v>
      </c>
      <c r="O643" t="s">
        <v>164</v>
      </c>
      <c r="P643">
        <v>1.7114120353294474E-2</v>
      </c>
      <c r="Q643" t="s">
        <v>159</v>
      </c>
    </row>
    <row r="644" spans="9:17" x14ac:dyDescent="0.45">
      <c r="I644" t="s">
        <v>192</v>
      </c>
      <c r="J644" t="s">
        <v>289</v>
      </c>
      <c r="K644">
        <v>0</v>
      </c>
      <c r="L644" t="s">
        <v>159</v>
      </c>
      <c r="N644" t="s">
        <v>235</v>
      </c>
      <c r="O644" t="s">
        <v>289</v>
      </c>
      <c r="P644">
        <v>2.8483809628935771E-3</v>
      </c>
      <c r="Q644" t="s">
        <v>159</v>
      </c>
    </row>
    <row r="645" spans="9:17" x14ac:dyDescent="0.45">
      <c r="I645" t="s">
        <v>192</v>
      </c>
      <c r="J645" t="s">
        <v>290</v>
      </c>
      <c r="K645">
        <v>0</v>
      </c>
      <c r="L645" t="s">
        <v>159</v>
      </c>
      <c r="N645" t="s">
        <v>235</v>
      </c>
      <c r="O645" t="s">
        <v>290</v>
      </c>
      <c r="P645">
        <v>1.9565021956636747E-2</v>
      </c>
      <c r="Q645" t="s">
        <v>159</v>
      </c>
    </row>
    <row r="646" spans="9:17" x14ac:dyDescent="0.45">
      <c r="I646" t="s">
        <v>192</v>
      </c>
      <c r="J646" t="s">
        <v>165</v>
      </c>
      <c r="K646">
        <v>0</v>
      </c>
      <c r="L646" t="s">
        <v>159</v>
      </c>
      <c r="N646" t="s">
        <v>235</v>
      </c>
      <c r="O646" t="s">
        <v>165</v>
      </c>
      <c r="P646">
        <v>3.1158786547792628E-2</v>
      </c>
      <c r="Q646" t="s">
        <v>159</v>
      </c>
    </row>
    <row r="647" spans="9:17" x14ac:dyDescent="0.45">
      <c r="I647" t="s">
        <v>192</v>
      </c>
      <c r="J647" t="s">
        <v>166</v>
      </c>
      <c r="K647">
        <v>1.6045822243098085E-5</v>
      </c>
      <c r="L647" t="s">
        <v>159</v>
      </c>
      <c r="N647" t="s">
        <v>235</v>
      </c>
      <c r="O647" t="s">
        <v>166</v>
      </c>
      <c r="P647">
        <v>2.8756431517326896E-3</v>
      </c>
      <c r="Q647" t="s">
        <v>159</v>
      </c>
    </row>
    <row r="648" spans="9:17" x14ac:dyDescent="0.45">
      <c r="I648" t="s">
        <v>192</v>
      </c>
      <c r="J648" t="s">
        <v>167</v>
      </c>
      <c r="K648">
        <v>7.2175666844043973E-2</v>
      </c>
      <c r="L648" t="s">
        <v>159</v>
      </c>
      <c r="N648" t="s">
        <v>235</v>
      </c>
      <c r="O648" t="s">
        <v>167</v>
      </c>
      <c r="P648">
        <v>2.2367060515304987E-2</v>
      </c>
      <c r="Q648" t="s">
        <v>159</v>
      </c>
    </row>
    <row r="649" spans="9:17" x14ac:dyDescent="0.45">
      <c r="I649" t="s">
        <v>192</v>
      </c>
      <c r="J649" t="s">
        <v>291</v>
      </c>
      <c r="K649">
        <v>2.2817108839325749E-3</v>
      </c>
      <c r="L649" t="s">
        <v>159</v>
      </c>
      <c r="N649" t="s">
        <v>235</v>
      </c>
      <c r="O649" t="s">
        <v>291</v>
      </c>
      <c r="P649">
        <v>3.4033394769569071E-3</v>
      </c>
      <c r="Q649" t="s">
        <v>159</v>
      </c>
    </row>
    <row r="650" spans="9:17" x14ac:dyDescent="0.45">
      <c r="I650" t="s">
        <v>192</v>
      </c>
      <c r="J650" t="s">
        <v>292</v>
      </c>
      <c r="K650">
        <v>0</v>
      </c>
      <c r="L650" t="s">
        <v>159</v>
      </c>
      <c r="N650" t="s">
        <v>235</v>
      </c>
      <c r="O650" t="s">
        <v>292</v>
      </c>
      <c r="P650">
        <v>2.7822738766953497E-2</v>
      </c>
      <c r="Q650" t="s">
        <v>159</v>
      </c>
    </row>
    <row r="651" spans="9:17" x14ac:dyDescent="0.45">
      <c r="I651" t="s">
        <v>192</v>
      </c>
      <c r="J651" t="s">
        <v>293</v>
      </c>
      <c r="K651">
        <v>0</v>
      </c>
      <c r="L651" t="s">
        <v>159</v>
      </c>
      <c r="N651" t="s">
        <v>235</v>
      </c>
      <c r="O651" t="s">
        <v>293</v>
      </c>
      <c r="P651">
        <v>7.4806330501484023E-3</v>
      </c>
      <c r="Q651" t="s">
        <v>159</v>
      </c>
    </row>
    <row r="652" spans="9:17" x14ac:dyDescent="0.45">
      <c r="I652" t="s">
        <v>192</v>
      </c>
      <c r="J652" t="s">
        <v>294</v>
      </c>
      <c r="K652">
        <v>6.1502897593627992E-4</v>
      </c>
      <c r="L652" t="s">
        <v>159</v>
      </c>
      <c r="N652" t="s">
        <v>235</v>
      </c>
      <c r="O652" t="s">
        <v>294</v>
      </c>
      <c r="P652">
        <v>8.6623118109172828E-4</v>
      </c>
      <c r="Q652" t="s">
        <v>159</v>
      </c>
    </row>
    <row r="653" spans="9:17" x14ac:dyDescent="0.45">
      <c r="I653" t="s">
        <v>192</v>
      </c>
      <c r="J653" t="s">
        <v>295</v>
      </c>
      <c r="K653">
        <v>1.7593198932014793E-2</v>
      </c>
      <c r="L653" t="s">
        <v>159</v>
      </c>
      <c r="N653" t="s">
        <v>235</v>
      </c>
      <c r="O653" t="s">
        <v>295</v>
      </c>
      <c r="P653">
        <v>5.765550799924469E-3</v>
      </c>
      <c r="Q653" t="s">
        <v>159</v>
      </c>
    </row>
    <row r="654" spans="9:17" x14ac:dyDescent="0.45">
      <c r="I654" t="s">
        <v>192</v>
      </c>
      <c r="J654" t="s">
        <v>296</v>
      </c>
      <c r="K654">
        <v>9.2775600693888053E-4</v>
      </c>
      <c r="L654" t="s">
        <v>159</v>
      </c>
      <c r="N654" t="s">
        <v>235</v>
      </c>
      <c r="O654" t="s">
        <v>296</v>
      </c>
      <c r="P654">
        <v>1.1563585353766767E-3</v>
      </c>
      <c r="Q654" t="s">
        <v>159</v>
      </c>
    </row>
    <row r="655" spans="9:17" x14ac:dyDescent="0.45">
      <c r="I655" t="s">
        <v>192</v>
      </c>
      <c r="J655" t="s">
        <v>297</v>
      </c>
      <c r="K655">
        <v>0</v>
      </c>
      <c r="L655" t="s">
        <v>159</v>
      </c>
      <c r="N655" t="s">
        <v>235</v>
      </c>
      <c r="O655" t="s">
        <v>297</v>
      </c>
      <c r="P655">
        <v>7.1497075275367104E-3</v>
      </c>
      <c r="Q655" t="s">
        <v>159</v>
      </c>
    </row>
    <row r="656" spans="9:17" x14ac:dyDescent="0.45">
      <c r="I656" t="s">
        <v>192</v>
      </c>
      <c r="J656" t="s">
        <v>298</v>
      </c>
      <c r="K656">
        <v>4.6115858089327911E-3</v>
      </c>
      <c r="L656" t="s">
        <v>159</v>
      </c>
      <c r="N656" t="s">
        <v>235</v>
      </c>
      <c r="O656" t="s">
        <v>298</v>
      </c>
      <c r="P656">
        <v>0.14470870645574871</v>
      </c>
      <c r="Q656" t="s">
        <v>159</v>
      </c>
    </row>
    <row r="657" spans="9:17" x14ac:dyDescent="0.45">
      <c r="I657" t="s">
        <v>192</v>
      </c>
      <c r="J657" t="s">
        <v>299</v>
      </c>
      <c r="K657">
        <v>1.8309219577355977E-2</v>
      </c>
      <c r="L657" t="s">
        <v>159</v>
      </c>
      <c r="N657" t="s">
        <v>235</v>
      </c>
      <c r="O657" t="s">
        <v>299</v>
      </c>
      <c r="P657">
        <v>1.2213986247446948E-2</v>
      </c>
      <c r="Q657" t="s">
        <v>159</v>
      </c>
    </row>
    <row r="658" spans="9:17" x14ac:dyDescent="0.45">
      <c r="I658" t="s">
        <v>192</v>
      </c>
      <c r="J658" t="s">
        <v>300</v>
      </c>
      <c r="K658">
        <v>0.34203472079266506</v>
      </c>
      <c r="L658" t="s">
        <v>159</v>
      </c>
      <c r="N658" t="s">
        <v>235</v>
      </c>
      <c r="O658" t="s">
        <v>300</v>
      </c>
      <c r="P658">
        <v>0.12940828195290169</v>
      </c>
      <c r="Q658" t="s">
        <v>159</v>
      </c>
    </row>
    <row r="659" spans="9:17" x14ac:dyDescent="0.45">
      <c r="I659" t="s">
        <v>192</v>
      </c>
      <c r="J659" t="s">
        <v>301</v>
      </c>
      <c r="K659">
        <v>1.5983780274301244E-2</v>
      </c>
      <c r="L659" t="s">
        <v>159</v>
      </c>
      <c r="N659" t="s">
        <v>235</v>
      </c>
      <c r="O659" t="s">
        <v>301</v>
      </c>
      <c r="P659">
        <v>1.6481233238586565E-2</v>
      </c>
      <c r="Q659" t="s">
        <v>159</v>
      </c>
    </row>
    <row r="660" spans="9:17" x14ac:dyDescent="0.45">
      <c r="I660" t="s">
        <v>192</v>
      </c>
      <c r="J660" t="s">
        <v>302</v>
      </c>
      <c r="K660">
        <v>2.1237488511447779E-3</v>
      </c>
      <c r="L660" t="s">
        <v>159</v>
      </c>
      <c r="N660" t="s">
        <v>235</v>
      </c>
      <c r="O660" t="s">
        <v>302</v>
      </c>
      <c r="P660">
        <v>0.15506034720742881</v>
      </c>
      <c r="Q660" t="s">
        <v>159</v>
      </c>
    </row>
    <row r="661" spans="9:17" x14ac:dyDescent="0.45">
      <c r="I661" t="s">
        <v>193</v>
      </c>
      <c r="J661" t="s">
        <v>158</v>
      </c>
      <c r="K661">
        <v>1.2936960361094331E-3</v>
      </c>
      <c r="L661" t="s">
        <v>159</v>
      </c>
      <c r="N661" t="s">
        <v>236</v>
      </c>
      <c r="O661" t="s">
        <v>158</v>
      </c>
      <c r="P661">
        <v>0.15468801962414036</v>
      </c>
      <c r="Q661" t="s">
        <v>159</v>
      </c>
    </row>
    <row r="662" spans="9:17" x14ac:dyDescent="0.45">
      <c r="I662" t="s">
        <v>193</v>
      </c>
      <c r="J662" t="s">
        <v>160</v>
      </c>
      <c r="K662">
        <v>1.3208654229961644E-2</v>
      </c>
      <c r="L662" t="s">
        <v>159</v>
      </c>
      <c r="N662" t="s">
        <v>236</v>
      </c>
      <c r="O662" t="s">
        <v>160</v>
      </c>
      <c r="P662">
        <v>1.5734126223256883E-2</v>
      </c>
      <c r="Q662" t="s">
        <v>159</v>
      </c>
    </row>
    <row r="663" spans="9:17" x14ac:dyDescent="0.45">
      <c r="I663" t="s">
        <v>193</v>
      </c>
      <c r="J663" t="s">
        <v>161</v>
      </c>
      <c r="K663">
        <v>0.42741784907345926</v>
      </c>
      <c r="L663" t="s">
        <v>159</v>
      </c>
      <c r="N663" t="s">
        <v>236</v>
      </c>
      <c r="O663" t="s">
        <v>161</v>
      </c>
      <c r="P663">
        <v>0.10674804248023032</v>
      </c>
      <c r="Q663" t="s">
        <v>159</v>
      </c>
    </row>
    <row r="664" spans="9:17" x14ac:dyDescent="0.45">
      <c r="I664" t="s">
        <v>193</v>
      </c>
      <c r="J664" t="s">
        <v>287</v>
      </c>
      <c r="K664">
        <v>1.6354144660437095E-2</v>
      </c>
      <c r="L664" t="s">
        <v>159</v>
      </c>
      <c r="N664" t="s">
        <v>236</v>
      </c>
      <c r="O664" t="s">
        <v>287</v>
      </c>
      <c r="P664">
        <v>1.065496195164249E-2</v>
      </c>
      <c r="Q664" t="s">
        <v>159</v>
      </c>
    </row>
    <row r="665" spans="9:17" x14ac:dyDescent="0.45">
      <c r="I665" t="s">
        <v>193</v>
      </c>
      <c r="J665" t="s">
        <v>288</v>
      </c>
      <c r="K665">
        <v>5.4945931858881485E-3</v>
      </c>
      <c r="L665" t="s">
        <v>159</v>
      </c>
      <c r="N665" t="s">
        <v>236</v>
      </c>
      <c r="O665" t="s">
        <v>288</v>
      </c>
      <c r="P665">
        <v>9.6982739946183005E-2</v>
      </c>
      <c r="Q665" t="s">
        <v>159</v>
      </c>
    </row>
    <row r="666" spans="9:17" x14ac:dyDescent="0.45">
      <c r="I666" t="s">
        <v>193</v>
      </c>
      <c r="J666" t="s">
        <v>162</v>
      </c>
      <c r="K666">
        <v>0</v>
      </c>
      <c r="L666" t="s">
        <v>159</v>
      </c>
      <c r="N666" t="s">
        <v>236</v>
      </c>
      <c r="O666" t="s">
        <v>162</v>
      </c>
      <c r="P666">
        <v>3.2603837015423458E-2</v>
      </c>
      <c r="Q666" t="s">
        <v>159</v>
      </c>
    </row>
    <row r="667" spans="9:17" x14ac:dyDescent="0.45">
      <c r="I667" t="s">
        <v>193</v>
      </c>
      <c r="J667" t="s">
        <v>163</v>
      </c>
      <c r="K667">
        <v>0</v>
      </c>
      <c r="L667" t="s">
        <v>159</v>
      </c>
      <c r="N667" t="s">
        <v>236</v>
      </c>
      <c r="O667" t="s">
        <v>163</v>
      </c>
      <c r="P667">
        <v>3.7491498655166803E-3</v>
      </c>
      <c r="Q667" t="s">
        <v>159</v>
      </c>
    </row>
    <row r="668" spans="9:17" x14ac:dyDescent="0.45">
      <c r="I668" t="s">
        <v>193</v>
      </c>
      <c r="J668" t="s">
        <v>164</v>
      </c>
      <c r="K668">
        <v>5.560728766767712E-2</v>
      </c>
      <c r="L668" t="s">
        <v>159</v>
      </c>
      <c r="N668" t="s">
        <v>236</v>
      </c>
      <c r="O668" t="s">
        <v>164</v>
      </c>
      <c r="P668">
        <v>2.6450764130406746E-2</v>
      </c>
      <c r="Q668" t="s">
        <v>159</v>
      </c>
    </row>
    <row r="669" spans="9:17" x14ac:dyDescent="0.45">
      <c r="I669" t="s">
        <v>193</v>
      </c>
      <c r="J669" t="s">
        <v>289</v>
      </c>
      <c r="K669">
        <v>0</v>
      </c>
      <c r="L669" t="s">
        <v>159</v>
      </c>
      <c r="N669" t="s">
        <v>236</v>
      </c>
      <c r="O669" t="s">
        <v>289</v>
      </c>
      <c r="P669">
        <v>2.4352324310206062E-3</v>
      </c>
      <c r="Q669" t="s">
        <v>159</v>
      </c>
    </row>
    <row r="670" spans="9:17" x14ac:dyDescent="0.45">
      <c r="I670" t="s">
        <v>193</v>
      </c>
      <c r="J670" t="s">
        <v>290</v>
      </c>
      <c r="K670">
        <v>0</v>
      </c>
      <c r="L670" t="s">
        <v>159</v>
      </c>
      <c r="N670" t="s">
        <v>236</v>
      </c>
      <c r="O670" t="s">
        <v>290</v>
      </c>
      <c r="P670">
        <v>1.8566930716711727E-2</v>
      </c>
      <c r="Q670" t="s">
        <v>159</v>
      </c>
    </row>
    <row r="671" spans="9:17" x14ac:dyDescent="0.45">
      <c r="I671" t="s">
        <v>193</v>
      </c>
      <c r="J671" t="s">
        <v>165</v>
      </c>
      <c r="K671">
        <v>0</v>
      </c>
      <c r="L671" t="s">
        <v>159</v>
      </c>
      <c r="N671" t="s">
        <v>236</v>
      </c>
      <c r="O671" t="s">
        <v>165</v>
      </c>
      <c r="P671">
        <v>2.8214319801859341E-2</v>
      </c>
      <c r="Q671" t="s">
        <v>159</v>
      </c>
    </row>
    <row r="672" spans="9:17" x14ac:dyDescent="0.45">
      <c r="I672" t="s">
        <v>193</v>
      </c>
      <c r="J672" t="s">
        <v>166</v>
      </c>
      <c r="K672">
        <v>0</v>
      </c>
      <c r="L672" t="s">
        <v>159</v>
      </c>
      <c r="N672" t="s">
        <v>236</v>
      </c>
      <c r="O672" t="s">
        <v>166</v>
      </c>
      <c r="P672">
        <v>2.7272099284239831E-3</v>
      </c>
      <c r="Q672" t="s">
        <v>159</v>
      </c>
    </row>
    <row r="673" spans="9:17" x14ac:dyDescent="0.45">
      <c r="I673" t="s">
        <v>193</v>
      </c>
      <c r="J673" t="s">
        <v>167</v>
      </c>
      <c r="K673">
        <v>7.2577579285688323E-2</v>
      </c>
      <c r="L673" t="s">
        <v>159</v>
      </c>
      <c r="N673" t="s">
        <v>236</v>
      </c>
      <c r="O673" t="s">
        <v>167</v>
      </c>
      <c r="P673">
        <v>2.4643758024144598E-2</v>
      </c>
      <c r="Q673" t="s">
        <v>159</v>
      </c>
    </row>
    <row r="674" spans="9:17" x14ac:dyDescent="0.45">
      <c r="I674" t="s">
        <v>193</v>
      </c>
      <c r="J674" t="s">
        <v>291</v>
      </c>
      <c r="K674">
        <v>1.4366884213270741E-3</v>
      </c>
      <c r="L674" t="s">
        <v>159</v>
      </c>
      <c r="N674" t="s">
        <v>236</v>
      </c>
      <c r="O674" t="s">
        <v>291</v>
      </c>
      <c r="P674">
        <v>2.8234721171852225E-3</v>
      </c>
      <c r="Q674" t="s">
        <v>159</v>
      </c>
    </row>
    <row r="675" spans="9:17" x14ac:dyDescent="0.45">
      <c r="I675" t="s">
        <v>193</v>
      </c>
      <c r="J675" t="s">
        <v>292</v>
      </c>
      <c r="K675">
        <v>0</v>
      </c>
      <c r="L675" t="s">
        <v>159</v>
      </c>
      <c r="N675" t="s">
        <v>236</v>
      </c>
      <c r="O675" t="s">
        <v>292</v>
      </c>
      <c r="P675">
        <v>1.6631555035629051E-2</v>
      </c>
      <c r="Q675" t="s">
        <v>159</v>
      </c>
    </row>
    <row r="676" spans="9:17" x14ac:dyDescent="0.45">
      <c r="I676" t="s">
        <v>193</v>
      </c>
      <c r="J676" t="s">
        <v>293</v>
      </c>
      <c r="K676">
        <v>0</v>
      </c>
      <c r="L676" t="s">
        <v>159</v>
      </c>
      <c r="N676" t="s">
        <v>236</v>
      </c>
      <c r="O676" t="s">
        <v>293</v>
      </c>
      <c r="P676">
        <v>1.2091259909278174E-2</v>
      </c>
      <c r="Q676" t="s">
        <v>159</v>
      </c>
    </row>
    <row r="677" spans="9:17" x14ac:dyDescent="0.45">
      <c r="I677" t="s">
        <v>193</v>
      </c>
      <c r="J677" t="s">
        <v>294</v>
      </c>
      <c r="K677">
        <v>6.3661239598668284E-4</v>
      </c>
      <c r="L677" t="s">
        <v>159</v>
      </c>
      <c r="N677" t="s">
        <v>236</v>
      </c>
      <c r="O677" t="s">
        <v>294</v>
      </c>
      <c r="P677">
        <v>1.1514072781211948E-3</v>
      </c>
      <c r="Q677" t="s">
        <v>159</v>
      </c>
    </row>
    <row r="678" spans="9:17" x14ac:dyDescent="0.45">
      <c r="I678" t="s">
        <v>193</v>
      </c>
      <c r="J678" t="s">
        <v>295</v>
      </c>
      <c r="K678">
        <v>1.7902857665222073E-2</v>
      </c>
      <c r="L678" t="s">
        <v>159</v>
      </c>
      <c r="N678" t="s">
        <v>236</v>
      </c>
      <c r="O678" t="s">
        <v>295</v>
      </c>
      <c r="P678">
        <v>6.2339536331689717E-3</v>
      </c>
      <c r="Q678" t="s">
        <v>159</v>
      </c>
    </row>
    <row r="679" spans="9:17" x14ac:dyDescent="0.45">
      <c r="I679" t="s">
        <v>193</v>
      </c>
      <c r="J679" t="s">
        <v>296</v>
      </c>
      <c r="K679">
        <v>1.0845636279237202E-3</v>
      </c>
      <c r="L679" t="s">
        <v>159</v>
      </c>
      <c r="N679" t="s">
        <v>236</v>
      </c>
      <c r="O679" t="s">
        <v>296</v>
      </c>
      <c r="P679">
        <v>4.4589875879015052E-4</v>
      </c>
      <c r="Q679" t="s">
        <v>159</v>
      </c>
    </row>
    <row r="680" spans="9:17" x14ac:dyDescent="0.45">
      <c r="I680" t="s">
        <v>193</v>
      </c>
      <c r="J680" t="s">
        <v>297</v>
      </c>
      <c r="K680">
        <v>0</v>
      </c>
      <c r="L680" t="s">
        <v>159</v>
      </c>
      <c r="N680" t="s">
        <v>236</v>
      </c>
      <c r="O680" t="s">
        <v>297</v>
      </c>
      <c r="P680">
        <v>5.4861004463944178E-3</v>
      </c>
      <c r="Q680" t="s">
        <v>159</v>
      </c>
    </row>
    <row r="681" spans="9:17" x14ac:dyDescent="0.45">
      <c r="I681" t="s">
        <v>193</v>
      </c>
      <c r="J681" t="s">
        <v>298</v>
      </c>
      <c r="K681">
        <v>4.6810870401491041E-3</v>
      </c>
      <c r="L681" t="s">
        <v>159</v>
      </c>
      <c r="N681" t="s">
        <v>236</v>
      </c>
      <c r="O681" t="s">
        <v>298</v>
      </c>
      <c r="P681">
        <v>0.15356828199598141</v>
      </c>
      <c r="Q681" t="s">
        <v>159</v>
      </c>
    </row>
    <row r="682" spans="9:17" x14ac:dyDescent="0.45">
      <c r="I682" t="s">
        <v>193</v>
      </c>
      <c r="J682" t="s">
        <v>299</v>
      </c>
      <c r="K682">
        <v>1.7722476363560797E-2</v>
      </c>
      <c r="L682" t="s">
        <v>159</v>
      </c>
      <c r="N682" t="s">
        <v>236</v>
      </c>
      <c r="O682" t="s">
        <v>299</v>
      </c>
      <c r="P682">
        <v>1.4694636169955692E-2</v>
      </c>
      <c r="Q682" t="s">
        <v>159</v>
      </c>
    </row>
    <row r="683" spans="9:17" x14ac:dyDescent="0.45">
      <c r="I683" t="s">
        <v>193</v>
      </c>
      <c r="J683" t="s">
        <v>300</v>
      </c>
      <c r="K683">
        <v>0.34605293611675891</v>
      </c>
      <c r="L683" t="s">
        <v>159</v>
      </c>
      <c r="N683" t="s">
        <v>236</v>
      </c>
      <c r="O683" t="s">
        <v>300</v>
      </c>
      <c r="P683">
        <v>0.15011417518599812</v>
      </c>
      <c r="Q683" t="s">
        <v>159</v>
      </c>
    </row>
    <row r="684" spans="9:17" x14ac:dyDescent="0.45">
      <c r="I684" t="s">
        <v>193</v>
      </c>
      <c r="J684" t="s">
        <v>301</v>
      </c>
      <c r="K684">
        <v>1.6323470488129495E-2</v>
      </c>
      <c r="L684" t="s">
        <v>159</v>
      </c>
      <c r="N684" t="s">
        <v>236</v>
      </c>
      <c r="O684" t="s">
        <v>301</v>
      </c>
      <c r="P684">
        <v>1.4395287728667874E-2</v>
      </c>
      <c r="Q684" t="s">
        <v>159</v>
      </c>
    </row>
    <row r="685" spans="9:17" x14ac:dyDescent="0.45">
      <c r="I685" t="s">
        <v>193</v>
      </c>
      <c r="J685" t="s">
        <v>302</v>
      </c>
      <c r="K685">
        <v>2.2055037417215784E-3</v>
      </c>
      <c r="L685" t="s">
        <v>159</v>
      </c>
      <c r="N685" t="s">
        <v>236</v>
      </c>
      <c r="O685" t="s">
        <v>302</v>
      </c>
      <c r="P685">
        <v>9.8164879601869287E-2</v>
      </c>
      <c r="Q685" t="s">
        <v>159</v>
      </c>
    </row>
    <row r="686" spans="9:17" x14ac:dyDescent="0.45">
      <c r="I686" t="s">
        <v>194</v>
      </c>
      <c r="J686" t="s">
        <v>158</v>
      </c>
      <c r="K686">
        <v>2.2580495593228526E-3</v>
      </c>
      <c r="L686" t="s">
        <v>159</v>
      </c>
      <c r="N686" t="s">
        <v>237</v>
      </c>
      <c r="O686" t="s">
        <v>158</v>
      </c>
      <c r="P686">
        <v>0.14944466086795352</v>
      </c>
      <c r="Q686" t="s">
        <v>159</v>
      </c>
    </row>
    <row r="687" spans="9:17" x14ac:dyDescent="0.45">
      <c r="I687" t="s">
        <v>194</v>
      </c>
      <c r="J687" t="s">
        <v>160</v>
      </c>
      <c r="K687">
        <v>1.6805296695852973E-2</v>
      </c>
      <c r="L687" t="s">
        <v>159</v>
      </c>
      <c r="N687" t="s">
        <v>237</v>
      </c>
      <c r="O687" t="s">
        <v>160</v>
      </c>
      <c r="P687">
        <v>1.8315169590849476E-2</v>
      </c>
      <c r="Q687" t="s">
        <v>159</v>
      </c>
    </row>
    <row r="688" spans="9:17" x14ac:dyDescent="0.45">
      <c r="I688" t="s">
        <v>194</v>
      </c>
      <c r="J688" t="s">
        <v>161</v>
      </c>
      <c r="K688">
        <v>0.43033415844069373</v>
      </c>
      <c r="L688" t="s">
        <v>159</v>
      </c>
      <c r="N688" t="s">
        <v>237</v>
      </c>
      <c r="O688" t="s">
        <v>161</v>
      </c>
      <c r="P688">
        <v>0.10802588432869259</v>
      </c>
      <c r="Q688" t="s">
        <v>159</v>
      </c>
    </row>
    <row r="689" spans="9:17" x14ac:dyDescent="0.45">
      <c r="I689" t="s">
        <v>194</v>
      </c>
      <c r="J689" t="s">
        <v>287</v>
      </c>
      <c r="K689">
        <v>1.5309259419456637E-2</v>
      </c>
      <c r="L689" t="s">
        <v>159</v>
      </c>
      <c r="N689" t="s">
        <v>237</v>
      </c>
      <c r="O689" t="s">
        <v>287</v>
      </c>
      <c r="P689">
        <v>9.4267639664664359E-3</v>
      </c>
      <c r="Q689" t="s">
        <v>159</v>
      </c>
    </row>
    <row r="690" spans="9:17" x14ac:dyDescent="0.45">
      <c r="I690" t="s">
        <v>194</v>
      </c>
      <c r="J690" t="s">
        <v>288</v>
      </c>
      <c r="K690">
        <v>4.2685498838607059E-3</v>
      </c>
      <c r="L690" t="s">
        <v>159</v>
      </c>
      <c r="N690" t="s">
        <v>237</v>
      </c>
      <c r="O690" t="s">
        <v>288</v>
      </c>
      <c r="P690">
        <v>8.4692787197494179E-2</v>
      </c>
      <c r="Q690" t="s">
        <v>159</v>
      </c>
    </row>
    <row r="691" spans="9:17" x14ac:dyDescent="0.45">
      <c r="I691" t="s">
        <v>194</v>
      </c>
      <c r="J691" t="s">
        <v>162</v>
      </c>
      <c r="K691">
        <v>0</v>
      </c>
      <c r="L691" t="s">
        <v>159</v>
      </c>
      <c r="N691" t="s">
        <v>237</v>
      </c>
      <c r="O691" t="s">
        <v>162</v>
      </c>
      <c r="P691">
        <v>3.5509584483716043E-2</v>
      </c>
      <c r="Q691" t="s">
        <v>159</v>
      </c>
    </row>
    <row r="692" spans="9:17" x14ac:dyDescent="0.45">
      <c r="I692" t="s">
        <v>194</v>
      </c>
      <c r="J692" t="s">
        <v>163</v>
      </c>
      <c r="K692">
        <v>0</v>
      </c>
      <c r="L692" t="s">
        <v>159</v>
      </c>
      <c r="N692" t="s">
        <v>237</v>
      </c>
      <c r="O692" t="s">
        <v>163</v>
      </c>
      <c r="P692">
        <v>4.4897920337255209E-3</v>
      </c>
      <c r="Q692" t="s">
        <v>159</v>
      </c>
    </row>
    <row r="693" spans="9:17" x14ac:dyDescent="0.45">
      <c r="I693" t="s">
        <v>194</v>
      </c>
      <c r="J693" t="s">
        <v>164</v>
      </c>
      <c r="K693">
        <v>5.1638127514666281E-2</v>
      </c>
      <c r="L693" t="s">
        <v>159</v>
      </c>
      <c r="N693" t="s">
        <v>237</v>
      </c>
      <c r="O693" t="s">
        <v>164</v>
      </c>
      <c r="P693">
        <v>3.0528541294820515E-2</v>
      </c>
      <c r="Q693" t="s">
        <v>159</v>
      </c>
    </row>
    <row r="694" spans="9:17" x14ac:dyDescent="0.45">
      <c r="I694" t="s">
        <v>194</v>
      </c>
      <c r="J694" t="s">
        <v>289</v>
      </c>
      <c r="K694">
        <v>0</v>
      </c>
      <c r="L694" t="s">
        <v>159</v>
      </c>
      <c r="N694" t="s">
        <v>237</v>
      </c>
      <c r="O694" t="s">
        <v>289</v>
      </c>
      <c r="P694">
        <v>2.7458531606822188E-3</v>
      </c>
      <c r="Q694" t="s">
        <v>159</v>
      </c>
    </row>
    <row r="695" spans="9:17" x14ac:dyDescent="0.45">
      <c r="I695" t="s">
        <v>194</v>
      </c>
      <c r="J695" t="s">
        <v>290</v>
      </c>
      <c r="K695">
        <v>0</v>
      </c>
      <c r="L695" t="s">
        <v>159</v>
      </c>
      <c r="N695" t="s">
        <v>237</v>
      </c>
      <c r="O695" t="s">
        <v>290</v>
      </c>
      <c r="P695">
        <v>2.1062218542498633E-2</v>
      </c>
      <c r="Q695" t="s">
        <v>159</v>
      </c>
    </row>
    <row r="696" spans="9:17" x14ac:dyDescent="0.45">
      <c r="I696" t="s">
        <v>194</v>
      </c>
      <c r="J696" t="s">
        <v>165</v>
      </c>
      <c r="K696">
        <v>0</v>
      </c>
      <c r="L696" t="s">
        <v>159</v>
      </c>
      <c r="N696" t="s">
        <v>237</v>
      </c>
      <c r="O696" t="s">
        <v>165</v>
      </c>
      <c r="P696">
        <v>3.12092342245829E-2</v>
      </c>
      <c r="Q696" t="s">
        <v>159</v>
      </c>
    </row>
    <row r="697" spans="9:17" x14ac:dyDescent="0.45">
      <c r="I697" t="s">
        <v>194</v>
      </c>
      <c r="J697" t="s">
        <v>166</v>
      </c>
      <c r="K697">
        <v>2.5782690147812534E-4</v>
      </c>
      <c r="L697" t="s">
        <v>159</v>
      </c>
      <c r="N697" t="s">
        <v>237</v>
      </c>
      <c r="O697" t="s">
        <v>166</v>
      </c>
      <c r="P697">
        <v>3.8141989514722191E-3</v>
      </c>
      <c r="Q697" t="s">
        <v>159</v>
      </c>
    </row>
    <row r="698" spans="9:17" x14ac:dyDescent="0.45">
      <c r="I698" t="s">
        <v>194</v>
      </c>
      <c r="J698" t="s">
        <v>167</v>
      </c>
      <c r="K698">
        <v>7.0302448778614912E-2</v>
      </c>
      <c r="L698" t="s">
        <v>159</v>
      </c>
      <c r="N698" t="s">
        <v>237</v>
      </c>
      <c r="O698" t="s">
        <v>167</v>
      </c>
      <c r="P698">
        <v>2.6632007949466269E-2</v>
      </c>
      <c r="Q698" t="s">
        <v>159</v>
      </c>
    </row>
    <row r="699" spans="9:17" x14ac:dyDescent="0.45">
      <c r="I699" t="s">
        <v>194</v>
      </c>
      <c r="J699" t="s">
        <v>291</v>
      </c>
      <c r="K699">
        <v>0</v>
      </c>
      <c r="L699" t="s">
        <v>159</v>
      </c>
      <c r="N699" t="s">
        <v>237</v>
      </c>
      <c r="O699" t="s">
        <v>291</v>
      </c>
      <c r="P699">
        <v>2.8835591636591179E-3</v>
      </c>
      <c r="Q699" t="s">
        <v>159</v>
      </c>
    </row>
    <row r="700" spans="9:17" x14ac:dyDescent="0.45">
      <c r="I700" t="s">
        <v>194</v>
      </c>
      <c r="J700" t="s">
        <v>292</v>
      </c>
      <c r="K700">
        <v>0</v>
      </c>
      <c r="L700" t="s">
        <v>159</v>
      </c>
      <c r="N700" t="s">
        <v>237</v>
      </c>
      <c r="O700" t="s">
        <v>292</v>
      </c>
      <c r="P700">
        <v>2.0471083910715036E-2</v>
      </c>
      <c r="Q700" t="s">
        <v>159</v>
      </c>
    </row>
    <row r="701" spans="9:17" x14ac:dyDescent="0.45">
      <c r="I701" t="s">
        <v>194</v>
      </c>
      <c r="J701" t="s">
        <v>293</v>
      </c>
      <c r="K701">
        <v>0</v>
      </c>
      <c r="L701" t="s">
        <v>159</v>
      </c>
      <c r="N701" t="s">
        <v>237</v>
      </c>
      <c r="O701" t="s">
        <v>293</v>
      </c>
      <c r="P701">
        <v>1.3564461540760143E-2</v>
      </c>
      <c r="Q701" t="s">
        <v>159</v>
      </c>
    </row>
    <row r="702" spans="9:17" x14ac:dyDescent="0.45">
      <c r="I702" t="s">
        <v>194</v>
      </c>
      <c r="J702" t="s">
        <v>294</v>
      </c>
      <c r="K702">
        <v>1.0507708065816933E-3</v>
      </c>
      <c r="L702" t="s">
        <v>159</v>
      </c>
      <c r="N702" t="s">
        <v>237</v>
      </c>
      <c r="O702" t="s">
        <v>294</v>
      </c>
      <c r="P702">
        <v>1.7725324670625961E-3</v>
      </c>
      <c r="Q702" t="s">
        <v>159</v>
      </c>
    </row>
    <row r="703" spans="9:17" x14ac:dyDescent="0.45">
      <c r="I703" t="s">
        <v>194</v>
      </c>
      <c r="J703" t="s">
        <v>295</v>
      </c>
      <c r="K703">
        <v>1.8928498613800471E-2</v>
      </c>
      <c r="L703" t="s">
        <v>159</v>
      </c>
      <c r="N703" t="s">
        <v>237</v>
      </c>
      <c r="O703" t="s">
        <v>295</v>
      </c>
      <c r="P703">
        <v>1.0331903197866012E-2</v>
      </c>
      <c r="Q703" t="s">
        <v>159</v>
      </c>
    </row>
    <row r="704" spans="9:17" x14ac:dyDescent="0.45">
      <c r="I704" t="s">
        <v>194</v>
      </c>
      <c r="J704" t="s">
        <v>296</v>
      </c>
      <c r="K704">
        <v>1.7624346261414792E-4</v>
      </c>
      <c r="L704" t="s">
        <v>159</v>
      </c>
      <c r="N704" t="s">
        <v>237</v>
      </c>
      <c r="O704" t="s">
        <v>296</v>
      </c>
      <c r="P704">
        <v>6.2300271571286787E-4</v>
      </c>
      <c r="Q704" t="s">
        <v>159</v>
      </c>
    </row>
    <row r="705" spans="9:17" x14ac:dyDescent="0.45">
      <c r="I705" t="s">
        <v>194</v>
      </c>
      <c r="J705" t="s">
        <v>297</v>
      </c>
      <c r="K705">
        <v>0</v>
      </c>
      <c r="L705" t="s">
        <v>159</v>
      </c>
      <c r="N705" t="s">
        <v>237</v>
      </c>
      <c r="O705" t="s">
        <v>297</v>
      </c>
      <c r="P705">
        <v>7.4967736314404676E-3</v>
      </c>
      <c r="Q705" t="s">
        <v>159</v>
      </c>
    </row>
    <row r="706" spans="9:17" x14ac:dyDescent="0.45">
      <c r="I706" t="s">
        <v>194</v>
      </c>
      <c r="J706" t="s">
        <v>298</v>
      </c>
      <c r="K706">
        <v>7.2580111318622294E-3</v>
      </c>
      <c r="L706" t="s">
        <v>159</v>
      </c>
      <c r="N706" t="s">
        <v>237</v>
      </c>
      <c r="O706" t="s">
        <v>298</v>
      </c>
      <c r="P706">
        <v>0.14785840953891866</v>
      </c>
      <c r="Q706" t="s">
        <v>159</v>
      </c>
    </row>
    <row r="707" spans="9:17" x14ac:dyDescent="0.45">
      <c r="I707" t="s">
        <v>194</v>
      </c>
      <c r="J707" t="s">
        <v>299</v>
      </c>
      <c r="K707">
        <v>1.9625652436726575E-2</v>
      </c>
      <c r="L707" t="s">
        <v>159</v>
      </c>
      <c r="N707" t="s">
        <v>237</v>
      </c>
      <c r="O707" t="s">
        <v>299</v>
      </c>
      <c r="P707">
        <v>1.6783824912206338E-2</v>
      </c>
      <c r="Q707" t="s">
        <v>159</v>
      </c>
    </row>
    <row r="708" spans="9:17" x14ac:dyDescent="0.45">
      <c r="I708" t="s">
        <v>194</v>
      </c>
      <c r="J708" t="s">
        <v>300</v>
      </c>
      <c r="K708">
        <v>0.3453299535093351</v>
      </c>
      <c r="L708" t="s">
        <v>159</v>
      </c>
      <c r="N708" t="s">
        <v>237</v>
      </c>
      <c r="O708" t="s">
        <v>300</v>
      </c>
      <c r="P708">
        <v>0.15035941354667415</v>
      </c>
      <c r="Q708" t="s">
        <v>159</v>
      </c>
    </row>
    <row r="709" spans="9:17" x14ac:dyDescent="0.45">
      <c r="I709" t="s">
        <v>194</v>
      </c>
      <c r="J709" t="s">
        <v>301</v>
      </c>
      <c r="K709">
        <v>1.4841088097305466E-2</v>
      </c>
      <c r="L709" t="s">
        <v>159</v>
      </c>
      <c r="N709" t="s">
        <v>237</v>
      </c>
      <c r="O709" t="s">
        <v>301</v>
      </c>
      <c r="P709">
        <v>1.3737240396882006E-2</v>
      </c>
      <c r="Q709" t="s">
        <v>159</v>
      </c>
    </row>
    <row r="710" spans="9:17" x14ac:dyDescent="0.45">
      <c r="I710" t="s">
        <v>194</v>
      </c>
      <c r="J710" t="s">
        <v>302</v>
      </c>
      <c r="K710">
        <v>1.6160647478270672E-3</v>
      </c>
      <c r="L710" t="s">
        <v>159</v>
      </c>
      <c r="N710" t="s">
        <v>237</v>
      </c>
      <c r="O710" t="s">
        <v>302</v>
      </c>
      <c r="P710">
        <v>8.8221098385681929E-2</v>
      </c>
      <c r="Q710" t="s">
        <v>159</v>
      </c>
    </row>
    <row r="711" spans="9:17" x14ac:dyDescent="0.45">
      <c r="I711" t="s">
        <v>195</v>
      </c>
      <c r="J711" t="s">
        <v>158</v>
      </c>
      <c r="K711">
        <v>1.8386249321436137E-3</v>
      </c>
      <c r="L711" t="s">
        <v>159</v>
      </c>
      <c r="N711" t="s">
        <v>238</v>
      </c>
      <c r="O711" t="s">
        <v>158</v>
      </c>
      <c r="P711">
        <v>0.15261132289222248</v>
      </c>
      <c r="Q711" t="s">
        <v>159</v>
      </c>
    </row>
    <row r="712" spans="9:17" x14ac:dyDescent="0.45">
      <c r="I712" t="s">
        <v>195</v>
      </c>
      <c r="J712" t="s">
        <v>160</v>
      </c>
      <c r="K712">
        <v>1.4366360434725695E-2</v>
      </c>
      <c r="L712" t="s">
        <v>159</v>
      </c>
      <c r="N712" t="s">
        <v>238</v>
      </c>
      <c r="O712" t="s">
        <v>160</v>
      </c>
      <c r="P712">
        <v>1.6124576784146381E-2</v>
      </c>
      <c r="Q712" t="s">
        <v>159</v>
      </c>
    </row>
    <row r="713" spans="9:17" x14ac:dyDescent="0.45">
      <c r="I713" t="s">
        <v>195</v>
      </c>
      <c r="J713" t="s">
        <v>161</v>
      </c>
      <c r="K713">
        <v>0.430368136325118</v>
      </c>
      <c r="L713" t="s">
        <v>159</v>
      </c>
      <c r="N713" t="s">
        <v>238</v>
      </c>
      <c r="O713" t="s">
        <v>161</v>
      </c>
      <c r="P713">
        <v>0.13551952185181285</v>
      </c>
      <c r="Q713" t="s">
        <v>159</v>
      </c>
    </row>
    <row r="714" spans="9:17" x14ac:dyDescent="0.45">
      <c r="I714" t="s">
        <v>195</v>
      </c>
      <c r="J714" t="s">
        <v>287</v>
      </c>
      <c r="K714">
        <v>1.4804622101144737E-2</v>
      </c>
      <c r="L714" t="s">
        <v>159</v>
      </c>
      <c r="N714" t="s">
        <v>238</v>
      </c>
      <c r="O714" t="s">
        <v>287</v>
      </c>
      <c r="P714">
        <v>1.4167688795096832E-2</v>
      </c>
      <c r="Q714" t="s">
        <v>159</v>
      </c>
    </row>
    <row r="715" spans="9:17" x14ac:dyDescent="0.45">
      <c r="I715" t="s">
        <v>195</v>
      </c>
      <c r="J715" t="s">
        <v>288</v>
      </c>
      <c r="K715">
        <v>4.3661093529989842E-3</v>
      </c>
      <c r="L715" t="s">
        <v>159</v>
      </c>
      <c r="N715" t="s">
        <v>238</v>
      </c>
      <c r="O715" t="s">
        <v>288</v>
      </c>
      <c r="P715">
        <v>0.11192319425563303</v>
      </c>
      <c r="Q715" t="s">
        <v>159</v>
      </c>
    </row>
    <row r="716" spans="9:17" x14ac:dyDescent="0.45">
      <c r="I716" t="s">
        <v>195</v>
      </c>
      <c r="J716" t="s">
        <v>162</v>
      </c>
      <c r="K716">
        <v>0</v>
      </c>
      <c r="L716" t="s">
        <v>159</v>
      </c>
      <c r="N716" t="s">
        <v>238</v>
      </c>
      <c r="O716" t="s">
        <v>162</v>
      </c>
      <c r="P716">
        <v>2.5500411764341591E-2</v>
      </c>
      <c r="Q716" t="s">
        <v>159</v>
      </c>
    </row>
    <row r="717" spans="9:17" x14ac:dyDescent="0.45">
      <c r="I717" t="s">
        <v>195</v>
      </c>
      <c r="J717" t="s">
        <v>163</v>
      </c>
      <c r="K717">
        <v>0</v>
      </c>
      <c r="L717" t="s">
        <v>159</v>
      </c>
      <c r="N717" t="s">
        <v>238</v>
      </c>
      <c r="O717" t="s">
        <v>163</v>
      </c>
      <c r="P717">
        <v>3.7087119111721303E-3</v>
      </c>
      <c r="Q717" t="s">
        <v>159</v>
      </c>
    </row>
    <row r="718" spans="9:17" x14ac:dyDescent="0.45">
      <c r="I718" t="s">
        <v>195</v>
      </c>
      <c r="J718" t="s">
        <v>164</v>
      </c>
      <c r="K718">
        <v>5.4237560879555516E-2</v>
      </c>
      <c r="L718" t="s">
        <v>159</v>
      </c>
      <c r="N718" t="s">
        <v>238</v>
      </c>
      <c r="O718" t="s">
        <v>164</v>
      </c>
      <c r="P718">
        <v>3.1210955438867372E-2</v>
      </c>
      <c r="Q718" t="s">
        <v>159</v>
      </c>
    </row>
    <row r="719" spans="9:17" x14ac:dyDescent="0.45">
      <c r="I719" t="s">
        <v>195</v>
      </c>
      <c r="J719" t="s">
        <v>289</v>
      </c>
      <c r="K719">
        <v>0</v>
      </c>
      <c r="L719" t="s">
        <v>159</v>
      </c>
      <c r="N719" t="s">
        <v>238</v>
      </c>
      <c r="O719" t="s">
        <v>289</v>
      </c>
      <c r="P719">
        <v>3.352732240973886E-3</v>
      </c>
      <c r="Q719" t="s">
        <v>159</v>
      </c>
    </row>
    <row r="720" spans="9:17" x14ac:dyDescent="0.45">
      <c r="I720" t="s">
        <v>195</v>
      </c>
      <c r="J720" t="s">
        <v>290</v>
      </c>
      <c r="K720">
        <v>0</v>
      </c>
      <c r="L720" t="s">
        <v>159</v>
      </c>
      <c r="N720" t="s">
        <v>238</v>
      </c>
      <c r="O720" t="s">
        <v>290</v>
      </c>
      <c r="P720">
        <v>2.047468312616945E-2</v>
      </c>
      <c r="Q720" t="s">
        <v>159</v>
      </c>
    </row>
    <row r="721" spans="9:17" x14ac:dyDescent="0.45">
      <c r="I721" t="s">
        <v>195</v>
      </c>
      <c r="J721" t="s">
        <v>165</v>
      </c>
      <c r="K721">
        <v>0</v>
      </c>
      <c r="L721" t="s">
        <v>159</v>
      </c>
      <c r="N721" t="s">
        <v>238</v>
      </c>
      <c r="O721" t="s">
        <v>165</v>
      </c>
      <c r="P721">
        <v>2.4982748338918764E-2</v>
      </c>
      <c r="Q721" t="s">
        <v>159</v>
      </c>
    </row>
    <row r="722" spans="9:17" x14ac:dyDescent="0.45">
      <c r="I722" t="s">
        <v>195</v>
      </c>
      <c r="J722" t="s">
        <v>166</v>
      </c>
      <c r="K722">
        <v>6.1474104006414651E-6</v>
      </c>
      <c r="L722" t="s">
        <v>159</v>
      </c>
      <c r="N722" t="s">
        <v>238</v>
      </c>
      <c r="O722" t="s">
        <v>166</v>
      </c>
      <c r="P722">
        <v>3.0671845515104494E-3</v>
      </c>
      <c r="Q722" t="s">
        <v>159</v>
      </c>
    </row>
    <row r="723" spans="9:17" x14ac:dyDescent="0.45">
      <c r="I723" t="s">
        <v>195</v>
      </c>
      <c r="J723" t="s">
        <v>167</v>
      </c>
      <c r="K723">
        <v>7.4659196078203913E-2</v>
      </c>
      <c r="L723" t="s">
        <v>159</v>
      </c>
      <c r="N723" t="s">
        <v>238</v>
      </c>
      <c r="O723" t="s">
        <v>167</v>
      </c>
      <c r="P723">
        <v>3.0137247803027262E-2</v>
      </c>
      <c r="Q723" t="s">
        <v>159</v>
      </c>
    </row>
    <row r="724" spans="9:17" x14ac:dyDescent="0.45">
      <c r="I724" t="s">
        <v>195</v>
      </c>
      <c r="J724" t="s">
        <v>291</v>
      </c>
      <c r="K724">
        <v>2.2087766101491207E-4</v>
      </c>
      <c r="L724" t="s">
        <v>159</v>
      </c>
      <c r="N724" t="s">
        <v>238</v>
      </c>
      <c r="O724" t="s">
        <v>291</v>
      </c>
      <c r="P724">
        <v>3.4777549891446468E-3</v>
      </c>
      <c r="Q724" t="s">
        <v>159</v>
      </c>
    </row>
    <row r="725" spans="9:17" x14ac:dyDescent="0.45">
      <c r="I725" t="s">
        <v>195</v>
      </c>
      <c r="J725" t="s">
        <v>292</v>
      </c>
      <c r="K725">
        <v>0</v>
      </c>
      <c r="L725" t="s">
        <v>159</v>
      </c>
      <c r="N725" t="s">
        <v>238</v>
      </c>
      <c r="O725" t="s">
        <v>292</v>
      </c>
      <c r="P725">
        <v>2.1879419669594533E-2</v>
      </c>
      <c r="Q725" t="s">
        <v>159</v>
      </c>
    </row>
    <row r="726" spans="9:17" x14ac:dyDescent="0.45">
      <c r="I726" t="s">
        <v>195</v>
      </c>
      <c r="J726" t="s">
        <v>293</v>
      </c>
      <c r="K726">
        <v>0</v>
      </c>
      <c r="L726" t="s">
        <v>159</v>
      </c>
      <c r="N726" t="s">
        <v>238</v>
      </c>
      <c r="O726" t="s">
        <v>293</v>
      </c>
      <c r="P726">
        <v>1.0854855831033407E-2</v>
      </c>
      <c r="Q726" t="s">
        <v>159</v>
      </c>
    </row>
    <row r="727" spans="9:17" x14ac:dyDescent="0.45">
      <c r="I727" t="s">
        <v>195</v>
      </c>
      <c r="J727" t="s">
        <v>294</v>
      </c>
      <c r="K727">
        <v>8.5768088003590525E-4</v>
      </c>
      <c r="L727" t="s">
        <v>159</v>
      </c>
      <c r="N727" t="s">
        <v>238</v>
      </c>
      <c r="O727" t="s">
        <v>294</v>
      </c>
      <c r="P727">
        <v>1.3481823988086233E-3</v>
      </c>
      <c r="Q727" t="s">
        <v>159</v>
      </c>
    </row>
    <row r="728" spans="9:17" x14ac:dyDescent="0.45">
      <c r="I728" t="s">
        <v>195</v>
      </c>
      <c r="J728" t="s">
        <v>295</v>
      </c>
      <c r="K728">
        <v>1.8914538050871312E-2</v>
      </c>
      <c r="L728" t="s">
        <v>159</v>
      </c>
      <c r="N728" t="s">
        <v>238</v>
      </c>
      <c r="O728" t="s">
        <v>295</v>
      </c>
      <c r="P728">
        <v>1.1785939080990897E-2</v>
      </c>
      <c r="Q728" t="s">
        <v>159</v>
      </c>
    </row>
    <row r="729" spans="9:17" x14ac:dyDescent="0.45">
      <c r="I729" t="s">
        <v>195</v>
      </c>
      <c r="J729" t="s">
        <v>296</v>
      </c>
      <c r="K729">
        <v>1.1412372595299581E-3</v>
      </c>
      <c r="L729" t="s">
        <v>159</v>
      </c>
      <c r="N729" t="s">
        <v>238</v>
      </c>
      <c r="O729" t="s">
        <v>296</v>
      </c>
      <c r="P729">
        <v>8.0330870183604498E-4</v>
      </c>
      <c r="Q729" t="s">
        <v>159</v>
      </c>
    </row>
    <row r="730" spans="9:17" x14ac:dyDescent="0.45">
      <c r="I730" t="s">
        <v>195</v>
      </c>
      <c r="J730" t="s">
        <v>297</v>
      </c>
      <c r="K730">
        <v>0</v>
      </c>
      <c r="L730" t="s">
        <v>159</v>
      </c>
      <c r="N730" t="s">
        <v>238</v>
      </c>
      <c r="O730" t="s">
        <v>297</v>
      </c>
      <c r="P730">
        <v>6.1671372841136211E-3</v>
      </c>
      <c r="Q730" t="s">
        <v>159</v>
      </c>
    </row>
    <row r="731" spans="9:17" x14ac:dyDescent="0.45">
      <c r="I731" t="s">
        <v>195</v>
      </c>
      <c r="J731" t="s">
        <v>298</v>
      </c>
      <c r="K731">
        <v>5.9546816304533561E-3</v>
      </c>
      <c r="L731" t="s">
        <v>159</v>
      </c>
      <c r="N731" t="s">
        <v>238</v>
      </c>
      <c r="O731" t="s">
        <v>298</v>
      </c>
      <c r="P731">
        <v>0.10717298261515737</v>
      </c>
      <c r="Q731" t="s">
        <v>159</v>
      </c>
    </row>
    <row r="732" spans="9:17" x14ac:dyDescent="0.45">
      <c r="I732" t="s">
        <v>195</v>
      </c>
      <c r="J732" t="s">
        <v>299</v>
      </c>
      <c r="K732">
        <v>1.926761070333179E-2</v>
      </c>
      <c r="L732" t="s">
        <v>159</v>
      </c>
      <c r="N732" t="s">
        <v>238</v>
      </c>
      <c r="O732" t="s">
        <v>299</v>
      </c>
      <c r="P732">
        <v>1.026604029225215E-2</v>
      </c>
      <c r="Q732" t="s">
        <v>159</v>
      </c>
    </row>
    <row r="733" spans="9:17" x14ac:dyDescent="0.45">
      <c r="I733" t="s">
        <v>195</v>
      </c>
      <c r="J733" t="s">
        <v>300</v>
      </c>
      <c r="K733">
        <v>0.34233815559765218</v>
      </c>
      <c r="L733" t="s">
        <v>159</v>
      </c>
      <c r="N733" t="s">
        <v>238</v>
      </c>
      <c r="O733" t="s">
        <v>300</v>
      </c>
      <c r="P733">
        <v>0.13590578731107322</v>
      </c>
      <c r="Q733" t="s">
        <v>159</v>
      </c>
    </row>
    <row r="734" spans="9:17" x14ac:dyDescent="0.45">
      <c r="I734" t="s">
        <v>195</v>
      </c>
      <c r="J734" t="s">
        <v>301</v>
      </c>
      <c r="K734">
        <v>1.4818879557315461E-2</v>
      </c>
      <c r="L734" t="s">
        <v>159</v>
      </c>
      <c r="N734" t="s">
        <v>238</v>
      </c>
      <c r="O734" t="s">
        <v>301</v>
      </c>
      <c r="P734">
        <v>1.618359242461842E-2</v>
      </c>
      <c r="Q734" t="s">
        <v>159</v>
      </c>
    </row>
    <row r="735" spans="9:17" x14ac:dyDescent="0.45">
      <c r="I735" t="s">
        <v>195</v>
      </c>
      <c r="J735" t="s">
        <v>302</v>
      </c>
      <c r="K735">
        <v>1.8395811455033299E-3</v>
      </c>
      <c r="L735" t="s">
        <v>159</v>
      </c>
      <c r="N735" t="s">
        <v>238</v>
      </c>
      <c r="O735" t="s">
        <v>302</v>
      </c>
      <c r="P735">
        <v>0.10137401964748297</v>
      </c>
      <c r="Q735" t="s">
        <v>159</v>
      </c>
    </row>
    <row r="736" spans="9:17" x14ac:dyDescent="0.45">
      <c r="I736" t="s">
        <v>196</v>
      </c>
      <c r="J736" t="s">
        <v>158</v>
      </c>
      <c r="K736">
        <v>1.4011736761520702E-3</v>
      </c>
      <c r="L736" t="s">
        <v>159</v>
      </c>
      <c r="N736" t="s">
        <v>239</v>
      </c>
      <c r="O736" t="s">
        <v>158</v>
      </c>
      <c r="P736">
        <v>0.13183328589804105</v>
      </c>
      <c r="Q736" t="s">
        <v>159</v>
      </c>
    </row>
    <row r="737" spans="9:17" x14ac:dyDescent="0.45">
      <c r="I737" t="s">
        <v>196</v>
      </c>
      <c r="J737" t="s">
        <v>160</v>
      </c>
      <c r="K737">
        <v>1.4132730334304094E-2</v>
      </c>
      <c r="L737" t="s">
        <v>159</v>
      </c>
      <c r="N737" t="s">
        <v>239</v>
      </c>
      <c r="O737" t="s">
        <v>160</v>
      </c>
      <c r="P737">
        <v>1.6886489068172646E-2</v>
      </c>
      <c r="Q737" t="s">
        <v>159</v>
      </c>
    </row>
    <row r="738" spans="9:17" x14ac:dyDescent="0.45">
      <c r="I738" t="s">
        <v>196</v>
      </c>
      <c r="J738" t="s">
        <v>161</v>
      </c>
      <c r="K738">
        <v>0.43796747909684003</v>
      </c>
      <c r="L738" t="s">
        <v>159</v>
      </c>
      <c r="N738" t="s">
        <v>239</v>
      </c>
      <c r="O738" t="s">
        <v>161</v>
      </c>
      <c r="P738">
        <v>0.14589123447651547</v>
      </c>
      <c r="Q738" t="s">
        <v>159</v>
      </c>
    </row>
    <row r="739" spans="9:17" x14ac:dyDescent="0.45">
      <c r="I739" t="s">
        <v>196</v>
      </c>
      <c r="J739" t="s">
        <v>287</v>
      </c>
      <c r="K739">
        <v>1.6059162652008845E-2</v>
      </c>
      <c r="L739" t="s">
        <v>159</v>
      </c>
      <c r="N739" t="s">
        <v>239</v>
      </c>
      <c r="O739" t="s">
        <v>287</v>
      </c>
      <c r="P739">
        <v>1.3216152881597512E-2</v>
      </c>
      <c r="Q739" t="s">
        <v>159</v>
      </c>
    </row>
    <row r="740" spans="9:17" x14ac:dyDescent="0.45">
      <c r="I740" t="s">
        <v>196</v>
      </c>
      <c r="J740" t="s">
        <v>288</v>
      </c>
      <c r="K740">
        <v>4.2988725822617046E-3</v>
      </c>
      <c r="L740" t="s">
        <v>159</v>
      </c>
      <c r="N740" t="s">
        <v>239</v>
      </c>
      <c r="O740" t="s">
        <v>288</v>
      </c>
      <c r="P740">
        <v>9.2049131128418865E-2</v>
      </c>
      <c r="Q740" t="s">
        <v>159</v>
      </c>
    </row>
    <row r="741" spans="9:17" x14ac:dyDescent="0.45">
      <c r="I741" t="s">
        <v>196</v>
      </c>
      <c r="J741" t="s">
        <v>162</v>
      </c>
      <c r="K741">
        <v>0</v>
      </c>
      <c r="L741" t="s">
        <v>159</v>
      </c>
      <c r="N741" t="s">
        <v>239</v>
      </c>
      <c r="O741" t="s">
        <v>162</v>
      </c>
      <c r="P741">
        <v>2.8134057024855417E-2</v>
      </c>
      <c r="Q741" t="s">
        <v>159</v>
      </c>
    </row>
    <row r="742" spans="9:17" x14ac:dyDescent="0.45">
      <c r="I742" t="s">
        <v>196</v>
      </c>
      <c r="J742" t="s">
        <v>163</v>
      </c>
      <c r="K742">
        <v>0</v>
      </c>
      <c r="L742" t="s">
        <v>159</v>
      </c>
      <c r="N742" t="s">
        <v>239</v>
      </c>
      <c r="O742" t="s">
        <v>163</v>
      </c>
      <c r="P742">
        <v>4.0999833534704549E-3</v>
      </c>
      <c r="Q742" t="s">
        <v>159</v>
      </c>
    </row>
    <row r="743" spans="9:17" x14ac:dyDescent="0.45">
      <c r="I743" t="s">
        <v>196</v>
      </c>
      <c r="J743" t="s">
        <v>164</v>
      </c>
      <c r="K743">
        <v>5.6806371377592001E-2</v>
      </c>
      <c r="L743" t="s">
        <v>159</v>
      </c>
      <c r="N743" t="s">
        <v>239</v>
      </c>
      <c r="O743" t="s">
        <v>164</v>
      </c>
      <c r="P743">
        <v>3.5088378208617925E-2</v>
      </c>
      <c r="Q743" t="s">
        <v>159</v>
      </c>
    </row>
    <row r="744" spans="9:17" x14ac:dyDescent="0.45">
      <c r="I744" t="s">
        <v>196</v>
      </c>
      <c r="J744" t="s">
        <v>289</v>
      </c>
      <c r="K744">
        <v>0</v>
      </c>
      <c r="L744" t="s">
        <v>159</v>
      </c>
      <c r="N744" t="s">
        <v>239</v>
      </c>
      <c r="O744" t="s">
        <v>289</v>
      </c>
      <c r="P744">
        <v>2.9521003725821405E-3</v>
      </c>
      <c r="Q744" t="s">
        <v>159</v>
      </c>
    </row>
    <row r="745" spans="9:17" x14ac:dyDescent="0.45">
      <c r="I745" t="s">
        <v>196</v>
      </c>
      <c r="J745" t="s">
        <v>290</v>
      </c>
      <c r="K745">
        <v>0</v>
      </c>
      <c r="L745" t="s">
        <v>159</v>
      </c>
      <c r="N745" t="s">
        <v>239</v>
      </c>
      <c r="O745" t="s">
        <v>290</v>
      </c>
      <c r="P745">
        <v>1.9522906746203088E-2</v>
      </c>
      <c r="Q745" t="s">
        <v>159</v>
      </c>
    </row>
    <row r="746" spans="9:17" x14ac:dyDescent="0.45">
      <c r="I746" t="s">
        <v>196</v>
      </c>
      <c r="J746" t="s">
        <v>165</v>
      </c>
      <c r="K746">
        <v>0</v>
      </c>
      <c r="L746" t="s">
        <v>159</v>
      </c>
      <c r="N746" t="s">
        <v>239</v>
      </c>
      <c r="O746" t="s">
        <v>165</v>
      </c>
      <c r="P746">
        <v>2.3424409443081353E-2</v>
      </c>
      <c r="Q746" t="s">
        <v>159</v>
      </c>
    </row>
    <row r="747" spans="9:17" x14ac:dyDescent="0.45">
      <c r="I747" t="s">
        <v>196</v>
      </c>
      <c r="J747" t="s">
        <v>166</v>
      </c>
      <c r="K747">
        <v>2.0708751724862626E-4</v>
      </c>
      <c r="L747" t="s">
        <v>159</v>
      </c>
      <c r="N747" t="s">
        <v>239</v>
      </c>
      <c r="O747" t="s">
        <v>166</v>
      </c>
      <c r="P747">
        <v>3.3409687693984084E-3</v>
      </c>
      <c r="Q747" t="s">
        <v>159</v>
      </c>
    </row>
    <row r="748" spans="9:17" x14ac:dyDescent="0.45">
      <c r="I748" t="s">
        <v>196</v>
      </c>
      <c r="J748" t="s">
        <v>167</v>
      </c>
      <c r="K748">
        <v>7.4653808872792674E-2</v>
      </c>
      <c r="L748" t="s">
        <v>159</v>
      </c>
      <c r="N748" t="s">
        <v>239</v>
      </c>
      <c r="O748" t="s">
        <v>167</v>
      </c>
      <c r="P748">
        <v>3.2557698730401652E-2</v>
      </c>
      <c r="Q748" t="s">
        <v>159</v>
      </c>
    </row>
    <row r="749" spans="9:17" x14ac:dyDescent="0.45">
      <c r="I749" t="s">
        <v>196</v>
      </c>
      <c r="J749" t="s">
        <v>291</v>
      </c>
      <c r="K749">
        <v>2.5357818873682832E-4</v>
      </c>
      <c r="L749" t="s">
        <v>159</v>
      </c>
      <c r="N749" t="s">
        <v>239</v>
      </c>
      <c r="O749" t="s">
        <v>291</v>
      </c>
      <c r="P749">
        <v>3.2653918572416022E-3</v>
      </c>
      <c r="Q749" t="s">
        <v>159</v>
      </c>
    </row>
    <row r="750" spans="9:17" x14ac:dyDescent="0.45">
      <c r="I750" t="s">
        <v>196</v>
      </c>
      <c r="J750" t="s">
        <v>292</v>
      </c>
      <c r="K750">
        <v>0</v>
      </c>
      <c r="L750" t="s">
        <v>159</v>
      </c>
      <c r="N750" t="s">
        <v>239</v>
      </c>
      <c r="O750" t="s">
        <v>292</v>
      </c>
      <c r="P750">
        <v>1.8752878333933229E-2</v>
      </c>
      <c r="Q750" t="s">
        <v>159</v>
      </c>
    </row>
    <row r="751" spans="9:17" x14ac:dyDescent="0.45">
      <c r="I751" t="s">
        <v>196</v>
      </c>
      <c r="J751" t="s">
        <v>293</v>
      </c>
      <c r="K751">
        <v>0</v>
      </c>
      <c r="L751" t="s">
        <v>159</v>
      </c>
      <c r="N751" t="s">
        <v>239</v>
      </c>
      <c r="O751" t="s">
        <v>293</v>
      </c>
      <c r="P751">
        <v>1.0734216538110049E-2</v>
      </c>
      <c r="Q751" t="s">
        <v>159</v>
      </c>
    </row>
    <row r="752" spans="9:17" x14ac:dyDescent="0.45">
      <c r="I752" t="s">
        <v>196</v>
      </c>
      <c r="J752" t="s">
        <v>294</v>
      </c>
      <c r="K752">
        <v>1.0642671519283655E-3</v>
      </c>
      <c r="L752" t="s">
        <v>159</v>
      </c>
      <c r="N752" t="s">
        <v>239</v>
      </c>
      <c r="O752" t="s">
        <v>294</v>
      </c>
      <c r="P752">
        <v>1.523795713295237E-3</v>
      </c>
      <c r="Q752" t="s">
        <v>159</v>
      </c>
    </row>
    <row r="753" spans="9:17" x14ac:dyDescent="0.45">
      <c r="I753" t="s">
        <v>196</v>
      </c>
      <c r="J753" t="s">
        <v>295</v>
      </c>
      <c r="K753">
        <v>1.7890879179348115E-2</v>
      </c>
      <c r="L753" t="s">
        <v>159</v>
      </c>
      <c r="N753" t="s">
        <v>239</v>
      </c>
      <c r="O753" t="s">
        <v>295</v>
      </c>
      <c r="P753">
        <v>1.1349463474576497E-2</v>
      </c>
      <c r="Q753" t="s">
        <v>159</v>
      </c>
    </row>
    <row r="754" spans="9:17" x14ac:dyDescent="0.45">
      <c r="I754" t="s">
        <v>196</v>
      </c>
      <c r="J754" t="s">
        <v>296</v>
      </c>
      <c r="K754">
        <v>9.6627248778520221E-4</v>
      </c>
      <c r="L754" t="s">
        <v>159</v>
      </c>
      <c r="N754" t="s">
        <v>239</v>
      </c>
      <c r="O754" t="s">
        <v>296</v>
      </c>
      <c r="P754">
        <v>7.3675740875014765E-4</v>
      </c>
      <c r="Q754" t="s">
        <v>159</v>
      </c>
    </row>
    <row r="755" spans="9:17" x14ac:dyDescent="0.45">
      <c r="I755" t="s">
        <v>196</v>
      </c>
      <c r="J755" t="s">
        <v>297</v>
      </c>
      <c r="K755">
        <v>0</v>
      </c>
      <c r="L755" t="s">
        <v>159</v>
      </c>
      <c r="N755" t="s">
        <v>239</v>
      </c>
      <c r="O755" t="s">
        <v>297</v>
      </c>
      <c r="P755">
        <v>5.6141415019742413E-3</v>
      </c>
      <c r="Q755" t="s">
        <v>159</v>
      </c>
    </row>
    <row r="756" spans="9:17" x14ac:dyDescent="0.45">
      <c r="I756" t="s">
        <v>196</v>
      </c>
      <c r="J756" t="s">
        <v>298</v>
      </c>
      <c r="K756">
        <v>4.6690276745017401E-3</v>
      </c>
      <c r="L756" t="s">
        <v>159</v>
      </c>
      <c r="N756" t="s">
        <v>239</v>
      </c>
      <c r="O756" t="s">
        <v>298</v>
      </c>
      <c r="P756">
        <v>0.11318583716683474</v>
      </c>
      <c r="Q756" t="s">
        <v>159</v>
      </c>
    </row>
    <row r="757" spans="9:17" x14ac:dyDescent="0.45">
      <c r="I757" t="s">
        <v>196</v>
      </c>
      <c r="J757" t="s">
        <v>299</v>
      </c>
      <c r="K757">
        <v>1.7275718027927694E-2</v>
      </c>
      <c r="L757" t="s">
        <v>159</v>
      </c>
      <c r="N757" t="s">
        <v>239</v>
      </c>
      <c r="O757" t="s">
        <v>299</v>
      </c>
      <c r="P757">
        <v>1.2748122873152801E-2</v>
      </c>
      <c r="Q757" t="s">
        <v>159</v>
      </c>
    </row>
    <row r="758" spans="9:17" x14ac:dyDescent="0.45">
      <c r="I758" t="s">
        <v>196</v>
      </c>
      <c r="J758" t="s">
        <v>300</v>
      </c>
      <c r="K758">
        <v>0.33596307525034835</v>
      </c>
      <c r="L758" t="s">
        <v>159</v>
      </c>
      <c r="N758" t="s">
        <v>239</v>
      </c>
      <c r="O758" t="s">
        <v>300</v>
      </c>
      <c r="P758">
        <v>0.16034627697414042</v>
      </c>
      <c r="Q758" t="s">
        <v>159</v>
      </c>
    </row>
    <row r="759" spans="9:17" x14ac:dyDescent="0.45">
      <c r="I759" t="s">
        <v>196</v>
      </c>
      <c r="J759" t="s">
        <v>301</v>
      </c>
      <c r="K759">
        <v>1.4836177984300661E-2</v>
      </c>
      <c r="L759" t="s">
        <v>159</v>
      </c>
      <c r="N759" t="s">
        <v>239</v>
      </c>
      <c r="O759" t="s">
        <v>301</v>
      </c>
      <c r="P759">
        <v>1.6605733472905535E-2</v>
      </c>
      <c r="Q759" t="s">
        <v>159</v>
      </c>
    </row>
    <row r="760" spans="9:17" x14ac:dyDescent="0.45">
      <c r="I760" t="s">
        <v>196</v>
      </c>
      <c r="J760" t="s">
        <v>302</v>
      </c>
      <c r="K760">
        <v>1.5543179459218536E-3</v>
      </c>
      <c r="L760" t="s">
        <v>159</v>
      </c>
      <c r="N760" t="s">
        <v>239</v>
      </c>
      <c r="O760" t="s">
        <v>302</v>
      </c>
      <c r="P760">
        <v>9.6140588583729467E-2</v>
      </c>
      <c r="Q760" t="s">
        <v>159</v>
      </c>
    </row>
    <row r="761" spans="9:17" x14ac:dyDescent="0.45">
      <c r="I761" t="s">
        <v>197</v>
      </c>
      <c r="J761" t="s">
        <v>158</v>
      </c>
      <c r="K761">
        <v>2.2684643880167103E-3</v>
      </c>
      <c r="L761" t="s">
        <v>159</v>
      </c>
      <c r="N761" t="s">
        <v>240</v>
      </c>
      <c r="O761" t="s">
        <v>158</v>
      </c>
      <c r="P761">
        <v>0.15678212210918158</v>
      </c>
      <c r="Q761" t="s">
        <v>159</v>
      </c>
    </row>
    <row r="762" spans="9:17" x14ac:dyDescent="0.45">
      <c r="I762" t="s">
        <v>197</v>
      </c>
      <c r="J762" t="s">
        <v>160</v>
      </c>
      <c r="K762">
        <v>1.7496127057945308E-2</v>
      </c>
      <c r="L762" t="s">
        <v>159</v>
      </c>
      <c r="N762" t="s">
        <v>240</v>
      </c>
      <c r="O762" t="s">
        <v>160</v>
      </c>
      <c r="P762">
        <v>1.8706611154075761E-2</v>
      </c>
      <c r="Q762" t="s">
        <v>159</v>
      </c>
    </row>
    <row r="763" spans="9:17" x14ac:dyDescent="0.45">
      <c r="I763" t="s">
        <v>197</v>
      </c>
      <c r="J763" t="s">
        <v>161</v>
      </c>
      <c r="K763">
        <v>0.43922189719577459</v>
      </c>
      <c r="L763" t="s">
        <v>159</v>
      </c>
      <c r="N763" t="s">
        <v>240</v>
      </c>
      <c r="O763" t="s">
        <v>161</v>
      </c>
      <c r="P763">
        <v>0.12262170973200341</v>
      </c>
      <c r="Q763" t="s">
        <v>159</v>
      </c>
    </row>
    <row r="764" spans="9:17" x14ac:dyDescent="0.45">
      <c r="I764" t="s">
        <v>197</v>
      </c>
      <c r="J764" t="s">
        <v>287</v>
      </c>
      <c r="K764">
        <v>1.6029986658498283E-2</v>
      </c>
      <c r="L764" t="s">
        <v>159</v>
      </c>
      <c r="N764" t="s">
        <v>240</v>
      </c>
      <c r="O764" t="s">
        <v>287</v>
      </c>
      <c r="P764">
        <v>1.0809234633626425E-2</v>
      </c>
      <c r="Q764" t="s">
        <v>159</v>
      </c>
    </row>
    <row r="765" spans="9:17" x14ac:dyDescent="0.45">
      <c r="I765" t="s">
        <v>197</v>
      </c>
      <c r="J765" t="s">
        <v>288</v>
      </c>
      <c r="K765">
        <v>4.274902393453137E-3</v>
      </c>
      <c r="L765" t="s">
        <v>159</v>
      </c>
      <c r="N765" t="s">
        <v>240</v>
      </c>
      <c r="O765" t="s">
        <v>288</v>
      </c>
      <c r="P765">
        <v>9.5909202089203019E-2</v>
      </c>
      <c r="Q765" t="s">
        <v>159</v>
      </c>
    </row>
    <row r="766" spans="9:17" x14ac:dyDescent="0.45">
      <c r="I766" t="s">
        <v>197</v>
      </c>
      <c r="J766" t="s">
        <v>162</v>
      </c>
      <c r="K766">
        <v>0</v>
      </c>
      <c r="L766" t="s">
        <v>159</v>
      </c>
      <c r="N766" t="s">
        <v>240</v>
      </c>
      <c r="O766" t="s">
        <v>162</v>
      </c>
      <c r="P766">
        <v>3.5625905647461736E-2</v>
      </c>
      <c r="Q766" t="s">
        <v>159</v>
      </c>
    </row>
    <row r="767" spans="9:17" x14ac:dyDescent="0.45">
      <c r="I767" t="s">
        <v>197</v>
      </c>
      <c r="J767" t="s">
        <v>163</v>
      </c>
      <c r="K767">
        <v>0</v>
      </c>
      <c r="L767" t="s">
        <v>159</v>
      </c>
      <c r="N767" t="s">
        <v>240</v>
      </c>
      <c r="O767" t="s">
        <v>163</v>
      </c>
      <c r="P767">
        <v>5.099944418802755E-3</v>
      </c>
      <c r="Q767" t="s">
        <v>159</v>
      </c>
    </row>
    <row r="768" spans="9:17" x14ac:dyDescent="0.45">
      <c r="I768" t="s">
        <v>197</v>
      </c>
      <c r="J768" t="s">
        <v>164</v>
      </c>
      <c r="K768">
        <v>5.3772836792142294E-2</v>
      </c>
      <c r="L768" t="s">
        <v>159</v>
      </c>
      <c r="N768" t="s">
        <v>240</v>
      </c>
      <c r="O768" t="s">
        <v>164</v>
      </c>
      <c r="P768">
        <v>3.6950466137348592E-2</v>
      </c>
      <c r="Q768" t="s">
        <v>159</v>
      </c>
    </row>
    <row r="769" spans="9:17" x14ac:dyDescent="0.45">
      <c r="I769" t="s">
        <v>197</v>
      </c>
      <c r="J769" t="s">
        <v>289</v>
      </c>
      <c r="K769">
        <v>0</v>
      </c>
      <c r="L769" t="s">
        <v>159</v>
      </c>
      <c r="N769" t="s">
        <v>240</v>
      </c>
      <c r="O769" t="s">
        <v>289</v>
      </c>
      <c r="P769">
        <v>3.5418384281664357E-3</v>
      </c>
      <c r="Q769" t="s">
        <v>159</v>
      </c>
    </row>
    <row r="770" spans="9:17" x14ac:dyDescent="0.45">
      <c r="I770" t="s">
        <v>197</v>
      </c>
      <c r="J770" t="s">
        <v>290</v>
      </c>
      <c r="K770">
        <v>0</v>
      </c>
      <c r="L770" t="s">
        <v>159</v>
      </c>
      <c r="N770" t="s">
        <v>240</v>
      </c>
      <c r="O770" t="s">
        <v>290</v>
      </c>
      <c r="P770">
        <v>2.2998284772583057E-2</v>
      </c>
      <c r="Q770" t="s">
        <v>159</v>
      </c>
    </row>
    <row r="771" spans="9:17" x14ac:dyDescent="0.45">
      <c r="I771" t="s">
        <v>197</v>
      </c>
      <c r="J771" t="s">
        <v>165</v>
      </c>
      <c r="K771">
        <v>0</v>
      </c>
      <c r="L771" t="s">
        <v>159</v>
      </c>
      <c r="N771" t="s">
        <v>240</v>
      </c>
      <c r="O771" t="s">
        <v>165</v>
      </c>
      <c r="P771">
        <v>2.7515568754173513E-2</v>
      </c>
      <c r="Q771" t="s">
        <v>159</v>
      </c>
    </row>
    <row r="772" spans="9:17" x14ac:dyDescent="0.45">
      <c r="I772" t="s">
        <v>197</v>
      </c>
      <c r="J772" t="s">
        <v>166</v>
      </c>
      <c r="K772">
        <v>8.5199709049969829E-4</v>
      </c>
      <c r="L772" t="s">
        <v>159</v>
      </c>
      <c r="N772" t="s">
        <v>240</v>
      </c>
      <c r="O772" t="s">
        <v>166</v>
      </c>
      <c r="P772">
        <v>3.7747654256377241E-3</v>
      </c>
      <c r="Q772" t="s">
        <v>159</v>
      </c>
    </row>
    <row r="773" spans="9:17" x14ac:dyDescent="0.45">
      <c r="I773" t="s">
        <v>197</v>
      </c>
      <c r="J773" t="s">
        <v>167</v>
      </c>
      <c r="K773">
        <v>7.1957418179144902E-2</v>
      </c>
      <c r="L773" t="s">
        <v>159</v>
      </c>
      <c r="N773" t="s">
        <v>240</v>
      </c>
      <c r="O773" t="s">
        <v>167</v>
      </c>
      <c r="P773">
        <v>2.9497262734972874E-2</v>
      </c>
      <c r="Q773" t="s">
        <v>159</v>
      </c>
    </row>
    <row r="774" spans="9:17" x14ac:dyDescent="0.45">
      <c r="I774" t="s">
        <v>197</v>
      </c>
      <c r="J774" t="s">
        <v>291</v>
      </c>
      <c r="K774">
        <v>0</v>
      </c>
      <c r="L774" t="s">
        <v>159</v>
      </c>
      <c r="N774" t="s">
        <v>240</v>
      </c>
      <c r="O774" t="s">
        <v>291</v>
      </c>
      <c r="P774">
        <v>3.1533967843915046E-3</v>
      </c>
      <c r="Q774" t="s">
        <v>159</v>
      </c>
    </row>
    <row r="775" spans="9:17" x14ac:dyDescent="0.45">
      <c r="I775" t="s">
        <v>197</v>
      </c>
      <c r="J775" t="s">
        <v>292</v>
      </c>
      <c r="K775">
        <v>0</v>
      </c>
      <c r="L775" t="s">
        <v>159</v>
      </c>
      <c r="N775" t="s">
        <v>240</v>
      </c>
      <c r="O775" t="s">
        <v>292</v>
      </c>
      <c r="P775">
        <v>2.1574220545763165E-2</v>
      </c>
      <c r="Q775" t="s">
        <v>159</v>
      </c>
    </row>
    <row r="776" spans="9:17" x14ac:dyDescent="0.45">
      <c r="I776" t="s">
        <v>197</v>
      </c>
      <c r="J776" t="s">
        <v>293</v>
      </c>
      <c r="K776">
        <v>0</v>
      </c>
      <c r="L776" t="s">
        <v>159</v>
      </c>
      <c r="N776" t="s">
        <v>240</v>
      </c>
      <c r="O776" t="s">
        <v>293</v>
      </c>
      <c r="P776">
        <v>1.3315073604121328E-2</v>
      </c>
      <c r="Q776" t="s">
        <v>159</v>
      </c>
    </row>
    <row r="777" spans="9:17" x14ac:dyDescent="0.45">
      <c r="I777" t="s">
        <v>197</v>
      </c>
      <c r="J777" t="s">
        <v>294</v>
      </c>
      <c r="K777">
        <v>9.6851627895289214E-4</v>
      </c>
      <c r="L777" t="s">
        <v>159</v>
      </c>
      <c r="N777" t="s">
        <v>240</v>
      </c>
      <c r="O777" t="s">
        <v>294</v>
      </c>
      <c r="P777">
        <v>1.6428717634849915E-3</v>
      </c>
      <c r="Q777" t="s">
        <v>159</v>
      </c>
    </row>
    <row r="778" spans="9:17" x14ac:dyDescent="0.45">
      <c r="I778" t="s">
        <v>197</v>
      </c>
      <c r="J778" t="s">
        <v>295</v>
      </c>
      <c r="K778">
        <v>1.8205033309976922E-2</v>
      </c>
      <c r="L778" t="s">
        <v>159</v>
      </c>
      <c r="N778" t="s">
        <v>240</v>
      </c>
      <c r="O778" t="s">
        <v>295</v>
      </c>
      <c r="P778">
        <v>1.116017553783593E-2</v>
      </c>
      <c r="Q778" t="s">
        <v>159</v>
      </c>
    </row>
    <row r="779" spans="9:17" x14ac:dyDescent="0.45">
      <c r="I779" t="s">
        <v>197</v>
      </c>
      <c r="J779" t="s">
        <v>296</v>
      </c>
      <c r="K779">
        <v>1.6844547457916595E-4</v>
      </c>
      <c r="L779" t="s">
        <v>159</v>
      </c>
      <c r="N779" t="s">
        <v>240</v>
      </c>
      <c r="O779" t="s">
        <v>296</v>
      </c>
      <c r="P779">
        <v>8.4484068377726085E-4</v>
      </c>
      <c r="Q779" t="s">
        <v>159</v>
      </c>
    </row>
    <row r="780" spans="9:17" x14ac:dyDescent="0.45">
      <c r="I780" t="s">
        <v>197</v>
      </c>
      <c r="J780" t="s">
        <v>297</v>
      </c>
      <c r="K780">
        <v>0</v>
      </c>
      <c r="L780" t="s">
        <v>159</v>
      </c>
      <c r="N780" t="s">
        <v>240</v>
      </c>
      <c r="O780" t="s">
        <v>297</v>
      </c>
      <c r="P780">
        <v>8.4629407476065135E-3</v>
      </c>
      <c r="Q780" t="s">
        <v>159</v>
      </c>
    </row>
    <row r="781" spans="9:17" x14ac:dyDescent="0.45">
      <c r="I781" t="s">
        <v>197</v>
      </c>
      <c r="J781" t="s">
        <v>298</v>
      </c>
      <c r="K781">
        <v>6.6506287393466278E-3</v>
      </c>
      <c r="L781" t="s">
        <v>159</v>
      </c>
      <c r="N781" t="s">
        <v>240</v>
      </c>
      <c r="O781" t="s">
        <v>298</v>
      </c>
      <c r="P781">
        <v>0.12116754710090545</v>
      </c>
      <c r="Q781" t="s">
        <v>159</v>
      </c>
    </row>
    <row r="782" spans="9:17" x14ac:dyDescent="0.45">
      <c r="I782" t="s">
        <v>197</v>
      </c>
      <c r="J782" t="s">
        <v>299</v>
      </c>
      <c r="K782">
        <v>1.869252999099676E-2</v>
      </c>
      <c r="L782" t="s">
        <v>159</v>
      </c>
      <c r="N782" t="s">
        <v>240</v>
      </c>
      <c r="O782" t="s">
        <v>299</v>
      </c>
      <c r="P782">
        <v>1.2849921707164112E-2</v>
      </c>
      <c r="Q782" t="s">
        <v>159</v>
      </c>
    </row>
    <row r="783" spans="9:17" x14ac:dyDescent="0.45">
      <c r="I783" t="s">
        <v>197</v>
      </c>
      <c r="J783" t="s">
        <v>300</v>
      </c>
      <c r="K783">
        <v>0.33317234816328867</v>
      </c>
      <c r="L783" t="s">
        <v>159</v>
      </c>
      <c r="N783" t="s">
        <v>240</v>
      </c>
      <c r="O783" t="s">
        <v>300</v>
      </c>
      <c r="P783">
        <v>0.13359977504041576</v>
      </c>
      <c r="Q783" t="s">
        <v>159</v>
      </c>
    </row>
    <row r="784" spans="9:17" x14ac:dyDescent="0.45">
      <c r="I784" t="s">
        <v>197</v>
      </c>
      <c r="J784" t="s">
        <v>301</v>
      </c>
      <c r="K784">
        <v>1.4601516371668673E-2</v>
      </c>
      <c r="L784" t="s">
        <v>159</v>
      </c>
      <c r="N784" t="s">
        <v>240</v>
      </c>
      <c r="O784" t="s">
        <v>301</v>
      </c>
      <c r="P784">
        <v>1.3282353380783688E-2</v>
      </c>
      <c r="Q784" t="s">
        <v>159</v>
      </c>
    </row>
    <row r="785" spans="9:17" x14ac:dyDescent="0.45">
      <c r="I785" t="s">
        <v>197</v>
      </c>
      <c r="J785" t="s">
        <v>302</v>
      </c>
      <c r="K785">
        <v>1.6673519157128383E-3</v>
      </c>
      <c r="L785" t="s">
        <v>159</v>
      </c>
      <c r="N785" t="s">
        <v>240</v>
      </c>
      <c r="O785" t="s">
        <v>302</v>
      </c>
      <c r="P785">
        <v>8.9113967066513214E-2</v>
      </c>
      <c r="Q785" t="s">
        <v>159</v>
      </c>
    </row>
    <row r="786" spans="9:17" x14ac:dyDescent="0.45">
      <c r="I786" t="s">
        <v>198</v>
      </c>
      <c r="J786" t="s">
        <v>158</v>
      </c>
      <c r="K786">
        <v>2.2887662839077517E-3</v>
      </c>
      <c r="L786" t="s">
        <v>159</v>
      </c>
      <c r="N786" t="s">
        <v>241</v>
      </c>
      <c r="O786" t="s">
        <v>158</v>
      </c>
      <c r="P786">
        <v>0.17204538112806925</v>
      </c>
      <c r="Q786" t="s">
        <v>159</v>
      </c>
    </row>
    <row r="787" spans="9:17" x14ac:dyDescent="0.45">
      <c r="I787" t="s">
        <v>198</v>
      </c>
      <c r="J787" t="s">
        <v>160</v>
      </c>
      <c r="K787">
        <v>1.4837492277823661E-2</v>
      </c>
      <c r="L787" t="s">
        <v>159</v>
      </c>
      <c r="N787" t="s">
        <v>241</v>
      </c>
      <c r="O787" t="s">
        <v>160</v>
      </c>
      <c r="P787">
        <v>1.9646046665026375E-2</v>
      </c>
      <c r="Q787" t="s">
        <v>159</v>
      </c>
    </row>
    <row r="788" spans="9:17" x14ac:dyDescent="0.45">
      <c r="I788" t="s">
        <v>198</v>
      </c>
      <c r="J788" t="s">
        <v>161</v>
      </c>
      <c r="K788">
        <v>0.42447091263380099</v>
      </c>
      <c r="L788" t="s">
        <v>159</v>
      </c>
      <c r="N788" t="s">
        <v>241</v>
      </c>
      <c r="O788" t="s">
        <v>161</v>
      </c>
      <c r="P788">
        <v>0.10353381992453098</v>
      </c>
      <c r="Q788" t="s">
        <v>159</v>
      </c>
    </row>
    <row r="789" spans="9:17" x14ac:dyDescent="0.45">
      <c r="I789" t="s">
        <v>198</v>
      </c>
      <c r="J789" t="s">
        <v>287</v>
      </c>
      <c r="K789">
        <v>1.4753194197132549E-2</v>
      </c>
      <c r="L789" t="s">
        <v>159</v>
      </c>
      <c r="N789" t="s">
        <v>241</v>
      </c>
      <c r="O789" t="s">
        <v>287</v>
      </c>
      <c r="P789">
        <v>9.4281802585894584E-3</v>
      </c>
      <c r="Q789" t="s">
        <v>159</v>
      </c>
    </row>
    <row r="790" spans="9:17" x14ac:dyDescent="0.45">
      <c r="I790" t="s">
        <v>198</v>
      </c>
      <c r="J790" t="s">
        <v>288</v>
      </c>
      <c r="K790">
        <v>4.5033776170717004E-3</v>
      </c>
      <c r="L790" t="s">
        <v>159</v>
      </c>
      <c r="N790" t="s">
        <v>241</v>
      </c>
      <c r="O790" t="s">
        <v>288</v>
      </c>
      <c r="P790">
        <v>9.8898205256596039E-2</v>
      </c>
      <c r="Q790" t="s">
        <v>159</v>
      </c>
    </row>
    <row r="791" spans="9:17" x14ac:dyDescent="0.45">
      <c r="I791" t="s">
        <v>198</v>
      </c>
      <c r="J791" t="s">
        <v>162</v>
      </c>
      <c r="K791">
        <v>0</v>
      </c>
      <c r="L791" t="s">
        <v>159</v>
      </c>
      <c r="N791" t="s">
        <v>241</v>
      </c>
      <c r="O791" t="s">
        <v>162</v>
      </c>
      <c r="P791">
        <v>3.7493392206090069E-2</v>
      </c>
      <c r="Q791" t="s">
        <v>159</v>
      </c>
    </row>
    <row r="792" spans="9:17" x14ac:dyDescent="0.45">
      <c r="I792" t="s">
        <v>198</v>
      </c>
      <c r="J792" t="s">
        <v>163</v>
      </c>
      <c r="K792">
        <v>0</v>
      </c>
      <c r="L792" t="s">
        <v>159</v>
      </c>
      <c r="N792" t="s">
        <v>241</v>
      </c>
      <c r="O792" t="s">
        <v>163</v>
      </c>
      <c r="P792">
        <v>5.0888813135188124E-3</v>
      </c>
      <c r="Q792" t="s">
        <v>159</v>
      </c>
    </row>
    <row r="793" spans="9:17" x14ac:dyDescent="0.45">
      <c r="I793" t="s">
        <v>198</v>
      </c>
      <c r="J793" t="s">
        <v>164</v>
      </c>
      <c r="K793">
        <v>4.7736060739198505E-2</v>
      </c>
      <c r="L793" t="s">
        <v>159</v>
      </c>
      <c r="N793" t="s">
        <v>241</v>
      </c>
      <c r="O793" t="s">
        <v>164</v>
      </c>
      <c r="P793">
        <v>2.9580243124426361E-2</v>
      </c>
      <c r="Q793" t="s">
        <v>159</v>
      </c>
    </row>
    <row r="794" spans="9:17" x14ac:dyDescent="0.45">
      <c r="I794" t="s">
        <v>198</v>
      </c>
      <c r="J794" t="s">
        <v>289</v>
      </c>
      <c r="K794">
        <v>0</v>
      </c>
      <c r="L794" t="s">
        <v>159</v>
      </c>
      <c r="N794" t="s">
        <v>241</v>
      </c>
      <c r="O794" t="s">
        <v>289</v>
      </c>
      <c r="P794">
        <v>2.8723414726112995E-3</v>
      </c>
      <c r="Q794" t="s">
        <v>159</v>
      </c>
    </row>
    <row r="795" spans="9:17" x14ac:dyDescent="0.45">
      <c r="I795" t="s">
        <v>198</v>
      </c>
      <c r="J795" t="s">
        <v>290</v>
      </c>
      <c r="K795">
        <v>0</v>
      </c>
      <c r="L795" t="s">
        <v>159</v>
      </c>
      <c r="N795" t="s">
        <v>241</v>
      </c>
      <c r="O795" t="s">
        <v>290</v>
      </c>
      <c r="P795">
        <v>2.4465057245304705E-2</v>
      </c>
      <c r="Q795" t="s">
        <v>159</v>
      </c>
    </row>
    <row r="796" spans="9:17" x14ac:dyDescent="0.45">
      <c r="I796" t="s">
        <v>198</v>
      </c>
      <c r="J796" t="s">
        <v>165</v>
      </c>
      <c r="K796">
        <v>0</v>
      </c>
      <c r="L796" t="s">
        <v>159</v>
      </c>
      <c r="N796" t="s">
        <v>241</v>
      </c>
      <c r="O796" t="s">
        <v>165</v>
      </c>
      <c r="P796">
        <v>3.3174596707733185E-2</v>
      </c>
      <c r="Q796" t="s">
        <v>159</v>
      </c>
    </row>
    <row r="797" spans="9:17" x14ac:dyDescent="0.45">
      <c r="I797" t="s">
        <v>198</v>
      </c>
      <c r="J797" t="s">
        <v>166</v>
      </c>
      <c r="K797">
        <v>0</v>
      </c>
      <c r="L797" t="s">
        <v>159</v>
      </c>
      <c r="N797" t="s">
        <v>241</v>
      </c>
      <c r="O797" t="s">
        <v>166</v>
      </c>
      <c r="P797">
        <v>4.3555316919892733E-3</v>
      </c>
      <c r="Q797" t="s">
        <v>159</v>
      </c>
    </row>
    <row r="798" spans="9:17" x14ac:dyDescent="0.45">
      <c r="I798" t="s">
        <v>198</v>
      </c>
      <c r="J798" t="s">
        <v>167</v>
      </c>
      <c r="K798">
        <v>7.1448965591311975E-2</v>
      </c>
      <c r="L798" t="s">
        <v>159</v>
      </c>
      <c r="N798" t="s">
        <v>241</v>
      </c>
      <c r="O798" t="s">
        <v>167</v>
      </c>
      <c r="P798">
        <v>2.5685690053050741E-2</v>
      </c>
      <c r="Q798" t="s">
        <v>159</v>
      </c>
    </row>
    <row r="799" spans="9:17" x14ac:dyDescent="0.45">
      <c r="I799" t="s">
        <v>198</v>
      </c>
      <c r="J799" t="s">
        <v>291</v>
      </c>
      <c r="K799">
        <v>6.5025514581587974E-5</v>
      </c>
      <c r="L799" t="s">
        <v>159</v>
      </c>
      <c r="N799" t="s">
        <v>241</v>
      </c>
      <c r="O799" t="s">
        <v>291</v>
      </c>
      <c r="P799">
        <v>2.6868029590994135E-3</v>
      </c>
      <c r="Q799" t="s">
        <v>159</v>
      </c>
    </row>
    <row r="800" spans="9:17" x14ac:dyDescent="0.45">
      <c r="I800" t="s">
        <v>198</v>
      </c>
      <c r="J800" t="s">
        <v>292</v>
      </c>
      <c r="K800">
        <v>0</v>
      </c>
      <c r="L800" t="s">
        <v>159</v>
      </c>
      <c r="N800" t="s">
        <v>241</v>
      </c>
      <c r="O800" t="s">
        <v>292</v>
      </c>
      <c r="P800">
        <v>2.1918832715389438E-2</v>
      </c>
      <c r="Q800" t="s">
        <v>159</v>
      </c>
    </row>
    <row r="801" spans="9:17" x14ac:dyDescent="0.45">
      <c r="I801" t="s">
        <v>198</v>
      </c>
      <c r="J801" t="s">
        <v>293</v>
      </c>
      <c r="K801">
        <v>0</v>
      </c>
      <c r="L801" t="s">
        <v>159</v>
      </c>
      <c r="N801" t="s">
        <v>241</v>
      </c>
      <c r="O801" t="s">
        <v>293</v>
      </c>
      <c r="P801">
        <v>1.3543794672233126E-2</v>
      </c>
      <c r="Q801" t="s">
        <v>159</v>
      </c>
    </row>
    <row r="802" spans="9:17" x14ac:dyDescent="0.45">
      <c r="I802" t="s">
        <v>198</v>
      </c>
      <c r="J802" t="s">
        <v>294</v>
      </c>
      <c r="K802">
        <v>4.950440728222499E-4</v>
      </c>
      <c r="L802" t="s">
        <v>159</v>
      </c>
      <c r="N802" t="s">
        <v>241</v>
      </c>
      <c r="O802" t="s">
        <v>294</v>
      </c>
      <c r="P802">
        <v>1.7076466084675623E-3</v>
      </c>
      <c r="Q802" t="s">
        <v>159</v>
      </c>
    </row>
    <row r="803" spans="9:17" x14ac:dyDescent="0.45">
      <c r="I803" t="s">
        <v>198</v>
      </c>
      <c r="J803" t="s">
        <v>295</v>
      </c>
      <c r="K803">
        <v>1.9619437651351528E-2</v>
      </c>
      <c r="L803" t="s">
        <v>159</v>
      </c>
      <c r="N803" t="s">
        <v>241</v>
      </c>
      <c r="O803" t="s">
        <v>295</v>
      </c>
      <c r="P803">
        <v>1.0161068200452135E-2</v>
      </c>
      <c r="Q803" t="s">
        <v>159</v>
      </c>
    </row>
    <row r="804" spans="9:17" x14ac:dyDescent="0.45">
      <c r="I804" t="s">
        <v>198</v>
      </c>
      <c r="J804" t="s">
        <v>296</v>
      </c>
      <c r="K804">
        <v>7.8455351865756525E-4</v>
      </c>
      <c r="L804" t="s">
        <v>159</v>
      </c>
      <c r="N804" t="s">
        <v>241</v>
      </c>
      <c r="O804" t="s">
        <v>296</v>
      </c>
      <c r="P804">
        <v>8.8461315388521406E-4</v>
      </c>
      <c r="Q804" t="s">
        <v>159</v>
      </c>
    </row>
    <row r="805" spans="9:17" x14ac:dyDescent="0.45">
      <c r="I805" t="s">
        <v>198</v>
      </c>
      <c r="J805" t="s">
        <v>297</v>
      </c>
      <c r="K805">
        <v>0</v>
      </c>
      <c r="L805" t="s">
        <v>159</v>
      </c>
      <c r="N805" t="s">
        <v>241</v>
      </c>
      <c r="O805" t="s">
        <v>297</v>
      </c>
      <c r="P805">
        <v>8.4806773339857616E-3</v>
      </c>
      <c r="Q805" t="s">
        <v>159</v>
      </c>
    </row>
    <row r="806" spans="9:17" x14ac:dyDescent="0.45">
      <c r="I806" t="s">
        <v>198</v>
      </c>
      <c r="J806" t="s">
        <v>298</v>
      </c>
      <c r="K806">
        <v>7.6860940114422925E-3</v>
      </c>
      <c r="L806" t="s">
        <v>159</v>
      </c>
      <c r="N806" t="s">
        <v>241</v>
      </c>
      <c r="O806" t="s">
        <v>298</v>
      </c>
      <c r="P806">
        <v>0.14109367159087138</v>
      </c>
      <c r="Q806" t="s">
        <v>159</v>
      </c>
    </row>
    <row r="807" spans="9:17" x14ac:dyDescent="0.45">
      <c r="I807" t="s">
        <v>198</v>
      </c>
      <c r="J807" t="s">
        <v>299</v>
      </c>
      <c r="K807">
        <v>2.0644959735105127E-2</v>
      </c>
      <c r="L807" t="s">
        <v>159</v>
      </c>
      <c r="N807" t="s">
        <v>241</v>
      </c>
      <c r="O807" t="s">
        <v>299</v>
      </c>
      <c r="P807">
        <v>1.4799227767376539E-2</v>
      </c>
      <c r="Q807" t="s">
        <v>159</v>
      </c>
    </row>
    <row r="808" spans="9:17" x14ac:dyDescent="0.45">
      <c r="I808" t="s">
        <v>198</v>
      </c>
      <c r="J808" t="s">
        <v>300</v>
      </c>
      <c r="K808">
        <v>0.35266316998885588</v>
      </c>
      <c r="L808" t="s">
        <v>159</v>
      </c>
      <c r="N808" t="s">
        <v>241</v>
      </c>
      <c r="O808" t="s">
        <v>300</v>
      </c>
      <c r="P808">
        <v>0.11457904307099791</v>
      </c>
      <c r="Q808" t="s">
        <v>159</v>
      </c>
    </row>
    <row r="809" spans="9:17" x14ac:dyDescent="0.45">
      <c r="I809" t="s">
        <v>198</v>
      </c>
      <c r="J809" t="s">
        <v>301</v>
      </c>
      <c r="K809">
        <v>1.5393654295822939E-2</v>
      </c>
      <c r="L809" t="s">
        <v>159</v>
      </c>
      <c r="N809" t="s">
        <v>241</v>
      </c>
      <c r="O809" t="s">
        <v>301</v>
      </c>
      <c r="P809">
        <v>1.2512937593997206E-2</v>
      </c>
      <c r="Q809" t="s">
        <v>159</v>
      </c>
    </row>
    <row r="810" spans="9:17" x14ac:dyDescent="0.45">
      <c r="I810" t="s">
        <v>198</v>
      </c>
      <c r="J810" t="s">
        <v>302</v>
      </c>
      <c r="K810">
        <v>2.6092918711182614E-3</v>
      </c>
      <c r="L810" t="s">
        <v>159</v>
      </c>
      <c r="N810" t="s">
        <v>241</v>
      </c>
      <c r="O810" t="s">
        <v>302</v>
      </c>
      <c r="P810">
        <v>9.136431728570503E-2</v>
      </c>
      <c r="Q810" t="s">
        <v>159</v>
      </c>
    </row>
    <row r="811" spans="9:17" x14ac:dyDescent="0.45">
      <c r="I811" t="s">
        <v>199</v>
      </c>
      <c r="J811" t="s">
        <v>158</v>
      </c>
      <c r="K811">
        <v>1.7779559207773254E-3</v>
      </c>
      <c r="L811" t="s">
        <v>159</v>
      </c>
      <c r="N811" t="s">
        <v>242</v>
      </c>
      <c r="O811" t="s">
        <v>158</v>
      </c>
      <c r="P811">
        <v>0.17507117408146386</v>
      </c>
      <c r="Q811" t="s">
        <v>159</v>
      </c>
    </row>
    <row r="812" spans="9:17" x14ac:dyDescent="0.45">
      <c r="I812" t="s">
        <v>199</v>
      </c>
      <c r="J812" t="s">
        <v>160</v>
      </c>
      <c r="K812">
        <v>1.4104062841396632E-2</v>
      </c>
      <c r="L812" t="s">
        <v>159</v>
      </c>
      <c r="N812" t="s">
        <v>242</v>
      </c>
      <c r="O812" t="s">
        <v>160</v>
      </c>
      <c r="P812">
        <v>2.1065920493742073E-2</v>
      </c>
      <c r="Q812" t="s">
        <v>159</v>
      </c>
    </row>
    <row r="813" spans="9:17" x14ac:dyDescent="0.45">
      <c r="I813" t="s">
        <v>199</v>
      </c>
      <c r="J813" t="s">
        <v>161</v>
      </c>
      <c r="K813">
        <v>0.41756836496225413</v>
      </c>
      <c r="L813" t="s">
        <v>159</v>
      </c>
      <c r="N813" t="s">
        <v>242</v>
      </c>
      <c r="O813" t="s">
        <v>161</v>
      </c>
      <c r="P813">
        <v>0.13436991688688896</v>
      </c>
      <c r="Q813" t="s">
        <v>159</v>
      </c>
    </row>
    <row r="814" spans="9:17" x14ac:dyDescent="0.45">
      <c r="I814" t="s">
        <v>199</v>
      </c>
      <c r="J814" t="s">
        <v>287</v>
      </c>
      <c r="K814">
        <v>1.5083141187145132E-2</v>
      </c>
      <c r="L814" t="s">
        <v>159</v>
      </c>
      <c r="N814" t="s">
        <v>242</v>
      </c>
      <c r="O814" t="s">
        <v>287</v>
      </c>
      <c r="P814">
        <v>1.1020798660315486E-2</v>
      </c>
      <c r="Q814" t="s">
        <v>159</v>
      </c>
    </row>
    <row r="815" spans="9:17" x14ac:dyDescent="0.45">
      <c r="I815" t="s">
        <v>199</v>
      </c>
      <c r="J815" t="s">
        <v>288</v>
      </c>
      <c r="K815">
        <v>5.4278135817539029E-3</v>
      </c>
      <c r="L815" t="s">
        <v>159</v>
      </c>
      <c r="N815" t="s">
        <v>242</v>
      </c>
      <c r="O815" t="s">
        <v>288</v>
      </c>
      <c r="P815">
        <v>0.1017629231048284</v>
      </c>
      <c r="Q815" t="s">
        <v>159</v>
      </c>
    </row>
    <row r="816" spans="9:17" x14ac:dyDescent="0.45">
      <c r="I816" t="s">
        <v>199</v>
      </c>
      <c r="J816" t="s">
        <v>162</v>
      </c>
      <c r="K816">
        <v>0</v>
      </c>
      <c r="L816" t="s">
        <v>159</v>
      </c>
      <c r="N816" t="s">
        <v>242</v>
      </c>
      <c r="O816" t="s">
        <v>162</v>
      </c>
      <c r="P816">
        <v>3.2847053908803721E-2</v>
      </c>
      <c r="Q816" t="s">
        <v>159</v>
      </c>
    </row>
    <row r="817" spans="9:17" x14ac:dyDescent="0.45">
      <c r="I817" t="s">
        <v>199</v>
      </c>
      <c r="J817" t="s">
        <v>163</v>
      </c>
      <c r="K817">
        <v>0</v>
      </c>
      <c r="L817" t="s">
        <v>159</v>
      </c>
      <c r="N817" t="s">
        <v>242</v>
      </c>
      <c r="O817" t="s">
        <v>163</v>
      </c>
      <c r="P817">
        <v>4.9620080681518058E-3</v>
      </c>
      <c r="Q817" t="s">
        <v>159</v>
      </c>
    </row>
    <row r="818" spans="9:17" x14ac:dyDescent="0.45">
      <c r="I818" t="s">
        <v>199</v>
      </c>
      <c r="J818" t="s">
        <v>164</v>
      </c>
      <c r="K818">
        <v>5.2557559260068019E-2</v>
      </c>
      <c r="L818" t="s">
        <v>159</v>
      </c>
      <c r="N818" t="s">
        <v>242</v>
      </c>
      <c r="O818" t="s">
        <v>164</v>
      </c>
      <c r="P818">
        <v>3.4629882109652767E-2</v>
      </c>
      <c r="Q818" t="s">
        <v>159</v>
      </c>
    </row>
    <row r="819" spans="9:17" x14ac:dyDescent="0.45">
      <c r="I819" t="s">
        <v>199</v>
      </c>
      <c r="J819" t="s">
        <v>289</v>
      </c>
      <c r="K819">
        <v>0</v>
      </c>
      <c r="L819" t="s">
        <v>159</v>
      </c>
      <c r="N819" t="s">
        <v>242</v>
      </c>
      <c r="O819" t="s">
        <v>289</v>
      </c>
      <c r="P819">
        <v>2.5197569316670718E-3</v>
      </c>
      <c r="Q819" t="s">
        <v>159</v>
      </c>
    </row>
    <row r="820" spans="9:17" x14ac:dyDescent="0.45">
      <c r="I820" t="s">
        <v>199</v>
      </c>
      <c r="J820" t="s">
        <v>290</v>
      </c>
      <c r="K820">
        <v>0</v>
      </c>
      <c r="L820" t="s">
        <v>159</v>
      </c>
      <c r="N820" t="s">
        <v>242</v>
      </c>
      <c r="O820" t="s">
        <v>290</v>
      </c>
      <c r="P820">
        <v>1.8619694129171718E-2</v>
      </c>
      <c r="Q820" t="s">
        <v>159</v>
      </c>
    </row>
    <row r="821" spans="9:17" x14ac:dyDescent="0.45">
      <c r="I821" t="s">
        <v>199</v>
      </c>
      <c r="J821" t="s">
        <v>165</v>
      </c>
      <c r="K821">
        <v>0</v>
      </c>
      <c r="L821" t="s">
        <v>159</v>
      </c>
      <c r="N821" t="s">
        <v>242</v>
      </c>
      <c r="O821" t="s">
        <v>165</v>
      </c>
      <c r="P821">
        <v>3.0220333074240147E-2</v>
      </c>
      <c r="Q821" t="s">
        <v>159</v>
      </c>
    </row>
    <row r="822" spans="9:17" x14ac:dyDescent="0.45">
      <c r="I822" t="s">
        <v>199</v>
      </c>
      <c r="J822" t="s">
        <v>166</v>
      </c>
      <c r="K822">
        <v>0</v>
      </c>
      <c r="L822" t="s">
        <v>159</v>
      </c>
      <c r="N822" t="s">
        <v>242</v>
      </c>
      <c r="O822" t="s">
        <v>166</v>
      </c>
      <c r="P822">
        <v>4.1476311003947174E-3</v>
      </c>
      <c r="Q822" t="s">
        <v>159</v>
      </c>
    </row>
    <row r="823" spans="9:17" x14ac:dyDescent="0.45">
      <c r="I823" t="s">
        <v>199</v>
      </c>
      <c r="J823" t="s">
        <v>167</v>
      </c>
      <c r="K823">
        <v>7.3062327990299783E-2</v>
      </c>
      <c r="L823" t="s">
        <v>159</v>
      </c>
      <c r="N823" t="s">
        <v>242</v>
      </c>
      <c r="O823" t="s">
        <v>167</v>
      </c>
      <c r="P823">
        <v>2.8126496776754946E-2</v>
      </c>
      <c r="Q823" t="s">
        <v>159</v>
      </c>
    </row>
    <row r="824" spans="9:17" x14ac:dyDescent="0.45">
      <c r="I824" t="s">
        <v>199</v>
      </c>
      <c r="J824" t="s">
        <v>291</v>
      </c>
      <c r="K824">
        <v>1.5418727412841501E-3</v>
      </c>
      <c r="L824" t="s">
        <v>159</v>
      </c>
      <c r="N824" t="s">
        <v>242</v>
      </c>
      <c r="O824" t="s">
        <v>291</v>
      </c>
      <c r="P824">
        <v>2.8990610596775954E-3</v>
      </c>
      <c r="Q824" t="s">
        <v>159</v>
      </c>
    </row>
    <row r="825" spans="9:17" x14ac:dyDescent="0.45">
      <c r="I825" t="s">
        <v>199</v>
      </c>
      <c r="J825" t="s">
        <v>292</v>
      </c>
      <c r="K825">
        <v>0</v>
      </c>
      <c r="L825" t="s">
        <v>159</v>
      </c>
      <c r="N825" t="s">
        <v>242</v>
      </c>
      <c r="O825" t="s">
        <v>292</v>
      </c>
      <c r="P825">
        <v>2.0117716566914697E-2</v>
      </c>
      <c r="Q825" t="s">
        <v>159</v>
      </c>
    </row>
    <row r="826" spans="9:17" x14ac:dyDescent="0.45">
      <c r="I826" t="s">
        <v>199</v>
      </c>
      <c r="J826" t="s">
        <v>293</v>
      </c>
      <c r="K826">
        <v>0</v>
      </c>
      <c r="L826" t="s">
        <v>159</v>
      </c>
      <c r="N826" t="s">
        <v>242</v>
      </c>
      <c r="O826" t="s">
        <v>293</v>
      </c>
      <c r="P826">
        <v>1.1377326684686714E-2</v>
      </c>
      <c r="Q826" t="s">
        <v>159</v>
      </c>
    </row>
    <row r="827" spans="9:17" x14ac:dyDescent="0.45">
      <c r="I827" t="s">
        <v>199</v>
      </c>
      <c r="J827" t="s">
        <v>294</v>
      </c>
      <c r="K827">
        <v>4.9481589419001762E-5</v>
      </c>
      <c r="L827" t="s">
        <v>159</v>
      </c>
      <c r="N827" t="s">
        <v>242</v>
      </c>
      <c r="O827" t="s">
        <v>294</v>
      </c>
      <c r="P827">
        <v>1.3791070788456762E-3</v>
      </c>
      <c r="Q827" t="s">
        <v>159</v>
      </c>
    </row>
    <row r="828" spans="9:17" x14ac:dyDescent="0.45">
      <c r="I828" t="s">
        <v>199</v>
      </c>
      <c r="J828" t="s">
        <v>295</v>
      </c>
      <c r="K828">
        <v>1.8579866062850798E-2</v>
      </c>
      <c r="L828" t="s">
        <v>159</v>
      </c>
      <c r="N828" t="s">
        <v>242</v>
      </c>
      <c r="O828" t="s">
        <v>295</v>
      </c>
      <c r="P828">
        <v>1.149913820261907E-2</v>
      </c>
      <c r="Q828" t="s">
        <v>159</v>
      </c>
    </row>
    <row r="829" spans="9:17" x14ac:dyDescent="0.45">
      <c r="I829" t="s">
        <v>199</v>
      </c>
      <c r="J829" t="s">
        <v>296</v>
      </c>
      <c r="K829">
        <v>1.2441224184560949E-3</v>
      </c>
      <c r="L829" t="s">
        <v>159</v>
      </c>
      <c r="N829" t="s">
        <v>242</v>
      </c>
      <c r="O829" t="s">
        <v>296</v>
      </c>
      <c r="P829">
        <v>8.62414876161883E-4</v>
      </c>
      <c r="Q829" t="s">
        <v>159</v>
      </c>
    </row>
    <row r="830" spans="9:17" x14ac:dyDescent="0.45">
      <c r="I830" t="s">
        <v>199</v>
      </c>
      <c r="J830" t="s">
        <v>297</v>
      </c>
      <c r="K830">
        <v>0</v>
      </c>
      <c r="L830" t="s">
        <v>159</v>
      </c>
      <c r="N830" t="s">
        <v>242</v>
      </c>
      <c r="O830" t="s">
        <v>297</v>
      </c>
      <c r="P830">
        <v>6.5639530972899313E-3</v>
      </c>
      <c r="Q830" t="s">
        <v>159</v>
      </c>
    </row>
    <row r="831" spans="9:17" x14ac:dyDescent="0.45">
      <c r="I831" t="s">
        <v>199</v>
      </c>
      <c r="J831" t="s">
        <v>298</v>
      </c>
      <c r="K831">
        <v>6.9226321568151786E-3</v>
      </c>
      <c r="L831" t="s">
        <v>159</v>
      </c>
      <c r="N831" t="s">
        <v>242</v>
      </c>
      <c r="O831" t="s">
        <v>298</v>
      </c>
      <c r="P831">
        <v>0.12884135021336529</v>
      </c>
      <c r="Q831" t="s">
        <v>159</v>
      </c>
    </row>
    <row r="832" spans="9:17" x14ac:dyDescent="0.45">
      <c r="I832" t="s">
        <v>199</v>
      </c>
      <c r="J832" t="s">
        <v>299</v>
      </c>
      <c r="K832">
        <v>2.148898942138441E-2</v>
      </c>
      <c r="L832" t="s">
        <v>159</v>
      </c>
      <c r="N832" t="s">
        <v>242</v>
      </c>
      <c r="O832" t="s">
        <v>299</v>
      </c>
      <c r="P832">
        <v>1.2416342606317011E-2</v>
      </c>
      <c r="Q832" t="s">
        <v>159</v>
      </c>
    </row>
    <row r="833" spans="9:17" x14ac:dyDescent="0.45">
      <c r="I833" t="s">
        <v>199</v>
      </c>
      <c r="J833" t="s">
        <v>300</v>
      </c>
      <c r="K833">
        <v>0.35066828706887443</v>
      </c>
      <c r="L833" t="s">
        <v>159</v>
      </c>
      <c r="N833" t="s">
        <v>242</v>
      </c>
      <c r="O833" t="s">
        <v>300</v>
      </c>
      <c r="P833">
        <v>0.10698891529195954</v>
      </c>
      <c r="Q833" t="s">
        <v>159</v>
      </c>
    </row>
    <row r="834" spans="9:17" x14ac:dyDescent="0.45">
      <c r="I834" t="s">
        <v>199</v>
      </c>
      <c r="J834" t="s">
        <v>301</v>
      </c>
      <c r="K834">
        <v>1.7213161035803656E-2</v>
      </c>
      <c r="L834" t="s">
        <v>159</v>
      </c>
      <c r="N834" t="s">
        <v>242</v>
      </c>
      <c r="O834" t="s">
        <v>301</v>
      </c>
      <c r="P834">
        <v>1.2428507802760677E-2</v>
      </c>
      <c r="Q834" t="s">
        <v>159</v>
      </c>
    </row>
    <row r="835" spans="9:17" x14ac:dyDescent="0.45">
      <c r="I835" t="s">
        <v>199</v>
      </c>
      <c r="J835" t="s">
        <v>302</v>
      </c>
      <c r="K835">
        <v>2.7103617614165211E-3</v>
      </c>
      <c r="L835" t="s">
        <v>159</v>
      </c>
      <c r="N835" t="s">
        <v>242</v>
      </c>
      <c r="O835" t="s">
        <v>302</v>
      </c>
      <c r="P835">
        <v>8.5262577193325972E-2</v>
      </c>
      <c r="Q835" t="s">
        <v>159</v>
      </c>
    </row>
    <row r="836" spans="9:17" x14ac:dyDescent="0.45">
      <c r="I836" t="s">
        <v>200</v>
      </c>
      <c r="J836" t="s">
        <v>158</v>
      </c>
      <c r="K836">
        <v>1.6412378011180526E-3</v>
      </c>
      <c r="L836" t="s">
        <v>159</v>
      </c>
      <c r="N836" t="s">
        <v>243</v>
      </c>
      <c r="O836" t="s">
        <v>158</v>
      </c>
      <c r="P836">
        <v>0.1588613773653639</v>
      </c>
      <c r="Q836" t="s">
        <v>159</v>
      </c>
    </row>
    <row r="837" spans="9:17" x14ac:dyDescent="0.45">
      <c r="I837" t="s">
        <v>200</v>
      </c>
      <c r="J837" t="s">
        <v>160</v>
      </c>
      <c r="K837">
        <v>1.16205588274485E-2</v>
      </c>
      <c r="L837" t="s">
        <v>159</v>
      </c>
      <c r="N837" t="s">
        <v>243</v>
      </c>
      <c r="O837" t="s">
        <v>160</v>
      </c>
      <c r="P837">
        <v>2.0480534652001441E-2</v>
      </c>
      <c r="Q837" t="s">
        <v>159</v>
      </c>
    </row>
    <row r="838" spans="9:17" x14ac:dyDescent="0.45">
      <c r="I838" t="s">
        <v>200</v>
      </c>
      <c r="J838" t="s">
        <v>161</v>
      </c>
      <c r="K838">
        <v>0.41109744052634378</v>
      </c>
      <c r="L838" t="s">
        <v>159</v>
      </c>
      <c r="N838" t="s">
        <v>243</v>
      </c>
      <c r="O838" t="s">
        <v>161</v>
      </c>
      <c r="P838">
        <v>0.16811008606431718</v>
      </c>
      <c r="Q838" t="s">
        <v>159</v>
      </c>
    </row>
    <row r="839" spans="9:17" x14ac:dyDescent="0.45">
      <c r="I839" t="s">
        <v>200</v>
      </c>
      <c r="J839" t="s">
        <v>287</v>
      </c>
      <c r="K839">
        <v>1.6647631067076753E-2</v>
      </c>
      <c r="L839" t="s">
        <v>159</v>
      </c>
      <c r="N839" t="s">
        <v>243</v>
      </c>
      <c r="O839" t="s">
        <v>287</v>
      </c>
      <c r="P839">
        <v>1.453391856674882E-2</v>
      </c>
      <c r="Q839" t="s">
        <v>159</v>
      </c>
    </row>
    <row r="840" spans="9:17" x14ac:dyDescent="0.45">
      <c r="I840" t="s">
        <v>200</v>
      </c>
      <c r="J840" t="s">
        <v>288</v>
      </c>
      <c r="K840">
        <v>6.3052349182988092E-3</v>
      </c>
      <c r="L840" t="s">
        <v>159</v>
      </c>
      <c r="N840" t="s">
        <v>243</v>
      </c>
      <c r="O840" t="s">
        <v>288</v>
      </c>
      <c r="P840">
        <v>9.9519382664889244E-2</v>
      </c>
      <c r="Q840" t="s">
        <v>159</v>
      </c>
    </row>
    <row r="841" spans="9:17" x14ac:dyDescent="0.45">
      <c r="I841" t="s">
        <v>200</v>
      </c>
      <c r="J841" t="s">
        <v>162</v>
      </c>
      <c r="K841">
        <v>0</v>
      </c>
      <c r="L841" t="s">
        <v>159</v>
      </c>
      <c r="N841" t="s">
        <v>243</v>
      </c>
      <c r="O841" t="s">
        <v>162</v>
      </c>
      <c r="P841">
        <v>2.7619267454472921E-2</v>
      </c>
      <c r="Q841" t="s">
        <v>159</v>
      </c>
    </row>
    <row r="842" spans="9:17" x14ac:dyDescent="0.45">
      <c r="I842" t="s">
        <v>200</v>
      </c>
      <c r="J842" t="s">
        <v>163</v>
      </c>
      <c r="K842">
        <v>0</v>
      </c>
      <c r="L842" t="s">
        <v>159</v>
      </c>
      <c r="N842" t="s">
        <v>243</v>
      </c>
      <c r="O842" t="s">
        <v>163</v>
      </c>
      <c r="P842">
        <v>4.3544812503671249E-3</v>
      </c>
      <c r="Q842" t="s">
        <v>159</v>
      </c>
    </row>
    <row r="843" spans="9:17" x14ac:dyDescent="0.45">
      <c r="I843" t="s">
        <v>200</v>
      </c>
      <c r="J843" t="s">
        <v>164</v>
      </c>
      <c r="K843">
        <v>4.6984518149910844E-2</v>
      </c>
      <c r="L843" t="s">
        <v>159</v>
      </c>
      <c r="N843" t="s">
        <v>243</v>
      </c>
      <c r="O843" t="s">
        <v>164</v>
      </c>
      <c r="P843">
        <v>3.748450050152613E-2</v>
      </c>
      <c r="Q843" t="s">
        <v>159</v>
      </c>
    </row>
    <row r="844" spans="9:17" x14ac:dyDescent="0.45">
      <c r="I844" t="s">
        <v>200</v>
      </c>
      <c r="J844" t="s">
        <v>289</v>
      </c>
      <c r="K844">
        <v>0</v>
      </c>
      <c r="L844" t="s">
        <v>159</v>
      </c>
      <c r="N844" t="s">
        <v>243</v>
      </c>
      <c r="O844" t="s">
        <v>289</v>
      </c>
      <c r="P844">
        <v>3.0929054736486324E-3</v>
      </c>
      <c r="Q844" t="s">
        <v>159</v>
      </c>
    </row>
    <row r="845" spans="9:17" x14ac:dyDescent="0.45">
      <c r="I845" t="s">
        <v>200</v>
      </c>
      <c r="J845" t="s">
        <v>290</v>
      </c>
      <c r="K845">
        <v>0</v>
      </c>
      <c r="L845" t="s">
        <v>159</v>
      </c>
      <c r="N845" t="s">
        <v>243</v>
      </c>
      <c r="O845" t="s">
        <v>290</v>
      </c>
      <c r="P845">
        <v>1.7512581873501052E-2</v>
      </c>
      <c r="Q845" t="s">
        <v>159</v>
      </c>
    </row>
    <row r="846" spans="9:17" x14ac:dyDescent="0.45">
      <c r="I846" t="s">
        <v>200</v>
      </c>
      <c r="J846" t="s">
        <v>165</v>
      </c>
      <c r="K846">
        <v>0</v>
      </c>
      <c r="L846" t="s">
        <v>159</v>
      </c>
      <c r="N846" t="s">
        <v>243</v>
      </c>
      <c r="O846" t="s">
        <v>165</v>
      </c>
      <c r="P846">
        <v>2.5674253278091665E-2</v>
      </c>
      <c r="Q846" t="s">
        <v>159</v>
      </c>
    </row>
    <row r="847" spans="9:17" x14ac:dyDescent="0.45">
      <c r="I847" t="s">
        <v>200</v>
      </c>
      <c r="J847" t="s">
        <v>166</v>
      </c>
      <c r="K847">
        <v>0</v>
      </c>
      <c r="L847" t="s">
        <v>159</v>
      </c>
      <c r="N847" t="s">
        <v>243</v>
      </c>
      <c r="O847" t="s">
        <v>166</v>
      </c>
      <c r="P847">
        <v>3.4815422973865102E-3</v>
      </c>
      <c r="Q847" t="s">
        <v>159</v>
      </c>
    </row>
    <row r="848" spans="9:17" x14ac:dyDescent="0.45">
      <c r="I848" t="s">
        <v>200</v>
      </c>
      <c r="J848" t="s">
        <v>167</v>
      </c>
      <c r="K848">
        <v>7.0666064840789106E-2</v>
      </c>
      <c r="L848" t="s">
        <v>159</v>
      </c>
      <c r="N848" t="s">
        <v>243</v>
      </c>
      <c r="O848" t="s">
        <v>167</v>
      </c>
      <c r="P848">
        <v>3.4425070897566815E-2</v>
      </c>
      <c r="Q848" t="s">
        <v>159</v>
      </c>
    </row>
    <row r="849" spans="9:17" x14ac:dyDescent="0.45">
      <c r="I849" t="s">
        <v>200</v>
      </c>
      <c r="J849" t="s">
        <v>291</v>
      </c>
      <c r="K849">
        <v>1.1292195744262113E-3</v>
      </c>
      <c r="L849" t="s">
        <v>159</v>
      </c>
      <c r="N849" t="s">
        <v>243</v>
      </c>
      <c r="O849" t="s">
        <v>291</v>
      </c>
      <c r="P849">
        <v>3.6024193474286431E-3</v>
      </c>
      <c r="Q849" t="s">
        <v>159</v>
      </c>
    </row>
    <row r="850" spans="9:17" x14ac:dyDescent="0.45">
      <c r="I850" t="s">
        <v>200</v>
      </c>
      <c r="J850" t="s">
        <v>292</v>
      </c>
      <c r="K850">
        <v>0</v>
      </c>
      <c r="L850" t="s">
        <v>159</v>
      </c>
      <c r="N850" t="s">
        <v>243</v>
      </c>
      <c r="O850" t="s">
        <v>292</v>
      </c>
      <c r="P850">
        <v>2.0294668459760468E-2</v>
      </c>
      <c r="Q850" t="s">
        <v>159</v>
      </c>
    </row>
    <row r="851" spans="9:17" x14ac:dyDescent="0.45">
      <c r="I851" t="s">
        <v>200</v>
      </c>
      <c r="J851" t="s">
        <v>293</v>
      </c>
      <c r="K851">
        <v>0</v>
      </c>
      <c r="L851" t="s">
        <v>159</v>
      </c>
      <c r="N851" t="s">
        <v>243</v>
      </c>
      <c r="O851" t="s">
        <v>293</v>
      </c>
      <c r="P851">
        <v>1.0240911844744554E-2</v>
      </c>
      <c r="Q851" t="s">
        <v>159</v>
      </c>
    </row>
    <row r="852" spans="9:17" x14ac:dyDescent="0.45">
      <c r="I852" t="s">
        <v>200</v>
      </c>
      <c r="J852" t="s">
        <v>294</v>
      </c>
      <c r="K852">
        <v>0</v>
      </c>
      <c r="L852" t="s">
        <v>159</v>
      </c>
      <c r="N852" t="s">
        <v>243</v>
      </c>
      <c r="O852" t="s">
        <v>294</v>
      </c>
      <c r="P852">
        <v>1.4906169038461428E-3</v>
      </c>
      <c r="Q852" t="s">
        <v>159</v>
      </c>
    </row>
    <row r="853" spans="9:17" x14ac:dyDescent="0.45">
      <c r="I853" t="s">
        <v>200</v>
      </c>
      <c r="J853" t="s">
        <v>295</v>
      </c>
      <c r="K853">
        <v>1.9162545660780694E-2</v>
      </c>
      <c r="L853" t="s">
        <v>159</v>
      </c>
      <c r="N853" t="s">
        <v>243</v>
      </c>
      <c r="O853" t="s">
        <v>295</v>
      </c>
      <c r="P853">
        <v>1.3402161593420109E-2</v>
      </c>
      <c r="Q853" t="s">
        <v>159</v>
      </c>
    </row>
    <row r="854" spans="9:17" x14ac:dyDescent="0.45">
      <c r="I854" t="s">
        <v>200</v>
      </c>
      <c r="J854" t="s">
        <v>296</v>
      </c>
      <c r="K854">
        <v>1.2483474376711805E-3</v>
      </c>
      <c r="L854" t="s">
        <v>159</v>
      </c>
      <c r="N854" t="s">
        <v>243</v>
      </c>
      <c r="O854" t="s">
        <v>296</v>
      </c>
      <c r="P854">
        <v>9.6510359295862321E-4</v>
      </c>
      <c r="Q854" t="s">
        <v>159</v>
      </c>
    </row>
    <row r="855" spans="9:17" x14ac:dyDescent="0.45">
      <c r="I855" t="s">
        <v>200</v>
      </c>
      <c r="J855" t="s">
        <v>297</v>
      </c>
      <c r="K855">
        <v>0</v>
      </c>
      <c r="L855" t="s">
        <v>159</v>
      </c>
      <c r="N855" t="s">
        <v>243</v>
      </c>
      <c r="O855" t="s">
        <v>297</v>
      </c>
      <c r="P855">
        <v>5.9372387777397746E-3</v>
      </c>
      <c r="Q855" t="s">
        <v>159</v>
      </c>
    </row>
    <row r="856" spans="9:17" x14ac:dyDescent="0.45">
      <c r="I856" t="s">
        <v>200</v>
      </c>
      <c r="J856" t="s">
        <v>298</v>
      </c>
      <c r="K856">
        <v>6.7702963727600766E-3</v>
      </c>
      <c r="L856" t="s">
        <v>159</v>
      </c>
      <c r="N856" t="s">
        <v>243</v>
      </c>
      <c r="O856" t="s">
        <v>298</v>
      </c>
      <c r="P856">
        <v>9.7380292731449464E-2</v>
      </c>
      <c r="Q856" t="s">
        <v>159</v>
      </c>
    </row>
    <row r="857" spans="9:17" x14ac:dyDescent="0.45">
      <c r="I857" t="s">
        <v>200</v>
      </c>
      <c r="J857" t="s">
        <v>299</v>
      </c>
      <c r="K857">
        <v>2.0244901270382604E-2</v>
      </c>
      <c r="L857" t="s">
        <v>159</v>
      </c>
      <c r="N857" t="s">
        <v>243</v>
      </c>
      <c r="O857" t="s">
        <v>299</v>
      </c>
      <c r="P857">
        <v>9.9933925669064127E-3</v>
      </c>
      <c r="Q857" t="s">
        <v>159</v>
      </c>
    </row>
    <row r="858" spans="9:17" x14ac:dyDescent="0.45">
      <c r="I858" t="s">
        <v>200</v>
      </c>
      <c r="J858" t="s">
        <v>300</v>
      </c>
      <c r="K858">
        <v>0.36344020022130524</v>
      </c>
      <c r="L858" t="s">
        <v>159</v>
      </c>
      <c r="N858" t="s">
        <v>243</v>
      </c>
      <c r="O858" t="s">
        <v>300</v>
      </c>
      <c r="P858">
        <v>0.13023868638564487</v>
      </c>
      <c r="Q858" t="s">
        <v>159</v>
      </c>
    </row>
    <row r="859" spans="9:17" x14ac:dyDescent="0.45">
      <c r="I859" t="s">
        <v>200</v>
      </c>
      <c r="J859" t="s">
        <v>301</v>
      </c>
      <c r="K859">
        <v>1.8814730744257074E-2</v>
      </c>
      <c r="L859" t="s">
        <v>159</v>
      </c>
      <c r="N859" t="s">
        <v>243</v>
      </c>
      <c r="O859" t="s">
        <v>301</v>
      </c>
      <c r="P859">
        <v>1.3822508737713695E-2</v>
      </c>
      <c r="Q859" t="s">
        <v>159</v>
      </c>
    </row>
    <row r="860" spans="9:17" x14ac:dyDescent="0.45">
      <c r="I860" t="s">
        <v>200</v>
      </c>
      <c r="J860" t="s">
        <v>302</v>
      </c>
      <c r="K860">
        <v>4.2270725874320727E-3</v>
      </c>
      <c r="L860" t="s">
        <v>159</v>
      </c>
      <c r="N860" t="s">
        <v>243</v>
      </c>
      <c r="O860" t="s">
        <v>302</v>
      </c>
      <c r="P860">
        <v>7.7482096718510363E-2</v>
      </c>
      <c r="Q860" t="s">
        <v>159</v>
      </c>
    </row>
    <row r="861" spans="9:17" x14ac:dyDescent="0.45">
      <c r="I861" t="s">
        <v>201</v>
      </c>
      <c r="J861" t="s">
        <v>158</v>
      </c>
      <c r="K861">
        <v>1.4040280511980079E-3</v>
      </c>
      <c r="L861" t="s">
        <v>159</v>
      </c>
      <c r="N861" t="s">
        <v>244</v>
      </c>
      <c r="O861" t="s">
        <v>158</v>
      </c>
      <c r="P861">
        <v>0.12601068560665732</v>
      </c>
      <c r="Q861" t="s">
        <v>159</v>
      </c>
    </row>
    <row r="862" spans="9:17" x14ac:dyDescent="0.45">
      <c r="I862" t="s">
        <v>201</v>
      </c>
      <c r="J862" t="s">
        <v>160</v>
      </c>
      <c r="K862">
        <v>1.2802900289808737E-2</v>
      </c>
      <c r="L862" t="s">
        <v>159</v>
      </c>
      <c r="N862" t="s">
        <v>244</v>
      </c>
      <c r="O862" t="s">
        <v>160</v>
      </c>
      <c r="P862">
        <v>1.5367015037103556E-2</v>
      </c>
      <c r="Q862" t="s">
        <v>159</v>
      </c>
    </row>
    <row r="863" spans="9:17" x14ac:dyDescent="0.45">
      <c r="I863" t="s">
        <v>201</v>
      </c>
      <c r="J863" t="s">
        <v>161</v>
      </c>
      <c r="K863">
        <v>0.40746854830177165</v>
      </c>
      <c r="L863" t="s">
        <v>159</v>
      </c>
      <c r="N863" t="s">
        <v>244</v>
      </c>
      <c r="O863" t="s">
        <v>161</v>
      </c>
      <c r="P863">
        <v>0.19156588212279466</v>
      </c>
      <c r="Q863" t="s">
        <v>159</v>
      </c>
    </row>
    <row r="864" spans="9:17" x14ac:dyDescent="0.45">
      <c r="I864" t="s">
        <v>201</v>
      </c>
      <c r="J864" t="s">
        <v>287</v>
      </c>
      <c r="K864">
        <v>2.0193916374821094E-2</v>
      </c>
      <c r="L864" t="s">
        <v>159</v>
      </c>
      <c r="N864" t="s">
        <v>244</v>
      </c>
      <c r="O864" t="s">
        <v>287</v>
      </c>
      <c r="P864">
        <v>2.5363834424522058E-2</v>
      </c>
      <c r="Q864" t="s">
        <v>159</v>
      </c>
    </row>
    <row r="865" spans="9:17" x14ac:dyDescent="0.45">
      <c r="I865" t="s">
        <v>201</v>
      </c>
      <c r="J865" t="s">
        <v>288</v>
      </c>
      <c r="K865">
        <v>9.2321684856701055E-3</v>
      </c>
      <c r="L865" t="s">
        <v>159</v>
      </c>
      <c r="N865" t="s">
        <v>244</v>
      </c>
      <c r="O865" t="s">
        <v>288</v>
      </c>
      <c r="P865">
        <v>0.11340829094061017</v>
      </c>
      <c r="Q865" t="s">
        <v>159</v>
      </c>
    </row>
    <row r="866" spans="9:17" x14ac:dyDescent="0.45">
      <c r="I866" t="s">
        <v>201</v>
      </c>
      <c r="J866" t="s">
        <v>162</v>
      </c>
      <c r="K866">
        <v>0</v>
      </c>
      <c r="L866" t="s">
        <v>159</v>
      </c>
      <c r="N866" t="s">
        <v>244</v>
      </c>
      <c r="O866" t="s">
        <v>162</v>
      </c>
      <c r="P866">
        <v>1.981974111295938E-2</v>
      </c>
      <c r="Q866" t="s">
        <v>159</v>
      </c>
    </row>
    <row r="867" spans="9:17" x14ac:dyDescent="0.45">
      <c r="I867" t="s">
        <v>201</v>
      </c>
      <c r="J867" t="s">
        <v>163</v>
      </c>
      <c r="K867">
        <v>0</v>
      </c>
      <c r="L867" t="s">
        <v>159</v>
      </c>
      <c r="N867" t="s">
        <v>244</v>
      </c>
      <c r="O867" t="s">
        <v>163</v>
      </c>
      <c r="P867">
        <v>2.7803217985930039E-3</v>
      </c>
      <c r="Q867" t="s">
        <v>159</v>
      </c>
    </row>
    <row r="868" spans="9:17" x14ac:dyDescent="0.45">
      <c r="I868" t="s">
        <v>201</v>
      </c>
      <c r="J868" t="s">
        <v>164</v>
      </c>
      <c r="K868">
        <v>4.7465333219922357E-2</v>
      </c>
      <c r="L868" t="s">
        <v>159</v>
      </c>
      <c r="N868" t="s">
        <v>244</v>
      </c>
      <c r="O868" t="s">
        <v>164</v>
      </c>
      <c r="P868">
        <v>2.8673480272098508E-2</v>
      </c>
      <c r="Q868" t="s">
        <v>159</v>
      </c>
    </row>
    <row r="869" spans="9:17" x14ac:dyDescent="0.45">
      <c r="I869" t="s">
        <v>201</v>
      </c>
      <c r="J869" t="s">
        <v>289</v>
      </c>
      <c r="K869">
        <v>0</v>
      </c>
      <c r="L869" t="s">
        <v>159</v>
      </c>
      <c r="N869" t="s">
        <v>244</v>
      </c>
      <c r="O869" t="s">
        <v>289</v>
      </c>
      <c r="P869">
        <v>3.32210676544892E-3</v>
      </c>
      <c r="Q869" t="s">
        <v>159</v>
      </c>
    </row>
    <row r="870" spans="9:17" x14ac:dyDescent="0.45">
      <c r="I870" t="s">
        <v>201</v>
      </c>
      <c r="J870" t="s">
        <v>290</v>
      </c>
      <c r="K870">
        <v>0</v>
      </c>
      <c r="L870" t="s">
        <v>159</v>
      </c>
      <c r="N870" t="s">
        <v>244</v>
      </c>
      <c r="O870" t="s">
        <v>290</v>
      </c>
      <c r="P870">
        <v>1.5859047372897325E-2</v>
      </c>
      <c r="Q870" t="s">
        <v>159</v>
      </c>
    </row>
    <row r="871" spans="9:17" x14ac:dyDescent="0.45">
      <c r="I871" t="s">
        <v>201</v>
      </c>
      <c r="J871" t="s">
        <v>165</v>
      </c>
      <c r="K871">
        <v>0</v>
      </c>
      <c r="L871" t="s">
        <v>159</v>
      </c>
      <c r="N871" t="s">
        <v>244</v>
      </c>
      <c r="O871" t="s">
        <v>165</v>
      </c>
      <c r="P871">
        <v>2.3158949588777265E-2</v>
      </c>
      <c r="Q871" t="s">
        <v>159</v>
      </c>
    </row>
    <row r="872" spans="9:17" x14ac:dyDescent="0.45">
      <c r="I872" t="s">
        <v>201</v>
      </c>
      <c r="J872" t="s">
        <v>166</v>
      </c>
      <c r="K872">
        <v>0</v>
      </c>
      <c r="L872" t="s">
        <v>159</v>
      </c>
      <c r="N872" t="s">
        <v>244</v>
      </c>
      <c r="O872" t="s">
        <v>166</v>
      </c>
      <c r="P872">
        <v>3.3238554692845289E-3</v>
      </c>
      <c r="Q872" t="s">
        <v>159</v>
      </c>
    </row>
    <row r="873" spans="9:17" x14ac:dyDescent="0.45">
      <c r="I873" t="s">
        <v>201</v>
      </c>
      <c r="J873" t="s">
        <v>167</v>
      </c>
      <c r="K873">
        <v>6.6015394022650831E-2</v>
      </c>
      <c r="L873" t="s">
        <v>159</v>
      </c>
      <c r="N873" t="s">
        <v>244</v>
      </c>
      <c r="O873" t="s">
        <v>167</v>
      </c>
      <c r="P873">
        <v>3.1937271978454591E-2</v>
      </c>
      <c r="Q873" t="s">
        <v>159</v>
      </c>
    </row>
    <row r="874" spans="9:17" x14ac:dyDescent="0.45">
      <c r="I874" t="s">
        <v>201</v>
      </c>
      <c r="J874" t="s">
        <v>291</v>
      </c>
      <c r="K874">
        <v>2.7204160189414723E-3</v>
      </c>
      <c r="L874" t="s">
        <v>159</v>
      </c>
      <c r="N874" t="s">
        <v>244</v>
      </c>
      <c r="O874" t="s">
        <v>291</v>
      </c>
      <c r="P874">
        <v>3.2943797216164789E-3</v>
      </c>
      <c r="Q874" t="s">
        <v>159</v>
      </c>
    </row>
    <row r="875" spans="9:17" x14ac:dyDescent="0.45">
      <c r="I875" t="s">
        <v>201</v>
      </c>
      <c r="J875" t="s">
        <v>292</v>
      </c>
      <c r="K875">
        <v>0</v>
      </c>
      <c r="L875" t="s">
        <v>159</v>
      </c>
      <c r="N875" t="s">
        <v>244</v>
      </c>
      <c r="O875" t="s">
        <v>292</v>
      </c>
      <c r="P875">
        <v>1.6029345766969273E-2</v>
      </c>
      <c r="Q875" t="s">
        <v>159</v>
      </c>
    </row>
    <row r="876" spans="9:17" x14ac:dyDescent="0.45">
      <c r="I876" t="s">
        <v>201</v>
      </c>
      <c r="J876" t="s">
        <v>293</v>
      </c>
      <c r="K876">
        <v>0</v>
      </c>
      <c r="L876" t="s">
        <v>159</v>
      </c>
      <c r="N876" t="s">
        <v>244</v>
      </c>
      <c r="O876" t="s">
        <v>293</v>
      </c>
      <c r="P876">
        <v>4.4443083416529621E-3</v>
      </c>
      <c r="Q876" t="s">
        <v>159</v>
      </c>
    </row>
    <row r="877" spans="9:17" x14ac:dyDescent="0.45">
      <c r="I877" t="s">
        <v>201</v>
      </c>
      <c r="J877" t="s">
        <v>294</v>
      </c>
      <c r="K877">
        <v>0</v>
      </c>
      <c r="L877" t="s">
        <v>159</v>
      </c>
      <c r="N877" t="s">
        <v>244</v>
      </c>
      <c r="O877" t="s">
        <v>294</v>
      </c>
      <c r="P877">
        <v>5.5641409956343679E-4</v>
      </c>
      <c r="Q877" t="s">
        <v>159</v>
      </c>
    </row>
    <row r="878" spans="9:17" x14ac:dyDescent="0.45">
      <c r="I878" t="s">
        <v>201</v>
      </c>
      <c r="J878" t="s">
        <v>295</v>
      </c>
      <c r="K878">
        <v>1.7632511237691849E-2</v>
      </c>
      <c r="L878" t="s">
        <v>159</v>
      </c>
      <c r="N878" t="s">
        <v>244</v>
      </c>
      <c r="O878" t="s">
        <v>295</v>
      </c>
      <c r="P878">
        <v>6.9375608944678589E-3</v>
      </c>
      <c r="Q878" t="s">
        <v>159</v>
      </c>
    </row>
    <row r="879" spans="9:17" x14ac:dyDescent="0.45">
      <c r="I879" t="s">
        <v>201</v>
      </c>
      <c r="J879" t="s">
        <v>296</v>
      </c>
      <c r="K879">
        <v>1.1531123996843813E-3</v>
      </c>
      <c r="L879" t="s">
        <v>159</v>
      </c>
      <c r="N879" t="s">
        <v>244</v>
      </c>
      <c r="O879" t="s">
        <v>296</v>
      </c>
      <c r="P879">
        <v>9.4358267425792282E-4</v>
      </c>
      <c r="Q879" t="s">
        <v>159</v>
      </c>
    </row>
    <row r="880" spans="9:17" x14ac:dyDescent="0.45">
      <c r="I880" t="s">
        <v>201</v>
      </c>
      <c r="J880" t="s">
        <v>297</v>
      </c>
      <c r="K880">
        <v>0</v>
      </c>
      <c r="L880" t="s">
        <v>159</v>
      </c>
      <c r="N880" t="s">
        <v>244</v>
      </c>
      <c r="O880" t="s">
        <v>297</v>
      </c>
      <c r="P880">
        <v>4.2602366670802883E-3</v>
      </c>
      <c r="Q880" t="s">
        <v>159</v>
      </c>
    </row>
    <row r="881" spans="9:17" x14ac:dyDescent="0.45">
      <c r="I881" t="s">
        <v>201</v>
      </c>
      <c r="J881" t="s">
        <v>298</v>
      </c>
      <c r="K881">
        <v>6.8570291580776384E-3</v>
      </c>
      <c r="L881" t="s">
        <v>159</v>
      </c>
      <c r="N881" t="s">
        <v>244</v>
      </c>
      <c r="O881" t="s">
        <v>298</v>
      </c>
      <c r="P881">
        <v>9.263851457030825E-2</v>
      </c>
      <c r="Q881" t="s">
        <v>159</v>
      </c>
    </row>
    <row r="882" spans="9:17" x14ac:dyDescent="0.45">
      <c r="I882" t="s">
        <v>201</v>
      </c>
      <c r="J882" t="s">
        <v>299</v>
      </c>
      <c r="K882">
        <v>1.9951549353346341E-2</v>
      </c>
      <c r="L882" t="s">
        <v>159</v>
      </c>
      <c r="N882" t="s">
        <v>244</v>
      </c>
      <c r="O882" t="s">
        <v>299</v>
      </c>
      <c r="P882">
        <v>1.1145202045703821E-2</v>
      </c>
      <c r="Q882" t="s">
        <v>159</v>
      </c>
    </row>
    <row r="883" spans="9:17" x14ac:dyDescent="0.45">
      <c r="I883" t="s">
        <v>201</v>
      </c>
      <c r="J883" t="s">
        <v>300</v>
      </c>
      <c r="K883">
        <v>0.35917881149422787</v>
      </c>
      <c r="L883" t="s">
        <v>159</v>
      </c>
      <c r="N883" t="s">
        <v>244</v>
      </c>
      <c r="O883" t="s">
        <v>300</v>
      </c>
      <c r="P883">
        <v>0.15421467320319526</v>
      </c>
      <c r="Q883" t="s">
        <v>159</v>
      </c>
    </row>
    <row r="884" spans="9:17" x14ac:dyDescent="0.45">
      <c r="I884" t="s">
        <v>201</v>
      </c>
      <c r="J884" t="s">
        <v>301</v>
      </c>
      <c r="K884">
        <v>2.1531843654835677E-2</v>
      </c>
      <c r="L884" t="s">
        <v>159</v>
      </c>
      <c r="N884" t="s">
        <v>244</v>
      </c>
      <c r="O884" t="s">
        <v>301</v>
      </c>
      <c r="P884">
        <v>1.9564127116020864E-2</v>
      </c>
      <c r="Q884" t="s">
        <v>159</v>
      </c>
    </row>
    <row r="885" spans="9:17" x14ac:dyDescent="0.45">
      <c r="I885" t="s">
        <v>201</v>
      </c>
      <c r="J885" t="s">
        <v>302</v>
      </c>
      <c r="K885">
        <v>6.3924379373523806E-3</v>
      </c>
      <c r="L885" t="s">
        <v>159</v>
      </c>
      <c r="N885" t="s">
        <v>244</v>
      </c>
      <c r="O885" t="s">
        <v>302</v>
      </c>
      <c r="P885">
        <v>8.5381172408961453E-2</v>
      </c>
      <c r="Q885" t="s">
        <v>159</v>
      </c>
    </row>
    <row r="886" spans="9:17" x14ac:dyDescent="0.45">
      <c r="I886" t="s">
        <v>202</v>
      </c>
      <c r="J886" t="s">
        <v>158</v>
      </c>
      <c r="K886">
        <v>1.5340943763234003E-3</v>
      </c>
      <c r="L886" t="s">
        <v>159</v>
      </c>
      <c r="N886" t="s">
        <v>245</v>
      </c>
      <c r="O886" t="s">
        <v>158</v>
      </c>
      <c r="P886">
        <v>0.13952031826423164</v>
      </c>
      <c r="Q886" t="s">
        <v>159</v>
      </c>
    </row>
    <row r="887" spans="9:17" x14ac:dyDescent="0.45">
      <c r="I887" t="s">
        <v>202</v>
      </c>
      <c r="J887" t="s">
        <v>160</v>
      </c>
      <c r="K887">
        <v>1.2275542063182307E-2</v>
      </c>
      <c r="L887" t="s">
        <v>159</v>
      </c>
      <c r="N887" t="s">
        <v>245</v>
      </c>
      <c r="O887" t="s">
        <v>160</v>
      </c>
      <c r="P887">
        <v>1.7079363179097262E-2</v>
      </c>
      <c r="Q887" t="s">
        <v>159</v>
      </c>
    </row>
    <row r="888" spans="9:17" x14ac:dyDescent="0.45">
      <c r="I888" t="s">
        <v>202</v>
      </c>
      <c r="J888" t="s">
        <v>161</v>
      </c>
      <c r="K888">
        <v>0.40519938629806906</v>
      </c>
      <c r="L888" t="s">
        <v>159</v>
      </c>
      <c r="N888" t="s">
        <v>245</v>
      </c>
      <c r="O888" t="s">
        <v>161</v>
      </c>
      <c r="P888">
        <v>0.165288473720166</v>
      </c>
      <c r="Q888" t="s">
        <v>159</v>
      </c>
    </row>
    <row r="889" spans="9:17" x14ac:dyDescent="0.45">
      <c r="I889" t="s">
        <v>202</v>
      </c>
      <c r="J889" t="s">
        <v>287</v>
      </c>
      <c r="K889">
        <v>2.0074119266278043E-2</v>
      </c>
      <c r="L889" t="s">
        <v>159</v>
      </c>
      <c r="N889" t="s">
        <v>245</v>
      </c>
      <c r="O889" t="s">
        <v>287</v>
      </c>
      <c r="P889">
        <v>2.7089333685282383E-2</v>
      </c>
      <c r="Q889" t="s">
        <v>159</v>
      </c>
    </row>
    <row r="890" spans="9:17" x14ac:dyDescent="0.45">
      <c r="I890" t="s">
        <v>202</v>
      </c>
      <c r="J890" t="s">
        <v>288</v>
      </c>
      <c r="K890">
        <v>9.1040890935258773E-3</v>
      </c>
      <c r="L890" t="s">
        <v>159</v>
      </c>
      <c r="N890" t="s">
        <v>245</v>
      </c>
      <c r="O890" t="s">
        <v>288</v>
      </c>
      <c r="P890">
        <v>0.1367889313566383</v>
      </c>
      <c r="Q890" t="s">
        <v>159</v>
      </c>
    </row>
    <row r="891" spans="9:17" x14ac:dyDescent="0.45">
      <c r="I891" t="s">
        <v>202</v>
      </c>
      <c r="J891" t="s">
        <v>162</v>
      </c>
      <c r="K891">
        <v>0</v>
      </c>
      <c r="L891" t="s">
        <v>159</v>
      </c>
      <c r="N891" t="s">
        <v>245</v>
      </c>
      <c r="O891" t="s">
        <v>162</v>
      </c>
      <c r="P891">
        <v>1.9121114728300588E-2</v>
      </c>
      <c r="Q891" t="s">
        <v>159</v>
      </c>
    </row>
    <row r="892" spans="9:17" x14ac:dyDescent="0.45">
      <c r="I892" t="s">
        <v>202</v>
      </c>
      <c r="J892" t="s">
        <v>163</v>
      </c>
      <c r="K892">
        <v>0</v>
      </c>
      <c r="L892" t="s">
        <v>159</v>
      </c>
      <c r="N892" t="s">
        <v>245</v>
      </c>
      <c r="O892" t="s">
        <v>163</v>
      </c>
      <c r="P892">
        <v>2.7047358883374954E-3</v>
      </c>
      <c r="Q892" t="s">
        <v>159</v>
      </c>
    </row>
    <row r="893" spans="9:17" x14ac:dyDescent="0.45">
      <c r="I893" t="s">
        <v>202</v>
      </c>
      <c r="J893" t="s">
        <v>164</v>
      </c>
      <c r="K893">
        <v>4.3505249586600452E-2</v>
      </c>
      <c r="L893" t="s">
        <v>159</v>
      </c>
      <c r="N893" t="s">
        <v>245</v>
      </c>
      <c r="O893" t="s">
        <v>164</v>
      </c>
      <c r="P893">
        <v>2.6062476048931898E-2</v>
      </c>
      <c r="Q893" t="s">
        <v>159</v>
      </c>
    </row>
    <row r="894" spans="9:17" x14ac:dyDescent="0.45">
      <c r="I894" t="s">
        <v>202</v>
      </c>
      <c r="J894" t="s">
        <v>289</v>
      </c>
      <c r="K894">
        <v>0</v>
      </c>
      <c r="L894" t="s">
        <v>159</v>
      </c>
      <c r="N894" t="s">
        <v>245</v>
      </c>
      <c r="O894" t="s">
        <v>289</v>
      </c>
      <c r="P894">
        <v>2.8340317233262911E-3</v>
      </c>
      <c r="Q894" t="s">
        <v>159</v>
      </c>
    </row>
    <row r="895" spans="9:17" x14ac:dyDescent="0.45">
      <c r="I895" t="s">
        <v>202</v>
      </c>
      <c r="J895" t="s">
        <v>290</v>
      </c>
      <c r="K895">
        <v>0</v>
      </c>
      <c r="L895" t="s">
        <v>159</v>
      </c>
      <c r="N895" t="s">
        <v>245</v>
      </c>
      <c r="O895" t="s">
        <v>290</v>
      </c>
      <c r="P895">
        <v>1.5357499574166478E-2</v>
      </c>
      <c r="Q895" t="s">
        <v>159</v>
      </c>
    </row>
    <row r="896" spans="9:17" x14ac:dyDescent="0.45">
      <c r="I896" t="s">
        <v>202</v>
      </c>
      <c r="J896" t="s">
        <v>165</v>
      </c>
      <c r="K896">
        <v>0</v>
      </c>
      <c r="L896" t="s">
        <v>159</v>
      </c>
      <c r="N896" t="s">
        <v>245</v>
      </c>
      <c r="O896" t="s">
        <v>165</v>
      </c>
      <c r="P896">
        <v>2.5202046767975529E-2</v>
      </c>
      <c r="Q896" t="s">
        <v>159</v>
      </c>
    </row>
    <row r="897" spans="9:17" x14ac:dyDescent="0.45">
      <c r="I897" t="s">
        <v>202</v>
      </c>
      <c r="J897" t="s">
        <v>166</v>
      </c>
      <c r="K897">
        <v>0</v>
      </c>
      <c r="L897" t="s">
        <v>159</v>
      </c>
      <c r="N897" t="s">
        <v>245</v>
      </c>
      <c r="O897" t="s">
        <v>166</v>
      </c>
      <c r="P897">
        <v>3.8369410712096328E-3</v>
      </c>
      <c r="Q897" t="s">
        <v>159</v>
      </c>
    </row>
    <row r="898" spans="9:17" x14ac:dyDescent="0.45">
      <c r="I898" t="s">
        <v>202</v>
      </c>
      <c r="J898" t="s">
        <v>167</v>
      </c>
      <c r="K898">
        <v>6.464057325332713E-2</v>
      </c>
      <c r="L898" t="s">
        <v>159</v>
      </c>
      <c r="N898" t="s">
        <v>245</v>
      </c>
      <c r="O898" t="s">
        <v>167</v>
      </c>
      <c r="P898">
        <v>4.2805004508461399E-2</v>
      </c>
      <c r="Q898" t="s">
        <v>159</v>
      </c>
    </row>
    <row r="899" spans="9:17" x14ac:dyDescent="0.45">
      <c r="I899" t="s">
        <v>202</v>
      </c>
      <c r="J899" t="s">
        <v>291</v>
      </c>
      <c r="K899">
        <v>1.7794772137642535E-3</v>
      </c>
      <c r="L899" t="s">
        <v>159</v>
      </c>
      <c r="N899" t="s">
        <v>245</v>
      </c>
      <c r="O899" t="s">
        <v>291</v>
      </c>
      <c r="P899">
        <v>4.0056097862163935E-3</v>
      </c>
      <c r="Q899" t="s">
        <v>159</v>
      </c>
    </row>
    <row r="900" spans="9:17" x14ac:dyDescent="0.45">
      <c r="I900" t="s">
        <v>202</v>
      </c>
      <c r="J900" t="s">
        <v>292</v>
      </c>
      <c r="K900">
        <v>0</v>
      </c>
      <c r="L900" t="s">
        <v>159</v>
      </c>
      <c r="N900" t="s">
        <v>245</v>
      </c>
      <c r="O900" t="s">
        <v>292</v>
      </c>
      <c r="P900">
        <v>1.9216507954209178E-2</v>
      </c>
      <c r="Q900" t="s">
        <v>159</v>
      </c>
    </row>
    <row r="901" spans="9:17" x14ac:dyDescent="0.45">
      <c r="I901" t="s">
        <v>202</v>
      </c>
      <c r="J901" t="s">
        <v>293</v>
      </c>
      <c r="K901">
        <v>0</v>
      </c>
      <c r="L901" t="s">
        <v>159</v>
      </c>
      <c r="N901" t="s">
        <v>245</v>
      </c>
      <c r="O901" t="s">
        <v>293</v>
      </c>
      <c r="P901">
        <v>4.2711972935661428E-3</v>
      </c>
      <c r="Q901" t="s">
        <v>159</v>
      </c>
    </row>
    <row r="902" spans="9:17" x14ac:dyDescent="0.45">
      <c r="I902" t="s">
        <v>202</v>
      </c>
      <c r="J902" t="s">
        <v>294</v>
      </c>
      <c r="K902">
        <v>0</v>
      </c>
      <c r="L902" t="s">
        <v>159</v>
      </c>
      <c r="N902" t="s">
        <v>245</v>
      </c>
      <c r="O902" t="s">
        <v>294</v>
      </c>
      <c r="P902">
        <v>7.317324939277312E-4</v>
      </c>
      <c r="Q902" t="s">
        <v>159</v>
      </c>
    </row>
    <row r="903" spans="9:17" x14ac:dyDescent="0.45">
      <c r="I903" t="s">
        <v>202</v>
      </c>
      <c r="J903" t="s">
        <v>295</v>
      </c>
      <c r="K903">
        <v>1.7811993511968011E-2</v>
      </c>
      <c r="L903" t="s">
        <v>159</v>
      </c>
      <c r="N903" t="s">
        <v>245</v>
      </c>
      <c r="O903" t="s">
        <v>295</v>
      </c>
      <c r="P903">
        <v>5.6621743624669365E-3</v>
      </c>
      <c r="Q903" t="s">
        <v>159</v>
      </c>
    </row>
    <row r="904" spans="9:17" x14ac:dyDescent="0.45">
      <c r="I904" t="s">
        <v>202</v>
      </c>
      <c r="J904" t="s">
        <v>296</v>
      </c>
      <c r="K904">
        <v>1.120575707462546E-3</v>
      </c>
      <c r="L904" t="s">
        <v>159</v>
      </c>
      <c r="N904" t="s">
        <v>245</v>
      </c>
      <c r="O904" t="s">
        <v>296</v>
      </c>
      <c r="P904">
        <v>6.7106590756257022E-4</v>
      </c>
      <c r="Q904" t="s">
        <v>159</v>
      </c>
    </row>
    <row r="905" spans="9:17" x14ac:dyDescent="0.45">
      <c r="I905" t="s">
        <v>202</v>
      </c>
      <c r="J905" t="s">
        <v>297</v>
      </c>
      <c r="K905">
        <v>0</v>
      </c>
      <c r="L905" t="s">
        <v>159</v>
      </c>
      <c r="N905" t="s">
        <v>245</v>
      </c>
      <c r="O905" t="s">
        <v>297</v>
      </c>
      <c r="P905">
        <v>3.5355534692396535E-3</v>
      </c>
      <c r="Q905" t="s">
        <v>159</v>
      </c>
    </row>
    <row r="906" spans="9:17" x14ac:dyDescent="0.45">
      <c r="I906" t="s">
        <v>202</v>
      </c>
      <c r="J906" t="s">
        <v>298</v>
      </c>
      <c r="K906">
        <v>7.0576510212696387E-3</v>
      </c>
      <c r="L906" t="s">
        <v>159</v>
      </c>
      <c r="N906" t="s">
        <v>245</v>
      </c>
      <c r="O906" t="s">
        <v>298</v>
      </c>
      <c r="P906">
        <v>8.8537800092964414E-2</v>
      </c>
      <c r="Q906" t="s">
        <v>159</v>
      </c>
    </row>
    <row r="907" spans="9:17" x14ac:dyDescent="0.45">
      <c r="I907" t="s">
        <v>202</v>
      </c>
      <c r="J907" t="s">
        <v>299</v>
      </c>
      <c r="K907">
        <v>2.00699233865776E-2</v>
      </c>
      <c r="L907" t="s">
        <v>159</v>
      </c>
      <c r="N907" t="s">
        <v>245</v>
      </c>
      <c r="O907" t="s">
        <v>299</v>
      </c>
      <c r="P907">
        <v>9.8983241050639246E-3</v>
      </c>
      <c r="Q907" t="s">
        <v>159</v>
      </c>
    </row>
    <row r="908" spans="9:17" x14ac:dyDescent="0.45">
      <c r="I908" t="s">
        <v>202</v>
      </c>
      <c r="J908" t="s">
        <v>300</v>
      </c>
      <c r="K908">
        <v>0.36644816181584045</v>
      </c>
      <c r="L908" t="s">
        <v>159</v>
      </c>
      <c r="N908" t="s">
        <v>245</v>
      </c>
      <c r="O908" t="s">
        <v>300</v>
      </c>
      <c r="P908">
        <v>0.11428890002234231</v>
      </c>
      <c r="Q908" t="s">
        <v>159</v>
      </c>
    </row>
    <row r="909" spans="9:17" x14ac:dyDescent="0.45">
      <c r="I909" t="s">
        <v>202</v>
      </c>
      <c r="J909" t="s">
        <v>301</v>
      </c>
      <c r="K909">
        <v>2.2248572230630901E-2</v>
      </c>
      <c r="L909" t="s">
        <v>159</v>
      </c>
      <c r="N909" t="s">
        <v>245</v>
      </c>
      <c r="O909" t="s">
        <v>301</v>
      </c>
      <c r="P909">
        <v>2.2270530414148882E-2</v>
      </c>
      <c r="Q909" t="s">
        <v>159</v>
      </c>
    </row>
    <row r="910" spans="9:17" x14ac:dyDescent="0.45">
      <c r="I910" t="s">
        <v>202</v>
      </c>
      <c r="J910" t="s">
        <v>302</v>
      </c>
      <c r="K910">
        <v>7.1305911751797478E-3</v>
      </c>
      <c r="L910" t="s">
        <v>159</v>
      </c>
      <c r="N910" t="s">
        <v>245</v>
      </c>
      <c r="O910" t="s">
        <v>302</v>
      </c>
      <c r="P910">
        <v>0.10322033358216581</v>
      </c>
      <c r="Q910" t="s">
        <v>159</v>
      </c>
    </row>
    <row r="911" spans="9:17" x14ac:dyDescent="0.45">
      <c r="I911" t="s">
        <v>203</v>
      </c>
      <c r="J911" t="s">
        <v>158</v>
      </c>
      <c r="K911">
        <v>0</v>
      </c>
      <c r="L911" t="s">
        <v>159</v>
      </c>
      <c r="N911" t="s">
        <v>246</v>
      </c>
      <c r="O911" t="s">
        <v>158</v>
      </c>
      <c r="P911">
        <v>0.10824387026480406</v>
      </c>
      <c r="Q911" t="s">
        <v>159</v>
      </c>
    </row>
    <row r="912" spans="9:17" x14ac:dyDescent="0.45">
      <c r="I912" t="s">
        <v>203</v>
      </c>
      <c r="J912" t="s">
        <v>160</v>
      </c>
      <c r="K912">
        <v>1.5290886039481616E-2</v>
      </c>
      <c r="L912" t="s">
        <v>159</v>
      </c>
      <c r="N912" t="s">
        <v>246</v>
      </c>
      <c r="O912" t="s">
        <v>160</v>
      </c>
      <c r="P912">
        <v>1.6661942102198173E-2</v>
      </c>
      <c r="Q912" t="s">
        <v>159</v>
      </c>
    </row>
    <row r="913" spans="9:17" x14ac:dyDescent="0.45">
      <c r="I913" t="s">
        <v>203</v>
      </c>
      <c r="J913" t="s">
        <v>161</v>
      </c>
      <c r="K913">
        <v>0.42043570115447731</v>
      </c>
      <c r="L913" t="s">
        <v>159</v>
      </c>
      <c r="N913" t="s">
        <v>246</v>
      </c>
      <c r="O913" t="s">
        <v>161</v>
      </c>
      <c r="P913">
        <v>0.22123236330913332</v>
      </c>
      <c r="Q913" t="s">
        <v>159</v>
      </c>
    </row>
    <row r="914" spans="9:17" x14ac:dyDescent="0.45">
      <c r="I914" t="s">
        <v>203</v>
      </c>
      <c r="J914" t="s">
        <v>287</v>
      </c>
      <c r="K914">
        <v>2.1896988950728391E-2</v>
      </c>
      <c r="L914" t="s">
        <v>159</v>
      </c>
      <c r="N914" t="s">
        <v>246</v>
      </c>
      <c r="O914" t="s">
        <v>287</v>
      </c>
      <c r="P914">
        <v>3.2615567819523399E-2</v>
      </c>
      <c r="Q914" t="s">
        <v>159</v>
      </c>
    </row>
    <row r="915" spans="9:17" x14ac:dyDescent="0.45">
      <c r="I915" t="s">
        <v>203</v>
      </c>
      <c r="J915" t="s">
        <v>288</v>
      </c>
      <c r="K915">
        <v>7.5370209939194313E-3</v>
      </c>
      <c r="L915" t="s">
        <v>159</v>
      </c>
      <c r="N915" t="s">
        <v>246</v>
      </c>
      <c r="O915" t="s">
        <v>288</v>
      </c>
      <c r="P915">
        <v>9.7907884959439709E-2</v>
      </c>
      <c r="Q915" t="s">
        <v>159</v>
      </c>
    </row>
    <row r="916" spans="9:17" x14ac:dyDescent="0.45">
      <c r="I916" t="s">
        <v>203</v>
      </c>
      <c r="J916" t="s">
        <v>162</v>
      </c>
      <c r="K916">
        <v>0</v>
      </c>
      <c r="L916" t="s">
        <v>159</v>
      </c>
      <c r="N916" t="s">
        <v>246</v>
      </c>
      <c r="O916" t="s">
        <v>162</v>
      </c>
      <c r="P916">
        <v>2.0883953602327116E-2</v>
      </c>
      <c r="Q916" t="s">
        <v>159</v>
      </c>
    </row>
    <row r="917" spans="9:17" x14ac:dyDescent="0.45">
      <c r="I917" t="s">
        <v>203</v>
      </c>
      <c r="J917" t="s">
        <v>163</v>
      </c>
      <c r="K917">
        <v>0</v>
      </c>
      <c r="L917" t="s">
        <v>159</v>
      </c>
      <c r="N917" t="s">
        <v>246</v>
      </c>
      <c r="O917" t="s">
        <v>163</v>
      </c>
      <c r="P917">
        <v>3.0847619591948972E-3</v>
      </c>
      <c r="Q917" t="s">
        <v>159</v>
      </c>
    </row>
    <row r="918" spans="9:17" x14ac:dyDescent="0.45">
      <c r="I918" t="s">
        <v>203</v>
      </c>
      <c r="J918" t="s">
        <v>164</v>
      </c>
      <c r="K918">
        <v>5.7048055303193193E-2</v>
      </c>
      <c r="L918" t="s">
        <v>159</v>
      </c>
      <c r="N918" t="s">
        <v>246</v>
      </c>
      <c r="O918" t="s">
        <v>164</v>
      </c>
      <c r="P918">
        <v>3.1777090012536952E-2</v>
      </c>
      <c r="Q918" t="s">
        <v>159</v>
      </c>
    </row>
    <row r="919" spans="9:17" x14ac:dyDescent="0.45">
      <c r="I919" t="s">
        <v>203</v>
      </c>
      <c r="J919" t="s">
        <v>289</v>
      </c>
      <c r="K919">
        <v>1.5627731627106604E-3</v>
      </c>
      <c r="L919" t="s">
        <v>159</v>
      </c>
      <c r="N919" t="s">
        <v>246</v>
      </c>
      <c r="O919" t="s">
        <v>289</v>
      </c>
      <c r="P919">
        <v>3.0093586229563056E-3</v>
      </c>
      <c r="Q919" t="s">
        <v>159</v>
      </c>
    </row>
    <row r="920" spans="9:17" x14ac:dyDescent="0.45">
      <c r="I920" t="s">
        <v>203</v>
      </c>
      <c r="J920" t="s">
        <v>290</v>
      </c>
      <c r="K920">
        <v>0</v>
      </c>
      <c r="L920" t="s">
        <v>159</v>
      </c>
      <c r="N920" t="s">
        <v>246</v>
      </c>
      <c r="O920" t="s">
        <v>290</v>
      </c>
      <c r="P920">
        <v>1.5260742930364635E-2</v>
      </c>
      <c r="Q920" t="s">
        <v>159</v>
      </c>
    </row>
    <row r="921" spans="9:17" x14ac:dyDescent="0.45">
      <c r="I921" t="s">
        <v>203</v>
      </c>
      <c r="J921" t="s">
        <v>165</v>
      </c>
      <c r="K921">
        <v>0</v>
      </c>
      <c r="L921" t="s">
        <v>159</v>
      </c>
      <c r="N921" t="s">
        <v>246</v>
      </c>
      <c r="O921" t="s">
        <v>165</v>
      </c>
      <c r="P921">
        <v>2.859503354949449E-2</v>
      </c>
      <c r="Q921" t="s">
        <v>159</v>
      </c>
    </row>
    <row r="922" spans="9:17" x14ac:dyDescent="0.45">
      <c r="I922" t="s">
        <v>203</v>
      </c>
      <c r="J922" t="s">
        <v>166</v>
      </c>
      <c r="K922">
        <v>0</v>
      </c>
      <c r="L922" t="s">
        <v>159</v>
      </c>
      <c r="N922" t="s">
        <v>246</v>
      </c>
      <c r="O922" t="s">
        <v>166</v>
      </c>
      <c r="P922">
        <v>4.9728374284399197E-3</v>
      </c>
      <c r="Q922" t="s">
        <v>159</v>
      </c>
    </row>
    <row r="923" spans="9:17" x14ac:dyDescent="0.45">
      <c r="I923" t="s">
        <v>203</v>
      </c>
      <c r="J923" t="s">
        <v>167</v>
      </c>
      <c r="K923">
        <v>6.9544511430766356E-2</v>
      </c>
      <c r="L923" t="s">
        <v>159</v>
      </c>
      <c r="N923" t="s">
        <v>246</v>
      </c>
      <c r="O923" t="s">
        <v>167</v>
      </c>
      <c r="P923">
        <v>5.1715305237367303E-2</v>
      </c>
      <c r="Q923" t="s">
        <v>159</v>
      </c>
    </row>
    <row r="924" spans="9:17" x14ac:dyDescent="0.45">
      <c r="I924" t="s">
        <v>203</v>
      </c>
      <c r="J924" t="s">
        <v>291</v>
      </c>
      <c r="K924">
        <v>3.8689791568126512E-3</v>
      </c>
      <c r="L924" t="s">
        <v>159</v>
      </c>
      <c r="N924" t="s">
        <v>246</v>
      </c>
      <c r="O924" t="s">
        <v>291</v>
      </c>
      <c r="P924">
        <v>3.9506840624239925E-3</v>
      </c>
      <c r="Q924" t="s">
        <v>159</v>
      </c>
    </row>
    <row r="925" spans="9:17" x14ac:dyDescent="0.45">
      <c r="I925" t="s">
        <v>203</v>
      </c>
      <c r="J925" t="s">
        <v>292</v>
      </c>
      <c r="K925">
        <v>0</v>
      </c>
      <c r="L925" t="s">
        <v>159</v>
      </c>
      <c r="N925" t="s">
        <v>246</v>
      </c>
      <c r="O925" t="s">
        <v>292</v>
      </c>
      <c r="P925">
        <v>1.6032524195228708E-2</v>
      </c>
      <c r="Q925" t="s">
        <v>159</v>
      </c>
    </row>
    <row r="926" spans="9:17" x14ac:dyDescent="0.45">
      <c r="I926" t="s">
        <v>203</v>
      </c>
      <c r="J926" t="s">
        <v>293</v>
      </c>
      <c r="K926">
        <v>0</v>
      </c>
      <c r="L926" t="s">
        <v>159</v>
      </c>
      <c r="N926" t="s">
        <v>246</v>
      </c>
      <c r="O926" t="s">
        <v>293</v>
      </c>
      <c r="P926">
        <v>2.2405727320463876E-3</v>
      </c>
      <c r="Q926" t="s">
        <v>159</v>
      </c>
    </row>
    <row r="927" spans="9:17" x14ac:dyDescent="0.45">
      <c r="I927" t="s">
        <v>203</v>
      </c>
      <c r="J927" t="s">
        <v>294</v>
      </c>
      <c r="K927">
        <v>0</v>
      </c>
      <c r="L927" t="s">
        <v>159</v>
      </c>
      <c r="N927" t="s">
        <v>246</v>
      </c>
      <c r="O927" t="s">
        <v>294</v>
      </c>
      <c r="P927">
        <v>5.6118142368039286E-4</v>
      </c>
      <c r="Q927" t="s">
        <v>159</v>
      </c>
    </row>
    <row r="928" spans="9:17" x14ac:dyDescent="0.45">
      <c r="I928" t="s">
        <v>203</v>
      </c>
      <c r="J928" t="s">
        <v>295</v>
      </c>
      <c r="K928">
        <v>1.666904343260411E-2</v>
      </c>
      <c r="L928" t="s">
        <v>159</v>
      </c>
      <c r="N928" t="s">
        <v>246</v>
      </c>
      <c r="O928" t="s">
        <v>295</v>
      </c>
      <c r="P928">
        <v>6.9771107632051526E-3</v>
      </c>
      <c r="Q928" t="s">
        <v>159</v>
      </c>
    </row>
    <row r="929" spans="9:17" x14ac:dyDescent="0.45">
      <c r="I929" t="s">
        <v>203</v>
      </c>
      <c r="J929" t="s">
        <v>296</v>
      </c>
      <c r="K929">
        <v>9.2127490765374928E-4</v>
      </c>
      <c r="L929" t="s">
        <v>159</v>
      </c>
      <c r="N929" t="s">
        <v>246</v>
      </c>
      <c r="O929" t="s">
        <v>296</v>
      </c>
      <c r="P929">
        <v>9.4194271598479064E-4</v>
      </c>
      <c r="Q929" t="s">
        <v>159</v>
      </c>
    </row>
    <row r="930" spans="9:17" x14ac:dyDescent="0.45">
      <c r="I930" t="s">
        <v>203</v>
      </c>
      <c r="J930" t="s">
        <v>297</v>
      </c>
      <c r="K930">
        <v>0</v>
      </c>
      <c r="L930" t="s">
        <v>159</v>
      </c>
      <c r="N930" t="s">
        <v>246</v>
      </c>
      <c r="O930" t="s">
        <v>297</v>
      </c>
      <c r="P930">
        <v>2.6481323286850406E-3</v>
      </c>
      <c r="Q930" t="s">
        <v>159</v>
      </c>
    </row>
    <row r="931" spans="9:17" x14ac:dyDescent="0.45">
      <c r="I931" t="s">
        <v>203</v>
      </c>
      <c r="J931" t="s">
        <v>298</v>
      </c>
      <c r="K931">
        <v>4.420942731436864E-3</v>
      </c>
      <c r="L931" t="s">
        <v>159</v>
      </c>
      <c r="N931" t="s">
        <v>246</v>
      </c>
      <c r="O931" t="s">
        <v>298</v>
      </c>
      <c r="P931">
        <v>6.4987209205193353E-2</v>
      </c>
      <c r="Q931" t="s">
        <v>159</v>
      </c>
    </row>
    <row r="932" spans="9:17" x14ac:dyDescent="0.45">
      <c r="I932" t="s">
        <v>203</v>
      </c>
      <c r="J932" t="s">
        <v>299</v>
      </c>
      <c r="K932">
        <v>1.915888609858039E-2</v>
      </c>
      <c r="L932" t="s">
        <v>159</v>
      </c>
      <c r="N932" t="s">
        <v>246</v>
      </c>
      <c r="O932" t="s">
        <v>299</v>
      </c>
      <c r="P932">
        <v>9.7144469671609241E-3</v>
      </c>
      <c r="Q932" t="s">
        <v>159</v>
      </c>
    </row>
    <row r="933" spans="9:17" x14ac:dyDescent="0.45">
      <c r="I933" t="s">
        <v>203</v>
      </c>
      <c r="J933" t="s">
        <v>300</v>
      </c>
      <c r="K933">
        <v>0.34103005679644643</v>
      </c>
      <c r="L933" t="s">
        <v>159</v>
      </c>
      <c r="N933" t="s">
        <v>246</v>
      </c>
      <c r="O933" t="s">
        <v>300</v>
      </c>
      <c r="P933">
        <v>0.16439595390289968</v>
      </c>
      <c r="Q933" t="s">
        <v>159</v>
      </c>
    </row>
    <row r="934" spans="9:17" x14ac:dyDescent="0.45">
      <c r="I934" t="s">
        <v>203</v>
      </c>
      <c r="J934" t="s">
        <v>301</v>
      </c>
      <c r="K934">
        <v>1.7604895927886423E-2</v>
      </c>
      <c r="L934" t="s">
        <v>159</v>
      </c>
      <c r="N934" t="s">
        <v>246</v>
      </c>
      <c r="O934" t="s">
        <v>301</v>
      </c>
      <c r="P934">
        <v>2.5684505369910297E-2</v>
      </c>
      <c r="Q934" t="s">
        <v>159</v>
      </c>
    </row>
    <row r="935" spans="9:17" x14ac:dyDescent="0.45">
      <c r="I935" t="s">
        <v>203</v>
      </c>
      <c r="J935" t="s">
        <v>302</v>
      </c>
      <c r="K935">
        <v>3.0099839133043765E-3</v>
      </c>
      <c r="L935" t="s">
        <v>159</v>
      </c>
      <c r="N935" t="s">
        <v>246</v>
      </c>
      <c r="O935" t="s">
        <v>302</v>
      </c>
      <c r="P935">
        <v>6.5905024535799481E-2</v>
      </c>
      <c r="Q935" t="s">
        <v>159</v>
      </c>
    </row>
    <row r="936" spans="9:17" x14ac:dyDescent="0.45">
      <c r="I936" t="s">
        <v>204</v>
      </c>
      <c r="J936" t="s">
        <v>158</v>
      </c>
      <c r="K936">
        <v>1.5124999044531718E-4</v>
      </c>
      <c r="L936" t="s">
        <v>159</v>
      </c>
      <c r="N936" t="s">
        <v>247</v>
      </c>
      <c r="O936" t="s">
        <v>158</v>
      </c>
      <c r="P936">
        <v>9.2754604245286934E-2</v>
      </c>
      <c r="Q936" t="s">
        <v>159</v>
      </c>
    </row>
    <row r="937" spans="9:17" x14ac:dyDescent="0.45">
      <c r="I937" t="s">
        <v>204</v>
      </c>
      <c r="J937" t="s">
        <v>160</v>
      </c>
      <c r="K937">
        <v>1.4675436000427453E-2</v>
      </c>
      <c r="L937" t="s">
        <v>159</v>
      </c>
      <c r="N937" t="s">
        <v>247</v>
      </c>
      <c r="O937" t="s">
        <v>160</v>
      </c>
      <c r="P937">
        <v>1.3946490840891067E-2</v>
      </c>
      <c r="Q937" t="s">
        <v>159</v>
      </c>
    </row>
    <row r="938" spans="9:17" x14ac:dyDescent="0.45">
      <c r="I938" t="s">
        <v>204</v>
      </c>
      <c r="J938" t="s">
        <v>161</v>
      </c>
      <c r="K938">
        <v>0.42059957267805553</v>
      </c>
      <c r="L938" t="s">
        <v>159</v>
      </c>
      <c r="N938" t="s">
        <v>247</v>
      </c>
      <c r="O938" t="s">
        <v>161</v>
      </c>
      <c r="P938">
        <v>0.238213182542378</v>
      </c>
      <c r="Q938" t="s">
        <v>159</v>
      </c>
    </row>
    <row r="939" spans="9:17" x14ac:dyDescent="0.45">
      <c r="I939" t="s">
        <v>204</v>
      </c>
      <c r="J939" t="s">
        <v>287</v>
      </c>
      <c r="K939">
        <v>2.1768499684367063E-2</v>
      </c>
      <c r="L939" t="s">
        <v>159</v>
      </c>
      <c r="N939" t="s">
        <v>247</v>
      </c>
      <c r="O939" t="s">
        <v>287</v>
      </c>
      <c r="P939">
        <v>3.3615899731397877E-2</v>
      </c>
      <c r="Q939" t="s">
        <v>159</v>
      </c>
    </row>
    <row r="940" spans="9:17" x14ac:dyDescent="0.45">
      <c r="I940" t="s">
        <v>204</v>
      </c>
      <c r="J940" t="s">
        <v>288</v>
      </c>
      <c r="K940">
        <v>7.8250628481517596E-3</v>
      </c>
      <c r="L940" t="s">
        <v>159</v>
      </c>
      <c r="N940" t="s">
        <v>247</v>
      </c>
      <c r="O940" t="s">
        <v>288</v>
      </c>
      <c r="P940">
        <v>0.10399997253909878</v>
      </c>
      <c r="Q940" t="s">
        <v>159</v>
      </c>
    </row>
    <row r="941" spans="9:17" x14ac:dyDescent="0.45">
      <c r="I941" t="s">
        <v>204</v>
      </c>
      <c r="J941" t="s">
        <v>162</v>
      </c>
      <c r="K941">
        <v>0</v>
      </c>
      <c r="L941" t="s">
        <v>159</v>
      </c>
      <c r="N941" t="s">
        <v>247</v>
      </c>
      <c r="O941" t="s">
        <v>162</v>
      </c>
      <c r="P941">
        <v>1.6378547164624363E-2</v>
      </c>
      <c r="Q941" t="s">
        <v>159</v>
      </c>
    </row>
    <row r="942" spans="9:17" x14ac:dyDescent="0.45">
      <c r="I942" t="s">
        <v>204</v>
      </c>
      <c r="J942" t="s">
        <v>163</v>
      </c>
      <c r="K942">
        <v>0</v>
      </c>
      <c r="L942" t="s">
        <v>159</v>
      </c>
      <c r="N942" t="s">
        <v>247</v>
      </c>
      <c r="O942" t="s">
        <v>163</v>
      </c>
      <c r="P942">
        <v>2.6571504729329225E-3</v>
      </c>
      <c r="Q942" t="s">
        <v>159</v>
      </c>
    </row>
    <row r="943" spans="9:17" x14ac:dyDescent="0.45">
      <c r="I943" t="s">
        <v>204</v>
      </c>
      <c r="J943" t="s">
        <v>164</v>
      </c>
      <c r="K943">
        <v>5.5705556707937719E-2</v>
      </c>
      <c r="L943" t="s">
        <v>159</v>
      </c>
      <c r="N943" t="s">
        <v>247</v>
      </c>
      <c r="O943" t="s">
        <v>164</v>
      </c>
      <c r="P943">
        <v>2.6101903328950609E-2</v>
      </c>
      <c r="Q943" t="s">
        <v>159</v>
      </c>
    </row>
    <row r="944" spans="9:17" x14ac:dyDescent="0.45">
      <c r="I944" t="s">
        <v>204</v>
      </c>
      <c r="J944" t="s">
        <v>289</v>
      </c>
      <c r="K944">
        <v>8.6710369064125885E-4</v>
      </c>
      <c r="L944" t="s">
        <v>159</v>
      </c>
      <c r="N944" t="s">
        <v>247</v>
      </c>
      <c r="O944" t="s">
        <v>289</v>
      </c>
      <c r="P944">
        <v>2.5238975889012847E-3</v>
      </c>
      <c r="Q944" t="s">
        <v>159</v>
      </c>
    </row>
    <row r="945" spans="9:17" x14ac:dyDescent="0.45">
      <c r="I945" t="s">
        <v>204</v>
      </c>
      <c r="J945" t="s">
        <v>290</v>
      </c>
      <c r="K945">
        <v>0</v>
      </c>
      <c r="L945" t="s">
        <v>159</v>
      </c>
      <c r="N945" t="s">
        <v>247</v>
      </c>
      <c r="O945" t="s">
        <v>290</v>
      </c>
      <c r="P945">
        <v>1.1349085510078811E-2</v>
      </c>
      <c r="Q945" t="s">
        <v>159</v>
      </c>
    </row>
    <row r="946" spans="9:17" x14ac:dyDescent="0.45">
      <c r="I946" t="s">
        <v>204</v>
      </c>
      <c r="J946" t="s">
        <v>165</v>
      </c>
      <c r="K946">
        <v>0</v>
      </c>
      <c r="L946" t="s">
        <v>159</v>
      </c>
      <c r="N946" t="s">
        <v>247</v>
      </c>
      <c r="O946" t="s">
        <v>165</v>
      </c>
      <c r="P946">
        <v>2.7389587032442559E-2</v>
      </c>
      <c r="Q946" t="s">
        <v>159</v>
      </c>
    </row>
    <row r="947" spans="9:17" x14ac:dyDescent="0.45">
      <c r="I947" t="s">
        <v>204</v>
      </c>
      <c r="J947" t="s">
        <v>166</v>
      </c>
      <c r="K947">
        <v>0</v>
      </c>
      <c r="L947" t="s">
        <v>159</v>
      </c>
      <c r="N947" t="s">
        <v>247</v>
      </c>
      <c r="O947" t="s">
        <v>166</v>
      </c>
      <c r="P947">
        <v>4.4523296715133897E-3</v>
      </c>
      <c r="Q947" t="s">
        <v>159</v>
      </c>
    </row>
    <row r="948" spans="9:17" x14ac:dyDescent="0.45">
      <c r="I948" t="s">
        <v>204</v>
      </c>
      <c r="J948" t="s">
        <v>167</v>
      </c>
      <c r="K948">
        <v>7.0027783602858842E-2</v>
      </c>
      <c r="L948" t="s">
        <v>159</v>
      </c>
      <c r="N948" t="s">
        <v>247</v>
      </c>
      <c r="O948" t="s">
        <v>167</v>
      </c>
      <c r="P948">
        <v>4.6613387221343769E-2</v>
      </c>
      <c r="Q948" t="s">
        <v>159</v>
      </c>
    </row>
    <row r="949" spans="9:17" x14ac:dyDescent="0.45">
      <c r="I949" t="s">
        <v>204</v>
      </c>
      <c r="J949" t="s">
        <v>291</v>
      </c>
      <c r="K949">
        <v>3.9280230668461182E-3</v>
      </c>
      <c r="L949" t="s">
        <v>159</v>
      </c>
      <c r="N949" t="s">
        <v>247</v>
      </c>
      <c r="O949" t="s">
        <v>291</v>
      </c>
      <c r="P949">
        <v>3.9892905762090227E-3</v>
      </c>
      <c r="Q949" t="s">
        <v>159</v>
      </c>
    </row>
    <row r="950" spans="9:17" x14ac:dyDescent="0.45">
      <c r="I950" t="s">
        <v>204</v>
      </c>
      <c r="J950" t="s">
        <v>292</v>
      </c>
      <c r="K950">
        <v>0</v>
      </c>
      <c r="L950" t="s">
        <v>159</v>
      </c>
      <c r="N950" t="s">
        <v>247</v>
      </c>
      <c r="O950" t="s">
        <v>292</v>
      </c>
      <c r="P950">
        <v>1.7120102908908176E-2</v>
      </c>
      <c r="Q950" t="s">
        <v>159</v>
      </c>
    </row>
    <row r="951" spans="9:17" x14ac:dyDescent="0.45">
      <c r="I951" t="s">
        <v>204</v>
      </c>
      <c r="J951" t="s">
        <v>293</v>
      </c>
      <c r="K951">
        <v>0</v>
      </c>
      <c r="L951" t="s">
        <v>159</v>
      </c>
      <c r="N951" t="s">
        <v>247</v>
      </c>
      <c r="O951" t="s">
        <v>293</v>
      </c>
      <c r="P951">
        <v>3.8882845451412604E-3</v>
      </c>
      <c r="Q951" t="s">
        <v>159</v>
      </c>
    </row>
    <row r="952" spans="9:17" x14ac:dyDescent="0.45">
      <c r="I952" t="s">
        <v>204</v>
      </c>
      <c r="J952" t="s">
        <v>294</v>
      </c>
      <c r="K952">
        <v>5.4207721575277697E-5</v>
      </c>
      <c r="L952" t="s">
        <v>159</v>
      </c>
      <c r="N952" t="s">
        <v>247</v>
      </c>
      <c r="O952" t="s">
        <v>294</v>
      </c>
      <c r="P952">
        <v>6.716484688981105E-4</v>
      </c>
      <c r="Q952" t="s">
        <v>159</v>
      </c>
    </row>
    <row r="953" spans="9:17" x14ac:dyDescent="0.45">
      <c r="I953" t="s">
        <v>204</v>
      </c>
      <c r="J953" t="s">
        <v>295</v>
      </c>
      <c r="K953">
        <v>1.6861711481137621E-2</v>
      </c>
      <c r="L953" t="s">
        <v>159</v>
      </c>
      <c r="N953" t="s">
        <v>247</v>
      </c>
      <c r="O953" t="s">
        <v>295</v>
      </c>
      <c r="P953">
        <v>7.440985531547162E-3</v>
      </c>
      <c r="Q953" t="s">
        <v>159</v>
      </c>
    </row>
    <row r="954" spans="9:17" x14ac:dyDescent="0.45">
      <c r="I954" t="s">
        <v>204</v>
      </c>
      <c r="J954" t="s">
        <v>296</v>
      </c>
      <c r="K954">
        <v>9.2139029661773885E-4</v>
      </c>
      <c r="L954" t="s">
        <v>159</v>
      </c>
      <c r="N954" t="s">
        <v>247</v>
      </c>
      <c r="O954" t="s">
        <v>296</v>
      </c>
      <c r="P954">
        <v>9.2304734807938907E-4</v>
      </c>
      <c r="Q954" t="s">
        <v>159</v>
      </c>
    </row>
    <row r="955" spans="9:17" x14ac:dyDescent="0.45">
      <c r="I955" t="s">
        <v>204</v>
      </c>
      <c r="J955" t="s">
        <v>297</v>
      </c>
      <c r="K955">
        <v>0</v>
      </c>
      <c r="L955" t="s">
        <v>159</v>
      </c>
      <c r="N955" t="s">
        <v>247</v>
      </c>
      <c r="O955" t="s">
        <v>297</v>
      </c>
      <c r="P955">
        <v>3.4112300169221502E-3</v>
      </c>
      <c r="Q955" t="s">
        <v>159</v>
      </c>
    </row>
    <row r="956" spans="9:17" x14ac:dyDescent="0.45">
      <c r="I956" t="s">
        <v>204</v>
      </c>
      <c r="J956" t="s">
        <v>298</v>
      </c>
      <c r="K956">
        <v>4.9316965842050803E-3</v>
      </c>
      <c r="L956" t="s">
        <v>159</v>
      </c>
      <c r="N956" t="s">
        <v>247</v>
      </c>
      <c r="O956" t="s">
        <v>298</v>
      </c>
      <c r="P956">
        <v>5.0705314956657005E-2</v>
      </c>
      <c r="Q956" t="s">
        <v>159</v>
      </c>
    </row>
    <row r="957" spans="9:17" x14ac:dyDescent="0.45">
      <c r="I957" t="s">
        <v>204</v>
      </c>
      <c r="J957" t="s">
        <v>299</v>
      </c>
      <c r="K957">
        <v>1.9552180759189419E-2</v>
      </c>
      <c r="L957" t="s">
        <v>159</v>
      </c>
      <c r="N957" t="s">
        <v>247</v>
      </c>
      <c r="O957" t="s">
        <v>299</v>
      </c>
      <c r="P957">
        <v>6.086348648661687E-3</v>
      </c>
      <c r="Q957" t="s">
        <v>159</v>
      </c>
    </row>
    <row r="958" spans="9:17" x14ac:dyDescent="0.45">
      <c r="I958" t="s">
        <v>204</v>
      </c>
      <c r="J958" t="s">
        <v>300</v>
      </c>
      <c r="K958">
        <v>0.34110661689582239</v>
      </c>
      <c r="L958" t="s">
        <v>159</v>
      </c>
      <c r="N958" t="s">
        <v>247</v>
      </c>
      <c r="O958" t="s">
        <v>300</v>
      </c>
      <c r="P958">
        <v>0.18167868984177654</v>
      </c>
      <c r="Q958" t="s">
        <v>159</v>
      </c>
    </row>
    <row r="959" spans="9:17" x14ac:dyDescent="0.45">
      <c r="I959" t="s">
        <v>204</v>
      </c>
      <c r="J959" t="s">
        <v>301</v>
      </c>
      <c r="K959">
        <v>1.793089879450124E-2</v>
      </c>
      <c r="L959" t="s">
        <v>159</v>
      </c>
      <c r="N959" t="s">
        <v>247</v>
      </c>
      <c r="O959" t="s">
        <v>301</v>
      </c>
      <c r="P959">
        <v>2.7750012035863053E-2</v>
      </c>
      <c r="Q959" t="s">
        <v>159</v>
      </c>
    </row>
    <row r="960" spans="9:17" x14ac:dyDescent="0.45">
      <c r="I960" t="s">
        <v>204</v>
      </c>
      <c r="J960" t="s">
        <v>302</v>
      </c>
      <c r="K960">
        <v>3.0930091972217123E-3</v>
      </c>
      <c r="L960" t="s">
        <v>159</v>
      </c>
      <c r="N960" t="s">
        <v>247</v>
      </c>
      <c r="O960" t="s">
        <v>302</v>
      </c>
      <c r="P960">
        <v>7.6339007231495018E-2</v>
      </c>
      <c r="Q960" t="s">
        <v>159</v>
      </c>
    </row>
    <row r="961" spans="9:17" x14ac:dyDescent="0.45">
      <c r="I961" t="s">
        <v>205</v>
      </c>
      <c r="J961" t="s">
        <v>158</v>
      </c>
      <c r="K961">
        <v>5.5513204474363692E-5</v>
      </c>
      <c r="L961" t="s">
        <v>159</v>
      </c>
      <c r="N961" t="s">
        <v>248</v>
      </c>
      <c r="O961" t="s">
        <v>158</v>
      </c>
      <c r="P961">
        <v>0.14911682755400094</v>
      </c>
      <c r="Q961" t="s">
        <v>159</v>
      </c>
    </row>
    <row r="962" spans="9:17" x14ac:dyDescent="0.45">
      <c r="I962" t="s">
        <v>205</v>
      </c>
      <c r="J962" t="s">
        <v>160</v>
      </c>
      <c r="K962">
        <v>1.7500427891911186E-2</v>
      </c>
      <c r="L962" t="s">
        <v>159</v>
      </c>
      <c r="N962" t="s">
        <v>248</v>
      </c>
      <c r="O962" t="s">
        <v>160</v>
      </c>
      <c r="P962">
        <v>1.7109192499504374E-2</v>
      </c>
      <c r="Q962" t="s">
        <v>159</v>
      </c>
    </row>
    <row r="963" spans="9:17" x14ac:dyDescent="0.45">
      <c r="I963" t="s">
        <v>205</v>
      </c>
      <c r="J963" t="s">
        <v>161</v>
      </c>
      <c r="K963">
        <v>0.4237218233960926</v>
      </c>
      <c r="L963" t="s">
        <v>159</v>
      </c>
      <c r="N963" t="s">
        <v>248</v>
      </c>
      <c r="O963" t="s">
        <v>161</v>
      </c>
      <c r="P963">
        <v>0.16652962012610348</v>
      </c>
      <c r="Q963" t="s">
        <v>159</v>
      </c>
    </row>
    <row r="964" spans="9:17" x14ac:dyDescent="0.45">
      <c r="I964" t="s">
        <v>205</v>
      </c>
      <c r="J964" t="s">
        <v>287</v>
      </c>
      <c r="K964">
        <v>2.1019885868655823E-2</v>
      </c>
      <c r="L964" t="s">
        <v>159</v>
      </c>
      <c r="N964" t="s">
        <v>248</v>
      </c>
      <c r="O964" t="s">
        <v>287</v>
      </c>
      <c r="P964">
        <v>2.02630337343623E-2</v>
      </c>
      <c r="Q964" t="s">
        <v>159</v>
      </c>
    </row>
    <row r="965" spans="9:17" x14ac:dyDescent="0.45">
      <c r="I965" t="s">
        <v>205</v>
      </c>
      <c r="J965" t="s">
        <v>288</v>
      </c>
      <c r="K965">
        <v>6.4699445458925794E-3</v>
      </c>
      <c r="L965" t="s">
        <v>159</v>
      </c>
      <c r="N965" t="s">
        <v>248</v>
      </c>
      <c r="O965" t="s">
        <v>288</v>
      </c>
      <c r="P965">
        <v>0.1233876276596431</v>
      </c>
      <c r="Q965" t="s">
        <v>159</v>
      </c>
    </row>
    <row r="966" spans="9:17" x14ac:dyDescent="0.45">
      <c r="I966" t="s">
        <v>205</v>
      </c>
      <c r="J966" t="s">
        <v>162</v>
      </c>
      <c r="K966">
        <v>0</v>
      </c>
      <c r="L966" t="s">
        <v>159</v>
      </c>
      <c r="N966" t="s">
        <v>248</v>
      </c>
      <c r="O966" t="s">
        <v>162</v>
      </c>
      <c r="P966">
        <v>2.2352535941101842E-2</v>
      </c>
      <c r="Q966" t="s">
        <v>159</v>
      </c>
    </row>
    <row r="967" spans="9:17" x14ac:dyDescent="0.45">
      <c r="I967" t="s">
        <v>205</v>
      </c>
      <c r="J967" t="s">
        <v>163</v>
      </c>
      <c r="K967">
        <v>0</v>
      </c>
      <c r="L967" t="s">
        <v>159</v>
      </c>
      <c r="N967" t="s">
        <v>248</v>
      </c>
      <c r="O967" t="s">
        <v>163</v>
      </c>
      <c r="P967">
        <v>3.1059234347350132E-3</v>
      </c>
      <c r="Q967" t="s">
        <v>159</v>
      </c>
    </row>
    <row r="968" spans="9:17" x14ac:dyDescent="0.45">
      <c r="I968" t="s">
        <v>205</v>
      </c>
      <c r="J968" t="s">
        <v>164</v>
      </c>
      <c r="K968">
        <v>5.7362946176148392E-2</v>
      </c>
      <c r="L968" t="s">
        <v>159</v>
      </c>
      <c r="N968" t="s">
        <v>248</v>
      </c>
      <c r="O968" t="s">
        <v>164</v>
      </c>
      <c r="P968">
        <v>2.8835094890027262E-2</v>
      </c>
      <c r="Q968" t="s">
        <v>159</v>
      </c>
    </row>
    <row r="969" spans="9:17" x14ac:dyDescent="0.45">
      <c r="I969" t="s">
        <v>205</v>
      </c>
      <c r="J969" t="s">
        <v>289</v>
      </c>
      <c r="K969">
        <v>4.5130359852106925E-4</v>
      </c>
      <c r="L969" t="s">
        <v>159</v>
      </c>
      <c r="N969" t="s">
        <v>248</v>
      </c>
      <c r="O969" t="s">
        <v>289</v>
      </c>
      <c r="P969">
        <v>2.8790355523066755E-3</v>
      </c>
      <c r="Q969" t="s">
        <v>159</v>
      </c>
    </row>
    <row r="970" spans="9:17" x14ac:dyDescent="0.45">
      <c r="I970" t="s">
        <v>205</v>
      </c>
      <c r="J970" t="s">
        <v>290</v>
      </c>
      <c r="K970">
        <v>0</v>
      </c>
      <c r="L970" t="s">
        <v>159</v>
      </c>
      <c r="N970" t="s">
        <v>248</v>
      </c>
      <c r="O970" t="s">
        <v>290</v>
      </c>
      <c r="P970">
        <v>1.594233513044311E-2</v>
      </c>
      <c r="Q970" t="s">
        <v>159</v>
      </c>
    </row>
    <row r="971" spans="9:17" x14ac:dyDescent="0.45">
      <c r="I971" t="s">
        <v>205</v>
      </c>
      <c r="J971" t="s">
        <v>165</v>
      </c>
      <c r="K971">
        <v>0</v>
      </c>
      <c r="L971" t="s">
        <v>159</v>
      </c>
      <c r="N971" t="s">
        <v>248</v>
      </c>
      <c r="O971" t="s">
        <v>165</v>
      </c>
      <c r="P971">
        <v>2.1221411128739567E-2</v>
      </c>
      <c r="Q971" t="s">
        <v>159</v>
      </c>
    </row>
    <row r="972" spans="9:17" x14ac:dyDescent="0.45">
      <c r="I972" t="s">
        <v>205</v>
      </c>
      <c r="J972" t="s">
        <v>166</v>
      </c>
      <c r="K972">
        <v>4.0803535280736333E-6</v>
      </c>
      <c r="L972" t="s">
        <v>159</v>
      </c>
      <c r="N972" t="s">
        <v>248</v>
      </c>
      <c r="O972" t="s">
        <v>166</v>
      </c>
      <c r="P972">
        <v>2.8881727009211111E-3</v>
      </c>
      <c r="Q972" t="s">
        <v>159</v>
      </c>
    </row>
    <row r="973" spans="9:17" x14ac:dyDescent="0.45">
      <c r="I973" t="s">
        <v>205</v>
      </c>
      <c r="J973" t="s">
        <v>167</v>
      </c>
      <c r="K973">
        <v>6.745266731826155E-2</v>
      </c>
      <c r="L973" t="s">
        <v>159</v>
      </c>
      <c r="N973" t="s">
        <v>248</v>
      </c>
      <c r="O973" t="s">
        <v>167</v>
      </c>
      <c r="P973">
        <v>3.9398780038437706E-2</v>
      </c>
      <c r="Q973" t="s">
        <v>159</v>
      </c>
    </row>
    <row r="974" spans="9:17" x14ac:dyDescent="0.45">
      <c r="I974" t="s">
        <v>205</v>
      </c>
      <c r="J974" t="s">
        <v>291</v>
      </c>
      <c r="K974">
        <v>3.6904315531979363E-3</v>
      </c>
      <c r="L974" t="s">
        <v>159</v>
      </c>
      <c r="N974" t="s">
        <v>248</v>
      </c>
      <c r="O974" t="s">
        <v>291</v>
      </c>
      <c r="P974">
        <v>4.0226814414240806E-3</v>
      </c>
      <c r="Q974" t="s">
        <v>159</v>
      </c>
    </row>
    <row r="975" spans="9:17" x14ac:dyDescent="0.45">
      <c r="I975" t="s">
        <v>205</v>
      </c>
      <c r="J975" t="s">
        <v>292</v>
      </c>
      <c r="K975">
        <v>0</v>
      </c>
      <c r="L975" t="s">
        <v>159</v>
      </c>
      <c r="N975" t="s">
        <v>248</v>
      </c>
      <c r="O975" t="s">
        <v>292</v>
      </c>
      <c r="P975">
        <v>1.8577722310937381E-2</v>
      </c>
      <c r="Q975" t="s">
        <v>159</v>
      </c>
    </row>
    <row r="976" spans="9:17" x14ac:dyDescent="0.45">
      <c r="I976" t="s">
        <v>205</v>
      </c>
      <c r="J976" t="s">
        <v>293</v>
      </c>
      <c r="K976">
        <v>0</v>
      </c>
      <c r="L976" t="s">
        <v>159</v>
      </c>
      <c r="N976" t="s">
        <v>248</v>
      </c>
      <c r="O976" t="s">
        <v>293</v>
      </c>
      <c r="P976">
        <v>4.3823020551392328E-3</v>
      </c>
      <c r="Q976" t="s">
        <v>159</v>
      </c>
    </row>
    <row r="977" spans="9:17" x14ac:dyDescent="0.45">
      <c r="I977" t="s">
        <v>205</v>
      </c>
      <c r="J977" t="s">
        <v>294</v>
      </c>
      <c r="K977">
        <v>4.2348754721427428E-4</v>
      </c>
      <c r="L977" t="s">
        <v>159</v>
      </c>
      <c r="N977" t="s">
        <v>248</v>
      </c>
      <c r="O977" t="s">
        <v>294</v>
      </c>
      <c r="P977">
        <v>7.5643787381197937E-4</v>
      </c>
      <c r="Q977" t="s">
        <v>159</v>
      </c>
    </row>
    <row r="978" spans="9:17" x14ac:dyDescent="0.45">
      <c r="I978" t="s">
        <v>205</v>
      </c>
      <c r="J978" t="s">
        <v>295</v>
      </c>
      <c r="K978">
        <v>1.6851410557022276E-2</v>
      </c>
      <c r="L978" t="s">
        <v>159</v>
      </c>
      <c r="N978" t="s">
        <v>248</v>
      </c>
      <c r="O978" t="s">
        <v>295</v>
      </c>
      <c r="P978">
        <v>8.3072159038533842E-3</v>
      </c>
      <c r="Q978" t="s">
        <v>159</v>
      </c>
    </row>
    <row r="979" spans="9:17" x14ac:dyDescent="0.45">
      <c r="I979" t="s">
        <v>205</v>
      </c>
      <c r="J979" t="s">
        <v>296</v>
      </c>
      <c r="K979">
        <v>9.1548934298922222E-4</v>
      </c>
      <c r="L979" t="s">
        <v>159</v>
      </c>
      <c r="N979" t="s">
        <v>248</v>
      </c>
      <c r="O979" t="s">
        <v>296</v>
      </c>
      <c r="P979">
        <v>6.9375045832191051E-4</v>
      </c>
      <c r="Q979" t="s">
        <v>159</v>
      </c>
    </row>
    <row r="980" spans="9:17" x14ac:dyDescent="0.45">
      <c r="I980" t="s">
        <v>205</v>
      </c>
      <c r="J980" t="s">
        <v>297</v>
      </c>
      <c r="K980">
        <v>0</v>
      </c>
      <c r="L980" t="s">
        <v>159</v>
      </c>
      <c r="N980" t="s">
        <v>248</v>
      </c>
      <c r="O980" t="s">
        <v>297</v>
      </c>
      <c r="P980">
        <v>3.3532262186014455E-3</v>
      </c>
      <c r="Q980" t="s">
        <v>159</v>
      </c>
    </row>
    <row r="981" spans="9:17" x14ac:dyDescent="0.45">
      <c r="I981" t="s">
        <v>205</v>
      </c>
      <c r="J981" t="s">
        <v>298</v>
      </c>
      <c r="K981">
        <v>5.8128116220055584E-3</v>
      </c>
      <c r="L981" t="s">
        <v>159</v>
      </c>
      <c r="N981" t="s">
        <v>248</v>
      </c>
      <c r="O981" t="s">
        <v>298</v>
      </c>
      <c r="P981">
        <v>0.10271826676584213</v>
      </c>
      <c r="Q981" t="s">
        <v>159</v>
      </c>
    </row>
    <row r="982" spans="9:17" x14ac:dyDescent="0.45">
      <c r="I982" t="s">
        <v>205</v>
      </c>
      <c r="J982" t="s">
        <v>299</v>
      </c>
      <c r="K982">
        <v>1.9549058452976577E-2</v>
      </c>
      <c r="L982" t="s">
        <v>159</v>
      </c>
      <c r="N982" t="s">
        <v>248</v>
      </c>
      <c r="O982" t="s">
        <v>299</v>
      </c>
      <c r="P982">
        <v>1.124180515719019E-2</v>
      </c>
      <c r="Q982" t="s">
        <v>159</v>
      </c>
    </row>
    <row r="983" spans="9:17" x14ac:dyDescent="0.45">
      <c r="I983" t="s">
        <v>205</v>
      </c>
      <c r="J983" t="s">
        <v>300</v>
      </c>
      <c r="K983">
        <v>0.33894900738771022</v>
      </c>
      <c r="L983" t="s">
        <v>159</v>
      </c>
      <c r="N983" t="s">
        <v>248</v>
      </c>
      <c r="O983" t="s">
        <v>300</v>
      </c>
      <c r="P983">
        <v>0.12362435100437748</v>
      </c>
      <c r="Q983" t="s">
        <v>159</v>
      </c>
    </row>
    <row r="984" spans="9:17" x14ac:dyDescent="0.45">
      <c r="I984" t="s">
        <v>205</v>
      </c>
      <c r="J984" t="s">
        <v>301</v>
      </c>
      <c r="K984">
        <v>1.7129728319709839E-2</v>
      </c>
      <c r="L984" t="s">
        <v>159</v>
      </c>
      <c r="N984" t="s">
        <v>248</v>
      </c>
      <c r="O984" t="s">
        <v>301</v>
      </c>
      <c r="P984">
        <v>1.5877271495314774E-2</v>
      </c>
      <c r="Q984" t="s">
        <v>159</v>
      </c>
    </row>
    <row r="985" spans="9:17" x14ac:dyDescent="0.45">
      <c r="I985" t="s">
        <v>205</v>
      </c>
      <c r="J985" t="s">
        <v>302</v>
      </c>
      <c r="K985">
        <v>2.6399828636904151E-3</v>
      </c>
      <c r="L985" t="s">
        <v>159</v>
      </c>
      <c r="N985" t="s">
        <v>248</v>
      </c>
      <c r="O985" t="s">
        <v>302</v>
      </c>
      <c r="P985">
        <v>9.3415378924855907E-2</v>
      </c>
      <c r="Q985" t="s">
        <v>159</v>
      </c>
    </row>
    <row r="986" spans="9:17" x14ac:dyDescent="0.45">
      <c r="I986" t="s">
        <v>206</v>
      </c>
      <c r="J986" t="s">
        <v>158</v>
      </c>
      <c r="K986">
        <v>8.3985325403761451E-4</v>
      </c>
      <c r="L986" t="s">
        <v>159</v>
      </c>
      <c r="N986" t="s">
        <v>249</v>
      </c>
      <c r="O986" t="s">
        <v>158</v>
      </c>
      <c r="P986">
        <v>0.13950628934517048</v>
      </c>
      <c r="Q986" t="s">
        <v>159</v>
      </c>
    </row>
    <row r="987" spans="9:17" x14ac:dyDescent="0.45">
      <c r="I987" t="s">
        <v>206</v>
      </c>
      <c r="J987" t="s">
        <v>160</v>
      </c>
      <c r="K987">
        <v>1.722294595528891E-2</v>
      </c>
      <c r="L987" t="s">
        <v>159</v>
      </c>
      <c r="N987" t="s">
        <v>249</v>
      </c>
      <c r="O987" t="s">
        <v>160</v>
      </c>
      <c r="P987">
        <v>1.5256670870797446E-2</v>
      </c>
      <c r="Q987" t="s">
        <v>159</v>
      </c>
    </row>
    <row r="988" spans="9:17" x14ac:dyDescent="0.45">
      <c r="I988" t="s">
        <v>206</v>
      </c>
      <c r="J988" t="s">
        <v>161</v>
      </c>
      <c r="K988">
        <v>0.42529393965946399</v>
      </c>
      <c r="L988" t="s">
        <v>159</v>
      </c>
      <c r="N988" t="s">
        <v>249</v>
      </c>
      <c r="O988" t="s">
        <v>161</v>
      </c>
      <c r="P988">
        <v>0.16115207897461586</v>
      </c>
      <c r="Q988" t="s">
        <v>159</v>
      </c>
    </row>
    <row r="989" spans="9:17" x14ac:dyDescent="0.45">
      <c r="I989" t="s">
        <v>206</v>
      </c>
      <c r="J989" t="s">
        <v>287</v>
      </c>
      <c r="K989">
        <v>1.8449712114689345E-2</v>
      </c>
      <c r="L989" t="s">
        <v>159</v>
      </c>
      <c r="N989" t="s">
        <v>249</v>
      </c>
      <c r="O989" t="s">
        <v>287</v>
      </c>
      <c r="P989">
        <v>1.8183903921583651E-2</v>
      </c>
      <c r="Q989" t="s">
        <v>159</v>
      </c>
    </row>
    <row r="990" spans="9:17" x14ac:dyDescent="0.45">
      <c r="I990" t="s">
        <v>206</v>
      </c>
      <c r="J990" t="s">
        <v>288</v>
      </c>
      <c r="K990">
        <v>5.8074244942595129E-3</v>
      </c>
      <c r="L990" t="s">
        <v>159</v>
      </c>
      <c r="N990" t="s">
        <v>249</v>
      </c>
      <c r="O990" t="s">
        <v>288</v>
      </c>
      <c r="P990">
        <v>0.11991488299415583</v>
      </c>
      <c r="Q990" t="s">
        <v>159</v>
      </c>
    </row>
    <row r="991" spans="9:17" x14ac:dyDescent="0.45">
      <c r="I991" t="s">
        <v>206</v>
      </c>
      <c r="J991" t="s">
        <v>162</v>
      </c>
      <c r="K991">
        <v>0</v>
      </c>
      <c r="L991" t="s">
        <v>159</v>
      </c>
      <c r="N991" t="s">
        <v>249</v>
      </c>
      <c r="O991" t="s">
        <v>162</v>
      </c>
      <c r="P991">
        <v>2.1494878427174988E-2</v>
      </c>
      <c r="Q991" t="s">
        <v>159</v>
      </c>
    </row>
    <row r="992" spans="9:17" x14ac:dyDescent="0.45">
      <c r="I992" t="s">
        <v>206</v>
      </c>
      <c r="J992" t="s">
        <v>163</v>
      </c>
      <c r="K992">
        <v>0</v>
      </c>
      <c r="L992" t="s">
        <v>159</v>
      </c>
      <c r="N992" t="s">
        <v>249</v>
      </c>
      <c r="O992" t="s">
        <v>163</v>
      </c>
      <c r="P992">
        <v>2.9837401602875908E-3</v>
      </c>
      <c r="Q992" t="s">
        <v>159</v>
      </c>
    </row>
    <row r="993" spans="9:17" x14ac:dyDescent="0.45">
      <c r="I993" t="s">
        <v>206</v>
      </c>
      <c r="J993" t="s">
        <v>164</v>
      </c>
      <c r="K993">
        <v>5.6328730780635453E-2</v>
      </c>
      <c r="L993" t="s">
        <v>159</v>
      </c>
      <c r="N993" t="s">
        <v>249</v>
      </c>
      <c r="O993" t="s">
        <v>164</v>
      </c>
      <c r="P993">
        <v>2.8533039830139401E-2</v>
      </c>
      <c r="Q993" t="s">
        <v>159</v>
      </c>
    </row>
    <row r="994" spans="9:17" x14ac:dyDescent="0.45">
      <c r="I994" t="s">
        <v>206</v>
      </c>
      <c r="J994" t="s">
        <v>289</v>
      </c>
      <c r="K994">
        <v>1.8918761797084221E-6</v>
      </c>
      <c r="L994" t="s">
        <v>159</v>
      </c>
      <c r="N994" t="s">
        <v>249</v>
      </c>
      <c r="O994" t="s">
        <v>289</v>
      </c>
      <c r="P994">
        <v>2.8913160093721425E-3</v>
      </c>
      <c r="Q994" t="s">
        <v>159</v>
      </c>
    </row>
    <row r="995" spans="9:17" x14ac:dyDescent="0.45">
      <c r="I995" t="s">
        <v>206</v>
      </c>
      <c r="J995" t="s">
        <v>290</v>
      </c>
      <c r="K995">
        <v>0</v>
      </c>
      <c r="L995" t="s">
        <v>159</v>
      </c>
      <c r="N995" t="s">
        <v>249</v>
      </c>
      <c r="O995" t="s">
        <v>290</v>
      </c>
      <c r="P995">
        <v>1.6078706021970118E-2</v>
      </c>
      <c r="Q995" t="s">
        <v>159</v>
      </c>
    </row>
    <row r="996" spans="9:17" x14ac:dyDescent="0.45">
      <c r="I996" t="s">
        <v>206</v>
      </c>
      <c r="J996" t="s">
        <v>165</v>
      </c>
      <c r="K996">
        <v>0</v>
      </c>
      <c r="L996" t="s">
        <v>159</v>
      </c>
      <c r="N996" t="s">
        <v>249</v>
      </c>
      <c r="O996" t="s">
        <v>165</v>
      </c>
      <c r="P996">
        <v>2.3451190968031131E-2</v>
      </c>
      <c r="Q996" t="s">
        <v>159</v>
      </c>
    </row>
    <row r="997" spans="9:17" x14ac:dyDescent="0.45">
      <c r="I997" t="s">
        <v>206</v>
      </c>
      <c r="J997" t="s">
        <v>166</v>
      </c>
      <c r="K997">
        <v>3.5441307422666725E-5</v>
      </c>
      <c r="L997" t="s">
        <v>159</v>
      </c>
      <c r="N997" t="s">
        <v>249</v>
      </c>
      <c r="O997" t="s">
        <v>166</v>
      </c>
      <c r="P997">
        <v>2.7340279029704592E-3</v>
      </c>
      <c r="Q997" t="s">
        <v>159</v>
      </c>
    </row>
    <row r="998" spans="9:17" x14ac:dyDescent="0.45">
      <c r="I998" t="s">
        <v>206</v>
      </c>
      <c r="J998" t="s">
        <v>167</v>
      </c>
      <c r="K998">
        <v>6.9530090877853737E-2</v>
      </c>
      <c r="L998" t="s">
        <v>159</v>
      </c>
      <c r="N998" t="s">
        <v>249</v>
      </c>
      <c r="O998" t="s">
        <v>167</v>
      </c>
      <c r="P998">
        <v>3.6662469356840047E-2</v>
      </c>
      <c r="Q998" t="s">
        <v>159</v>
      </c>
    </row>
    <row r="999" spans="9:17" x14ac:dyDescent="0.45">
      <c r="I999" t="s">
        <v>206</v>
      </c>
      <c r="J999" t="s">
        <v>291</v>
      </c>
      <c r="K999">
        <v>2.9682230827329701E-3</v>
      </c>
      <c r="L999" t="s">
        <v>159</v>
      </c>
      <c r="N999" t="s">
        <v>249</v>
      </c>
      <c r="O999" t="s">
        <v>291</v>
      </c>
      <c r="P999">
        <v>3.8952888056482068E-3</v>
      </c>
      <c r="Q999" t="s">
        <v>159</v>
      </c>
    </row>
    <row r="1000" spans="9:17" x14ac:dyDescent="0.45">
      <c r="I1000" t="s">
        <v>206</v>
      </c>
      <c r="J1000" t="s">
        <v>292</v>
      </c>
      <c r="K1000">
        <v>0</v>
      </c>
      <c r="L1000" t="s">
        <v>159</v>
      </c>
      <c r="N1000" t="s">
        <v>249</v>
      </c>
      <c r="O1000" t="s">
        <v>292</v>
      </c>
      <c r="P1000">
        <v>2.134166439451694E-2</v>
      </c>
      <c r="Q1000" t="s">
        <v>159</v>
      </c>
    </row>
    <row r="1001" spans="9:17" x14ac:dyDescent="0.45">
      <c r="I1001" t="s">
        <v>206</v>
      </c>
      <c r="J1001" t="s">
        <v>293</v>
      </c>
      <c r="K1001">
        <v>0</v>
      </c>
      <c r="L1001" t="s">
        <v>159</v>
      </c>
      <c r="N1001" t="s">
        <v>249</v>
      </c>
      <c r="O1001" t="s">
        <v>293</v>
      </c>
      <c r="P1001">
        <v>7.3314738814494627E-3</v>
      </c>
      <c r="Q1001" t="s">
        <v>159</v>
      </c>
    </row>
    <row r="1002" spans="9:17" x14ac:dyDescent="0.45">
      <c r="I1002" t="s">
        <v>206</v>
      </c>
      <c r="J1002" t="s">
        <v>294</v>
      </c>
      <c r="K1002">
        <v>6.7718184456776556E-4</v>
      </c>
      <c r="L1002" t="s">
        <v>159</v>
      </c>
      <c r="N1002" t="s">
        <v>249</v>
      </c>
      <c r="O1002" t="s">
        <v>294</v>
      </c>
      <c r="P1002">
        <v>1.0269484034943234E-3</v>
      </c>
      <c r="Q1002" t="s">
        <v>159</v>
      </c>
    </row>
    <row r="1003" spans="9:17" x14ac:dyDescent="0.45">
      <c r="I1003" t="s">
        <v>206</v>
      </c>
      <c r="J1003" t="s">
        <v>295</v>
      </c>
      <c r="K1003">
        <v>1.7147831284017846E-2</v>
      </c>
      <c r="L1003" t="s">
        <v>159</v>
      </c>
      <c r="N1003" t="s">
        <v>249</v>
      </c>
      <c r="O1003" t="s">
        <v>295</v>
      </c>
      <c r="P1003">
        <v>1.0741186978455691E-2</v>
      </c>
      <c r="Q1003" t="s">
        <v>159</v>
      </c>
    </row>
    <row r="1004" spans="9:17" x14ac:dyDescent="0.45">
      <c r="I1004" t="s">
        <v>206</v>
      </c>
      <c r="J1004" t="s">
        <v>296</v>
      </c>
      <c r="K1004">
        <v>8.9792010624945386E-4</v>
      </c>
      <c r="L1004" t="s">
        <v>159</v>
      </c>
      <c r="N1004" t="s">
        <v>249</v>
      </c>
      <c r="O1004" t="s">
        <v>296</v>
      </c>
      <c r="P1004">
        <v>8.4925596916488044E-4</v>
      </c>
      <c r="Q1004" t="s">
        <v>159</v>
      </c>
    </row>
    <row r="1005" spans="9:17" x14ac:dyDescent="0.45">
      <c r="I1005" t="s">
        <v>206</v>
      </c>
      <c r="J1005" t="s">
        <v>297</v>
      </c>
      <c r="K1005">
        <v>0</v>
      </c>
      <c r="L1005" t="s">
        <v>159</v>
      </c>
      <c r="N1005" t="s">
        <v>249</v>
      </c>
      <c r="O1005" t="s">
        <v>297</v>
      </c>
      <c r="P1005">
        <v>4.691682898879156E-3</v>
      </c>
      <c r="Q1005" t="s">
        <v>159</v>
      </c>
    </row>
    <row r="1006" spans="9:17" x14ac:dyDescent="0.45">
      <c r="I1006" t="s">
        <v>206</v>
      </c>
      <c r="J1006" t="s">
        <v>298</v>
      </c>
      <c r="K1006">
        <v>6.2049451047558801E-3</v>
      </c>
      <c r="L1006" t="s">
        <v>159</v>
      </c>
      <c r="N1006" t="s">
        <v>249</v>
      </c>
      <c r="O1006" t="s">
        <v>298</v>
      </c>
      <c r="P1006">
        <v>9.6263679930668061E-2</v>
      </c>
      <c r="Q1006" t="s">
        <v>159</v>
      </c>
    </row>
    <row r="1007" spans="9:17" x14ac:dyDescent="0.45">
      <c r="I1007" t="s">
        <v>206</v>
      </c>
      <c r="J1007" t="s">
        <v>299</v>
      </c>
      <c r="K1007">
        <v>2.0744365727327581E-2</v>
      </c>
      <c r="L1007" t="s">
        <v>159</v>
      </c>
      <c r="N1007" t="s">
        <v>249</v>
      </c>
      <c r="O1007" t="s">
        <v>299</v>
      </c>
      <c r="P1007">
        <v>9.6782901374669137E-3</v>
      </c>
      <c r="Q1007" t="s">
        <v>159</v>
      </c>
    </row>
    <row r="1008" spans="9:17" x14ac:dyDescent="0.45">
      <c r="I1008" t="s">
        <v>206</v>
      </c>
      <c r="J1008" t="s">
        <v>300</v>
      </c>
      <c r="K1008">
        <v>0.33889372431933135</v>
      </c>
      <c r="L1008" t="s">
        <v>159</v>
      </c>
      <c r="N1008" t="s">
        <v>249</v>
      </c>
      <c r="O1008" t="s">
        <v>300</v>
      </c>
      <c r="P1008">
        <v>0.13687693397520515</v>
      </c>
      <c r="Q1008" t="s">
        <v>159</v>
      </c>
    </row>
    <row r="1009" spans="9:17" x14ac:dyDescent="0.45">
      <c r="I1009" t="s">
        <v>206</v>
      </c>
      <c r="J1009" t="s">
        <v>301</v>
      </c>
      <c r="K1009">
        <v>1.657596942617922E-2</v>
      </c>
      <c r="L1009" t="s">
        <v>159</v>
      </c>
      <c r="N1009" t="s">
        <v>249</v>
      </c>
      <c r="O1009" t="s">
        <v>301</v>
      </c>
      <c r="P1009">
        <v>1.7046766405250088E-2</v>
      </c>
      <c r="Q1009" t="s">
        <v>159</v>
      </c>
    </row>
    <row r="1010" spans="9:17" x14ac:dyDescent="0.45">
      <c r="I1010" t="s">
        <v>206</v>
      </c>
      <c r="J1010" t="s">
        <v>302</v>
      </c>
      <c r="K1010">
        <v>2.3798087850064229E-3</v>
      </c>
      <c r="L1010" t="s">
        <v>159</v>
      </c>
      <c r="N1010" t="s">
        <v>249</v>
      </c>
      <c r="O1010" t="s">
        <v>302</v>
      </c>
      <c r="P1010">
        <v>0.10141363343669244</v>
      </c>
      <c r="Q1010" t="s">
        <v>159</v>
      </c>
    </row>
    <row r="1011" spans="9:17" x14ac:dyDescent="0.45">
      <c r="I1011" t="s">
        <v>207</v>
      </c>
      <c r="J1011" t="s">
        <v>158</v>
      </c>
      <c r="K1011">
        <v>1.0022052096170327E-3</v>
      </c>
      <c r="L1011" t="s">
        <v>159</v>
      </c>
      <c r="N1011" t="s">
        <v>250</v>
      </c>
      <c r="O1011" t="s">
        <v>158</v>
      </c>
      <c r="P1011">
        <v>0.17121089024118102</v>
      </c>
      <c r="Q1011" t="s">
        <v>159</v>
      </c>
    </row>
    <row r="1012" spans="9:17" x14ac:dyDescent="0.45">
      <c r="I1012" t="s">
        <v>207</v>
      </c>
      <c r="J1012" t="s">
        <v>160</v>
      </c>
      <c r="K1012">
        <v>1.5142999062213208E-2</v>
      </c>
      <c r="L1012" t="s">
        <v>159</v>
      </c>
      <c r="N1012" t="s">
        <v>250</v>
      </c>
      <c r="O1012" t="s">
        <v>160</v>
      </c>
      <c r="P1012">
        <v>1.9325750039226292E-2</v>
      </c>
      <c r="Q1012" t="s">
        <v>159</v>
      </c>
    </row>
    <row r="1013" spans="9:17" x14ac:dyDescent="0.45">
      <c r="I1013" t="s">
        <v>207</v>
      </c>
      <c r="J1013" t="s">
        <v>161</v>
      </c>
      <c r="K1013">
        <v>0.40777340463117706</v>
      </c>
      <c r="L1013" t="s">
        <v>159</v>
      </c>
      <c r="N1013" t="s">
        <v>250</v>
      </c>
      <c r="O1013" t="s">
        <v>161</v>
      </c>
      <c r="P1013">
        <v>0.1479088246012577</v>
      </c>
      <c r="Q1013" t="s">
        <v>159</v>
      </c>
    </row>
    <row r="1014" spans="9:17" x14ac:dyDescent="0.45">
      <c r="I1014" t="s">
        <v>207</v>
      </c>
      <c r="J1014" t="s">
        <v>287</v>
      </c>
      <c r="K1014">
        <v>2.0742480089319098E-2</v>
      </c>
      <c r="L1014" t="s">
        <v>159</v>
      </c>
      <c r="N1014" t="s">
        <v>250</v>
      </c>
      <c r="O1014" t="s">
        <v>287</v>
      </c>
      <c r="P1014">
        <v>1.7090478777200536E-2</v>
      </c>
      <c r="Q1014" t="s">
        <v>159</v>
      </c>
    </row>
    <row r="1015" spans="9:17" x14ac:dyDescent="0.45">
      <c r="I1015" t="s">
        <v>207</v>
      </c>
      <c r="J1015" t="s">
        <v>288</v>
      </c>
      <c r="K1015">
        <v>8.7953484993314839E-3</v>
      </c>
      <c r="L1015" t="s">
        <v>159</v>
      </c>
      <c r="N1015" t="s">
        <v>250</v>
      </c>
      <c r="O1015" t="s">
        <v>288</v>
      </c>
      <c r="P1015">
        <v>0.12450544190315291</v>
      </c>
      <c r="Q1015" t="s">
        <v>159</v>
      </c>
    </row>
    <row r="1016" spans="9:17" x14ac:dyDescent="0.45">
      <c r="I1016" t="s">
        <v>207</v>
      </c>
      <c r="J1016" t="s">
        <v>162</v>
      </c>
      <c r="K1016">
        <v>0</v>
      </c>
      <c r="L1016" t="s">
        <v>159</v>
      </c>
      <c r="N1016" t="s">
        <v>250</v>
      </c>
      <c r="O1016" t="s">
        <v>162</v>
      </c>
      <c r="P1016">
        <v>2.4424419871056747E-2</v>
      </c>
      <c r="Q1016" t="s">
        <v>159</v>
      </c>
    </row>
    <row r="1017" spans="9:17" x14ac:dyDescent="0.45">
      <c r="I1017" t="s">
        <v>207</v>
      </c>
      <c r="J1017" t="s">
        <v>163</v>
      </c>
      <c r="K1017">
        <v>0</v>
      </c>
      <c r="L1017" t="s">
        <v>159</v>
      </c>
      <c r="N1017" t="s">
        <v>250</v>
      </c>
      <c r="O1017" t="s">
        <v>163</v>
      </c>
      <c r="P1017">
        <v>3.568966693329686E-3</v>
      </c>
      <c r="Q1017" t="s">
        <v>159</v>
      </c>
    </row>
    <row r="1018" spans="9:17" x14ac:dyDescent="0.45">
      <c r="I1018" t="s">
        <v>207</v>
      </c>
      <c r="J1018" t="s">
        <v>164</v>
      </c>
      <c r="K1018">
        <v>4.9967520536060288E-2</v>
      </c>
      <c r="L1018" t="s">
        <v>159</v>
      </c>
      <c r="N1018" t="s">
        <v>250</v>
      </c>
      <c r="O1018" t="s">
        <v>164</v>
      </c>
      <c r="P1018">
        <v>2.6813111351126673E-2</v>
      </c>
      <c r="Q1018" t="s">
        <v>159</v>
      </c>
    </row>
    <row r="1019" spans="9:17" x14ac:dyDescent="0.45">
      <c r="I1019" t="s">
        <v>207</v>
      </c>
      <c r="J1019" t="s">
        <v>289</v>
      </c>
      <c r="K1019">
        <v>3.1513439372254855E-5</v>
      </c>
      <c r="L1019" t="s">
        <v>159</v>
      </c>
      <c r="N1019" t="s">
        <v>250</v>
      </c>
      <c r="O1019" t="s">
        <v>289</v>
      </c>
      <c r="P1019">
        <v>2.7277481732552486E-3</v>
      </c>
      <c r="Q1019" t="s">
        <v>159</v>
      </c>
    </row>
    <row r="1020" spans="9:17" x14ac:dyDescent="0.45">
      <c r="I1020" t="s">
        <v>207</v>
      </c>
      <c r="J1020" t="s">
        <v>290</v>
      </c>
      <c r="K1020">
        <v>0</v>
      </c>
      <c r="L1020" t="s">
        <v>159</v>
      </c>
      <c r="N1020" t="s">
        <v>250</v>
      </c>
      <c r="O1020" t="s">
        <v>290</v>
      </c>
      <c r="P1020">
        <v>1.6866099400153399E-2</v>
      </c>
      <c r="Q1020" t="s">
        <v>159</v>
      </c>
    </row>
    <row r="1021" spans="9:17" x14ac:dyDescent="0.45">
      <c r="I1021" t="s">
        <v>207</v>
      </c>
      <c r="J1021" t="s">
        <v>165</v>
      </c>
      <c r="K1021">
        <v>0</v>
      </c>
      <c r="L1021" t="s">
        <v>159</v>
      </c>
      <c r="N1021" t="s">
        <v>250</v>
      </c>
      <c r="O1021" t="s">
        <v>165</v>
      </c>
      <c r="P1021">
        <v>2.4728271911021386E-2</v>
      </c>
      <c r="Q1021" t="s">
        <v>159</v>
      </c>
    </row>
    <row r="1022" spans="9:17" x14ac:dyDescent="0.45">
      <c r="I1022" t="s">
        <v>207</v>
      </c>
      <c r="J1022" t="s">
        <v>166</v>
      </c>
      <c r="K1022">
        <v>0</v>
      </c>
      <c r="L1022" t="s">
        <v>159</v>
      </c>
      <c r="N1022" t="s">
        <v>250</v>
      </c>
      <c r="O1022" t="s">
        <v>166</v>
      </c>
      <c r="P1022">
        <v>3.3551623086705111E-3</v>
      </c>
      <c r="Q1022" t="s">
        <v>159</v>
      </c>
    </row>
    <row r="1023" spans="9:17" x14ac:dyDescent="0.45">
      <c r="I1023" t="s">
        <v>207</v>
      </c>
      <c r="J1023" t="s">
        <v>167</v>
      </c>
      <c r="K1023">
        <v>6.5705378466864667E-2</v>
      </c>
      <c r="L1023" t="s">
        <v>159</v>
      </c>
      <c r="N1023" t="s">
        <v>250</v>
      </c>
      <c r="O1023" t="s">
        <v>167</v>
      </c>
      <c r="P1023">
        <v>3.3303302035878619E-2</v>
      </c>
      <c r="Q1023" t="s">
        <v>159</v>
      </c>
    </row>
    <row r="1024" spans="9:17" x14ac:dyDescent="0.45">
      <c r="I1024" t="s">
        <v>207</v>
      </c>
      <c r="J1024" t="s">
        <v>291</v>
      </c>
      <c r="K1024">
        <v>3.5822407339167455E-3</v>
      </c>
      <c r="L1024" t="s">
        <v>159</v>
      </c>
      <c r="N1024" t="s">
        <v>250</v>
      </c>
      <c r="O1024" t="s">
        <v>291</v>
      </c>
      <c r="P1024">
        <v>3.5774591583824524E-3</v>
      </c>
      <c r="Q1024" t="s">
        <v>159</v>
      </c>
    </row>
    <row r="1025" spans="9:17" x14ac:dyDescent="0.45">
      <c r="I1025" t="s">
        <v>207</v>
      </c>
      <c r="J1025" t="s">
        <v>292</v>
      </c>
      <c r="K1025">
        <v>0</v>
      </c>
      <c r="L1025" t="s">
        <v>159</v>
      </c>
      <c r="N1025" t="s">
        <v>250</v>
      </c>
      <c r="O1025" t="s">
        <v>292</v>
      </c>
      <c r="P1025">
        <v>2.0346604195022919E-2</v>
      </c>
      <c r="Q1025" t="s">
        <v>159</v>
      </c>
    </row>
    <row r="1026" spans="9:17" x14ac:dyDescent="0.45">
      <c r="I1026" t="s">
        <v>207</v>
      </c>
      <c r="J1026" t="s">
        <v>293</v>
      </c>
      <c r="K1026">
        <v>0</v>
      </c>
      <c r="L1026" t="s">
        <v>159</v>
      </c>
      <c r="N1026" t="s">
        <v>250</v>
      </c>
      <c r="O1026" t="s">
        <v>293</v>
      </c>
      <c r="P1026">
        <v>6.2738576574089579E-3</v>
      </c>
      <c r="Q1026" t="s">
        <v>159</v>
      </c>
    </row>
    <row r="1027" spans="9:17" x14ac:dyDescent="0.45">
      <c r="I1027" t="s">
        <v>207</v>
      </c>
      <c r="J1027" t="s">
        <v>294</v>
      </c>
      <c r="K1027">
        <v>0</v>
      </c>
      <c r="L1027" t="s">
        <v>159</v>
      </c>
      <c r="N1027" t="s">
        <v>250</v>
      </c>
      <c r="O1027" t="s">
        <v>294</v>
      </c>
      <c r="P1027">
        <v>8.5802995144900721E-4</v>
      </c>
      <c r="Q1027" t="s">
        <v>159</v>
      </c>
    </row>
    <row r="1028" spans="9:17" x14ac:dyDescent="0.45">
      <c r="I1028" t="s">
        <v>207</v>
      </c>
      <c r="J1028" t="s">
        <v>295</v>
      </c>
      <c r="K1028">
        <v>1.6439221035830072E-2</v>
      </c>
      <c r="L1028" t="s">
        <v>159</v>
      </c>
      <c r="N1028" t="s">
        <v>250</v>
      </c>
      <c r="O1028" t="s">
        <v>295</v>
      </c>
      <c r="P1028">
        <v>7.3045997425942354E-3</v>
      </c>
      <c r="Q1028" t="s">
        <v>159</v>
      </c>
    </row>
    <row r="1029" spans="9:17" x14ac:dyDescent="0.45">
      <c r="I1029" t="s">
        <v>207</v>
      </c>
      <c r="J1029" t="s">
        <v>296</v>
      </c>
      <c r="K1029">
        <v>1.0216610501830926E-3</v>
      </c>
      <c r="L1029" t="s">
        <v>159</v>
      </c>
      <c r="N1029" t="s">
        <v>250</v>
      </c>
      <c r="O1029" t="s">
        <v>296</v>
      </c>
      <c r="P1029">
        <v>7.1708903967941347E-4</v>
      </c>
      <c r="Q1029" t="s">
        <v>159</v>
      </c>
    </row>
    <row r="1030" spans="9:17" x14ac:dyDescent="0.45">
      <c r="I1030" t="s">
        <v>207</v>
      </c>
      <c r="J1030" t="s">
        <v>297</v>
      </c>
      <c r="K1030">
        <v>0</v>
      </c>
      <c r="L1030" t="s">
        <v>159</v>
      </c>
      <c r="N1030" t="s">
        <v>250</v>
      </c>
      <c r="O1030" t="s">
        <v>297</v>
      </c>
      <c r="P1030">
        <v>3.6502736385391117E-3</v>
      </c>
      <c r="Q1030" t="s">
        <v>159</v>
      </c>
    </row>
    <row r="1031" spans="9:17" x14ac:dyDescent="0.45">
      <c r="I1031" t="s">
        <v>207</v>
      </c>
      <c r="J1031" t="s">
        <v>298</v>
      </c>
      <c r="K1031">
        <v>7.327471256740924E-3</v>
      </c>
      <c r="L1031" t="s">
        <v>159</v>
      </c>
      <c r="N1031" t="s">
        <v>250</v>
      </c>
      <c r="O1031" t="s">
        <v>298</v>
      </c>
      <c r="P1031">
        <v>0.11817081913632516</v>
      </c>
      <c r="Q1031" t="s">
        <v>159</v>
      </c>
    </row>
    <row r="1032" spans="9:17" x14ac:dyDescent="0.45">
      <c r="I1032" t="s">
        <v>207</v>
      </c>
      <c r="J1032" t="s">
        <v>299</v>
      </c>
      <c r="K1032">
        <v>2.1632617983283784E-2</v>
      </c>
      <c r="L1032" t="s">
        <v>159</v>
      </c>
      <c r="N1032" t="s">
        <v>250</v>
      </c>
      <c r="O1032" t="s">
        <v>299</v>
      </c>
      <c r="P1032">
        <v>1.1000090561996577E-2</v>
      </c>
      <c r="Q1032" t="s">
        <v>159</v>
      </c>
    </row>
    <row r="1033" spans="9:17" x14ac:dyDescent="0.45">
      <c r="I1033" t="s">
        <v>207</v>
      </c>
      <c r="J1033" t="s">
        <v>300</v>
      </c>
      <c r="K1033">
        <v>0.3540365967713297</v>
      </c>
      <c r="L1033" t="s">
        <v>159</v>
      </c>
      <c r="N1033" t="s">
        <v>250</v>
      </c>
      <c r="O1033" t="s">
        <v>300</v>
      </c>
      <c r="P1033">
        <v>0.10093007799239595</v>
      </c>
      <c r="Q1033" t="s">
        <v>159</v>
      </c>
    </row>
    <row r="1034" spans="9:17" x14ac:dyDescent="0.45">
      <c r="I1034" t="s">
        <v>207</v>
      </c>
      <c r="J1034" t="s">
        <v>301</v>
      </c>
      <c r="K1034">
        <v>2.1198760013674472E-2</v>
      </c>
      <c r="L1034" t="s">
        <v>159</v>
      </c>
      <c r="N1034" t="s">
        <v>250</v>
      </c>
      <c r="O1034" t="s">
        <v>301</v>
      </c>
      <c r="P1034">
        <v>1.3873248657869337E-2</v>
      </c>
      <c r="Q1034" t="s">
        <v>159</v>
      </c>
    </row>
    <row r="1035" spans="9:17" x14ac:dyDescent="0.45">
      <c r="I1035" t="s">
        <v>207</v>
      </c>
      <c r="J1035" t="s">
        <v>302</v>
      </c>
      <c r="K1035">
        <v>5.6005812210844393E-3</v>
      </c>
      <c r="L1035" t="s">
        <v>159</v>
      </c>
      <c r="N1035" t="s">
        <v>250</v>
      </c>
      <c r="O1035" t="s">
        <v>302</v>
      </c>
      <c r="P1035">
        <v>9.7469382961826501E-2</v>
      </c>
      <c r="Q1035" t="s">
        <v>159</v>
      </c>
    </row>
    <row r="1036" spans="9:17" x14ac:dyDescent="0.45">
      <c r="I1036" t="s">
        <v>208</v>
      </c>
      <c r="J1036" t="s">
        <v>158</v>
      </c>
      <c r="K1036">
        <v>1.8531836683473584E-4</v>
      </c>
      <c r="L1036" t="s">
        <v>159</v>
      </c>
      <c r="N1036" t="s">
        <v>251</v>
      </c>
      <c r="O1036" t="s">
        <v>158</v>
      </c>
      <c r="P1036">
        <v>0.18845305372165341</v>
      </c>
      <c r="Q1036" t="s">
        <v>159</v>
      </c>
    </row>
    <row r="1037" spans="9:17" x14ac:dyDescent="0.45">
      <c r="I1037" t="s">
        <v>208</v>
      </c>
      <c r="J1037" t="s">
        <v>160</v>
      </c>
      <c r="K1037">
        <v>1.4558662350115232E-2</v>
      </c>
      <c r="L1037" t="s">
        <v>159</v>
      </c>
      <c r="N1037" t="s">
        <v>251</v>
      </c>
      <c r="O1037" t="s">
        <v>160</v>
      </c>
      <c r="P1037">
        <v>2.0864581638101169E-2</v>
      </c>
      <c r="Q1037" t="s">
        <v>159</v>
      </c>
    </row>
    <row r="1038" spans="9:17" x14ac:dyDescent="0.45">
      <c r="I1038" t="s">
        <v>208</v>
      </c>
      <c r="J1038" t="s">
        <v>161</v>
      </c>
      <c r="K1038">
        <v>0.41501833664965398</v>
      </c>
      <c r="L1038" t="s">
        <v>159</v>
      </c>
      <c r="N1038" t="s">
        <v>251</v>
      </c>
      <c r="O1038" t="s">
        <v>161</v>
      </c>
      <c r="P1038">
        <v>0.12127492252869469</v>
      </c>
      <c r="Q1038" t="s">
        <v>159</v>
      </c>
    </row>
    <row r="1039" spans="9:17" x14ac:dyDescent="0.45">
      <c r="I1039" t="s">
        <v>208</v>
      </c>
      <c r="J1039" t="s">
        <v>287</v>
      </c>
      <c r="K1039">
        <v>2.1253191625419054E-2</v>
      </c>
      <c r="L1039" t="s">
        <v>159</v>
      </c>
      <c r="N1039" t="s">
        <v>251</v>
      </c>
      <c r="O1039" t="s">
        <v>287</v>
      </c>
      <c r="P1039">
        <v>1.2282950357302884E-2</v>
      </c>
      <c r="Q1039" t="s">
        <v>159</v>
      </c>
    </row>
    <row r="1040" spans="9:17" x14ac:dyDescent="0.45">
      <c r="I1040" t="s">
        <v>208</v>
      </c>
      <c r="J1040" t="s">
        <v>288</v>
      </c>
      <c r="K1040">
        <v>7.8211732564363763E-3</v>
      </c>
      <c r="L1040" t="s">
        <v>159</v>
      </c>
      <c r="N1040" t="s">
        <v>251</v>
      </c>
      <c r="O1040" t="s">
        <v>288</v>
      </c>
      <c r="P1040">
        <v>0.12065131501002133</v>
      </c>
      <c r="Q1040" t="s">
        <v>159</v>
      </c>
    </row>
    <row r="1041" spans="9:17" x14ac:dyDescent="0.45">
      <c r="I1041" t="s">
        <v>208</v>
      </c>
      <c r="J1041" t="s">
        <v>162</v>
      </c>
      <c r="K1041">
        <v>0</v>
      </c>
      <c r="L1041" t="s">
        <v>159</v>
      </c>
      <c r="N1041" t="s">
        <v>251</v>
      </c>
      <c r="O1041" t="s">
        <v>162</v>
      </c>
      <c r="P1041">
        <v>2.8475244126676388E-2</v>
      </c>
      <c r="Q1041" t="s">
        <v>159</v>
      </c>
    </row>
    <row r="1042" spans="9:17" x14ac:dyDescent="0.45">
      <c r="I1042" t="s">
        <v>208</v>
      </c>
      <c r="J1042" t="s">
        <v>163</v>
      </c>
      <c r="K1042">
        <v>0</v>
      </c>
      <c r="L1042" t="s">
        <v>159</v>
      </c>
      <c r="N1042" t="s">
        <v>251</v>
      </c>
      <c r="O1042" t="s">
        <v>163</v>
      </c>
      <c r="P1042">
        <v>3.8936410172953663E-3</v>
      </c>
      <c r="Q1042" t="s">
        <v>159</v>
      </c>
    </row>
    <row r="1043" spans="9:17" x14ac:dyDescent="0.45">
      <c r="I1043" t="s">
        <v>208</v>
      </c>
      <c r="J1043" t="s">
        <v>164</v>
      </c>
      <c r="K1043">
        <v>5.3792644420884883E-2</v>
      </c>
      <c r="L1043" t="s">
        <v>159</v>
      </c>
      <c r="N1043" t="s">
        <v>251</v>
      </c>
      <c r="O1043" t="s">
        <v>164</v>
      </c>
      <c r="P1043">
        <v>2.3028870139729714E-2</v>
      </c>
      <c r="Q1043" t="s">
        <v>159</v>
      </c>
    </row>
    <row r="1044" spans="9:17" x14ac:dyDescent="0.45">
      <c r="I1044" t="s">
        <v>208</v>
      </c>
      <c r="J1044" t="s">
        <v>289</v>
      </c>
      <c r="K1044">
        <v>4.5045096642165795E-4</v>
      </c>
      <c r="L1044" t="s">
        <v>159</v>
      </c>
      <c r="N1044" t="s">
        <v>251</v>
      </c>
      <c r="O1044" t="s">
        <v>289</v>
      </c>
      <c r="P1044">
        <v>2.3471029794011199E-3</v>
      </c>
      <c r="Q1044" t="s">
        <v>159</v>
      </c>
    </row>
    <row r="1045" spans="9:17" x14ac:dyDescent="0.45">
      <c r="I1045" t="s">
        <v>208</v>
      </c>
      <c r="J1045" t="s">
        <v>290</v>
      </c>
      <c r="K1045">
        <v>0</v>
      </c>
      <c r="L1045" t="s">
        <v>159</v>
      </c>
      <c r="N1045" t="s">
        <v>251</v>
      </c>
      <c r="O1045" t="s">
        <v>290</v>
      </c>
      <c r="P1045">
        <v>1.9356339504723458E-2</v>
      </c>
      <c r="Q1045" t="s">
        <v>159</v>
      </c>
    </row>
    <row r="1046" spans="9:17" x14ac:dyDescent="0.45">
      <c r="I1046" t="s">
        <v>208</v>
      </c>
      <c r="J1046" t="s">
        <v>165</v>
      </c>
      <c r="K1046">
        <v>0</v>
      </c>
      <c r="L1046" t="s">
        <v>159</v>
      </c>
      <c r="N1046" t="s">
        <v>251</v>
      </c>
      <c r="O1046" t="s">
        <v>165</v>
      </c>
      <c r="P1046">
        <v>3.2557856776908797E-2</v>
      </c>
      <c r="Q1046" t="s">
        <v>159</v>
      </c>
    </row>
    <row r="1047" spans="9:17" x14ac:dyDescent="0.45">
      <c r="I1047" t="s">
        <v>208</v>
      </c>
      <c r="J1047" t="s">
        <v>166</v>
      </c>
      <c r="K1047">
        <v>0</v>
      </c>
      <c r="L1047" t="s">
        <v>159</v>
      </c>
      <c r="N1047" t="s">
        <v>251</v>
      </c>
      <c r="O1047" t="s">
        <v>166</v>
      </c>
      <c r="P1047">
        <v>4.1795296147187598E-3</v>
      </c>
      <c r="Q1047" t="s">
        <v>159</v>
      </c>
    </row>
    <row r="1048" spans="9:17" x14ac:dyDescent="0.45">
      <c r="I1048" t="s">
        <v>208</v>
      </c>
      <c r="J1048" t="s">
        <v>167</v>
      </c>
      <c r="K1048">
        <v>6.8800089464605252E-2</v>
      </c>
      <c r="L1048" t="s">
        <v>159</v>
      </c>
      <c r="N1048" t="s">
        <v>251</v>
      </c>
      <c r="O1048" t="s">
        <v>167</v>
      </c>
      <c r="P1048">
        <v>2.6738228388070929E-2</v>
      </c>
      <c r="Q1048" t="s">
        <v>159</v>
      </c>
    </row>
    <row r="1049" spans="9:17" x14ac:dyDescent="0.45">
      <c r="I1049" t="s">
        <v>208</v>
      </c>
      <c r="J1049" t="s">
        <v>291</v>
      </c>
      <c r="K1049">
        <v>4.0868235743722735E-3</v>
      </c>
      <c r="L1049" t="s">
        <v>159</v>
      </c>
      <c r="N1049" t="s">
        <v>251</v>
      </c>
      <c r="O1049" t="s">
        <v>291</v>
      </c>
      <c r="P1049">
        <v>3.026228998373418E-3</v>
      </c>
      <c r="Q1049" t="s">
        <v>159</v>
      </c>
    </row>
    <row r="1050" spans="9:17" x14ac:dyDescent="0.45">
      <c r="I1050" t="s">
        <v>208</v>
      </c>
      <c r="J1050" t="s">
        <v>292</v>
      </c>
      <c r="K1050">
        <v>0</v>
      </c>
      <c r="L1050" t="s">
        <v>159</v>
      </c>
      <c r="N1050" t="s">
        <v>251</v>
      </c>
      <c r="O1050" t="s">
        <v>292</v>
      </c>
      <c r="P1050">
        <v>2.3997810031763513E-2</v>
      </c>
      <c r="Q1050" t="s">
        <v>159</v>
      </c>
    </row>
    <row r="1051" spans="9:17" x14ac:dyDescent="0.45">
      <c r="I1051" t="s">
        <v>208</v>
      </c>
      <c r="J1051" t="s">
        <v>293</v>
      </c>
      <c r="K1051">
        <v>0</v>
      </c>
      <c r="L1051" t="s">
        <v>159</v>
      </c>
      <c r="N1051" t="s">
        <v>251</v>
      </c>
      <c r="O1051" t="s">
        <v>293</v>
      </c>
      <c r="P1051">
        <v>8.2236244912412271E-3</v>
      </c>
      <c r="Q1051" t="s">
        <v>159</v>
      </c>
    </row>
    <row r="1052" spans="9:17" x14ac:dyDescent="0.45">
      <c r="I1052" t="s">
        <v>208</v>
      </c>
      <c r="J1052" t="s">
        <v>294</v>
      </c>
      <c r="K1052">
        <v>0</v>
      </c>
      <c r="L1052" t="s">
        <v>159</v>
      </c>
      <c r="N1052" t="s">
        <v>251</v>
      </c>
      <c r="O1052" t="s">
        <v>294</v>
      </c>
      <c r="P1052">
        <v>9.7529978902229141E-4</v>
      </c>
      <c r="Q1052" t="s">
        <v>159</v>
      </c>
    </row>
    <row r="1053" spans="9:17" x14ac:dyDescent="0.45">
      <c r="I1053" t="s">
        <v>208</v>
      </c>
      <c r="J1053" t="s">
        <v>295</v>
      </c>
      <c r="K1053">
        <v>1.6812275766781407E-2</v>
      </c>
      <c r="L1053" t="s">
        <v>159</v>
      </c>
      <c r="N1053" t="s">
        <v>251</v>
      </c>
      <c r="O1053" t="s">
        <v>295</v>
      </c>
      <c r="P1053">
        <v>8.5834886616475634E-3</v>
      </c>
      <c r="Q1053" t="s">
        <v>159</v>
      </c>
    </row>
    <row r="1054" spans="9:17" x14ac:dyDescent="0.45">
      <c r="I1054" t="s">
        <v>208</v>
      </c>
      <c r="J1054" t="s">
        <v>296</v>
      </c>
      <c r="K1054">
        <v>9.4614243550728374E-4</v>
      </c>
      <c r="L1054" t="s">
        <v>159</v>
      </c>
      <c r="N1054" t="s">
        <v>251</v>
      </c>
      <c r="O1054" t="s">
        <v>296</v>
      </c>
      <c r="P1054">
        <v>7.2655313084473122E-4</v>
      </c>
      <c r="Q1054" t="s">
        <v>159</v>
      </c>
    </row>
    <row r="1055" spans="9:17" x14ac:dyDescent="0.45">
      <c r="I1055" t="s">
        <v>208</v>
      </c>
      <c r="J1055" t="s">
        <v>297</v>
      </c>
      <c r="K1055">
        <v>0</v>
      </c>
      <c r="L1055" t="s">
        <v>159</v>
      </c>
      <c r="N1055" t="s">
        <v>251</v>
      </c>
      <c r="O1055" t="s">
        <v>297</v>
      </c>
      <c r="P1055">
        <v>5.7707588424291707E-3</v>
      </c>
      <c r="Q1055" t="s">
        <v>159</v>
      </c>
    </row>
    <row r="1056" spans="9:17" x14ac:dyDescent="0.45">
      <c r="I1056" t="s">
        <v>208</v>
      </c>
      <c r="J1056" t="s">
        <v>298</v>
      </c>
      <c r="K1056">
        <v>5.4707823345070709E-3</v>
      </c>
      <c r="L1056" t="s">
        <v>159</v>
      </c>
      <c r="N1056" t="s">
        <v>251</v>
      </c>
      <c r="O1056" t="s">
        <v>298</v>
      </c>
      <c r="P1056">
        <v>0.13719800720626288</v>
      </c>
      <c r="Q1056" t="s">
        <v>159</v>
      </c>
    </row>
    <row r="1057" spans="9:17" x14ac:dyDescent="0.45">
      <c r="I1057" t="s">
        <v>208</v>
      </c>
      <c r="J1057" t="s">
        <v>299</v>
      </c>
      <c r="K1057">
        <v>1.9986226310201173E-2</v>
      </c>
      <c r="L1057" t="s">
        <v>159</v>
      </c>
      <c r="N1057" t="s">
        <v>251</v>
      </c>
      <c r="O1057" t="s">
        <v>299</v>
      </c>
      <c r="P1057">
        <v>1.1310505788442858E-2</v>
      </c>
      <c r="Q1057" t="s">
        <v>159</v>
      </c>
    </row>
    <row r="1058" spans="9:17" x14ac:dyDescent="0.45">
      <c r="I1058" t="s">
        <v>208</v>
      </c>
      <c r="J1058" t="s">
        <v>300</v>
      </c>
      <c r="K1058">
        <v>0.34747789116560945</v>
      </c>
      <c r="L1058" t="s">
        <v>159</v>
      </c>
      <c r="N1058" t="s">
        <v>251</v>
      </c>
      <c r="O1058" t="s">
        <v>300</v>
      </c>
      <c r="P1058">
        <v>8.4040102912826362E-2</v>
      </c>
      <c r="Q1058" t="s">
        <v>159</v>
      </c>
    </row>
    <row r="1059" spans="9:17" x14ac:dyDescent="0.45">
      <c r="I1059" t="s">
        <v>208</v>
      </c>
      <c r="J1059" t="s">
        <v>301</v>
      </c>
      <c r="K1059">
        <v>1.9328847593650531E-2</v>
      </c>
      <c r="L1059" t="s">
        <v>159</v>
      </c>
      <c r="N1059" t="s">
        <v>251</v>
      </c>
      <c r="O1059" t="s">
        <v>301</v>
      </c>
      <c r="P1059">
        <v>1.1035509776445868E-2</v>
      </c>
      <c r="Q1059" t="s">
        <v>159</v>
      </c>
    </row>
    <row r="1060" spans="9:17" x14ac:dyDescent="0.45">
      <c r="I1060" t="s">
        <v>208</v>
      </c>
      <c r="J1060" t="s">
        <v>302</v>
      </c>
      <c r="K1060">
        <v>4.011143719002983E-3</v>
      </c>
      <c r="L1060" t="s">
        <v>159</v>
      </c>
      <c r="N1060" t="s">
        <v>251</v>
      </c>
      <c r="O1060" t="s">
        <v>302</v>
      </c>
      <c r="P1060">
        <v>0.10100847456740286</v>
      </c>
      <c r="Q1060" t="s">
        <v>159</v>
      </c>
    </row>
    <row r="1061" spans="9:17" x14ac:dyDescent="0.45">
      <c r="I1061" t="s">
        <v>209</v>
      </c>
      <c r="J1061" t="s">
        <v>158</v>
      </c>
      <c r="K1061">
        <v>1.0449113922378658E-3</v>
      </c>
      <c r="L1061" t="s">
        <v>159</v>
      </c>
    </row>
    <row r="1062" spans="9:17" x14ac:dyDescent="0.45">
      <c r="I1062" t="s">
        <v>209</v>
      </c>
      <c r="J1062" t="s">
        <v>160</v>
      </c>
      <c r="K1062">
        <v>1.4024774081668681E-2</v>
      </c>
      <c r="L1062" t="s">
        <v>159</v>
      </c>
    </row>
    <row r="1063" spans="9:17" x14ac:dyDescent="0.45">
      <c r="I1063" t="s">
        <v>209</v>
      </c>
      <c r="J1063" t="s">
        <v>161</v>
      </c>
      <c r="K1063">
        <v>0.41817767020551927</v>
      </c>
      <c r="L1063" t="s">
        <v>159</v>
      </c>
    </row>
    <row r="1064" spans="9:17" x14ac:dyDescent="0.45">
      <c r="I1064" t="s">
        <v>209</v>
      </c>
      <c r="J1064" t="s">
        <v>287</v>
      </c>
      <c r="K1064">
        <v>1.8471383336725336E-2</v>
      </c>
      <c r="L1064" t="s">
        <v>159</v>
      </c>
    </row>
    <row r="1065" spans="9:17" x14ac:dyDescent="0.45">
      <c r="I1065" t="s">
        <v>209</v>
      </c>
      <c r="J1065" t="s">
        <v>288</v>
      </c>
      <c r="K1065">
        <v>6.8783471758101337E-3</v>
      </c>
      <c r="L1065" t="s">
        <v>159</v>
      </c>
    </row>
    <row r="1066" spans="9:17" x14ac:dyDescent="0.45">
      <c r="I1066" t="s">
        <v>209</v>
      </c>
      <c r="J1066" t="s">
        <v>162</v>
      </c>
      <c r="K1066">
        <v>0</v>
      </c>
      <c r="L1066" t="s">
        <v>159</v>
      </c>
    </row>
    <row r="1067" spans="9:17" x14ac:dyDescent="0.45">
      <c r="I1067" t="s">
        <v>209</v>
      </c>
      <c r="J1067" t="s">
        <v>163</v>
      </c>
      <c r="K1067">
        <v>0</v>
      </c>
      <c r="L1067" t="s">
        <v>159</v>
      </c>
    </row>
    <row r="1068" spans="9:17" x14ac:dyDescent="0.45">
      <c r="I1068" t="s">
        <v>209</v>
      </c>
      <c r="J1068" t="s">
        <v>164</v>
      </c>
      <c r="K1068">
        <v>5.4661580453593699E-2</v>
      </c>
      <c r="L1068" t="s">
        <v>159</v>
      </c>
    </row>
    <row r="1069" spans="9:17" x14ac:dyDescent="0.45">
      <c r="I1069" t="s">
        <v>209</v>
      </c>
      <c r="J1069" t="s">
        <v>289</v>
      </c>
      <c r="K1069">
        <v>0</v>
      </c>
      <c r="L1069" t="s">
        <v>159</v>
      </c>
    </row>
    <row r="1070" spans="9:17" x14ac:dyDescent="0.45">
      <c r="I1070" t="s">
        <v>209</v>
      </c>
      <c r="J1070" t="s">
        <v>290</v>
      </c>
      <c r="K1070">
        <v>0</v>
      </c>
      <c r="L1070" t="s">
        <v>159</v>
      </c>
    </row>
    <row r="1071" spans="9:17" x14ac:dyDescent="0.45">
      <c r="I1071" t="s">
        <v>209</v>
      </c>
      <c r="J1071" t="s">
        <v>165</v>
      </c>
      <c r="K1071">
        <v>0</v>
      </c>
      <c r="L1071" t="s">
        <v>159</v>
      </c>
    </row>
    <row r="1072" spans="9:17" x14ac:dyDescent="0.45">
      <c r="I1072" t="s">
        <v>209</v>
      </c>
      <c r="J1072" t="s">
        <v>166</v>
      </c>
      <c r="K1072">
        <v>0</v>
      </c>
      <c r="L1072" t="s">
        <v>159</v>
      </c>
    </row>
    <row r="1073" spans="9:12" x14ac:dyDescent="0.45">
      <c r="I1073" t="s">
        <v>209</v>
      </c>
      <c r="J1073" t="s">
        <v>167</v>
      </c>
      <c r="K1073">
        <v>7.0361802337207541E-2</v>
      </c>
      <c r="L1073" t="s">
        <v>159</v>
      </c>
    </row>
    <row r="1074" spans="9:12" x14ac:dyDescent="0.45">
      <c r="I1074" t="s">
        <v>209</v>
      </c>
      <c r="J1074" t="s">
        <v>291</v>
      </c>
      <c r="K1074">
        <v>2.7297310829428596E-3</v>
      </c>
      <c r="L1074" t="s">
        <v>159</v>
      </c>
    </row>
    <row r="1075" spans="9:12" x14ac:dyDescent="0.45">
      <c r="I1075" t="s">
        <v>209</v>
      </c>
      <c r="J1075" t="s">
        <v>292</v>
      </c>
      <c r="K1075">
        <v>0</v>
      </c>
      <c r="L1075" t="s">
        <v>159</v>
      </c>
    </row>
    <row r="1076" spans="9:12" x14ac:dyDescent="0.45">
      <c r="I1076" t="s">
        <v>209</v>
      </c>
      <c r="J1076" t="s">
        <v>293</v>
      </c>
      <c r="K1076">
        <v>0</v>
      </c>
      <c r="L1076" t="s">
        <v>159</v>
      </c>
    </row>
    <row r="1077" spans="9:12" x14ac:dyDescent="0.45">
      <c r="I1077" t="s">
        <v>209</v>
      </c>
      <c r="J1077" t="s">
        <v>294</v>
      </c>
      <c r="K1077">
        <v>3.9088071635345824E-5</v>
      </c>
      <c r="L1077" t="s">
        <v>159</v>
      </c>
    </row>
    <row r="1078" spans="9:12" x14ac:dyDescent="0.45">
      <c r="I1078" t="s">
        <v>209</v>
      </c>
      <c r="J1078" t="s">
        <v>295</v>
      </c>
      <c r="K1078">
        <v>1.7204258874666284E-2</v>
      </c>
      <c r="L1078" t="s">
        <v>159</v>
      </c>
    </row>
    <row r="1079" spans="9:12" x14ac:dyDescent="0.45">
      <c r="I1079" t="s">
        <v>209</v>
      </c>
      <c r="J1079" t="s">
        <v>296</v>
      </c>
      <c r="K1079">
        <v>9.9634224009412372E-4</v>
      </c>
      <c r="L1079" t="s">
        <v>159</v>
      </c>
    </row>
    <row r="1080" spans="9:12" x14ac:dyDescent="0.45">
      <c r="I1080" t="s">
        <v>209</v>
      </c>
      <c r="J1080" t="s">
        <v>297</v>
      </c>
      <c r="K1080">
        <v>0</v>
      </c>
      <c r="L1080" t="s">
        <v>159</v>
      </c>
    </row>
    <row r="1081" spans="9:12" x14ac:dyDescent="0.45">
      <c r="I1081" t="s">
        <v>209</v>
      </c>
      <c r="J1081" t="s">
        <v>298</v>
      </c>
      <c r="K1081">
        <v>5.3472436761076271E-3</v>
      </c>
      <c r="L1081" t="s">
        <v>159</v>
      </c>
    </row>
    <row r="1082" spans="9:12" x14ac:dyDescent="0.45">
      <c r="I1082" t="s">
        <v>209</v>
      </c>
      <c r="J1082" t="s">
        <v>299</v>
      </c>
      <c r="K1082">
        <v>1.8950222822618833E-2</v>
      </c>
      <c r="L1082" t="s">
        <v>159</v>
      </c>
    </row>
    <row r="1083" spans="9:12" x14ac:dyDescent="0.45">
      <c r="I1083" t="s">
        <v>209</v>
      </c>
      <c r="J1083" t="s">
        <v>300</v>
      </c>
      <c r="K1083">
        <v>0.3494815767814628</v>
      </c>
      <c r="L1083" t="s">
        <v>159</v>
      </c>
    </row>
    <row r="1084" spans="9:12" x14ac:dyDescent="0.45">
      <c r="I1084" t="s">
        <v>209</v>
      </c>
      <c r="J1084" t="s">
        <v>301</v>
      </c>
      <c r="K1084">
        <v>1.8417127360697214E-2</v>
      </c>
      <c r="L1084" t="s">
        <v>159</v>
      </c>
    </row>
    <row r="1085" spans="9:12" x14ac:dyDescent="0.45">
      <c r="I1085" t="s">
        <v>209</v>
      </c>
      <c r="J1085" t="s">
        <v>302</v>
      </c>
      <c r="K1085">
        <v>3.2139401070122135E-3</v>
      </c>
      <c r="L1085" t="s">
        <v>159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DE61E-A934-4982-A79A-9516075061C8}">
  <dimension ref="A9:AN15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272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278</v>
      </c>
      <c r="AK10" t="s">
        <v>47</v>
      </c>
      <c r="AL10" t="s">
        <v>115</v>
      </c>
      <c r="AM10" t="s">
        <v>279</v>
      </c>
      <c r="AN10" t="s">
        <v>280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150</v>
      </c>
      <c r="F11" t="s">
        <v>305</v>
      </c>
      <c r="G11" t="s">
        <v>149</v>
      </c>
      <c r="I11" t="s">
        <v>157</v>
      </c>
      <c r="J11" t="s">
        <v>158</v>
      </c>
      <c r="K11">
        <v>1.2144033916198926E-2</v>
      </c>
      <c r="L11" t="s">
        <v>159</v>
      </c>
      <c r="N11" t="s">
        <v>210</v>
      </c>
      <c r="O11" t="s">
        <v>158</v>
      </c>
      <c r="P11">
        <v>0.10171069035691183</v>
      </c>
      <c r="Q11" t="s">
        <v>159</v>
      </c>
      <c r="S11" t="s">
        <v>252</v>
      </c>
      <c r="T11" t="s">
        <v>158</v>
      </c>
      <c r="U11">
        <v>0.14449435058643345</v>
      </c>
      <c r="V11" t="s">
        <v>159</v>
      </c>
      <c r="X11">
        <v>0.13744292237442923</v>
      </c>
      <c r="Y11">
        <v>5.4278729416834481E-2</v>
      </c>
      <c r="Z11" t="s">
        <v>158</v>
      </c>
      <c r="AA11" t="s">
        <v>25</v>
      </c>
      <c r="AC11" t="s">
        <v>22</v>
      </c>
      <c r="AD11" t="s">
        <v>158</v>
      </c>
      <c r="AE11">
        <v>0.1012182061335965</v>
      </c>
      <c r="AG11" t="s">
        <v>96</v>
      </c>
      <c r="AH11" t="s">
        <v>158</v>
      </c>
      <c r="AI11">
        <v>0.34256742981394095</v>
      </c>
      <c r="AK11">
        <v>2020</v>
      </c>
      <c r="AL11" t="s">
        <v>148</v>
      </c>
      <c r="AM11">
        <v>0.12519740727008058</v>
      </c>
      <c r="AN11" t="s">
        <v>281</v>
      </c>
    </row>
    <row r="12" spans="1:40" x14ac:dyDescent="0.45">
      <c r="C12" t="s">
        <v>152</v>
      </c>
      <c r="E12" t="s">
        <v>153</v>
      </c>
      <c r="G12" t="s">
        <v>149</v>
      </c>
      <c r="I12" t="s">
        <v>157</v>
      </c>
      <c r="J12" t="s">
        <v>160</v>
      </c>
      <c r="K12">
        <v>3.3488257328594478E-2</v>
      </c>
      <c r="L12" t="s">
        <v>159</v>
      </c>
      <c r="N12" t="s">
        <v>210</v>
      </c>
      <c r="O12" t="s">
        <v>160</v>
      </c>
      <c r="P12">
        <v>1.632292177116124E-2</v>
      </c>
      <c r="Q12" t="s">
        <v>159</v>
      </c>
      <c r="S12" t="s">
        <v>252</v>
      </c>
      <c r="T12" t="s">
        <v>160</v>
      </c>
      <c r="U12">
        <v>1.884009136133017E-2</v>
      </c>
      <c r="V12" t="s">
        <v>159</v>
      </c>
      <c r="X12">
        <v>1.9634703196347032E-2</v>
      </c>
      <c r="Y12">
        <v>3.2783896443991413E-2</v>
      </c>
      <c r="Z12" t="s">
        <v>160</v>
      </c>
      <c r="AA12" t="s">
        <v>25</v>
      </c>
      <c r="AC12" t="s">
        <v>22</v>
      </c>
      <c r="AD12" t="s">
        <v>160</v>
      </c>
      <c r="AE12">
        <v>2.1592867420078855E-2</v>
      </c>
      <c r="AG12" t="s">
        <v>96</v>
      </c>
      <c r="AH12" t="s">
        <v>160</v>
      </c>
      <c r="AI12">
        <v>0.18121507519696411</v>
      </c>
      <c r="AK12">
        <v>2020</v>
      </c>
      <c r="AL12" t="s">
        <v>152</v>
      </c>
      <c r="AM12">
        <v>7.2879330943846993E-2</v>
      </c>
      <c r="AN12" t="s">
        <v>281</v>
      </c>
    </row>
    <row r="13" spans="1:40" x14ac:dyDescent="0.45">
      <c r="C13" t="s">
        <v>154</v>
      </c>
      <c r="E13" t="s">
        <v>155</v>
      </c>
      <c r="G13" t="s">
        <v>149</v>
      </c>
      <c r="I13" t="s">
        <v>157</v>
      </c>
      <c r="J13" t="s">
        <v>161</v>
      </c>
      <c r="K13">
        <v>0.38154535090250319</v>
      </c>
      <c r="L13" t="s">
        <v>159</v>
      </c>
      <c r="N13" t="s">
        <v>210</v>
      </c>
      <c r="O13" t="s">
        <v>161</v>
      </c>
      <c r="P13">
        <v>0.19465463039690284</v>
      </c>
      <c r="Q13" t="s">
        <v>159</v>
      </c>
      <c r="S13" t="s">
        <v>252</v>
      </c>
      <c r="T13" t="s">
        <v>161</v>
      </c>
      <c r="U13">
        <v>0.16224235093411832</v>
      </c>
      <c r="V13" t="s">
        <v>159</v>
      </c>
      <c r="X13">
        <v>0.17671232876712328</v>
      </c>
      <c r="Y13">
        <v>0.24220172538100099</v>
      </c>
      <c r="Z13" t="s">
        <v>161</v>
      </c>
      <c r="AA13" t="s">
        <v>25</v>
      </c>
      <c r="AC13" t="s">
        <v>22</v>
      </c>
      <c r="AD13" t="s">
        <v>161</v>
      </c>
      <c r="AE13">
        <v>0.20517562009007539</v>
      </c>
      <c r="AG13" t="s">
        <v>96</v>
      </c>
      <c r="AH13" t="s">
        <v>161</v>
      </c>
      <c r="AI13">
        <v>0.17511388648499726</v>
      </c>
      <c r="AK13">
        <v>2020</v>
      </c>
      <c r="AL13" t="s">
        <v>154</v>
      </c>
      <c r="AM13">
        <v>8.0645161290322509E-2</v>
      </c>
      <c r="AN13" t="s">
        <v>281</v>
      </c>
    </row>
    <row r="14" spans="1:40" x14ac:dyDescent="0.45">
      <c r="C14" t="s">
        <v>283</v>
      </c>
      <c r="E14" t="s">
        <v>284</v>
      </c>
      <c r="G14" t="s">
        <v>149</v>
      </c>
      <c r="I14" t="s">
        <v>157</v>
      </c>
      <c r="J14" t="s">
        <v>287</v>
      </c>
      <c r="K14">
        <v>2.5924766238327249E-2</v>
      </c>
      <c r="L14" t="s">
        <v>159</v>
      </c>
      <c r="N14" t="s">
        <v>210</v>
      </c>
      <c r="O14" t="s">
        <v>287</v>
      </c>
      <c r="P14">
        <v>2.3008452611532084E-2</v>
      </c>
      <c r="Q14" t="s">
        <v>159</v>
      </c>
      <c r="S14" t="s">
        <v>252</v>
      </c>
      <c r="T14" t="s">
        <v>287</v>
      </c>
      <c r="U14">
        <v>2.0824068388506929E-2</v>
      </c>
      <c r="V14" t="s">
        <v>159</v>
      </c>
      <c r="X14">
        <v>1.9634703196347032E-2</v>
      </c>
      <c r="Y14">
        <v>3.8200366291259565E-2</v>
      </c>
      <c r="Z14" t="s">
        <v>287</v>
      </c>
      <c r="AA14" t="s">
        <v>25</v>
      </c>
      <c r="AC14" t="s">
        <v>22</v>
      </c>
      <c r="AD14" t="s">
        <v>287</v>
      </c>
      <c r="AE14">
        <v>2.3519594686122372E-2</v>
      </c>
      <c r="AG14" t="s">
        <v>96</v>
      </c>
      <c r="AH14" t="s">
        <v>287</v>
      </c>
      <c r="AI14">
        <v>0.19023837153022982</v>
      </c>
      <c r="AK14">
        <v>2020</v>
      </c>
      <c r="AL14" t="s">
        <v>283</v>
      </c>
      <c r="AM14">
        <v>8.9605734767025005E-2</v>
      </c>
      <c r="AN14" t="s">
        <v>281</v>
      </c>
    </row>
    <row r="15" spans="1:40" x14ac:dyDescent="0.45">
      <c r="C15" t="s">
        <v>285</v>
      </c>
      <c r="E15" t="s">
        <v>286</v>
      </c>
      <c r="G15" t="s">
        <v>149</v>
      </c>
      <c r="I15" t="s">
        <v>157</v>
      </c>
      <c r="J15" t="s">
        <v>288</v>
      </c>
      <c r="K15">
        <v>9.9655950017744285E-3</v>
      </c>
      <c r="L15" t="s">
        <v>159</v>
      </c>
      <c r="N15" t="s">
        <v>210</v>
      </c>
      <c r="O15" t="s">
        <v>288</v>
      </c>
      <c r="P15">
        <v>2.2459190847282016E-2</v>
      </c>
      <c r="Q15" t="s">
        <v>159</v>
      </c>
      <c r="S15" t="s">
        <v>252</v>
      </c>
      <c r="T15" t="s">
        <v>288</v>
      </c>
      <c r="U15">
        <v>2.1196411632751277E-2</v>
      </c>
      <c r="V15" t="s">
        <v>159</v>
      </c>
      <c r="X15">
        <v>1.9634703196347032E-2</v>
      </c>
      <c r="Y15">
        <v>2.9648045479783537E-2</v>
      </c>
      <c r="Z15" t="s">
        <v>288</v>
      </c>
      <c r="AA15" t="s">
        <v>25</v>
      </c>
      <c r="AC15" t="s">
        <v>22</v>
      </c>
      <c r="AD15" t="s">
        <v>288</v>
      </c>
      <c r="AE15">
        <v>2.3622140886225447E-2</v>
      </c>
      <c r="AG15" t="s">
        <v>96</v>
      </c>
      <c r="AH15" t="s">
        <v>288</v>
      </c>
      <c r="AI15">
        <v>0.18149986904884519</v>
      </c>
      <c r="AK15">
        <v>2020</v>
      </c>
      <c r="AL15" t="s">
        <v>285</v>
      </c>
      <c r="AM15">
        <v>0.10896057347670249</v>
      </c>
      <c r="AN15" t="s">
        <v>281</v>
      </c>
    </row>
    <row r="16" spans="1:40" x14ac:dyDescent="0.45">
      <c r="C16" t="s">
        <v>306</v>
      </c>
      <c r="E16" t="s">
        <v>307</v>
      </c>
      <c r="G16" t="s">
        <v>149</v>
      </c>
      <c r="I16" t="s">
        <v>157</v>
      </c>
      <c r="J16" t="s">
        <v>308</v>
      </c>
      <c r="K16">
        <v>0</v>
      </c>
      <c r="L16" t="s">
        <v>159</v>
      </c>
      <c r="N16" t="s">
        <v>210</v>
      </c>
      <c r="O16" t="s">
        <v>308</v>
      </c>
      <c r="P16">
        <v>8.330194625813174E-2</v>
      </c>
      <c r="Q16" t="s">
        <v>159</v>
      </c>
      <c r="S16" t="s">
        <v>252</v>
      </c>
      <c r="T16" t="s">
        <v>308</v>
      </c>
      <c r="U16">
        <v>0.10723572043552911</v>
      </c>
      <c r="V16" t="s">
        <v>159</v>
      </c>
      <c r="X16">
        <v>9.8173515981735154E-2</v>
      </c>
      <c r="Y16">
        <v>7.4120113699458839E-2</v>
      </c>
      <c r="Z16" t="s">
        <v>308</v>
      </c>
      <c r="AA16" t="s">
        <v>25</v>
      </c>
      <c r="AC16" t="s">
        <v>22</v>
      </c>
      <c r="AD16" t="s">
        <v>308</v>
      </c>
      <c r="AE16">
        <v>9.4177559096817604E-2</v>
      </c>
      <c r="AG16" t="s">
        <v>96</v>
      </c>
      <c r="AH16" t="s">
        <v>308</v>
      </c>
      <c r="AI16">
        <v>0.2574676103357334</v>
      </c>
      <c r="AK16">
        <v>2020</v>
      </c>
      <c r="AL16" t="s">
        <v>306</v>
      </c>
      <c r="AM16">
        <v>0.1075268817204301</v>
      </c>
      <c r="AN16" t="s">
        <v>281</v>
      </c>
    </row>
    <row r="17" spans="9:40" x14ac:dyDescent="0.45">
      <c r="I17" t="s">
        <v>157</v>
      </c>
      <c r="J17" t="s">
        <v>162</v>
      </c>
      <c r="K17">
        <v>0</v>
      </c>
      <c r="L17" t="s">
        <v>159</v>
      </c>
      <c r="N17" t="s">
        <v>210</v>
      </c>
      <c r="O17" t="s">
        <v>162</v>
      </c>
      <c r="P17">
        <v>2.2170011437628753E-2</v>
      </c>
      <c r="Q17" t="s">
        <v>159</v>
      </c>
      <c r="S17" t="s">
        <v>252</v>
      </c>
      <c r="T17" t="s">
        <v>162</v>
      </c>
      <c r="U17">
        <v>2.1324368996440433E-2</v>
      </c>
      <c r="V17" t="s">
        <v>159</v>
      </c>
      <c r="X17">
        <v>2.3972602739726026E-2</v>
      </c>
      <c r="Y17">
        <v>9.4672202471222967E-3</v>
      </c>
      <c r="Z17" t="s">
        <v>162</v>
      </c>
      <c r="AA17" t="s">
        <v>25</v>
      </c>
      <c r="AC17" t="s">
        <v>22</v>
      </c>
      <c r="AD17" t="s">
        <v>162</v>
      </c>
      <c r="AE17">
        <v>1.9143891703040036E-2</v>
      </c>
      <c r="AG17" t="s">
        <v>96</v>
      </c>
      <c r="AH17" t="s">
        <v>162</v>
      </c>
      <c r="AI17">
        <v>0.27181459844482103</v>
      </c>
      <c r="AK17">
        <v>2021</v>
      </c>
      <c r="AL17" t="s">
        <v>148</v>
      </c>
      <c r="AM17">
        <v>0.30278204471752856</v>
      </c>
      <c r="AN17" t="s">
        <v>281</v>
      </c>
    </row>
    <row r="18" spans="9:40" x14ac:dyDescent="0.45">
      <c r="I18" t="s">
        <v>157</v>
      </c>
      <c r="J18" t="s">
        <v>163</v>
      </c>
      <c r="K18">
        <v>3.5005892787856089E-3</v>
      </c>
      <c r="L18" t="s">
        <v>159</v>
      </c>
      <c r="N18" t="s">
        <v>210</v>
      </c>
      <c r="O18" t="s">
        <v>163</v>
      </c>
      <c r="P18">
        <v>3.07750050536236E-3</v>
      </c>
      <c r="Q18" t="s">
        <v>159</v>
      </c>
      <c r="S18" t="s">
        <v>252</v>
      </c>
      <c r="T18" t="s">
        <v>163</v>
      </c>
      <c r="U18">
        <v>2.7452252352910969E-3</v>
      </c>
      <c r="V18" t="s">
        <v>159</v>
      </c>
      <c r="X18">
        <v>3.4246575342465752E-3</v>
      </c>
      <c r="Y18">
        <v>5.7181214727892006E-3</v>
      </c>
      <c r="Z18" t="s">
        <v>163</v>
      </c>
      <c r="AA18" t="s">
        <v>25</v>
      </c>
      <c r="AC18" t="s">
        <v>22</v>
      </c>
      <c r="AD18" t="s">
        <v>163</v>
      </c>
      <c r="AE18">
        <v>4.3222798197804432E-3</v>
      </c>
      <c r="AG18" t="s">
        <v>96</v>
      </c>
      <c r="AH18" t="s">
        <v>163</v>
      </c>
      <c r="AI18">
        <v>7.734333484117184E-2</v>
      </c>
      <c r="AK18">
        <v>2021</v>
      </c>
      <c r="AL18" t="s">
        <v>152</v>
      </c>
      <c r="AM18">
        <v>6.3620071684587748E-2</v>
      </c>
      <c r="AN18" t="s">
        <v>281</v>
      </c>
    </row>
    <row r="19" spans="9:40" x14ac:dyDescent="0.45">
      <c r="I19" t="s">
        <v>157</v>
      </c>
      <c r="J19" t="s">
        <v>164</v>
      </c>
      <c r="K19">
        <v>4.8820480665156263E-2</v>
      </c>
      <c r="L19" t="s">
        <v>159</v>
      </c>
      <c r="N19" t="s">
        <v>210</v>
      </c>
      <c r="O19" t="s">
        <v>164</v>
      </c>
      <c r="P19">
        <v>3.8418917090494803E-2</v>
      </c>
      <c r="Q19" t="s">
        <v>159</v>
      </c>
      <c r="S19" t="s">
        <v>252</v>
      </c>
      <c r="T19" t="s">
        <v>164</v>
      </c>
      <c r="U19">
        <v>2.5251854987114852E-2</v>
      </c>
      <c r="V19" t="s">
        <v>159</v>
      </c>
      <c r="X19">
        <v>3.0821917808219176E-2</v>
      </c>
      <c r="Y19">
        <v>4.2244486985058304E-2</v>
      </c>
      <c r="Z19" t="s">
        <v>164</v>
      </c>
      <c r="AA19" t="s">
        <v>25</v>
      </c>
      <c r="AC19" t="s">
        <v>22</v>
      </c>
      <c r="AD19" t="s">
        <v>164</v>
      </c>
      <c r="AE19">
        <v>3.7596114727518039E-2</v>
      </c>
      <c r="AG19" t="s">
        <v>96</v>
      </c>
      <c r="AH19" t="s">
        <v>164</v>
      </c>
      <c r="AI19">
        <v>0.10323086566341377</v>
      </c>
      <c r="AK19">
        <v>2021</v>
      </c>
      <c r="AL19" t="s">
        <v>154</v>
      </c>
      <c r="AM19">
        <v>7.1684587813619999E-2</v>
      </c>
      <c r="AN19" t="s">
        <v>281</v>
      </c>
    </row>
    <row r="20" spans="9:40" x14ac:dyDescent="0.45">
      <c r="I20" t="s">
        <v>157</v>
      </c>
      <c r="J20" t="s">
        <v>289</v>
      </c>
      <c r="K20">
        <v>2.7481227544402321E-3</v>
      </c>
      <c r="L20" t="s">
        <v>159</v>
      </c>
      <c r="N20" t="s">
        <v>210</v>
      </c>
      <c r="O20" t="s">
        <v>289</v>
      </c>
      <c r="P20">
        <v>3.8347434050692761E-3</v>
      </c>
      <c r="Q20" t="s">
        <v>159</v>
      </c>
      <c r="S20" t="s">
        <v>252</v>
      </c>
      <c r="T20" t="s">
        <v>289</v>
      </c>
      <c r="U20">
        <v>2.919940850487259E-3</v>
      </c>
      <c r="V20" t="s">
        <v>159</v>
      </c>
      <c r="X20">
        <v>3.4246575342465752E-3</v>
      </c>
      <c r="Y20">
        <v>6.662854585684809E-3</v>
      </c>
      <c r="Z20" t="s">
        <v>289</v>
      </c>
      <c r="AA20" t="s">
        <v>25</v>
      </c>
      <c r="AC20" t="s">
        <v>22</v>
      </c>
      <c r="AD20" t="s">
        <v>289</v>
      </c>
      <c r="AE20">
        <v>4.8115090577757836E-3</v>
      </c>
      <c r="AG20" t="s">
        <v>96</v>
      </c>
      <c r="AH20" t="s">
        <v>289</v>
      </c>
      <c r="AI20">
        <v>6.2161938403797468E-2</v>
      </c>
      <c r="AK20">
        <v>2021</v>
      </c>
      <c r="AL20" t="s">
        <v>283</v>
      </c>
      <c r="AM20">
        <v>7.1684587813619999E-2</v>
      </c>
      <c r="AN20" t="s">
        <v>281</v>
      </c>
    </row>
    <row r="21" spans="9:40" x14ac:dyDescent="0.45">
      <c r="I21" t="s">
        <v>157</v>
      </c>
      <c r="J21" t="s">
        <v>290</v>
      </c>
      <c r="K21">
        <v>0</v>
      </c>
      <c r="L21" t="s">
        <v>159</v>
      </c>
      <c r="N21" t="s">
        <v>210</v>
      </c>
      <c r="O21" t="s">
        <v>290</v>
      </c>
      <c r="P21">
        <v>3.6120453550585537E-3</v>
      </c>
      <c r="Q21" t="s">
        <v>159</v>
      </c>
      <c r="S21" t="s">
        <v>252</v>
      </c>
      <c r="T21" t="s">
        <v>290</v>
      </c>
      <c r="U21">
        <v>3.0029541659176789E-3</v>
      </c>
      <c r="V21" t="s">
        <v>159</v>
      </c>
      <c r="X21">
        <v>3.4246575342465752E-3</v>
      </c>
      <c r="Y21">
        <v>5.1711707232180593E-3</v>
      </c>
      <c r="Z21" t="s">
        <v>290</v>
      </c>
      <c r="AA21" t="s">
        <v>25</v>
      </c>
      <c r="AC21" t="s">
        <v>22</v>
      </c>
      <c r="AD21" t="s">
        <v>290</v>
      </c>
      <c r="AE21">
        <v>4.7607854487959197E-3</v>
      </c>
      <c r="AG21" t="s">
        <v>96</v>
      </c>
      <c r="AH21" t="s">
        <v>290</v>
      </c>
      <c r="AI21">
        <v>7.1647942232454076E-2</v>
      </c>
      <c r="AK21">
        <v>2021</v>
      </c>
      <c r="AL21" t="s">
        <v>285</v>
      </c>
      <c r="AM21">
        <v>0.20573476702508958</v>
      </c>
      <c r="AN21" t="s">
        <v>281</v>
      </c>
    </row>
    <row r="22" spans="9:40" x14ac:dyDescent="0.45">
      <c r="I22" t="s">
        <v>157</v>
      </c>
      <c r="J22" t="s">
        <v>309</v>
      </c>
      <c r="K22">
        <v>0</v>
      </c>
      <c r="L22" t="s">
        <v>159</v>
      </c>
      <c r="N22" t="s">
        <v>210</v>
      </c>
      <c r="O22" t="s">
        <v>309</v>
      </c>
      <c r="P22">
        <v>1.5315348635235669E-2</v>
      </c>
      <c r="Q22" t="s">
        <v>159</v>
      </c>
      <c r="S22" t="s">
        <v>252</v>
      </c>
      <c r="T22" t="s">
        <v>309</v>
      </c>
      <c r="U22">
        <v>1.6030937138946773E-2</v>
      </c>
      <c r="V22" t="s">
        <v>159</v>
      </c>
      <c r="X22">
        <v>1.7123287671232876E-2</v>
      </c>
      <c r="Y22">
        <v>1.2927926808045149E-2</v>
      </c>
      <c r="Z22" t="s">
        <v>309</v>
      </c>
      <c r="AA22" t="s">
        <v>25</v>
      </c>
      <c r="AC22" t="s">
        <v>22</v>
      </c>
      <c r="AD22" t="s">
        <v>309</v>
      </c>
      <c r="AE22">
        <v>1.7943137750243927E-2</v>
      </c>
      <c r="AG22" t="s">
        <v>96</v>
      </c>
      <c r="AH22" t="s">
        <v>309</v>
      </c>
      <c r="AI22">
        <v>0.19329836946259471</v>
      </c>
      <c r="AK22">
        <v>2021</v>
      </c>
      <c r="AL22" t="s">
        <v>306</v>
      </c>
      <c r="AM22">
        <v>0.60931899641577059</v>
      </c>
      <c r="AN22" t="s">
        <v>281</v>
      </c>
    </row>
    <row r="23" spans="9:40" x14ac:dyDescent="0.45">
      <c r="I23" t="s">
        <v>157</v>
      </c>
      <c r="J23" t="s">
        <v>165</v>
      </c>
      <c r="K23">
        <v>0</v>
      </c>
      <c r="L23" t="s">
        <v>159</v>
      </c>
      <c r="N23" t="s">
        <v>210</v>
      </c>
      <c r="O23" t="s">
        <v>165</v>
      </c>
      <c r="P23">
        <v>3.8709182052173149E-2</v>
      </c>
      <c r="Q23" t="s">
        <v>159</v>
      </c>
      <c r="S23" t="s">
        <v>252</v>
      </c>
      <c r="T23" t="s">
        <v>165</v>
      </c>
      <c r="U23">
        <v>2.4735179124504913E-2</v>
      </c>
      <c r="V23" t="s">
        <v>159</v>
      </c>
      <c r="X23">
        <v>2.4771689497716895E-2</v>
      </c>
      <c r="Y23">
        <v>9.7827942553597048E-3</v>
      </c>
      <c r="Z23" t="s">
        <v>165</v>
      </c>
      <c r="AA23" t="s">
        <v>25</v>
      </c>
      <c r="AC23" t="s">
        <v>22</v>
      </c>
      <c r="AD23" t="s">
        <v>165</v>
      </c>
      <c r="AE23">
        <v>1.9868368849186947E-2</v>
      </c>
      <c r="AG23" t="s">
        <v>96</v>
      </c>
      <c r="AH23" t="s">
        <v>165</v>
      </c>
      <c r="AI23">
        <v>0.28762997520818501</v>
      </c>
      <c r="AK23">
        <v>2022</v>
      </c>
      <c r="AL23" t="s">
        <v>148</v>
      </c>
      <c r="AM23">
        <v>0.64720230983671845</v>
      </c>
      <c r="AN23" t="s">
        <v>281</v>
      </c>
    </row>
    <row r="24" spans="9:40" x14ac:dyDescent="0.45">
      <c r="I24" t="s">
        <v>157</v>
      </c>
      <c r="J24" t="s">
        <v>166</v>
      </c>
      <c r="K24">
        <v>4.3964299837989298E-3</v>
      </c>
      <c r="L24" t="s">
        <v>159</v>
      </c>
      <c r="N24" t="s">
        <v>210</v>
      </c>
      <c r="O24" t="s">
        <v>166</v>
      </c>
      <c r="P24">
        <v>6.4271136940718451E-3</v>
      </c>
      <c r="Q24" t="s">
        <v>159</v>
      </c>
      <c r="S24" t="s">
        <v>252</v>
      </c>
      <c r="T24" t="s">
        <v>166</v>
      </c>
      <c r="U24">
        <v>3.5708273260968834E-3</v>
      </c>
      <c r="V24" t="s">
        <v>159</v>
      </c>
      <c r="X24">
        <v>3.5388127853881279E-3</v>
      </c>
      <c r="Y24">
        <v>5.9087255218821738E-3</v>
      </c>
      <c r="Z24" t="s">
        <v>166</v>
      </c>
      <c r="AA24" t="s">
        <v>25</v>
      </c>
      <c r="AC24" t="s">
        <v>22</v>
      </c>
      <c r="AD24" t="s">
        <v>166</v>
      </c>
      <c r="AE24">
        <v>4.5044003736932382E-3</v>
      </c>
      <c r="AG24" t="s">
        <v>96</v>
      </c>
      <c r="AH24" t="s">
        <v>166</v>
      </c>
      <c r="AI24">
        <v>7.9490680016605308E-2</v>
      </c>
      <c r="AK24">
        <v>2022</v>
      </c>
      <c r="AL24" t="s">
        <v>152</v>
      </c>
      <c r="AM24">
        <v>0.20161290322580638</v>
      </c>
      <c r="AN24" t="s">
        <v>281</v>
      </c>
    </row>
    <row r="25" spans="9:40" x14ac:dyDescent="0.45">
      <c r="I25" t="s">
        <v>157</v>
      </c>
      <c r="J25" t="s">
        <v>167</v>
      </c>
      <c r="K25">
        <v>6.165422446698942E-2</v>
      </c>
      <c r="L25" t="s">
        <v>159</v>
      </c>
      <c r="N25" t="s">
        <v>210</v>
      </c>
      <c r="O25" t="s">
        <v>167</v>
      </c>
      <c r="P25">
        <v>6.8786089220085667E-2</v>
      </c>
      <c r="Q25" t="s">
        <v>159</v>
      </c>
      <c r="S25" t="s">
        <v>252</v>
      </c>
      <c r="T25" t="s">
        <v>167</v>
      </c>
      <c r="U25">
        <v>2.8186811749447368E-2</v>
      </c>
      <c r="V25" t="s">
        <v>159</v>
      </c>
      <c r="X25">
        <v>3.1849315068493152E-2</v>
      </c>
      <c r="Y25">
        <v>4.365263655122692E-2</v>
      </c>
      <c r="Z25" t="s">
        <v>167</v>
      </c>
      <c r="AA25" t="s">
        <v>25</v>
      </c>
      <c r="AC25" t="s">
        <v>22</v>
      </c>
      <c r="AD25" t="s">
        <v>167</v>
      </c>
      <c r="AE25">
        <v>3.9054731564829859E-2</v>
      </c>
      <c r="AG25" t="s">
        <v>96</v>
      </c>
      <c r="AH25" t="s">
        <v>167</v>
      </c>
      <c r="AI25">
        <v>0.15214676873187183</v>
      </c>
      <c r="AK25">
        <v>2022</v>
      </c>
      <c r="AL25" t="s">
        <v>154</v>
      </c>
      <c r="AM25">
        <v>0.12544802867383509</v>
      </c>
      <c r="AN25" t="s">
        <v>281</v>
      </c>
    </row>
    <row r="26" spans="9:40" x14ac:dyDescent="0.45">
      <c r="I26" t="s">
        <v>157</v>
      </c>
      <c r="J26" t="s">
        <v>291</v>
      </c>
      <c r="K26">
        <v>3.9669284532207047E-3</v>
      </c>
      <c r="L26" t="s">
        <v>159</v>
      </c>
      <c r="N26" t="s">
        <v>210</v>
      </c>
      <c r="O26" t="s">
        <v>291</v>
      </c>
      <c r="P26">
        <v>5.6054464280996374E-3</v>
      </c>
      <c r="Q26" t="s">
        <v>159</v>
      </c>
      <c r="S26" t="s">
        <v>252</v>
      </c>
      <c r="T26" t="s">
        <v>291</v>
      </c>
      <c r="U26">
        <v>3.0721437437134227E-3</v>
      </c>
      <c r="V26" t="s">
        <v>159</v>
      </c>
      <c r="X26">
        <v>3.5388127853881279E-3</v>
      </c>
      <c r="Y26">
        <v>6.8849497385409693E-3</v>
      </c>
      <c r="Z26" t="s">
        <v>291</v>
      </c>
      <c r="AA26" t="s">
        <v>25</v>
      </c>
      <c r="AC26" t="s">
        <v>22</v>
      </c>
      <c r="AD26" t="s">
        <v>291</v>
      </c>
      <c r="AE26">
        <v>5.0187886627884272E-3</v>
      </c>
      <c r="AG26" t="s">
        <v>96</v>
      </c>
      <c r="AH26" t="s">
        <v>291</v>
      </c>
      <c r="AI26">
        <v>8.5214025863671328E-2</v>
      </c>
      <c r="AK26">
        <v>2022</v>
      </c>
      <c r="AL26" t="s">
        <v>283</v>
      </c>
      <c r="AM26">
        <v>0.12544802867383509</v>
      </c>
      <c r="AN26" t="s">
        <v>281</v>
      </c>
    </row>
    <row r="27" spans="9:40" x14ac:dyDescent="0.45">
      <c r="I27" t="s">
        <v>157</v>
      </c>
      <c r="J27" t="s">
        <v>292</v>
      </c>
      <c r="K27">
        <v>0</v>
      </c>
      <c r="L27" t="s">
        <v>159</v>
      </c>
      <c r="N27" t="s">
        <v>210</v>
      </c>
      <c r="O27" t="s">
        <v>292</v>
      </c>
      <c r="P27">
        <v>4.6692013730693146E-3</v>
      </c>
      <c r="Q27" t="s">
        <v>159</v>
      </c>
      <c r="S27" t="s">
        <v>252</v>
      </c>
      <c r="T27" t="s">
        <v>292</v>
      </c>
      <c r="U27">
        <v>3.0725532923284726E-3</v>
      </c>
      <c r="V27" t="s">
        <v>159</v>
      </c>
      <c r="X27">
        <v>3.5388127853881279E-3</v>
      </c>
      <c r="Y27">
        <v>5.3435430806586613E-3</v>
      </c>
      <c r="Z27" t="s">
        <v>292</v>
      </c>
      <c r="AA27" t="s">
        <v>25</v>
      </c>
      <c r="AC27" t="s">
        <v>22</v>
      </c>
      <c r="AD27" t="s">
        <v>292</v>
      </c>
      <c r="AE27">
        <v>4.953302256246587E-3</v>
      </c>
      <c r="AG27" t="s">
        <v>96</v>
      </c>
      <c r="AH27" t="s">
        <v>292</v>
      </c>
      <c r="AI27">
        <v>8.5423052306120129E-2</v>
      </c>
      <c r="AK27">
        <v>2022</v>
      </c>
      <c r="AL27" t="s">
        <v>285</v>
      </c>
      <c r="AM27">
        <v>0.34528076463560331</v>
      </c>
      <c r="AN27" t="s">
        <v>281</v>
      </c>
    </row>
    <row r="28" spans="9:40" x14ac:dyDescent="0.45">
      <c r="I28" t="s">
        <v>157</v>
      </c>
      <c r="J28" t="s">
        <v>310</v>
      </c>
      <c r="K28">
        <v>0</v>
      </c>
      <c r="L28" t="s">
        <v>159</v>
      </c>
      <c r="N28" t="s">
        <v>210</v>
      </c>
      <c r="O28" t="s">
        <v>310</v>
      </c>
      <c r="P28">
        <v>2.0093652542073747E-2</v>
      </c>
      <c r="Q28" t="s">
        <v>159</v>
      </c>
      <c r="S28" t="s">
        <v>252</v>
      </c>
      <c r="T28" t="s">
        <v>310</v>
      </c>
      <c r="U28">
        <v>1.5762011655508255E-2</v>
      </c>
      <c r="V28" t="s">
        <v>159</v>
      </c>
      <c r="X28">
        <v>1.7694063926940638E-2</v>
      </c>
      <c r="Y28">
        <v>1.3358857701646654E-2</v>
      </c>
      <c r="Z28" t="s">
        <v>310</v>
      </c>
      <c r="AA28" t="s">
        <v>25</v>
      </c>
      <c r="AC28" t="s">
        <v>22</v>
      </c>
      <c r="AD28" t="s">
        <v>310</v>
      </c>
      <c r="AE28">
        <v>1.8403222487043746E-2</v>
      </c>
      <c r="AG28" t="s">
        <v>96</v>
      </c>
      <c r="AH28" t="s">
        <v>310</v>
      </c>
      <c r="AI28">
        <v>0.20681980140534106</v>
      </c>
      <c r="AK28">
        <v>2022</v>
      </c>
      <c r="AL28" t="s">
        <v>306</v>
      </c>
      <c r="AM28">
        <v>0.73476702508960567</v>
      </c>
      <c r="AN28" t="s">
        <v>281</v>
      </c>
    </row>
    <row r="29" spans="9:40" x14ac:dyDescent="0.45">
      <c r="I29" t="s">
        <v>157</v>
      </c>
      <c r="J29" t="s">
        <v>293</v>
      </c>
      <c r="K29">
        <v>0</v>
      </c>
      <c r="L29" t="s">
        <v>159</v>
      </c>
      <c r="N29" t="s">
        <v>210</v>
      </c>
      <c r="O29" t="s">
        <v>293</v>
      </c>
      <c r="P29">
        <v>8.1771757410565079E-3</v>
      </c>
      <c r="Q29" t="s">
        <v>159</v>
      </c>
      <c r="S29" t="s">
        <v>252</v>
      </c>
      <c r="T29" t="s">
        <v>293</v>
      </c>
      <c r="U29">
        <v>3.1547799907673856E-3</v>
      </c>
      <c r="V29" t="s">
        <v>159</v>
      </c>
      <c r="X29">
        <v>5.5936073059360729E-3</v>
      </c>
      <c r="Y29">
        <v>2.2090180576618689E-3</v>
      </c>
      <c r="Z29" t="s">
        <v>293</v>
      </c>
      <c r="AA29" t="s">
        <v>25</v>
      </c>
      <c r="AC29" t="s">
        <v>22</v>
      </c>
      <c r="AD29" t="s">
        <v>293</v>
      </c>
      <c r="AE29">
        <v>4.3872536714012278E-3</v>
      </c>
      <c r="AG29" t="s">
        <v>96</v>
      </c>
      <c r="AH29" t="s">
        <v>293</v>
      </c>
      <c r="AI29">
        <v>0.24227028784070814</v>
      </c>
      <c r="AK29">
        <v>2025</v>
      </c>
      <c r="AL29" t="s">
        <v>148</v>
      </c>
      <c r="AM29">
        <v>0.31746666666666667</v>
      </c>
      <c r="AN29" t="s">
        <v>281</v>
      </c>
    </row>
    <row r="30" spans="9:40" x14ac:dyDescent="0.45">
      <c r="I30" t="s">
        <v>157</v>
      </c>
      <c r="J30" t="s">
        <v>294</v>
      </c>
      <c r="K30">
        <v>1.1332973668603155E-3</v>
      </c>
      <c r="L30" t="s">
        <v>159</v>
      </c>
      <c r="N30" t="s">
        <v>210</v>
      </c>
      <c r="O30" t="s">
        <v>294</v>
      </c>
      <c r="P30">
        <v>1.594181142220183E-3</v>
      </c>
      <c r="Q30" t="s">
        <v>159</v>
      </c>
      <c r="S30" t="s">
        <v>252</v>
      </c>
      <c r="T30" t="s">
        <v>294</v>
      </c>
      <c r="U30">
        <v>4.0559208371572823E-4</v>
      </c>
      <c r="V30" t="s">
        <v>159</v>
      </c>
      <c r="X30">
        <v>7.9908675799086762E-4</v>
      </c>
      <c r="Y30">
        <v>1.3342283436508136E-3</v>
      </c>
      <c r="Z30" t="s">
        <v>294</v>
      </c>
      <c r="AA30" t="s">
        <v>25</v>
      </c>
      <c r="AC30" t="s">
        <v>22</v>
      </c>
      <c r="AD30" t="s">
        <v>294</v>
      </c>
      <c r="AE30">
        <v>9.7246898199590212E-4</v>
      </c>
      <c r="AG30" t="s">
        <v>96</v>
      </c>
      <c r="AH30" t="s">
        <v>294</v>
      </c>
      <c r="AI30">
        <v>7.9341283869957202E-2</v>
      </c>
      <c r="AK30">
        <v>2025</v>
      </c>
      <c r="AL30" t="s">
        <v>152</v>
      </c>
      <c r="AM30">
        <v>0.11524999999999999</v>
      </c>
      <c r="AN30" t="s">
        <v>281</v>
      </c>
    </row>
    <row r="31" spans="9:40" x14ac:dyDescent="0.45">
      <c r="I31" t="s">
        <v>157</v>
      </c>
      <c r="J31" t="s">
        <v>295</v>
      </c>
      <c r="K31">
        <v>1.5158952185182989E-2</v>
      </c>
      <c r="L31" t="s">
        <v>159</v>
      </c>
      <c r="N31" t="s">
        <v>210</v>
      </c>
      <c r="O31" t="s">
        <v>295</v>
      </c>
      <c r="P31">
        <v>1.6159362140203228E-2</v>
      </c>
      <c r="Q31" t="s">
        <v>159</v>
      </c>
      <c r="S31" t="s">
        <v>252</v>
      </c>
      <c r="T31" t="s">
        <v>295</v>
      </c>
      <c r="U31">
        <v>3.8217159678022553E-3</v>
      </c>
      <c r="V31" t="s">
        <v>159</v>
      </c>
      <c r="X31">
        <v>7.1917808219178082E-3</v>
      </c>
      <c r="Y31">
        <v>9.8570469631802712E-3</v>
      </c>
      <c r="Z31" t="s">
        <v>295</v>
      </c>
      <c r="AA31" t="s">
        <v>25</v>
      </c>
      <c r="AC31" t="s">
        <v>22</v>
      </c>
      <c r="AD31" t="s">
        <v>295</v>
      </c>
      <c r="AE31">
        <v>8.5745030838730828E-3</v>
      </c>
      <c r="AG31" t="s">
        <v>96</v>
      </c>
      <c r="AH31" t="s">
        <v>295</v>
      </c>
      <c r="AI31">
        <v>0.15350688711464944</v>
      </c>
      <c r="AK31">
        <v>2025</v>
      </c>
      <c r="AL31" t="s">
        <v>154</v>
      </c>
      <c r="AM31">
        <v>9.7500000000000003E-2</v>
      </c>
      <c r="AN31" t="s">
        <v>281</v>
      </c>
    </row>
    <row r="32" spans="9:40" x14ac:dyDescent="0.45">
      <c r="I32" t="s">
        <v>157</v>
      </c>
      <c r="J32" t="s">
        <v>296</v>
      </c>
      <c r="K32">
        <v>9.7001450480800968E-4</v>
      </c>
      <c r="L32" t="s">
        <v>159</v>
      </c>
      <c r="N32" t="s">
        <v>210</v>
      </c>
      <c r="O32" t="s">
        <v>296</v>
      </c>
      <c r="P32">
        <v>1.1352435683927723E-3</v>
      </c>
      <c r="Q32" t="s">
        <v>159</v>
      </c>
      <c r="S32" t="s">
        <v>252</v>
      </c>
      <c r="T32" t="s">
        <v>296</v>
      </c>
      <c r="U32">
        <v>6.297621016459644E-4</v>
      </c>
      <c r="V32" t="s">
        <v>159</v>
      </c>
      <c r="X32">
        <v>7.9908675799086762E-4</v>
      </c>
      <c r="Y32">
        <v>1.5546660699931219E-3</v>
      </c>
      <c r="Z32" t="s">
        <v>296</v>
      </c>
      <c r="AA32" t="s">
        <v>25</v>
      </c>
      <c r="AC32" t="s">
        <v>22</v>
      </c>
      <c r="AD32" t="s">
        <v>296</v>
      </c>
      <c r="AE32">
        <v>1.0504026836158742E-3</v>
      </c>
      <c r="AG32" t="s">
        <v>96</v>
      </c>
      <c r="AH32" t="s">
        <v>296</v>
      </c>
      <c r="AI32">
        <v>0.1068865911098027</v>
      </c>
      <c r="AK32">
        <v>2025</v>
      </c>
      <c r="AL32" t="s">
        <v>283</v>
      </c>
      <c r="AM32">
        <v>0.1051</v>
      </c>
      <c r="AN32" t="s">
        <v>281</v>
      </c>
    </row>
    <row r="33" spans="9:40" x14ac:dyDescent="0.45">
      <c r="I33" t="s">
        <v>157</v>
      </c>
      <c r="J33" t="s">
        <v>297</v>
      </c>
      <c r="K33">
        <v>0</v>
      </c>
      <c r="L33" t="s">
        <v>159</v>
      </c>
      <c r="N33" t="s">
        <v>210</v>
      </c>
      <c r="O33" t="s">
        <v>297</v>
      </c>
      <c r="P33">
        <v>7.976843006722434E-4</v>
      </c>
      <c r="Q33" t="s">
        <v>159</v>
      </c>
      <c r="S33" t="s">
        <v>252</v>
      </c>
      <c r="T33" t="s">
        <v>297</v>
      </c>
      <c r="U33">
        <v>6.8756519677693145E-4</v>
      </c>
      <c r="V33" t="s">
        <v>159</v>
      </c>
      <c r="X33">
        <v>7.9908675799086762E-4</v>
      </c>
      <c r="Y33">
        <v>1.2066065020842141E-3</v>
      </c>
      <c r="Z33" t="s">
        <v>297</v>
      </c>
      <c r="AA33" t="s">
        <v>25</v>
      </c>
      <c r="AC33" t="s">
        <v>22</v>
      </c>
      <c r="AD33" t="s">
        <v>297</v>
      </c>
      <c r="AE33">
        <v>1.0384314182361985E-3</v>
      </c>
      <c r="AG33" t="s">
        <v>96</v>
      </c>
      <c r="AH33" t="s">
        <v>297</v>
      </c>
      <c r="AI33">
        <v>9.9782457764406418E-2</v>
      </c>
      <c r="AK33">
        <v>2025</v>
      </c>
      <c r="AL33" t="s">
        <v>285</v>
      </c>
      <c r="AM33">
        <v>0.16147999999999998</v>
      </c>
      <c r="AN33" t="s">
        <v>281</v>
      </c>
    </row>
    <row r="34" spans="9:40" x14ac:dyDescent="0.45">
      <c r="I34" t="s">
        <v>157</v>
      </c>
      <c r="J34" t="s">
        <v>311</v>
      </c>
      <c r="K34">
        <v>0</v>
      </c>
      <c r="L34" t="s">
        <v>159</v>
      </c>
      <c r="N34" t="s">
        <v>210</v>
      </c>
      <c r="O34" t="s">
        <v>311</v>
      </c>
      <c r="P34">
        <v>2.4673681086572349E-3</v>
      </c>
      <c r="Q34" t="s">
        <v>159</v>
      </c>
      <c r="S34" t="s">
        <v>252</v>
      </c>
      <c r="T34" t="s">
        <v>311</v>
      </c>
      <c r="U34">
        <v>3.3166105643069378E-3</v>
      </c>
      <c r="V34" t="s">
        <v>159</v>
      </c>
      <c r="X34">
        <v>3.9954337899543377E-3</v>
      </c>
      <c r="Y34">
        <v>3.0165162552105353E-3</v>
      </c>
      <c r="Z34" t="s">
        <v>311</v>
      </c>
      <c r="AA34" t="s">
        <v>25</v>
      </c>
      <c r="AC34" t="s">
        <v>22</v>
      </c>
      <c r="AD34" t="s">
        <v>311</v>
      </c>
      <c r="AE34">
        <v>4.0540641127317246E-3</v>
      </c>
      <c r="AG34" t="s">
        <v>96</v>
      </c>
      <c r="AH34" t="s">
        <v>311</v>
      </c>
      <c r="AI34">
        <v>0.19774027139172357</v>
      </c>
      <c r="AK34">
        <v>2025</v>
      </c>
      <c r="AL34" t="s">
        <v>306</v>
      </c>
      <c r="AM34">
        <v>0.29599999999999999</v>
      </c>
      <c r="AN34" t="s">
        <v>281</v>
      </c>
    </row>
    <row r="35" spans="9:40" x14ac:dyDescent="0.45">
      <c r="I35" t="s">
        <v>157</v>
      </c>
      <c r="J35" t="s">
        <v>298</v>
      </c>
      <c r="K35">
        <v>1.4456441884576126E-2</v>
      </c>
      <c r="L35" t="s">
        <v>159</v>
      </c>
      <c r="N35" t="s">
        <v>210</v>
      </c>
      <c r="O35" t="s">
        <v>298</v>
      </c>
      <c r="P35">
        <v>4.6908657659508426E-2</v>
      </c>
      <c r="Q35" t="s">
        <v>159</v>
      </c>
      <c r="S35" t="s">
        <v>252</v>
      </c>
      <c r="T35" t="s">
        <v>298</v>
      </c>
      <c r="U35">
        <v>7.6872718677272328E-2</v>
      </c>
      <c r="V35" t="s">
        <v>159</v>
      </c>
      <c r="X35">
        <v>7.6712328767123292E-2</v>
      </c>
      <c r="Y35">
        <v>3.0295104790791345E-2</v>
      </c>
      <c r="Z35" t="s">
        <v>298</v>
      </c>
      <c r="AA35" t="s">
        <v>25</v>
      </c>
      <c r="AC35" t="s">
        <v>22</v>
      </c>
      <c r="AD35" t="s">
        <v>298</v>
      </c>
      <c r="AE35">
        <v>5.343147999696838E-2</v>
      </c>
      <c r="AG35" t="s">
        <v>96</v>
      </c>
      <c r="AH35" t="s">
        <v>298</v>
      </c>
      <c r="AI35">
        <v>0.26188120821444683</v>
      </c>
      <c r="AK35">
        <v>2026</v>
      </c>
      <c r="AL35" t="s">
        <v>148</v>
      </c>
      <c r="AM35">
        <v>0.30671666666666664</v>
      </c>
      <c r="AN35" t="s">
        <v>281</v>
      </c>
    </row>
    <row r="36" spans="9:40" x14ac:dyDescent="0.45">
      <c r="I36" t="s">
        <v>157</v>
      </c>
      <c r="J36" t="s">
        <v>299</v>
      </c>
      <c r="K36">
        <v>2.2807903637388084E-2</v>
      </c>
      <c r="L36" t="s">
        <v>159</v>
      </c>
      <c r="N36" t="s">
        <v>210</v>
      </c>
      <c r="O36" t="s">
        <v>299</v>
      </c>
      <c r="P36">
        <v>7.3727549502621047E-3</v>
      </c>
      <c r="Q36" t="s">
        <v>159</v>
      </c>
      <c r="S36" t="s">
        <v>252</v>
      </c>
      <c r="T36" t="s">
        <v>299</v>
      </c>
      <c r="U36">
        <v>1.0274972723295691E-2</v>
      </c>
      <c r="V36" t="s">
        <v>159</v>
      </c>
      <c r="X36">
        <v>1.0958904109589041E-2</v>
      </c>
      <c r="Y36">
        <v>1.8297988712925439E-2</v>
      </c>
      <c r="Z36" t="s">
        <v>299</v>
      </c>
      <c r="AA36" t="s">
        <v>25</v>
      </c>
      <c r="AC36" t="s">
        <v>22</v>
      </c>
      <c r="AD36" t="s">
        <v>299</v>
      </c>
      <c r="AE36">
        <v>1.1533944728281028E-2</v>
      </c>
      <c r="AG36" t="s">
        <v>96</v>
      </c>
      <c r="AH36" t="s">
        <v>299</v>
      </c>
      <c r="AI36">
        <v>9.7218006473386742E-2</v>
      </c>
      <c r="AK36">
        <v>2026</v>
      </c>
      <c r="AL36" t="s">
        <v>152</v>
      </c>
      <c r="AM36">
        <v>0.1206</v>
      </c>
      <c r="AN36" t="s">
        <v>281</v>
      </c>
    </row>
    <row r="37" spans="9:40" x14ac:dyDescent="0.45">
      <c r="I37" t="s">
        <v>157</v>
      </c>
      <c r="J37" t="s">
        <v>300</v>
      </c>
      <c r="K37">
        <v>0.2480713374687846</v>
      </c>
      <c r="L37" t="s">
        <v>159</v>
      </c>
      <c r="N37" t="s">
        <v>210</v>
      </c>
      <c r="O37" t="s">
        <v>300</v>
      </c>
      <c r="P37">
        <v>0.12734476857211544</v>
      </c>
      <c r="Q37" t="s">
        <v>159</v>
      </c>
      <c r="S37" t="s">
        <v>252</v>
      </c>
      <c r="T37" t="s">
        <v>300</v>
      </c>
      <c r="U37">
        <v>9.3418598279345344E-2</v>
      </c>
      <c r="V37" t="s">
        <v>159</v>
      </c>
      <c r="X37">
        <v>9.8630136986301367E-2</v>
      </c>
      <c r="Y37">
        <v>0.13518235835218659</v>
      </c>
      <c r="Z37" t="s">
        <v>300</v>
      </c>
      <c r="AA37" t="s">
        <v>25</v>
      </c>
      <c r="AC37" t="s">
        <v>22</v>
      </c>
      <c r="AD37" t="s">
        <v>300</v>
      </c>
      <c r="AE37">
        <v>0.11126518765172894</v>
      </c>
      <c r="AG37" t="s">
        <v>96</v>
      </c>
      <c r="AH37" t="s">
        <v>300</v>
      </c>
      <c r="AI37">
        <v>0.1287083638694051</v>
      </c>
      <c r="AK37">
        <v>2026</v>
      </c>
      <c r="AL37" t="s">
        <v>154</v>
      </c>
      <c r="AM37">
        <v>9.5500000000000002E-2</v>
      </c>
      <c r="AN37" t="s">
        <v>281</v>
      </c>
    </row>
    <row r="38" spans="9:40" x14ac:dyDescent="0.45">
      <c r="I38" t="s">
        <v>157</v>
      </c>
      <c r="J38" t="s">
        <v>301</v>
      </c>
      <c r="K38">
        <v>1.6034079735705212E-2</v>
      </c>
      <c r="L38" t="s">
        <v>159</v>
      </c>
      <c r="N38" t="s">
        <v>210</v>
      </c>
      <c r="O38" t="s">
        <v>301</v>
      </c>
      <c r="P38">
        <v>1.8035207781945603E-2</v>
      </c>
      <c r="Q38" t="s">
        <v>159</v>
      </c>
      <c r="S38" t="s">
        <v>252</v>
      </c>
      <c r="T38" t="s">
        <v>301</v>
      </c>
      <c r="U38">
        <v>1.1949962027359012E-2</v>
      </c>
      <c r="V38" t="s">
        <v>159</v>
      </c>
      <c r="X38">
        <v>1.0958904109589041E-2</v>
      </c>
      <c r="Y38">
        <v>2.1321134674191389E-2</v>
      </c>
      <c r="Z38" t="s">
        <v>301</v>
      </c>
      <c r="AA38" t="s">
        <v>25</v>
      </c>
      <c r="AC38" t="s">
        <v>22</v>
      </c>
      <c r="AD38" t="s">
        <v>301</v>
      </c>
      <c r="AE38">
        <v>1.2597618397205093E-2</v>
      </c>
      <c r="AG38" t="s">
        <v>96</v>
      </c>
      <c r="AH38" t="s">
        <v>301</v>
      </c>
      <c r="AI38">
        <v>0.13526831619691237</v>
      </c>
      <c r="AK38">
        <v>2026</v>
      </c>
      <c r="AL38" t="s">
        <v>283</v>
      </c>
      <c r="AM38">
        <v>0.1013</v>
      </c>
      <c r="AN38" t="s">
        <v>281</v>
      </c>
    </row>
    <row r="39" spans="9:40" x14ac:dyDescent="0.45">
      <c r="I39" t="s">
        <v>157</v>
      </c>
      <c r="J39" t="s">
        <v>302</v>
      </c>
      <c r="K39">
        <v>2.7110060881124528E-3</v>
      </c>
      <c r="L39" t="s">
        <v>159</v>
      </c>
      <c r="N39" t="s">
        <v>210</v>
      </c>
      <c r="O39" t="s">
        <v>302</v>
      </c>
      <c r="P39">
        <v>1.6599072498262105E-2</v>
      </c>
      <c r="Q39" t="s">
        <v>159</v>
      </c>
      <c r="S39" t="s">
        <v>252</v>
      </c>
      <c r="T39" t="s">
        <v>302</v>
      </c>
      <c r="U39">
        <v>1.2101883826930924E-2</v>
      </c>
      <c r="V39" t="s">
        <v>159</v>
      </c>
      <c r="X39">
        <v>1.0958904109589041E-2</v>
      </c>
      <c r="Y39">
        <v>1.6547746314297788E-2</v>
      </c>
      <c r="Z39" t="s">
        <v>302</v>
      </c>
      <c r="AA39" t="s">
        <v>25</v>
      </c>
      <c r="AC39" t="s">
        <v>22</v>
      </c>
      <c r="AD39" t="s">
        <v>302</v>
      </c>
      <c r="AE39">
        <v>1.2675023176937894E-2</v>
      </c>
      <c r="AG39" t="s">
        <v>96</v>
      </c>
      <c r="AH39" t="s">
        <v>302</v>
      </c>
      <c r="AI39">
        <v>0.11674854858713379</v>
      </c>
      <c r="AK39">
        <v>2026</v>
      </c>
      <c r="AL39" t="s">
        <v>285</v>
      </c>
      <c r="AM39">
        <v>0.15834000000000001</v>
      </c>
      <c r="AN39" t="s">
        <v>281</v>
      </c>
    </row>
    <row r="40" spans="9:40" x14ac:dyDescent="0.45">
      <c r="I40" t="s">
        <v>157</v>
      </c>
      <c r="J40" t="s">
        <v>312</v>
      </c>
      <c r="K40">
        <v>0</v>
      </c>
      <c r="L40" t="s">
        <v>159</v>
      </c>
      <c r="N40" t="s">
        <v>210</v>
      </c>
      <c r="O40" t="s">
        <v>312</v>
      </c>
      <c r="P40">
        <v>4.456402599963414E-2</v>
      </c>
      <c r="Q40" t="s">
        <v>159</v>
      </c>
      <c r="S40" t="s">
        <v>252</v>
      </c>
      <c r="T40" t="s">
        <v>312</v>
      </c>
      <c r="U40">
        <v>5.7900574827535967E-2</v>
      </c>
      <c r="V40" t="s">
        <v>159</v>
      </c>
      <c r="X40">
        <v>5.4794520547945202E-2</v>
      </c>
      <c r="Y40">
        <v>4.1369365785744475E-2</v>
      </c>
      <c r="Z40" t="s">
        <v>312</v>
      </c>
      <c r="AA40" t="s">
        <v>25</v>
      </c>
      <c r="AC40" t="s">
        <v>22</v>
      </c>
      <c r="AD40" t="s">
        <v>312</v>
      </c>
      <c r="AE40">
        <v>5.1099808573536999E-2</v>
      </c>
      <c r="AG40" t="s">
        <v>96</v>
      </c>
      <c r="AH40" t="s">
        <v>312</v>
      </c>
      <c r="AI40">
        <v>0.21779603011635862</v>
      </c>
      <c r="AK40">
        <v>2026</v>
      </c>
      <c r="AL40" t="s">
        <v>306</v>
      </c>
      <c r="AM40">
        <v>0.27510000000000001</v>
      </c>
      <c r="AN40" t="s">
        <v>281</v>
      </c>
    </row>
    <row r="41" spans="9:40" x14ac:dyDescent="0.45">
      <c r="I41" t="s">
        <v>157</v>
      </c>
      <c r="J41" t="s">
        <v>313</v>
      </c>
      <c r="K41">
        <v>5.2653233641909965E-3</v>
      </c>
      <c r="L41" t="s">
        <v>159</v>
      </c>
      <c r="N41" t="s">
        <v>210</v>
      </c>
      <c r="O41" t="s">
        <v>313</v>
      </c>
      <c r="P41">
        <v>3.5830771600039979E-3</v>
      </c>
      <c r="Q41" t="s">
        <v>159</v>
      </c>
      <c r="S41" t="s">
        <v>252</v>
      </c>
      <c r="T41" t="s">
        <v>313</v>
      </c>
      <c r="U41">
        <v>2.874195239319241E-2</v>
      </c>
      <c r="V41" t="s">
        <v>159</v>
      </c>
      <c r="X41">
        <v>2.3173515981735161E-2</v>
      </c>
      <c r="Y41">
        <v>9.151646238884887E-3</v>
      </c>
      <c r="Z41" t="s">
        <v>313</v>
      </c>
      <c r="AA41" t="s">
        <v>25</v>
      </c>
      <c r="AC41" t="s">
        <v>22</v>
      </c>
      <c r="AD41" t="s">
        <v>313</v>
      </c>
      <c r="AE41">
        <v>1.669309114777583E-2</v>
      </c>
      <c r="AG41" t="s">
        <v>96</v>
      </c>
      <c r="AH41" t="s">
        <v>313</v>
      </c>
      <c r="AI41">
        <v>0.18651642444106487</v>
      </c>
      <c r="AK41">
        <v>2027</v>
      </c>
      <c r="AL41" t="s">
        <v>148</v>
      </c>
      <c r="AM41">
        <v>0.31265000000000004</v>
      </c>
      <c r="AN41" t="s">
        <v>281</v>
      </c>
    </row>
    <row r="42" spans="9:40" x14ac:dyDescent="0.45">
      <c r="I42" t="s">
        <v>157</v>
      </c>
      <c r="J42" t="s">
        <v>314</v>
      </c>
      <c r="K42">
        <v>6.4312540617603433E-3</v>
      </c>
      <c r="L42" t="s">
        <v>159</v>
      </c>
      <c r="N42" t="s">
        <v>210</v>
      </c>
      <c r="O42" t="s">
        <v>314</v>
      </c>
      <c r="P42">
        <v>4.2030648901021471E-4</v>
      </c>
      <c r="Q42" t="s">
        <v>159</v>
      </c>
      <c r="S42" t="s">
        <v>252</v>
      </c>
      <c r="T42" t="s">
        <v>314</v>
      </c>
      <c r="U42">
        <v>3.937914115563667E-3</v>
      </c>
      <c r="V42" t="s">
        <v>159</v>
      </c>
      <c r="X42">
        <v>3.3105022831050228E-3</v>
      </c>
      <c r="Y42">
        <v>5.5275174236962274E-3</v>
      </c>
      <c r="Z42" t="s">
        <v>314</v>
      </c>
      <c r="AA42" t="s">
        <v>25</v>
      </c>
      <c r="AC42" t="s">
        <v>22</v>
      </c>
      <c r="AD42" t="s">
        <v>314</v>
      </c>
      <c r="AE42">
        <v>3.5022418656291631E-3</v>
      </c>
      <c r="AG42" t="s">
        <v>96</v>
      </c>
      <c r="AH42" t="s">
        <v>314</v>
      </c>
      <c r="AI42">
        <v>5.6453587440236985E-2</v>
      </c>
      <c r="AK42">
        <v>2027</v>
      </c>
      <c r="AL42" t="s">
        <v>152</v>
      </c>
      <c r="AM42">
        <v>0.11085</v>
      </c>
      <c r="AN42" t="s">
        <v>281</v>
      </c>
    </row>
    <row r="43" spans="9:40" x14ac:dyDescent="0.45">
      <c r="I43" t="s">
        <v>157</v>
      </c>
      <c r="J43" t="s">
        <v>315</v>
      </c>
      <c r="K43">
        <v>7.0657989787924411E-2</v>
      </c>
      <c r="L43" t="s">
        <v>159</v>
      </c>
      <c r="N43" t="s">
        <v>210</v>
      </c>
      <c r="O43" t="s">
        <v>315</v>
      </c>
      <c r="P43">
        <v>1.5466429345293284E-2</v>
      </c>
      <c r="Q43" t="s">
        <v>159</v>
      </c>
      <c r="S43" t="s">
        <v>252</v>
      </c>
      <c r="T43" t="s">
        <v>315</v>
      </c>
      <c r="U43">
        <v>3.504266777504806E-2</v>
      </c>
      <c r="V43" t="s">
        <v>159</v>
      </c>
      <c r="X43">
        <v>2.9794520547945205E-2</v>
      </c>
      <c r="Y43">
        <v>4.0836337418889694E-2</v>
      </c>
      <c r="Z43" t="s">
        <v>315</v>
      </c>
      <c r="AA43" t="s">
        <v>25</v>
      </c>
      <c r="AC43" t="s">
        <v>22</v>
      </c>
      <c r="AD43" t="s">
        <v>315</v>
      </c>
      <c r="AE43">
        <v>3.422313806450096E-2</v>
      </c>
      <c r="AG43" t="s">
        <v>96</v>
      </c>
      <c r="AH43" t="s">
        <v>315</v>
      </c>
      <c r="AI43">
        <v>0.11183566983460613</v>
      </c>
      <c r="AK43">
        <v>2027</v>
      </c>
      <c r="AL43" t="s">
        <v>154</v>
      </c>
      <c r="AM43">
        <v>9.5799999999999996E-2</v>
      </c>
      <c r="AN43" t="s">
        <v>281</v>
      </c>
    </row>
    <row r="44" spans="9:40" x14ac:dyDescent="0.45">
      <c r="I44" t="s">
        <v>157</v>
      </c>
      <c r="J44" t="s">
        <v>316</v>
      </c>
      <c r="K44">
        <v>5.03506992590307E-3</v>
      </c>
      <c r="L44" t="s">
        <v>159</v>
      </c>
      <c r="N44" t="s">
        <v>210</v>
      </c>
      <c r="O44" t="s">
        <v>316</v>
      </c>
      <c r="P44">
        <v>4.0422506989602515E-3</v>
      </c>
      <c r="Q44" t="s">
        <v>159</v>
      </c>
      <c r="S44" t="s">
        <v>252</v>
      </c>
      <c r="T44" t="s">
        <v>316</v>
      </c>
      <c r="U44">
        <v>4.6067498494471639E-3</v>
      </c>
      <c r="V44" t="s">
        <v>159</v>
      </c>
      <c r="X44">
        <v>3.3105022831050228E-3</v>
      </c>
      <c r="Y44">
        <v>6.4407594328286487E-3</v>
      </c>
      <c r="Z44" t="s">
        <v>316</v>
      </c>
      <c r="AA44" t="s">
        <v>25</v>
      </c>
      <c r="AC44" t="s">
        <v>22</v>
      </c>
      <c r="AD44" t="s">
        <v>316</v>
      </c>
      <c r="AE44">
        <v>3.7912859231493423E-3</v>
      </c>
      <c r="AG44" t="s">
        <v>96</v>
      </c>
      <c r="AH44" t="s">
        <v>316</v>
      </c>
      <c r="AI44">
        <v>3.5323255357385674E-2</v>
      </c>
      <c r="AK44">
        <v>2027</v>
      </c>
      <c r="AL44" t="s">
        <v>283</v>
      </c>
      <c r="AM44">
        <v>9.9099999999999994E-2</v>
      </c>
      <c r="AN44" t="s">
        <v>281</v>
      </c>
    </row>
    <row r="45" spans="9:40" x14ac:dyDescent="0.45">
      <c r="I45" t="s">
        <v>157</v>
      </c>
      <c r="J45" t="s">
        <v>317</v>
      </c>
      <c r="K45">
        <v>3.1125509990158635E-3</v>
      </c>
      <c r="L45" t="s">
        <v>159</v>
      </c>
      <c r="N45" t="s">
        <v>210</v>
      </c>
      <c r="O45" t="s">
        <v>317</v>
      </c>
      <c r="P45">
        <v>3.8008437915563473E-3</v>
      </c>
      <c r="Q45" t="s">
        <v>159</v>
      </c>
      <c r="S45" t="s">
        <v>252</v>
      </c>
      <c r="T45" t="s">
        <v>317</v>
      </c>
      <c r="U45">
        <v>4.7240641402747892E-3</v>
      </c>
      <c r="V45" t="s">
        <v>159</v>
      </c>
      <c r="X45">
        <v>3.3105022831050228E-3</v>
      </c>
      <c r="Y45">
        <v>4.9987983657774574E-3</v>
      </c>
      <c r="Z45" t="s">
        <v>317</v>
      </c>
      <c r="AA45" t="s">
        <v>25</v>
      </c>
      <c r="AC45" t="s">
        <v>22</v>
      </c>
      <c r="AD45" t="s">
        <v>317</v>
      </c>
      <c r="AE45">
        <v>3.8224041608446711E-3</v>
      </c>
      <c r="AG45" t="s">
        <v>96</v>
      </c>
      <c r="AH45" t="s">
        <v>317</v>
      </c>
      <c r="AI45">
        <v>3.4404290583164077E-2</v>
      </c>
      <c r="AK45">
        <v>2027</v>
      </c>
      <c r="AL45" t="s">
        <v>285</v>
      </c>
      <c r="AM45">
        <v>0.16107999999999997</v>
      </c>
      <c r="AN45" t="s">
        <v>281</v>
      </c>
    </row>
    <row r="46" spans="9:40" x14ac:dyDescent="0.45">
      <c r="I46" t="s">
        <v>157</v>
      </c>
      <c r="J46" t="s">
        <v>318</v>
      </c>
      <c r="K46">
        <v>0</v>
      </c>
      <c r="L46" t="s">
        <v>159</v>
      </c>
      <c r="N46" t="s">
        <v>210</v>
      </c>
      <c r="O46" t="s">
        <v>318</v>
      </c>
      <c r="P46">
        <v>9.3545060719017626E-3</v>
      </c>
      <c r="Q46" t="s">
        <v>159</v>
      </c>
      <c r="S46" t="s">
        <v>252</v>
      </c>
      <c r="T46" t="s">
        <v>318</v>
      </c>
      <c r="U46">
        <v>2.3904113855251107E-2</v>
      </c>
      <c r="V46" t="s">
        <v>159</v>
      </c>
      <c r="X46">
        <v>1.6552511415525113E-2</v>
      </c>
      <c r="Y46">
        <v>1.2496995914443643E-2</v>
      </c>
      <c r="Z46" t="s">
        <v>318</v>
      </c>
      <c r="AA46" t="s">
        <v>25</v>
      </c>
      <c r="AC46" t="s">
        <v>22</v>
      </c>
      <c r="AD46" t="s">
        <v>318</v>
      </c>
      <c r="AE46">
        <v>1.5601131347728524E-2</v>
      </c>
      <c r="AG46" t="s">
        <v>96</v>
      </c>
      <c r="AH46" t="s">
        <v>318</v>
      </c>
      <c r="AI46">
        <v>0.12923681474822235</v>
      </c>
      <c r="AK46">
        <v>2027</v>
      </c>
      <c r="AL46" t="s">
        <v>306</v>
      </c>
      <c r="AM46">
        <v>0.29189999999999999</v>
      </c>
      <c r="AN46" t="s">
        <v>281</v>
      </c>
    </row>
    <row r="47" spans="9:40" x14ac:dyDescent="0.45">
      <c r="I47" t="s">
        <v>168</v>
      </c>
      <c r="J47" t="s">
        <v>158</v>
      </c>
      <c r="K47">
        <v>1.1038188482767521E-2</v>
      </c>
      <c r="L47" t="s">
        <v>159</v>
      </c>
      <c r="N47" t="s">
        <v>211</v>
      </c>
      <c r="O47" t="s">
        <v>158</v>
      </c>
      <c r="P47">
        <v>9.9312322061314323E-2</v>
      </c>
      <c r="Q47" t="s">
        <v>159</v>
      </c>
      <c r="S47" t="s">
        <v>253</v>
      </c>
      <c r="T47" t="s">
        <v>158</v>
      </c>
      <c r="U47">
        <v>0.14406437260083843</v>
      </c>
      <c r="V47" t="s">
        <v>159</v>
      </c>
      <c r="AC47" t="s">
        <v>19</v>
      </c>
      <c r="AD47" t="s">
        <v>158</v>
      </c>
      <c r="AE47">
        <v>0.13573818333269982</v>
      </c>
      <c r="AK47">
        <v>2028</v>
      </c>
      <c r="AL47" t="s">
        <v>148</v>
      </c>
      <c r="AM47">
        <v>0.26011666666666666</v>
      </c>
      <c r="AN47" t="s">
        <v>281</v>
      </c>
    </row>
    <row r="48" spans="9:40" x14ac:dyDescent="0.45">
      <c r="I48" t="s">
        <v>168</v>
      </c>
      <c r="J48" t="s">
        <v>160</v>
      </c>
      <c r="K48">
        <v>3.3262239881269084E-2</v>
      </c>
      <c r="L48" t="s">
        <v>159</v>
      </c>
      <c r="N48" t="s">
        <v>211</v>
      </c>
      <c r="O48" t="s">
        <v>160</v>
      </c>
      <c r="P48">
        <v>1.4597265227862012E-2</v>
      </c>
      <c r="Q48" t="s">
        <v>159</v>
      </c>
      <c r="S48" t="s">
        <v>253</v>
      </c>
      <c r="T48" t="s">
        <v>160</v>
      </c>
      <c r="U48">
        <v>1.8134904106446661E-2</v>
      </c>
      <c r="V48" t="s">
        <v>159</v>
      </c>
      <c r="AC48" t="s">
        <v>19</v>
      </c>
      <c r="AD48" t="s">
        <v>160</v>
      </c>
      <c r="AE48">
        <v>1.9732971880100592E-2</v>
      </c>
      <c r="AK48">
        <v>2028</v>
      </c>
      <c r="AL48" t="s">
        <v>152</v>
      </c>
      <c r="AM48">
        <v>9.7799999999999998E-2</v>
      </c>
      <c r="AN48" t="s">
        <v>281</v>
      </c>
    </row>
    <row r="49" spans="9:40" x14ac:dyDescent="0.45">
      <c r="I49" t="s">
        <v>168</v>
      </c>
      <c r="J49" t="s">
        <v>161</v>
      </c>
      <c r="K49">
        <v>0.37453754636170189</v>
      </c>
      <c r="L49" t="s">
        <v>159</v>
      </c>
      <c r="N49" t="s">
        <v>211</v>
      </c>
      <c r="O49" t="s">
        <v>161</v>
      </c>
      <c r="P49">
        <v>0.19570418457600958</v>
      </c>
      <c r="Q49" t="s">
        <v>159</v>
      </c>
      <c r="S49" t="s">
        <v>253</v>
      </c>
      <c r="T49" t="s">
        <v>161</v>
      </c>
      <c r="U49">
        <v>0.16172345543284128</v>
      </c>
      <c r="V49" t="s">
        <v>159</v>
      </c>
      <c r="AC49" t="s">
        <v>19</v>
      </c>
      <c r="AD49" t="s">
        <v>161</v>
      </c>
      <c r="AE49">
        <v>0.17811616576970474</v>
      </c>
      <c r="AK49">
        <v>2028</v>
      </c>
      <c r="AL49" t="s">
        <v>154</v>
      </c>
      <c r="AM49">
        <v>7.8E-2</v>
      </c>
      <c r="AN49" t="s">
        <v>281</v>
      </c>
    </row>
    <row r="50" spans="9:40" x14ac:dyDescent="0.45">
      <c r="I50" t="s">
        <v>168</v>
      </c>
      <c r="J50" t="s">
        <v>287</v>
      </c>
      <c r="K50">
        <v>2.7885936038220337E-2</v>
      </c>
      <c r="L50" t="s">
        <v>159</v>
      </c>
      <c r="N50" t="s">
        <v>211</v>
      </c>
      <c r="O50" t="s">
        <v>287</v>
      </c>
      <c r="P50">
        <v>2.2808847380707147E-2</v>
      </c>
      <c r="Q50" t="s">
        <v>159</v>
      </c>
      <c r="S50" t="s">
        <v>253</v>
      </c>
      <c r="T50" t="s">
        <v>287</v>
      </c>
      <c r="U50">
        <v>2.2604543772491596E-2</v>
      </c>
      <c r="V50" t="s">
        <v>159</v>
      </c>
      <c r="AC50" t="s">
        <v>19</v>
      </c>
      <c r="AD50" t="s">
        <v>287</v>
      </c>
      <c r="AE50">
        <v>1.9825296206167537E-2</v>
      </c>
      <c r="AK50">
        <v>2028</v>
      </c>
      <c r="AL50" t="s">
        <v>283</v>
      </c>
      <c r="AM50">
        <v>8.1299999999999997E-2</v>
      </c>
      <c r="AN50" t="s">
        <v>281</v>
      </c>
    </row>
    <row r="51" spans="9:40" x14ac:dyDescent="0.45">
      <c r="I51" t="s">
        <v>168</v>
      </c>
      <c r="J51" t="s">
        <v>288</v>
      </c>
      <c r="K51">
        <v>1.2149619814640506E-2</v>
      </c>
      <c r="L51" t="s">
        <v>159</v>
      </c>
      <c r="N51" t="s">
        <v>211</v>
      </c>
      <c r="O51" t="s">
        <v>288</v>
      </c>
      <c r="P51">
        <v>2.3330971128320714E-2</v>
      </c>
      <c r="Q51" t="s">
        <v>159</v>
      </c>
      <c r="S51" t="s">
        <v>253</v>
      </c>
      <c r="T51" t="s">
        <v>288</v>
      </c>
      <c r="U51">
        <v>2.3316179652172291E-2</v>
      </c>
      <c r="V51" t="s">
        <v>159</v>
      </c>
      <c r="AC51" t="s">
        <v>19</v>
      </c>
      <c r="AD51" t="s">
        <v>288</v>
      </c>
      <c r="AE51">
        <v>1.9830209983525703E-2</v>
      </c>
      <c r="AK51">
        <v>2028</v>
      </c>
      <c r="AL51" t="s">
        <v>285</v>
      </c>
      <c r="AM51">
        <v>0.14871999999999999</v>
      </c>
      <c r="AN51" t="s">
        <v>281</v>
      </c>
    </row>
    <row r="52" spans="9:40" x14ac:dyDescent="0.45">
      <c r="I52" t="s">
        <v>168</v>
      </c>
      <c r="J52" t="s">
        <v>308</v>
      </c>
      <c r="K52">
        <v>0</v>
      </c>
      <c r="L52" t="s">
        <v>159</v>
      </c>
      <c r="N52" t="s">
        <v>211</v>
      </c>
      <c r="O52" t="s">
        <v>308</v>
      </c>
      <c r="P52">
        <v>9.695345943829721E-2</v>
      </c>
      <c r="Q52" t="s">
        <v>159</v>
      </c>
      <c r="S52" t="s">
        <v>253</v>
      </c>
      <c r="T52" t="s">
        <v>308</v>
      </c>
      <c r="U52">
        <v>0.11532383753848326</v>
      </c>
      <c r="V52" t="s">
        <v>159</v>
      </c>
      <c r="AC52" t="s">
        <v>19</v>
      </c>
      <c r="AD52" t="s">
        <v>308</v>
      </c>
      <c r="AE52">
        <v>9.8004228801534699E-2</v>
      </c>
      <c r="AK52">
        <v>2028</v>
      </c>
      <c r="AL52" t="s">
        <v>306</v>
      </c>
      <c r="AM52">
        <v>0.28339999999999999</v>
      </c>
      <c r="AN52" t="s">
        <v>281</v>
      </c>
    </row>
    <row r="53" spans="9:40" x14ac:dyDescent="0.45">
      <c r="I53" t="s">
        <v>168</v>
      </c>
      <c r="J53" t="s">
        <v>162</v>
      </c>
      <c r="K53">
        <v>0</v>
      </c>
      <c r="L53" t="s">
        <v>159</v>
      </c>
      <c r="N53" t="s">
        <v>211</v>
      </c>
      <c r="O53" t="s">
        <v>162</v>
      </c>
      <c r="P53">
        <v>2.1051982727391897E-2</v>
      </c>
      <c r="Q53" t="s">
        <v>159</v>
      </c>
      <c r="S53" t="s">
        <v>253</v>
      </c>
      <c r="T53" t="s">
        <v>162</v>
      </c>
      <c r="U53">
        <v>1.9466394774652666E-2</v>
      </c>
      <c r="V53" t="s">
        <v>159</v>
      </c>
      <c r="AC53" t="s">
        <v>19</v>
      </c>
      <c r="AD53" t="s">
        <v>162</v>
      </c>
      <c r="AE53">
        <v>2.3645681182064948E-2</v>
      </c>
      <c r="AK53">
        <v>2029</v>
      </c>
      <c r="AL53" t="s">
        <v>148</v>
      </c>
      <c r="AM53">
        <v>0.36823333333333336</v>
      </c>
      <c r="AN53" t="s">
        <v>281</v>
      </c>
    </row>
    <row r="54" spans="9:40" x14ac:dyDescent="0.45">
      <c r="I54" t="s">
        <v>168</v>
      </c>
      <c r="J54" t="s">
        <v>163</v>
      </c>
      <c r="K54">
        <v>3.6843471146033591E-3</v>
      </c>
      <c r="L54" t="s">
        <v>159</v>
      </c>
      <c r="N54" t="s">
        <v>211</v>
      </c>
      <c r="O54" t="s">
        <v>163</v>
      </c>
      <c r="P54">
        <v>3.3195284272465723E-3</v>
      </c>
      <c r="Q54" t="s">
        <v>159</v>
      </c>
      <c r="S54" t="s">
        <v>253</v>
      </c>
      <c r="T54" t="s">
        <v>163</v>
      </c>
      <c r="U54">
        <v>2.6976269032371251E-3</v>
      </c>
      <c r="V54" t="s">
        <v>159</v>
      </c>
      <c r="AC54" t="s">
        <v>19</v>
      </c>
      <c r="AD54" t="s">
        <v>163</v>
      </c>
      <c r="AE54">
        <v>3.4540208287699319E-3</v>
      </c>
      <c r="AK54">
        <v>2029</v>
      </c>
      <c r="AL54" t="s">
        <v>152</v>
      </c>
      <c r="AM54">
        <v>0.14224999999999999</v>
      </c>
      <c r="AN54" t="s">
        <v>281</v>
      </c>
    </row>
    <row r="55" spans="9:40" x14ac:dyDescent="0.45">
      <c r="I55" t="s">
        <v>168</v>
      </c>
      <c r="J55" t="s">
        <v>164</v>
      </c>
      <c r="K55">
        <v>4.6725295183854071E-2</v>
      </c>
      <c r="L55" t="s">
        <v>159</v>
      </c>
      <c r="N55" t="s">
        <v>211</v>
      </c>
      <c r="O55" t="s">
        <v>164</v>
      </c>
      <c r="P55">
        <v>3.9158797234106729E-2</v>
      </c>
      <c r="Q55" t="s">
        <v>159</v>
      </c>
      <c r="S55" t="s">
        <v>253</v>
      </c>
      <c r="T55" t="s">
        <v>164</v>
      </c>
      <c r="U55">
        <v>2.4618188846458423E-2</v>
      </c>
      <c r="V55" t="s">
        <v>159</v>
      </c>
      <c r="AC55" t="s">
        <v>19</v>
      </c>
      <c r="AD55" t="s">
        <v>164</v>
      </c>
      <c r="AE55">
        <v>3.1023683444959878E-2</v>
      </c>
      <c r="AK55">
        <v>2029</v>
      </c>
      <c r="AL55" t="s">
        <v>154</v>
      </c>
      <c r="AM55">
        <v>0.10744999999999999</v>
      </c>
      <c r="AN55" t="s">
        <v>281</v>
      </c>
    </row>
    <row r="56" spans="9:40" x14ac:dyDescent="0.45">
      <c r="I56" t="s">
        <v>168</v>
      </c>
      <c r="J56" t="s">
        <v>289</v>
      </c>
      <c r="K56">
        <v>3.1129155623027434E-3</v>
      </c>
      <c r="L56" t="s">
        <v>159</v>
      </c>
      <c r="N56" t="s">
        <v>211</v>
      </c>
      <c r="O56" t="s">
        <v>289</v>
      </c>
      <c r="P56">
        <v>3.7290290700503943E-3</v>
      </c>
      <c r="Q56" t="s">
        <v>159</v>
      </c>
      <c r="S56" t="s">
        <v>253</v>
      </c>
      <c r="T56" t="s">
        <v>289</v>
      </c>
      <c r="U56">
        <v>2.9557709336859176E-3</v>
      </c>
      <c r="V56" t="s">
        <v>159</v>
      </c>
      <c r="AC56" t="s">
        <v>19</v>
      </c>
      <c r="AD56" t="s">
        <v>289</v>
      </c>
      <c r="AE56">
        <v>3.4774635653140183E-3</v>
      </c>
      <c r="AK56">
        <v>2029</v>
      </c>
      <c r="AL56" t="s">
        <v>283</v>
      </c>
      <c r="AM56">
        <v>0.1021</v>
      </c>
      <c r="AN56" t="s">
        <v>281</v>
      </c>
    </row>
    <row r="57" spans="9:40" x14ac:dyDescent="0.45">
      <c r="I57" t="s">
        <v>168</v>
      </c>
      <c r="J57" t="s">
        <v>290</v>
      </c>
      <c r="K57">
        <v>0</v>
      </c>
      <c r="L57" t="s">
        <v>159</v>
      </c>
      <c r="N57" t="s">
        <v>211</v>
      </c>
      <c r="O57" t="s">
        <v>290</v>
      </c>
      <c r="P57">
        <v>3.5265166765247554E-3</v>
      </c>
      <c r="Q57" t="s">
        <v>159</v>
      </c>
      <c r="S57" t="s">
        <v>253</v>
      </c>
      <c r="T57" t="s">
        <v>290</v>
      </c>
      <c r="U57">
        <v>3.0304186660047713E-3</v>
      </c>
      <c r="V57" t="s">
        <v>159</v>
      </c>
      <c r="AC57" t="s">
        <v>19</v>
      </c>
      <c r="AD57" t="s">
        <v>290</v>
      </c>
      <c r="AE57">
        <v>3.4750330069795391E-3</v>
      </c>
      <c r="AK57">
        <v>2029</v>
      </c>
      <c r="AL57" t="s">
        <v>285</v>
      </c>
      <c r="AM57">
        <v>0.18934000000000001</v>
      </c>
      <c r="AN57" t="s">
        <v>281</v>
      </c>
    </row>
    <row r="58" spans="9:40" x14ac:dyDescent="0.45">
      <c r="I58" t="s">
        <v>168</v>
      </c>
      <c r="J58" t="s">
        <v>309</v>
      </c>
      <c r="K58">
        <v>0</v>
      </c>
      <c r="L58" t="s">
        <v>159</v>
      </c>
      <c r="N58" t="s">
        <v>211</v>
      </c>
      <c r="O58" t="s">
        <v>309</v>
      </c>
      <c r="P58">
        <v>1.5163931187498789E-2</v>
      </c>
      <c r="Q58" t="s">
        <v>159</v>
      </c>
      <c r="S58" t="s">
        <v>253</v>
      </c>
      <c r="T58" t="s">
        <v>309</v>
      </c>
      <c r="U58">
        <v>1.5475177743487769E-2</v>
      </c>
      <c r="V58" t="s">
        <v>159</v>
      </c>
      <c r="AC58" t="s">
        <v>19</v>
      </c>
      <c r="AD58" t="s">
        <v>309</v>
      </c>
      <c r="AE58">
        <v>1.7094329521867097E-2</v>
      </c>
      <c r="AK58">
        <v>2029</v>
      </c>
      <c r="AL58" t="s">
        <v>306</v>
      </c>
      <c r="AM58">
        <v>0.36059999999999998</v>
      </c>
      <c r="AN58" t="s">
        <v>281</v>
      </c>
    </row>
    <row r="59" spans="9:40" x14ac:dyDescent="0.45">
      <c r="I59" t="s">
        <v>168</v>
      </c>
      <c r="J59" t="s">
        <v>165</v>
      </c>
      <c r="K59">
        <v>0</v>
      </c>
      <c r="L59" t="s">
        <v>159</v>
      </c>
      <c r="N59" t="s">
        <v>211</v>
      </c>
      <c r="O59" t="s">
        <v>165</v>
      </c>
      <c r="P59">
        <v>3.0293619439851698E-2</v>
      </c>
      <c r="Q59" t="s">
        <v>159</v>
      </c>
      <c r="S59" t="s">
        <v>253</v>
      </c>
      <c r="T59" t="s">
        <v>165</v>
      </c>
      <c r="U59">
        <v>2.2224772427201896E-2</v>
      </c>
      <c r="V59" t="s">
        <v>159</v>
      </c>
      <c r="AC59" t="s">
        <v>19</v>
      </c>
      <c r="AD59" t="s">
        <v>165</v>
      </c>
      <c r="AE59">
        <v>2.4460553010991867E-2</v>
      </c>
      <c r="AK59">
        <v>2030</v>
      </c>
      <c r="AL59" t="s">
        <v>148</v>
      </c>
      <c r="AM59">
        <v>0.26701666666666662</v>
      </c>
      <c r="AN59" t="s">
        <v>281</v>
      </c>
    </row>
    <row r="60" spans="9:40" x14ac:dyDescent="0.45">
      <c r="I60" t="s">
        <v>168</v>
      </c>
      <c r="J60" t="s">
        <v>166</v>
      </c>
      <c r="K60">
        <v>4.2595881953971047E-3</v>
      </c>
      <c r="L60" t="s">
        <v>159</v>
      </c>
      <c r="N60" t="s">
        <v>211</v>
      </c>
      <c r="O60" t="s">
        <v>166</v>
      </c>
      <c r="P60">
        <v>4.365428023006275E-3</v>
      </c>
      <c r="Q60" t="s">
        <v>159</v>
      </c>
      <c r="S60" t="s">
        <v>253</v>
      </c>
      <c r="T60" t="s">
        <v>166</v>
      </c>
      <c r="U60">
        <v>3.1391823232907417E-3</v>
      </c>
      <c r="V60" t="s">
        <v>159</v>
      </c>
      <c r="AC60" t="s">
        <v>19</v>
      </c>
      <c r="AD60" t="s">
        <v>166</v>
      </c>
      <c r="AE60">
        <v>3.5741985620723776E-3</v>
      </c>
      <c r="AK60">
        <v>2030</v>
      </c>
      <c r="AL60" t="s">
        <v>152</v>
      </c>
      <c r="AM60">
        <v>0.10249999999999999</v>
      </c>
      <c r="AN60" t="s">
        <v>281</v>
      </c>
    </row>
    <row r="61" spans="9:40" x14ac:dyDescent="0.45">
      <c r="I61" t="s">
        <v>168</v>
      </c>
      <c r="J61" t="s">
        <v>167</v>
      </c>
      <c r="K61">
        <v>5.8883925052115441E-2</v>
      </c>
      <c r="L61" t="s">
        <v>159</v>
      </c>
      <c r="N61" t="s">
        <v>211</v>
      </c>
      <c r="O61" t="s">
        <v>167</v>
      </c>
      <c r="P61">
        <v>5.4039200936253626E-2</v>
      </c>
      <c r="Q61" t="s">
        <v>159</v>
      </c>
      <c r="S61" t="s">
        <v>253</v>
      </c>
      <c r="T61" t="s">
        <v>167</v>
      </c>
      <c r="U61">
        <v>2.5575799592295966E-2</v>
      </c>
      <c r="V61" t="s">
        <v>159</v>
      </c>
      <c r="AC61" t="s">
        <v>19</v>
      </c>
      <c r="AD61" t="s">
        <v>167</v>
      </c>
      <c r="AE61">
        <v>3.2096635427333355E-2</v>
      </c>
      <c r="AK61">
        <v>2030</v>
      </c>
      <c r="AL61" t="s">
        <v>154</v>
      </c>
      <c r="AM61">
        <v>7.569999999999999E-2</v>
      </c>
      <c r="AN61" t="s">
        <v>281</v>
      </c>
    </row>
    <row r="62" spans="9:40" x14ac:dyDescent="0.45">
      <c r="I62" t="s">
        <v>168</v>
      </c>
      <c r="J62" t="s">
        <v>291</v>
      </c>
      <c r="K62">
        <v>4.2616380733390266E-3</v>
      </c>
      <c r="L62" t="s">
        <v>159</v>
      </c>
      <c r="N62" t="s">
        <v>211</v>
      </c>
      <c r="O62" t="s">
        <v>291</v>
      </c>
      <c r="P62">
        <v>5.2665379994110296E-3</v>
      </c>
      <c r="Q62" t="s">
        <v>159</v>
      </c>
      <c r="S62" t="s">
        <v>253</v>
      </c>
      <c r="T62" t="s">
        <v>291</v>
      </c>
      <c r="U62">
        <v>2.7865861373810395E-3</v>
      </c>
      <c r="V62" t="s">
        <v>159</v>
      </c>
      <c r="AC62" t="s">
        <v>19</v>
      </c>
      <c r="AD62" t="s">
        <v>291</v>
      </c>
      <c r="AE62">
        <v>3.5988468623089562E-3</v>
      </c>
      <c r="AK62">
        <v>2030</v>
      </c>
      <c r="AL62" t="s">
        <v>283</v>
      </c>
      <c r="AM62">
        <v>7.6999999999999999E-2</v>
      </c>
      <c r="AN62" t="s">
        <v>281</v>
      </c>
    </row>
    <row r="63" spans="9:40" x14ac:dyDescent="0.45">
      <c r="I63" t="s">
        <v>168</v>
      </c>
      <c r="J63" t="s">
        <v>292</v>
      </c>
      <c r="K63">
        <v>0</v>
      </c>
      <c r="L63" t="s">
        <v>159</v>
      </c>
      <c r="N63" t="s">
        <v>211</v>
      </c>
      <c r="O63" t="s">
        <v>292</v>
      </c>
      <c r="P63">
        <v>4.6976240684421782E-3</v>
      </c>
      <c r="Q63" t="s">
        <v>159</v>
      </c>
      <c r="S63" t="s">
        <v>253</v>
      </c>
      <c r="T63" t="s">
        <v>292</v>
      </c>
      <c r="U63">
        <v>2.7954122233652332E-3</v>
      </c>
      <c r="V63" t="s">
        <v>159</v>
      </c>
      <c r="AC63" t="s">
        <v>19</v>
      </c>
      <c r="AD63" t="s">
        <v>292</v>
      </c>
      <c r="AE63">
        <v>3.5957089047697261E-3</v>
      </c>
      <c r="AK63">
        <v>2030</v>
      </c>
      <c r="AL63" t="s">
        <v>285</v>
      </c>
      <c r="AM63">
        <v>0.14948</v>
      </c>
      <c r="AN63" t="s">
        <v>281</v>
      </c>
    </row>
    <row r="64" spans="9:40" x14ac:dyDescent="0.45">
      <c r="I64" t="s">
        <v>168</v>
      </c>
      <c r="J64" t="s">
        <v>310</v>
      </c>
      <c r="K64">
        <v>0</v>
      </c>
      <c r="L64" t="s">
        <v>159</v>
      </c>
      <c r="N64" t="s">
        <v>211</v>
      </c>
      <c r="O64" t="s">
        <v>310</v>
      </c>
      <c r="P64">
        <v>2.1678085609561547E-2</v>
      </c>
      <c r="Q64" t="s">
        <v>159</v>
      </c>
      <c r="S64" t="s">
        <v>253</v>
      </c>
      <c r="T64" t="s">
        <v>310</v>
      </c>
      <c r="U64">
        <v>1.4277406977608572E-2</v>
      </c>
      <c r="V64" t="s">
        <v>159</v>
      </c>
      <c r="AC64" t="s">
        <v>19</v>
      </c>
      <c r="AD64" t="s">
        <v>310</v>
      </c>
      <c r="AE64">
        <v>1.7673630403491965E-2</v>
      </c>
      <c r="AK64">
        <v>2030</v>
      </c>
      <c r="AL64" t="s">
        <v>306</v>
      </c>
      <c r="AM64">
        <v>0.27779999999999999</v>
      </c>
      <c r="AN64" t="s">
        <v>281</v>
      </c>
    </row>
    <row r="65" spans="9:40" x14ac:dyDescent="0.45">
      <c r="I65" t="s">
        <v>168</v>
      </c>
      <c r="J65" t="s">
        <v>293</v>
      </c>
      <c r="K65">
        <v>0</v>
      </c>
      <c r="L65" t="s">
        <v>159</v>
      </c>
      <c r="N65" t="s">
        <v>211</v>
      </c>
      <c r="O65" t="s">
        <v>293</v>
      </c>
      <c r="P65">
        <v>7.6003664367818588E-3</v>
      </c>
      <c r="Q65" t="s">
        <v>159</v>
      </c>
      <c r="S65" t="s">
        <v>253</v>
      </c>
      <c r="T65" t="s">
        <v>293</v>
      </c>
      <c r="U65">
        <v>5.0292886265656906E-3</v>
      </c>
      <c r="V65" t="s">
        <v>159</v>
      </c>
      <c r="AC65" t="s">
        <v>19</v>
      </c>
      <c r="AD65" t="s">
        <v>293</v>
      </c>
      <c r="AE65">
        <v>5.5210323351610443E-3</v>
      </c>
      <c r="AK65">
        <v>2031</v>
      </c>
      <c r="AL65" t="s">
        <v>148</v>
      </c>
      <c r="AM65">
        <v>0.27793333333333331</v>
      </c>
      <c r="AN65" t="s">
        <v>281</v>
      </c>
    </row>
    <row r="66" spans="9:40" x14ac:dyDescent="0.45">
      <c r="I66" t="s">
        <v>168</v>
      </c>
      <c r="J66" t="s">
        <v>294</v>
      </c>
      <c r="K66">
        <v>1.1229721481778232E-3</v>
      </c>
      <c r="L66" t="s">
        <v>159</v>
      </c>
      <c r="N66" t="s">
        <v>211</v>
      </c>
      <c r="O66" t="s">
        <v>294</v>
      </c>
      <c r="P66">
        <v>1.1802078655179862E-3</v>
      </c>
      <c r="Q66" t="s">
        <v>159</v>
      </c>
      <c r="S66" t="s">
        <v>253</v>
      </c>
      <c r="T66" t="s">
        <v>294</v>
      </c>
      <c r="U66">
        <v>6.2570104434928053E-4</v>
      </c>
      <c r="V66" t="s">
        <v>159</v>
      </c>
      <c r="AC66" t="s">
        <v>19</v>
      </c>
      <c r="AD66" t="s">
        <v>294</v>
      </c>
      <c r="AE66">
        <v>8.0528493601298584E-4</v>
      </c>
      <c r="AK66">
        <v>2031</v>
      </c>
      <c r="AL66" t="s">
        <v>152</v>
      </c>
      <c r="AM66">
        <v>0.10115</v>
      </c>
      <c r="AN66" t="s">
        <v>281</v>
      </c>
    </row>
    <row r="67" spans="9:40" x14ac:dyDescent="0.45">
      <c r="I67" t="s">
        <v>168</v>
      </c>
      <c r="J67" t="s">
        <v>295</v>
      </c>
      <c r="K67">
        <v>1.4679073702834783E-2</v>
      </c>
      <c r="L67" t="s">
        <v>159</v>
      </c>
      <c r="N67" t="s">
        <v>211</v>
      </c>
      <c r="O67" t="s">
        <v>295</v>
      </c>
      <c r="P67">
        <v>1.225258921612536E-2</v>
      </c>
      <c r="Q67" t="s">
        <v>159</v>
      </c>
      <c r="S67" t="s">
        <v>253</v>
      </c>
      <c r="T67" t="s">
        <v>295</v>
      </c>
      <c r="U67">
        <v>5.3646334061301613E-3</v>
      </c>
      <c r="V67" t="s">
        <v>159</v>
      </c>
      <c r="AC67" t="s">
        <v>19</v>
      </c>
      <c r="AD67" t="s">
        <v>295</v>
      </c>
      <c r="AE67">
        <v>7.2390485992953422E-3</v>
      </c>
      <c r="AK67">
        <v>2031</v>
      </c>
      <c r="AL67" t="s">
        <v>154</v>
      </c>
      <c r="AM67">
        <v>7.6950000000000005E-2</v>
      </c>
      <c r="AN67" t="s">
        <v>281</v>
      </c>
    </row>
    <row r="68" spans="9:40" x14ac:dyDescent="0.45">
      <c r="I68" t="s">
        <v>168</v>
      </c>
      <c r="J68" t="s">
        <v>296</v>
      </c>
      <c r="K68">
        <v>1.0154635581712348E-3</v>
      </c>
      <c r="L68" t="s">
        <v>159</v>
      </c>
      <c r="N68" t="s">
        <v>211</v>
      </c>
      <c r="O68" t="s">
        <v>296</v>
      </c>
      <c r="P68">
        <v>1.1746246979917698E-3</v>
      </c>
      <c r="Q68" t="s">
        <v>159</v>
      </c>
      <c r="S68" t="s">
        <v>253</v>
      </c>
      <c r="T68" t="s">
        <v>296</v>
      </c>
      <c r="U68">
        <v>6.7814455160965638E-4</v>
      </c>
      <c r="V68" t="s">
        <v>159</v>
      </c>
      <c r="AC68" t="s">
        <v>19</v>
      </c>
      <c r="AD68" t="s">
        <v>296</v>
      </c>
      <c r="AE68">
        <v>8.0901933921927952E-4</v>
      </c>
      <c r="AK68">
        <v>2031</v>
      </c>
      <c r="AL68" t="s">
        <v>283</v>
      </c>
      <c r="AM68">
        <v>7.9100000000000004E-2</v>
      </c>
      <c r="AN68" t="s">
        <v>281</v>
      </c>
    </row>
    <row r="69" spans="9:40" x14ac:dyDescent="0.45">
      <c r="I69" t="s">
        <v>168</v>
      </c>
      <c r="J69" t="s">
        <v>297</v>
      </c>
      <c r="K69">
        <v>0</v>
      </c>
      <c r="L69" t="s">
        <v>159</v>
      </c>
      <c r="N69" t="s">
        <v>211</v>
      </c>
      <c r="O69" t="s">
        <v>297</v>
      </c>
      <c r="P69">
        <v>9.3703306265806188E-4</v>
      </c>
      <c r="Q69" t="s">
        <v>159</v>
      </c>
      <c r="S69" t="s">
        <v>253</v>
      </c>
      <c r="T69" t="s">
        <v>297</v>
      </c>
      <c r="U69">
        <v>7.2734963636812981E-4</v>
      </c>
      <c r="V69" t="s">
        <v>159</v>
      </c>
      <c r="AC69" t="s">
        <v>19</v>
      </c>
      <c r="AD69" t="s">
        <v>297</v>
      </c>
      <c r="AE69">
        <v>8.0844570379727369E-4</v>
      </c>
      <c r="AK69">
        <v>2031</v>
      </c>
      <c r="AL69" t="s">
        <v>285</v>
      </c>
      <c r="AM69">
        <v>0.14069999999999999</v>
      </c>
      <c r="AN69" t="s">
        <v>281</v>
      </c>
    </row>
    <row r="70" spans="9:40" x14ac:dyDescent="0.45">
      <c r="I70" t="s">
        <v>168</v>
      </c>
      <c r="J70" t="s">
        <v>311</v>
      </c>
      <c r="K70">
        <v>0</v>
      </c>
      <c r="L70" t="s">
        <v>159</v>
      </c>
      <c r="N70" t="s">
        <v>211</v>
      </c>
      <c r="O70" t="s">
        <v>311</v>
      </c>
      <c r="P70">
        <v>3.6499250709056521E-3</v>
      </c>
      <c r="Q70" t="s">
        <v>159</v>
      </c>
      <c r="S70" t="s">
        <v>253</v>
      </c>
      <c r="T70" t="s">
        <v>311</v>
      </c>
      <c r="U70">
        <v>4.0960593985649909E-3</v>
      </c>
      <c r="V70" t="s">
        <v>159</v>
      </c>
      <c r="AC70" t="s">
        <v>19</v>
      </c>
      <c r="AD70" t="s">
        <v>311</v>
      </c>
      <c r="AE70">
        <v>3.9876937287808938E-3</v>
      </c>
      <c r="AK70">
        <v>2031</v>
      </c>
      <c r="AL70" t="s">
        <v>306</v>
      </c>
      <c r="AM70">
        <v>0.26429999999999998</v>
      </c>
      <c r="AN70" t="s">
        <v>281</v>
      </c>
    </row>
    <row r="71" spans="9:40" x14ac:dyDescent="0.45">
      <c r="I71" t="s">
        <v>168</v>
      </c>
      <c r="J71" t="s">
        <v>298</v>
      </c>
      <c r="K71">
        <v>1.4031866663667755E-2</v>
      </c>
      <c r="L71" t="s">
        <v>159</v>
      </c>
      <c r="N71" t="s">
        <v>211</v>
      </c>
      <c r="O71" t="s">
        <v>298</v>
      </c>
      <c r="P71">
        <v>5.0273115786095536E-2</v>
      </c>
      <c r="Q71" t="s">
        <v>159</v>
      </c>
      <c r="S71" t="s">
        <v>253</v>
      </c>
      <c r="T71" t="s">
        <v>298</v>
      </c>
      <c r="U71">
        <v>7.6324752259490272E-2</v>
      </c>
      <c r="V71" t="s">
        <v>159</v>
      </c>
      <c r="AC71" t="s">
        <v>19</v>
      </c>
      <c r="AD71" t="s">
        <v>298</v>
      </c>
      <c r="AE71">
        <v>7.572542143663534E-2</v>
      </c>
      <c r="AK71">
        <v>2032</v>
      </c>
      <c r="AL71" t="s">
        <v>148</v>
      </c>
      <c r="AM71">
        <v>0.27374999999999999</v>
      </c>
      <c r="AN71" t="s">
        <v>281</v>
      </c>
    </row>
    <row r="72" spans="9:40" x14ac:dyDescent="0.45">
      <c r="I72" t="s">
        <v>168</v>
      </c>
      <c r="J72" t="s">
        <v>299</v>
      </c>
      <c r="K72">
        <v>2.3071378456337801E-2</v>
      </c>
      <c r="L72" t="s">
        <v>159</v>
      </c>
      <c r="N72" t="s">
        <v>211</v>
      </c>
      <c r="O72" t="s">
        <v>299</v>
      </c>
      <c r="P72">
        <v>7.6791225013326803E-3</v>
      </c>
      <c r="Q72" t="s">
        <v>159</v>
      </c>
      <c r="S72" t="s">
        <v>253</v>
      </c>
      <c r="T72" t="s">
        <v>299</v>
      </c>
      <c r="U72">
        <v>9.7466101854465151E-3</v>
      </c>
      <c r="V72" t="s">
        <v>159</v>
      </c>
      <c r="AC72" t="s">
        <v>19</v>
      </c>
      <c r="AD72" t="s">
        <v>299</v>
      </c>
      <c r="AE72">
        <v>1.1004838335113256E-2</v>
      </c>
      <c r="AK72">
        <v>2032</v>
      </c>
      <c r="AL72" t="s">
        <v>152</v>
      </c>
      <c r="AM72">
        <v>0.1003</v>
      </c>
      <c r="AN72" t="s">
        <v>281</v>
      </c>
    </row>
    <row r="73" spans="9:40" x14ac:dyDescent="0.45">
      <c r="I73" t="s">
        <v>168</v>
      </c>
      <c r="J73" t="s">
        <v>300</v>
      </c>
      <c r="K73">
        <v>0.24683770532092442</v>
      </c>
      <c r="L73" t="s">
        <v>159</v>
      </c>
      <c r="N73" t="s">
        <v>211</v>
      </c>
      <c r="O73" t="s">
        <v>300</v>
      </c>
      <c r="P73">
        <v>0.12876455619987889</v>
      </c>
      <c r="Q73" t="s">
        <v>159</v>
      </c>
      <c r="S73" t="s">
        <v>253</v>
      </c>
      <c r="T73" t="s">
        <v>300</v>
      </c>
      <c r="U73">
        <v>9.2595598055633388E-2</v>
      </c>
      <c r="V73" t="s">
        <v>159</v>
      </c>
      <c r="AC73" t="s">
        <v>19</v>
      </c>
      <c r="AD73" t="s">
        <v>300</v>
      </c>
      <c r="AE73">
        <v>9.940099591807916E-2</v>
      </c>
      <c r="AK73">
        <v>2032</v>
      </c>
      <c r="AL73" t="s">
        <v>154</v>
      </c>
      <c r="AM73">
        <v>7.7699999999999991E-2</v>
      </c>
      <c r="AN73" t="s">
        <v>281</v>
      </c>
    </row>
    <row r="74" spans="9:40" x14ac:dyDescent="0.45">
      <c r="I74" t="s">
        <v>168</v>
      </c>
      <c r="J74" t="s">
        <v>301</v>
      </c>
      <c r="K74">
        <v>1.8132325164088949E-2</v>
      </c>
      <c r="L74" t="s">
        <v>159</v>
      </c>
      <c r="N74" t="s">
        <v>211</v>
      </c>
      <c r="O74" t="s">
        <v>301</v>
      </c>
      <c r="P74">
        <v>1.5350382385824661E-2</v>
      </c>
      <c r="Q74" t="s">
        <v>159</v>
      </c>
      <c r="S74" t="s">
        <v>253</v>
      </c>
      <c r="T74" t="s">
        <v>301</v>
      </c>
      <c r="U74">
        <v>1.2632585294664799E-2</v>
      </c>
      <c r="V74" t="s">
        <v>159</v>
      </c>
      <c r="AC74" t="s">
        <v>19</v>
      </c>
      <c r="AD74" t="s">
        <v>301</v>
      </c>
      <c r="AE74">
        <v>1.1055807123674715E-2</v>
      </c>
      <c r="AK74">
        <v>2032</v>
      </c>
      <c r="AL74" t="s">
        <v>283</v>
      </c>
      <c r="AM74">
        <v>7.5700000000000003E-2</v>
      </c>
      <c r="AN74" t="s">
        <v>281</v>
      </c>
    </row>
    <row r="75" spans="9:40" x14ac:dyDescent="0.45">
      <c r="I75" t="s">
        <v>168</v>
      </c>
      <c r="J75" t="s">
        <v>302</v>
      </c>
      <c r="K75">
        <v>5.1737334888058229E-3</v>
      </c>
      <c r="L75" t="s">
        <v>159</v>
      </c>
      <c r="N75" t="s">
        <v>211</v>
      </c>
      <c r="O75" t="s">
        <v>302</v>
      </c>
      <c r="P75">
        <v>1.4347899893075973E-2</v>
      </c>
      <c r="Q75" t="s">
        <v>159</v>
      </c>
      <c r="S75" t="s">
        <v>253</v>
      </c>
      <c r="T75" t="s">
        <v>302</v>
      </c>
      <c r="U75">
        <v>1.2789553764112229E-2</v>
      </c>
      <c r="V75" t="s">
        <v>159</v>
      </c>
      <c r="AC75" t="s">
        <v>19</v>
      </c>
      <c r="AD75" t="s">
        <v>302</v>
      </c>
      <c r="AE75">
        <v>1.1059516182164277E-2</v>
      </c>
      <c r="AK75">
        <v>2032</v>
      </c>
      <c r="AL75" t="s">
        <v>285</v>
      </c>
      <c r="AM75">
        <v>0.13972000000000001</v>
      </c>
      <c r="AN75" t="s">
        <v>281</v>
      </c>
    </row>
    <row r="76" spans="9:40" x14ac:dyDescent="0.45">
      <c r="I76" t="s">
        <v>168</v>
      </c>
      <c r="J76" t="s">
        <v>312</v>
      </c>
      <c r="K76">
        <v>0</v>
      </c>
      <c r="L76" t="s">
        <v>159</v>
      </c>
      <c r="N76" t="s">
        <v>211</v>
      </c>
      <c r="O76" t="s">
        <v>312</v>
      </c>
      <c r="P76">
        <v>5.1625291275496837E-2</v>
      </c>
      <c r="Q76" t="s">
        <v>159</v>
      </c>
      <c r="S76" t="s">
        <v>253</v>
      </c>
      <c r="T76" t="s">
        <v>312</v>
      </c>
      <c r="U76">
        <v>6.059769814807487E-2</v>
      </c>
      <c r="V76" t="s">
        <v>159</v>
      </c>
      <c r="AC76" t="s">
        <v>19</v>
      </c>
      <c r="AD76" t="s">
        <v>312</v>
      </c>
      <c r="AE76">
        <v>5.4709376500814762E-2</v>
      </c>
      <c r="AK76">
        <v>2032</v>
      </c>
      <c r="AL76" t="s">
        <v>306</v>
      </c>
      <c r="AM76">
        <v>0.26200000000000001</v>
      </c>
      <c r="AN76" t="s">
        <v>281</v>
      </c>
    </row>
    <row r="77" spans="9:40" x14ac:dyDescent="0.45">
      <c r="I77" t="s">
        <v>168</v>
      </c>
      <c r="J77" t="s">
        <v>313</v>
      </c>
      <c r="K77">
        <v>5.5261611052759814E-3</v>
      </c>
      <c r="L77" t="s">
        <v>159</v>
      </c>
      <c r="N77" t="s">
        <v>211</v>
      </c>
      <c r="O77" t="s">
        <v>313</v>
      </c>
      <c r="P77">
        <v>6.3178111877700022E-3</v>
      </c>
      <c r="Q77" t="s">
        <v>159</v>
      </c>
      <c r="S77" t="s">
        <v>253</v>
      </c>
      <c r="T77" t="s">
        <v>313</v>
      </c>
      <c r="U77">
        <v>2.6031718916532255E-2</v>
      </c>
      <c r="V77" t="s">
        <v>159</v>
      </c>
      <c r="AC77" t="s">
        <v>19</v>
      </c>
      <c r="AD77" t="s">
        <v>313</v>
      </c>
      <c r="AE77">
        <v>2.2889756758270048E-2</v>
      </c>
      <c r="AK77">
        <v>2033</v>
      </c>
      <c r="AL77" t="s">
        <v>148</v>
      </c>
      <c r="AM77">
        <v>0.26978333333333332</v>
      </c>
      <c r="AN77" t="s">
        <v>281</v>
      </c>
    </row>
    <row r="78" spans="9:40" x14ac:dyDescent="0.45">
      <c r="I78" t="s">
        <v>168</v>
      </c>
      <c r="J78" t="s">
        <v>314</v>
      </c>
      <c r="K78">
        <v>7.1298418367161031E-3</v>
      </c>
      <c r="L78" t="s">
        <v>159</v>
      </c>
      <c r="N78" t="s">
        <v>211</v>
      </c>
      <c r="O78" t="s">
        <v>314</v>
      </c>
      <c r="P78">
        <v>8.5403444106526736E-4</v>
      </c>
      <c r="Q78" t="s">
        <v>159</v>
      </c>
      <c r="S78" t="s">
        <v>253</v>
      </c>
      <c r="T78" t="s">
        <v>314</v>
      </c>
      <c r="U78">
        <v>3.2995792695714619E-3</v>
      </c>
      <c r="V78" t="s">
        <v>159</v>
      </c>
      <c r="AC78" t="s">
        <v>19</v>
      </c>
      <c r="AD78" t="s">
        <v>314</v>
      </c>
      <c r="AE78">
        <v>3.3235139709872469E-3</v>
      </c>
      <c r="AK78">
        <v>2033</v>
      </c>
      <c r="AL78" t="s">
        <v>152</v>
      </c>
      <c r="AM78">
        <v>9.7200000000000009E-2</v>
      </c>
      <c r="AN78" t="s">
        <v>281</v>
      </c>
    </row>
    <row r="79" spans="9:40" x14ac:dyDescent="0.45">
      <c r="I79" t="s">
        <v>168</v>
      </c>
      <c r="J79" t="s">
        <v>315</v>
      </c>
      <c r="K79">
        <v>7.4219314445225754E-2</v>
      </c>
      <c r="L79" t="s">
        <v>159</v>
      </c>
      <c r="N79" t="s">
        <v>211</v>
      </c>
      <c r="O79" t="s">
        <v>315</v>
      </c>
      <c r="P79">
        <v>1.6000899441763056E-2</v>
      </c>
      <c r="Q79" t="s">
        <v>159</v>
      </c>
      <c r="S79" t="s">
        <v>253</v>
      </c>
      <c r="T79" t="s">
        <v>315</v>
      </c>
      <c r="U79">
        <v>3.2174034847095884E-2</v>
      </c>
      <c r="V79" t="s">
        <v>159</v>
      </c>
      <c r="AC79" t="s">
        <v>19</v>
      </c>
      <c r="AD79" t="s">
        <v>315</v>
      </c>
      <c r="AE79">
        <v>3.0041145408010284E-2</v>
      </c>
      <c r="AK79">
        <v>2033</v>
      </c>
      <c r="AL79" t="s">
        <v>154</v>
      </c>
      <c r="AM79">
        <v>8.6800000000000002E-2</v>
      </c>
      <c r="AN79" t="s">
        <v>281</v>
      </c>
    </row>
    <row r="80" spans="9:40" x14ac:dyDescent="0.45">
      <c r="I80" t="s">
        <v>168</v>
      </c>
      <c r="J80" t="s">
        <v>316</v>
      </c>
      <c r="K80">
        <v>5.6409835367214863E-3</v>
      </c>
      <c r="L80" t="s">
        <v>159</v>
      </c>
      <c r="N80" t="s">
        <v>211</v>
      </c>
      <c r="O80" t="s">
        <v>316</v>
      </c>
      <c r="P80">
        <v>3.7003943105048303E-3</v>
      </c>
      <c r="Q80" t="s">
        <v>159</v>
      </c>
      <c r="S80" t="s">
        <v>253</v>
      </c>
      <c r="T80" t="s">
        <v>316</v>
      </c>
      <c r="U80">
        <v>4.7323984321598674E-3</v>
      </c>
      <c r="V80" t="s">
        <v>159</v>
      </c>
      <c r="AC80" t="s">
        <v>19</v>
      </c>
      <c r="AD80" t="s">
        <v>316</v>
      </c>
      <c r="AE80">
        <v>3.3373642954646725E-3</v>
      </c>
      <c r="AK80">
        <v>2033</v>
      </c>
      <c r="AL80" t="s">
        <v>283</v>
      </c>
      <c r="AM80">
        <v>8.8400000000000006E-2</v>
      </c>
      <c r="AN80" t="s">
        <v>281</v>
      </c>
    </row>
    <row r="81" spans="9:40" x14ac:dyDescent="0.45">
      <c r="I81" t="s">
        <v>168</v>
      </c>
      <c r="J81" t="s">
        <v>317</v>
      </c>
      <c r="K81">
        <v>3.617940812839292E-3</v>
      </c>
      <c r="L81" t="s">
        <v>159</v>
      </c>
      <c r="N81" t="s">
        <v>211</v>
      </c>
      <c r="O81" t="s">
        <v>317</v>
      </c>
      <c r="P81">
        <v>4.185655921797803E-3</v>
      </c>
      <c r="Q81" t="s">
        <v>159</v>
      </c>
      <c r="S81" t="s">
        <v>253</v>
      </c>
      <c r="T81" t="s">
        <v>317</v>
      </c>
      <c r="U81">
        <v>4.8261004706539644E-3</v>
      </c>
      <c r="V81" t="s">
        <v>159</v>
      </c>
      <c r="AC81" t="s">
        <v>19</v>
      </c>
      <c r="AD81" t="s">
        <v>317</v>
      </c>
      <c r="AE81">
        <v>3.3388554096323315E-3</v>
      </c>
      <c r="AK81">
        <v>2033</v>
      </c>
      <c r="AL81" t="s">
        <v>285</v>
      </c>
      <c r="AM81">
        <v>0.14872000000000002</v>
      </c>
      <c r="AN81" t="s">
        <v>281</v>
      </c>
    </row>
    <row r="82" spans="9:40" x14ac:dyDescent="0.45">
      <c r="I82" t="s">
        <v>168</v>
      </c>
      <c r="J82" t="s">
        <v>318</v>
      </c>
      <c r="K82">
        <v>0</v>
      </c>
      <c r="L82" t="s">
        <v>159</v>
      </c>
      <c r="N82" t="s">
        <v>211</v>
      </c>
      <c r="O82" t="s">
        <v>318</v>
      </c>
      <c r="P82">
        <v>1.5108759093554802E-2</v>
      </c>
      <c r="Q82" t="s">
        <v>159</v>
      </c>
      <c r="S82" t="s">
        <v>253</v>
      </c>
      <c r="T82" t="s">
        <v>318</v>
      </c>
      <c r="U82">
        <v>2.3518163041031593E-2</v>
      </c>
      <c r="V82" t="s">
        <v>159</v>
      </c>
      <c r="AC82" t="s">
        <v>19</v>
      </c>
      <c r="AD82" t="s">
        <v>318</v>
      </c>
      <c r="AE82">
        <v>1.6526043324230383E-2</v>
      </c>
      <c r="AK82">
        <v>2033</v>
      </c>
      <c r="AL82" t="s">
        <v>306</v>
      </c>
      <c r="AM82">
        <v>0.28260000000000002</v>
      </c>
      <c r="AN82" t="s">
        <v>281</v>
      </c>
    </row>
    <row r="83" spans="9:40" x14ac:dyDescent="0.45">
      <c r="I83" t="s">
        <v>169</v>
      </c>
      <c r="J83" t="s">
        <v>158</v>
      </c>
      <c r="K83">
        <v>1.2274543387240214E-2</v>
      </c>
      <c r="L83" t="s">
        <v>159</v>
      </c>
      <c r="N83" t="s">
        <v>212</v>
      </c>
      <c r="O83" t="s">
        <v>158</v>
      </c>
      <c r="P83">
        <v>0.10200027101023464</v>
      </c>
      <c r="Q83" t="s">
        <v>159</v>
      </c>
      <c r="S83" t="s">
        <v>254</v>
      </c>
      <c r="T83" t="s">
        <v>158</v>
      </c>
      <c r="U83">
        <v>0.11284185138361646</v>
      </c>
      <c r="V83" t="s">
        <v>159</v>
      </c>
      <c r="AK83">
        <v>2034</v>
      </c>
      <c r="AL83" t="s">
        <v>148</v>
      </c>
      <c r="AM83">
        <v>0.26903333333333335</v>
      </c>
      <c r="AN83" t="s">
        <v>281</v>
      </c>
    </row>
    <row r="84" spans="9:40" x14ac:dyDescent="0.45">
      <c r="I84" t="s">
        <v>169</v>
      </c>
      <c r="J84" t="s">
        <v>160</v>
      </c>
      <c r="K84">
        <v>3.2187354504649504E-2</v>
      </c>
      <c r="L84" t="s">
        <v>159</v>
      </c>
      <c r="N84" t="s">
        <v>212</v>
      </c>
      <c r="O84" t="s">
        <v>160</v>
      </c>
      <c r="P84">
        <v>1.1367088563752407E-2</v>
      </c>
      <c r="Q84" t="s">
        <v>159</v>
      </c>
      <c r="S84" t="s">
        <v>254</v>
      </c>
      <c r="T84" t="s">
        <v>160</v>
      </c>
      <c r="U84">
        <v>1.3997571082418019E-2</v>
      </c>
      <c r="V84" t="s">
        <v>159</v>
      </c>
      <c r="AK84">
        <v>2034</v>
      </c>
      <c r="AL84" t="s">
        <v>152</v>
      </c>
      <c r="AM84">
        <v>9.715E-2</v>
      </c>
      <c r="AN84" t="s">
        <v>281</v>
      </c>
    </row>
    <row r="85" spans="9:40" x14ac:dyDescent="0.45">
      <c r="I85" t="s">
        <v>169</v>
      </c>
      <c r="J85" t="s">
        <v>161</v>
      </c>
      <c r="K85">
        <v>0.37416184585819889</v>
      </c>
      <c r="L85" t="s">
        <v>159</v>
      </c>
      <c r="N85" t="s">
        <v>212</v>
      </c>
      <c r="O85" t="s">
        <v>161</v>
      </c>
      <c r="P85">
        <v>0.1690536870165289</v>
      </c>
      <c r="Q85" t="s">
        <v>159</v>
      </c>
      <c r="S85" t="s">
        <v>254</v>
      </c>
      <c r="T85" t="s">
        <v>161</v>
      </c>
      <c r="U85">
        <v>0.17275583479680431</v>
      </c>
      <c r="V85" t="s">
        <v>159</v>
      </c>
      <c r="AK85">
        <v>2034</v>
      </c>
      <c r="AL85" t="s">
        <v>154</v>
      </c>
      <c r="AM85">
        <v>7.9949999999999993E-2</v>
      </c>
      <c r="AN85" t="s">
        <v>281</v>
      </c>
    </row>
    <row r="86" spans="9:40" x14ac:dyDescent="0.45">
      <c r="I86" t="s">
        <v>169</v>
      </c>
      <c r="J86" t="s">
        <v>287</v>
      </c>
      <c r="K86">
        <v>2.730430071011072E-2</v>
      </c>
      <c r="L86" t="s">
        <v>159</v>
      </c>
      <c r="N86" t="s">
        <v>212</v>
      </c>
      <c r="O86" t="s">
        <v>287</v>
      </c>
      <c r="P86">
        <v>2.8908002287528385E-2</v>
      </c>
      <c r="Q86" t="s">
        <v>159</v>
      </c>
      <c r="S86" t="s">
        <v>254</v>
      </c>
      <c r="T86" t="s">
        <v>287</v>
      </c>
      <c r="U86">
        <v>2.9852623427993247E-2</v>
      </c>
      <c r="V86" t="s">
        <v>159</v>
      </c>
      <c r="AK86">
        <v>2034</v>
      </c>
      <c r="AL86" t="s">
        <v>283</v>
      </c>
      <c r="AM86">
        <v>8.0600000000000005E-2</v>
      </c>
      <c r="AN86" t="s">
        <v>281</v>
      </c>
    </row>
    <row r="87" spans="9:40" x14ac:dyDescent="0.45">
      <c r="I87" t="s">
        <v>169</v>
      </c>
      <c r="J87" t="s">
        <v>288</v>
      </c>
      <c r="K87">
        <v>1.3910195530566105E-2</v>
      </c>
      <c r="L87" t="s">
        <v>159</v>
      </c>
      <c r="N87" t="s">
        <v>212</v>
      </c>
      <c r="O87" t="s">
        <v>288</v>
      </c>
      <c r="P87">
        <v>2.8793028407152366E-2</v>
      </c>
      <c r="Q87" t="s">
        <v>159</v>
      </c>
      <c r="S87" t="s">
        <v>254</v>
      </c>
      <c r="T87" t="s">
        <v>288</v>
      </c>
      <c r="U87">
        <v>2.9334471437816041E-2</v>
      </c>
      <c r="V87" t="s">
        <v>159</v>
      </c>
      <c r="AK87">
        <v>2034</v>
      </c>
      <c r="AL87" t="s">
        <v>285</v>
      </c>
      <c r="AM87">
        <v>0.14486000000000002</v>
      </c>
      <c r="AN87" t="s">
        <v>281</v>
      </c>
    </row>
    <row r="88" spans="9:40" x14ac:dyDescent="0.45">
      <c r="I88" t="s">
        <v>169</v>
      </c>
      <c r="J88" t="s">
        <v>308</v>
      </c>
      <c r="K88">
        <v>2.8903344152138879E-5</v>
      </c>
      <c r="L88" t="s">
        <v>159</v>
      </c>
      <c r="N88" t="s">
        <v>212</v>
      </c>
      <c r="O88" t="s">
        <v>308</v>
      </c>
      <c r="P88">
        <v>0.11849166692445284</v>
      </c>
      <c r="Q88" t="s">
        <v>159</v>
      </c>
      <c r="S88" t="s">
        <v>254</v>
      </c>
      <c r="T88" t="s">
        <v>308</v>
      </c>
      <c r="U88">
        <v>0.1194940542884996</v>
      </c>
      <c r="V88" t="s">
        <v>159</v>
      </c>
      <c r="AK88">
        <v>2034</v>
      </c>
      <c r="AL88" t="s">
        <v>306</v>
      </c>
      <c r="AM88">
        <v>0.28010000000000002</v>
      </c>
      <c r="AN88" t="s">
        <v>281</v>
      </c>
    </row>
    <row r="89" spans="9:40" x14ac:dyDescent="0.45">
      <c r="I89" t="s">
        <v>169</v>
      </c>
      <c r="J89" t="s">
        <v>162</v>
      </c>
      <c r="K89">
        <v>0</v>
      </c>
      <c r="L89" t="s">
        <v>159</v>
      </c>
      <c r="N89" t="s">
        <v>212</v>
      </c>
      <c r="O89" t="s">
        <v>162</v>
      </c>
      <c r="P89">
        <v>1.8496076668782724E-2</v>
      </c>
      <c r="Q89" t="s">
        <v>159</v>
      </c>
      <c r="S89" t="s">
        <v>254</v>
      </c>
      <c r="T89" t="s">
        <v>162</v>
      </c>
      <c r="U89">
        <v>1.8138909760204047E-2</v>
      </c>
      <c r="V89" t="s">
        <v>159</v>
      </c>
      <c r="AK89">
        <v>2035</v>
      </c>
      <c r="AL89" t="s">
        <v>148</v>
      </c>
      <c r="AM89">
        <v>0.32013333333333333</v>
      </c>
      <c r="AN89" t="s">
        <v>281</v>
      </c>
    </row>
    <row r="90" spans="9:40" x14ac:dyDescent="0.45">
      <c r="I90" t="s">
        <v>169</v>
      </c>
      <c r="J90" t="s">
        <v>163</v>
      </c>
      <c r="K90">
        <v>6.6064803337919774E-4</v>
      </c>
      <c r="L90" t="s">
        <v>159</v>
      </c>
      <c r="N90" t="s">
        <v>212</v>
      </c>
      <c r="O90" t="s">
        <v>163</v>
      </c>
      <c r="P90">
        <v>2.4667760741872522E-3</v>
      </c>
      <c r="Q90" t="s">
        <v>159</v>
      </c>
      <c r="S90" t="s">
        <v>254</v>
      </c>
      <c r="T90" t="s">
        <v>163</v>
      </c>
      <c r="U90">
        <v>2.6145337517882732E-3</v>
      </c>
      <c r="V90" t="s">
        <v>159</v>
      </c>
      <c r="AK90">
        <v>2035</v>
      </c>
      <c r="AL90" t="s">
        <v>152</v>
      </c>
      <c r="AM90">
        <v>0.11874999999999999</v>
      </c>
      <c r="AN90" t="s">
        <v>281</v>
      </c>
    </row>
    <row r="91" spans="9:40" x14ac:dyDescent="0.45">
      <c r="I91" t="s">
        <v>169</v>
      </c>
      <c r="J91" t="s">
        <v>164</v>
      </c>
      <c r="K91">
        <v>4.2144600695384803E-2</v>
      </c>
      <c r="L91" t="s">
        <v>159</v>
      </c>
      <c r="N91" t="s">
        <v>212</v>
      </c>
      <c r="O91" t="s">
        <v>164</v>
      </c>
      <c r="P91">
        <v>2.9866133136231852E-2</v>
      </c>
      <c r="Q91" t="s">
        <v>159</v>
      </c>
      <c r="S91" t="s">
        <v>254</v>
      </c>
      <c r="T91" t="s">
        <v>164</v>
      </c>
      <c r="U91">
        <v>2.3798676811011388E-2</v>
      </c>
      <c r="V91" t="s">
        <v>159</v>
      </c>
      <c r="AK91">
        <v>2035</v>
      </c>
      <c r="AL91" t="s">
        <v>154</v>
      </c>
      <c r="AM91">
        <v>9.1600000000000001E-2</v>
      </c>
      <c r="AN91" t="s">
        <v>281</v>
      </c>
    </row>
    <row r="92" spans="9:40" x14ac:dyDescent="0.45">
      <c r="I92" t="s">
        <v>169</v>
      </c>
      <c r="J92" t="s">
        <v>289</v>
      </c>
      <c r="K92">
        <v>1.9994820569319972E-3</v>
      </c>
      <c r="L92" t="s">
        <v>159</v>
      </c>
      <c r="N92" t="s">
        <v>212</v>
      </c>
      <c r="O92" t="s">
        <v>289</v>
      </c>
      <c r="P92">
        <v>3.3509093535277253E-3</v>
      </c>
      <c r="Q92" t="s">
        <v>159</v>
      </c>
      <c r="S92" t="s">
        <v>254</v>
      </c>
      <c r="T92" t="s">
        <v>289</v>
      </c>
      <c r="U92">
        <v>3.2546516731694073E-3</v>
      </c>
      <c r="V92" t="s">
        <v>159</v>
      </c>
      <c r="AK92">
        <v>2035</v>
      </c>
      <c r="AL92" t="s">
        <v>283</v>
      </c>
      <c r="AM92">
        <v>9.9400000000000002E-2</v>
      </c>
      <c r="AN92" t="s">
        <v>281</v>
      </c>
    </row>
    <row r="93" spans="9:40" x14ac:dyDescent="0.45">
      <c r="I93" t="s">
        <v>169</v>
      </c>
      <c r="J93" t="s">
        <v>290</v>
      </c>
      <c r="K93">
        <v>0</v>
      </c>
      <c r="L93" t="s">
        <v>159</v>
      </c>
      <c r="N93" t="s">
        <v>212</v>
      </c>
      <c r="O93" t="s">
        <v>290</v>
      </c>
      <c r="P93">
        <v>3.2971296108554671E-3</v>
      </c>
      <c r="Q93" t="s">
        <v>159</v>
      </c>
      <c r="S93" t="s">
        <v>254</v>
      </c>
      <c r="T93" t="s">
        <v>290</v>
      </c>
      <c r="U93">
        <v>3.2982840440247698E-3</v>
      </c>
      <c r="V93" t="s">
        <v>159</v>
      </c>
      <c r="AK93">
        <v>2035</v>
      </c>
      <c r="AL93" t="s">
        <v>285</v>
      </c>
      <c r="AM93">
        <v>0.17097999999999999</v>
      </c>
      <c r="AN93" t="s">
        <v>281</v>
      </c>
    </row>
    <row r="94" spans="9:40" x14ac:dyDescent="0.45">
      <c r="I94" t="s">
        <v>169</v>
      </c>
      <c r="J94" t="s">
        <v>309</v>
      </c>
      <c r="K94">
        <v>0</v>
      </c>
      <c r="L94" t="s">
        <v>159</v>
      </c>
      <c r="N94" t="s">
        <v>212</v>
      </c>
      <c r="O94" t="s">
        <v>309</v>
      </c>
      <c r="P94">
        <v>1.5756601741042653E-2</v>
      </c>
      <c r="Q94" t="s">
        <v>159</v>
      </c>
      <c r="S94" t="s">
        <v>254</v>
      </c>
      <c r="T94" t="s">
        <v>309</v>
      </c>
      <c r="U94">
        <v>1.5046692278671612E-2</v>
      </c>
      <c r="V94" t="s">
        <v>159</v>
      </c>
      <c r="AK94">
        <v>2035</v>
      </c>
      <c r="AL94" t="s">
        <v>306</v>
      </c>
      <c r="AM94">
        <v>0.29139999999999999</v>
      </c>
      <c r="AN94" t="s">
        <v>281</v>
      </c>
    </row>
    <row r="95" spans="9:40" x14ac:dyDescent="0.45">
      <c r="I95" t="s">
        <v>169</v>
      </c>
      <c r="J95" t="s">
        <v>165</v>
      </c>
      <c r="K95">
        <v>0</v>
      </c>
      <c r="L95" t="s">
        <v>159</v>
      </c>
      <c r="N95" t="s">
        <v>212</v>
      </c>
      <c r="O95" t="s">
        <v>165</v>
      </c>
      <c r="P95">
        <v>2.2145889971582497E-2</v>
      </c>
      <c r="Q95" t="s">
        <v>159</v>
      </c>
      <c r="S95" t="s">
        <v>254</v>
      </c>
      <c r="T95" t="s">
        <v>165</v>
      </c>
      <c r="U95">
        <v>2.4195213825526429E-2</v>
      </c>
      <c r="V95" t="s">
        <v>159</v>
      </c>
      <c r="AK95">
        <v>2036</v>
      </c>
      <c r="AL95" t="s">
        <v>148</v>
      </c>
      <c r="AM95">
        <v>0.3082333333333333</v>
      </c>
      <c r="AN95" t="s">
        <v>281</v>
      </c>
    </row>
    <row r="96" spans="9:40" x14ac:dyDescent="0.45">
      <c r="I96" t="s">
        <v>169</v>
      </c>
      <c r="J96" t="s">
        <v>166</v>
      </c>
      <c r="K96">
        <v>4.0739084379353974E-3</v>
      </c>
      <c r="L96" t="s">
        <v>159</v>
      </c>
      <c r="N96" t="s">
        <v>212</v>
      </c>
      <c r="O96" t="s">
        <v>166</v>
      </c>
      <c r="P96">
        <v>3.3592142916700238E-3</v>
      </c>
      <c r="Q96" t="s">
        <v>159</v>
      </c>
      <c r="S96" t="s">
        <v>254</v>
      </c>
      <c r="T96" t="s">
        <v>166</v>
      </c>
      <c r="U96">
        <v>3.5720786943302988E-3</v>
      </c>
      <c r="V96" t="s">
        <v>159</v>
      </c>
      <c r="AK96">
        <v>2036</v>
      </c>
      <c r="AL96" t="s">
        <v>152</v>
      </c>
      <c r="AM96">
        <v>0.1222</v>
      </c>
      <c r="AN96" t="s">
        <v>281</v>
      </c>
    </row>
    <row r="97" spans="9:40" x14ac:dyDescent="0.45">
      <c r="I97" t="s">
        <v>169</v>
      </c>
      <c r="J97" t="s">
        <v>167</v>
      </c>
      <c r="K97">
        <v>5.4509826316002902E-2</v>
      </c>
      <c r="L97" t="s">
        <v>159</v>
      </c>
      <c r="N97" t="s">
        <v>212</v>
      </c>
      <c r="O97" t="s">
        <v>167</v>
      </c>
      <c r="P97">
        <v>4.6824656352078615E-2</v>
      </c>
      <c r="Q97" t="s">
        <v>159</v>
      </c>
      <c r="S97" t="s">
        <v>254</v>
      </c>
      <c r="T97" t="s">
        <v>167</v>
      </c>
      <c r="U97">
        <v>2.8766020824480161E-2</v>
      </c>
      <c r="V97" t="s">
        <v>159</v>
      </c>
      <c r="AK97">
        <v>2036</v>
      </c>
      <c r="AL97" t="s">
        <v>154</v>
      </c>
      <c r="AM97">
        <v>9.6700000000000008E-2</v>
      </c>
      <c r="AN97" t="s">
        <v>281</v>
      </c>
    </row>
    <row r="98" spans="9:40" x14ac:dyDescent="0.45">
      <c r="I98" t="s">
        <v>169</v>
      </c>
      <c r="J98" t="s">
        <v>291</v>
      </c>
      <c r="K98">
        <v>4.1998380439493953E-3</v>
      </c>
      <c r="L98" t="s">
        <v>159</v>
      </c>
      <c r="N98" t="s">
        <v>212</v>
      </c>
      <c r="O98" t="s">
        <v>291</v>
      </c>
      <c r="P98">
        <v>4.4814926027668947E-3</v>
      </c>
      <c r="Q98" t="s">
        <v>159</v>
      </c>
      <c r="S98" t="s">
        <v>254</v>
      </c>
      <c r="T98" t="s">
        <v>291</v>
      </c>
      <c r="U98">
        <v>3.0863927248456231E-3</v>
      </c>
      <c r="V98" t="s">
        <v>159</v>
      </c>
      <c r="AK98">
        <v>2036</v>
      </c>
      <c r="AL98" t="s">
        <v>283</v>
      </c>
      <c r="AM98">
        <v>9.2999999999999999E-2</v>
      </c>
      <c r="AN98" t="s">
        <v>281</v>
      </c>
    </row>
    <row r="99" spans="9:40" x14ac:dyDescent="0.45">
      <c r="I99" t="s">
        <v>169</v>
      </c>
      <c r="J99" t="s">
        <v>292</v>
      </c>
      <c r="K99">
        <v>0</v>
      </c>
      <c r="L99" t="s">
        <v>159</v>
      </c>
      <c r="N99" t="s">
        <v>212</v>
      </c>
      <c r="O99" t="s">
        <v>292</v>
      </c>
      <c r="P99">
        <v>3.6973595768427284E-3</v>
      </c>
      <c r="Q99" t="s">
        <v>159</v>
      </c>
      <c r="S99" t="s">
        <v>254</v>
      </c>
      <c r="T99" t="s">
        <v>292</v>
      </c>
      <c r="U99">
        <v>3.1026741073115287E-3</v>
      </c>
      <c r="V99" t="s">
        <v>159</v>
      </c>
      <c r="AK99">
        <v>2036</v>
      </c>
      <c r="AL99" t="s">
        <v>285</v>
      </c>
      <c r="AM99">
        <v>0.16763999999999998</v>
      </c>
      <c r="AN99" t="s">
        <v>281</v>
      </c>
    </row>
    <row r="100" spans="9:40" x14ac:dyDescent="0.45">
      <c r="I100" t="s">
        <v>169</v>
      </c>
      <c r="J100" t="s">
        <v>310</v>
      </c>
      <c r="K100">
        <v>0</v>
      </c>
      <c r="L100" t="s">
        <v>159</v>
      </c>
      <c r="N100" t="s">
        <v>212</v>
      </c>
      <c r="O100" t="s">
        <v>310</v>
      </c>
      <c r="P100">
        <v>1.5837367972337715E-2</v>
      </c>
      <c r="Q100" t="s">
        <v>159</v>
      </c>
      <c r="S100" t="s">
        <v>254</v>
      </c>
      <c r="T100" t="s">
        <v>310</v>
      </c>
      <c r="U100">
        <v>1.5286887382219715E-2</v>
      </c>
      <c r="V100" t="s">
        <v>159</v>
      </c>
      <c r="AK100">
        <v>2036</v>
      </c>
      <c r="AL100" t="s">
        <v>306</v>
      </c>
      <c r="AM100">
        <v>0.30549999999999999</v>
      </c>
      <c r="AN100" t="s">
        <v>281</v>
      </c>
    </row>
    <row r="101" spans="9:40" x14ac:dyDescent="0.45">
      <c r="I101" t="s">
        <v>169</v>
      </c>
      <c r="J101" t="s">
        <v>293</v>
      </c>
      <c r="K101">
        <v>0</v>
      </c>
      <c r="L101" t="s">
        <v>159</v>
      </c>
      <c r="N101" t="s">
        <v>212</v>
      </c>
      <c r="O101" t="s">
        <v>293</v>
      </c>
      <c r="P101">
        <v>2.3557282877126142E-3</v>
      </c>
      <c r="Q101" t="s">
        <v>159</v>
      </c>
      <c r="S101" t="s">
        <v>254</v>
      </c>
      <c r="T101" t="s">
        <v>293</v>
      </c>
      <c r="U101">
        <v>4.2473455399021452E-3</v>
      </c>
      <c r="V101" t="s">
        <v>159</v>
      </c>
      <c r="AK101">
        <v>2037</v>
      </c>
      <c r="AL101" t="s">
        <v>148</v>
      </c>
      <c r="AM101">
        <v>0.32333333333333331</v>
      </c>
      <c r="AN101" t="s">
        <v>281</v>
      </c>
    </row>
    <row r="102" spans="9:40" x14ac:dyDescent="0.45">
      <c r="I102" t="s">
        <v>169</v>
      </c>
      <c r="J102" t="s">
        <v>294</v>
      </c>
      <c r="K102">
        <v>1.1758248239984474E-3</v>
      </c>
      <c r="L102" t="s">
        <v>159</v>
      </c>
      <c r="N102" t="s">
        <v>212</v>
      </c>
      <c r="O102" t="s">
        <v>294</v>
      </c>
      <c r="P102">
        <v>4.5728645087477941E-4</v>
      </c>
      <c r="Q102" t="s">
        <v>159</v>
      </c>
      <c r="S102" t="s">
        <v>254</v>
      </c>
      <c r="T102" t="s">
        <v>294</v>
      </c>
      <c r="U102">
        <v>5.4672565008420746E-4</v>
      </c>
      <c r="V102" t="s">
        <v>159</v>
      </c>
      <c r="AK102">
        <v>2037</v>
      </c>
      <c r="AL102" t="s">
        <v>152</v>
      </c>
      <c r="AM102">
        <v>0.1106</v>
      </c>
      <c r="AN102" t="s">
        <v>281</v>
      </c>
    </row>
    <row r="103" spans="9:40" x14ac:dyDescent="0.45">
      <c r="I103" t="s">
        <v>169</v>
      </c>
      <c r="J103" t="s">
        <v>295</v>
      </c>
      <c r="K103">
        <v>1.4776064731457586E-2</v>
      </c>
      <c r="L103" t="s">
        <v>159</v>
      </c>
      <c r="N103" t="s">
        <v>212</v>
      </c>
      <c r="O103" t="s">
        <v>295</v>
      </c>
      <c r="P103">
        <v>8.1337161613308194E-3</v>
      </c>
      <c r="Q103" t="s">
        <v>159</v>
      </c>
      <c r="S103" t="s">
        <v>254</v>
      </c>
      <c r="T103" t="s">
        <v>295</v>
      </c>
      <c r="U103">
        <v>6.742681112112717E-3</v>
      </c>
      <c r="V103" t="s">
        <v>159</v>
      </c>
      <c r="AK103">
        <v>2037</v>
      </c>
      <c r="AL103" t="s">
        <v>154</v>
      </c>
      <c r="AM103">
        <v>9.4799999999999995E-2</v>
      </c>
      <c r="AN103" t="s">
        <v>281</v>
      </c>
    </row>
    <row r="104" spans="9:40" x14ac:dyDescent="0.45">
      <c r="I104" t="s">
        <v>169</v>
      </c>
      <c r="J104" t="s">
        <v>296</v>
      </c>
      <c r="K104">
        <v>1.1508294356015105E-3</v>
      </c>
      <c r="L104" t="s">
        <v>159</v>
      </c>
      <c r="N104" t="s">
        <v>212</v>
      </c>
      <c r="O104" t="s">
        <v>296</v>
      </c>
      <c r="P104">
        <v>8.4435933835133082E-4</v>
      </c>
      <c r="Q104" t="s">
        <v>159</v>
      </c>
      <c r="S104" t="s">
        <v>254</v>
      </c>
      <c r="T104" t="s">
        <v>296</v>
      </c>
      <c r="U104">
        <v>1.2651679226469447E-3</v>
      </c>
      <c r="V104" t="s">
        <v>159</v>
      </c>
      <c r="AK104">
        <v>2037</v>
      </c>
      <c r="AL104" t="s">
        <v>283</v>
      </c>
      <c r="AM104">
        <v>0.1012</v>
      </c>
      <c r="AN104" t="s">
        <v>281</v>
      </c>
    </row>
    <row r="105" spans="9:40" x14ac:dyDescent="0.45">
      <c r="I105" t="s">
        <v>169</v>
      </c>
      <c r="J105" t="s">
        <v>297</v>
      </c>
      <c r="K105">
        <v>0</v>
      </c>
      <c r="L105" t="s">
        <v>159</v>
      </c>
      <c r="N105" t="s">
        <v>212</v>
      </c>
      <c r="O105" t="s">
        <v>297</v>
      </c>
      <c r="P105">
        <v>7.1781842999902581E-4</v>
      </c>
      <c r="Q105" t="s">
        <v>159</v>
      </c>
      <c r="S105" t="s">
        <v>254</v>
      </c>
      <c r="T105" t="s">
        <v>297</v>
      </c>
      <c r="U105">
        <v>1.2652543127313906E-3</v>
      </c>
      <c r="V105" t="s">
        <v>159</v>
      </c>
      <c r="AK105">
        <v>2037</v>
      </c>
      <c r="AL105" t="s">
        <v>285</v>
      </c>
      <c r="AM105">
        <v>0.16955999999999999</v>
      </c>
      <c r="AN105" t="s">
        <v>281</v>
      </c>
    </row>
    <row r="106" spans="9:40" x14ac:dyDescent="0.45">
      <c r="I106" t="s">
        <v>169</v>
      </c>
      <c r="J106" t="s">
        <v>311</v>
      </c>
      <c r="K106">
        <v>0</v>
      </c>
      <c r="L106" t="s">
        <v>159</v>
      </c>
      <c r="N106" t="s">
        <v>212</v>
      </c>
      <c r="O106" t="s">
        <v>311</v>
      </c>
      <c r="P106">
        <v>2.9986135609203855E-3</v>
      </c>
      <c r="Q106" t="s">
        <v>159</v>
      </c>
      <c r="S106" t="s">
        <v>254</v>
      </c>
      <c r="T106" t="s">
        <v>311</v>
      </c>
      <c r="U106">
        <v>4.7277590619252546E-3</v>
      </c>
      <c r="V106" t="s">
        <v>159</v>
      </c>
      <c r="AK106">
        <v>2037</v>
      </c>
      <c r="AL106" t="s">
        <v>306</v>
      </c>
      <c r="AM106">
        <v>0.32590000000000002</v>
      </c>
      <c r="AN106" t="s">
        <v>281</v>
      </c>
    </row>
    <row r="107" spans="9:40" x14ac:dyDescent="0.45">
      <c r="I107" t="s">
        <v>169</v>
      </c>
      <c r="J107" t="s">
        <v>298</v>
      </c>
      <c r="K107">
        <v>1.6251807211798166E-2</v>
      </c>
      <c r="L107" t="s">
        <v>159</v>
      </c>
      <c r="N107" t="s">
        <v>212</v>
      </c>
      <c r="O107" t="s">
        <v>298</v>
      </c>
      <c r="P107">
        <v>6.1549701673392479E-2</v>
      </c>
      <c r="Q107" t="s">
        <v>159</v>
      </c>
      <c r="S107" t="s">
        <v>254</v>
      </c>
      <c r="T107" t="s">
        <v>298</v>
      </c>
      <c r="U107">
        <v>6.3813070985265286E-2</v>
      </c>
      <c r="V107" t="s">
        <v>159</v>
      </c>
      <c r="AK107">
        <v>2038</v>
      </c>
      <c r="AL107" t="s">
        <v>148</v>
      </c>
      <c r="AM107">
        <v>0.29701666666666671</v>
      </c>
      <c r="AN107" t="s">
        <v>281</v>
      </c>
    </row>
    <row r="108" spans="9:40" x14ac:dyDescent="0.45">
      <c r="I108" t="s">
        <v>169</v>
      </c>
      <c r="J108" t="s">
        <v>299</v>
      </c>
      <c r="K108">
        <v>2.2914394567301623E-2</v>
      </c>
      <c r="L108" t="s">
        <v>159</v>
      </c>
      <c r="N108" t="s">
        <v>212</v>
      </c>
      <c r="O108" t="s">
        <v>299</v>
      </c>
      <c r="P108">
        <v>7.5096540721573558E-3</v>
      </c>
      <c r="Q108" t="s">
        <v>159</v>
      </c>
      <c r="S108" t="s">
        <v>254</v>
      </c>
      <c r="T108" t="s">
        <v>299</v>
      </c>
      <c r="U108">
        <v>7.5948545641446067E-3</v>
      </c>
      <c r="V108" t="s">
        <v>159</v>
      </c>
      <c r="AK108">
        <v>2038</v>
      </c>
      <c r="AL108" t="s">
        <v>152</v>
      </c>
      <c r="AM108">
        <v>0.108</v>
      </c>
      <c r="AN108" t="s">
        <v>281</v>
      </c>
    </row>
    <row r="109" spans="9:40" x14ac:dyDescent="0.45">
      <c r="I109" t="s">
        <v>169</v>
      </c>
      <c r="J109" t="s">
        <v>300</v>
      </c>
      <c r="K109">
        <v>0.24455884233107844</v>
      </c>
      <c r="L109" t="s">
        <v>159</v>
      </c>
      <c r="N109" t="s">
        <v>212</v>
      </c>
      <c r="O109" t="s">
        <v>300</v>
      </c>
      <c r="P109">
        <v>0.10796622805326363</v>
      </c>
      <c r="Q109" t="s">
        <v>159</v>
      </c>
      <c r="S109" t="s">
        <v>254</v>
      </c>
      <c r="T109" t="s">
        <v>300</v>
      </c>
      <c r="U109">
        <v>0.10331819190267637</v>
      </c>
      <c r="V109" t="s">
        <v>159</v>
      </c>
      <c r="AK109">
        <v>2038</v>
      </c>
      <c r="AL109" t="s">
        <v>154</v>
      </c>
      <c r="AM109">
        <v>8.9200000000000002E-2</v>
      </c>
      <c r="AN109" t="s">
        <v>281</v>
      </c>
    </row>
    <row r="110" spans="9:40" x14ac:dyDescent="0.45">
      <c r="I110" t="s">
        <v>169</v>
      </c>
      <c r="J110" t="s">
        <v>301</v>
      </c>
      <c r="K110">
        <v>1.8904054634813032E-2</v>
      </c>
      <c r="L110" t="s">
        <v>159</v>
      </c>
      <c r="N110" t="s">
        <v>212</v>
      </c>
      <c r="O110" t="s">
        <v>301</v>
      </c>
      <c r="P110">
        <v>1.5659634401100849E-2</v>
      </c>
      <c r="Q110" t="s">
        <v>159</v>
      </c>
      <c r="S110" t="s">
        <v>254</v>
      </c>
      <c r="T110" t="s">
        <v>301</v>
      </c>
      <c r="U110">
        <v>1.7548263775306959E-2</v>
      </c>
      <c r="V110" t="s">
        <v>159</v>
      </c>
      <c r="AK110">
        <v>2038</v>
      </c>
      <c r="AL110" t="s">
        <v>283</v>
      </c>
      <c r="AM110">
        <v>9.1399999999999995E-2</v>
      </c>
      <c r="AN110" t="s">
        <v>281</v>
      </c>
    </row>
    <row r="111" spans="9:40" x14ac:dyDescent="0.45">
      <c r="I111" t="s">
        <v>169</v>
      </c>
      <c r="J111" t="s">
        <v>302</v>
      </c>
      <c r="K111">
        <v>6.3373598767495704E-3</v>
      </c>
      <c r="L111" t="s">
        <v>159</v>
      </c>
      <c r="N111" t="s">
        <v>212</v>
      </c>
      <c r="O111" t="s">
        <v>302</v>
      </c>
      <c r="P111">
        <v>1.4846172936794031E-2</v>
      </c>
      <c r="Q111" t="s">
        <v>159</v>
      </c>
      <c r="S111" t="s">
        <v>254</v>
      </c>
      <c r="T111" t="s">
        <v>302</v>
      </c>
      <c r="U111">
        <v>1.6894945366399163E-2</v>
      </c>
      <c r="V111" t="s">
        <v>159</v>
      </c>
      <c r="AK111">
        <v>2038</v>
      </c>
      <c r="AL111" t="s">
        <v>285</v>
      </c>
      <c r="AM111">
        <v>0.16020000000000001</v>
      </c>
      <c r="AN111" t="s">
        <v>281</v>
      </c>
    </row>
    <row r="112" spans="9:40" x14ac:dyDescent="0.45">
      <c r="I112" t="s">
        <v>169</v>
      </c>
      <c r="J112" t="s">
        <v>312</v>
      </c>
      <c r="K112">
        <v>0</v>
      </c>
      <c r="L112" t="s">
        <v>159</v>
      </c>
      <c r="N112" t="s">
        <v>212</v>
      </c>
      <c r="O112" t="s">
        <v>312</v>
      </c>
      <c r="P112">
        <v>6.2442050371147605E-2</v>
      </c>
      <c r="Q112" t="s">
        <v>159</v>
      </c>
      <c r="S112" t="s">
        <v>254</v>
      </c>
      <c r="T112" t="s">
        <v>312</v>
      </c>
      <c r="U112">
        <v>6.4834627171555068E-2</v>
      </c>
      <c r="V112" t="s">
        <v>159</v>
      </c>
      <c r="AK112">
        <v>2038</v>
      </c>
      <c r="AL112" t="s">
        <v>306</v>
      </c>
      <c r="AM112">
        <v>0.27379999999999999</v>
      </c>
      <c r="AN112" t="s">
        <v>281</v>
      </c>
    </row>
    <row r="113" spans="9:40" x14ac:dyDescent="0.45">
      <c r="I113" t="s">
        <v>169</v>
      </c>
      <c r="J113" t="s">
        <v>313</v>
      </c>
      <c r="K113">
        <v>7.9661731130327273E-3</v>
      </c>
      <c r="L113" t="s">
        <v>159</v>
      </c>
      <c r="N113" t="s">
        <v>212</v>
      </c>
      <c r="O113" t="s">
        <v>313</v>
      </c>
      <c r="P113">
        <v>1.7715844917362673E-2</v>
      </c>
      <c r="Q113" t="s">
        <v>159</v>
      </c>
      <c r="S113" t="s">
        <v>254</v>
      </c>
      <c r="T113" t="s">
        <v>313</v>
      </c>
      <c r="U113">
        <v>1.7589892556114102E-2</v>
      </c>
      <c r="V113" t="s">
        <v>159</v>
      </c>
      <c r="AK113">
        <v>2039</v>
      </c>
      <c r="AL113" t="s">
        <v>148</v>
      </c>
      <c r="AM113">
        <v>0.30710000000000004</v>
      </c>
      <c r="AN113" t="s">
        <v>281</v>
      </c>
    </row>
    <row r="114" spans="9:40" x14ac:dyDescent="0.45">
      <c r="I114" t="s">
        <v>169</v>
      </c>
      <c r="J114" t="s">
        <v>314</v>
      </c>
      <c r="K114">
        <v>7.9448791853703182E-3</v>
      </c>
      <c r="L114" t="s">
        <v>159</v>
      </c>
      <c r="N114" t="s">
        <v>212</v>
      </c>
      <c r="O114" t="s">
        <v>314</v>
      </c>
      <c r="P114">
        <v>1.547715143248887E-3</v>
      </c>
      <c r="Q114" t="s">
        <v>159</v>
      </c>
      <c r="S114" t="s">
        <v>254</v>
      </c>
      <c r="T114" t="s">
        <v>314</v>
      </c>
      <c r="U114">
        <v>1.5986602995618541E-3</v>
      </c>
      <c r="V114" t="s">
        <v>159</v>
      </c>
      <c r="AK114">
        <v>2039</v>
      </c>
      <c r="AL114" t="s">
        <v>152</v>
      </c>
      <c r="AM114">
        <v>0.1091</v>
      </c>
      <c r="AN114" t="s">
        <v>281</v>
      </c>
    </row>
    <row r="115" spans="9:40" x14ac:dyDescent="0.45">
      <c r="I115" t="s">
        <v>169</v>
      </c>
      <c r="J115" t="s">
        <v>315</v>
      </c>
      <c r="K115">
        <v>7.9944166485165544E-2</v>
      </c>
      <c r="L115" t="s">
        <v>159</v>
      </c>
      <c r="N115" t="s">
        <v>212</v>
      </c>
      <c r="O115" t="s">
        <v>315</v>
      </c>
      <c r="P115">
        <v>2.6424757210984334E-2</v>
      </c>
      <c r="Q115" t="s">
        <v>159</v>
      </c>
      <c r="S115" t="s">
        <v>254</v>
      </c>
      <c r="T115" t="s">
        <v>315</v>
      </c>
      <c r="U115">
        <v>3.1567649480099422E-2</v>
      </c>
      <c r="V115" t="s">
        <v>159</v>
      </c>
      <c r="AK115">
        <v>2039</v>
      </c>
      <c r="AL115" t="s">
        <v>154</v>
      </c>
      <c r="AM115">
        <v>9.0650000000000008E-2</v>
      </c>
      <c r="AN115" t="s">
        <v>281</v>
      </c>
    </row>
    <row r="116" spans="9:40" x14ac:dyDescent="0.45">
      <c r="I116" t="s">
        <v>169</v>
      </c>
      <c r="J116" t="s">
        <v>316</v>
      </c>
      <c r="K116">
        <v>6.317329808876988E-3</v>
      </c>
      <c r="L116" t="s">
        <v>159</v>
      </c>
      <c r="N116" t="s">
        <v>212</v>
      </c>
      <c r="O116" t="s">
        <v>316</v>
      </c>
      <c r="P116">
        <v>6.634642039851397E-3</v>
      </c>
      <c r="Q116" t="s">
        <v>159</v>
      </c>
      <c r="S116" t="s">
        <v>254</v>
      </c>
      <c r="T116" t="s">
        <v>316</v>
      </c>
      <c r="U116">
        <v>6.0031183074093384E-3</v>
      </c>
      <c r="V116" t="s">
        <v>159</v>
      </c>
      <c r="AK116">
        <v>2039</v>
      </c>
      <c r="AL116" t="s">
        <v>283</v>
      </c>
      <c r="AM116">
        <v>9.1700000000000004E-2</v>
      </c>
      <c r="AN116" t="s">
        <v>281</v>
      </c>
    </row>
    <row r="117" spans="9:40" x14ac:dyDescent="0.45">
      <c r="I117" t="s">
        <v>169</v>
      </c>
      <c r="J117" t="s">
        <v>317</v>
      </c>
      <c r="K117">
        <v>4.3016117254700073E-3</v>
      </c>
      <c r="L117" t="s">
        <v>159</v>
      </c>
      <c r="N117" t="s">
        <v>212</v>
      </c>
      <c r="O117" t="s">
        <v>317</v>
      </c>
      <c r="P117">
        <v>6.8309607925618986E-3</v>
      </c>
      <c r="Q117" t="s">
        <v>159</v>
      </c>
      <c r="S117" t="s">
        <v>254</v>
      </c>
      <c r="T117" t="s">
        <v>317</v>
      </c>
      <c r="U117">
        <v>5.5760671360623008E-3</v>
      </c>
      <c r="V117" t="s">
        <v>159</v>
      </c>
      <c r="AK117">
        <v>2039</v>
      </c>
      <c r="AL117" t="s">
        <v>285</v>
      </c>
      <c r="AM117">
        <v>0.16633999999999999</v>
      </c>
      <c r="AN117" t="s">
        <v>281</v>
      </c>
    </row>
    <row r="118" spans="9:40" x14ac:dyDescent="0.45">
      <c r="I118" t="s">
        <v>169</v>
      </c>
      <c r="J118" t="s">
        <v>318</v>
      </c>
      <c r="K118">
        <v>1.2151507827096974E-6</v>
      </c>
      <c r="L118" t="s">
        <v>159</v>
      </c>
      <c r="N118" t="s">
        <v>212</v>
      </c>
      <c r="O118" t="s">
        <v>318</v>
      </c>
      <c r="P118">
        <v>2.7171764597388879E-2</v>
      </c>
      <c r="Q118" t="s">
        <v>159</v>
      </c>
      <c r="S118" t="s">
        <v>254</v>
      </c>
      <c r="T118" t="s">
        <v>318</v>
      </c>
      <c r="U118">
        <v>2.2428302561271797E-2</v>
      </c>
      <c r="V118" t="s">
        <v>159</v>
      </c>
      <c r="AK118">
        <v>2039</v>
      </c>
      <c r="AL118" t="s">
        <v>306</v>
      </c>
      <c r="AM118">
        <v>0.28670000000000001</v>
      </c>
      <c r="AN118" t="s">
        <v>281</v>
      </c>
    </row>
    <row r="119" spans="9:40" x14ac:dyDescent="0.45">
      <c r="I119" t="s">
        <v>170</v>
      </c>
      <c r="J119" t="s">
        <v>158</v>
      </c>
      <c r="K119">
        <v>1.4192260781463552E-2</v>
      </c>
      <c r="L119" t="s">
        <v>159</v>
      </c>
      <c r="N119" t="s">
        <v>213</v>
      </c>
      <c r="O119" t="s">
        <v>158</v>
      </c>
      <c r="P119">
        <v>7.9733273902406199E-2</v>
      </c>
      <c r="Q119" t="s">
        <v>159</v>
      </c>
      <c r="S119" t="s">
        <v>255</v>
      </c>
      <c r="T119" t="s">
        <v>158</v>
      </c>
      <c r="U119">
        <v>0.14246177840428118</v>
      </c>
      <c r="V119" t="s">
        <v>159</v>
      </c>
      <c r="AK119">
        <v>2040</v>
      </c>
      <c r="AL119" t="s">
        <v>148</v>
      </c>
      <c r="AM119">
        <v>0.31546666666666662</v>
      </c>
      <c r="AN119" t="s">
        <v>281</v>
      </c>
    </row>
    <row r="120" spans="9:40" x14ac:dyDescent="0.45">
      <c r="I120" t="s">
        <v>170</v>
      </c>
      <c r="J120" t="s">
        <v>160</v>
      </c>
      <c r="K120">
        <v>3.3757024074305052E-2</v>
      </c>
      <c r="L120" t="s">
        <v>159</v>
      </c>
      <c r="N120" t="s">
        <v>213</v>
      </c>
      <c r="O120" t="s">
        <v>160</v>
      </c>
      <c r="P120">
        <v>1.1088995512151653E-2</v>
      </c>
      <c r="Q120" t="s">
        <v>159</v>
      </c>
      <c r="S120" t="s">
        <v>255</v>
      </c>
      <c r="T120" t="s">
        <v>160</v>
      </c>
      <c r="U120">
        <v>1.9137035169698394E-2</v>
      </c>
      <c r="V120" t="s">
        <v>159</v>
      </c>
      <c r="AK120">
        <v>2040</v>
      </c>
      <c r="AL120" t="s">
        <v>152</v>
      </c>
      <c r="AM120">
        <v>0.11165</v>
      </c>
      <c r="AN120" t="s">
        <v>281</v>
      </c>
    </row>
    <row r="121" spans="9:40" x14ac:dyDescent="0.45">
      <c r="I121" t="s">
        <v>170</v>
      </c>
      <c r="J121" t="s">
        <v>161</v>
      </c>
      <c r="K121">
        <v>0.37142769856926033</v>
      </c>
      <c r="L121" t="s">
        <v>159</v>
      </c>
      <c r="N121" t="s">
        <v>213</v>
      </c>
      <c r="O121" t="s">
        <v>161</v>
      </c>
      <c r="P121">
        <v>0.19396693384361077</v>
      </c>
      <c r="Q121" t="s">
        <v>159</v>
      </c>
      <c r="S121" t="s">
        <v>255</v>
      </c>
      <c r="T121" t="s">
        <v>161</v>
      </c>
      <c r="U121">
        <v>0.17196076587879686</v>
      </c>
      <c r="V121" t="s">
        <v>159</v>
      </c>
      <c r="AK121">
        <v>2040</v>
      </c>
      <c r="AL121" t="s">
        <v>154</v>
      </c>
      <c r="AM121">
        <v>0.1</v>
      </c>
      <c r="AN121" t="s">
        <v>281</v>
      </c>
    </row>
    <row r="122" spans="9:40" x14ac:dyDescent="0.45">
      <c r="I122" t="s">
        <v>170</v>
      </c>
      <c r="J122" t="s">
        <v>287</v>
      </c>
      <c r="K122">
        <v>2.3852728436348242E-2</v>
      </c>
      <c r="L122" t="s">
        <v>159</v>
      </c>
      <c r="N122" t="s">
        <v>213</v>
      </c>
      <c r="O122" t="s">
        <v>287</v>
      </c>
      <c r="P122">
        <v>3.2247587225483404E-2</v>
      </c>
      <c r="Q122" t="s">
        <v>159</v>
      </c>
      <c r="S122" t="s">
        <v>255</v>
      </c>
      <c r="T122" t="s">
        <v>287</v>
      </c>
      <c r="U122">
        <v>2.245812885949474E-2</v>
      </c>
      <c r="V122" t="s">
        <v>159</v>
      </c>
      <c r="AK122">
        <v>2040</v>
      </c>
      <c r="AL122" t="s">
        <v>283</v>
      </c>
      <c r="AM122">
        <v>0.10630000000000001</v>
      </c>
      <c r="AN122" t="s">
        <v>281</v>
      </c>
    </row>
    <row r="123" spans="9:40" x14ac:dyDescent="0.45">
      <c r="I123" t="s">
        <v>170</v>
      </c>
      <c r="J123" t="s">
        <v>288</v>
      </c>
      <c r="K123">
        <v>1.1586638346400061E-2</v>
      </c>
      <c r="L123" t="s">
        <v>159</v>
      </c>
      <c r="N123" t="s">
        <v>213</v>
      </c>
      <c r="O123" t="s">
        <v>288</v>
      </c>
      <c r="P123">
        <v>2.7490428548628223E-2</v>
      </c>
      <c r="Q123" t="s">
        <v>159</v>
      </c>
      <c r="S123" t="s">
        <v>255</v>
      </c>
      <c r="T123" t="s">
        <v>288</v>
      </c>
      <c r="U123">
        <v>2.2899123050910908E-2</v>
      </c>
      <c r="V123" t="s">
        <v>159</v>
      </c>
      <c r="AK123">
        <v>2040</v>
      </c>
      <c r="AL123" t="s">
        <v>285</v>
      </c>
      <c r="AM123">
        <v>0.16642000000000001</v>
      </c>
      <c r="AN123" t="s">
        <v>281</v>
      </c>
    </row>
    <row r="124" spans="9:40" x14ac:dyDescent="0.45">
      <c r="I124" t="s">
        <v>170</v>
      </c>
      <c r="J124" t="s">
        <v>308</v>
      </c>
      <c r="K124">
        <v>0</v>
      </c>
      <c r="L124" t="s">
        <v>159</v>
      </c>
      <c r="N124" t="s">
        <v>213</v>
      </c>
      <c r="O124" t="s">
        <v>308</v>
      </c>
      <c r="P124">
        <v>7.9359483906592337E-2</v>
      </c>
      <c r="Q124" t="s">
        <v>159</v>
      </c>
      <c r="S124" t="s">
        <v>255</v>
      </c>
      <c r="T124" t="s">
        <v>308</v>
      </c>
      <c r="U124">
        <v>0.11258628976521355</v>
      </c>
      <c r="V124" t="s">
        <v>159</v>
      </c>
      <c r="AK124">
        <v>2040</v>
      </c>
      <c r="AL124" t="s">
        <v>306</v>
      </c>
      <c r="AM124">
        <v>0.28649999999999998</v>
      </c>
      <c r="AN124" t="s">
        <v>281</v>
      </c>
    </row>
    <row r="125" spans="9:40" x14ac:dyDescent="0.45">
      <c r="I125" t="s">
        <v>170</v>
      </c>
      <c r="J125" t="s">
        <v>162</v>
      </c>
      <c r="K125">
        <v>0</v>
      </c>
      <c r="L125" t="s">
        <v>159</v>
      </c>
      <c r="N125" t="s">
        <v>213</v>
      </c>
      <c r="O125" t="s">
        <v>162</v>
      </c>
      <c r="P125">
        <v>1.8971264454299721E-2</v>
      </c>
      <c r="Q125" t="s">
        <v>159</v>
      </c>
      <c r="S125" t="s">
        <v>255</v>
      </c>
      <c r="T125" t="s">
        <v>162</v>
      </c>
      <c r="U125">
        <v>1.7919950444627179E-2</v>
      </c>
      <c r="V125" t="s">
        <v>159</v>
      </c>
      <c r="AK125">
        <v>2041</v>
      </c>
      <c r="AL125" t="s">
        <v>148</v>
      </c>
      <c r="AM125">
        <v>0.30156666666666665</v>
      </c>
      <c r="AN125" t="s">
        <v>281</v>
      </c>
    </row>
    <row r="126" spans="9:40" x14ac:dyDescent="0.45">
      <c r="I126" t="s">
        <v>170</v>
      </c>
      <c r="J126" t="s">
        <v>163</v>
      </c>
      <c r="K126">
        <v>3.5813565573538809E-3</v>
      </c>
      <c r="L126" t="s">
        <v>159</v>
      </c>
      <c r="N126" t="s">
        <v>213</v>
      </c>
      <c r="O126" t="s">
        <v>163</v>
      </c>
      <c r="P126">
        <v>2.6311136686984183E-3</v>
      </c>
      <c r="Q126" t="s">
        <v>159</v>
      </c>
      <c r="S126" t="s">
        <v>255</v>
      </c>
      <c r="T126" t="s">
        <v>163</v>
      </c>
      <c r="U126">
        <v>2.5797761312716392E-3</v>
      </c>
      <c r="V126" t="s">
        <v>159</v>
      </c>
      <c r="AK126">
        <v>2041</v>
      </c>
      <c r="AL126" t="s">
        <v>152</v>
      </c>
      <c r="AM126">
        <v>0.11019999999999999</v>
      </c>
      <c r="AN126" t="s">
        <v>281</v>
      </c>
    </row>
    <row r="127" spans="9:40" x14ac:dyDescent="0.45">
      <c r="I127" t="s">
        <v>170</v>
      </c>
      <c r="J127" t="s">
        <v>164</v>
      </c>
      <c r="K127">
        <v>4.2967412468905862E-2</v>
      </c>
      <c r="L127" t="s">
        <v>159</v>
      </c>
      <c r="N127" t="s">
        <v>213</v>
      </c>
      <c r="O127" t="s">
        <v>164</v>
      </c>
      <c r="P127">
        <v>3.5596417223203343E-2</v>
      </c>
      <c r="Q127" t="s">
        <v>159</v>
      </c>
      <c r="S127" t="s">
        <v>255</v>
      </c>
      <c r="T127" t="s">
        <v>164</v>
      </c>
      <c r="U127">
        <v>2.3230956927754145E-2</v>
      </c>
      <c r="V127" t="s">
        <v>159</v>
      </c>
      <c r="AK127">
        <v>2041</v>
      </c>
      <c r="AL127" t="s">
        <v>154</v>
      </c>
      <c r="AM127">
        <v>9.5250000000000001E-2</v>
      </c>
      <c r="AN127" t="s">
        <v>281</v>
      </c>
    </row>
    <row r="128" spans="9:40" x14ac:dyDescent="0.45">
      <c r="I128" t="s">
        <v>170</v>
      </c>
      <c r="J128" t="s">
        <v>289</v>
      </c>
      <c r="K128">
        <v>4.0630620168486423E-4</v>
      </c>
      <c r="L128" t="s">
        <v>159</v>
      </c>
      <c r="N128" t="s">
        <v>213</v>
      </c>
      <c r="O128" t="s">
        <v>289</v>
      </c>
      <c r="P128">
        <v>3.7775361293505456E-3</v>
      </c>
      <c r="Q128" t="s">
        <v>159</v>
      </c>
      <c r="S128" t="s">
        <v>255</v>
      </c>
      <c r="T128" t="s">
        <v>289</v>
      </c>
      <c r="U128">
        <v>2.808170936908451E-3</v>
      </c>
      <c r="V128" t="s">
        <v>159</v>
      </c>
      <c r="AK128">
        <v>2041</v>
      </c>
      <c r="AL128" t="s">
        <v>283</v>
      </c>
      <c r="AM128">
        <v>0.10680000000000001</v>
      </c>
      <c r="AN128" t="s">
        <v>281</v>
      </c>
    </row>
    <row r="129" spans="9:40" x14ac:dyDescent="0.45">
      <c r="I129" t="s">
        <v>170</v>
      </c>
      <c r="J129" t="s">
        <v>290</v>
      </c>
      <c r="K129">
        <v>0</v>
      </c>
      <c r="L129" t="s">
        <v>159</v>
      </c>
      <c r="N129" t="s">
        <v>213</v>
      </c>
      <c r="O129" t="s">
        <v>290</v>
      </c>
      <c r="P129">
        <v>3.3936781271858749E-3</v>
      </c>
      <c r="Q129" t="s">
        <v>159</v>
      </c>
      <c r="S129" t="s">
        <v>255</v>
      </c>
      <c r="T129" t="s">
        <v>290</v>
      </c>
      <c r="U129">
        <v>2.8927819485756448E-3</v>
      </c>
      <c r="V129" t="s">
        <v>159</v>
      </c>
      <c r="AK129">
        <v>2041</v>
      </c>
      <c r="AL129" t="s">
        <v>285</v>
      </c>
      <c r="AM129">
        <v>0.17704</v>
      </c>
      <c r="AN129" t="s">
        <v>281</v>
      </c>
    </row>
    <row r="130" spans="9:40" x14ac:dyDescent="0.45">
      <c r="I130" t="s">
        <v>170</v>
      </c>
      <c r="J130" t="s">
        <v>309</v>
      </c>
      <c r="K130">
        <v>0</v>
      </c>
      <c r="L130" t="s">
        <v>159</v>
      </c>
      <c r="N130" t="s">
        <v>213</v>
      </c>
      <c r="O130" t="s">
        <v>309</v>
      </c>
      <c r="P130">
        <v>1.46349350627162E-2</v>
      </c>
      <c r="Q130" t="s">
        <v>159</v>
      </c>
      <c r="S130" t="s">
        <v>255</v>
      </c>
      <c r="T130" t="s">
        <v>309</v>
      </c>
      <c r="U130">
        <v>1.4128061197059682E-2</v>
      </c>
      <c r="V130" t="s">
        <v>159</v>
      </c>
      <c r="AK130">
        <v>2041</v>
      </c>
      <c r="AL130" t="s">
        <v>306</v>
      </c>
      <c r="AM130">
        <v>0.33239999999999997</v>
      </c>
      <c r="AN130" t="s">
        <v>281</v>
      </c>
    </row>
    <row r="131" spans="9:40" x14ac:dyDescent="0.45">
      <c r="I131" t="s">
        <v>170</v>
      </c>
      <c r="J131" t="s">
        <v>165</v>
      </c>
      <c r="K131">
        <v>0</v>
      </c>
      <c r="L131" t="s">
        <v>159</v>
      </c>
      <c r="N131" t="s">
        <v>213</v>
      </c>
      <c r="O131" t="s">
        <v>165</v>
      </c>
      <c r="P131">
        <v>2.6935497119162283E-2</v>
      </c>
      <c r="Q131" t="s">
        <v>159</v>
      </c>
      <c r="S131" t="s">
        <v>255</v>
      </c>
      <c r="T131" t="s">
        <v>165</v>
      </c>
      <c r="U131">
        <v>2.09317203522363E-2</v>
      </c>
      <c r="V131" t="s">
        <v>159</v>
      </c>
      <c r="AK131">
        <v>2042</v>
      </c>
      <c r="AL131" t="s">
        <v>148</v>
      </c>
      <c r="AM131">
        <v>0.30063333333333336</v>
      </c>
      <c r="AN131" t="s">
        <v>281</v>
      </c>
    </row>
    <row r="132" spans="9:40" x14ac:dyDescent="0.45">
      <c r="I132" t="s">
        <v>170</v>
      </c>
      <c r="J132" t="s">
        <v>166</v>
      </c>
      <c r="K132">
        <v>4.4461970249988908E-3</v>
      </c>
      <c r="L132" t="s">
        <v>159</v>
      </c>
      <c r="N132" t="s">
        <v>213</v>
      </c>
      <c r="O132" t="s">
        <v>166</v>
      </c>
      <c r="P132">
        <v>3.8981707225308271E-3</v>
      </c>
      <c r="Q132" t="s">
        <v>159</v>
      </c>
      <c r="S132" t="s">
        <v>255</v>
      </c>
      <c r="T132" t="s">
        <v>166</v>
      </c>
      <c r="U132">
        <v>2.8394911392597513E-3</v>
      </c>
      <c r="V132" t="s">
        <v>159</v>
      </c>
      <c r="AK132">
        <v>2042</v>
      </c>
      <c r="AL132" t="s">
        <v>152</v>
      </c>
      <c r="AM132">
        <v>0.10969999999999999</v>
      </c>
      <c r="AN132" t="s">
        <v>281</v>
      </c>
    </row>
    <row r="133" spans="9:40" x14ac:dyDescent="0.45">
      <c r="I133" t="s">
        <v>170</v>
      </c>
      <c r="J133" t="s">
        <v>167</v>
      </c>
      <c r="K133">
        <v>5.6992199198817206E-2</v>
      </c>
      <c r="L133" t="s">
        <v>159</v>
      </c>
      <c r="N133" t="s">
        <v>213</v>
      </c>
      <c r="O133" t="s">
        <v>167</v>
      </c>
      <c r="P133">
        <v>5.6646489023586384E-2</v>
      </c>
      <c r="Q133" t="s">
        <v>159</v>
      </c>
      <c r="S133" t="s">
        <v>255</v>
      </c>
      <c r="T133" t="s">
        <v>167</v>
      </c>
      <c r="U133">
        <v>2.3274885261804167E-2</v>
      </c>
      <c r="V133" t="s">
        <v>159</v>
      </c>
      <c r="AK133">
        <v>2042</v>
      </c>
      <c r="AL133" t="s">
        <v>154</v>
      </c>
      <c r="AM133">
        <v>9.06E-2</v>
      </c>
      <c r="AN133" t="s">
        <v>281</v>
      </c>
    </row>
    <row r="134" spans="9:40" x14ac:dyDescent="0.45">
      <c r="I134" t="s">
        <v>170</v>
      </c>
      <c r="J134" t="s">
        <v>291</v>
      </c>
      <c r="K134">
        <v>4.2896018506918578E-3</v>
      </c>
      <c r="L134" t="s">
        <v>159</v>
      </c>
      <c r="N134" t="s">
        <v>213</v>
      </c>
      <c r="O134" t="s">
        <v>291</v>
      </c>
      <c r="P134">
        <v>5.5297443883648295E-3</v>
      </c>
      <c r="Q134" t="s">
        <v>159</v>
      </c>
      <c r="S134" t="s">
        <v>255</v>
      </c>
      <c r="T134" t="s">
        <v>291</v>
      </c>
      <c r="U134">
        <v>2.816578471571169E-3</v>
      </c>
      <c r="V134" t="s">
        <v>159</v>
      </c>
      <c r="AK134">
        <v>2042</v>
      </c>
      <c r="AL134" t="s">
        <v>283</v>
      </c>
      <c r="AM134">
        <v>9.6100000000000005E-2</v>
      </c>
      <c r="AN134" t="s">
        <v>281</v>
      </c>
    </row>
    <row r="135" spans="9:40" x14ac:dyDescent="0.45">
      <c r="I135" t="s">
        <v>170</v>
      </c>
      <c r="J135" t="s">
        <v>292</v>
      </c>
      <c r="K135">
        <v>0</v>
      </c>
      <c r="L135" t="s">
        <v>159</v>
      </c>
      <c r="N135" t="s">
        <v>213</v>
      </c>
      <c r="O135" t="s">
        <v>292</v>
      </c>
      <c r="P135">
        <v>4.7979258672583023E-3</v>
      </c>
      <c r="Q135" t="s">
        <v>159</v>
      </c>
      <c r="S135" t="s">
        <v>255</v>
      </c>
      <c r="T135" t="s">
        <v>292</v>
      </c>
      <c r="U135">
        <v>2.8771353601558807E-3</v>
      </c>
      <c r="V135" t="s">
        <v>159</v>
      </c>
      <c r="AK135">
        <v>2042</v>
      </c>
      <c r="AL135" t="s">
        <v>285</v>
      </c>
      <c r="AM135">
        <v>0.16719999999999999</v>
      </c>
      <c r="AN135" t="s">
        <v>281</v>
      </c>
    </row>
    <row r="136" spans="9:40" x14ac:dyDescent="0.45">
      <c r="I136" t="s">
        <v>170</v>
      </c>
      <c r="J136" t="s">
        <v>310</v>
      </c>
      <c r="K136">
        <v>0</v>
      </c>
      <c r="L136" t="s">
        <v>159</v>
      </c>
      <c r="N136" t="s">
        <v>213</v>
      </c>
      <c r="O136" t="s">
        <v>310</v>
      </c>
      <c r="P136">
        <v>2.0609465613689846E-2</v>
      </c>
      <c r="Q136" t="s">
        <v>159</v>
      </c>
      <c r="S136" t="s">
        <v>255</v>
      </c>
      <c r="T136" t="s">
        <v>310</v>
      </c>
      <c r="U136">
        <v>1.4662082771034141E-2</v>
      </c>
      <c r="V136" t="s">
        <v>159</v>
      </c>
      <c r="AK136">
        <v>2042</v>
      </c>
      <c r="AL136" t="s">
        <v>306</v>
      </c>
      <c r="AM136">
        <v>0.30380000000000001</v>
      </c>
      <c r="AN136" t="s">
        <v>281</v>
      </c>
    </row>
    <row r="137" spans="9:40" x14ac:dyDescent="0.45">
      <c r="I137" t="s">
        <v>170</v>
      </c>
      <c r="J137" t="s">
        <v>293</v>
      </c>
      <c r="K137">
        <v>0</v>
      </c>
      <c r="L137" t="s">
        <v>159</v>
      </c>
      <c r="N137" t="s">
        <v>213</v>
      </c>
      <c r="O137" t="s">
        <v>293</v>
      </c>
      <c r="P137">
        <v>2.8057808525996019E-3</v>
      </c>
      <c r="Q137" t="s">
        <v>159</v>
      </c>
      <c r="S137" t="s">
        <v>255</v>
      </c>
      <c r="T137" t="s">
        <v>293</v>
      </c>
      <c r="U137">
        <v>5.787768894530484E-3</v>
      </c>
      <c r="V137" t="s">
        <v>159</v>
      </c>
      <c r="AK137">
        <v>2043</v>
      </c>
      <c r="AL137" t="s">
        <v>148</v>
      </c>
      <c r="AM137">
        <v>0.31211666666666665</v>
      </c>
      <c r="AN137" t="s">
        <v>281</v>
      </c>
    </row>
    <row r="138" spans="9:40" x14ac:dyDescent="0.45">
      <c r="I138" t="s">
        <v>170</v>
      </c>
      <c r="J138" t="s">
        <v>294</v>
      </c>
      <c r="K138">
        <v>1.2602813002888351E-3</v>
      </c>
      <c r="L138" t="s">
        <v>159</v>
      </c>
      <c r="N138" t="s">
        <v>213</v>
      </c>
      <c r="O138" t="s">
        <v>294</v>
      </c>
      <c r="P138">
        <v>5.2633430712123181E-4</v>
      </c>
      <c r="Q138" t="s">
        <v>159</v>
      </c>
      <c r="S138" t="s">
        <v>255</v>
      </c>
      <c r="T138" t="s">
        <v>294</v>
      </c>
      <c r="U138">
        <v>8.1438654295170514E-4</v>
      </c>
      <c r="V138" t="s">
        <v>159</v>
      </c>
      <c r="AK138">
        <v>2043</v>
      </c>
      <c r="AL138" t="s">
        <v>152</v>
      </c>
      <c r="AM138">
        <v>0.10925000000000001</v>
      </c>
      <c r="AN138" t="s">
        <v>281</v>
      </c>
    </row>
    <row r="139" spans="9:40" x14ac:dyDescent="0.45">
      <c r="I139" t="s">
        <v>170</v>
      </c>
      <c r="J139" t="s">
        <v>295</v>
      </c>
      <c r="K139">
        <v>1.4777612728543145E-2</v>
      </c>
      <c r="L139" t="s">
        <v>159</v>
      </c>
      <c r="N139" t="s">
        <v>213</v>
      </c>
      <c r="O139" t="s">
        <v>295</v>
      </c>
      <c r="P139">
        <v>8.0420185469320532E-3</v>
      </c>
      <c r="Q139" t="s">
        <v>159</v>
      </c>
      <c r="S139" t="s">
        <v>255</v>
      </c>
      <c r="T139" t="s">
        <v>295</v>
      </c>
      <c r="U139">
        <v>7.3571870439555799E-3</v>
      </c>
      <c r="V139" t="s">
        <v>159</v>
      </c>
      <c r="AK139">
        <v>2043</v>
      </c>
      <c r="AL139" t="s">
        <v>154</v>
      </c>
      <c r="AM139">
        <v>9.0249999999999997E-2</v>
      </c>
      <c r="AN139" t="s">
        <v>281</v>
      </c>
    </row>
    <row r="140" spans="9:40" x14ac:dyDescent="0.45">
      <c r="I140" t="s">
        <v>170</v>
      </c>
      <c r="J140" t="s">
        <v>296</v>
      </c>
      <c r="K140">
        <v>1.0228070774493507E-3</v>
      </c>
      <c r="L140" t="s">
        <v>159</v>
      </c>
      <c r="N140" t="s">
        <v>213</v>
      </c>
      <c r="O140" t="s">
        <v>296</v>
      </c>
      <c r="P140">
        <v>6.8184868963544649E-4</v>
      </c>
      <c r="Q140" t="s">
        <v>159</v>
      </c>
      <c r="S140" t="s">
        <v>255</v>
      </c>
      <c r="T140" t="s">
        <v>296</v>
      </c>
      <c r="U140">
        <v>9.1053998416564549E-4</v>
      </c>
      <c r="V140" t="s">
        <v>159</v>
      </c>
      <c r="AK140">
        <v>2043</v>
      </c>
      <c r="AL140" t="s">
        <v>283</v>
      </c>
      <c r="AM140">
        <v>9.0700000000000003E-2</v>
      </c>
      <c r="AN140" t="s">
        <v>281</v>
      </c>
    </row>
    <row r="141" spans="9:40" x14ac:dyDescent="0.45">
      <c r="I141" t="s">
        <v>170</v>
      </c>
      <c r="J141" t="s">
        <v>297</v>
      </c>
      <c r="K141">
        <v>0</v>
      </c>
      <c r="L141" t="s">
        <v>159</v>
      </c>
      <c r="N141" t="s">
        <v>213</v>
      </c>
      <c r="O141" t="s">
        <v>297</v>
      </c>
      <c r="P141">
        <v>5.9694333789405861E-4</v>
      </c>
      <c r="Q141" t="s">
        <v>159</v>
      </c>
      <c r="S141" t="s">
        <v>255</v>
      </c>
      <c r="T141" t="s">
        <v>297</v>
      </c>
      <c r="U141">
        <v>9.021696272016375E-4</v>
      </c>
      <c r="V141" t="s">
        <v>159</v>
      </c>
      <c r="AK141">
        <v>2043</v>
      </c>
      <c r="AL141" t="s">
        <v>285</v>
      </c>
      <c r="AM141">
        <v>0.15770000000000001</v>
      </c>
      <c r="AN141" t="s">
        <v>281</v>
      </c>
    </row>
    <row r="142" spans="9:40" x14ac:dyDescent="0.45">
      <c r="I142" t="s">
        <v>170</v>
      </c>
      <c r="J142" t="s">
        <v>311</v>
      </c>
      <c r="K142">
        <v>0</v>
      </c>
      <c r="L142" t="s">
        <v>159</v>
      </c>
      <c r="N142" t="s">
        <v>213</v>
      </c>
      <c r="O142" t="s">
        <v>311</v>
      </c>
      <c r="P142">
        <v>2.2860564102729995E-3</v>
      </c>
      <c r="Q142" t="s">
        <v>159</v>
      </c>
      <c r="S142" t="s">
        <v>255</v>
      </c>
      <c r="T142" t="s">
        <v>311</v>
      </c>
      <c r="U142">
        <v>4.4509350707672242E-3</v>
      </c>
      <c r="V142" t="s">
        <v>159</v>
      </c>
      <c r="AK142">
        <v>2043</v>
      </c>
      <c r="AL142" t="s">
        <v>306</v>
      </c>
      <c r="AM142">
        <v>0.2742</v>
      </c>
      <c r="AN142" t="s">
        <v>281</v>
      </c>
    </row>
    <row r="143" spans="9:40" x14ac:dyDescent="0.45">
      <c r="I143" t="s">
        <v>170</v>
      </c>
      <c r="J143" t="s">
        <v>298</v>
      </c>
      <c r="K143">
        <v>1.8266559892750191E-2</v>
      </c>
      <c r="L143" t="s">
        <v>159</v>
      </c>
      <c r="N143" t="s">
        <v>213</v>
      </c>
      <c r="O143" t="s">
        <v>298</v>
      </c>
      <c r="P143">
        <v>5.3163457653105338E-2</v>
      </c>
      <c r="Q143" t="s">
        <v>159</v>
      </c>
      <c r="S143" t="s">
        <v>255</v>
      </c>
      <c r="T143" t="s">
        <v>298</v>
      </c>
      <c r="U143">
        <v>8.0041677252010085E-2</v>
      </c>
      <c r="V143" t="s">
        <v>159</v>
      </c>
      <c r="AK143">
        <v>2044</v>
      </c>
      <c r="AL143" t="s">
        <v>148</v>
      </c>
      <c r="AM143">
        <v>0.29396666666666665</v>
      </c>
      <c r="AN143" t="s">
        <v>281</v>
      </c>
    </row>
    <row r="144" spans="9:40" x14ac:dyDescent="0.45">
      <c r="I144" t="s">
        <v>170</v>
      </c>
      <c r="J144" t="s">
        <v>299</v>
      </c>
      <c r="K144">
        <v>2.2856897197042106E-2</v>
      </c>
      <c r="L144" t="s">
        <v>159</v>
      </c>
      <c r="N144" t="s">
        <v>213</v>
      </c>
      <c r="O144" t="s">
        <v>299</v>
      </c>
      <c r="P144">
        <v>7.9086543953339958E-3</v>
      </c>
      <c r="Q144" t="s">
        <v>159</v>
      </c>
      <c r="S144" t="s">
        <v>255</v>
      </c>
      <c r="T144" t="s">
        <v>299</v>
      </c>
      <c r="U144">
        <v>1.0833631399787368E-2</v>
      </c>
      <c r="V144" t="s">
        <v>159</v>
      </c>
      <c r="AK144">
        <v>2044</v>
      </c>
      <c r="AL144" t="s">
        <v>152</v>
      </c>
      <c r="AM144">
        <v>0.11430000000000001</v>
      </c>
      <c r="AN144" t="s">
        <v>281</v>
      </c>
    </row>
    <row r="145" spans="9:40" x14ac:dyDescent="0.45">
      <c r="I145" t="s">
        <v>170</v>
      </c>
      <c r="J145" t="s">
        <v>300</v>
      </c>
      <c r="K145">
        <v>0.24700032347932555</v>
      </c>
      <c r="L145" t="s">
        <v>159</v>
      </c>
      <c r="N145" t="s">
        <v>213</v>
      </c>
      <c r="O145" t="s">
        <v>300</v>
      </c>
      <c r="P145">
        <v>0.14086912408709754</v>
      </c>
      <c r="Q145" t="s">
        <v>159</v>
      </c>
      <c r="S145" t="s">
        <v>255</v>
      </c>
      <c r="T145" t="s">
        <v>300</v>
      </c>
      <c r="U145">
        <v>9.8342468698228838E-2</v>
      </c>
      <c r="V145" t="s">
        <v>159</v>
      </c>
      <c r="AK145">
        <v>2044</v>
      </c>
      <c r="AL145" t="s">
        <v>154</v>
      </c>
      <c r="AM145">
        <v>9.0299999999999991E-2</v>
      </c>
      <c r="AN145" t="s">
        <v>281</v>
      </c>
    </row>
    <row r="146" spans="9:40" x14ac:dyDescent="0.45">
      <c r="I146" t="s">
        <v>170</v>
      </c>
      <c r="J146" t="s">
        <v>301</v>
      </c>
      <c r="K146">
        <v>1.8238582136786422E-2</v>
      </c>
      <c r="L146" t="s">
        <v>159</v>
      </c>
      <c r="N146" t="s">
        <v>213</v>
      </c>
      <c r="O146" t="s">
        <v>301</v>
      </c>
      <c r="P146">
        <v>1.878200290695831E-2</v>
      </c>
      <c r="Q146" t="s">
        <v>159</v>
      </c>
      <c r="S146" t="s">
        <v>255</v>
      </c>
      <c r="T146" t="s">
        <v>301</v>
      </c>
      <c r="U146">
        <v>1.2661903764003484E-2</v>
      </c>
      <c r="V146" t="s">
        <v>159</v>
      </c>
      <c r="AK146">
        <v>2044</v>
      </c>
      <c r="AL146" t="s">
        <v>283</v>
      </c>
      <c r="AM146">
        <v>9.3799999999999994E-2</v>
      </c>
      <c r="AN146" t="s">
        <v>281</v>
      </c>
    </row>
    <row r="147" spans="9:40" x14ac:dyDescent="0.45">
      <c r="I147" t="s">
        <v>170</v>
      </c>
      <c r="J147" t="s">
        <v>302</v>
      </c>
      <c r="K147">
        <v>4.8361617496905113E-3</v>
      </c>
      <c r="L147" t="s">
        <v>159</v>
      </c>
      <c r="N147" t="s">
        <v>213</v>
      </c>
      <c r="O147" t="s">
        <v>302</v>
      </c>
      <c r="P147">
        <v>1.5261206952724054E-2</v>
      </c>
      <c r="Q147" t="s">
        <v>159</v>
      </c>
      <c r="S147" t="s">
        <v>255</v>
      </c>
      <c r="T147" t="s">
        <v>302</v>
      </c>
      <c r="U147">
        <v>1.2768232985131677E-2</v>
      </c>
      <c r="V147" t="s">
        <v>159</v>
      </c>
      <c r="AK147">
        <v>2044</v>
      </c>
      <c r="AL147" t="s">
        <v>285</v>
      </c>
      <c r="AM147">
        <v>0.17416000000000001</v>
      </c>
      <c r="AN147" t="s">
        <v>281</v>
      </c>
    </row>
    <row r="148" spans="9:40" x14ac:dyDescent="0.45">
      <c r="I148" t="s">
        <v>170</v>
      </c>
      <c r="J148" t="s">
        <v>312</v>
      </c>
      <c r="K148">
        <v>0</v>
      </c>
      <c r="L148" t="s">
        <v>159</v>
      </c>
      <c r="N148" t="s">
        <v>213</v>
      </c>
      <c r="O148" t="s">
        <v>312</v>
      </c>
      <c r="P148">
        <v>4.6586035976481047E-2</v>
      </c>
      <c r="Q148" t="s">
        <v>159</v>
      </c>
      <c r="S148" t="s">
        <v>255</v>
      </c>
      <c r="T148" t="s">
        <v>312</v>
      </c>
      <c r="U148">
        <v>6.0415777175486865E-2</v>
      </c>
      <c r="V148" t="s">
        <v>159</v>
      </c>
      <c r="AK148">
        <v>2044</v>
      </c>
      <c r="AL148" t="s">
        <v>306</v>
      </c>
      <c r="AM148">
        <v>0.32740000000000002</v>
      </c>
      <c r="AN148" t="s">
        <v>281</v>
      </c>
    </row>
    <row r="149" spans="9:40" x14ac:dyDescent="0.45">
      <c r="I149" t="s">
        <v>170</v>
      </c>
      <c r="J149" t="s">
        <v>313</v>
      </c>
      <c r="K149">
        <v>8.9445474520382894E-3</v>
      </c>
      <c r="L149" t="s">
        <v>159</v>
      </c>
      <c r="N149" t="s">
        <v>213</v>
      </c>
      <c r="O149" t="s">
        <v>313</v>
      </c>
      <c r="P149">
        <v>9.6924174510085483E-3</v>
      </c>
      <c r="Q149" t="s">
        <v>159</v>
      </c>
      <c r="S149" t="s">
        <v>255</v>
      </c>
      <c r="T149" t="s">
        <v>313</v>
      </c>
      <c r="U149">
        <v>2.2565439824021809E-2</v>
      </c>
      <c r="V149" t="s">
        <v>159</v>
      </c>
      <c r="AK149">
        <v>2045</v>
      </c>
      <c r="AL149" t="s">
        <v>148</v>
      </c>
      <c r="AM149">
        <v>0.30726666666666669</v>
      </c>
      <c r="AN149" t="s">
        <v>281</v>
      </c>
    </row>
    <row r="150" spans="9:40" x14ac:dyDescent="0.45">
      <c r="I150" t="s">
        <v>170</v>
      </c>
      <c r="J150" t="s">
        <v>314</v>
      </c>
      <c r="K150">
        <v>7.6803160760053925E-3</v>
      </c>
      <c r="L150" t="s">
        <v>159</v>
      </c>
      <c r="N150" t="s">
        <v>213</v>
      </c>
      <c r="O150" t="s">
        <v>314</v>
      </c>
      <c r="P150">
        <v>1.517446275365398E-3</v>
      </c>
      <c r="Q150" t="s">
        <v>159</v>
      </c>
      <c r="S150" t="s">
        <v>255</v>
      </c>
      <c r="T150" t="s">
        <v>314</v>
      </c>
      <c r="U150">
        <v>2.8918234324456895E-3</v>
      </c>
      <c r="V150" t="s">
        <v>159</v>
      </c>
      <c r="AK150">
        <v>2045</v>
      </c>
      <c r="AL150" t="s">
        <v>152</v>
      </c>
      <c r="AM150">
        <v>0.11635000000000001</v>
      </c>
      <c r="AN150" t="s">
        <v>281</v>
      </c>
    </row>
    <row r="151" spans="9:40" x14ac:dyDescent="0.45">
      <c r="I151" t="s">
        <v>170</v>
      </c>
      <c r="J151" t="s">
        <v>315</v>
      </c>
      <c r="K151">
        <v>7.8055240797235956E-2</v>
      </c>
      <c r="L151" t="s">
        <v>159</v>
      </c>
      <c r="N151" t="s">
        <v>213</v>
      </c>
      <c r="O151" t="s">
        <v>315</v>
      </c>
      <c r="P151">
        <v>3.9509446945111319E-2</v>
      </c>
      <c r="Q151" t="s">
        <v>159</v>
      </c>
      <c r="S151" t="s">
        <v>255</v>
      </c>
      <c r="T151" t="s">
        <v>315</v>
      </c>
      <c r="U151">
        <v>2.8351776253143595E-2</v>
      </c>
      <c r="V151" t="s">
        <v>159</v>
      </c>
      <c r="AK151">
        <v>2045</v>
      </c>
      <c r="AL151" t="s">
        <v>154</v>
      </c>
      <c r="AM151">
        <v>9.3100000000000002E-2</v>
      </c>
      <c r="AN151" t="s">
        <v>281</v>
      </c>
    </row>
    <row r="152" spans="9:40" x14ac:dyDescent="0.45">
      <c r="I152" t="s">
        <v>170</v>
      </c>
      <c r="J152" t="s">
        <v>316</v>
      </c>
      <c r="K152">
        <v>5.777689884293195E-3</v>
      </c>
      <c r="L152" t="s">
        <v>159</v>
      </c>
      <c r="N152" t="s">
        <v>213</v>
      </c>
      <c r="O152" t="s">
        <v>316</v>
      </c>
      <c r="P152">
        <v>8.4899861912662768E-3</v>
      </c>
      <c r="Q152" t="s">
        <v>159</v>
      </c>
      <c r="S152" t="s">
        <v>255</v>
      </c>
      <c r="T152" t="s">
        <v>316</v>
      </c>
      <c r="U152">
        <v>4.105805702803755E-3</v>
      </c>
      <c r="V152" t="s">
        <v>159</v>
      </c>
      <c r="AK152">
        <v>2045</v>
      </c>
      <c r="AL152" t="s">
        <v>283</v>
      </c>
      <c r="AM152">
        <v>9.5899999999999999E-2</v>
      </c>
      <c r="AN152" t="s">
        <v>281</v>
      </c>
    </row>
    <row r="153" spans="9:40" x14ac:dyDescent="0.45">
      <c r="I153" t="s">
        <v>170</v>
      </c>
      <c r="J153" t="s">
        <v>317</v>
      </c>
      <c r="K153">
        <v>3.783556718321849E-3</v>
      </c>
      <c r="L153" t="s">
        <v>159</v>
      </c>
      <c r="N153" t="s">
        <v>213</v>
      </c>
      <c r="O153" t="s">
        <v>317</v>
      </c>
      <c r="P153">
        <v>6.8846949935501209E-3</v>
      </c>
      <c r="Q153" t="s">
        <v>159</v>
      </c>
      <c r="S153" t="s">
        <v>255</v>
      </c>
      <c r="T153" t="s">
        <v>317</v>
      </c>
      <c r="U153">
        <v>4.1916369377721302E-3</v>
      </c>
      <c r="V153" t="s">
        <v>159</v>
      </c>
      <c r="AK153">
        <v>2045</v>
      </c>
      <c r="AL153" t="s">
        <v>285</v>
      </c>
      <c r="AM153">
        <v>0.16531999999999997</v>
      </c>
      <c r="AN153" t="s">
        <v>281</v>
      </c>
    </row>
    <row r="154" spans="9:40" x14ac:dyDescent="0.45">
      <c r="I154" t="s">
        <v>170</v>
      </c>
      <c r="J154" t="s">
        <v>318</v>
      </c>
      <c r="K154">
        <v>0</v>
      </c>
      <c r="L154" t="s">
        <v>159</v>
      </c>
      <c r="N154" t="s">
        <v>213</v>
      </c>
      <c r="O154" t="s">
        <v>318</v>
      </c>
      <c r="P154">
        <v>1.5087603688624154E-2</v>
      </c>
      <c r="Q154" t="s">
        <v>159</v>
      </c>
      <c r="S154" t="s">
        <v>255</v>
      </c>
      <c r="T154" t="s">
        <v>318</v>
      </c>
      <c r="U154">
        <v>2.0142127340934648E-2</v>
      </c>
      <c r="V154" t="s">
        <v>159</v>
      </c>
      <c r="AK154">
        <v>2045</v>
      </c>
      <c r="AL154" t="s">
        <v>306</v>
      </c>
      <c r="AM154">
        <v>0.28199999999999997</v>
      </c>
      <c r="AN154" t="s">
        <v>281</v>
      </c>
    </row>
    <row r="155" spans="9:40" x14ac:dyDescent="0.45">
      <c r="I155" t="s">
        <v>171</v>
      </c>
      <c r="J155" t="s">
        <v>158</v>
      </c>
      <c r="K155">
        <v>1.3685207236426699E-2</v>
      </c>
      <c r="L155" t="s">
        <v>159</v>
      </c>
      <c r="N155" t="s">
        <v>214</v>
      </c>
      <c r="O155" t="s">
        <v>158</v>
      </c>
      <c r="P155">
        <v>8.6362116324702712E-2</v>
      </c>
      <c r="Q155" t="s">
        <v>159</v>
      </c>
      <c r="S155" t="s">
        <v>256</v>
      </c>
      <c r="T155" t="s">
        <v>158</v>
      </c>
      <c r="U155">
        <v>0.11440204034807704</v>
      </c>
      <c r="V155" t="s">
        <v>159</v>
      </c>
      <c r="AK155">
        <v>2046</v>
      </c>
      <c r="AL155" t="s">
        <v>148</v>
      </c>
      <c r="AM155">
        <v>0.31569999999999998</v>
      </c>
      <c r="AN155" t="s">
        <v>281</v>
      </c>
    </row>
    <row r="156" spans="9:40" x14ac:dyDescent="0.45">
      <c r="I156" t="s">
        <v>171</v>
      </c>
      <c r="J156" t="s">
        <v>160</v>
      </c>
      <c r="K156">
        <v>3.4004598863872651E-2</v>
      </c>
      <c r="L156" t="s">
        <v>159</v>
      </c>
      <c r="N156" t="s">
        <v>214</v>
      </c>
      <c r="O156" t="s">
        <v>160</v>
      </c>
      <c r="P156">
        <v>1.3751099312941982E-2</v>
      </c>
      <c r="Q156" t="s">
        <v>159</v>
      </c>
      <c r="S156" t="s">
        <v>256</v>
      </c>
      <c r="T156" t="s">
        <v>160</v>
      </c>
      <c r="U156">
        <v>1.478850138591495E-2</v>
      </c>
      <c r="V156" t="s">
        <v>159</v>
      </c>
      <c r="AK156">
        <v>2046</v>
      </c>
      <c r="AL156" t="s">
        <v>152</v>
      </c>
      <c r="AM156">
        <v>0.1091</v>
      </c>
      <c r="AN156" t="s">
        <v>281</v>
      </c>
    </row>
    <row r="157" spans="9:40" x14ac:dyDescent="0.45">
      <c r="I157" t="s">
        <v>171</v>
      </c>
      <c r="J157" t="s">
        <v>161</v>
      </c>
      <c r="K157">
        <v>0.3748467071027064</v>
      </c>
      <c r="L157" t="s">
        <v>159</v>
      </c>
      <c r="N157" t="s">
        <v>214</v>
      </c>
      <c r="O157" t="s">
        <v>161</v>
      </c>
      <c r="P157">
        <v>0.18167473667578188</v>
      </c>
      <c r="Q157" t="s">
        <v>159</v>
      </c>
      <c r="S157" t="s">
        <v>256</v>
      </c>
      <c r="T157" t="s">
        <v>161</v>
      </c>
      <c r="U157">
        <v>0.18238041072873568</v>
      </c>
      <c r="V157" t="s">
        <v>159</v>
      </c>
      <c r="AK157">
        <v>2046</v>
      </c>
      <c r="AL157" t="s">
        <v>154</v>
      </c>
      <c r="AM157">
        <v>8.8900000000000007E-2</v>
      </c>
      <c r="AN157" t="s">
        <v>281</v>
      </c>
    </row>
    <row r="158" spans="9:40" x14ac:dyDescent="0.45">
      <c r="I158" t="s">
        <v>171</v>
      </c>
      <c r="J158" t="s">
        <v>287</v>
      </c>
      <c r="K158">
        <v>2.2789673196609826E-2</v>
      </c>
      <c r="L158" t="s">
        <v>159</v>
      </c>
      <c r="N158" t="s">
        <v>214</v>
      </c>
      <c r="O158" t="s">
        <v>287</v>
      </c>
      <c r="P158">
        <v>3.0287674188487077E-2</v>
      </c>
      <c r="Q158" t="s">
        <v>159</v>
      </c>
      <c r="S158" t="s">
        <v>256</v>
      </c>
      <c r="T158" t="s">
        <v>287</v>
      </c>
      <c r="U158">
        <v>2.9157313976083916E-2</v>
      </c>
      <c r="V158" t="s">
        <v>159</v>
      </c>
      <c r="AK158">
        <v>2046</v>
      </c>
      <c r="AL158" t="s">
        <v>283</v>
      </c>
      <c r="AM158">
        <v>9.4500000000000001E-2</v>
      </c>
      <c r="AN158" t="s">
        <v>281</v>
      </c>
    </row>
    <row r="159" spans="9:40" x14ac:dyDescent="0.45">
      <c r="I159" t="s">
        <v>171</v>
      </c>
      <c r="J159" t="s">
        <v>288</v>
      </c>
      <c r="K159">
        <v>1.0059923917482044E-2</v>
      </c>
      <c r="L159" t="s">
        <v>159</v>
      </c>
      <c r="N159" t="s">
        <v>214</v>
      </c>
      <c r="O159" t="s">
        <v>288</v>
      </c>
      <c r="P159">
        <v>3.1870461421931021E-2</v>
      </c>
      <c r="Q159" t="s">
        <v>159</v>
      </c>
      <c r="S159" t="s">
        <v>256</v>
      </c>
      <c r="T159" t="s">
        <v>288</v>
      </c>
      <c r="U159">
        <v>2.7888171210161128E-2</v>
      </c>
      <c r="V159" t="s">
        <v>159</v>
      </c>
      <c r="AK159">
        <v>2046</v>
      </c>
      <c r="AL159" t="s">
        <v>285</v>
      </c>
      <c r="AM159">
        <v>0.16908000000000001</v>
      </c>
      <c r="AN159" t="s">
        <v>281</v>
      </c>
    </row>
    <row r="160" spans="9:40" x14ac:dyDescent="0.45">
      <c r="I160" t="s">
        <v>171</v>
      </c>
      <c r="J160" t="s">
        <v>308</v>
      </c>
      <c r="K160">
        <v>0</v>
      </c>
      <c r="L160" t="s">
        <v>159</v>
      </c>
      <c r="N160" t="s">
        <v>214</v>
      </c>
      <c r="O160" t="s">
        <v>308</v>
      </c>
      <c r="P160">
        <v>9.9619715288700242E-2</v>
      </c>
      <c r="Q160" t="s">
        <v>159</v>
      </c>
      <c r="S160" t="s">
        <v>256</v>
      </c>
      <c r="T160" t="s">
        <v>308</v>
      </c>
      <c r="U160">
        <v>0.11230362490480351</v>
      </c>
      <c r="V160" t="s">
        <v>159</v>
      </c>
      <c r="AK160">
        <v>2046</v>
      </c>
      <c r="AL160" t="s">
        <v>306</v>
      </c>
      <c r="AM160">
        <v>0.31030000000000002</v>
      </c>
      <c r="AN160" t="s">
        <v>281</v>
      </c>
    </row>
    <row r="161" spans="9:40" x14ac:dyDescent="0.45">
      <c r="I161" t="s">
        <v>171</v>
      </c>
      <c r="J161" t="s">
        <v>162</v>
      </c>
      <c r="K161">
        <v>0</v>
      </c>
      <c r="L161" t="s">
        <v>159</v>
      </c>
      <c r="N161" t="s">
        <v>214</v>
      </c>
      <c r="O161" t="s">
        <v>162</v>
      </c>
      <c r="P161">
        <v>2.1903202983188222E-2</v>
      </c>
      <c r="Q161" t="s">
        <v>159</v>
      </c>
      <c r="S161" t="s">
        <v>256</v>
      </c>
      <c r="T161" t="s">
        <v>162</v>
      </c>
      <c r="U161">
        <v>1.6186221761169493E-2</v>
      </c>
      <c r="V161" t="s">
        <v>159</v>
      </c>
      <c r="AK161">
        <v>2047</v>
      </c>
      <c r="AL161" t="s">
        <v>148</v>
      </c>
      <c r="AM161">
        <v>0.34925</v>
      </c>
      <c r="AN161" t="s">
        <v>281</v>
      </c>
    </row>
    <row r="162" spans="9:40" x14ac:dyDescent="0.45">
      <c r="I162" t="s">
        <v>171</v>
      </c>
      <c r="J162" t="s">
        <v>163</v>
      </c>
      <c r="K162">
        <v>3.7027542136557042E-3</v>
      </c>
      <c r="L162" t="s">
        <v>159</v>
      </c>
      <c r="N162" t="s">
        <v>214</v>
      </c>
      <c r="O162" t="s">
        <v>163</v>
      </c>
      <c r="P162">
        <v>3.4017299274757937E-3</v>
      </c>
      <c r="Q162" t="s">
        <v>159</v>
      </c>
      <c r="S162" t="s">
        <v>256</v>
      </c>
      <c r="T162" t="s">
        <v>163</v>
      </c>
      <c r="U162">
        <v>2.2517665535301437E-3</v>
      </c>
      <c r="V162" t="s">
        <v>159</v>
      </c>
      <c r="AK162">
        <v>2047</v>
      </c>
      <c r="AL162" t="s">
        <v>152</v>
      </c>
      <c r="AM162">
        <v>0.13155</v>
      </c>
      <c r="AN162" t="s">
        <v>281</v>
      </c>
    </row>
    <row r="163" spans="9:40" x14ac:dyDescent="0.45">
      <c r="I163" t="s">
        <v>171</v>
      </c>
      <c r="J163" t="s">
        <v>164</v>
      </c>
      <c r="K163">
        <v>4.6309997532771909E-2</v>
      </c>
      <c r="L163" t="s">
        <v>159</v>
      </c>
      <c r="N163" t="s">
        <v>214</v>
      </c>
      <c r="O163" t="s">
        <v>164</v>
      </c>
      <c r="P163">
        <v>4.0603206535794432E-2</v>
      </c>
      <c r="Q163" t="s">
        <v>159</v>
      </c>
      <c r="S163" t="s">
        <v>256</v>
      </c>
      <c r="T163" t="s">
        <v>164</v>
      </c>
      <c r="U163">
        <v>2.012405784727626E-2</v>
      </c>
      <c r="V163" t="s">
        <v>159</v>
      </c>
      <c r="AK163">
        <v>2047</v>
      </c>
      <c r="AL163" t="s">
        <v>154</v>
      </c>
      <c r="AM163">
        <v>0.105</v>
      </c>
      <c r="AN163" t="s">
        <v>281</v>
      </c>
    </row>
    <row r="164" spans="9:40" x14ac:dyDescent="0.45">
      <c r="I164" t="s">
        <v>171</v>
      </c>
      <c r="J164" t="s">
        <v>289</v>
      </c>
      <c r="K164">
        <v>1.2157233334173074E-3</v>
      </c>
      <c r="L164" t="s">
        <v>159</v>
      </c>
      <c r="N164" t="s">
        <v>214</v>
      </c>
      <c r="O164" t="s">
        <v>289</v>
      </c>
      <c r="P164">
        <v>4.0293731424279047E-3</v>
      </c>
      <c r="Q164" t="s">
        <v>159</v>
      </c>
      <c r="S164" t="s">
        <v>256</v>
      </c>
      <c r="T164" t="s">
        <v>289</v>
      </c>
      <c r="U164">
        <v>2.846048069698179E-3</v>
      </c>
      <c r="V164" t="s">
        <v>159</v>
      </c>
      <c r="AK164">
        <v>2047</v>
      </c>
      <c r="AL164" t="s">
        <v>283</v>
      </c>
      <c r="AM164">
        <v>0.11119999999999999</v>
      </c>
      <c r="AN164" t="s">
        <v>281</v>
      </c>
    </row>
    <row r="165" spans="9:40" x14ac:dyDescent="0.45">
      <c r="I165" t="s">
        <v>171</v>
      </c>
      <c r="J165" t="s">
        <v>290</v>
      </c>
      <c r="K165">
        <v>0</v>
      </c>
      <c r="L165" t="s">
        <v>159</v>
      </c>
      <c r="N165" t="s">
        <v>214</v>
      </c>
      <c r="O165" t="s">
        <v>290</v>
      </c>
      <c r="P165">
        <v>3.8621262478548998E-3</v>
      </c>
      <c r="Q165" t="s">
        <v>159</v>
      </c>
      <c r="S165" t="s">
        <v>256</v>
      </c>
      <c r="T165" t="s">
        <v>290</v>
      </c>
      <c r="U165">
        <v>2.7458685000727647E-3</v>
      </c>
      <c r="V165" t="s">
        <v>159</v>
      </c>
      <c r="AK165">
        <v>2047</v>
      </c>
      <c r="AL165" t="s">
        <v>285</v>
      </c>
      <c r="AM165">
        <v>0.19047999999999998</v>
      </c>
      <c r="AN165" t="s">
        <v>281</v>
      </c>
    </row>
    <row r="166" spans="9:40" x14ac:dyDescent="0.45">
      <c r="I166" t="s">
        <v>171</v>
      </c>
      <c r="J166" t="s">
        <v>309</v>
      </c>
      <c r="K166">
        <v>0</v>
      </c>
      <c r="L166" t="s">
        <v>159</v>
      </c>
      <c r="N166" t="s">
        <v>214</v>
      </c>
      <c r="O166" t="s">
        <v>309</v>
      </c>
      <c r="P166">
        <v>1.7494541588119517E-2</v>
      </c>
      <c r="Q166" t="s">
        <v>159</v>
      </c>
      <c r="S166" t="s">
        <v>256</v>
      </c>
      <c r="T166" t="s">
        <v>309</v>
      </c>
      <c r="U166">
        <v>1.2604200473758259E-2</v>
      </c>
      <c r="V166" t="s">
        <v>159</v>
      </c>
      <c r="AK166">
        <v>2047</v>
      </c>
      <c r="AL166" t="s">
        <v>306</v>
      </c>
      <c r="AM166">
        <v>0.32140000000000002</v>
      </c>
      <c r="AN166" t="s">
        <v>281</v>
      </c>
    </row>
    <row r="167" spans="9:40" x14ac:dyDescent="0.45">
      <c r="I167" t="s">
        <v>171</v>
      </c>
      <c r="J167" t="s">
        <v>165</v>
      </c>
      <c r="K167">
        <v>0</v>
      </c>
      <c r="L167" t="s">
        <v>159</v>
      </c>
      <c r="N167" t="s">
        <v>214</v>
      </c>
      <c r="O167" t="s">
        <v>165</v>
      </c>
      <c r="P167">
        <v>3.3680602055758069E-2</v>
      </c>
      <c r="Q167" t="s">
        <v>159</v>
      </c>
      <c r="S167" t="s">
        <v>256</v>
      </c>
      <c r="T167" t="s">
        <v>165</v>
      </c>
      <c r="U167">
        <v>2.2118690589617605E-2</v>
      </c>
      <c r="V167" t="s">
        <v>159</v>
      </c>
      <c r="AK167">
        <v>2048</v>
      </c>
      <c r="AL167" t="s">
        <v>148</v>
      </c>
      <c r="AM167">
        <v>0.36323333333333335</v>
      </c>
      <c r="AN167" t="s">
        <v>281</v>
      </c>
    </row>
    <row r="168" spans="9:40" x14ac:dyDescent="0.45">
      <c r="I168" t="s">
        <v>171</v>
      </c>
      <c r="J168" t="s">
        <v>166</v>
      </c>
      <c r="K168">
        <v>4.535883829365454E-3</v>
      </c>
      <c r="L168" t="s">
        <v>159</v>
      </c>
      <c r="N168" t="s">
        <v>214</v>
      </c>
      <c r="O168" t="s">
        <v>166</v>
      </c>
      <c r="P168">
        <v>5.2360333410625681E-3</v>
      </c>
      <c r="Q168" t="s">
        <v>159</v>
      </c>
      <c r="S168" t="s">
        <v>256</v>
      </c>
      <c r="T168" t="s">
        <v>166</v>
      </c>
      <c r="U168">
        <v>3.4067185055163046E-3</v>
      </c>
      <c r="V168" t="s">
        <v>159</v>
      </c>
      <c r="AK168">
        <v>2048</v>
      </c>
      <c r="AL168" t="s">
        <v>152</v>
      </c>
      <c r="AM168">
        <v>0.14095000000000002</v>
      </c>
      <c r="AN168" t="s">
        <v>281</v>
      </c>
    </row>
    <row r="169" spans="9:40" x14ac:dyDescent="0.45">
      <c r="I169" t="s">
        <v>171</v>
      </c>
      <c r="J169" t="s">
        <v>167</v>
      </c>
      <c r="K169">
        <v>5.9727492393923769E-2</v>
      </c>
      <c r="L169" t="s">
        <v>159</v>
      </c>
      <c r="N169" t="s">
        <v>214</v>
      </c>
      <c r="O169" t="s">
        <v>167</v>
      </c>
      <c r="P169">
        <v>5.708321628045579E-2</v>
      </c>
      <c r="Q169" t="s">
        <v>159</v>
      </c>
      <c r="S169" t="s">
        <v>256</v>
      </c>
      <c r="T169" t="s">
        <v>167</v>
      </c>
      <c r="U169">
        <v>2.8878210144300333E-2</v>
      </c>
      <c r="V169" t="s">
        <v>159</v>
      </c>
      <c r="AK169">
        <v>2048</v>
      </c>
      <c r="AL169" t="s">
        <v>154</v>
      </c>
      <c r="AM169">
        <v>0.1115</v>
      </c>
      <c r="AN169" t="s">
        <v>281</v>
      </c>
    </row>
    <row r="170" spans="9:40" x14ac:dyDescent="0.45">
      <c r="I170" t="s">
        <v>171</v>
      </c>
      <c r="J170" t="s">
        <v>291</v>
      </c>
      <c r="K170">
        <v>4.271555600000353E-3</v>
      </c>
      <c r="L170" t="s">
        <v>159</v>
      </c>
      <c r="N170" t="s">
        <v>214</v>
      </c>
      <c r="O170" t="s">
        <v>291</v>
      </c>
      <c r="P170">
        <v>5.0375694411131751E-3</v>
      </c>
      <c r="Q170" t="s">
        <v>159</v>
      </c>
      <c r="S170" t="s">
        <v>256</v>
      </c>
      <c r="T170" t="s">
        <v>291</v>
      </c>
      <c r="U170">
        <v>3.498539509690517E-3</v>
      </c>
      <c r="V170" t="s">
        <v>159</v>
      </c>
      <c r="AK170">
        <v>2048</v>
      </c>
      <c r="AL170" t="s">
        <v>283</v>
      </c>
      <c r="AM170">
        <v>0.1157</v>
      </c>
      <c r="AN170" t="s">
        <v>281</v>
      </c>
    </row>
    <row r="171" spans="9:40" x14ac:dyDescent="0.45">
      <c r="I171" t="s">
        <v>171</v>
      </c>
      <c r="J171" t="s">
        <v>292</v>
      </c>
      <c r="K171">
        <v>0</v>
      </c>
      <c r="L171" t="s">
        <v>159</v>
      </c>
      <c r="N171" t="s">
        <v>214</v>
      </c>
      <c r="O171" t="s">
        <v>292</v>
      </c>
      <c r="P171">
        <v>4.6642067754563612E-3</v>
      </c>
      <c r="Q171" t="s">
        <v>159</v>
      </c>
      <c r="S171" t="s">
        <v>256</v>
      </c>
      <c r="T171" t="s">
        <v>292</v>
      </c>
      <c r="U171">
        <v>3.5488082517445467E-3</v>
      </c>
      <c r="V171" t="s">
        <v>159</v>
      </c>
      <c r="AK171">
        <v>2048</v>
      </c>
      <c r="AL171" t="s">
        <v>285</v>
      </c>
      <c r="AM171">
        <v>0.20015999999999998</v>
      </c>
      <c r="AN171" t="s">
        <v>281</v>
      </c>
    </row>
    <row r="172" spans="9:40" x14ac:dyDescent="0.45">
      <c r="I172" t="s">
        <v>171</v>
      </c>
      <c r="J172" t="s">
        <v>310</v>
      </c>
      <c r="K172">
        <v>0</v>
      </c>
      <c r="L172" t="s">
        <v>159</v>
      </c>
      <c r="N172" t="s">
        <v>214</v>
      </c>
      <c r="O172" t="s">
        <v>310</v>
      </c>
      <c r="P172">
        <v>2.2849473153729739E-2</v>
      </c>
      <c r="Q172" t="s">
        <v>159</v>
      </c>
      <c r="S172" t="s">
        <v>256</v>
      </c>
      <c r="T172" t="s">
        <v>310</v>
      </c>
      <c r="U172">
        <v>1.6430672558941407E-2</v>
      </c>
      <c r="V172" t="s">
        <v>159</v>
      </c>
      <c r="AK172">
        <v>2048</v>
      </c>
      <c r="AL172" t="s">
        <v>306</v>
      </c>
      <c r="AM172">
        <v>0.37119999999999997</v>
      </c>
      <c r="AN172" t="s">
        <v>281</v>
      </c>
    </row>
    <row r="173" spans="9:40" x14ac:dyDescent="0.45">
      <c r="I173" t="s">
        <v>171</v>
      </c>
      <c r="J173" t="s">
        <v>293</v>
      </c>
      <c r="K173">
        <v>0</v>
      </c>
      <c r="L173" t="s">
        <v>159</v>
      </c>
      <c r="N173" t="s">
        <v>214</v>
      </c>
      <c r="O173" t="s">
        <v>293</v>
      </c>
      <c r="P173">
        <v>4.0999130480117094E-3</v>
      </c>
      <c r="Q173" t="s">
        <v>159</v>
      </c>
      <c r="S173" t="s">
        <v>256</v>
      </c>
      <c r="T173" t="s">
        <v>293</v>
      </c>
      <c r="U173">
        <v>4.6141145457371099E-3</v>
      </c>
      <c r="V173" t="s">
        <v>159</v>
      </c>
      <c r="AK173">
        <v>2049</v>
      </c>
      <c r="AL173" t="s">
        <v>148</v>
      </c>
      <c r="AM173">
        <v>0.36641666666666667</v>
      </c>
      <c r="AN173" t="s">
        <v>281</v>
      </c>
    </row>
    <row r="174" spans="9:40" x14ac:dyDescent="0.45">
      <c r="I174" t="s">
        <v>171</v>
      </c>
      <c r="J174" t="s">
        <v>294</v>
      </c>
      <c r="K174">
        <v>1.2079812986022826E-3</v>
      </c>
      <c r="L174" t="s">
        <v>159</v>
      </c>
      <c r="N174" t="s">
        <v>214</v>
      </c>
      <c r="O174" t="s">
        <v>294</v>
      </c>
      <c r="P174">
        <v>8.5161041426362789E-4</v>
      </c>
      <c r="Q174" t="s">
        <v>159</v>
      </c>
      <c r="S174" t="s">
        <v>256</v>
      </c>
      <c r="T174" t="s">
        <v>294</v>
      </c>
      <c r="U174">
        <v>5.9402371427393552E-4</v>
      </c>
      <c r="V174" t="s">
        <v>159</v>
      </c>
      <c r="AK174">
        <v>2049</v>
      </c>
      <c r="AL174" t="s">
        <v>152</v>
      </c>
      <c r="AM174">
        <v>0.12470000000000001</v>
      </c>
      <c r="AN174" t="s">
        <v>281</v>
      </c>
    </row>
    <row r="175" spans="9:40" x14ac:dyDescent="0.45">
      <c r="I175" t="s">
        <v>171</v>
      </c>
      <c r="J175" t="s">
        <v>295</v>
      </c>
      <c r="K175">
        <v>1.48258954495043E-2</v>
      </c>
      <c r="L175" t="s">
        <v>159</v>
      </c>
      <c r="N175" t="s">
        <v>214</v>
      </c>
      <c r="O175" t="s">
        <v>295</v>
      </c>
      <c r="P175">
        <v>1.0687878177399036E-2</v>
      </c>
      <c r="Q175" t="s">
        <v>159</v>
      </c>
      <c r="S175" t="s">
        <v>256</v>
      </c>
      <c r="T175" t="s">
        <v>295</v>
      </c>
      <c r="U175">
        <v>6.5701924596082472E-3</v>
      </c>
      <c r="V175" t="s">
        <v>159</v>
      </c>
      <c r="AK175">
        <v>2049</v>
      </c>
      <c r="AL175" t="s">
        <v>154</v>
      </c>
      <c r="AM175">
        <v>0.10255</v>
      </c>
      <c r="AN175" t="s">
        <v>281</v>
      </c>
    </row>
    <row r="176" spans="9:40" x14ac:dyDescent="0.45">
      <c r="I176" t="s">
        <v>171</v>
      </c>
      <c r="J176" t="s">
        <v>296</v>
      </c>
      <c r="K176">
        <v>9.6410790436010912E-4</v>
      </c>
      <c r="L176" t="s">
        <v>159</v>
      </c>
      <c r="N176" t="s">
        <v>214</v>
      </c>
      <c r="O176" t="s">
        <v>296</v>
      </c>
      <c r="P176">
        <v>9.0509902386101812E-4</v>
      </c>
      <c r="Q176" t="s">
        <v>159</v>
      </c>
      <c r="S176" t="s">
        <v>256</v>
      </c>
      <c r="T176" t="s">
        <v>296</v>
      </c>
      <c r="U176">
        <v>1.0330407240596601E-3</v>
      </c>
      <c r="V176" t="s">
        <v>159</v>
      </c>
      <c r="AK176">
        <v>2049</v>
      </c>
      <c r="AL176" t="s">
        <v>283</v>
      </c>
      <c r="AM176">
        <v>0.1043</v>
      </c>
      <c r="AN176" t="s">
        <v>281</v>
      </c>
    </row>
    <row r="177" spans="9:40" x14ac:dyDescent="0.45">
      <c r="I177" t="s">
        <v>171</v>
      </c>
      <c r="J177" t="s">
        <v>297</v>
      </c>
      <c r="K177">
        <v>0</v>
      </c>
      <c r="L177" t="s">
        <v>159</v>
      </c>
      <c r="N177" t="s">
        <v>214</v>
      </c>
      <c r="O177" t="s">
        <v>297</v>
      </c>
      <c r="P177">
        <v>7.6239543267813293E-4</v>
      </c>
      <c r="Q177" t="s">
        <v>159</v>
      </c>
      <c r="S177" t="s">
        <v>256</v>
      </c>
      <c r="T177" t="s">
        <v>297</v>
      </c>
      <c r="U177">
        <v>1.0076050675791816E-3</v>
      </c>
      <c r="V177" t="s">
        <v>159</v>
      </c>
      <c r="AK177">
        <v>2049</v>
      </c>
      <c r="AL177" t="s">
        <v>285</v>
      </c>
      <c r="AM177">
        <v>0.19075999999999999</v>
      </c>
      <c r="AN177" t="s">
        <v>281</v>
      </c>
    </row>
    <row r="178" spans="9:40" x14ac:dyDescent="0.45">
      <c r="I178" t="s">
        <v>171</v>
      </c>
      <c r="J178" t="s">
        <v>311</v>
      </c>
      <c r="K178">
        <v>0</v>
      </c>
      <c r="L178" t="s">
        <v>159</v>
      </c>
      <c r="N178" t="s">
        <v>214</v>
      </c>
      <c r="O178" t="s">
        <v>311</v>
      </c>
      <c r="P178">
        <v>1.9262862139689471E-3</v>
      </c>
      <c r="Q178" t="s">
        <v>159</v>
      </c>
      <c r="S178" t="s">
        <v>256</v>
      </c>
      <c r="T178" t="s">
        <v>311</v>
      </c>
      <c r="U178">
        <v>3.8755029682251215E-3</v>
      </c>
      <c r="V178" t="s">
        <v>159</v>
      </c>
      <c r="AK178">
        <v>2049</v>
      </c>
      <c r="AL178" t="s">
        <v>306</v>
      </c>
      <c r="AM178">
        <v>0.32019999999999998</v>
      </c>
      <c r="AN178" t="s">
        <v>281</v>
      </c>
    </row>
    <row r="179" spans="9:40" x14ac:dyDescent="0.45">
      <c r="I179" t="s">
        <v>171</v>
      </c>
      <c r="J179" t="s">
        <v>298</v>
      </c>
      <c r="K179">
        <v>1.7929477752985028E-2</v>
      </c>
      <c r="L179" t="s">
        <v>159</v>
      </c>
      <c r="N179" t="s">
        <v>214</v>
      </c>
      <c r="O179" t="s">
        <v>298</v>
      </c>
      <c r="P179">
        <v>4.3450501101010841E-2</v>
      </c>
      <c r="Q179" t="s">
        <v>159</v>
      </c>
      <c r="S179" t="s">
        <v>256</v>
      </c>
      <c r="T179" t="s">
        <v>298</v>
      </c>
      <c r="U179">
        <v>6.2194909070848389E-2</v>
      </c>
      <c r="V179" t="s">
        <v>159</v>
      </c>
      <c r="AK179">
        <v>2050</v>
      </c>
      <c r="AL179" t="s">
        <v>148</v>
      </c>
      <c r="AM179">
        <v>0.36295000000000005</v>
      </c>
      <c r="AN179" t="s">
        <v>281</v>
      </c>
    </row>
    <row r="180" spans="9:40" x14ac:dyDescent="0.45">
      <c r="I180" t="s">
        <v>171</v>
      </c>
      <c r="J180" t="s">
        <v>299</v>
      </c>
      <c r="K180">
        <v>2.3699575099950541E-2</v>
      </c>
      <c r="L180" t="s">
        <v>159</v>
      </c>
      <c r="N180" t="s">
        <v>214</v>
      </c>
      <c r="O180" t="s">
        <v>299</v>
      </c>
      <c r="P180">
        <v>6.9305132763774193E-3</v>
      </c>
      <c r="Q180" t="s">
        <v>159</v>
      </c>
      <c r="S180" t="s">
        <v>256</v>
      </c>
      <c r="T180" t="s">
        <v>299</v>
      </c>
      <c r="U180">
        <v>7.1967843160804538E-3</v>
      </c>
      <c r="V180" t="s">
        <v>159</v>
      </c>
      <c r="AK180">
        <v>2050</v>
      </c>
      <c r="AL180" t="s">
        <v>152</v>
      </c>
      <c r="AM180">
        <v>0.12475</v>
      </c>
      <c r="AN180" t="s">
        <v>281</v>
      </c>
    </row>
    <row r="181" spans="9:40" x14ac:dyDescent="0.45">
      <c r="I181" t="s">
        <v>171</v>
      </c>
      <c r="J181" t="s">
        <v>300</v>
      </c>
      <c r="K181">
        <v>0.24702952103030512</v>
      </c>
      <c r="L181" t="s">
        <v>159</v>
      </c>
      <c r="N181" t="s">
        <v>214</v>
      </c>
      <c r="O181" t="s">
        <v>300</v>
      </c>
      <c r="P181">
        <v>0.11228187525047539</v>
      </c>
      <c r="Q181" t="s">
        <v>159</v>
      </c>
      <c r="S181" t="s">
        <v>256</v>
      </c>
      <c r="T181" t="s">
        <v>300</v>
      </c>
      <c r="U181">
        <v>0.11131734810598452</v>
      </c>
      <c r="V181" t="s">
        <v>159</v>
      </c>
      <c r="AK181">
        <v>2050</v>
      </c>
      <c r="AL181" t="s">
        <v>154</v>
      </c>
      <c r="AM181">
        <v>0.1132</v>
      </c>
      <c r="AN181" t="s">
        <v>281</v>
      </c>
    </row>
    <row r="182" spans="9:40" x14ac:dyDescent="0.45">
      <c r="I182" t="s">
        <v>171</v>
      </c>
      <c r="J182" t="s">
        <v>301</v>
      </c>
      <c r="K182">
        <v>1.6690080286077186E-2</v>
      </c>
      <c r="L182" t="s">
        <v>159</v>
      </c>
      <c r="N182" t="s">
        <v>214</v>
      </c>
      <c r="O182" t="s">
        <v>301</v>
      </c>
      <c r="P182">
        <v>1.8985697768932445E-2</v>
      </c>
      <c r="Q182" t="s">
        <v>159</v>
      </c>
      <c r="S182" t="s">
        <v>256</v>
      </c>
      <c r="T182" t="s">
        <v>301</v>
      </c>
      <c r="U182">
        <v>1.8242254873451203E-2</v>
      </c>
      <c r="V182" t="s">
        <v>159</v>
      </c>
      <c r="AK182">
        <v>2050</v>
      </c>
      <c r="AL182" t="s">
        <v>283</v>
      </c>
      <c r="AM182">
        <v>0.1227</v>
      </c>
      <c r="AN182" t="s">
        <v>281</v>
      </c>
    </row>
    <row r="183" spans="9:40" x14ac:dyDescent="0.45">
      <c r="I183" t="s">
        <v>171</v>
      </c>
      <c r="J183" t="s">
        <v>302</v>
      </c>
      <c r="K183">
        <v>3.4936026024146557E-3</v>
      </c>
      <c r="L183" t="s">
        <v>159</v>
      </c>
      <c r="N183" t="s">
        <v>214</v>
      </c>
      <c r="O183" t="s">
        <v>302</v>
      </c>
      <c r="P183">
        <v>1.9254510531053502E-2</v>
      </c>
      <c r="Q183" t="s">
        <v>159</v>
      </c>
      <c r="S183" t="s">
        <v>256</v>
      </c>
      <c r="T183" t="s">
        <v>302</v>
      </c>
      <c r="U183">
        <v>1.732714483333541E-2</v>
      </c>
      <c r="V183" t="s">
        <v>159</v>
      </c>
      <c r="AK183">
        <v>2050</v>
      </c>
      <c r="AL183" t="s">
        <v>285</v>
      </c>
      <c r="AM183">
        <v>0.19012000000000001</v>
      </c>
      <c r="AN183" t="s">
        <v>281</v>
      </c>
    </row>
    <row r="184" spans="9:40" x14ac:dyDescent="0.45">
      <c r="I184" t="s">
        <v>171</v>
      </c>
      <c r="J184" t="s">
        <v>312</v>
      </c>
      <c r="K184">
        <v>0</v>
      </c>
      <c r="L184" t="s">
        <v>159</v>
      </c>
      <c r="N184" t="s">
        <v>214</v>
      </c>
      <c r="O184" t="s">
        <v>312</v>
      </c>
      <c r="P184">
        <v>5.2749253790092911E-2</v>
      </c>
      <c r="Q184" t="s">
        <v>159</v>
      </c>
      <c r="S184" t="s">
        <v>256</v>
      </c>
      <c r="T184" t="s">
        <v>312</v>
      </c>
      <c r="U184">
        <v>6.7871360553197785E-2</v>
      </c>
      <c r="V184" t="s">
        <v>159</v>
      </c>
      <c r="AK184">
        <v>2050</v>
      </c>
      <c r="AL184" t="s">
        <v>306</v>
      </c>
      <c r="AM184">
        <v>0.33960000000000001</v>
      </c>
      <c r="AN184" t="s">
        <v>281</v>
      </c>
    </row>
    <row r="185" spans="9:40" x14ac:dyDescent="0.45">
      <c r="I185" t="s">
        <v>171</v>
      </c>
      <c r="J185" t="s">
        <v>313</v>
      </c>
      <c r="K185">
        <v>7.9388229623661589E-3</v>
      </c>
      <c r="L185" t="s">
        <v>159</v>
      </c>
      <c r="N185" t="s">
        <v>214</v>
      </c>
      <c r="O185" t="s">
        <v>313</v>
      </c>
      <c r="P185">
        <v>6.2667685637575838E-3</v>
      </c>
      <c r="Q185" t="s">
        <v>159</v>
      </c>
      <c r="S185" t="s">
        <v>256</v>
      </c>
      <c r="T185" t="s">
        <v>313</v>
      </c>
      <c r="U185">
        <v>1.6202540671928722E-2</v>
      </c>
      <c r="V185" t="s">
        <v>159</v>
      </c>
    </row>
    <row r="186" spans="9:40" x14ac:dyDescent="0.45">
      <c r="I186" t="s">
        <v>171</v>
      </c>
      <c r="J186" t="s">
        <v>314</v>
      </c>
      <c r="K186">
        <v>7.1936875351173973E-3</v>
      </c>
      <c r="L186" t="s">
        <v>159</v>
      </c>
      <c r="N186" t="s">
        <v>214</v>
      </c>
      <c r="O186" t="s">
        <v>314</v>
      </c>
      <c r="P186">
        <v>9.5700618344859122E-4</v>
      </c>
      <c r="Q186" t="s">
        <v>159</v>
      </c>
      <c r="S186" t="s">
        <v>256</v>
      </c>
      <c r="T186" t="s">
        <v>314</v>
      </c>
      <c r="U186">
        <v>1.876528763343409E-3</v>
      </c>
      <c r="V186" t="s">
        <v>159</v>
      </c>
    </row>
    <row r="187" spans="9:40" x14ac:dyDescent="0.45">
      <c r="I187" t="s">
        <v>171</v>
      </c>
      <c r="J187" t="s">
        <v>315</v>
      </c>
      <c r="K187">
        <v>7.512725188465072E-2</v>
      </c>
      <c r="L187" t="s">
        <v>159</v>
      </c>
      <c r="N187" t="s">
        <v>214</v>
      </c>
      <c r="O187" t="s">
        <v>315</v>
      </c>
      <c r="P187">
        <v>2.5130844041723378E-2</v>
      </c>
      <c r="Q187" t="s">
        <v>159</v>
      </c>
      <c r="S187" t="s">
        <v>256</v>
      </c>
      <c r="T187" t="s">
        <v>315</v>
      </c>
      <c r="U187">
        <v>3.4203843827117837E-2</v>
      </c>
      <c r="V187" t="s">
        <v>159</v>
      </c>
    </row>
    <row r="188" spans="9:40" x14ac:dyDescent="0.45">
      <c r="I188" t="s">
        <v>171</v>
      </c>
      <c r="J188" t="s">
        <v>316</v>
      </c>
      <c r="K188">
        <v>5.3238623767143676E-3</v>
      </c>
      <c r="L188" t="s">
        <v>159</v>
      </c>
      <c r="N188" t="s">
        <v>214</v>
      </c>
      <c r="O188" t="s">
        <v>316</v>
      </c>
      <c r="P188">
        <v>6.8551375691365841E-3</v>
      </c>
      <c r="Q188" t="s">
        <v>159</v>
      </c>
      <c r="S188" t="s">
        <v>256</v>
      </c>
      <c r="T188" t="s">
        <v>316</v>
      </c>
      <c r="U188">
        <v>5.6296526440932785E-3</v>
      </c>
      <c r="V188" t="s">
        <v>159</v>
      </c>
    </row>
    <row r="189" spans="9:40" x14ac:dyDescent="0.45">
      <c r="I189" t="s">
        <v>171</v>
      </c>
      <c r="J189" t="s">
        <v>317</v>
      </c>
      <c r="K189">
        <v>3.4266165967221838E-3</v>
      </c>
      <c r="L189" t="s">
        <v>159</v>
      </c>
      <c r="N189" t="s">
        <v>214</v>
      </c>
      <c r="O189" t="s">
        <v>317</v>
      </c>
      <c r="P189">
        <v>6.7227404213770674E-3</v>
      </c>
      <c r="Q189" t="s">
        <v>159</v>
      </c>
      <c r="S189" t="s">
        <v>256</v>
      </c>
      <c r="T189" t="s">
        <v>317</v>
      </c>
      <c r="U189">
        <v>5.1478192529636349E-3</v>
      </c>
      <c r="V189" t="s">
        <v>159</v>
      </c>
    </row>
    <row r="190" spans="9:40" x14ac:dyDescent="0.45">
      <c r="I190" t="s">
        <v>171</v>
      </c>
      <c r="J190" t="s">
        <v>318</v>
      </c>
      <c r="K190">
        <v>0</v>
      </c>
      <c r="L190" t="s">
        <v>159</v>
      </c>
      <c r="N190" t="s">
        <v>214</v>
      </c>
      <c r="O190" t="s">
        <v>318</v>
      </c>
      <c r="P190">
        <v>1.7770884507444514E-2</v>
      </c>
      <c r="Q190" t="s">
        <v>159</v>
      </c>
      <c r="S190" t="s">
        <v>256</v>
      </c>
      <c r="T190" t="s">
        <v>318</v>
      </c>
      <c r="U190">
        <v>1.9535468289079112E-2</v>
      </c>
      <c r="V190" t="s">
        <v>159</v>
      </c>
    </row>
    <row r="191" spans="9:40" x14ac:dyDescent="0.45">
      <c r="I191" t="s">
        <v>172</v>
      </c>
      <c r="J191" t="s">
        <v>158</v>
      </c>
      <c r="K191">
        <v>7.3612169931421998E-3</v>
      </c>
      <c r="L191" t="s">
        <v>159</v>
      </c>
      <c r="N191" t="s">
        <v>215</v>
      </c>
      <c r="O191" t="s">
        <v>158</v>
      </c>
      <c r="P191">
        <v>0.10475060644834068</v>
      </c>
      <c r="Q191" t="s">
        <v>159</v>
      </c>
      <c r="S191" t="s">
        <v>257</v>
      </c>
      <c r="T191" t="s">
        <v>158</v>
      </c>
      <c r="U191">
        <v>0.13783968439225144</v>
      </c>
      <c r="V191" t="s">
        <v>159</v>
      </c>
    </row>
    <row r="192" spans="9:40" x14ac:dyDescent="0.45">
      <c r="I192" t="s">
        <v>172</v>
      </c>
      <c r="J192" t="s">
        <v>160</v>
      </c>
      <c r="K192">
        <v>2.736326790198414E-2</v>
      </c>
      <c r="L192" t="s">
        <v>159</v>
      </c>
      <c r="N192" t="s">
        <v>215</v>
      </c>
      <c r="O192" t="s">
        <v>160</v>
      </c>
      <c r="P192">
        <v>1.3204483314492425E-2</v>
      </c>
      <c r="Q192" t="s">
        <v>159</v>
      </c>
      <c r="S192" t="s">
        <v>257</v>
      </c>
      <c r="T192" t="s">
        <v>160</v>
      </c>
      <c r="U192">
        <v>1.7775821464596827E-2</v>
      </c>
      <c r="V192" t="s">
        <v>159</v>
      </c>
    </row>
    <row r="193" spans="9:22" x14ac:dyDescent="0.45">
      <c r="I193" t="s">
        <v>172</v>
      </c>
      <c r="J193" t="s">
        <v>161</v>
      </c>
      <c r="K193">
        <v>0.37677478473431869</v>
      </c>
      <c r="L193" t="s">
        <v>159</v>
      </c>
      <c r="N193" t="s">
        <v>215</v>
      </c>
      <c r="O193" t="s">
        <v>161</v>
      </c>
      <c r="P193">
        <v>0.1666056292687764</v>
      </c>
      <c r="Q193" t="s">
        <v>159</v>
      </c>
      <c r="S193" t="s">
        <v>257</v>
      </c>
      <c r="T193" t="s">
        <v>161</v>
      </c>
      <c r="U193">
        <v>0.17300099598433083</v>
      </c>
      <c r="V193" t="s">
        <v>159</v>
      </c>
    </row>
    <row r="194" spans="9:22" x14ac:dyDescent="0.45">
      <c r="I194" t="s">
        <v>172</v>
      </c>
      <c r="J194" t="s">
        <v>287</v>
      </c>
      <c r="K194">
        <v>3.3287596222213389E-2</v>
      </c>
      <c r="L194" t="s">
        <v>159</v>
      </c>
      <c r="N194" t="s">
        <v>215</v>
      </c>
      <c r="O194" t="s">
        <v>287</v>
      </c>
      <c r="P194">
        <v>2.4393899937345483E-2</v>
      </c>
      <c r="Q194" t="s">
        <v>159</v>
      </c>
      <c r="S194" t="s">
        <v>257</v>
      </c>
      <c r="T194" t="s">
        <v>287</v>
      </c>
      <c r="U194">
        <v>2.3918788009363146E-2</v>
      </c>
      <c r="V194" t="s">
        <v>159</v>
      </c>
    </row>
    <row r="195" spans="9:22" x14ac:dyDescent="0.45">
      <c r="I195" t="s">
        <v>172</v>
      </c>
      <c r="J195" t="s">
        <v>288</v>
      </c>
      <c r="K195">
        <v>1.7007007710566166E-2</v>
      </c>
      <c r="L195" t="s">
        <v>159</v>
      </c>
      <c r="N195" t="s">
        <v>215</v>
      </c>
      <c r="O195" t="s">
        <v>288</v>
      </c>
      <c r="P195">
        <v>2.6315865491717255E-2</v>
      </c>
      <c r="Q195" t="s">
        <v>159</v>
      </c>
      <c r="S195" t="s">
        <v>257</v>
      </c>
      <c r="T195" t="s">
        <v>288</v>
      </c>
      <c r="U195">
        <v>2.3891310820383076E-2</v>
      </c>
      <c r="V195" t="s">
        <v>159</v>
      </c>
    </row>
    <row r="196" spans="9:22" x14ac:dyDescent="0.45">
      <c r="I196" t="s">
        <v>172</v>
      </c>
      <c r="J196" t="s">
        <v>308</v>
      </c>
      <c r="K196">
        <v>4.8112783091086384E-3</v>
      </c>
      <c r="L196" t="s">
        <v>159</v>
      </c>
      <c r="N196" t="s">
        <v>215</v>
      </c>
      <c r="O196" t="s">
        <v>308</v>
      </c>
      <c r="P196">
        <v>0.1195037522001214</v>
      </c>
      <c r="Q196" t="s">
        <v>159</v>
      </c>
      <c r="S196" t="s">
        <v>257</v>
      </c>
      <c r="T196" t="s">
        <v>308</v>
      </c>
      <c r="U196">
        <v>0.11156478161986477</v>
      </c>
      <c r="V196" t="s">
        <v>159</v>
      </c>
    </row>
    <row r="197" spans="9:22" x14ac:dyDescent="0.45">
      <c r="I197" t="s">
        <v>172</v>
      </c>
      <c r="J197" t="s">
        <v>162</v>
      </c>
      <c r="K197">
        <v>0</v>
      </c>
      <c r="L197" t="s">
        <v>159</v>
      </c>
      <c r="N197" t="s">
        <v>215</v>
      </c>
      <c r="O197" t="s">
        <v>162</v>
      </c>
      <c r="P197">
        <v>2.2496911297032778E-2</v>
      </c>
      <c r="Q197" t="s">
        <v>159</v>
      </c>
      <c r="S197" t="s">
        <v>257</v>
      </c>
      <c r="T197" t="s">
        <v>162</v>
      </c>
      <c r="U197">
        <v>1.706466141033525E-2</v>
      </c>
      <c r="V197" t="s">
        <v>159</v>
      </c>
    </row>
    <row r="198" spans="9:22" x14ac:dyDescent="0.45">
      <c r="I198" t="s">
        <v>172</v>
      </c>
      <c r="J198" t="s">
        <v>163</v>
      </c>
      <c r="K198">
        <v>0</v>
      </c>
      <c r="L198" t="s">
        <v>159</v>
      </c>
      <c r="N198" t="s">
        <v>215</v>
      </c>
      <c r="O198" t="s">
        <v>163</v>
      </c>
      <c r="P198">
        <v>3.1451975373868657E-3</v>
      </c>
      <c r="Q198" t="s">
        <v>159</v>
      </c>
      <c r="S198" t="s">
        <v>257</v>
      </c>
      <c r="T198" t="s">
        <v>163</v>
      </c>
      <c r="U198">
        <v>2.3846597793970906E-3</v>
      </c>
      <c r="V198" t="s">
        <v>159</v>
      </c>
    </row>
    <row r="199" spans="9:22" x14ac:dyDescent="0.45">
      <c r="I199" t="s">
        <v>172</v>
      </c>
      <c r="J199" t="s">
        <v>164</v>
      </c>
      <c r="K199">
        <v>4.2816837104619546E-2</v>
      </c>
      <c r="L199" t="s">
        <v>159</v>
      </c>
      <c r="N199" t="s">
        <v>215</v>
      </c>
      <c r="O199" t="s">
        <v>164</v>
      </c>
      <c r="P199">
        <v>3.509865728772063E-2</v>
      </c>
      <c r="Q199" t="s">
        <v>159</v>
      </c>
      <c r="S199" t="s">
        <v>257</v>
      </c>
      <c r="T199" t="s">
        <v>164</v>
      </c>
      <c r="U199">
        <v>2.1491262390369574E-2</v>
      </c>
      <c r="V199" t="s">
        <v>159</v>
      </c>
    </row>
    <row r="200" spans="9:22" x14ac:dyDescent="0.45">
      <c r="I200" t="s">
        <v>172</v>
      </c>
      <c r="J200" t="s">
        <v>289</v>
      </c>
      <c r="K200">
        <v>3.3022111512010116E-3</v>
      </c>
      <c r="L200" t="s">
        <v>159</v>
      </c>
      <c r="N200" t="s">
        <v>215</v>
      </c>
      <c r="O200" t="s">
        <v>289</v>
      </c>
      <c r="P200">
        <v>3.895524204398852E-3</v>
      </c>
      <c r="Q200" t="s">
        <v>159</v>
      </c>
      <c r="S200" t="s">
        <v>257</v>
      </c>
      <c r="T200" t="s">
        <v>289</v>
      </c>
      <c r="U200">
        <v>2.8875271814279998E-3</v>
      </c>
      <c r="V200" t="s">
        <v>159</v>
      </c>
    </row>
    <row r="201" spans="9:22" x14ac:dyDescent="0.45">
      <c r="I201" t="s">
        <v>172</v>
      </c>
      <c r="J201" t="s">
        <v>290</v>
      </c>
      <c r="K201">
        <v>0</v>
      </c>
      <c r="L201" t="s">
        <v>159</v>
      </c>
      <c r="N201" t="s">
        <v>215</v>
      </c>
      <c r="O201" t="s">
        <v>290</v>
      </c>
      <c r="P201">
        <v>3.7607087560998574E-3</v>
      </c>
      <c r="Q201" t="s">
        <v>159</v>
      </c>
      <c r="S201" t="s">
        <v>257</v>
      </c>
      <c r="T201" t="s">
        <v>290</v>
      </c>
      <c r="U201">
        <v>2.898782286646973E-3</v>
      </c>
      <c r="V201" t="s">
        <v>159</v>
      </c>
    </row>
    <row r="202" spans="9:22" x14ac:dyDescent="0.45">
      <c r="I202" t="s">
        <v>172</v>
      </c>
      <c r="J202" t="s">
        <v>309</v>
      </c>
      <c r="K202">
        <v>0</v>
      </c>
      <c r="L202" t="s">
        <v>159</v>
      </c>
      <c r="N202" t="s">
        <v>215</v>
      </c>
      <c r="O202" t="s">
        <v>309</v>
      </c>
      <c r="P202">
        <v>1.7803753176982209E-2</v>
      </c>
      <c r="Q202" t="s">
        <v>159</v>
      </c>
      <c r="S202" t="s">
        <v>257</v>
      </c>
      <c r="T202" t="s">
        <v>309</v>
      </c>
      <c r="U202">
        <v>1.3508816772119243E-2</v>
      </c>
      <c r="V202" t="s">
        <v>159</v>
      </c>
    </row>
    <row r="203" spans="9:22" x14ac:dyDescent="0.45">
      <c r="I203" t="s">
        <v>172</v>
      </c>
      <c r="J203" t="s">
        <v>165</v>
      </c>
      <c r="K203">
        <v>0</v>
      </c>
      <c r="L203" t="s">
        <v>159</v>
      </c>
      <c r="N203" t="s">
        <v>215</v>
      </c>
      <c r="O203" t="s">
        <v>165</v>
      </c>
      <c r="P203">
        <v>2.7770390578834771E-2</v>
      </c>
      <c r="Q203" t="s">
        <v>159</v>
      </c>
      <c r="S203" t="s">
        <v>257</v>
      </c>
      <c r="T203" t="s">
        <v>165</v>
      </c>
      <c r="U203">
        <v>2.0250124920527381E-2</v>
      </c>
      <c r="V203" t="s">
        <v>159</v>
      </c>
    </row>
    <row r="204" spans="9:22" x14ac:dyDescent="0.45">
      <c r="I204" t="s">
        <v>172</v>
      </c>
      <c r="J204" t="s">
        <v>166</v>
      </c>
      <c r="K204">
        <v>1.6522641348016352E-3</v>
      </c>
      <c r="L204" t="s">
        <v>159</v>
      </c>
      <c r="N204" t="s">
        <v>215</v>
      </c>
      <c r="O204" t="s">
        <v>166</v>
      </c>
      <c r="P204">
        <v>3.9805670276088648E-3</v>
      </c>
      <c r="Q204" t="s">
        <v>159</v>
      </c>
      <c r="S204" t="s">
        <v>257</v>
      </c>
      <c r="T204" t="s">
        <v>166</v>
      </c>
      <c r="U204">
        <v>2.7566664458202853E-3</v>
      </c>
      <c r="V204" t="s">
        <v>159</v>
      </c>
    </row>
    <row r="205" spans="9:22" x14ac:dyDescent="0.45">
      <c r="I205" t="s">
        <v>172</v>
      </c>
      <c r="J205" t="s">
        <v>167</v>
      </c>
      <c r="K205">
        <v>5.1833591851376683E-2</v>
      </c>
      <c r="L205" t="s">
        <v>159</v>
      </c>
      <c r="N205" t="s">
        <v>215</v>
      </c>
      <c r="O205" t="s">
        <v>167</v>
      </c>
      <c r="P205">
        <v>4.7749609488440758E-2</v>
      </c>
      <c r="Q205" t="s">
        <v>159</v>
      </c>
      <c r="S205" t="s">
        <v>257</v>
      </c>
      <c r="T205" t="s">
        <v>167</v>
      </c>
      <c r="U205">
        <v>2.3169845338420089E-2</v>
      </c>
      <c r="V205" t="s">
        <v>159</v>
      </c>
    </row>
    <row r="206" spans="9:22" x14ac:dyDescent="0.45">
      <c r="I206" t="s">
        <v>172</v>
      </c>
      <c r="J206" t="s">
        <v>291</v>
      </c>
      <c r="K206">
        <v>3.9139215537106215E-3</v>
      </c>
      <c r="L206" t="s">
        <v>159</v>
      </c>
      <c r="N206" t="s">
        <v>215</v>
      </c>
      <c r="O206" t="s">
        <v>291</v>
      </c>
      <c r="P206">
        <v>5.1397130975808485E-3</v>
      </c>
      <c r="Q206" t="s">
        <v>159</v>
      </c>
      <c r="S206" t="s">
        <v>257</v>
      </c>
      <c r="T206" t="s">
        <v>291</v>
      </c>
      <c r="U206">
        <v>3.1079402999174867E-3</v>
      </c>
      <c r="V206" t="s">
        <v>159</v>
      </c>
    </row>
    <row r="207" spans="9:22" x14ac:dyDescent="0.45">
      <c r="I207" t="s">
        <v>172</v>
      </c>
      <c r="J207" t="s">
        <v>292</v>
      </c>
      <c r="K207">
        <v>0</v>
      </c>
      <c r="L207" t="s">
        <v>159</v>
      </c>
      <c r="N207" t="s">
        <v>215</v>
      </c>
      <c r="O207" t="s">
        <v>292</v>
      </c>
      <c r="P207">
        <v>4.8167805917314266E-3</v>
      </c>
      <c r="Q207" t="s">
        <v>159</v>
      </c>
      <c r="S207" t="s">
        <v>257</v>
      </c>
      <c r="T207" t="s">
        <v>292</v>
      </c>
      <c r="U207">
        <v>3.1985925544293159E-3</v>
      </c>
      <c r="V207" t="s">
        <v>159</v>
      </c>
    </row>
    <row r="208" spans="9:22" x14ac:dyDescent="0.45">
      <c r="I208" t="s">
        <v>172</v>
      </c>
      <c r="J208" t="s">
        <v>310</v>
      </c>
      <c r="K208">
        <v>0</v>
      </c>
      <c r="L208" t="s">
        <v>159</v>
      </c>
      <c r="N208" t="s">
        <v>215</v>
      </c>
      <c r="O208" t="s">
        <v>310</v>
      </c>
      <c r="P208">
        <v>2.1493509181117004E-2</v>
      </c>
      <c r="Q208" t="s">
        <v>159</v>
      </c>
      <c r="S208" t="s">
        <v>257</v>
      </c>
      <c r="T208" t="s">
        <v>310</v>
      </c>
      <c r="U208">
        <v>1.5396816912799363E-2</v>
      </c>
      <c r="V208" t="s">
        <v>159</v>
      </c>
    </row>
    <row r="209" spans="9:22" x14ac:dyDescent="0.45">
      <c r="I209" t="s">
        <v>172</v>
      </c>
      <c r="J209" t="s">
        <v>293</v>
      </c>
      <c r="K209">
        <v>0</v>
      </c>
      <c r="L209" t="s">
        <v>159</v>
      </c>
      <c r="N209" t="s">
        <v>215</v>
      </c>
      <c r="O209" t="s">
        <v>293</v>
      </c>
      <c r="P209">
        <v>3.7562800158589074E-3</v>
      </c>
      <c r="Q209" t="s">
        <v>159</v>
      </c>
      <c r="S209" t="s">
        <v>257</v>
      </c>
      <c r="T209" t="s">
        <v>293</v>
      </c>
      <c r="U209">
        <v>5.466700565709237E-3</v>
      </c>
      <c r="V209" t="s">
        <v>159</v>
      </c>
    </row>
    <row r="210" spans="9:22" x14ac:dyDescent="0.45">
      <c r="I210" t="s">
        <v>172</v>
      </c>
      <c r="J210" t="s">
        <v>294</v>
      </c>
      <c r="K210">
        <v>1.0314024814259031E-3</v>
      </c>
      <c r="L210" t="s">
        <v>159</v>
      </c>
      <c r="N210" t="s">
        <v>215</v>
      </c>
      <c r="O210" t="s">
        <v>294</v>
      </c>
      <c r="P210">
        <v>6.5943369099880468E-4</v>
      </c>
      <c r="Q210" t="s">
        <v>159</v>
      </c>
      <c r="S210" t="s">
        <v>257</v>
      </c>
      <c r="T210" t="s">
        <v>294</v>
      </c>
      <c r="U210">
        <v>8.2895482724703348E-4</v>
      </c>
      <c r="V210" t="s">
        <v>159</v>
      </c>
    </row>
    <row r="211" spans="9:22" x14ac:dyDescent="0.45">
      <c r="I211" t="s">
        <v>172</v>
      </c>
      <c r="J211" t="s">
        <v>295</v>
      </c>
      <c r="K211">
        <v>1.4749866613780367E-2</v>
      </c>
      <c r="L211" t="s">
        <v>159</v>
      </c>
      <c r="N211" t="s">
        <v>215</v>
      </c>
      <c r="O211" t="s">
        <v>295</v>
      </c>
      <c r="P211">
        <v>8.7564107321632199E-3</v>
      </c>
      <c r="Q211" t="s">
        <v>159</v>
      </c>
      <c r="S211" t="s">
        <v>257</v>
      </c>
      <c r="T211" t="s">
        <v>295</v>
      </c>
      <c r="U211">
        <v>7.5201607987382627E-3</v>
      </c>
      <c r="V211" t="s">
        <v>159</v>
      </c>
    </row>
    <row r="212" spans="9:22" x14ac:dyDescent="0.45">
      <c r="I212" t="s">
        <v>172</v>
      </c>
      <c r="J212" t="s">
        <v>296</v>
      </c>
      <c r="K212">
        <v>1.2516334730091892E-3</v>
      </c>
      <c r="L212" t="s">
        <v>159</v>
      </c>
      <c r="N212" t="s">
        <v>215</v>
      </c>
      <c r="O212" t="s">
        <v>296</v>
      </c>
      <c r="P212">
        <v>9.5934605151771102E-4</v>
      </c>
      <c r="Q212" t="s">
        <v>159</v>
      </c>
      <c r="S212" t="s">
        <v>257</v>
      </c>
      <c r="T212" t="s">
        <v>296</v>
      </c>
      <c r="U212">
        <v>9.6233726960158375E-4</v>
      </c>
      <c r="V212" t="s">
        <v>159</v>
      </c>
    </row>
    <row r="213" spans="9:22" x14ac:dyDescent="0.45">
      <c r="I213" t="s">
        <v>172</v>
      </c>
      <c r="J213" t="s">
        <v>297</v>
      </c>
      <c r="K213">
        <v>0</v>
      </c>
      <c r="L213" t="s">
        <v>159</v>
      </c>
      <c r="N213" t="s">
        <v>215</v>
      </c>
      <c r="O213" t="s">
        <v>297</v>
      </c>
      <c r="P213">
        <v>8.8994851782616552E-4</v>
      </c>
      <c r="Q213" t="s">
        <v>159</v>
      </c>
      <c r="S213" t="s">
        <v>257</v>
      </c>
      <c r="T213" t="s">
        <v>297</v>
      </c>
      <c r="U213">
        <v>9.3895191488394068E-4</v>
      </c>
      <c r="V213" t="s">
        <v>159</v>
      </c>
    </row>
    <row r="214" spans="9:22" x14ac:dyDescent="0.45">
      <c r="I214" t="s">
        <v>172</v>
      </c>
      <c r="J214" t="s">
        <v>311</v>
      </c>
      <c r="K214">
        <v>0</v>
      </c>
      <c r="L214" t="s">
        <v>159</v>
      </c>
      <c r="N214" t="s">
        <v>215</v>
      </c>
      <c r="O214" t="s">
        <v>311</v>
      </c>
      <c r="P214">
        <v>3.2858518106443036E-3</v>
      </c>
      <c r="Q214" t="s">
        <v>159</v>
      </c>
      <c r="S214" t="s">
        <v>257</v>
      </c>
      <c r="T214" t="s">
        <v>311</v>
      </c>
      <c r="U214">
        <v>3.9127978709670094E-3</v>
      </c>
      <c r="V214" t="s">
        <v>159</v>
      </c>
    </row>
    <row r="215" spans="9:22" x14ac:dyDescent="0.45">
      <c r="I215" t="s">
        <v>172</v>
      </c>
      <c r="J215" t="s">
        <v>298</v>
      </c>
      <c r="K215">
        <v>1.0492320991466211E-2</v>
      </c>
      <c r="L215" t="s">
        <v>159</v>
      </c>
      <c r="N215" t="s">
        <v>215</v>
      </c>
      <c r="O215" t="s">
        <v>298</v>
      </c>
      <c r="P215">
        <v>5.7167773935195662E-2</v>
      </c>
      <c r="Q215" t="s">
        <v>159</v>
      </c>
      <c r="S215" t="s">
        <v>257</v>
      </c>
      <c r="T215" t="s">
        <v>298</v>
      </c>
      <c r="U215">
        <v>7.8392673334626739E-2</v>
      </c>
      <c r="V215" t="s">
        <v>159</v>
      </c>
    </row>
    <row r="216" spans="9:22" x14ac:dyDescent="0.45">
      <c r="I216" t="s">
        <v>172</v>
      </c>
      <c r="J216" t="s">
        <v>299</v>
      </c>
      <c r="K216">
        <v>2.0750915834556637E-2</v>
      </c>
      <c r="L216" t="s">
        <v>159</v>
      </c>
      <c r="N216" t="s">
        <v>215</v>
      </c>
      <c r="O216" t="s">
        <v>299</v>
      </c>
      <c r="P216">
        <v>7.5274959543675385E-3</v>
      </c>
      <c r="Q216" t="s">
        <v>159</v>
      </c>
      <c r="S216" t="s">
        <v>257</v>
      </c>
      <c r="T216" t="s">
        <v>299</v>
      </c>
      <c r="U216">
        <v>1.0241598687035919E-2</v>
      </c>
      <c r="V216" t="s">
        <v>159</v>
      </c>
    </row>
    <row r="217" spans="9:22" x14ac:dyDescent="0.45">
      <c r="I217" t="s">
        <v>172</v>
      </c>
      <c r="J217" t="s">
        <v>300</v>
      </c>
      <c r="K217">
        <v>0.24239728892561455</v>
      </c>
      <c r="L217" t="s">
        <v>159</v>
      </c>
      <c r="N217" t="s">
        <v>215</v>
      </c>
      <c r="O217" t="s">
        <v>300</v>
      </c>
      <c r="P217">
        <v>0.10457155971906329</v>
      </c>
      <c r="Q217" t="s">
        <v>159</v>
      </c>
      <c r="S217" t="s">
        <v>257</v>
      </c>
      <c r="T217" t="s">
        <v>300</v>
      </c>
      <c r="U217">
        <v>0.10308535092460148</v>
      </c>
      <c r="V217" t="s">
        <v>159</v>
      </c>
    </row>
    <row r="218" spans="9:22" x14ac:dyDescent="0.45">
      <c r="I218" t="s">
        <v>172</v>
      </c>
      <c r="J218" t="s">
        <v>301</v>
      </c>
      <c r="K218">
        <v>2.093982404070132E-2</v>
      </c>
      <c r="L218" t="s">
        <v>159</v>
      </c>
      <c r="N218" t="s">
        <v>215</v>
      </c>
      <c r="O218" t="s">
        <v>301</v>
      </c>
      <c r="P218">
        <v>1.5166360899581368E-2</v>
      </c>
      <c r="Q218" t="s">
        <v>159</v>
      </c>
      <c r="S218" t="s">
        <v>257</v>
      </c>
      <c r="T218" t="s">
        <v>301</v>
      </c>
      <c r="U218">
        <v>1.410732329650829E-2</v>
      </c>
      <c r="V218" t="s">
        <v>159</v>
      </c>
    </row>
    <row r="219" spans="9:22" x14ac:dyDescent="0.45">
      <c r="I219" t="s">
        <v>172</v>
      </c>
      <c r="J219" t="s">
        <v>302</v>
      </c>
      <c r="K219">
        <v>1.1123841382767318E-2</v>
      </c>
      <c r="L219" t="s">
        <v>159</v>
      </c>
      <c r="N219" t="s">
        <v>215</v>
      </c>
      <c r="O219" t="s">
        <v>302</v>
      </c>
      <c r="P219">
        <v>1.5519435707096818E-2</v>
      </c>
      <c r="Q219" t="s">
        <v>159</v>
      </c>
      <c r="S219" t="s">
        <v>257</v>
      </c>
      <c r="T219" t="s">
        <v>302</v>
      </c>
      <c r="U219">
        <v>1.3953628527373186E-2</v>
      </c>
      <c r="V219" t="s">
        <v>159</v>
      </c>
    </row>
    <row r="220" spans="9:22" x14ac:dyDescent="0.45">
      <c r="I220" t="s">
        <v>172</v>
      </c>
      <c r="J220" t="s">
        <v>312</v>
      </c>
      <c r="K220">
        <v>0</v>
      </c>
      <c r="L220" t="s">
        <v>159</v>
      </c>
      <c r="N220" t="s">
        <v>215</v>
      </c>
      <c r="O220" t="s">
        <v>312</v>
      </c>
      <c r="P220">
        <v>6.3358105274425758E-2</v>
      </c>
      <c r="Q220" t="s">
        <v>159</v>
      </c>
      <c r="S220" t="s">
        <v>257</v>
      </c>
      <c r="T220" t="s">
        <v>312</v>
      </c>
      <c r="U220">
        <v>6.262784310889323E-2</v>
      </c>
      <c r="V220" t="s">
        <v>159</v>
      </c>
    </row>
    <row r="221" spans="9:22" x14ac:dyDescent="0.45">
      <c r="I221" t="s">
        <v>172</v>
      </c>
      <c r="J221" t="s">
        <v>313</v>
      </c>
      <c r="K221">
        <v>5.2030218499125123E-3</v>
      </c>
      <c r="L221" t="s">
        <v>159</v>
      </c>
      <c r="N221" t="s">
        <v>215</v>
      </c>
      <c r="O221" t="s">
        <v>313</v>
      </c>
      <c r="P221">
        <v>1.1921280945424557E-2</v>
      </c>
      <c r="Q221" t="s">
        <v>159</v>
      </c>
      <c r="S221" t="s">
        <v>257</v>
      </c>
      <c r="T221" t="s">
        <v>313</v>
      </c>
      <c r="U221">
        <v>2.1026489131624467E-2</v>
      </c>
      <c r="V221" t="s">
        <v>159</v>
      </c>
    </row>
    <row r="222" spans="9:22" x14ac:dyDescent="0.45">
      <c r="I222" t="s">
        <v>172</v>
      </c>
      <c r="J222" t="s">
        <v>314</v>
      </c>
      <c r="K222">
        <v>7.7694814497884556E-3</v>
      </c>
      <c r="L222" t="s">
        <v>159</v>
      </c>
      <c r="N222" t="s">
        <v>215</v>
      </c>
      <c r="O222" t="s">
        <v>314</v>
      </c>
      <c r="P222">
        <v>1.1894596780738114E-3</v>
      </c>
      <c r="Q222" t="s">
        <v>159</v>
      </c>
      <c r="S222" t="s">
        <v>257</v>
      </c>
      <c r="T222" t="s">
        <v>314</v>
      </c>
      <c r="U222">
        <v>2.6991350791569536E-3</v>
      </c>
      <c r="V222" t="s">
        <v>159</v>
      </c>
    </row>
    <row r="223" spans="9:22" x14ac:dyDescent="0.45">
      <c r="I223" t="s">
        <v>172</v>
      </c>
      <c r="J223" t="s">
        <v>315</v>
      </c>
      <c r="K223">
        <v>8.0544010464158586E-2</v>
      </c>
      <c r="L223" t="s">
        <v>159</v>
      </c>
      <c r="N223" t="s">
        <v>215</v>
      </c>
      <c r="O223" t="s">
        <v>315</v>
      </c>
      <c r="P223">
        <v>1.815893786658607E-2</v>
      </c>
      <c r="Q223" t="s">
        <v>159</v>
      </c>
      <c r="S223" t="s">
        <v>257</v>
      </c>
      <c r="T223" t="s">
        <v>315</v>
      </c>
      <c r="U223">
        <v>3.0044102284173098E-2</v>
      </c>
      <c r="V223" t="s">
        <v>159</v>
      </c>
    </row>
    <row r="224" spans="9:22" x14ac:dyDescent="0.45">
      <c r="I224" t="s">
        <v>172</v>
      </c>
      <c r="J224" t="s">
        <v>316</v>
      </c>
      <c r="K224">
        <v>6.8765839082076882E-3</v>
      </c>
      <c r="L224" t="s">
        <v>159</v>
      </c>
      <c r="N224" t="s">
        <v>215</v>
      </c>
      <c r="O224" t="s">
        <v>316</v>
      </c>
      <c r="P224">
        <v>4.7744376498719196E-3</v>
      </c>
      <c r="Q224" t="s">
        <v>159</v>
      </c>
      <c r="S224" t="s">
        <v>257</v>
      </c>
      <c r="T224" t="s">
        <v>316</v>
      </c>
      <c r="U224">
        <v>4.2837402560222549E-3</v>
      </c>
      <c r="V224" t="s">
        <v>159</v>
      </c>
    </row>
    <row r="225" spans="9:22" x14ac:dyDescent="0.45">
      <c r="I225" t="s">
        <v>172</v>
      </c>
      <c r="J225" t="s">
        <v>317</v>
      </c>
      <c r="K225">
        <v>5.0663864167644138E-3</v>
      </c>
      <c r="L225" t="s">
        <v>159</v>
      </c>
      <c r="N225" t="s">
        <v>215</v>
      </c>
      <c r="O225" t="s">
        <v>317</v>
      </c>
      <c r="P225">
        <v>5.8343720231402978E-3</v>
      </c>
      <c r="Q225" t="s">
        <v>159</v>
      </c>
      <c r="S225" t="s">
        <v>257</v>
      </c>
      <c r="T225" t="s">
        <v>317</v>
      </c>
      <c r="U225">
        <v>4.2765181742471115E-3</v>
      </c>
      <c r="V225" t="s">
        <v>159</v>
      </c>
    </row>
    <row r="226" spans="9:22" x14ac:dyDescent="0.45">
      <c r="I226" t="s">
        <v>172</v>
      </c>
      <c r="J226" t="s">
        <v>318</v>
      </c>
      <c r="K226">
        <v>1.6794445008047677E-3</v>
      </c>
      <c r="L226" t="s">
        <v>159</v>
      </c>
      <c r="N226" t="s">
        <v>215</v>
      </c>
      <c r="O226" t="s">
        <v>318</v>
      </c>
      <c r="P226">
        <v>2.4577950642434537E-2</v>
      </c>
      <c r="Q226" t="s">
        <v>159</v>
      </c>
      <c r="S226" t="s">
        <v>257</v>
      </c>
      <c r="T226" t="s">
        <v>318</v>
      </c>
      <c r="U226">
        <v>1.9524615365589137E-2</v>
      </c>
      <c r="V226" t="s">
        <v>159</v>
      </c>
    </row>
    <row r="227" spans="9:22" x14ac:dyDescent="0.45">
      <c r="I227" t="s">
        <v>173</v>
      </c>
      <c r="J227" t="s">
        <v>158</v>
      </c>
      <c r="K227">
        <v>9.8169743692247367E-3</v>
      </c>
      <c r="L227" t="s">
        <v>159</v>
      </c>
      <c r="N227" t="s">
        <v>216</v>
      </c>
      <c r="O227" t="s">
        <v>158</v>
      </c>
      <c r="P227">
        <v>7.0120405513549505E-2</v>
      </c>
      <c r="Q227" t="s">
        <v>159</v>
      </c>
      <c r="S227" t="s">
        <v>258</v>
      </c>
      <c r="T227" t="s">
        <v>158</v>
      </c>
      <c r="U227">
        <v>0.11987503161247724</v>
      </c>
      <c r="V227" t="s">
        <v>159</v>
      </c>
    </row>
    <row r="228" spans="9:22" x14ac:dyDescent="0.45">
      <c r="I228" t="s">
        <v>173</v>
      </c>
      <c r="J228" t="s">
        <v>160</v>
      </c>
      <c r="K228">
        <v>2.9536387177250715E-2</v>
      </c>
      <c r="L228" t="s">
        <v>159</v>
      </c>
      <c r="N228" t="s">
        <v>216</v>
      </c>
      <c r="O228" t="s">
        <v>160</v>
      </c>
      <c r="P228">
        <v>1.0284566497653047E-2</v>
      </c>
      <c r="Q228" t="s">
        <v>159</v>
      </c>
      <c r="S228" t="s">
        <v>258</v>
      </c>
      <c r="T228" t="s">
        <v>160</v>
      </c>
      <c r="U228">
        <v>1.6961202095763933E-2</v>
      </c>
      <c r="V228" t="s">
        <v>159</v>
      </c>
    </row>
    <row r="229" spans="9:22" x14ac:dyDescent="0.45">
      <c r="I229" t="s">
        <v>173</v>
      </c>
      <c r="J229" t="s">
        <v>161</v>
      </c>
      <c r="K229">
        <v>0.37682727320210951</v>
      </c>
      <c r="L229" t="s">
        <v>159</v>
      </c>
      <c r="N229" t="s">
        <v>216</v>
      </c>
      <c r="O229" t="s">
        <v>161</v>
      </c>
      <c r="P229">
        <v>0.1827199999924089</v>
      </c>
      <c r="Q229" t="s">
        <v>159</v>
      </c>
      <c r="S229" t="s">
        <v>258</v>
      </c>
      <c r="T229" t="s">
        <v>161</v>
      </c>
      <c r="U229">
        <v>0.16801555388785086</v>
      </c>
      <c r="V229" t="s">
        <v>159</v>
      </c>
    </row>
    <row r="230" spans="9:22" x14ac:dyDescent="0.45">
      <c r="I230" t="s">
        <v>173</v>
      </c>
      <c r="J230" t="s">
        <v>287</v>
      </c>
      <c r="K230">
        <v>3.2220725618908791E-2</v>
      </c>
      <c r="L230" t="s">
        <v>159</v>
      </c>
      <c r="N230" t="s">
        <v>216</v>
      </c>
      <c r="O230" t="s">
        <v>287</v>
      </c>
      <c r="P230">
        <v>1.7795233809089445E-2</v>
      </c>
      <c r="Q230" t="s">
        <v>159</v>
      </c>
      <c r="S230" t="s">
        <v>258</v>
      </c>
      <c r="T230" t="s">
        <v>287</v>
      </c>
      <c r="U230">
        <v>2.1221994738582065E-2</v>
      </c>
      <c r="V230" t="s">
        <v>159</v>
      </c>
    </row>
    <row r="231" spans="9:22" x14ac:dyDescent="0.45">
      <c r="I231" t="s">
        <v>173</v>
      </c>
      <c r="J231" t="s">
        <v>288</v>
      </c>
      <c r="K231">
        <v>1.6856423572495734E-2</v>
      </c>
      <c r="L231" t="s">
        <v>159</v>
      </c>
      <c r="N231" t="s">
        <v>216</v>
      </c>
      <c r="O231" t="s">
        <v>288</v>
      </c>
      <c r="P231">
        <v>1.3747520799176948E-2</v>
      </c>
      <c r="Q231" t="s">
        <v>159</v>
      </c>
      <c r="S231" t="s">
        <v>258</v>
      </c>
      <c r="T231" t="s">
        <v>288</v>
      </c>
      <c r="U231">
        <v>2.0851021218454953E-2</v>
      </c>
      <c r="V231" t="s">
        <v>159</v>
      </c>
    </row>
    <row r="232" spans="9:22" x14ac:dyDescent="0.45">
      <c r="I232" t="s">
        <v>173</v>
      </c>
      <c r="J232" t="s">
        <v>308</v>
      </c>
      <c r="K232">
        <v>4.0158622202361854E-3</v>
      </c>
      <c r="L232" t="s">
        <v>159</v>
      </c>
      <c r="N232" t="s">
        <v>216</v>
      </c>
      <c r="O232" t="s">
        <v>308</v>
      </c>
      <c r="P232">
        <v>5.3432769494075938E-2</v>
      </c>
      <c r="Q232" t="s">
        <v>159</v>
      </c>
      <c r="S232" t="s">
        <v>258</v>
      </c>
      <c r="T232" t="s">
        <v>308</v>
      </c>
      <c r="U232">
        <v>9.481475727402848E-2</v>
      </c>
      <c r="V232" t="s">
        <v>159</v>
      </c>
    </row>
    <row r="233" spans="9:22" x14ac:dyDescent="0.45">
      <c r="I233" t="s">
        <v>173</v>
      </c>
      <c r="J233" t="s">
        <v>162</v>
      </c>
      <c r="K233">
        <v>0</v>
      </c>
      <c r="L233" t="s">
        <v>159</v>
      </c>
      <c r="N233" t="s">
        <v>216</v>
      </c>
      <c r="O233" t="s">
        <v>162</v>
      </c>
      <c r="P233">
        <v>1.6574923390579574E-2</v>
      </c>
      <c r="Q233" t="s">
        <v>159</v>
      </c>
      <c r="S233" t="s">
        <v>258</v>
      </c>
      <c r="T233" t="s">
        <v>162</v>
      </c>
      <c r="U233">
        <v>2.5270309092809251E-2</v>
      </c>
      <c r="V233" t="s">
        <v>159</v>
      </c>
    </row>
    <row r="234" spans="9:22" x14ac:dyDescent="0.45">
      <c r="I234" t="s">
        <v>173</v>
      </c>
      <c r="J234" t="s">
        <v>163</v>
      </c>
      <c r="K234">
        <v>0</v>
      </c>
      <c r="L234" t="s">
        <v>159</v>
      </c>
      <c r="N234" t="s">
        <v>216</v>
      </c>
      <c r="O234" t="s">
        <v>163</v>
      </c>
      <c r="P234">
        <v>1.936504768446643E-3</v>
      </c>
      <c r="Q234" t="s">
        <v>159</v>
      </c>
      <c r="S234" t="s">
        <v>258</v>
      </c>
      <c r="T234" t="s">
        <v>163</v>
      </c>
      <c r="U234">
        <v>3.5585436191650204E-3</v>
      </c>
      <c r="V234" t="s">
        <v>159</v>
      </c>
    </row>
    <row r="235" spans="9:22" x14ac:dyDescent="0.45">
      <c r="I235" t="s">
        <v>173</v>
      </c>
      <c r="J235" t="s">
        <v>164</v>
      </c>
      <c r="K235">
        <v>3.9114106054969268E-2</v>
      </c>
      <c r="L235" t="s">
        <v>159</v>
      </c>
      <c r="N235" t="s">
        <v>216</v>
      </c>
      <c r="O235" t="s">
        <v>164</v>
      </c>
      <c r="P235">
        <v>4.2347931462778474E-2</v>
      </c>
      <c r="Q235" t="s">
        <v>159</v>
      </c>
      <c r="S235" t="s">
        <v>258</v>
      </c>
      <c r="T235" t="s">
        <v>164</v>
      </c>
      <c r="U235">
        <v>2.8192661839522952E-2</v>
      </c>
      <c r="V235" t="s">
        <v>159</v>
      </c>
    </row>
    <row r="236" spans="9:22" x14ac:dyDescent="0.45">
      <c r="I236" t="s">
        <v>173</v>
      </c>
      <c r="J236" t="s">
        <v>289</v>
      </c>
      <c r="K236">
        <v>3.1603431261146555E-3</v>
      </c>
      <c r="L236" t="s">
        <v>159</v>
      </c>
      <c r="N236" t="s">
        <v>216</v>
      </c>
      <c r="O236" t="s">
        <v>289</v>
      </c>
      <c r="P236">
        <v>3.3895398108847283E-3</v>
      </c>
      <c r="Q236" t="s">
        <v>159</v>
      </c>
      <c r="S236" t="s">
        <v>258</v>
      </c>
      <c r="T236" t="s">
        <v>289</v>
      </c>
      <c r="U236">
        <v>3.4736120907914191E-3</v>
      </c>
      <c r="V236" t="s">
        <v>159</v>
      </c>
    </row>
    <row r="237" spans="9:22" x14ac:dyDescent="0.45">
      <c r="I237" t="s">
        <v>173</v>
      </c>
      <c r="J237" t="s">
        <v>290</v>
      </c>
      <c r="K237">
        <v>0</v>
      </c>
      <c r="L237" t="s">
        <v>159</v>
      </c>
      <c r="N237" t="s">
        <v>216</v>
      </c>
      <c r="O237" t="s">
        <v>290</v>
      </c>
      <c r="P237">
        <v>2.4109504804102678E-3</v>
      </c>
      <c r="Q237" t="s">
        <v>159</v>
      </c>
      <c r="S237" t="s">
        <v>258</v>
      </c>
      <c r="T237" t="s">
        <v>290</v>
      </c>
      <c r="U237">
        <v>3.4967217577589744E-3</v>
      </c>
      <c r="V237" t="s">
        <v>159</v>
      </c>
    </row>
    <row r="238" spans="9:22" x14ac:dyDescent="0.45">
      <c r="I238" t="s">
        <v>173</v>
      </c>
      <c r="J238" t="s">
        <v>309</v>
      </c>
      <c r="K238">
        <v>0</v>
      </c>
      <c r="L238" t="s">
        <v>159</v>
      </c>
      <c r="N238" t="s">
        <v>216</v>
      </c>
      <c r="O238" t="s">
        <v>309</v>
      </c>
      <c r="P238">
        <v>9.7628660750156433E-3</v>
      </c>
      <c r="Q238" t="s">
        <v>159</v>
      </c>
      <c r="S238" t="s">
        <v>258</v>
      </c>
      <c r="T238" t="s">
        <v>309</v>
      </c>
      <c r="U238">
        <v>1.6551040576722544E-2</v>
      </c>
      <c r="V238" t="s">
        <v>159</v>
      </c>
    </row>
    <row r="239" spans="9:22" x14ac:dyDescent="0.45">
      <c r="I239" t="s">
        <v>173</v>
      </c>
      <c r="J239" t="s">
        <v>165</v>
      </c>
      <c r="K239">
        <v>0</v>
      </c>
      <c r="L239" t="s">
        <v>159</v>
      </c>
      <c r="N239" t="s">
        <v>216</v>
      </c>
      <c r="O239" t="s">
        <v>165</v>
      </c>
      <c r="P239">
        <v>3.4747133042182542E-2</v>
      </c>
      <c r="Q239" t="s">
        <v>159</v>
      </c>
      <c r="S239" t="s">
        <v>258</v>
      </c>
      <c r="T239" t="s">
        <v>165</v>
      </c>
      <c r="U239">
        <v>2.8561280978713344E-2</v>
      </c>
      <c r="V239" t="s">
        <v>159</v>
      </c>
    </row>
    <row r="240" spans="9:22" x14ac:dyDescent="0.45">
      <c r="I240" t="s">
        <v>173</v>
      </c>
      <c r="J240" t="s">
        <v>166</v>
      </c>
      <c r="K240">
        <v>2.0874693249185983E-3</v>
      </c>
      <c r="L240" t="s">
        <v>159</v>
      </c>
      <c r="N240" t="s">
        <v>216</v>
      </c>
      <c r="O240" t="s">
        <v>166</v>
      </c>
      <c r="P240">
        <v>4.7766965463098788E-3</v>
      </c>
      <c r="Q240" t="s">
        <v>159</v>
      </c>
      <c r="S240" t="s">
        <v>258</v>
      </c>
      <c r="T240" t="s">
        <v>166</v>
      </c>
      <c r="U240">
        <v>4.069378087700604E-3</v>
      </c>
      <c r="V240" t="s">
        <v>159</v>
      </c>
    </row>
    <row r="241" spans="9:22" x14ac:dyDescent="0.45">
      <c r="I241" t="s">
        <v>173</v>
      </c>
      <c r="J241" t="s">
        <v>167</v>
      </c>
      <c r="K241">
        <v>4.9673879442454966E-2</v>
      </c>
      <c r="L241" t="s">
        <v>159</v>
      </c>
      <c r="N241" t="s">
        <v>216</v>
      </c>
      <c r="O241" t="s">
        <v>167</v>
      </c>
      <c r="P241">
        <v>7.0437381348014264E-2</v>
      </c>
      <c r="Q241" t="s">
        <v>159</v>
      </c>
      <c r="S241" t="s">
        <v>258</v>
      </c>
      <c r="T241" t="s">
        <v>167</v>
      </c>
      <c r="U241">
        <v>3.3631906887895073E-2</v>
      </c>
      <c r="V241" t="s">
        <v>159</v>
      </c>
    </row>
    <row r="242" spans="9:22" x14ac:dyDescent="0.45">
      <c r="I242" t="s">
        <v>173</v>
      </c>
      <c r="J242" t="s">
        <v>291</v>
      </c>
      <c r="K242">
        <v>3.7875725806290469E-3</v>
      </c>
      <c r="L242" t="s">
        <v>159</v>
      </c>
      <c r="N242" t="s">
        <v>216</v>
      </c>
      <c r="O242" t="s">
        <v>291</v>
      </c>
      <c r="P242">
        <v>6.1340326583096301E-3</v>
      </c>
      <c r="Q242" t="s">
        <v>159</v>
      </c>
      <c r="S242" t="s">
        <v>258</v>
      </c>
      <c r="T242" t="s">
        <v>291</v>
      </c>
      <c r="U242">
        <v>4.2304573020510005E-3</v>
      </c>
      <c r="V242" t="s">
        <v>159</v>
      </c>
    </row>
    <row r="243" spans="9:22" x14ac:dyDescent="0.45">
      <c r="I243" t="s">
        <v>173</v>
      </c>
      <c r="J243" t="s">
        <v>292</v>
      </c>
      <c r="K243">
        <v>0</v>
      </c>
      <c r="L243" t="s">
        <v>159</v>
      </c>
      <c r="N243" t="s">
        <v>216</v>
      </c>
      <c r="O243" t="s">
        <v>292</v>
      </c>
      <c r="P243">
        <v>5.2051947560139023E-3</v>
      </c>
      <c r="Q243" t="s">
        <v>159</v>
      </c>
      <c r="S243" t="s">
        <v>258</v>
      </c>
      <c r="T243" t="s">
        <v>292</v>
      </c>
      <c r="U243">
        <v>4.2989646197932364E-3</v>
      </c>
      <c r="V243" t="s">
        <v>159</v>
      </c>
    </row>
    <row r="244" spans="9:22" x14ac:dyDescent="0.45">
      <c r="I244" t="s">
        <v>173</v>
      </c>
      <c r="J244" t="s">
        <v>310</v>
      </c>
      <c r="K244">
        <v>0</v>
      </c>
      <c r="L244" t="s">
        <v>159</v>
      </c>
      <c r="N244" t="s">
        <v>216</v>
      </c>
      <c r="O244" t="s">
        <v>310</v>
      </c>
      <c r="P244">
        <v>1.9937016462905521E-2</v>
      </c>
      <c r="Q244" t="s">
        <v>159</v>
      </c>
      <c r="S244" t="s">
        <v>258</v>
      </c>
      <c r="T244" t="s">
        <v>310</v>
      </c>
      <c r="U244">
        <v>2.1604865332691708E-2</v>
      </c>
      <c r="V244" t="s">
        <v>159</v>
      </c>
    </row>
    <row r="245" spans="9:22" x14ac:dyDescent="0.45">
      <c r="I245" t="s">
        <v>173</v>
      </c>
      <c r="J245" t="s">
        <v>293</v>
      </c>
      <c r="K245">
        <v>0</v>
      </c>
      <c r="L245" t="s">
        <v>159</v>
      </c>
      <c r="N245" t="s">
        <v>216</v>
      </c>
      <c r="O245" t="s">
        <v>293</v>
      </c>
      <c r="P245">
        <v>5.6306921871789326E-3</v>
      </c>
      <c r="Q245" t="s">
        <v>159</v>
      </c>
      <c r="S245" t="s">
        <v>258</v>
      </c>
      <c r="T245" t="s">
        <v>293</v>
      </c>
      <c r="U245">
        <v>4.5809225901062975E-3</v>
      </c>
      <c r="V245" t="s">
        <v>159</v>
      </c>
    </row>
    <row r="246" spans="9:22" x14ac:dyDescent="0.45">
      <c r="I246" t="s">
        <v>173</v>
      </c>
      <c r="J246" t="s">
        <v>294</v>
      </c>
      <c r="K246">
        <v>1.1103941313845894E-3</v>
      </c>
      <c r="L246" t="s">
        <v>159</v>
      </c>
      <c r="N246" t="s">
        <v>216</v>
      </c>
      <c r="O246" t="s">
        <v>294</v>
      </c>
      <c r="P246">
        <v>7.2377733794563447E-4</v>
      </c>
      <c r="Q246" t="s">
        <v>159</v>
      </c>
      <c r="S246" t="s">
        <v>258</v>
      </c>
      <c r="T246" t="s">
        <v>294</v>
      </c>
      <c r="U246">
        <v>6.662707839142902E-4</v>
      </c>
      <c r="V246" t="s">
        <v>159</v>
      </c>
    </row>
    <row r="247" spans="9:22" x14ac:dyDescent="0.45">
      <c r="I247" t="s">
        <v>173</v>
      </c>
      <c r="J247" t="s">
        <v>295</v>
      </c>
      <c r="K247">
        <v>1.4874132746894796E-2</v>
      </c>
      <c r="L247" t="s">
        <v>159</v>
      </c>
      <c r="N247" t="s">
        <v>216</v>
      </c>
      <c r="O247" t="s">
        <v>295</v>
      </c>
      <c r="P247">
        <v>1.3579843988431825E-2</v>
      </c>
      <c r="Q247" t="s">
        <v>159</v>
      </c>
      <c r="S247" t="s">
        <v>258</v>
      </c>
      <c r="T247" t="s">
        <v>295</v>
      </c>
      <c r="U247">
        <v>6.4386318814729539E-3</v>
      </c>
      <c r="V247" t="s">
        <v>159</v>
      </c>
    </row>
    <row r="248" spans="9:22" x14ac:dyDescent="0.45">
      <c r="I248" t="s">
        <v>173</v>
      </c>
      <c r="J248" t="s">
        <v>296</v>
      </c>
      <c r="K248">
        <v>1.2504892608398636E-3</v>
      </c>
      <c r="L248" t="s">
        <v>159</v>
      </c>
      <c r="N248" t="s">
        <v>216</v>
      </c>
      <c r="O248" t="s">
        <v>296</v>
      </c>
      <c r="P248">
        <v>9.6980426966541988E-4</v>
      </c>
      <c r="Q248" t="s">
        <v>159</v>
      </c>
      <c r="S248" t="s">
        <v>258</v>
      </c>
      <c r="T248" t="s">
        <v>296</v>
      </c>
      <c r="U248">
        <v>8.0345903448303369E-4</v>
      </c>
      <c r="V248" t="s">
        <v>159</v>
      </c>
    </row>
    <row r="249" spans="9:22" x14ac:dyDescent="0.45">
      <c r="I249" t="s">
        <v>173</v>
      </c>
      <c r="J249" t="s">
        <v>297</v>
      </c>
      <c r="K249">
        <v>0</v>
      </c>
      <c r="L249" t="s">
        <v>159</v>
      </c>
      <c r="N249" t="s">
        <v>216</v>
      </c>
      <c r="O249" t="s">
        <v>297</v>
      </c>
      <c r="P249">
        <v>7.9475262266609937E-4</v>
      </c>
      <c r="Q249" t="s">
        <v>159</v>
      </c>
      <c r="S249" t="s">
        <v>258</v>
      </c>
      <c r="T249" t="s">
        <v>297</v>
      </c>
      <c r="U249">
        <v>7.7391899332664377E-4</v>
      </c>
      <c r="V249" t="s">
        <v>159</v>
      </c>
    </row>
    <row r="250" spans="9:22" x14ac:dyDescent="0.45">
      <c r="I250" t="s">
        <v>173</v>
      </c>
      <c r="J250" t="s">
        <v>311</v>
      </c>
      <c r="K250">
        <v>0</v>
      </c>
      <c r="L250" t="s">
        <v>159</v>
      </c>
      <c r="N250" t="s">
        <v>216</v>
      </c>
      <c r="O250" t="s">
        <v>311</v>
      </c>
      <c r="P250">
        <v>2.8703335344809847E-3</v>
      </c>
      <c r="Q250" t="s">
        <v>159</v>
      </c>
      <c r="S250" t="s">
        <v>258</v>
      </c>
      <c r="T250" t="s">
        <v>311</v>
      </c>
      <c r="U250">
        <v>3.3136590637477957E-3</v>
      </c>
      <c r="V250" t="s">
        <v>159</v>
      </c>
    </row>
    <row r="251" spans="9:22" x14ac:dyDescent="0.45">
      <c r="I251" t="s">
        <v>173</v>
      </c>
      <c r="J251" t="s">
        <v>298</v>
      </c>
      <c r="K251">
        <v>1.2279890203794278E-2</v>
      </c>
      <c r="L251" t="s">
        <v>159</v>
      </c>
      <c r="N251" t="s">
        <v>216</v>
      </c>
      <c r="O251" t="s">
        <v>298</v>
      </c>
      <c r="P251">
        <v>5.9011037230662609E-2</v>
      </c>
      <c r="Q251" t="s">
        <v>159</v>
      </c>
      <c r="S251" t="s">
        <v>258</v>
      </c>
      <c r="T251" t="s">
        <v>298</v>
      </c>
      <c r="U251">
        <v>8.1432541600526029E-2</v>
      </c>
      <c r="V251" t="s">
        <v>159</v>
      </c>
    </row>
    <row r="252" spans="9:22" x14ac:dyDescent="0.45">
      <c r="I252" t="s">
        <v>173</v>
      </c>
      <c r="J252" t="s">
        <v>299</v>
      </c>
      <c r="K252">
        <v>2.1869429309656786E-2</v>
      </c>
      <c r="L252" t="s">
        <v>159</v>
      </c>
      <c r="N252" t="s">
        <v>216</v>
      </c>
      <c r="O252" t="s">
        <v>299</v>
      </c>
      <c r="P252">
        <v>8.1499883155546383E-3</v>
      </c>
      <c r="Q252" t="s">
        <v>159</v>
      </c>
      <c r="S252" t="s">
        <v>258</v>
      </c>
      <c r="T252" t="s">
        <v>299</v>
      </c>
      <c r="U252">
        <v>1.2161670505271421E-2</v>
      </c>
      <c r="V252" t="s">
        <v>159</v>
      </c>
    </row>
    <row r="253" spans="9:22" x14ac:dyDescent="0.45">
      <c r="I253" t="s">
        <v>173</v>
      </c>
      <c r="J253" t="s">
        <v>300</v>
      </c>
      <c r="K253">
        <v>0.24311154579124322</v>
      </c>
      <c r="L253" t="s">
        <v>159</v>
      </c>
      <c r="N253" t="s">
        <v>216</v>
      </c>
      <c r="O253" t="s">
        <v>300</v>
      </c>
      <c r="P253">
        <v>0.22904861453369718</v>
      </c>
      <c r="Q253" t="s">
        <v>159</v>
      </c>
      <c r="S253" t="s">
        <v>258</v>
      </c>
      <c r="T253" t="s">
        <v>300</v>
      </c>
      <c r="U253">
        <v>0.11961808104170048</v>
      </c>
      <c r="V253" t="s">
        <v>159</v>
      </c>
    </row>
    <row r="254" spans="9:22" x14ac:dyDescent="0.45">
      <c r="I254" t="s">
        <v>173</v>
      </c>
      <c r="J254" t="s">
        <v>301</v>
      </c>
      <c r="K254">
        <v>2.0614197533672683E-2</v>
      </c>
      <c r="L254" t="s">
        <v>159</v>
      </c>
      <c r="N254" t="s">
        <v>216</v>
      </c>
      <c r="O254" t="s">
        <v>301</v>
      </c>
      <c r="P254">
        <v>2.1555676672759067E-2</v>
      </c>
      <c r="Q254" t="s">
        <v>159</v>
      </c>
      <c r="S254" t="s">
        <v>258</v>
      </c>
      <c r="T254" t="s">
        <v>301</v>
      </c>
      <c r="U254">
        <v>1.4255754400058263E-2</v>
      </c>
      <c r="V254" t="s">
        <v>159</v>
      </c>
    </row>
    <row r="255" spans="9:22" x14ac:dyDescent="0.45">
      <c r="I255" t="s">
        <v>173</v>
      </c>
      <c r="J255" t="s">
        <v>302</v>
      </c>
      <c r="K255">
        <v>9.5101958222619624E-3</v>
      </c>
      <c r="L255" t="s">
        <v>159</v>
      </c>
      <c r="N255" t="s">
        <v>216</v>
      </c>
      <c r="O255" t="s">
        <v>302</v>
      </c>
      <c r="P255">
        <v>1.4291543221935625E-2</v>
      </c>
      <c r="Q255" t="s">
        <v>159</v>
      </c>
      <c r="S255" t="s">
        <v>258</v>
      </c>
      <c r="T255" t="s">
        <v>302</v>
      </c>
      <c r="U255">
        <v>1.3723630518882826E-2</v>
      </c>
      <c r="V255" t="s">
        <v>159</v>
      </c>
    </row>
    <row r="256" spans="9:22" x14ac:dyDescent="0.45">
      <c r="I256" t="s">
        <v>173</v>
      </c>
      <c r="J256" t="s">
        <v>312</v>
      </c>
      <c r="K256">
        <v>0</v>
      </c>
      <c r="L256" t="s">
        <v>159</v>
      </c>
      <c r="N256" t="s">
        <v>216</v>
      </c>
      <c r="O256" t="s">
        <v>312</v>
      </c>
      <c r="P256">
        <v>4.1114628907084567E-2</v>
      </c>
      <c r="Q256" t="s">
        <v>159</v>
      </c>
      <c r="S256" t="s">
        <v>258</v>
      </c>
      <c r="T256" t="s">
        <v>312</v>
      </c>
      <c r="U256">
        <v>5.9569086111502044E-2</v>
      </c>
      <c r="V256" t="s">
        <v>159</v>
      </c>
    </row>
    <row r="257" spans="9:22" x14ac:dyDescent="0.45">
      <c r="I257" t="s">
        <v>173</v>
      </c>
      <c r="J257" t="s">
        <v>313</v>
      </c>
      <c r="K257">
        <v>5.7046765252741927E-3</v>
      </c>
      <c r="L257" t="s">
        <v>159</v>
      </c>
      <c r="N257" t="s">
        <v>216</v>
      </c>
      <c r="O257" t="s">
        <v>313</v>
      </c>
      <c r="P257">
        <v>4.0561082689487358E-3</v>
      </c>
      <c r="Q257" t="s">
        <v>159</v>
      </c>
      <c r="S257" t="s">
        <v>258</v>
      </c>
      <c r="T257" t="s">
        <v>313</v>
      </c>
      <c r="U257">
        <v>1.5908627994890349E-2</v>
      </c>
      <c r="V257" t="s">
        <v>159</v>
      </c>
    </row>
    <row r="258" spans="9:22" x14ac:dyDescent="0.45">
      <c r="I258" t="s">
        <v>173</v>
      </c>
      <c r="J258" t="s">
        <v>314</v>
      </c>
      <c r="K258">
        <v>7.9269745901957376E-3</v>
      </c>
      <c r="L258" t="s">
        <v>159</v>
      </c>
      <c r="N258" t="s">
        <v>216</v>
      </c>
      <c r="O258" t="s">
        <v>314</v>
      </c>
      <c r="P258">
        <v>3.3446051887206946E-4</v>
      </c>
      <c r="Q258" t="s">
        <v>159</v>
      </c>
      <c r="S258" t="s">
        <v>258</v>
      </c>
      <c r="T258" t="s">
        <v>314</v>
      </c>
      <c r="U258">
        <v>2.3200912727615996E-3</v>
      </c>
      <c r="V258" t="s">
        <v>159</v>
      </c>
    </row>
    <row r="259" spans="9:22" x14ac:dyDescent="0.45">
      <c r="I259" t="s">
        <v>173</v>
      </c>
      <c r="J259" t="s">
        <v>315</v>
      </c>
      <c r="K259">
        <v>8.1754253402469931E-2</v>
      </c>
      <c r="L259" t="s">
        <v>159</v>
      </c>
      <c r="N259" t="s">
        <v>216</v>
      </c>
      <c r="O259" t="s">
        <v>315</v>
      </c>
      <c r="P259">
        <v>2.341624869814293E-2</v>
      </c>
      <c r="Q259" t="s">
        <v>159</v>
      </c>
      <c r="S259" t="s">
        <v>258</v>
      </c>
      <c r="T259" t="s">
        <v>315</v>
      </c>
      <c r="U259">
        <v>2.6362513249610208E-2</v>
      </c>
      <c r="V259" t="s">
        <v>159</v>
      </c>
    </row>
    <row r="260" spans="9:22" x14ac:dyDescent="0.45">
      <c r="I260" t="s">
        <v>173</v>
      </c>
      <c r="J260" t="s">
        <v>316</v>
      </c>
      <c r="K260">
        <v>6.7137337107612731E-3</v>
      </c>
      <c r="L260" t="s">
        <v>159</v>
      </c>
      <c r="N260" t="s">
        <v>216</v>
      </c>
      <c r="O260" t="s">
        <v>316</v>
      </c>
      <c r="P260">
        <v>2.4727598283025122E-3</v>
      </c>
      <c r="Q260" t="s">
        <v>159</v>
      </c>
      <c r="S260" t="s">
        <v>258</v>
      </c>
      <c r="T260" t="s">
        <v>316</v>
      </c>
      <c r="U260">
        <v>3.0344872256084323E-3</v>
      </c>
      <c r="V260" t="s">
        <v>159</v>
      </c>
    </row>
    <row r="261" spans="9:22" x14ac:dyDescent="0.45">
      <c r="I261" t="s">
        <v>173</v>
      </c>
      <c r="J261" t="s">
        <v>317</v>
      </c>
      <c r="K261">
        <v>4.8489290598971897E-3</v>
      </c>
      <c r="L261" t="s">
        <v>159</v>
      </c>
      <c r="N261" t="s">
        <v>216</v>
      </c>
      <c r="O261" t="s">
        <v>317</v>
      </c>
      <c r="P261">
        <v>1.6211691322559996E-3</v>
      </c>
      <c r="Q261" t="s">
        <v>159</v>
      </c>
      <c r="S261" t="s">
        <v>258</v>
      </c>
      <c r="T261" t="s">
        <v>317</v>
      </c>
      <c r="U261">
        <v>2.8748322252355649E-3</v>
      </c>
      <c r="V261" t="s">
        <v>159</v>
      </c>
    </row>
    <row r="262" spans="9:22" x14ac:dyDescent="0.45">
      <c r="I262" t="s">
        <v>173</v>
      </c>
      <c r="J262" t="s">
        <v>318</v>
      </c>
      <c r="K262">
        <v>1.3341412223444463E-3</v>
      </c>
      <c r="L262" t="s">
        <v>159</v>
      </c>
      <c r="N262" t="s">
        <v>216</v>
      </c>
      <c r="O262" t="s">
        <v>318</v>
      </c>
      <c r="P262">
        <v>4.5978938236136604E-3</v>
      </c>
      <c r="Q262" t="s">
        <v>159</v>
      </c>
      <c r="S262" t="s">
        <v>258</v>
      </c>
      <c r="T262" t="s">
        <v>318</v>
      </c>
      <c r="U262">
        <v>1.3482518494129007E-2</v>
      </c>
      <c r="V262" t="s">
        <v>159</v>
      </c>
    </row>
    <row r="263" spans="9:22" x14ac:dyDescent="0.45">
      <c r="I263" t="s">
        <v>174</v>
      </c>
      <c r="J263" t="s">
        <v>158</v>
      </c>
      <c r="K263">
        <v>6.5306276162040685E-3</v>
      </c>
      <c r="L263" t="s">
        <v>159</v>
      </c>
      <c r="N263" t="s">
        <v>217</v>
      </c>
      <c r="O263" t="s">
        <v>158</v>
      </c>
      <c r="P263">
        <v>9.9845712283687396E-2</v>
      </c>
      <c r="Q263" t="s">
        <v>159</v>
      </c>
      <c r="S263" t="s">
        <v>259</v>
      </c>
      <c r="T263" t="s">
        <v>158</v>
      </c>
      <c r="U263">
        <v>0.12813695878680226</v>
      </c>
      <c r="V263" t="s">
        <v>159</v>
      </c>
    </row>
    <row r="264" spans="9:22" x14ac:dyDescent="0.45">
      <c r="I264" t="s">
        <v>174</v>
      </c>
      <c r="J264" t="s">
        <v>160</v>
      </c>
      <c r="K264">
        <v>2.9974244724570262E-2</v>
      </c>
      <c r="L264" t="s">
        <v>159</v>
      </c>
      <c r="N264" t="s">
        <v>217</v>
      </c>
      <c r="O264" t="s">
        <v>160</v>
      </c>
      <c r="P264">
        <v>1.173864659677692E-2</v>
      </c>
      <c r="Q264" t="s">
        <v>159</v>
      </c>
      <c r="S264" t="s">
        <v>259</v>
      </c>
      <c r="T264" t="s">
        <v>160</v>
      </c>
      <c r="U264">
        <v>1.7047349153192733E-2</v>
      </c>
      <c r="V264" t="s">
        <v>159</v>
      </c>
    </row>
    <row r="265" spans="9:22" x14ac:dyDescent="0.45">
      <c r="I265" t="s">
        <v>174</v>
      </c>
      <c r="J265" t="s">
        <v>161</v>
      </c>
      <c r="K265">
        <v>0.38172918991384519</v>
      </c>
      <c r="L265" t="s">
        <v>159</v>
      </c>
      <c r="N265" t="s">
        <v>217</v>
      </c>
      <c r="O265" t="s">
        <v>161</v>
      </c>
      <c r="P265">
        <v>0.12150661409862172</v>
      </c>
      <c r="Q265" t="s">
        <v>159</v>
      </c>
      <c r="S265" t="s">
        <v>259</v>
      </c>
      <c r="T265" t="s">
        <v>161</v>
      </c>
      <c r="U265">
        <v>0.16462444741566301</v>
      </c>
      <c r="V265" t="s">
        <v>159</v>
      </c>
    </row>
    <row r="266" spans="9:22" x14ac:dyDescent="0.45">
      <c r="I266" t="s">
        <v>174</v>
      </c>
      <c r="J266" t="s">
        <v>287</v>
      </c>
      <c r="K266">
        <v>3.1769461116933101E-2</v>
      </c>
      <c r="L266" t="s">
        <v>159</v>
      </c>
      <c r="N266" t="s">
        <v>217</v>
      </c>
      <c r="O266" t="s">
        <v>287</v>
      </c>
      <c r="P266">
        <v>1.5610204278001421E-2</v>
      </c>
      <c r="Q266" t="s">
        <v>159</v>
      </c>
      <c r="S266" t="s">
        <v>259</v>
      </c>
      <c r="T266" t="s">
        <v>287</v>
      </c>
      <c r="U266">
        <v>2.177050074904802E-2</v>
      </c>
      <c r="V266" t="s">
        <v>159</v>
      </c>
    </row>
    <row r="267" spans="9:22" x14ac:dyDescent="0.45">
      <c r="I267" t="s">
        <v>174</v>
      </c>
      <c r="J267" t="s">
        <v>288</v>
      </c>
      <c r="K267">
        <v>1.4490922680311172E-2</v>
      </c>
      <c r="L267" t="s">
        <v>159</v>
      </c>
      <c r="N267" t="s">
        <v>217</v>
      </c>
      <c r="O267" t="s">
        <v>288</v>
      </c>
      <c r="P267">
        <v>1.6861447795410704E-2</v>
      </c>
      <c r="Q267" t="s">
        <v>159</v>
      </c>
      <c r="S267" t="s">
        <v>259</v>
      </c>
      <c r="T267" t="s">
        <v>288</v>
      </c>
      <c r="U267">
        <v>2.1630695722607542E-2</v>
      </c>
      <c r="V267" t="s">
        <v>159</v>
      </c>
    </row>
    <row r="268" spans="9:22" x14ac:dyDescent="0.45">
      <c r="I268" t="s">
        <v>174</v>
      </c>
      <c r="J268" t="s">
        <v>308</v>
      </c>
      <c r="K268">
        <v>0</v>
      </c>
      <c r="L268" t="s">
        <v>159</v>
      </c>
      <c r="N268" t="s">
        <v>217</v>
      </c>
      <c r="O268" t="s">
        <v>308</v>
      </c>
      <c r="P268">
        <v>9.8928742033585135E-2</v>
      </c>
      <c r="Q268" t="s">
        <v>159</v>
      </c>
      <c r="S268" t="s">
        <v>259</v>
      </c>
      <c r="T268" t="s">
        <v>308</v>
      </c>
      <c r="U268">
        <v>0.10476090398790185</v>
      </c>
      <c r="V268" t="s">
        <v>159</v>
      </c>
    </row>
    <row r="269" spans="9:22" x14ac:dyDescent="0.45">
      <c r="I269" t="s">
        <v>174</v>
      </c>
      <c r="J269" t="s">
        <v>162</v>
      </c>
      <c r="K269">
        <v>0</v>
      </c>
      <c r="L269" t="s">
        <v>159</v>
      </c>
      <c r="N269" t="s">
        <v>217</v>
      </c>
      <c r="O269" t="s">
        <v>162</v>
      </c>
      <c r="P269">
        <v>2.640998388553803E-2</v>
      </c>
      <c r="Q269" t="s">
        <v>159</v>
      </c>
      <c r="S269" t="s">
        <v>259</v>
      </c>
      <c r="T269" t="s">
        <v>162</v>
      </c>
      <c r="U269">
        <v>1.5564400344284376E-2</v>
      </c>
      <c r="V269" t="s">
        <v>159</v>
      </c>
    </row>
    <row r="270" spans="9:22" x14ac:dyDescent="0.45">
      <c r="I270" t="s">
        <v>174</v>
      </c>
      <c r="J270" t="s">
        <v>163</v>
      </c>
      <c r="K270">
        <v>1.4937542373408296E-4</v>
      </c>
      <c r="L270" t="s">
        <v>159</v>
      </c>
      <c r="N270" t="s">
        <v>217</v>
      </c>
      <c r="O270" t="s">
        <v>163</v>
      </c>
      <c r="P270">
        <v>2.9156678650167252E-3</v>
      </c>
      <c r="Q270" t="s">
        <v>159</v>
      </c>
      <c r="S270" t="s">
        <v>259</v>
      </c>
      <c r="T270" t="s">
        <v>163</v>
      </c>
      <c r="U270">
        <v>2.242399436436197E-3</v>
      </c>
      <c r="V270" t="s">
        <v>159</v>
      </c>
    </row>
    <row r="271" spans="9:22" x14ac:dyDescent="0.45">
      <c r="I271" t="s">
        <v>174</v>
      </c>
      <c r="J271" t="s">
        <v>164</v>
      </c>
      <c r="K271">
        <v>4.8267381794368347E-2</v>
      </c>
      <c r="L271" t="s">
        <v>159</v>
      </c>
      <c r="N271" t="s">
        <v>217</v>
      </c>
      <c r="O271" t="s">
        <v>164</v>
      </c>
      <c r="P271">
        <v>3.0231432959689108E-2</v>
      </c>
      <c r="Q271" t="s">
        <v>159</v>
      </c>
      <c r="S271" t="s">
        <v>259</v>
      </c>
      <c r="T271" t="s">
        <v>164</v>
      </c>
      <c r="U271">
        <v>2.6417813679043018E-2</v>
      </c>
      <c r="V271" t="s">
        <v>159</v>
      </c>
    </row>
    <row r="272" spans="9:22" x14ac:dyDescent="0.45">
      <c r="I272" t="s">
        <v>174</v>
      </c>
      <c r="J272" t="s">
        <v>289</v>
      </c>
      <c r="K272">
        <v>3.478192357281655E-3</v>
      </c>
      <c r="L272" t="s">
        <v>159</v>
      </c>
      <c r="N272" t="s">
        <v>217</v>
      </c>
      <c r="O272" t="s">
        <v>289</v>
      </c>
      <c r="P272">
        <v>3.1394942850327561E-3</v>
      </c>
      <c r="Q272" t="s">
        <v>159</v>
      </c>
      <c r="S272" t="s">
        <v>259</v>
      </c>
      <c r="T272" t="s">
        <v>289</v>
      </c>
      <c r="U272">
        <v>3.3873292890198793E-3</v>
      </c>
      <c r="V272" t="s">
        <v>159</v>
      </c>
    </row>
    <row r="273" spans="9:22" x14ac:dyDescent="0.45">
      <c r="I273" t="s">
        <v>174</v>
      </c>
      <c r="J273" t="s">
        <v>290</v>
      </c>
      <c r="K273">
        <v>0</v>
      </c>
      <c r="L273" t="s">
        <v>159</v>
      </c>
      <c r="N273" t="s">
        <v>217</v>
      </c>
      <c r="O273" t="s">
        <v>290</v>
      </c>
      <c r="P273">
        <v>3.2797453637241083E-3</v>
      </c>
      <c r="Q273" t="s">
        <v>159</v>
      </c>
      <c r="S273" t="s">
        <v>259</v>
      </c>
      <c r="T273" t="s">
        <v>290</v>
      </c>
      <c r="U273">
        <v>3.289979283739058E-3</v>
      </c>
      <c r="V273" t="s">
        <v>159</v>
      </c>
    </row>
    <row r="274" spans="9:22" x14ac:dyDescent="0.45">
      <c r="I274" t="s">
        <v>174</v>
      </c>
      <c r="J274" t="s">
        <v>309</v>
      </c>
      <c r="K274">
        <v>0</v>
      </c>
      <c r="L274" t="s">
        <v>159</v>
      </c>
      <c r="N274" t="s">
        <v>217</v>
      </c>
      <c r="O274" t="s">
        <v>309</v>
      </c>
      <c r="P274">
        <v>1.9681542290009613E-2</v>
      </c>
      <c r="Q274" t="s">
        <v>159</v>
      </c>
      <c r="S274" t="s">
        <v>259</v>
      </c>
      <c r="T274" t="s">
        <v>309</v>
      </c>
      <c r="U274">
        <v>1.5363518969926096E-2</v>
      </c>
      <c r="V274" t="s">
        <v>159</v>
      </c>
    </row>
    <row r="275" spans="9:22" x14ac:dyDescent="0.45">
      <c r="I275" t="s">
        <v>174</v>
      </c>
      <c r="J275" t="s">
        <v>165</v>
      </c>
      <c r="K275">
        <v>0</v>
      </c>
      <c r="L275" t="s">
        <v>159</v>
      </c>
      <c r="N275" t="s">
        <v>217</v>
      </c>
      <c r="O275" t="s">
        <v>165</v>
      </c>
      <c r="P275">
        <v>3.5904317084061589E-2</v>
      </c>
      <c r="Q275" t="s">
        <v>159</v>
      </c>
      <c r="S275" t="s">
        <v>259</v>
      </c>
      <c r="T275" t="s">
        <v>165</v>
      </c>
      <c r="U275">
        <v>2.1616609554391951E-2</v>
      </c>
      <c r="V275" t="s">
        <v>159</v>
      </c>
    </row>
    <row r="276" spans="9:22" x14ac:dyDescent="0.45">
      <c r="I276" t="s">
        <v>174</v>
      </c>
      <c r="J276" t="s">
        <v>166</v>
      </c>
      <c r="K276">
        <v>3.9224272749167448E-3</v>
      </c>
      <c r="L276" t="s">
        <v>159</v>
      </c>
      <c r="N276" t="s">
        <v>217</v>
      </c>
      <c r="O276" t="s">
        <v>166</v>
      </c>
      <c r="P276">
        <v>4.2696663959745822E-3</v>
      </c>
      <c r="Q276" t="s">
        <v>159</v>
      </c>
      <c r="S276" t="s">
        <v>259</v>
      </c>
      <c r="T276" t="s">
        <v>166</v>
      </c>
      <c r="U276">
        <v>3.1201309694930067E-3</v>
      </c>
      <c r="V276" t="s">
        <v>159</v>
      </c>
    </row>
    <row r="277" spans="9:22" x14ac:dyDescent="0.45">
      <c r="I277" t="s">
        <v>174</v>
      </c>
      <c r="J277" t="s">
        <v>167</v>
      </c>
      <c r="K277">
        <v>5.9378166160056915E-2</v>
      </c>
      <c r="L277" t="s">
        <v>159</v>
      </c>
      <c r="N277" t="s">
        <v>217</v>
      </c>
      <c r="O277" t="s">
        <v>167</v>
      </c>
      <c r="P277">
        <v>4.7585701883363411E-2</v>
      </c>
      <c r="Q277" t="s">
        <v>159</v>
      </c>
      <c r="S277" t="s">
        <v>259</v>
      </c>
      <c r="T277" t="s">
        <v>167</v>
      </c>
      <c r="U277">
        <v>3.2900122329046398E-2</v>
      </c>
      <c r="V277" t="s">
        <v>159</v>
      </c>
    </row>
    <row r="278" spans="9:22" x14ac:dyDescent="0.45">
      <c r="I278" t="s">
        <v>174</v>
      </c>
      <c r="J278" t="s">
        <v>291</v>
      </c>
      <c r="K278">
        <v>4.5643005541641532E-3</v>
      </c>
      <c r="L278" t="s">
        <v>159</v>
      </c>
      <c r="N278" t="s">
        <v>217</v>
      </c>
      <c r="O278" t="s">
        <v>291</v>
      </c>
      <c r="P278">
        <v>4.8050809939706295E-3</v>
      </c>
      <c r="Q278" t="s">
        <v>159</v>
      </c>
      <c r="S278" t="s">
        <v>259</v>
      </c>
      <c r="T278" t="s">
        <v>291</v>
      </c>
      <c r="U278">
        <v>4.4013214012188001E-3</v>
      </c>
      <c r="V278" t="s">
        <v>159</v>
      </c>
    </row>
    <row r="279" spans="9:22" x14ac:dyDescent="0.45">
      <c r="I279" t="s">
        <v>174</v>
      </c>
      <c r="J279" t="s">
        <v>292</v>
      </c>
      <c r="K279">
        <v>0</v>
      </c>
      <c r="L279" t="s">
        <v>159</v>
      </c>
      <c r="N279" t="s">
        <v>217</v>
      </c>
      <c r="O279" t="s">
        <v>292</v>
      </c>
      <c r="P279">
        <v>4.7067329732593879E-3</v>
      </c>
      <c r="Q279" t="s">
        <v>159</v>
      </c>
      <c r="S279" t="s">
        <v>259</v>
      </c>
      <c r="T279" t="s">
        <v>292</v>
      </c>
      <c r="U279">
        <v>4.3446283607077455E-3</v>
      </c>
      <c r="V279" t="s">
        <v>159</v>
      </c>
    </row>
    <row r="280" spans="9:22" x14ac:dyDescent="0.45">
      <c r="I280" t="s">
        <v>174</v>
      </c>
      <c r="J280" t="s">
        <v>310</v>
      </c>
      <c r="K280">
        <v>0</v>
      </c>
      <c r="L280" t="s">
        <v>159</v>
      </c>
      <c r="N280" t="s">
        <v>217</v>
      </c>
      <c r="O280" t="s">
        <v>310</v>
      </c>
      <c r="P280">
        <v>2.6303095566379824E-2</v>
      </c>
      <c r="Q280" t="s">
        <v>159</v>
      </c>
      <c r="S280" t="s">
        <v>259</v>
      </c>
      <c r="T280" t="s">
        <v>310</v>
      </c>
      <c r="U280">
        <v>2.0345697033506409E-2</v>
      </c>
      <c r="V280" t="s">
        <v>159</v>
      </c>
    </row>
    <row r="281" spans="9:22" x14ac:dyDescent="0.45">
      <c r="I281" t="s">
        <v>174</v>
      </c>
      <c r="J281" t="s">
        <v>293</v>
      </c>
      <c r="K281">
        <v>0</v>
      </c>
      <c r="L281" t="s">
        <v>159</v>
      </c>
      <c r="N281" t="s">
        <v>217</v>
      </c>
      <c r="O281" t="s">
        <v>293</v>
      </c>
      <c r="P281">
        <v>7.9380916187198943E-3</v>
      </c>
      <c r="Q281" t="s">
        <v>159</v>
      </c>
      <c r="S281" t="s">
        <v>259</v>
      </c>
      <c r="T281" t="s">
        <v>293</v>
      </c>
      <c r="U281">
        <v>7.3685690041778613E-3</v>
      </c>
      <c r="V281" t="s">
        <v>159</v>
      </c>
    </row>
    <row r="282" spans="9:22" x14ac:dyDescent="0.45">
      <c r="I282" t="s">
        <v>174</v>
      </c>
      <c r="J282" t="s">
        <v>294</v>
      </c>
      <c r="K282">
        <v>1.021782946250794E-3</v>
      </c>
      <c r="L282" t="s">
        <v>159</v>
      </c>
      <c r="N282" t="s">
        <v>217</v>
      </c>
      <c r="O282" t="s">
        <v>294</v>
      </c>
      <c r="P282">
        <v>6.064778750620685E-4</v>
      </c>
      <c r="Q282" t="s">
        <v>159</v>
      </c>
      <c r="S282" t="s">
        <v>259</v>
      </c>
      <c r="T282" t="s">
        <v>294</v>
      </c>
      <c r="U282">
        <v>8.0082259128159722E-4</v>
      </c>
      <c r="V282" t="s">
        <v>159</v>
      </c>
    </row>
    <row r="283" spans="9:22" x14ac:dyDescent="0.45">
      <c r="I283" t="s">
        <v>174</v>
      </c>
      <c r="J283" t="s">
        <v>295</v>
      </c>
      <c r="K283">
        <v>1.4816947288526146E-2</v>
      </c>
      <c r="L283" t="s">
        <v>159</v>
      </c>
      <c r="N283" t="s">
        <v>217</v>
      </c>
      <c r="O283" t="s">
        <v>295</v>
      </c>
      <c r="P283">
        <v>5.7808443706709152E-3</v>
      </c>
      <c r="Q283" t="s">
        <v>159</v>
      </c>
      <c r="S283" t="s">
        <v>259</v>
      </c>
      <c r="T283" t="s">
        <v>295</v>
      </c>
      <c r="U283">
        <v>8.9698333476241551E-3</v>
      </c>
      <c r="V283" t="s">
        <v>159</v>
      </c>
    </row>
    <row r="284" spans="9:22" x14ac:dyDescent="0.45">
      <c r="I284" t="s">
        <v>174</v>
      </c>
      <c r="J284" t="s">
        <v>296</v>
      </c>
      <c r="K284">
        <v>1.1381242662532741E-3</v>
      </c>
      <c r="L284" t="s">
        <v>159</v>
      </c>
      <c r="N284" t="s">
        <v>217</v>
      </c>
      <c r="O284" t="s">
        <v>296</v>
      </c>
      <c r="P284">
        <v>4.5048314178931879E-4</v>
      </c>
      <c r="Q284" t="s">
        <v>159</v>
      </c>
      <c r="S284" t="s">
        <v>259</v>
      </c>
      <c r="T284" t="s">
        <v>296</v>
      </c>
      <c r="U284">
        <v>1.5243342219136745E-3</v>
      </c>
      <c r="V284" t="s">
        <v>159</v>
      </c>
    </row>
    <row r="285" spans="9:22" x14ac:dyDescent="0.45">
      <c r="I285" t="s">
        <v>174</v>
      </c>
      <c r="J285" t="s">
        <v>297</v>
      </c>
      <c r="K285">
        <v>0</v>
      </c>
      <c r="L285" t="s">
        <v>159</v>
      </c>
      <c r="N285" t="s">
        <v>217</v>
      </c>
      <c r="O285" t="s">
        <v>297</v>
      </c>
      <c r="P285">
        <v>4.3333766469508164E-4</v>
      </c>
      <c r="Q285" t="s">
        <v>159</v>
      </c>
      <c r="S285" t="s">
        <v>259</v>
      </c>
      <c r="T285" t="s">
        <v>297</v>
      </c>
      <c r="U285">
        <v>1.4843706063441551E-3</v>
      </c>
      <c r="V285" t="s">
        <v>159</v>
      </c>
    </row>
    <row r="286" spans="9:22" x14ac:dyDescent="0.45">
      <c r="I286" t="s">
        <v>174</v>
      </c>
      <c r="J286" t="s">
        <v>311</v>
      </c>
      <c r="K286">
        <v>0</v>
      </c>
      <c r="L286" t="s">
        <v>159</v>
      </c>
      <c r="N286" t="s">
        <v>217</v>
      </c>
      <c r="O286" t="s">
        <v>311</v>
      </c>
      <c r="P286">
        <v>4.6854787312866865E-3</v>
      </c>
      <c r="Q286" t="s">
        <v>159</v>
      </c>
      <c r="S286" t="s">
        <v>259</v>
      </c>
      <c r="T286" t="s">
        <v>311</v>
      </c>
      <c r="U286">
        <v>7.0041636481365452E-3</v>
      </c>
      <c r="V286" t="s">
        <v>159</v>
      </c>
    </row>
    <row r="287" spans="9:22" x14ac:dyDescent="0.45">
      <c r="I287" t="s">
        <v>174</v>
      </c>
      <c r="J287" t="s">
        <v>298</v>
      </c>
      <c r="K287">
        <v>1.0134167991779372E-2</v>
      </c>
      <c r="L287" t="s">
        <v>159</v>
      </c>
      <c r="N287" t="s">
        <v>217</v>
      </c>
      <c r="O287" t="s">
        <v>298</v>
      </c>
      <c r="P287">
        <v>8.76615294718011E-2</v>
      </c>
      <c r="Q287" t="s">
        <v>159</v>
      </c>
      <c r="S287" t="s">
        <v>259</v>
      </c>
      <c r="T287" t="s">
        <v>298</v>
      </c>
      <c r="U287">
        <v>7.730510387341738E-2</v>
      </c>
      <c r="V287" t="s">
        <v>159</v>
      </c>
    </row>
    <row r="288" spans="9:22" x14ac:dyDescent="0.45">
      <c r="I288" t="s">
        <v>174</v>
      </c>
      <c r="J288" t="s">
        <v>299</v>
      </c>
      <c r="K288">
        <v>2.1335767544576067E-2</v>
      </c>
      <c r="L288" t="s">
        <v>159</v>
      </c>
      <c r="N288" t="s">
        <v>217</v>
      </c>
      <c r="O288" t="s">
        <v>299</v>
      </c>
      <c r="P288">
        <v>9.0167496385156667E-3</v>
      </c>
      <c r="Q288" t="s">
        <v>159</v>
      </c>
      <c r="S288" t="s">
        <v>259</v>
      </c>
      <c r="T288" t="s">
        <v>299</v>
      </c>
      <c r="U288">
        <v>1.0450292365367968E-2</v>
      </c>
      <c r="V288" t="s">
        <v>159</v>
      </c>
    </row>
    <row r="289" spans="9:22" x14ac:dyDescent="0.45">
      <c r="I289" t="s">
        <v>174</v>
      </c>
      <c r="J289" t="s">
        <v>300</v>
      </c>
      <c r="K289">
        <v>0.2467822178165969</v>
      </c>
      <c r="L289" t="s">
        <v>159</v>
      </c>
      <c r="N289" t="s">
        <v>217</v>
      </c>
      <c r="O289" t="s">
        <v>300</v>
      </c>
      <c r="P289">
        <v>0.13761600068388075</v>
      </c>
      <c r="Q289" t="s">
        <v>159</v>
      </c>
      <c r="S289" t="s">
        <v>259</v>
      </c>
      <c r="T289" t="s">
        <v>300</v>
      </c>
      <c r="U289">
        <v>0.1109724404082231</v>
      </c>
      <c r="V289" t="s">
        <v>159</v>
      </c>
    </row>
    <row r="290" spans="9:22" x14ac:dyDescent="0.45">
      <c r="I290" t="s">
        <v>174</v>
      </c>
      <c r="J290" t="s">
        <v>301</v>
      </c>
      <c r="K290">
        <v>1.8953630258187602E-2</v>
      </c>
      <c r="L290" t="s">
        <v>159</v>
      </c>
      <c r="N290" t="s">
        <v>217</v>
      </c>
      <c r="O290" t="s">
        <v>301</v>
      </c>
      <c r="P290">
        <v>1.7099469949246514E-2</v>
      </c>
      <c r="Q290" t="s">
        <v>159</v>
      </c>
      <c r="S290" t="s">
        <v>259</v>
      </c>
      <c r="T290" t="s">
        <v>301</v>
      </c>
      <c r="U290">
        <v>1.4255966738459648E-2</v>
      </c>
      <c r="V290" t="s">
        <v>159</v>
      </c>
    </row>
    <row r="291" spans="9:22" x14ac:dyDescent="0.45">
      <c r="I291" t="s">
        <v>174</v>
      </c>
      <c r="J291" t="s">
        <v>302</v>
      </c>
      <c r="K291">
        <v>8.3955246809818678E-3</v>
      </c>
      <c r="L291" t="s">
        <v>159</v>
      </c>
      <c r="N291" t="s">
        <v>217</v>
      </c>
      <c r="O291" t="s">
        <v>302</v>
      </c>
      <c r="P291">
        <v>1.540434096747483E-2</v>
      </c>
      <c r="Q291" t="s">
        <v>159</v>
      </c>
      <c r="S291" t="s">
        <v>259</v>
      </c>
      <c r="T291" t="s">
        <v>302</v>
      </c>
      <c r="U291">
        <v>1.4043603620644583E-2</v>
      </c>
      <c r="V291" t="s">
        <v>159</v>
      </c>
    </row>
    <row r="292" spans="9:22" x14ac:dyDescent="0.45">
      <c r="I292" t="s">
        <v>174</v>
      </c>
      <c r="J292" t="s">
        <v>312</v>
      </c>
      <c r="K292">
        <v>0</v>
      </c>
      <c r="L292" t="s">
        <v>159</v>
      </c>
      <c r="N292" t="s">
        <v>217</v>
      </c>
      <c r="O292" t="s">
        <v>312</v>
      </c>
      <c r="P292">
        <v>7.857360375166586E-2</v>
      </c>
      <c r="Q292" t="s">
        <v>159</v>
      </c>
      <c r="S292" t="s">
        <v>259</v>
      </c>
      <c r="T292" t="s">
        <v>312</v>
      </c>
      <c r="U292">
        <v>6.6690519081253424E-2</v>
      </c>
      <c r="V292" t="s">
        <v>159</v>
      </c>
    </row>
    <row r="293" spans="9:22" x14ac:dyDescent="0.45">
      <c r="I293" t="s">
        <v>174</v>
      </c>
      <c r="J293" t="s">
        <v>313</v>
      </c>
      <c r="K293">
        <v>4.0853424211043108E-3</v>
      </c>
      <c r="L293" t="s">
        <v>159</v>
      </c>
      <c r="N293" t="s">
        <v>217</v>
      </c>
      <c r="O293" t="s">
        <v>313</v>
      </c>
      <c r="P293">
        <v>1.3944425406302564E-2</v>
      </c>
      <c r="Q293" t="s">
        <v>159</v>
      </c>
      <c r="S293" t="s">
        <v>259</v>
      </c>
      <c r="T293" t="s">
        <v>313</v>
      </c>
      <c r="U293">
        <v>1.9796991121500351E-2</v>
      </c>
      <c r="V293" t="s">
        <v>159</v>
      </c>
    </row>
    <row r="294" spans="9:22" x14ac:dyDescent="0.45">
      <c r="I294" t="s">
        <v>174</v>
      </c>
      <c r="J294" t="s">
        <v>314</v>
      </c>
      <c r="K294">
        <v>6.4952404649274301E-3</v>
      </c>
      <c r="L294" t="s">
        <v>159</v>
      </c>
      <c r="N294" t="s">
        <v>217</v>
      </c>
      <c r="O294" t="s">
        <v>314</v>
      </c>
      <c r="P294">
        <v>1.3741696659551224E-3</v>
      </c>
      <c r="Q294" t="s">
        <v>159</v>
      </c>
      <c r="S294" t="s">
        <v>259</v>
      </c>
      <c r="T294" t="s">
        <v>314</v>
      </c>
      <c r="U294">
        <v>2.6169237782524063E-3</v>
      </c>
      <c r="V294" t="s">
        <v>159</v>
      </c>
    </row>
    <row r="295" spans="9:22" x14ac:dyDescent="0.45">
      <c r="I295" t="s">
        <v>174</v>
      </c>
      <c r="J295" t="s">
        <v>315</v>
      </c>
      <c r="K295">
        <v>7.265592268850872E-2</v>
      </c>
      <c r="L295" t="s">
        <v>159</v>
      </c>
      <c r="N295" t="s">
        <v>217</v>
      </c>
      <c r="O295" t="s">
        <v>315</v>
      </c>
      <c r="P295">
        <v>2.5997045621339206E-2</v>
      </c>
      <c r="Q295" t="s">
        <v>159</v>
      </c>
      <c r="S295" t="s">
        <v>259</v>
      </c>
      <c r="T295" t="s">
        <v>315</v>
      </c>
      <c r="U295">
        <v>2.337548923271526E-2</v>
      </c>
      <c r="V295" t="s">
        <v>159</v>
      </c>
    </row>
    <row r="296" spans="9:22" x14ac:dyDescent="0.45">
      <c r="I296" t="s">
        <v>174</v>
      </c>
      <c r="J296" t="s">
        <v>316</v>
      </c>
      <c r="K296">
        <v>6.0427476995375644E-3</v>
      </c>
      <c r="L296" t="s">
        <v>159</v>
      </c>
      <c r="N296" t="s">
        <v>217</v>
      </c>
      <c r="O296" t="s">
        <v>316</v>
      </c>
      <c r="P296">
        <v>3.1811396845346719E-3</v>
      </c>
      <c r="Q296" t="s">
        <v>159</v>
      </c>
      <c r="S296" t="s">
        <v>259</v>
      </c>
      <c r="T296" t="s">
        <v>316</v>
      </c>
      <c r="U296">
        <v>3.1691826617167092E-3</v>
      </c>
      <c r="V296" t="s">
        <v>159</v>
      </c>
    </row>
    <row r="297" spans="9:22" x14ac:dyDescent="0.45">
      <c r="I297" t="s">
        <v>174</v>
      </c>
      <c r="J297" t="s">
        <v>317</v>
      </c>
      <c r="K297">
        <v>3.8882943163814836E-3</v>
      </c>
      <c r="L297" t="s">
        <v>159</v>
      </c>
      <c r="N297" t="s">
        <v>217</v>
      </c>
      <c r="O297" t="s">
        <v>317</v>
      </c>
      <c r="P297">
        <v>2.5066032097565212E-3</v>
      </c>
      <c r="Q297" t="s">
        <v>159</v>
      </c>
      <c r="S297" t="s">
        <v>259</v>
      </c>
      <c r="T297" t="s">
        <v>317</v>
      </c>
      <c r="U297">
        <v>3.3220991603911776E-3</v>
      </c>
      <c r="V297" t="s">
        <v>159</v>
      </c>
    </row>
    <row r="298" spans="9:22" x14ac:dyDescent="0.45">
      <c r="I298" t="s">
        <v>174</v>
      </c>
      <c r="J298" t="s">
        <v>318</v>
      </c>
      <c r="K298">
        <v>0</v>
      </c>
      <c r="L298" t="s">
        <v>159</v>
      </c>
      <c r="N298" t="s">
        <v>217</v>
      </c>
      <c r="O298" t="s">
        <v>318</v>
      </c>
      <c r="P298">
        <v>1.4006379915199121E-2</v>
      </c>
      <c r="Q298" t="s">
        <v>159</v>
      </c>
      <c r="S298" t="s">
        <v>259</v>
      </c>
      <c r="T298" t="s">
        <v>318</v>
      </c>
      <c r="U298">
        <v>1.5884488072553552E-2</v>
      </c>
      <c r="V298" t="s">
        <v>159</v>
      </c>
    </row>
    <row r="299" spans="9:22" x14ac:dyDescent="0.45">
      <c r="I299" t="s">
        <v>175</v>
      </c>
      <c r="J299" t="s">
        <v>158</v>
      </c>
      <c r="K299">
        <v>8.8758262751635827E-3</v>
      </c>
      <c r="L299" t="s">
        <v>159</v>
      </c>
      <c r="N299" t="s">
        <v>218</v>
      </c>
      <c r="O299" t="s">
        <v>158</v>
      </c>
      <c r="P299">
        <v>0.1182892317299903</v>
      </c>
      <c r="Q299" t="s">
        <v>159</v>
      </c>
      <c r="S299" t="s">
        <v>260</v>
      </c>
      <c r="T299" t="s">
        <v>158</v>
      </c>
      <c r="U299">
        <v>0.12397375953892245</v>
      </c>
      <c r="V299" t="s">
        <v>159</v>
      </c>
    </row>
    <row r="300" spans="9:22" x14ac:dyDescent="0.45">
      <c r="I300" t="s">
        <v>175</v>
      </c>
      <c r="J300" t="s">
        <v>160</v>
      </c>
      <c r="K300">
        <v>3.0417608661641001E-2</v>
      </c>
      <c r="L300" t="s">
        <v>159</v>
      </c>
      <c r="N300" t="s">
        <v>218</v>
      </c>
      <c r="O300" t="s">
        <v>160</v>
      </c>
      <c r="P300">
        <v>1.3733508389290874E-2</v>
      </c>
      <c r="Q300" t="s">
        <v>159</v>
      </c>
      <c r="S300" t="s">
        <v>260</v>
      </c>
      <c r="T300" t="s">
        <v>160</v>
      </c>
      <c r="U300">
        <v>1.6507633622386088E-2</v>
      </c>
      <c r="V300" t="s">
        <v>159</v>
      </c>
    </row>
    <row r="301" spans="9:22" x14ac:dyDescent="0.45">
      <c r="I301" t="s">
        <v>175</v>
      </c>
      <c r="J301" t="s">
        <v>161</v>
      </c>
      <c r="K301">
        <v>0.3772680262278118</v>
      </c>
      <c r="L301" t="s">
        <v>159</v>
      </c>
      <c r="N301" t="s">
        <v>218</v>
      </c>
      <c r="O301" t="s">
        <v>161</v>
      </c>
      <c r="P301">
        <v>0.10145177236632665</v>
      </c>
      <c r="Q301" t="s">
        <v>159</v>
      </c>
      <c r="S301" t="s">
        <v>260</v>
      </c>
      <c r="T301" t="s">
        <v>161</v>
      </c>
      <c r="U301">
        <v>0.16075063432236242</v>
      </c>
      <c r="V301" t="s">
        <v>159</v>
      </c>
    </row>
    <row r="302" spans="9:22" x14ac:dyDescent="0.45">
      <c r="I302" t="s">
        <v>175</v>
      </c>
      <c r="J302" t="s">
        <v>287</v>
      </c>
      <c r="K302">
        <v>3.1597825470689185E-2</v>
      </c>
      <c r="L302" t="s">
        <v>159</v>
      </c>
      <c r="N302" t="s">
        <v>218</v>
      </c>
      <c r="O302" t="s">
        <v>287</v>
      </c>
      <c r="P302">
        <v>1.2450865724150455E-2</v>
      </c>
      <c r="Q302" t="s">
        <v>159</v>
      </c>
      <c r="S302" t="s">
        <v>260</v>
      </c>
      <c r="T302" t="s">
        <v>287</v>
      </c>
      <c r="U302">
        <v>2.0922472808134227E-2</v>
      </c>
      <c r="V302" t="s">
        <v>159</v>
      </c>
    </row>
    <row r="303" spans="9:22" x14ac:dyDescent="0.45">
      <c r="I303" t="s">
        <v>175</v>
      </c>
      <c r="J303" t="s">
        <v>288</v>
      </c>
      <c r="K303">
        <v>1.4920672771253288E-2</v>
      </c>
      <c r="L303" t="s">
        <v>159</v>
      </c>
      <c r="N303" t="s">
        <v>218</v>
      </c>
      <c r="O303" t="s">
        <v>288</v>
      </c>
      <c r="P303">
        <v>1.4915344302335409E-2</v>
      </c>
      <c r="Q303" t="s">
        <v>159</v>
      </c>
      <c r="S303" t="s">
        <v>260</v>
      </c>
      <c r="T303" t="s">
        <v>288</v>
      </c>
      <c r="U303">
        <v>2.0921159135838911E-2</v>
      </c>
      <c r="V303" t="s">
        <v>159</v>
      </c>
    </row>
    <row r="304" spans="9:22" x14ac:dyDescent="0.45">
      <c r="I304" t="s">
        <v>175</v>
      </c>
      <c r="J304" t="s">
        <v>308</v>
      </c>
      <c r="K304">
        <v>6.2573388804143548E-4</v>
      </c>
      <c r="L304" t="s">
        <v>159</v>
      </c>
      <c r="N304" t="s">
        <v>218</v>
      </c>
      <c r="O304" t="s">
        <v>308</v>
      </c>
      <c r="P304">
        <v>0.10975078017843427</v>
      </c>
      <c r="Q304" t="s">
        <v>159</v>
      </c>
      <c r="S304" t="s">
        <v>260</v>
      </c>
      <c r="T304" t="s">
        <v>308</v>
      </c>
      <c r="U304">
        <v>0.1013336740787239</v>
      </c>
      <c r="V304" t="s">
        <v>159</v>
      </c>
    </row>
    <row r="305" spans="9:22" x14ac:dyDescent="0.45">
      <c r="I305" t="s">
        <v>175</v>
      </c>
      <c r="J305" t="s">
        <v>162</v>
      </c>
      <c r="K305">
        <v>0</v>
      </c>
      <c r="L305" t="s">
        <v>159</v>
      </c>
      <c r="N305" t="s">
        <v>218</v>
      </c>
      <c r="O305" t="s">
        <v>162</v>
      </c>
      <c r="P305">
        <v>2.8920241388311854E-2</v>
      </c>
      <c r="Q305" t="s">
        <v>159</v>
      </c>
      <c r="S305" t="s">
        <v>260</v>
      </c>
      <c r="T305" t="s">
        <v>162</v>
      </c>
      <c r="U305">
        <v>1.8568246564394431E-2</v>
      </c>
      <c r="V305" t="s">
        <v>159</v>
      </c>
    </row>
    <row r="306" spans="9:22" x14ac:dyDescent="0.45">
      <c r="I306" t="s">
        <v>175</v>
      </c>
      <c r="J306" t="s">
        <v>163</v>
      </c>
      <c r="K306">
        <v>1.3921272071316964E-4</v>
      </c>
      <c r="L306" t="s">
        <v>159</v>
      </c>
      <c r="N306" t="s">
        <v>218</v>
      </c>
      <c r="O306" t="s">
        <v>163</v>
      </c>
      <c r="P306">
        <v>3.2679045586354277E-3</v>
      </c>
      <c r="Q306" t="s">
        <v>159</v>
      </c>
      <c r="S306" t="s">
        <v>260</v>
      </c>
      <c r="T306" t="s">
        <v>163</v>
      </c>
      <c r="U306">
        <v>3.1098564993030046E-3</v>
      </c>
      <c r="V306" t="s">
        <v>159</v>
      </c>
    </row>
    <row r="307" spans="9:22" x14ac:dyDescent="0.45">
      <c r="I307" t="s">
        <v>175</v>
      </c>
      <c r="J307" t="s">
        <v>164</v>
      </c>
      <c r="K307">
        <v>4.5422704785047445E-2</v>
      </c>
      <c r="L307" t="s">
        <v>159</v>
      </c>
      <c r="N307" t="s">
        <v>218</v>
      </c>
      <c r="O307" t="s">
        <v>164</v>
      </c>
      <c r="P307">
        <v>2.2602690378223086E-2</v>
      </c>
      <c r="Q307" t="s">
        <v>159</v>
      </c>
      <c r="S307" t="s">
        <v>260</v>
      </c>
      <c r="T307" t="s">
        <v>164</v>
      </c>
      <c r="U307">
        <v>2.8560425085446324E-2</v>
      </c>
      <c r="V307" t="s">
        <v>159</v>
      </c>
    </row>
    <row r="308" spans="9:22" x14ac:dyDescent="0.45">
      <c r="I308" t="s">
        <v>175</v>
      </c>
      <c r="J308" t="s">
        <v>289</v>
      </c>
      <c r="K308">
        <v>3.4336889645684055E-3</v>
      </c>
      <c r="L308" t="s">
        <v>159</v>
      </c>
      <c r="N308" t="s">
        <v>218</v>
      </c>
      <c r="O308" t="s">
        <v>289</v>
      </c>
      <c r="P308">
        <v>2.427735532295746E-3</v>
      </c>
      <c r="Q308" t="s">
        <v>159</v>
      </c>
      <c r="S308" t="s">
        <v>260</v>
      </c>
      <c r="T308" t="s">
        <v>289</v>
      </c>
      <c r="U308">
        <v>3.4338736252647111E-3</v>
      </c>
      <c r="V308" t="s">
        <v>159</v>
      </c>
    </row>
    <row r="309" spans="9:22" x14ac:dyDescent="0.45">
      <c r="I309" t="s">
        <v>175</v>
      </c>
      <c r="J309" t="s">
        <v>290</v>
      </c>
      <c r="K309">
        <v>0</v>
      </c>
      <c r="L309" t="s">
        <v>159</v>
      </c>
      <c r="N309" t="s">
        <v>218</v>
      </c>
      <c r="O309" t="s">
        <v>290</v>
      </c>
      <c r="P309">
        <v>3.2341374670947025E-3</v>
      </c>
      <c r="Q309" t="s">
        <v>159</v>
      </c>
      <c r="S309" t="s">
        <v>260</v>
      </c>
      <c r="T309" t="s">
        <v>290</v>
      </c>
      <c r="U309">
        <v>3.284087195947933E-3</v>
      </c>
      <c r="V309" t="s">
        <v>159</v>
      </c>
    </row>
    <row r="310" spans="9:22" x14ac:dyDescent="0.45">
      <c r="I310" t="s">
        <v>175</v>
      </c>
      <c r="J310" t="s">
        <v>309</v>
      </c>
      <c r="K310">
        <v>0</v>
      </c>
      <c r="L310" t="s">
        <v>159</v>
      </c>
      <c r="N310" t="s">
        <v>218</v>
      </c>
      <c r="O310" t="s">
        <v>309</v>
      </c>
      <c r="P310">
        <v>2.3052833149562892E-2</v>
      </c>
      <c r="Q310" t="s">
        <v>159</v>
      </c>
      <c r="S310" t="s">
        <v>260</v>
      </c>
      <c r="T310" t="s">
        <v>309</v>
      </c>
      <c r="U310">
        <v>1.44418971796972E-2</v>
      </c>
      <c r="V310" t="s">
        <v>159</v>
      </c>
    </row>
    <row r="311" spans="9:22" x14ac:dyDescent="0.45">
      <c r="I311" t="s">
        <v>175</v>
      </c>
      <c r="J311" t="s">
        <v>165</v>
      </c>
      <c r="K311">
        <v>0</v>
      </c>
      <c r="L311" t="s">
        <v>159</v>
      </c>
      <c r="N311" t="s">
        <v>218</v>
      </c>
      <c r="O311" t="s">
        <v>165</v>
      </c>
      <c r="P311">
        <v>3.4802141334910108E-2</v>
      </c>
      <c r="Q311" t="s">
        <v>159</v>
      </c>
      <c r="S311" t="s">
        <v>260</v>
      </c>
      <c r="T311" t="s">
        <v>165</v>
      </c>
      <c r="U311">
        <v>2.5779368973973222E-2</v>
      </c>
      <c r="V311" t="s">
        <v>159</v>
      </c>
    </row>
    <row r="312" spans="9:22" x14ac:dyDescent="0.45">
      <c r="I312" t="s">
        <v>175</v>
      </c>
      <c r="J312" t="s">
        <v>166</v>
      </c>
      <c r="K312">
        <v>3.5487348819195218E-3</v>
      </c>
      <c r="L312" t="s">
        <v>159</v>
      </c>
      <c r="N312" t="s">
        <v>218</v>
      </c>
      <c r="O312" t="s">
        <v>166</v>
      </c>
      <c r="P312">
        <v>3.9141908393757821E-3</v>
      </c>
      <c r="Q312" t="s">
        <v>159</v>
      </c>
      <c r="S312" t="s">
        <v>260</v>
      </c>
      <c r="T312" t="s">
        <v>166</v>
      </c>
      <c r="U312">
        <v>3.7606787933027633E-3</v>
      </c>
      <c r="V312" t="s">
        <v>159</v>
      </c>
    </row>
    <row r="313" spans="9:22" x14ac:dyDescent="0.45">
      <c r="I313" t="s">
        <v>175</v>
      </c>
      <c r="J313" t="s">
        <v>167</v>
      </c>
      <c r="K313">
        <v>5.6358981813759028E-2</v>
      </c>
      <c r="L313" t="s">
        <v>159</v>
      </c>
      <c r="N313" t="s">
        <v>218</v>
      </c>
      <c r="O313" t="s">
        <v>167</v>
      </c>
      <c r="P313">
        <v>3.2138404317608178E-2</v>
      </c>
      <c r="Q313" t="s">
        <v>159</v>
      </c>
      <c r="S313" t="s">
        <v>260</v>
      </c>
      <c r="T313" t="s">
        <v>167</v>
      </c>
      <c r="U313">
        <v>3.5841446064082447E-2</v>
      </c>
      <c r="V313" t="s">
        <v>159</v>
      </c>
    </row>
    <row r="314" spans="9:22" x14ac:dyDescent="0.45">
      <c r="I314" t="s">
        <v>175</v>
      </c>
      <c r="J314" t="s">
        <v>291</v>
      </c>
      <c r="K314">
        <v>4.3460016690217594E-3</v>
      </c>
      <c r="L314" t="s">
        <v>159</v>
      </c>
      <c r="N314" t="s">
        <v>218</v>
      </c>
      <c r="O314" t="s">
        <v>291</v>
      </c>
      <c r="P314">
        <v>3.3386329369244415E-3</v>
      </c>
      <c r="Q314" t="s">
        <v>159</v>
      </c>
      <c r="S314" t="s">
        <v>260</v>
      </c>
      <c r="T314" t="s">
        <v>291</v>
      </c>
      <c r="U314">
        <v>4.5282731821806822E-3</v>
      </c>
      <c r="V314" t="s">
        <v>159</v>
      </c>
    </row>
    <row r="315" spans="9:22" x14ac:dyDescent="0.45">
      <c r="I315" t="s">
        <v>175</v>
      </c>
      <c r="J315" t="s">
        <v>292</v>
      </c>
      <c r="K315">
        <v>0</v>
      </c>
      <c r="L315" t="s">
        <v>159</v>
      </c>
      <c r="N315" t="s">
        <v>218</v>
      </c>
      <c r="O315" t="s">
        <v>292</v>
      </c>
      <c r="P315">
        <v>3.8508181625169485E-3</v>
      </c>
      <c r="Q315" t="s">
        <v>159</v>
      </c>
      <c r="S315" t="s">
        <v>260</v>
      </c>
      <c r="T315" t="s">
        <v>292</v>
      </c>
      <c r="U315">
        <v>4.4860072400086633E-3</v>
      </c>
      <c r="V315" t="s">
        <v>159</v>
      </c>
    </row>
    <row r="316" spans="9:22" x14ac:dyDescent="0.45">
      <c r="I316" t="s">
        <v>175</v>
      </c>
      <c r="J316" t="s">
        <v>310</v>
      </c>
      <c r="K316">
        <v>0</v>
      </c>
      <c r="L316" t="s">
        <v>159</v>
      </c>
      <c r="N316" t="s">
        <v>218</v>
      </c>
      <c r="O316" t="s">
        <v>310</v>
      </c>
      <c r="P316">
        <v>2.5959654256359099E-2</v>
      </c>
      <c r="Q316" t="s">
        <v>159</v>
      </c>
      <c r="S316" t="s">
        <v>260</v>
      </c>
      <c r="T316" t="s">
        <v>310</v>
      </c>
      <c r="U316">
        <v>2.176222614094496E-2</v>
      </c>
      <c r="V316" t="s">
        <v>159</v>
      </c>
    </row>
    <row r="317" spans="9:22" x14ac:dyDescent="0.45">
      <c r="I317" t="s">
        <v>175</v>
      </c>
      <c r="J317" t="s">
        <v>293</v>
      </c>
      <c r="K317">
        <v>0</v>
      </c>
      <c r="L317" t="s">
        <v>159</v>
      </c>
      <c r="N317" t="s">
        <v>218</v>
      </c>
      <c r="O317" t="s">
        <v>293</v>
      </c>
      <c r="P317">
        <v>8.9791982851095582E-3</v>
      </c>
      <c r="Q317" t="s">
        <v>159</v>
      </c>
      <c r="S317" t="s">
        <v>260</v>
      </c>
      <c r="T317" t="s">
        <v>293</v>
      </c>
      <c r="U317">
        <v>6.617461221495962E-3</v>
      </c>
      <c r="V317" t="s">
        <v>159</v>
      </c>
    </row>
    <row r="318" spans="9:22" x14ac:dyDescent="0.45">
      <c r="I318" t="s">
        <v>175</v>
      </c>
      <c r="J318" t="s">
        <v>294</v>
      </c>
      <c r="K318">
        <v>1.0912075925159791E-3</v>
      </c>
      <c r="L318" t="s">
        <v>159</v>
      </c>
      <c r="N318" t="s">
        <v>218</v>
      </c>
      <c r="O318" t="s">
        <v>294</v>
      </c>
      <c r="P318">
        <v>8.5066843656622637E-4</v>
      </c>
      <c r="Q318" t="s">
        <v>159</v>
      </c>
      <c r="S318" t="s">
        <v>260</v>
      </c>
      <c r="T318" t="s">
        <v>294</v>
      </c>
      <c r="U318">
        <v>7.081383208809315E-4</v>
      </c>
      <c r="V318" t="s">
        <v>159</v>
      </c>
    </row>
    <row r="319" spans="9:22" x14ac:dyDescent="0.45">
      <c r="I319" t="s">
        <v>175</v>
      </c>
      <c r="J319" t="s">
        <v>295</v>
      </c>
      <c r="K319">
        <v>1.4694069317564029E-2</v>
      </c>
      <c r="L319" t="s">
        <v>159</v>
      </c>
      <c r="N319" t="s">
        <v>218</v>
      </c>
      <c r="O319" t="s">
        <v>295</v>
      </c>
      <c r="P319">
        <v>4.5570935900571706E-3</v>
      </c>
      <c r="Q319" t="s">
        <v>159</v>
      </c>
      <c r="S319" t="s">
        <v>260</v>
      </c>
      <c r="T319" t="s">
        <v>295</v>
      </c>
      <c r="U319">
        <v>8.6469226109098535E-3</v>
      </c>
      <c r="V319" t="s">
        <v>159</v>
      </c>
    </row>
    <row r="320" spans="9:22" x14ac:dyDescent="0.45">
      <c r="I320" t="s">
        <v>175</v>
      </c>
      <c r="J320" t="s">
        <v>296</v>
      </c>
      <c r="K320">
        <v>1.1392927356840953E-3</v>
      </c>
      <c r="L320" t="s">
        <v>159</v>
      </c>
      <c r="N320" t="s">
        <v>218</v>
      </c>
      <c r="O320" t="s">
        <v>296</v>
      </c>
      <c r="P320">
        <v>5.9611762459892137E-4</v>
      </c>
      <c r="Q320" t="s">
        <v>159</v>
      </c>
      <c r="S320" t="s">
        <v>260</v>
      </c>
      <c r="T320" t="s">
        <v>296</v>
      </c>
      <c r="U320">
        <v>1.3571655855155911E-3</v>
      </c>
      <c r="V320" t="s">
        <v>159</v>
      </c>
    </row>
    <row r="321" spans="9:22" x14ac:dyDescent="0.45">
      <c r="I321" t="s">
        <v>175</v>
      </c>
      <c r="J321" t="s">
        <v>297</v>
      </c>
      <c r="K321">
        <v>0</v>
      </c>
      <c r="L321" t="s">
        <v>159</v>
      </c>
      <c r="N321" t="s">
        <v>218</v>
      </c>
      <c r="O321" t="s">
        <v>297</v>
      </c>
      <c r="P321">
        <v>6.9194166206916453E-4</v>
      </c>
      <c r="Q321" t="s">
        <v>159</v>
      </c>
      <c r="S321" t="s">
        <v>260</v>
      </c>
      <c r="T321" t="s">
        <v>297</v>
      </c>
      <c r="U321">
        <v>1.3254399425701767E-3</v>
      </c>
      <c r="V321" t="s">
        <v>159</v>
      </c>
    </row>
    <row r="322" spans="9:22" x14ac:dyDescent="0.45">
      <c r="I322" t="s">
        <v>175</v>
      </c>
      <c r="J322" t="s">
        <v>311</v>
      </c>
      <c r="K322">
        <v>0</v>
      </c>
      <c r="L322" t="s">
        <v>159</v>
      </c>
      <c r="N322" t="s">
        <v>218</v>
      </c>
      <c r="O322" t="s">
        <v>311</v>
      </c>
      <c r="P322">
        <v>6.2993997226633526E-3</v>
      </c>
      <c r="Q322" t="s">
        <v>159</v>
      </c>
      <c r="S322" t="s">
        <v>260</v>
      </c>
      <c r="T322" t="s">
        <v>311</v>
      </c>
      <c r="U322">
        <v>5.7749469988842943E-3</v>
      </c>
      <c r="V322" t="s">
        <v>159</v>
      </c>
    </row>
    <row r="323" spans="9:22" x14ac:dyDescent="0.45">
      <c r="I323" t="s">
        <v>175</v>
      </c>
      <c r="J323" t="s">
        <v>298</v>
      </c>
      <c r="K323">
        <v>1.1694362850140645E-2</v>
      </c>
      <c r="L323" t="s">
        <v>159</v>
      </c>
      <c r="N323" t="s">
        <v>218</v>
      </c>
      <c r="O323" t="s">
        <v>298</v>
      </c>
      <c r="P323">
        <v>0.11024384840508952</v>
      </c>
      <c r="Q323" t="s">
        <v>159</v>
      </c>
      <c r="S323" t="s">
        <v>260</v>
      </c>
      <c r="T323" t="s">
        <v>298</v>
      </c>
      <c r="U323">
        <v>7.8240337797059245E-2</v>
      </c>
      <c r="V323" t="s">
        <v>159</v>
      </c>
    </row>
    <row r="324" spans="9:22" x14ac:dyDescent="0.45">
      <c r="I324" t="s">
        <v>175</v>
      </c>
      <c r="J324" t="s">
        <v>299</v>
      </c>
      <c r="K324">
        <v>2.1847278591250314E-2</v>
      </c>
      <c r="L324" t="s">
        <v>159</v>
      </c>
      <c r="N324" t="s">
        <v>218</v>
      </c>
      <c r="O324" t="s">
        <v>299</v>
      </c>
      <c r="P324">
        <v>1.1036230127348567E-2</v>
      </c>
      <c r="Q324" t="s">
        <v>159</v>
      </c>
      <c r="S324" t="s">
        <v>260</v>
      </c>
      <c r="T324" t="s">
        <v>299</v>
      </c>
      <c r="U324">
        <v>1.1275609612711962E-2</v>
      </c>
      <c r="V324" t="s">
        <v>159</v>
      </c>
    </row>
    <row r="325" spans="9:22" x14ac:dyDescent="0.45">
      <c r="I325" t="s">
        <v>175</v>
      </c>
      <c r="J325" t="s">
        <v>300</v>
      </c>
      <c r="K325">
        <v>0.24424809847487633</v>
      </c>
      <c r="L325" t="s">
        <v>159</v>
      </c>
      <c r="N325" t="s">
        <v>218</v>
      </c>
      <c r="O325" t="s">
        <v>300</v>
      </c>
      <c r="P325">
        <v>0.11692389269249083</v>
      </c>
      <c r="Q325" t="s">
        <v>159</v>
      </c>
      <c r="S325" t="s">
        <v>260</v>
      </c>
      <c r="T325" t="s">
        <v>300</v>
      </c>
      <c r="U325">
        <v>0.12086056755603716</v>
      </c>
      <c r="V325" t="s">
        <v>159</v>
      </c>
    </row>
    <row r="326" spans="9:22" x14ac:dyDescent="0.45">
      <c r="I326" t="s">
        <v>175</v>
      </c>
      <c r="J326" t="s">
        <v>301</v>
      </c>
      <c r="K326">
        <v>1.9556773047520154E-2</v>
      </c>
      <c r="L326" t="s">
        <v>159</v>
      </c>
      <c r="N326" t="s">
        <v>218</v>
      </c>
      <c r="O326" t="s">
        <v>301</v>
      </c>
      <c r="P326">
        <v>1.4192678070170852E-2</v>
      </c>
      <c r="Q326" t="s">
        <v>159</v>
      </c>
      <c r="S326" t="s">
        <v>260</v>
      </c>
      <c r="T326" t="s">
        <v>301</v>
      </c>
      <c r="U326">
        <v>1.4336330114518367E-2</v>
      </c>
      <c r="V326" t="s">
        <v>159</v>
      </c>
    </row>
    <row r="327" spans="9:22" x14ac:dyDescent="0.45">
      <c r="I327" t="s">
        <v>175</v>
      </c>
      <c r="J327" t="s">
        <v>302</v>
      </c>
      <c r="K327">
        <v>8.1740936319653814E-3</v>
      </c>
      <c r="L327" t="s">
        <v>159</v>
      </c>
      <c r="N327" t="s">
        <v>218</v>
      </c>
      <c r="O327" t="s">
        <v>302</v>
      </c>
      <c r="P327">
        <v>1.4039657673378936E-2</v>
      </c>
      <c r="Q327" t="s">
        <v>159</v>
      </c>
      <c r="S327" t="s">
        <v>260</v>
      </c>
      <c r="T327" t="s">
        <v>302</v>
      </c>
      <c r="U327">
        <v>1.3631831013446026E-2</v>
      </c>
      <c r="V327" t="s">
        <v>159</v>
      </c>
    </row>
    <row r="328" spans="9:22" x14ac:dyDescent="0.45">
      <c r="I328" t="s">
        <v>175</v>
      </c>
      <c r="J328" t="s">
        <v>312</v>
      </c>
      <c r="K328">
        <v>0</v>
      </c>
      <c r="L328" t="s">
        <v>159</v>
      </c>
      <c r="N328" t="s">
        <v>218</v>
      </c>
      <c r="O328" t="s">
        <v>312</v>
      </c>
      <c r="P328">
        <v>9.3713671393604134E-2</v>
      </c>
      <c r="Q328" t="s">
        <v>159</v>
      </c>
      <c r="S328" t="s">
        <v>260</v>
      </c>
      <c r="T328" t="s">
        <v>312</v>
      </c>
      <c r="U328">
        <v>6.1655206960434035E-2</v>
      </c>
      <c r="V328" t="s">
        <v>159</v>
      </c>
    </row>
    <row r="329" spans="9:22" x14ac:dyDescent="0.45">
      <c r="I329" t="s">
        <v>175</v>
      </c>
      <c r="J329" t="s">
        <v>313</v>
      </c>
      <c r="K329">
        <v>5.1736157942845057E-3</v>
      </c>
      <c r="L329" t="s">
        <v>159</v>
      </c>
      <c r="N329" t="s">
        <v>218</v>
      </c>
      <c r="O329" t="s">
        <v>313</v>
      </c>
      <c r="P329">
        <v>1.7961919811400984E-2</v>
      </c>
      <c r="Q329" t="s">
        <v>159</v>
      </c>
      <c r="S329" t="s">
        <v>260</v>
      </c>
      <c r="T329" t="s">
        <v>313</v>
      </c>
      <c r="U329">
        <v>1.7719906031379646E-2</v>
      </c>
      <c r="V329" t="s">
        <v>159</v>
      </c>
    </row>
    <row r="330" spans="9:22" x14ac:dyDescent="0.45">
      <c r="I330" t="s">
        <v>175</v>
      </c>
      <c r="J330" t="s">
        <v>314</v>
      </c>
      <c r="K330">
        <v>7.5208742829494715E-3</v>
      </c>
      <c r="L330" t="s">
        <v>159</v>
      </c>
      <c r="N330" t="s">
        <v>218</v>
      </c>
      <c r="O330" t="s">
        <v>314</v>
      </c>
      <c r="P330">
        <v>1.850717705215421E-3</v>
      </c>
      <c r="Q330" t="s">
        <v>159</v>
      </c>
      <c r="S330" t="s">
        <v>260</v>
      </c>
      <c r="T330" t="s">
        <v>314</v>
      </c>
      <c r="U330">
        <v>2.4602675781679978E-3</v>
      </c>
      <c r="V330" t="s">
        <v>159</v>
      </c>
    </row>
    <row r="331" spans="9:22" x14ac:dyDescent="0.45">
      <c r="I331" t="s">
        <v>175</v>
      </c>
      <c r="J331" t="s">
        <v>315</v>
      </c>
      <c r="K331">
        <v>7.7364597434098389E-2</v>
      </c>
      <c r="L331" t="s">
        <v>159</v>
      </c>
      <c r="N331" t="s">
        <v>218</v>
      </c>
      <c r="O331" t="s">
        <v>315</v>
      </c>
      <c r="P331">
        <v>2.1565994234344164E-2</v>
      </c>
      <c r="Q331" t="s">
        <v>159</v>
      </c>
      <c r="S331" t="s">
        <v>260</v>
      </c>
      <c r="T331" t="s">
        <v>315</v>
      </c>
      <c r="U331">
        <v>2.4008164790990744E-2</v>
      </c>
      <c r="V331" t="s">
        <v>159</v>
      </c>
    </row>
    <row r="332" spans="9:22" x14ac:dyDescent="0.45">
      <c r="I332" t="s">
        <v>175</v>
      </c>
      <c r="J332" t="s">
        <v>316</v>
      </c>
      <c r="K332">
        <v>6.1965225449843123E-3</v>
      </c>
      <c r="L332" t="s">
        <v>159</v>
      </c>
      <c r="N332" t="s">
        <v>218</v>
      </c>
      <c r="O332" t="s">
        <v>316</v>
      </c>
      <c r="P332">
        <v>2.2839281716180836E-3</v>
      </c>
      <c r="Q332" t="s">
        <v>159</v>
      </c>
      <c r="S332" t="s">
        <v>260</v>
      </c>
      <c r="T332" t="s">
        <v>316</v>
      </c>
      <c r="U332">
        <v>3.0641822604834008E-3</v>
      </c>
      <c r="V332" t="s">
        <v>159</v>
      </c>
    </row>
    <row r="333" spans="9:22" x14ac:dyDescent="0.45">
      <c r="I333" t="s">
        <v>175</v>
      </c>
      <c r="J333" t="s">
        <v>317</v>
      </c>
      <c r="K333">
        <v>4.2864542702005523E-3</v>
      </c>
      <c r="L333" t="s">
        <v>159</v>
      </c>
      <c r="N333" t="s">
        <v>218</v>
      </c>
      <c r="O333" t="s">
        <v>317</v>
      </c>
      <c r="P333">
        <v>2.0076991770818873E-3</v>
      </c>
      <c r="Q333" t="s">
        <v>159</v>
      </c>
      <c r="S333" t="s">
        <v>260</v>
      </c>
      <c r="T333" t="s">
        <v>317</v>
      </c>
      <c r="U333">
        <v>2.9966608805354076E-3</v>
      </c>
      <c r="V333" t="s">
        <v>159</v>
      </c>
    </row>
    <row r="334" spans="9:22" x14ac:dyDescent="0.45">
      <c r="I334" t="s">
        <v>175</v>
      </c>
      <c r="J334" t="s">
        <v>318</v>
      </c>
      <c r="K334">
        <v>5.7741302336285159E-5</v>
      </c>
      <c r="L334" t="s">
        <v>159</v>
      </c>
      <c r="N334" t="s">
        <v>218</v>
      </c>
      <c r="O334" t="s">
        <v>318</v>
      </c>
      <c r="P334">
        <v>1.4104456204844793E-2</v>
      </c>
      <c r="Q334" t="s">
        <v>159</v>
      </c>
      <c r="S334" t="s">
        <v>260</v>
      </c>
      <c r="T334" t="s">
        <v>318</v>
      </c>
      <c r="U334">
        <v>1.3355140673064269E-2</v>
      </c>
      <c r="V334" t="s">
        <v>159</v>
      </c>
    </row>
    <row r="335" spans="9:22" x14ac:dyDescent="0.45">
      <c r="I335" t="s">
        <v>176</v>
      </c>
      <c r="J335" t="s">
        <v>158</v>
      </c>
      <c r="K335">
        <v>7.2091570351855835E-3</v>
      </c>
      <c r="L335" t="s">
        <v>159</v>
      </c>
      <c r="N335" t="s">
        <v>219</v>
      </c>
      <c r="O335" t="s">
        <v>158</v>
      </c>
      <c r="P335">
        <v>8.1648343922486322E-2</v>
      </c>
      <c r="Q335" t="s">
        <v>159</v>
      </c>
      <c r="S335" t="s">
        <v>261</v>
      </c>
      <c r="T335" t="s">
        <v>158</v>
      </c>
      <c r="U335">
        <v>0.11959951479754106</v>
      </c>
      <c r="V335" t="s">
        <v>159</v>
      </c>
    </row>
    <row r="336" spans="9:22" x14ac:dyDescent="0.45">
      <c r="I336" t="s">
        <v>176</v>
      </c>
      <c r="J336" t="s">
        <v>160</v>
      </c>
      <c r="K336">
        <v>2.3042756592996892E-2</v>
      </c>
      <c r="L336" t="s">
        <v>159</v>
      </c>
      <c r="N336" t="s">
        <v>219</v>
      </c>
      <c r="O336" t="s">
        <v>160</v>
      </c>
      <c r="P336">
        <v>9.881609686089492E-3</v>
      </c>
      <c r="Q336" t="s">
        <v>159</v>
      </c>
      <c r="S336" t="s">
        <v>261</v>
      </c>
      <c r="T336" t="s">
        <v>160</v>
      </c>
      <c r="U336">
        <v>1.6390402646874982E-2</v>
      </c>
      <c r="V336" t="s">
        <v>159</v>
      </c>
    </row>
    <row r="337" spans="9:22" x14ac:dyDescent="0.45">
      <c r="I337" t="s">
        <v>176</v>
      </c>
      <c r="J337" t="s">
        <v>161</v>
      </c>
      <c r="K337">
        <v>0.37598372706965327</v>
      </c>
      <c r="L337" t="s">
        <v>159</v>
      </c>
      <c r="N337" t="s">
        <v>219</v>
      </c>
      <c r="O337" t="s">
        <v>161</v>
      </c>
      <c r="P337">
        <v>0.14891376187149005</v>
      </c>
      <c r="Q337" t="s">
        <v>159</v>
      </c>
      <c r="S337" t="s">
        <v>261</v>
      </c>
      <c r="T337" t="s">
        <v>161</v>
      </c>
      <c r="U337">
        <v>0.15386071662024606</v>
      </c>
      <c r="V337" t="s">
        <v>159</v>
      </c>
    </row>
    <row r="338" spans="9:22" x14ac:dyDescent="0.45">
      <c r="I338" t="s">
        <v>176</v>
      </c>
      <c r="J338" t="s">
        <v>287</v>
      </c>
      <c r="K338">
        <v>3.6220495788186355E-2</v>
      </c>
      <c r="L338" t="s">
        <v>159</v>
      </c>
      <c r="N338" t="s">
        <v>219</v>
      </c>
      <c r="O338" t="s">
        <v>287</v>
      </c>
      <c r="P338">
        <v>2.9940384510074733E-2</v>
      </c>
      <c r="Q338" t="s">
        <v>159</v>
      </c>
      <c r="S338" t="s">
        <v>261</v>
      </c>
      <c r="T338" t="s">
        <v>287</v>
      </c>
      <c r="U338">
        <v>2.0667388913709527E-2</v>
      </c>
      <c r="V338" t="s">
        <v>159</v>
      </c>
    </row>
    <row r="339" spans="9:22" x14ac:dyDescent="0.45">
      <c r="I339" t="s">
        <v>176</v>
      </c>
      <c r="J339" t="s">
        <v>288</v>
      </c>
      <c r="K339">
        <v>2.0630106632358123E-2</v>
      </c>
      <c r="L339" t="s">
        <v>159</v>
      </c>
      <c r="N339" t="s">
        <v>219</v>
      </c>
      <c r="O339" t="s">
        <v>288</v>
      </c>
      <c r="P339">
        <v>2.9087770718490467E-2</v>
      </c>
      <c r="Q339" t="s">
        <v>159</v>
      </c>
      <c r="S339" t="s">
        <v>261</v>
      </c>
      <c r="T339" t="s">
        <v>288</v>
      </c>
      <c r="U339">
        <v>2.1604395609949305E-2</v>
      </c>
      <c r="V339" t="s">
        <v>159</v>
      </c>
    </row>
    <row r="340" spans="9:22" x14ac:dyDescent="0.45">
      <c r="I340" t="s">
        <v>176</v>
      </c>
      <c r="J340" t="s">
        <v>308</v>
      </c>
      <c r="K340">
        <v>7.8635673959883204E-3</v>
      </c>
      <c r="L340" t="s">
        <v>159</v>
      </c>
      <c r="N340" t="s">
        <v>219</v>
      </c>
      <c r="O340" t="s">
        <v>308</v>
      </c>
      <c r="P340">
        <v>9.6413766978334675E-2</v>
      </c>
      <c r="Q340" t="s">
        <v>159</v>
      </c>
      <c r="S340" t="s">
        <v>261</v>
      </c>
      <c r="T340" t="s">
        <v>308</v>
      </c>
      <c r="U340">
        <v>0.10657203179334694</v>
      </c>
      <c r="V340" t="s">
        <v>159</v>
      </c>
    </row>
    <row r="341" spans="9:22" x14ac:dyDescent="0.45">
      <c r="I341" t="s">
        <v>176</v>
      </c>
      <c r="J341" t="s">
        <v>162</v>
      </c>
      <c r="K341">
        <v>0</v>
      </c>
      <c r="L341" t="s">
        <v>159</v>
      </c>
      <c r="N341" t="s">
        <v>219</v>
      </c>
      <c r="O341" t="s">
        <v>162</v>
      </c>
      <c r="P341">
        <v>1.7724343781197974E-2</v>
      </c>
      <c r="Q341" t="s">
        <v>159</v>
      </c>
      <c r="S341" t="s">
        <v>261</v>
      </c>
      <c r="T341" t="s">
        <v>162</v>
      </c>
      <c r="U341">
        <v>1.8143089267424074E-2</v>
      </c>
      <c r="V341" t="s">
        <v>159</v>
      </c>
    </row>
    <row r="342" spans="9:22" x14ac:dyDescent="0.45">
      <c r="I342" t="s">
        <v>176</v>
      </c>
      <c r="J342" t="s">
        <v>163</v>
      </c>
      <c r="K342">
        <v>0</v>
      </c>
      <c r="L342" t="s">
        <v>159</v>
      </c>
      <c r="N342" t="s">
        <v>219</v>
      </c>
      <c r="O342" t="s">
        <v>163</v>
      </c>
      <c r="P342">
        <v>1.8062047979808158E-3</v>
      </c>
      <c r="Q342" t="s">
        <v>159</v>
      </c>
      <c r="S342" t="s">
        <v>261</v>
      </c>
      <c r="T342" t="s">
        <v>163</v>
      </c>
      <c r="U342">
        <v>2.6529191402900301E-3</v>
      </c>
      <c r="V342" t="s">
        <v>159</v>
      </c>
    </row>
    <row r="343" spans="9:22" x14ac:dyDescent="0.45">
      <c r="I343" t="s">
        <v>176</v>
      </c>
      <c r="J343" t="s">
        <v>164</v>
      </c>
      <c r="K343">
        <v>3.5531554578527122E-2</v>
      </c>
      <c r="L343" t="s">
        <v>159</v>
      </c>
      <c r="N343" t="s">
        <v>219</v>
      </c>
      <c r="O343" t="s">
        <v>164</v>
      </c>
      <c r="P343">
        <v>2.0267597016872106E-2</v>
      </c>
      <c r="Q343" t="s">
        <v>159</v>
      </c>
      <c r="S343" t="s">
        <v>261</v>
      </c>
      <c r="T343" t="s">
        <v>164</v>
      </c>
      <c r="U343">
        <v>2.2038202043364187E-2</v>
      </c>
      <c r="V343" t="s">
        <v>159</v>
      </c>
    </row>
    <row r="344" spans="9:22" x14ac:dyDescent="0.45">
      <c r="I344" t="s">
        <v>176</v>
      </c>
      <c r="J344" t="s">
        <v>289</v>
      </c>
      <c r="K344">
        <v>3.009860064583795E-3</v>
      </c>
      <c r="L344" t="s">
        <v>159</v>
      </c>
      <c r="N344" t="s">
        <v>219</v>
      </c>
      <c r="O344" t="s">
        <v>289</v>
      </c>
      <c r="P344">
        <v>4.138946075730579E-3</v>
      </c>
      <c r="Q344" t="s">
        <v>159</v>
      </c>
      <c r="S344" t="s">
        <v>261</v>
      </c>
      <c r="T344" t="s">
        <v>289</v>
      </c>
      <c r="U344">
        <v>2.6977878023772598E-3</v>
      </c>
      <c r="V344" t="s">
        <v>159</v>
      </c>
    </row>
    <row r="345" spans="9:22" x14ac:dyDescent="0.45">
      <c r="I345" t="s">
        <v>176</v>
      </c>
      <c r="J345" t="s">
        <v>290</v>
      </c>
      <c r="K345">
        <v>0</v>
      </c>
      <c r="L345" t="s">
        <v>159</v>
      </c>
      <c r="N345" t="s">
        <v>219</v>
      </c>
      <c r="O345" t="s">
        <v>290</v>
      </c>
      <c r="P345">
        <v>3.7854396209741664E-3</v>
      </c>
      <c r="Q345" t="s">
        <v>159</v>
      </c>
      <c r="S345" t="s">
        <v>261</v>
      </c>
      <c r="T345" t="s">
        <v>290</v>
      </c>
      <c r="U345">
        <v>2.7660250619036364E-3</v>
      </c>
      <c r="V345" t="s">
        <v>159</v>
      </c>
    </row>
    <row r="346" spans="9:22" x14ac:dyDescent="0.45">
      <c r="I346" t="s">
        <v>176</v>
      </c>
      <c r="J346" t="s">
        <v>309</v>
      </c>
      <c r="K346">
        <v>0</v>
      </c>
      <c r="L346" t="s">
        <v>159</v>
      </c>
      <c r="N346" t="s">
        <v>219</v>
      </c>
      <c r="O346" t="s">
        <v>309</v>
      </c>
      <c r="P346">
        <v>1.3828083524510995E-2</v>
      </c>
      <c r="Q346" t="s">
        <v>159</v>
      </c>
      <c r="S346" t="s">
        <v>261</v>
      </c>
      <c r="T346" t="s">
        <v>309</v>
      </c>
      <c r="U346">
        <v>1.3478985364331836E-2</v>
      </c>
      <c r="V346" t="s">
        <v>159</v>
      </c>
    </row>
    <row r="347" spans="9:22" x14ac:dyDescent="0.45">
      <c r="I347" t="s">
        <v>176</v>
      </c>
      <c r="J347" t="s">
        <v>165</v>
      </c>
      <c r="K347">
        <v>0</v>
      </c>
      <c r="L347" t="s">
        <v>159</v>
      </c>
      <c r="N347" t="s">
        <v>219</v>
      </c>
      <c r="O347" t="s">
        <v>165</v>
      </c>
      <c r="P347">
        <v>2.5138600125136676E-2</v>
      </c>
      <c r="Q347" t="s">
        <v>159</v>
      </c>
      <c r="S347" t="s">
        <v>261</v>
      </c>
      <c r="T347" t="s">
        <v>165</v>
      </c>
      <c r="U347">
        <v>2.5519609311094954E-2</v>
      </c>
      <c r="V347" t="s">
        <v>159</v>
      </c>
    </row>
    <row r="348" spans="9:22" x14ac:dyDescent="0.45">
      <c r="I348" t="s">
        <v>176</v>
      </c>
      <c r="J348" t="s">
        <v>166</v>
      </c>
      <c r="K348">
        <v>3.807678192107091E-4</v>
      </c>
      <c r="L348" t="s">
        <v>159</v>
      </c>
      <c r="N348" t="s">
        <v>219</v>
      </c>
      <c r="O348" t="s">
        <v>166</v>
      </c>
      <c r="P348">
        <v>3.3015318333315482E-3</v>
      </c>
      <c r="Q348" t="s">
        <v>159</v>
      </c>
      <c r="S348" t="s">
        <v>261</v>
      </c>
      <c r="T348" t="s">
        <v>166</v>
      </c>
      <c r="U348">
        <v>3.4470196524667247E-3</v>
      </c>
      <c r="V348" t="s">
        <v>159</v>
      </c>
    </row>
    <row r="349" spans="9:22" x14ac:dyDescent="0.45">
      <c r="I349" t="s">
        <v>176</v>
      </c>
      <c r="J349" t="s">
        <v>167</v>
      </c>
      <c r="K349">
        <v>4.4908944753247013E-2</v>
      </c>
      <c r="L349" t="s">
        <v>159</v>
      </c>
      <c r="N349" t="s">
        <v>219</v>
      </c>
      <c r="O349" t="s">
        <v>167</v>
      </c>
      <c r="P349">
        <v>2.4937543923102861E-2</v>
      </c>
      <c r="Q349" t="s">
        <v>159</v>
      </c>
      <c r="S349" t="s">
        <v>261</v>
      </c>
      <c r="T349" t="s">
        <v>167</v>
      </c>
      <c r="U349">
        <v>3.1652122247116013E-2</v>
      </c>
      <c r="V349" t="s">
        <v>159</v>
      </c>
    </row>
    <row r="350" spans="9:22" x14ac:dyDescent="0.45">
      <c r="I350" t="s">
        <v>176</v>
      </c>
      <c r="J350" t="s">
        <v>291</v>
      </c>
      <c r="K350">
        <v>3.9314935977115021E-3</v>
      </c>
      <c r="L350" t="s">
        <v>159</v>
      </c>
      <c r="N350" t="s">
        <v>219</v>
      </c>
      <c r="O350" t="s">
        <v>291</v>
      </c>
      <c r="P350">
        <v>4.756085241761107E-3</v>
      </c>
      <c r="Q350" t="s">
        <v>159</v>
      </c>
      <c r="S350" t="s">
        <v>261</v>
      </c>
      <c r="T350" t="s">
        <v>291</v>
      </c>
      <c r="U350">
        <v>4.3345526614392499E-3</v>
      </c>
      <c r="V350" t="s">
        <v>159</v>
      </c>
    </row>
    <row r="351" spans="9:22" x14ac:dyDescent="0.45">
      <c r="I351" t="s">
        <v>176</v>
      </c>
      <c r="J351" t="s">
        <v>292</v>
      </c>
      <c r="K351">
        <v>0</v>
      </c>
      <c r="L351" t="s">
        <v>159</v>
      </c>
      <c r="N351" t="s">
        <v>219</v>
      </c>
      <c r="O351" t="s">
        <v>292</v>
      </c>
      <c r="P351">
        <v>4.7880349550483738E-3</v>
      </c>
      <c r="Q351" t="s">
        <v>159</v>
      </c>
      <c r="S351" t="s">
        <v>261</v>
      </c>
      <c r="T351" t="s">
        <v>292</v>
      </c>
      <c r="U351">
        <v>4.5078296221393137E-3</v>
      </c>
      <c r="V351" t="s">
        <v>159</v>
      </c>
    </row>
    <row r="352" spans="9:22" x14ac:dyDescent="0.45">
      <c r="I352" t="s">
        <v>176</v>
      </c>
      <c r="J352" t="s">
        <v>310</v>
      </c>
      <c r="K352">
        <v>0</v>
      </c>
      <c r="L352" t="s">
        <v>159</v>
      </c>
      <c r="N352" t="s">
        <v>219</v>
      </c>
      <c r="O352" t="s">
        <v>310</v>
      </c>
      <c r="P352">
        <v>1.8843436356865504E-2</v>
      </c>
      <c r="Q352" t="s">
        <v>159</v>
      </c>
      <c r="S352" t="s">
        <v>261</v>
      </c>
      <c r="T352" t="s">
        <v>310</v>
      </c>
      <c r="U352">
        <v>2.2135002306955826E-2</v>
      </c>
      <c r="V352" t="s">
        <v>159</v>
      </c>
    </row>
    <row r="353" spans="9:22" x14ac:dyDescent="0.45">
      <c r="I353" t="s">
        <v>176</v>
      </c>
      <c r="J353" t="s">
        <v>293</v>
      </c>
      <c r="K353">
        <v>0</v>
      </c>
      <c r="L353" t="s">
        <v>159</v>
      </c>
      <c r="N353" t="s">
        <v>219</v>
      </c>
      <c r="O353" t="s">
        <v>293</v>
      </c>
      <c r="P353">
        <v>8.4323255930603691E-3</v>
      </c>
      <c r="Q353" t="s">
        <v>159</v>
      </c>
      <c r="S353" t="s">
        <v>261</v>
      </c>
      <c r="T353" t="s">
        <v>293</v>
      </c>
      <c r="U353">
        <v>7.461645060081362E-3</v>
      </c>
      <c r="V353" t="s">
        <v>159</v>
      </c>
    </row>
    <row r="354" spans="9:22" x14ac:dyDescent="0.45">
      <c r="I354" t="s">
        <v>176</v>
      </c>
      <c r="J354" t="s">
        <v>294</v>
      </c>
      <c r="K354">
        <v>7.4674436664871197E-4</v>
      </c>
      <c r="L354" t="s">
        <v>159</v>
      </c>
      <c r="N354" t="s">
        <v>219</v>
      </c>
      <c r="O354" t="s">
        <v>294</v>
      </c>
      <c r="P354">
        <v>1.3513406180847226E-3</v>
      </c>
      <c r="Q354" t="s">
        <v>159</v>
      </c>
      <c r="S354" t="s">
        <v>261</v>
      </c>
      <c r="T354" t="s">
        <v>294</v>
      </c>
      <c r="U354">
        <v>1.1692335124185937E-3</v>
      </c>
      <c r="V354" t="s">
        <v>159</v>
      </c>
    </row>
    <row r="355" spans="9:22" x14ac:dyDescent="0.45">
      <c r="I355" t="s">
        <v>176</v>
      </c>
      <c r="J355" t="s">
        <v>295</v>
      </c>
      <c r="K355">
        <v>1.1332995749779031E-2</v>
      </c>
      <c r="L355" t="s">
        <v>159</v>
      </c>
      <c r="N355" t="s">
        <v>219</v>
      </c>
      <c r="O355" t="s">
        <v>295</v>
      </c>
      <c r="P355">
        <v>7.5278293250279444E-3</v>
      </c>
      <c r="Q355" t="s">
        <v>159</v>
      </c>
      <c r="S355" t="s">
        <v>261</v>
      </c>
      <c r="T355" t="s">
        <v>295</v>
      </c>
      <c r="U355">
        <v>1.1261898025561946E-2</v>
      </c>
      <c r="V355" t="s">
        <v>159</v>
      </c>
    </row>
    <row r="356" spans="9:22" x14ac:dyDescent="0.45">
      <c r="I356" t="s">
        <v>176</v>
      </c>
      <c r="J356" t="s">
        <v>296</v>
      </c>
      <c r="K356">
        <v>9.611768961647327E-4</v>
      </c>
      <c r="L356" t="s">
        <v>159</v>
      </c>
      <c r="N356" t="s">
        <v>219</v>
      </c>
      <c r="O356" t="s">
        <v>296</v>
      </c>
      <c r="P356">
        <v>1.322661962474291E-3</v>
      </c>
      <c r="Q356" t="s">
        <v>159</v>
      </c>
      <c r="S356" t="s">
        <v>261</v>
      </c>
      <c r="T356" t="s">
        <v>296</v>
      </c>
      <c r="U356">
        <v>1.2849694915434513E-3</v>
      </c>
      <c r="V356" t="s">
        <v>159</v>
      </c>
    </row>
    <row r="357" spans="9:22" x14ac:dyDescent="0.45">
      <c r="I357" t="s">
        <v>176</v>
      </c>
      <c r="J357" t="s">
        <v>297</v>
      </c>
      <c r="K357">
        <v>0</v>
      </c>
      <c r="L357" t="s">
        <v>159</v>
      </c>
      <c r="N357" t="s">
        <v>219</v>
      </c>
      <c r="O357" t="s">
        <v>297</v>
      </c>
      <c r="P357">
        <v>1.5617177360321968E-3</v>
      </c>
      <c r="Q357" t="s">
        <v>159</v>
      </c>
      <c r="S357" t="s">
        <v>261</v>
      </c>
      <c r="T357" t="s">
        <v>297</v>
      </c>
      <c r="U357">
        <v>1.2706375808299306E-3</v>
      </c>
      <c r="V357" t="s">
        <v>159</v>
      </c>
    </row>
    <row r="358" spans="9:22" x14ac:dyDescent="0.45">
      <c r="I358" t="s">
        <v>176</v>
      </c>
      <c r="J358" t="s">
        <v>311</v>
      </c>
      <c r="K358">
        <v>0</v>
      </c>
      <c r="L358" t="s">
        <v>159</v>
      </c>
      <c r="N358" t="s">
        <v>219</v>
      </c>
      <c r="O358" t="s">
        <v>311</v>
      </c>
      <c r="P358">
        <v>6.0945113748982482E-3</v>
      </c>
      <c r="Q358" t="s">
        <v>159</v>
      </c>
      <c r="S358" t="s">
        <v>261</v>
      </c>
      <c r="T358" t="s">
        <v>311</v>
      </c>
      <c r="U358">
        <v>5.7594787350008043E-3</v>
      </c>
      <c r="V358" t="s">
        <v>159</v>
      </c>
    </row>
    <row r="359" spans="9:22" x14ac:dyDescent="0.45">
      <c r="I359" t="s">
        <v>176</v>
      </c>
      <c r="J359" t="s">
        <v>298</v>
      </c>
      <c r="K359">
        <v>9.5605585951548319E-3</v>
      </c>
      <c r="L359" t="s">
        <v>159</v>
      </c>
      <c r="N359" t="s">
        <v>219</v>
      </c>
      <c r="O359" t="s">
        <v>298</v>
      </c>
      <c r="P359">
        <v>6.013306337070512E-2</v>
      </c>
      <c r="Q359" t="s">
        <v>159</v>
      </c>
      <c r="S359" t="s">
        <v>261</v>
      </c>
      <c r="T359" t="s">
        <v>298</v>
      </c>
      <c r="U359">
        <v>9.3100960133145422E-2</v>
      </c>
      <c r="V359" t="s">
        <v>159</v>
      </c>
    </row>
    <row r="360" spans="9:22" x14ac:dyDescent="0.45">
      <c r="I360" t="s">
        <v>176</v>
      </c>
      <c r="J360" t="s">
        <v>299</v>
      </c>
      <c r="K360">
        <v>1.8562819876093321E-2</v>
      </c>
      <c r="L360" t="s">
        <v>159</v>
      </c>
      <c r="N360" t="s">
        <v>219</v>
      </c>
      <c r="O360" t="s">
        <v>299</v>
      </c>
      <c r="P360">
        <v>8.324075391647881E-3</v>
      </c>
      <c r="Q360" t="s">
        <v>159</v>
      </c>
      <c r="S360" t="s">
        <v>261</v>
      </c>
      <c r="T360" t="s">
        <v>299</v>
      </c>
      <c r="U360">
        <v>1.2716980886372886E-2</v>
      </c>
      <c r="V360" t="s">
        <v>159</v>
      </c>
    </row>
    <row r="361" spans="9:22" x14ac:dyDescent="0.45">
      <c r="I361" t="s">
        <v>176</v>
      </c>
      <c r="J361" t="s">
        <v>300</v>
      </c>
      <c r="K361">
        <v>0.24028229689320499</v>
      </c>
      <c r="L361" t="s">
        <v>159</v>
      </c>
      <c r="N361" t="s">
        <v>219</v>
      </c>
      <c r="O361" t="s">
        <v>300</v>
      </c>
      <c r="P361">
        <v>0.15677730617459421</v>
      </c>
      <c r="Q361" t="s">
        <v>159</v>
      </c>
      <c r="S361" t="s">
        <v>261</v>
      </c>
      <c r="T361" t="s">
        <v>300</v>
      </c>
      <c r="U361">
        <v>0.11370324612370672</v>
      </c>
      <c r="V361" t="s">
        <v>159</v>
      </c>
    </row>
    <row r="362" spans="9:22" x14ac:dyDescent="0.45">
      <c r="I362" t="s">
        <v>176</v>
      </c>
      <c r="J362" t="s">
        <v>301</v>
      </c>
      <c r="K362">
        <v>2.1563602755782403E-2</v>
      </c>
      <c r="L362" t="s">
        <v>159</v>
      </c>
      <c r="N362" t="s">
        <v>219</v>
      </c>
      <c r="O362" t="s">
        <v>301</v>
      </c>
      <c r="P362">
        <v>2.79186494754546E-2</v>
      </c>
      <c r="Q362" t="s">
        <v>159</v>
      </c>
      <c r="S362" t="s">
        <v>261</v>
      </c>
      <c r="T362" t="s">
        <v>301</v>
      </c>
      <c r="U362">
        <v>1.4719580405827118E-2</v>
      </c>
      <c r="V362" t="s">
        <v>159</v>
      </c>
    </row>
    <row r="363" spans="9:22" x14ac:dyDescent="0.45">
      <c r="I363" t="s">
        <v>176</v>
      </c>
      <c r="J363" t="s">
        <v>302</v>
      </c>
      <c r="K363">
        <v>1.3148007899466232E-2</v>
      </c>
      <c r="L363" t="s">
        <v>159</v>
      </c>
      <c r="N363" t="s">
        <v>219</v>
      </c>
      <c r="O363" t="s">
        <v>302</v>
      </c>
      <c r="P363">
        <v>2.79974131184948E-2</v>
      </c>
      <c r="Q363" t="s">
        <v>159</v>
      </c>
      <c r="S363" t="s">
        <v>261</v>
      </c>
      <c r="T363" t="s">
        <v>302</v>
      </c>
      <c r="U363">
        <v>1.5080381101105546E-2</v>
      </c>
      <c r="V363" t="s">
        <v>159</v>
      </c>
    </row>
    <row r="364" spans="9:22" x14ac:dyDescent="0.45">
      <c r="I364" t="s">
        <v>176</v>
      </c>
      <c r="J364" t="s">
        <v>312</v>
      </c>
      <c r="K364">
        <v>3.7760507966533784E-4</v>
      </c>
      <c r="L364" t="s">
        <v>159</v>
      </c>
      <c r="N364" t="s">
        <v>219</v>
      </c>
      <c r="O364" t="s">
        <v>312</v>
      </c>
      <c r="P364">
        <v>8.2741343328384676E-2</v>
      </c>
      <c r="Q364" t="s">
        <v>159</v>
      </c>
      <c r="S364" t="s">
        <v>261</v>
      </c>
      <c r="T364" t="s">
        <v>312</v>
      </c>
      <c r="U364">
        <v>7.4558490147105513E-2</v>
      </c>
      <c r="V364" t="s">
        <v>159</v>
      </c>
    </row>
    <row r="365" spans="9:22" x14ac:dyDescent="0.45">
      <c r="I365" t="s">
        <v>176</v>
      </c>
      <c r="J365" t="s">
        <v>313</v>
      </c>
      <c r="K365">
        <v>5.4105498640811128E-3</v>
      </c>
      <c r="L365" t="s">
        <v>159</v>
      </c>
      <c r="N365" t="s">
        <v>219</v>
      </c>
      <c r="O365" t="s">
        <v>313</v>
      </c>
      <c r="P365">
        <v>1.2357654391052885E-2</v>
      </c>
      <c r="Q365" t="s">
        <v>159</v>
      </c>
      <c r="S365" t="s">
        <v>261</v>
      </c>
      <c r="T365" t="s">
        <v>313</v>
      </c>
      <c r="U365">
        <v>1.4648735780218912E-2</v>
      </c>
      <c r="V365" t="s">
        <v>159</v>
      </c>
    </row>
    <row r="366" spans="9:22" x14ac:dyDescent="0.45">
      <c r="I366" t="s">
        <v>176</v>
      </c>
      <c r="J366" t="s">
        <v>314</v>
      </c>
      <c r="K366">
        <v>7.9114052935633557E-3</v>
      </c>
      <c r="L366" t="s">
        <v>159</v>
      </c>
      <c r="N366" t="s">
        <v>219</v>
      </c>
      <c r="O366" t="s">
        <v>314</v>
      </c>
      <c r="P366">
        <v>1.3091886546492057E-3</v>
      </c>
      <c r="Q366" t="s">
        <v>159</v>
      </c>
      <c r="S366" t="s">
        <v>261</v>
      </c>
      <c r="T366" t="s">
        <v>314</v>
      </c>
      <c r="U366">
        <v>2.1370275815687954E-3</v>
      </c>
      <c r="V366" t="s">
        <v>159</v>
      </c>
    </row>
    <row r="367" spans="9:22" x14ac:dyDescent="0.45">
      <c r="I367" t="s">
        <v>176</v>
      </c>
      <c r="J367" t="s">
        <v>315</v>
      </c>
      <c r="K367">
        <v>9.1409217578846902E-2</v>
      </c>
      <c r="L367" t="s">
        <v>159</v>
      </c>
      <c r="N367" t="s">
        <v>219</v>
      </c>
      <c r="O367" t="s">
        <v>315</v>
      </c>
      <c r="P367">
        <v>2.9518510585098051E-2</v>
      </c>
      <c r="Q367" t="s">
        <v>159</v>
      </c>
      <c r="S367" t="s">
        <v>261</v>
      </c>
      <c r="T367" t="s">
        <v>315</v>
      </c>
      <c r="U367">
        <v>2.0223787230382591E-2</v>
      </c>
      <c r="V367" t="s">
        <v>159</v>
      </c>
    </row>
    <row r="368" spans="9:22" x14ac:dyDescent="0.45">
      <c r="I368" t="s">
        <v>176</v>
      </c>
      <c r="J368" t="s">
        <v>316</v>
      </c>
      <c r="K368">
        <v>8.850430735696033E-3</v>
      </c>
      <c r="L368" t="s">
        <v>159</v>
      </c>
      <c r="N368" t="s">
        <v>219</v>
      </c>
      <c r="O368" t="s">
        <v>316</v>
      </c>
      <c r="P368">
        <v>5.924568692675998E-3</v>
      </c>
      <c r="Q368" t="s">
        <v>159</v>
      </c>
      <c r="S368" t="s">
        <v>261</v>
      </c>
      <c r="T368" t="s">
        <v>316</v>
      </c>
      <c r="U368">
        <v>2.6177289156101621E-3</v>
      </c>
      <c r="V368" t="s">
        <v>159</v>
      </c>
    </row>
    <row r="369" spans="9:22" x14ac:dyDescent="0.45">
      <c r="I369" t="s">
        <v>176</v>
      </c>
      <c r="J369" t="s">
        <v>317</v>
      </c>
      <c r="K369">
        <v>7.0246810163009186E-3</v>
      </c>
      <c r="L369" t="s">
        <v>159</v>
      </c>
      <c r="N369" t="s">
        <v>219</v>
      </c>
      <c r="O369" t="s">
        <v>317</v>
      </c>
      <c r="P369">
        <v>5.2941661260739823E-3</v>
      </c>
      <c r="Q369" t="s">
        <v>159</v>
      </c>
      <c r="S369" t="s">
        <v>261</v>
      </c>
      <c r="T369" t="s">
        <v>317</v>
      </c>
      <c r="U369">
        <v>2.76903047674391E-3</v>
      </c>
      <c r="V369" t="s">
        <v>159</v>
      </c>
    </row>
    <row r="370" spans="9:22" x14ac:dyDescent="0.45">
      <c r="I370" t="s">
        <v>176</v>
      </c>
      <c r="J370" t="s">
        <v>318</v>
      </c>
      <c r="K370">
        <v>4.1454760719046692E-3</v>
      </c>
      <c r="L370" t="s">
        <v>159</v>
      </c>
      <c r="N370" t="s">
        <v>219</v>
      </c>
      <c r="O370" t="s">
        <v>318</v>
      </c>
      <c r="P370">
        <v>1.6212189142113458E-2</v>
      </c>
      <c r="Q370" t="s">
        <v>159</v>
      </c>
      <c r="S370" t="s">
        <v>261</v>
      </c>
      <c r="T370" t="s">
        <v>318</v>
      </c>
      <c r="U370">
        <v>1.3448593950202731E-2</v>
      </c>
      <c r="V370" t="s">
        <v>159</v>
      </c>
    </row>
    <row r="371" spans="9:22" x14ac:dyDescent="0.45">
      <c r="I371" t="s">
        <v>177</v>
      </c>
      <c r="J371" t="s">
        <v>158</v>
      </c>
      <c r="K371">
        <v>8.8361490054528445E-3</v>
      </c>
      <c r="L371" t="s">
        <v>159</v>
      </c>
      <c r="N371" t="s">
        <v>220</v>
      </c>
      <c r="O371" t="s">
        <v>158</v>
      </c>
      <c r="P371">
        <v>0.10065905231090326</v>
      </c>
      <c r="Q371" t="s">
        <v>159</v>
      </c>
      <c r="S371" t="s">
        <v>262</v>
      </c>
      <c r="T371" t="s">
        <v>158</v>
      </c>
      <c r="U371">
        <v>0.12578009628135409</v>
      </c>
      <c r="V371" t="s">
        <v>159</v>
      </c>
    </row>
    <row r="372" spans="9:22" x14ac:dyDescent="0.45">
      <c r="I372" t="s">
        <v>177</v>
      </c>
      <c r="J372" t="s">
        <v>160</v>
      </c>
      <c r="K372">
        <v>2.6639582170277887E-2</v>
      </c>
      <c r="L372" t="s">
        <v>159</v>
      </c>
      <c r="N372" t="s">
        <v>220</v>
      </c>
      <c r="O372" t="s">
        <v>160</v>
      </c>
      <c r="P372">
        <v>1.382859916439887E-2</v>
      </c>
      <c r="Q372" t="s">
        <v>159</v>
      </c>
      <c r="S372" t="s">
        <v>262</v>
      </c>
      <c r="T372" t="s">
        <v>160</v>
      </c>
      <c r="U372">
        <v>1.7738962210179701E-2</v>
      </c>
      <c r="V372" t="s">
        <v>159</v>
      </c>
    </row>
    <row r="373" spans="9:22" x14ac:dyDescent="0.45">
      <c r="I373" t="s">
        <v>177</v>
      </c>
      <c r="J373" t="s">
        <v>161</v>
      </c>
      <c r="K373">
        <v>0.37554533548670488</v>
      </c>
      <c r="L373" t="s">
        <v>159</v>
      </c>
      <c r="N373" t="s">
        <v>220</v>
      </c>
      <c r="O373" t="s">
        <v>161</v>
      </c>
      <c r="P373">
        <v>0.11265877668503732</v>
      </c>
      <c r="Q373" t="s">
        <v>159</v>
      </c>
      <c r="S373" t="s">
        <v>262</v>
      </c>
      <c r="T373" t="s">
        <v>161</v>
      </c>
      <c r="U373">
        <v>0.16778768048226672</v>
      </c>
      <c r="V373" t="s">
        <v>159</v>
      </c>
    </row>
    <row r="374" spans="9:22" x14ac:dyDescent="0.45">
      <c r="I374" t="s">
        <v>177</v>
      </c>
      <c r="J374" t="s">
        <v>287</v>
      </c>
      <c r="K374">
        <v>3.4996452598374049E-2</v>
      </c>
      <c r="L374" t="s">
        <v>159</v>
      </c>
      <c r="N374" t="s">
        <v>220</v>
      </c>
      <c r="O374" t="s">
        <v>287</v>
      </c>
      <c r="P374">
        <v>1.8374326843646968E-2</v>
      </c>
      <c r="Q374" t="s">
        <v>159</v>
      </c>
      <c r="S374" t="s">
        <v>262</v>
      </c>
      <c r="T374" t="s">
        <v>287</v>
      </c>
      <c r="U374">
        <v>2.1127564416771286E-2</v>
      </c>
      <c r="V374" t="s">
        <v>159</v>
      </c>
    </row>
    <row r="375" spans="9:22" x14ac:dyDescent="0.45">
      <c r="I375" t="s">
        <v>177</v>
      </c>
      <c r="J375" t="s">
        <v>288</v>
      </c>
      <c r="K375">
        <v>1.9059672661555109E-2</v>
      </c>
      <c r="L375" t="s">
        <v>159</v>
      </c>
      <c r="N375" t="s">
        <v>220</v>
      </c>
      <c r="O375" t="s">
        <v>288</v>
      </c>
      <c r="P375">
        <v>2.1046864341194852E-2</v>
      </c>
      <c r="Q375" t="s">
        <v>159</v>
      </c>
      <c r="S375" t="s">
        <v>262</v>
      </c>
      <c r="T375" t="s">
        <v>288</v>
      </c>
      <c r="U375">
        <v>2.1319641756647557E-2</v>
      </c>
      <c r="V375" t="s">
        <v>159</v>
      </c>
    </row>
    <row r="376" spans="9:22" x14ac:dyDescent="0.45">
      <c r="I376" t="s">
        <v>177</v>
      </c>
      <c r="J376" t="s">
        <v>308</v>
      </c>
      <c r="K376">
        <v>6.5001562217875735E-3</v>
      </c>
      <c r="L376" t="s">
        <v>159</v>
      </c>
      <c r="N376" t="s">
        <v>220</v>
      </c>
      <c r="O376" t="s">
        <v>308</v>
      </c>
      <c r="P376">
        <v>9.2782412841846212E-2</v>
      </c>
      <c r="Q376" t="s">
        <v>159</v>
      </c>
      <c r="S376" t="s">
        <v>262</v>
      </c>
      <c r="T376" t="s">
        <v>308</v>
      </c>
      <c r="U376">
        <v>0.10165065065880304</v>
      </c>
      <c r="V376" t="s">
        <v>159</v>
      </c>
    </row>
    <row r="377" spans="9:22" x14ac:dyDescent="0.45">
      <c r="I377" t="s">
        <v>177</v>
      </c>
      <c r="J377" t="s">
        <v>162</v>
      </c>
      <c r="K377">
        <v>0</v>
      </c>
      <c r="L377" t="s">
        <v>159</v>
      </c>
      <c r="N377" t="s">
        <v>220</v>
      </c>
      <c r="O377" t="s">
        <v>162</v>
      </c>
      <c r="P377">
        <v>2.9031111633922326E-2</v>
      </c>
      <c r="Q377" t="s">
        <v>159</v>
      </c>
      <c r="S377" t="s">
        <v>262</v>
      </c>
      <c r="T377" t="s">
        <v>162</v>
      </c>
      <c r="U377">
        <v>1.9275618918691957E-2</v>
      </c>
      <c r="V377" t="s">
        <v>159</v>
      </c>
    </row>
    <row r="378" spans="9:22" x14ac:dyDescent="0.45">
      <c r="I378" t="s">
        <v>177</v>
      </c>
      <c r="J378" t="s">
        <v>163</v>
      </c>
      <c r="K378">
        <v>0</v>
      </c>
      <c r="L378" t="s">
        <v>159</v>
      </c>
      <c r="N378" t="s">
        <v>220</v>
      </c>
      <c r="O378" t="s">
        <v>163</v>
      </c>
      <c r="P378">
        <v>3.9075626377851518E-3</v>
      </c>
      <c r="Q378" t="s">
        <v>159</v>
      </c>
      <c r="S378" t="s">
        <v>262</v>
      </c>
      <c r="T378" t="s">
        <v>163</v>
      </c>
      <c r="U378">
        <v>2.6878352703530741E-3</v>
      </c>
      <c r="V378" t="s">
        <v>159</v>
      </c>
    </row>
    <row r="379" spans="9:22" x14ac:dyDescent="0.45">
      <c r="I379" t="s">
        <v>177</v>
      </c>
      <c r="J379" t="s">
        <v>164</v>
      </c>
      <c r="K379">
        <v>3.6495710360709491E-2</v>
      </c>
      <c r="L379" t="s">
        <v>159</v>
      </c>
      <c r="N379" t="s">
        <v>220</v>
      </c>
      <c r="O379" t="s">
        <v>164</v>
      </c>
      <c r="P379">
        <v>2.3868555716037562E-2</v>
      </c>
      <c r="Q379" t="s">
        <v>159</v>
      </c>
      <c r="S379" t="s">
        <v>262</v>
      </c>
      <c r="T379" t="s">
        <v>164</v>
      </c>
      <c r="U379">
        <v>2.5501252086541006E-2</v>
      </c>
      <c r="V379" t="s">
        <v>159</v>
      </c>
    </row>
    <row r="380" spans="9:22" x14ac:dyDescent="0.45">
      <c r="I380" t="s">
        <v>177</v>
      </c>
      <c r="J380" t="s">
        <v>289</v>
      </c>
      <c r="K380">
        <v>3.2075016368714924E-3</v>
      </c>
      <c r="L380" t="s">
        <v>159</v>
      </c>
      <c r="N380" t="s">
        <v>220</v>
      </c>
      <c r="O380" t="s">
        <v>289</v>
      </c>
      <c r="P380">
        <v>3.0359906321326636E-3</v>
      </c>
      <c r="Q380" t="s">
        <v>159</v>
      </c>
      <c r="S380" t="s">
        <v>262</v>
      </c>
      <c r="T380" t="s">
        <v>289</v>
      </c>
      <c r="U380">
        <v>3.1567902094068396E-3</v>
      </c>
      <c r="V380" t="s">
        <v>159</v>
      </c>
    </row>
    <row r="381" spans="9:22" x14ac:dyDescent="0.45">
      <c r="I381" t="s">
        <v>177</v>
      </c>
      <c r="J381" t="s">
        <v>290</v>
      </c>
      <c r="K381">
        <v>0</v>
      </c>
      <c r="L381" t="s">
        <v>159</v>
      </c>
      <c r="N381" t="s">
        <v>220</v>
      </c>
      <c r="O381" t="s">
        <v>290</v>
      </c>
      <c r="P381">
        <v>3.7816170510760502E-3</v>
      </c>
      <c r="Q381" t="s">
        <v>159</v>
      </c>
      <c r="S381" t="s">
        <v>262</v>
      </c>
      <c r="T381" t="s">
        <v>290</v>
      </c>
      <c r="U381">
        <v>3.2251562794581119E-3</v>
      </c>
      <c r="V381" t="s">
        <v>159</v>
      </c>
    </row>
    <row r="382" spans="9:22" x14ac:dyDescent="0.45">
      <c r="I382" t="s">
        <v>177</v>
      </c>
      <c r="J382" t="s">
        <v>309</v>
      </c>
      <c r="K382">
        <v>0</v>
      </c>
      <c r="L382" t="s">
        <v>159</v>
      </c>
      <c r="N382" t="s">
        <v>220</v>
      </c>
      <c r="O382" t="s">
        <v>309</v>
      </c>
      <c r="P382">
        <v>1.7480162989482628E-2</v>
      </c>
      <c r="Q382" t="s">
        <v>159</v>
      </c>
      <c r="S382" t="s">
        <v>262</v>
      </c>
      <c r="T382" t="s">
        <v>309</v>
      </c>
      <c r="U382">
        <v>1.5789117357360796E-2</v>
      </c>
      <c r="V382" t="s">
        <v>159</v>
      </c>
    </row>
    <row r="383" spans="9:22" x14ac:dyDescent="0.45">
      <c r="I383" t="s">
        <v>177</v>
      </c>
      <c r="J383" t="s">
        <v>165</v>
      </c>
      <c r="K383">
        <v>0</v>
      </c>
      <c r="L383" t="s">
        <v>159</v>
      </c>
      <c r="N383" t="s">
        <v>220</v>
      </c>
      <c r="O383" t="s">
        <v>165</v>
      </c>
      <c r="P383">
        <v>4.6823684157806744E-2</v>
      </c>
      <c r="Q383" t="s">
        <v>159</v>
      </c>
      <c r="S383" t="s">
        <v>262</v>
      </c>
      <c r="T383" t="s">
        <v>165</v>
      </c>
      <c r="U383">
        <v>2.3039015656255941E-2</v>
      </c>
      <c r="V383" t="s">
        <v>159</v>
      </c>
    </row>
    <row r="384" spans="9:22" x14ac:dyDescent="0.45">
      <c r="I384" t="s">
        <v>177</v>
      </c>
      <c r="J384" t="s">
        <v>166</v>
      </c>
      <c r="K384">
        <v>7.482877803137479E-4</v>
      </c>
      <c r="L384" t="s">
        <v>159</v>
      </c>
      <c r="N384" t="s">
        <v>220</v>
      </c>
      <c r="O384" t="s">
        <v>166</v>
      </c>
      <c r="P384">
        <v>6.8508211536480509E-3</v>
      </c>
      <c r="Q384" t="s">
        <v>159</v>
      </c>
      <c r="S384" t="s">
        <v>262</v>
      </c>
      <c r="T384" t="s">
        <v>166</v>
      </c>
      <c r="U384">
        <v>3.3062632356805877E-3</v>
      </c>
      <c r="V384" t="s">
        <v>159</v>
      </c>
    </row>
    <row r="385" spans="9:22" x14ac:dyDescent="0.45">
      <c r="I385" t="s">
        <v>177</v>
      </c>
      <c r="J385" t="s">
        <v>167</v>
      </c>
      <c r="K385">
        <v>4.3916012825219883E-2</v>
      </c>
      <c r="L385" t="s">
        <v>159</v>
      </c>
      <c r="N385" t="s">
        <v>220</v>
      </c>
      <c r="O385" t="s">
        <v>167</v>
      </c>
      <c r="P385">
        <v>4.6275287848380732E-2</v>
      </c>
      <c r="Q385" t="s">
        <v>159</v>
      </c>
      <c r="S385" t="s">
        <v>262</v>
      </c>
      <c r="T385" t="s">
        <v>167</v>
      </c>
      <c r="U385">
        <v>3.209989927494105E-2</v>
      </c>
      <c r="V385" t="s">
        <v>159</v>
      </c>
    </row>
    <row r="386" spans="9:22" x14ac:dyDescent="0.45">
      <c r="I386" t="s">
        <v>177</v>
      </c>
      <c r="J386" t="s">
        <v>291</v>
      </c>
      <c r="K386">
        <v>3.7060758229997149E-3</v>
      </c>
      <c r="L386" t="s">
        <v>159</v>
      </c>
      <c r="N386" t="s">
        <v>220</v>
      </c>
      <c r="O386" t="s">
        <v>291</v>
      </c>
      <c r="P386">
        <v>4.2570545069533627E-3</v>
      </c>
      <c r="Q386" t="s">
        <v>159</v>
      </c>
      <c r="S386" t="s">
        <v>262</v>
      </c>
      <c r="T386" t="s">
        <v>291</v>
      </c>
      <c r="U386">
        <v>3.9573251471391666E-3</v>
      </c>
      <c r="V386" t="s">
        <v>159</v>
      </c>
    </row>
    <row r="387" spans="9:22" x14ac:dyDescent="0.45">
      <c r="I387" t="s">
        <v>177</v>
      </c>
      <c r="J387" t="s">
        <v>292</v>
      </c>
      <c r="K387">
        <v>0</v>
      </c>
      <c r="L387" t="s">
        <v>159</v>
      </c>
      <c r="N387" t="s">
        <v>220</v>
      </c>
      <c r="O387" t="s">
        <v>292</v>
      </c>
      <c r="P387">
        <v>5.0964951425829675E-3</v>
      </c>
      <c r="Q387" t="s">
        <v>159</v>
      </c>
      <c r="S387" t="s">
        <v>262</v>
      </c>
      <c r="T387" t="s">
        <v>292</v>
      </c>
      <c r="U387">
        <v>4.0605255297787119E-3</v>
      </c>
      <c r="V387" t="s">
        <v>159</v>
      </c>
    </row>
    <row r="388" spans="9:22" x14ac:dyDescent="0.45">
      <c r="I388" t="s">
        <v>177</v>
      </c>
      <c r="J388" t="s">
        <v>310</v>
      </c>
      <c r="K388">
        <v>0</v>
      </c>
      <c r="L388" t="s">
        <v>159</v>
      </c>
      <c r="N388" t="s">
        <v>220</v>
      </c>
      <c r="O388" t="s">
        <v>310</v>
      </c>
      <c r="P388">
        <v>2.9684090381489652E-2</v>
      </c>
      <c r="Q388" t="s">
        <v>159</v>
      </c>
      <c r="S388" t="s">
        <v>262</v>
      </c>
      <c r="T388" t="s">
        <v>310</v>
      </c>
      <c r="U388">
        <v>2.0101475632721164E-2</v>
      </c>
      <c r="V388" t="s">
        <v>159</v>
      </c>
    </row>
    <row r="389" spans="9:22" x14ac:dyDescent="0.45">
      <c r="I389" t="s">
        <v>177</v>
      </c>
      <c r="J389" t="s">
        <v>293</v>
      </c>
      <c r="K389">
        <v>0</v>
      </c>
      <c r="L389" t="s">
        <v>159</v>
      </c>
      <c r="N389" t="s">
        <v>220</v>
      </c>
      <c r="O389" t="s">
        <v>293</v>
      </c>
      <c r="P389">
        <v>8.3127394229469548E-3</v>
      </c>
      <c r="Q389" t="s">
        <v>159</v>
      </c>
      <c r="S389" t="s">
        <v>262</v>
      </c>
      <c r="T389" t="s">
        <v>293</v>
      </c>
      <c r="U389">
        <v>8.3711582571377868E-3</v>
      </c>
      <c r="V389" t="s">
        <v>159</v>
      </c>
    </row>
    <row r="390" spans="9:22" x14ac:dyDescent="0.45">
      <c r="I390" t="s">
        <v>177</v>
      </c>
      <c r="J390" t="s">
        <v>294</v>
      </c>
      <c r="K390">
        <v>9.1447861376072414E-4</v>
      </c>
      <c r="L390" t="s">
        <v>159</v>
      </c>
      <c r="N390" t="s">
        <v>220</v>
      </c>
      <c r="O390" t="s">
        <v>294</v>
      </c>
      <c r="P390">
        <v>1.0169222465505152E-3</v>
      </c>
      <c r="Q390" t="s">
        <v>159</v>
      </c>
      <c r="S390" t="s">
        <v>262</v>
      </c>
      <c r="T390" t="s">
        <v>294</v>
      </c>
      <c r="U390">
        <v>1.2730049782991204E-3</v>
      </c>
      <c r="V390" t="s">
        <v>159</v>
      </c>
    </row>
    <row r="391" spans="9:22" x14ac:dyDescent="0.45">
      <c r="I391" t="s">
        <v>177</v>
      </c>
      <c r="J391" t="s">
        <v>295</v>
      </c>
      <c r="K391">
        <v>1.3148300805567354E-2</v>
      </c>
      <c r="L391" t="s">
        <v>159</v>
      </c>
      <c r="N391" t="s">
        <v>220</v>
      </c>
      <c r="O391" t="s">
        <v>295</v>
      </c>
      <c r="P391">
        <v>5.6753703891200399E-3</v>
      </c>
      <c r="Q391" t="s">
        <v>159</v>
      </c>
      <c r="S391" t="s">
        <v>262</v>
      </c>
      <c r="T391" t="s">
        <v>295</v>
      </c>
      <c r="U391">
        <v>1.0805754649536415E-2</v>
      </c>
      <c r="V391" t="s">
        <v>159</v>
      </c>
    </row>
    <row r="392" spans="9:22" x14ac:dyDescent="0.45">
      <c r="I392" t="s">
        <v>177</v>
      </c>
      <c r="J392" t="s">
        <v>296</v>
      </c>
      <c r="K392">
        <v>1.0949886928264992E-3</v>
      </c>
      <c r="L392" t="s">
        <v>159</v>
      </c>
      <c r="N392" t="s">
        <v>220</v>
      </c>
      <c r="O392" t="s">
        <v>296</v>
      </c>
      <c r="P392">
        <v>8.2489396362188394E-4</v>
      </c>
      <c r="Q392" t="s">
        <v>159</v>
      </c>
      <c r="S392" t="s">
        <v>262</v>
      </c>
      <c r="T392" t="s">
        <v>296</v>
      </c>
      <c r="U392">
        <v>1.1920537828476083E-3</v>
      </c>
      <c r="V392" t="s">
        <v>159</v>
      </c>
    </row>
    <row r="393" spans="9:22" x14ac:dyDescent="0.45">
      <c r="I393" t="s">
        <v>177</v>
      </c>
      <c r="J393" t="s">
        <v>297</v>
      </c>
      <c r="K393">
        <v>0</v>
      </c>
      <c r="L393" t="s">
        <v>159</v>
      </c>
      <c r="N393" t="s">
        <v>220</v>
      </c>
      <c r="O393" t="s">
        <v>297</v>
      </c>
      <c r="P393">
        <v>1.1327614401676575E-3</v>
      </c>
      <c r="Q393" t="s">
        <v>159</v>
      </c>
      <c r="S393" t="s">
        <v>262</v>
      </c>
      <c r="T393" t="s">
        <v>297</v>
      </c>
      <c r="U393">
        <v>1.1834596607567475E-3</v>
      </c>
      <c r="V393" t="s">
        <v>159</v>
      </c>
    </row>
    <row r="394" spans="9:22" x14ac:dyDescent="0.45">
      <c r="I394" t="s">
        <v>177</v>
      </c>
      <c r="J394" t="s">
        <v>311</v>
      </c>
      <c r="K394">
        <v>0</v>
      </c>
      <c r="L394" t="s">
        <v>159</v>
      </c>
      <c r="N394" t="s">
        <v>220</v>
      </c>
      <c r="O394" t="s">
        <v>311</v>
      </c>
      <c r="P394">
        <v>5.719767761682041E-3</v>
      </c>
      <c r="Q394" t="s">
        <v>159</v>
      </c>
      <c r="S394" t="s">
        <v>262</v>
      </c>
      <c r="T394" t="s">
        <v>311</v>
      </c>
      <c r="U394">
        <v>5.4141845061659883E-3</v>
      </c>
      <c r="V394" t="s">
        <v>159</v>
      </c>
    </row>
    <row r="395" spans="9:22" x14ac:dyDescent="0.45">
      <c r="I395" t="s">
        <v>177</v>
      </c>
      <c r="J395" t="s">
        <v>298</v>
      </c>
      <c r="K395">
        <v>1.0909131145786018E-2</v>
      </c>
      <c r="L395" t="s">
        <v>159</v>
      </c>
      <c r="N395" t="s">
        <v>220</v>
      </c>
      <c r="O395" t="s">
        <v>298</v>
      </c>
      <c r="P395">
        <v>8.4277441907254655E-2</v>
      </c>
      <c r="Q395" t="s">
        <v>159</v>
      </c>
      <c r="S395" t="s">
        <v>262</v>
      </c>
      <c r="T395" t="s">
        <v>298</v>
      </c>
      <c r="U395">
        <v>8.375277569426666E-2</v>
      </c>
      <c r="V395" t="s">
        <v>159</v>
      </c>
    </row>
    <row r="396" spans="9:22" x14ac:dyDescent="0.45">
      <c r="I396" t="s">
        <v>177</v>
      </c>
      <c r="J396" t="s">
        <v>299</v>
      </c>
      <c r="K396">
        <v>2.0151283834965103E-2</v>
      </c>
      <c r="L396" t="s">
        <v>159</v>
      </c>
      <c r="N396" t="s">
        <v>220</v>
      </c>
      <c r="O396" t="s">
        <v>299</v>
      </c>
      <c r="P396">
        <v>1.0829634071632692E-2</v>
      </c>
      <c r="Q396" t="s">
        <v>159</v>
      </c>
      <c r="S396" t="s">
        <v>262</v>
      </c>
      <c r="T396" t="s">
        <v>299</v>
      </c>
      <c r="U396">
        <v>1.1380132989201371E-2</v>
      </c>
      <c r="V396" t="s">
        <v>159</v>
      </c>
    </row>
    <row r="397" spans="9:22" x14ac:dyDescent="0.45">
      <c r="I397" t="s">
        <v>177</v>
      </c>
      <c r="J397" t="s">
        <v>300</v>
      </c>
      <c r="K397">
        <v>0.24135852799765797</v>
      </c>
      <c r="L397" t="s">
        <v>159</v>
      </c>
      <c r="N397" t="s">
        <v>220</v>
      </c>
      <c r="O397" t="s">
        <v>300</v>
      </c>
      <c r="P397">
        <v>0.12579009191876941</v>
      </c>
      <c r="Q397" t="s">
        <v>159</v>
      </c>
      <c r="S397" t="s">
        <v>262</v>
      </c>
      <c r="T397" t="s">
        <v>300</v>
      </c>
      <c r="U397">
        <v>0.10765203757399831</v>
      </c>
      <c r="V397" t="s">
        <v>159</v>
      </c>
    </row>
    <row r="398" spans="9:22" x14ac:dyDescent="0.45">
      <c r="I398" t="s">
        <v>177</v>
      </c>
      <c r="J398" t="s">
        <v>301</v>
      </c>
      <c r="K398">
        <v>2.093644105813287E-2</v>
      </c>
      <c r="L398" t="s">
        <v>159</v>
      </c>
      <c r="N398" t="s">
        <v>220</v>
      </c>
      <c r="O398" t="s">
        <v>301</v>
      </c>
      <c r="P398">
        <v>1.9373120607473725E-2</v>
      </c>
      <c r="Q398" t="s">
        <v>159</v>
      </c>
      <c r="S398" t="s">
        <v>262</v>
      </c>
      <c r="T398" t="s">
        <v>301</v>
      </c>
      <c r="U398">
        <v>1.3516308162877392E-2</v>
      </c>
      <c r="V398" t="s">
        <v>159</v>
      </c>
    </row>
    <row r="399" spans="9:22" x14ac:dyDescent="0.45">
      <c r="I399" t="s">
        <v>177</v>
      </c>
      <c r="J399" t="s">
        <v>302</v>
      </c>
      <c r="K399">
        <v>1.1716664838053278E-2</v>
      </c>
      <c r="L399" t="s">
        <v>159</v>
      </c>
      <c r="N399" t="s">
        <v>220</v>
      </c>
      <c r="O399" t="s">
        <v>302</v>
      </c>
      <c r="P399">
        <v>2.1739520781010394E-2</v>
      </c>
      <c r="Q399" t="s">
        <v>159</v>
      </c>
      <c r="S399" t="s">
        <v>262</v>
      </c>
      <c r="T399" t="s">
        <v>302</v>
      </c>
      <c r="U399">
        <v>1.3772339774723669E-2</v>
      </c>
      <c r="V399" t="s">
        <v>159</v>
      </c>
    </row>
    <row r="400" spans="9:22" x14ac:dyDescent="0.45">
      <c r="I400" t="s">
        <v>177</v>
      </c>
      <c r="J400" t="s">
        <v>312</v>
      </c>
      <c r="K400">
        <v>3.7389830284446059E-6</v>
      </c>
      <c r="L400" t="s">
        <v>159</v>
      </c>
      <c r="N400" t="s">
        <v>220</v>
      </c>
      <c r="O400" t="s">
        <v>312</v>
      </c>
      <c r="P400">
        <v>8.549561567587792E-2</v>
      </c>
      <c r="Q400" t="s">
        <v>159</v>
      </c>
      <c r="S400" t="s">
        <v>262</v>
      </c>
      <c r="T400" t="s">
        <v>312</v>
      </c>
      <c r="U400">
        <v>6.7268121264058303E-2</v>
      </c>
      <c r="V400" t="s">
        <v>159</v>
      </c>
    </row>
    <row r="401" spans="9:22" x14ac:dyDescent="0.45">
      <c r="I401" t="s">
        <v>177</v>
      </c>
      <c r="J401" t="s">
        <v>313</v>
      </c>
      <c r="K401">
        <v>5.7903560268669427E-3</v>
      </c>
      <c r="L401" t="s">
        <v>159</v>
      </c>
      <c r="N401" t="s">
        <v>220</v>
      </c>
      <c r="O401" t="s">
        <v>313</v>
      </c>
      <c r="P401">
        <v>8.9403545797493052E-3</v>
      </c>
      <c r="Q401" t="s">
        <v>159</v>
      </c>
      <c r="S401" t="s">
        <v>262</v>
      </c>
      <c r="T401" t="s">
        <v>313</v>
      </c>
      <c r="U401">
        <v>1.7429721036419002E-2</v>
      </c>
      <c r="V401" t="s">
        <v>159</v>
      </c>
    </row>
    <row r="402" spans="9:22" x14ac:dyDescent="0.45">
      <c r="I402" t="s">
        <v>177</v>
      </c>
      <c r="J402" t="s">
        <v>314</v>
      </c>
      <c r="K402">
        <v>8.1778600541081957E-3</v>
      </c>
      <c r="L402" t="s">
        <v>159</v>
      </c>
      <c r="N402" t="s">
        <v>220</v>
      </c>
      <c r="O402" t="s">
        <v>314</v>
      </c>
      <c r="P402">
        <v>9.9785521538555745E-4</v>
      </c>
      <c r="Q402" t="s">
        <v>159</v>
      </c>
      <c r="S402" t="s">
        <v>262</v>
      </c>
      <c r="T402" t="s">
        <v>314</v>
      </c>
      <c r="U402">
        <v>2.6165377359557256E-3</v>
      </c>
      <c r="V402" t="s">
        <v>159</v>
      </c>
    </row>
    <row r="403" spans="9:22" x14ac:dyDescent="0.45">
      <c r="I403" t="s">
        <v>177</v>
      </c>
      <c r="J403" t="s">
        <v>315</v>
      </c>
      <c r="K403">
        <v>8.8165197235406764E-2</v>
      </c>
      <c r="L403" t="s">
        <v>159</v>
      </c>
      <c r="N403" t="s">
        <v>220</v>
      </c>
      <c r="O403" t="s">
        <v>315</v>
      </c>
      <c r="P403">
        <v>1.8794593784789263E-2</v>
      </c>
      <c r="Q403" t="s">
        <v>159</v>
      </c>
      <c r="S403" t="s">
        <v>262</v>
      </c>
      <c r="T403" t="s">
        <v>315</v>
      </c>
      <c r="U403">
        <v>2.4391077305334383E-2</v>
      </c>
      <c r="V403" t="s">
        <v>159</v>
      </c>
    </row>
    <row r="404" spans="9:22" x14ac:dyDescent="0.45">
      <c r="I404" t="s">
        <v>177</v>
      </c>
      <c r="J404" t="s">
        <v>316</v>
      </c>
      <c r="K404">
        <v>8.1590411695976056E-3</v>
      </c>
      <c r="L404" t="s">
        <v>159</v>
      </c>
      <c r="N404" t="s">
        <v>220</v>
      </c>
      <c r="O404" t="s">
        <v>316</v>
      </c>
      <c r="P404">
        <v>3.6602113334284403E-3</v>
      </c>
      <c r="Q404" t="s">
        <v>159</v>
      </c>
      <c r="S404" t="s">
        <v>262</v>
      </c>
      <c r="T404" t="s">
        <v>316</v>
      </c>
      <c r="U404">
        <v>2.886533279766409E-3</v>
      </c>
      <c r="V404" t="s">
        <v>159</v>
      </c>
    </row>
    <row r="405" spans="9:22" x14ac:dyDescent="0.45">
      <c r="I405" t="s">
        <v>177</v>
      </c>
      <c r="J405" t="s">
        <v>317</v>
      </c>
      <c r="K405">
        <v>6.3194391247672612E-3</v>
      </c>
      <c r="L405" t="s">
        <v>159</v>
      </c>
      <c r="N405" t="s">
        <v>220</v>
      </c>
      <c r="O405" t="s">
        <v>317</v>
      </c>
      <c r="P405">
        <v>3.9386299900861978E-3</v>
      </c>
      <c r="Q405" t="s">
        <v>159</v>
      </c>
      <c r="S405" t="s">
        <v>262</v>
      </c>
      <c r="T405" t="s">
        <v>317</v>
      </c>
      <c r="U405">
        <v>2.8281853333321475E-3</v>
      </c>
      <c r="V405" t="s">
        <v>159</v>
      </c>
    </row>
    <row r="406" spans="9:22" x14ac:dyDescent="0.45">
      <c r="I406" t="s">
        <v>177</v>
      </c>
      <c r="J406" t="s">
        <v>318</v>
      </c>
      <c r="K406">
        <v>3.5036138492101272E-3</v>
      </c>
      <c r="L406" t="s">
        <v>159</v>
      </c>
      <c r="N406" t="s">
        <v>220</v>
      </c>
      <c r="O406" t="s">
        <v>318</v>
      </c>
      <c r="P406">
        <v>1.4038008872127954E-2</v>
      </c>
      <c r="Q406" t="s">
        <v>159</v>
      </c>
      <c r="S406" t="s">
        <v>262</v>
      </c>
      <c r="T406" t="s">
        <v>318</v>
      </c>
      <c r="U406">
        <v>1.2661743610975716E-2</v>
      </c>
      <c r="V406" t="s">
        <v>159</v>
      </c>
    </row>
    <row r="407" spans="9:22" x14ac:dyDescent="0.45">
      <c r="I407" t="s">
        <v>178</v>
      </c>
      <c r="J407" t="s">
        <v>158</v>
      </c>
      <c r="K407">
        <v>5.8091517262474938E-3</v>
      </c>
      <c r="L407" t="s">
        <v>159</v>
      </c>
      <c r="N407" t="s">
        <v>221</v>
      </c>
      <c r="O407" t="s">
        <v>158</v>
      </c>
      <c r="P407">
        <v>0.11682546236853182</v>
      </c>
      <c r="Q407" t="s">
        <v>159</v>
      </c>
      <c r="S407" t="s">
        <v>263</v>
      </c>
      <c r="T407" t="s">
        <v>158</v>
      </c>
      <c r="U407">
        <v>0.13047048152005428</v>
      </c>
      <c r="V407" t="s">
        <v>159</v>
      </c>
    </row>
    <row r="408" spans="9:22" x14ac:dyDescent="0.45">
      <c r="I408" t="s">
        <v>178</v>
      </c>
      <c r="J408" t="s">
        <v>160</v>
      </c>
      <c r="K408">
        <v>2.1918251737373592E-2</v>
      </c>
      <c r="L408" t="s">
        <v>159</v>
      </c>
      <c r="N408" t="s">
        <v>221</v>
      </c>
      <c r="O408" t="s">
        <v>160</v>
      </c>
      <c r="P408">
        <v>1.6959551158394197E-2</v>
      </c>
      <c r="Q408" t="s">
        <v>159</v>
      </c>
      <c r="S408" t="s">
        <v>263</v>
      </c>
      <c r="T408" t="s">
        <v>160</v>
      </c>
      <c r="U408">
        <v>1.8110638399478671E-2</v>
      </c>
      <c r="V408" t="s">
        <v>159</v>
      </c>
    </row>
    <row r="409" spans="9:22" x14ac:dyDescent="0.45">
      <c r="I409" t="s">
        <v>178</v>
      </c>
      <c r="J409" t="s">
        <v>161</v>
      </c>
      <c r="K409">
        <v>0.37464705967213052</v>
      </c>
      <c r="L409" t="s">
        <v>159</v>
      </c>
      <c r="N409" t="s">
        <v>221</v>
      </c>
      <c r="O409" t="s">
        <v>161</v>
      </c>
      <c r="P409">
        <v>0.17379487190674986</v>
      </c>
      <c r="Q409" t="s">
        <v>159</v>
      </c>
      <c r="S409" t="s">
        <v>263</v>
      </c>
      <c r="T409" t="s">
        <v>161</v>
      </c>
      <c r="U409">
        <v>0.1673836793014816</v>
      </c>
      <c r="V409" t="s">
        <v>159</v>
      </c>
    </row>
    <row r="410" spans="9:22" x14ac:dyDescent="0.45">
      <c r="I410" t="s">
        <v>178</v>
      </c>
      <c r="J410" t="s">
        <v>287</v>
      </c>
      <c r="K410">
        <v>3.5959824521489894E-2</v>
      </c>
      <c r="L410" t="s">
        <v>159</v>
      </c>
      <c r="N410" t="s">
        <v>221</v>
      </c>
      <c r="O410" t="s">
        <v>287</v>
      </c>
      <c r="P410">
        <v>2.3182137153090029E-2</v>
      </c>
      <c r="Q410" t="s">
        <v>159</v>
      </c>
      <c r="S410" t="s">
        <v>263</v>
      </c>
      <c r="T410" t="s">
        <v>287</v>
      </c>
      <c r="U410">
        <v>2.0613298714764829E-2</v>
      </c>
      <c r="V410" t="s">
        <v>159</v>
      </c>
    </row>
    <row r="411" spans="9:22" x14ac:dyDescent="0.45">
      <c r="I411" t="s">
        <v>178</v>
      </c>
      <c r="J411" t="s">
        <v>288</v>
      </c>
      <c r="K411">
        <v>2.0383573884818963E-2</v>
      </c>
      <c r="L411" t="s">
        <v>159</v>
      </c>
      <c r="N411" t="s">
        <v>221</v>
      </c>
      <c r="O411" t="s">
        <v>288</v>
      </c>
      <c r="P411">
        <v>2.2320958198662592E-2</v>
      </c>
      <c r="Q411" t="s">
        <v>159</v>
      </c>
      <c r="S411" t="s">
        <v>263</v>
      </c>
      <c r="T411" t="s">
        <v>288</v>
      </c>
      <c r="U411">
        <v>2.0952120675755626E-2</v>
      </c>
      <c r="V411" t="s">
        <v>159</v>
      </c>
    </row>
    <row r="412" spans="9:22" x14ac:dyDescent="0.45">
      <c r="I412" t="s">
        <v>178</v>
      </c>
      <c r="J412" t="s">
        <v>308</v>
      </c>
      <c r="K412">
        <v>7.2681785271967985E-3</v>
      </c>
      <c r="L412" t="s">
        <v>159</v>
      </c>
      <c r="N412" t="s">
        <v>221</v>
      </c>
      <c r="O412" t="s">
        <v>308</v>
      </c>
      <c r="P412">
        <v>9.0795062788650308E-2</v>
      </c>
      <c r="Q412" t="s">
        <v>159</v>
      </c>
      <c r="S412" t="s">
        <v>263</v>
      </c>
      <c r="T412" t="s">
        <v>308</v>
      </c>
      <c r="U412">
        <v>0.10248199628405893</v>
      </c>
      <c r="V412" t="s">
        <v>159</v>
      </c>
    </row>
    <row r="413" spans="9:22" x14ac:dyDescent="0.45">
      <c r="I413" t="s">
        <v>178</v>
      </c>
      <c r="J413" t="s">
        <v>162</v>
      </c>
      <c r="K413">
        <v>0</v>
      </c>
      <c r="L413" t="s">
        <v>159</v>
      </c>
      <c r="N413" t="s">
        <v>221</v>
      </c>
      <c r="O413" t="s">
        <v>162</v>
      </c>
      <c r="P413">
        <v>2.6415134001377846E-2</v>
      </c>
      <c r="Q413" t="s">
        <v>159</v>
      </c>
      <c r="S413" t="s">
        <v>263</v>
      </c>
      <c r="T413" t="s">
        <v>162</v>
      </c>
      <c r="U413">
        <v>1.9398500760853532E-2</v>
      </c>
      <c r="V413" t="s">
        <v>159</v>
      </c>
    </row>
    <row r="414" spans="9:22" x14ac:dyDescent="0.45">
      <c r="I414" t="s">
        <v>178</v>
      </c>
      <c r="J414" t="s">
        <v>163</v>
      </c>
      <c r="K414">
        <v>0</v>
      </c>
      <c r="L414" t="s">
        <v>159</v>
      </c>
      <c r="N414" t="s">
        <v>221</v>
      </c>
      <c r="O414" t="s">
        <v>163</v>
      </c>
      <c r="P414">
        <v>3.7951075196437319E-3</v>
      </c>
      <c r="Q414" t="s">
        <v>159</v>
      </c>
      <c r="S414" t="s">
        <v>263</v>
      </c>
      <c r="T414" t="s">
        <v>163</v>
      </c>
      <c r="U414">
        <v>2.593249417464894E-3</v>
      </c>
      <c r="V414" t="s">
        <v>159</v>
      </c>
    </row>
    <row r="415" spans="9:22" x14ac:dyDescent="0.45">
      <c r="I415" t="s">
        <v>178</v>
      </c>
      <c r="J415" t="s">
        <v>164</v>
      </c>
      <c r="K415">
        <v>3.9298705782831844E-2</v>
      </c>
      <c r="L415" t="s">
        <v>159</v>
      </c>
      <c r="N415" t="s">
        <v>221</v>
      </c>
      <c r="O415" t="s">
        <v>164</v>
      </c>
      <c r="P415">
        <v>3.0859052403761203E-2</v>
      </c>
      <c r="Q415" t="s">
        <v>159</v>
      </c>
      <c r="S415" t="s">
        <v>263</v>
      </c>
      <c r="T415" t="s">
        <v>164</v>
      </c>
      <c r="U415">
        <v>2.5721929706434651E-2</v>
      </c>
      <c r="V415" t="s">
        <v>159</v>
      </c>
    </row>
    <row r="416" spans="9:22" x14ac:dyDescent="0.45">
      <c r="I416" t="s">
        <v>178</v>
      </c>
      <c r="J416" t="s">
        <v>289</v>
      </c>
      <c r="K416">
        <v>3.2198407525096942E-3</v>
      </c>
      <c r="L416" t="s">
        <v>159</v>
      </c>
      <c r="N416" t="s">
        <v>221</v>
      </c>
      <c r="O416" t="s">
        <v>289</v>
      </c>
      <c r="P416">
        <v>3.469681732125592E-3</v>
      </c>
      <c r="Q416" t="s">
        <v>159</v>
      </c>
      <c r="S416" t="s">
        <v>263</v>
      </c>
      <c r="T416" t="s">
        <v>289</v>
      </c>
      <c r="U416">
        <v>3.4249895242549782E-3</v>
      </c>
      <c r="V416" t="s">
        <v>159</v>
      </c>
    </row>
    <row r="417" spans="9:22" x14ac:dyDescent="0.45">
      <c r="I417" t="s">
        <v>178</v>
      </c>
      <c r="J417" t="s">
        <v>290</v>
      </c>
      <c r="K417">
        <v>0</v>
      </c>
      <c r="L417" t="s">
        <v>159</v>
      </c>
      <c r="N417" t="s">
        <v>221</v>
      </c>
      <c r="O417" t="s">
        <v>290</v>
      </c>
      <c r="P417">
        <v>3.4342341496281896E-3</v>
      </c>
      <c r="Q417" t="s">
        <v>159</v>
      </c>
      <c r="S417" t="s">
        <v>263</v>
      </c>
      <c r="T417" t="s">
        <v>290</v>
      </c>
      <c r="U417">
        <v>3.4433386862630921E-3</v>
      </c>
      <c r="V417" t="s">
        <v>159</v>
      </c>
    </row>
    <row r="418" spans="9:22" x14ac:dyDescent="0.45">
      <c r="I418" t="s">
        <v>178</v>
      </c>
      <c r="J418" t="s">
        <v>309</v>
      </c>
      <c r="K418">
        <v>0</v>
      </c>
      <c r="L418" t="s">
        <v>159</v>
      </c>
      <c r="N418" t="s">
        <v>221</v>
      </c>
      <c r="O418" t="s">
        <v>309</v>
      </c>
      <c r="P418">
        <v>1.6290334480448601E-2</v>
      </c>
      <c r="Q418" t="s">
        <v>159</v>
      </c>
      <c r="S418" t="s">
        <v>263</v>
      </c>
      <c r="T418" t="s">
        <v>309</v>
      </c>
      <c r="U418">
        <v>1.596165354474393E-2</v>
      </c>
      <c r="V418" t="s">
        <v>159</v>
      </c>
    </row>
    <row r="419" spans="9:22" x14ac:dyDescent="0.45">
      <c r="I419" t="s">
        <v>178</v>
      </c>
      <c r="J419" t="s">
        <v>165</v>
      </c>
      <c r="K419">
        <v>0</v>
      </c>
      <c r="L419" t="s">
        <v>159</v>
      </c>
      <c r="N419" t="s">
        <v>221</v>
      </c>
      <c r="O419" t="s">
        <v>165</v>
      </c>
      <c r="P419">
        <v>3.0399008711412434E-2</v>
      </c>
      <c r="Q419" t="s">
        <v>159</v>
      </c>
      <c r="S419" t="s">
        <v>263</v>
      </c>
      <c r="T419" t="s">
        <v>165</v>
      </c>
      <c r="U419">
        <v>2.3411739337222192E-2</v>
      </c>
      <c r="V419" t="s">
        <v>159</v>
      </c>
    </row>
    <row r="420" spans="9:22" x14ac:dyDescent="0.45">
      <c r="I420" t="s">
        <v>178</v>
      </c>
      <c r="J420" t="s">
        <v>166</v>
      </c>
      <c r="K420">
        <v>5.3550105386853059E-4</v>
      </c>
      <c r="L420" t="s">
        <v>159</v>
      </c>
      <c r="N420" t="s">
        <v>221</v>
      </c>
      <c r="O420" t="s">
        <v>166</v>
      </c>
      <c r="P420">
        <v>4.615366728348674E-3</v>
      </c>
      <c r="Q420" t="s">
        <v>159</v>
      </c>
      <c r="S420" t="s">
        <v>263</v>
      </c>
      <c r="T420" t="s">
        <v>166</v>
      </c>
      <c r="U420">
        <v>3.4211482716047141E-3</v>
      </c>
      <c r="V420" t="s">
        <v>159</v>
      </c>
    </row>
    <row r="421" spans="9:22" x14ac:dyDescent="0.45">
      <c r="I421" t="s">
        <v>178</v>
      </c>
      <c r="J421" t="s">
        <v>167</v>
      </c>
      <c r="K421">
        <v>4.5540044410237283E-2</v>
      </c>
      <c r="L421" t="s">
        <v>159</v>
      </c>
      <c r="N421" t="s">
        <v>221</v>
      </c>
      <c r="O421" t="s">
        <v>167</v>
      </c>
      <c r="P421">
        <v>3.7988841875196452E-2</v>
      </c>
      <c r="Q421" t="s">
        <v>159</v>
      </c>
      <c r="S421" t="s">
        <v>263</v>
      </c>
      <c r="T421" t="s">
        <v>167</v>
      </c>
      <c r="U421">
        <v>3.1323542580932222E-2</v>
      </c>
      <c r="V421" t="s">
        <v>159</v>
      </c>
    </row>
    <row r="422" spans="9:22" x14ac:dyDescent="0.45">
      <c r="I422" t="s">
        <v>178</v>
      </c>
      <c r="J422" t="s">
        <v>291</v>
      </c>
      <c r="K422">
        <v>3.9886473326531278E-3</v>
      </c>
      <c r="L422" t="s">
        <v>159</v>
      </c>
      <c r="N422" t="s">
        <v>221</v>
      </c>
      <c r="O422" t="s">
        <v>291</v>
      </c>
      <c r="P422">
        <v>4.1933299647160969E-3</v>
      </c>
      <c r="Q422" t="s">
        <v>159</v>
      </c>
      <c r="S422" t="s">
        <v>263</v>
      </c>
      <c r="T422" t="s">
        <v>291</v>
      </c>
      <c r="U422">
        <v>4.1794335538431005E-3</v>
      </c>
      <c r="V422" t="s">
        <v>159</v>
      </c>
    </row>
    <row r="423" spans="9:22" x14ac:dyDescent="0.45">
      <c r="I423" t="s">
        <v>178</v>
      </c>
      <c r="J423" t="s">
        <v>292</v>
      </c>
      <c r="K423">
        <v>0</v>
      </c>
      <c r="L423" t="s">
        <v>159</v>
      </c>
      <c r="N423" t="s">
        <v>221</v>
      </c>
      <c r="O423" t="s">
        <v>292</v>
      </c>
      <c r="P423">
        <v>4.1830485515035546E-3</v>
      </c>
      <c r="Q423" t="s">
        <v>159</v>
      </c>
      <c r="S423" t="s">
        <v>263</v>
      </c>
      <c r="T423" t="s">
        <v>292</v>
      </c>
      <c r="U423">
        <v>4.2308020370429656E-3</v>
      </c>
      <c r="V423" t="s">
        <v>159</v>
      </c>
    </row>
    <row r="424" spans="9:22" x14ac:dyDescent="0.45">
      <c r="I424" t="s">
        <v>178</v>
      </c>
      <c r="J424" t="s">
        <v>310</v>
      </c>
      <c r="K424">
        <v>0</v>
      </c>
      <c r="L424" t="s">
        <v>159</v>
      </c>
      <c r="N424" t="s">
        <v>221</v>
      </c>
      <c r="O424" t="s">
        <v>310</v>
      </c>
      <c r="P424">
        <v>2.0424096149319084E-2</v>
      </c>
      <c r="Q424" t="s">
        <v>159</v>
      </c>
      <c r="S424" t="s">
        <v>263</v>
      </c>
      <c r="T424" t="s">
        <v>310</v>
      </c>
      <c r="U424">
        <v>2.042886931203541E-2</v>
      </c>
      <c r="V424" t="s">
        <v>159</v>
      </c>
    </row>
    <row r="425" spans="9:22" x14ac:dyDescent="0.45">
      <c r="I425" t="s">
        <v>178</v>
      </c>
      <c r="J425" t="s">
        <v>293</v>
      </c>
      <c r="K425">
        <v>0</v>
      </c>
      <c r="L425" t="s">
        <v>159</v>
      </c>
      <c r="N425" t="s">
        <v>221</v>
      </c>
      <c r="O425" t="s">
        <v>293</v>
      </c>
      <c r="P425">
        <v>5.0183149334243338E-3</v>
      </c>
      <c r="Q425" t="s">
        <v>159</v>
      </c>
      <c r="S425" t="s">
        <v>263</v>
      </c>
      <c r="T425" t="s">
        <v>293</v>
      </c>
      <c r="U425">
        <v>8.6490434449391466E-3</v>
      </c>
      <c r="V425" t="s">
        <v>159</v>
      </c>
    </row>
    <row r="426" spans="9:22" x14ac:dyDescent="0.45">
      <c r="I426" t="s">
        <v>178</v>
      </c>
      <c r="J426" t="s">
        <v>294</v>
      </c>
      <c r="K426">
        <v>8.7062278649197272E-4</v>
      </c>
      <c r="L426" t="s">
        <v>159</v>
      </c>
      <c r="N426" t="s">
        <v>221</v>
      </c>
      <c r="O426" t="s">
        <v>294</v>
      </c>
      <c r="P426">
        <v>8.3884104296108055E-4</v>
      </c>
      <c r="Q426" t="s">
        <v>159</v>
      </c>
      <c r="S426" t="s">
        <v>263</v>
      </c>
      <c r="T426" t="s">
        <v>294</v>
      </c>
      <c r="U426">
        <v>1.115005649563329E-3</v>
      </c>
      <c r="V426" t="s">
        <v>159</v>
      </c>
    </row>
    <row r="427" spans="9:22" x14ac:dyDescent="0.45">
      <c r="I427" t="s">
        <v>178</v>
      </c>
      <c r="J427" t="s">
        <v>295</v>
      </c>
      <c r="K427">
        <v>1.3530047242965084E-2</v>
      </c>
      <c r="L427" t="s">
        <v>159</v>
      </c>
      <c r="N427" t="s">
        <v>221</v>
      </c>
      <c r="O427" t="s">
        <v>295</v>
      </c>
      <c r="P427">
        <v>7.7412216211728913E-3</v>
      </c>
      <c r="Q427" t="s">
        <v>159</v>
      </c>
      <c r="S427" t="s">
        <v>263</v>
      </c>
      <c r="T427" t="s">
        <v>295</v>
      </c>
      <c r="U427">
        <v>9.1595858621517125E-3</v>
      </c>
      <c r="V427" t="s">
        <v>159</v>
      </c>
    </row>
    <row r="428" spans="9:22" x14ac:dyDescent="0.45">
      <c r="I428" t="s">
        <v>178</v>
      </c>
      <c r="J428" t="s">
        <v>296</v>
      </c>
      <c r="K428">
        <v>1.1303998423747681E-3</v>
      </c>
      <c r="L428" t="s">
        <v>159</v>
      </c>
      <c r="N428" t="s">
        <v>221</v>
      </c>
      <c r="O428" t="s">
        <v>296</v>
      </c>
      <c r="P428">
        <v>7.2806607757821759E-4</v>
      </c>
      <c r="Q428" t="s">
        <v>159</v>
      </c>
      <c r="S428" t="s">
        <v>263</v>
      </c>
      <c r="T428" t="s">
        <v>296</v>
      </c>
      <c r="U428">
        <v>1.2200883176315279E-3</v>
      </c>
      <c r="V428" t="s">
        <v>159</v>
      </c>
    </row>
    <row r="429" spans="9:22" x14ac:dyDescent="0.45">
      <c r="I429" t="s">
        <v>178</v>
      </c>
      <c r="J429" t="s">
        <v>297</v>
      </c>
      <c r="K429">
        <v>0</v>
      </c>
      <c r="L429" t="s">
        <v>159</v>
      </c>
      <c r="N429" t="s">
        <v>221</v>
      </c>
      <c r="O429" t="s">
        <v>297</v>
      </c>
      <c r="P429">
        <v>7.1907636753036478E-4</v>
      </c>
      <c r="Q429" t="s">
        <v>159</v>
      </c>
      <c r="S429" t="s">
        <v>263</v>
      </c>
      <c r="T429" t="s">
        <v>297</v>
      </c>
      <c r="U429">
        <v>1.2401484778850448E-3</v>
      </c>
      <c r="V429" t="s">
        <v>159</v>
      </c>
    </row>
    <row r="430" spans="9:22" x14ac:dyDescent="0.45">
      <c r="I430" t="s">
        <v>178</v>
      </c>
      <c r="J430" t="s">
        <v>311</v>
      </c>
      <c r="K430">
        <v>0</v>
      </c>
      <c r="L430" t="s">
        <v>159</v>
      </c>
      <c r="N430" t="s">
        <v>221</v>
      </c>
      <c r="O430" t="s">
        <v>311</v>
      </c>
      <c r="P430">
        <v>2.5737741459898279E-3</v>
      </c>
      <c r="Q430" t="s">
        <v>159</v>
      </c>
      <c r="S430" t="s">
        <v>263</v>
      </c>
      <c r="T430" t="s">
        <v>311</v>
      </c>
      <c r="U430">
        <v>6.3922402980102939E-3</v>
      </c>
      <c r="V430" t="s">
        <v>159</v>
      </c>
    </row>
    <row r="431" spans="9:22" x14ac:dyDescent="0.45">
      <c r="I431" t="s">
        <v>178</v>
      </c>
      <c r="J431" t="s">
        <v>298</v>
      </c>
      <c r="K431">
        <v>8.5658844633933699E-3</v>
      </c>
      <c r="L431" t="s">
        <v>159</v>
      </c>
      <c r="N431" t="s">
        <v>221</v>
      </c>
      <c r="O431" t="s">
        <v>298</v>
      </c>
      <c r="P431">
        <v>7.4347844275331323E-2</v>
      </c>
      <c r="Q431" t="s">
        <v>159</v>
      </c>
      <c r="S431" t="s">
        <v>263</v>
      </c>
      <c r="T431" t="s">
        <v>298</v>
      </c>
      <c r="U431">
        <v>7.8978685065209053E-2</v>
      </c>
      <c r="V431" t="s">
        <v>159</v>
      </c>
    </row>
    <row r="432" spans="9:22" x14ac:dyDescent="0.45">
      <c r="I432" t="s">
        <v>178</v>
      </c>
      <c r="J432" t="s">
        <v>299</v>
      </c>
      <c r="K432">
        <v>1.8056911220648075E-2</v>
      </c>
      <c r="L432" t="s">
        <v>159</v>
      </c>
      <c r="N432" t="s">
        <v>221</v>
      </c>
      <c r="O432" t="s">
        <v>299</v>
      </c>
      <c r="P432">
        <v>1.0496893730093961E-2</v>
      </c>
      <c r="Q432" t="s">
        <v>159</v>
      </c>
      <c r="S432" t="s">
        <v>263</v>
      </c>
      <c r="T432" t="s">
        <v>299</v>
      </c>
      <c r="U432">
        <v>1.0665771457235962E-2</v>
      </c>
      <c r="V432" t="s">
        <v>159</v>
      </c>
    </row>
    <row r="433" spans="9:22" x14ac:dyDescent="0.45">
      <c r="I433" t="s">
        <v>178</v>
      </c>
      <c r="J433" t="s">
        <v>300</v>
      </c>
      <c r="K433">
        <v>0.24391572762547548</v>
      </c>
      <c r="L433" t="s">
        <v>159</v>
      </c>
      <c r="N433" t="s">
        <v>221</v>
      </c>
      <c r="O433" t="s">
        <v>300</v>
      </c>
      <c r="P433">
        <v>0.1158301396019086</v>
      </c>
      <c r="Q433" t="s">
        <v>159</v>
      </c>
      <c r="S433" t="s">
        <v>263</v>
      </c>
      <c r="T433" t="s">
        <v>300</v>
      </c>
      <c r="U433">
        <v>0.10307908301581757</v>
      </c>
      <c r="V433" t="s">
        <v>159</v>
      </c>
    </row>
    <row r="434" spans="9:22" x14ac:dyDescent="0.45">
      <c r="I434" t="s">
        <v>178</v>
      </c>
      <c r="J434" t="s">
        <v>301</v>
      </c>
      <c r="K434">
        <v>2.2369282467686082E-2</v>
      </c>
      <c r="L434" t="s">
        <v>159</v>
      </c>
      <c r="N434" t="s">
        <v>221</v>
      </c>
      <c r="O434" t="s">
        <v>301</v>
      </c>
      <c r="P434">
        <v>1.5879740803185674E-2</v>
      </c>
      <c r="Q434" t="s">
        <v>159</v>
      </c>
      <c r="S434" t="s">
        <v>263</v>
      </c>
      <c r="T434" t="s">
        <v>301</v>
      </c>
      <c r="U434">
        <v>1.311277092542678E-2</v>
      </c>
      <c r="V434" t="s">
        <v>159</v>
      </c>
    </row>
    <row r="435" spans="9:22" x14ac:dyDescent="0.45">
      <c r="I435" t="s">
        <v>178</v>
      </c>
      <c r="J435" t="s">
        <v>302</v>
      </c>
      <c r="K435">
        <v>1.3948564653251991E-2</v>
      </c>
      <c r="L435" t="s">
        <v>159</v>
      </c>
      <c r="N435" t="s">
        <v>221</v>
      </c>
      <c r="O435" t="s">
        <v>302</v>
      </c>
      <c r="P435">
        <v>1.4778217827858249E-2</v>
      </c>
      <c r="Q435" t="s">
        <v>159</v>
      </c>
      <c r="S435" t="s">
        <v>263</v>
      </c>
      <c r="T435" t="s">
        <v>302</v>
      </c>
      <c r="U435">
        <v>1.3289430154704567E-2</v>
      </c>
      <c r="V435" t="s">
        <v>159</v>
      </c>
    </row>
    <row r="436" spans="9:22" x14ac:dyDescent="0.45">
      <c r="I436" t="s">
        <v>178</v>
      </c>
      <c r="J436" t="s">
        <v>312</v>
      </c>
      <c r="K436">
        <v>5.3476167750079135E-5</v>
      </c>
      <c r="L436" t="s">
        <v>159</v>
      </c>
      <c r="N436" t="s">
        <v>221</v>
      </c>
      <c r="O436" t="s">
        <v>312</v>
      </c>
      <c r="P436">
        <v>5.6352835256500353E-2</v>
      </c>
      <c r="Q436" t="s">
        <v>159</v>
      </c>
      <c r="S436" t="s">
        <v>263</v>
      </c>
      <c r="T436" t="s">
        <v>312</v>
      </c>
      <c r="U436">
        <v>6.4614185503279978E-2</v>
      </c>
      <c r="V436" t="s">
        <v>159</v>
      </c>
    </row>
    <row r="437" spans="9:22" x14ac:dyDescent="0.45">
      <c r="I437" t="s">
        <v>178</v>
      </c>
      <c r="J437" t="s">
        <v>313</v>
      </c>
      <c r="K437">
        <v>4.4380168604434131E-3</v>
      </c>
      <c r="L437" t="s">
        <v>159</v>
      </c>
      <c r="N437" t="s">
        <v>221</v>
      </c>
      <c r="O437" t="s">
        <v>313</v>
      </c>
      <c r="P437">
        <v>1.3561707072954324E-2</v>
      </c>
      <c r="Q437" t="s">
        <v>159</v>
      </c>
      <c r="S437" t="s">
        <v>263</v>
      </c>
      <c r="T437" t="s">
        <v>313</v>
      </c>
      <c r="U437">
        <v>2.1085385041541567E-2</v>
      </c>
      <c r="V437" t="s">
        <v>159</v>
      </c>
    </row>
    <row r="438" spans="9:22" x14ac:dyDescent="0.45">
      <c r="I438" t="s">
        <v>178</v>
      </c>
      <c r="J438" t="s">
        <v>314</v>
      </c>
      <c r="K438">
        <v>6.8187887658386894E-3</v>
      </c>
      <c r="L438" t="s">
        <v>159</v>
      </c>
      <c r="N438" t="s">
        <v>221</v>
      </c>
      <c r="O438" t="s">
        <v>314</v>
      </c>
      <c r="P438">
        <v>1.9938782194285297E-3</v>
      </c>
      <c r="Q438" t="s">
        <v>159</v>
      </c>
      <c r="S438" t="s">
        <v>263</v>
      </c>
      <c r="T438" t="s">
        <v>314</v>
      </c>
      <c r="U438">
        <v>3.000717696655485E-3</v>
      </c>
      <c r="V438" t="s">
        <v>159</v>
      </c>
    </row>
    <row r="439" spans="9:22" x14ac:dyDescent="0.45">
      <c r="I439" t="s">
        <v>178</v>
      </c>
      <c r="J439" t="s">
        <v>315</v>
      </c>
      <c r="K439">
        <v>8.8355648508494325E-2</v>
      </c>
      <c r="L439" t="s">
        <v>159</v>
      </c>
      <c r="N439" t="s">
        <v>221</v>
      </c>
      <c r="O439" t="s">
        <v>315</v>
      </c>
      <c r="P439">
        <v>2.821020413071915E-2</v>
      </c>
      <c r="Q439" t="s">
        <v>159</v>
      </c>
      <c r="S439" t="s">
        <v>263</v>
      </c>
      <c r="T439" t="s">
        <v>315</v>
      </c>
      <c r="U439">
        <v>2.5326018987620779E-2</v>
      </c>
      <c r="V439" t="s">
        <v>159</v>
      </c>
    </row>
    <row r="440" spans="9:22" x14ac:dyDescent="0.45">
      <c r="I440" t="s">
        <v>178</v>
      </c>
      <c r="J440" t="s">
        <v>316</v>
      </c>
      <c r="K440">
        <v>8.6372124435667615E-3</v>
      </c>
      <c r="L440" t="s">
        <v>159</v>
      </c>
      <c r="N440" t="s">
        <v>221</v>
      </c>
      <c r="O440" t="s">
        <v>316</v>
      </c>
      <c r="P440">
        <v>3.9172500598381402E-3</v>
      </c>
      <c r="Q440" t="s">
        <v>159</v>
      </c>
      <c r="S440" t="s">
        <v>263</v>
      </c>
      <c r="T440" t="s">
        <v>316</v>
      </c>
      <c r="U440">
        <v>3.0151573181358658E-3</v>
      </c>
      <c r="V440" t="s">
        <v>159</v>
      </c>
    </row>
    <row r="441" spans="9:22" x14ac:dyDescent="0.45">
      <c r="I441" t="s">
        <v>178</v>
      </c>
      <c r="J441" t="s">
        <v>317</v>
      </c>
      <c r="K441">
        <v>6.8366085448817613E-3</v>
      </c>
      <c r="L441" t="s">
        <v>159</v>
      </c>
      <c r="N441" t="s">
        <v>221</v>
      </c>
      <c r="O441" t="s">
        <v>317</v>
      </c>
      <c r="P441">
        <v>3.5716923609219291E-3</v>
      </c>
      <c r="Q441" t="s">
        <v>159</v>
      </c>
      <c r="S441" t="s">
        <v>263</v>
      </c>
      <c r="T441" t="s">
        <v>317</v>
      </c>
      <c r="U441">
        <v>3.0767151492388091E-3</v>
      </c>
      <c r="V441" t="s">
        <v>159</v>
      </c>
    </row>
    <row r="442" spans="9:22" x14ac:dyDescent="0.45">
      <c r="I442" t="s">
        <v>178</v>
      </c>
      <c r="J442" t="s">
        <v>318</v>
      </c>
      <c r="K442">
        <v>3.9040290053841934E-3</v>
      </c>
      <c r="L442" t="s">
        <v>159</v>
      </c>
      <c r="N442" t="s">
        <v>221</v>
      </c>
      <c r="O442" t="s">
        <v>318</v>
      </c>
      <c r="P442">
        <v>1.3495022631043848E-2</v>
      </c>
      <c r="Q442" t="s">
        <v>159</v>
      </c>
      <c r="S442" t="s">
        <v>263</v>
      </c>
      <c r="T442" t="s">
        <v>318</v>
      </c>
      <c r="U442">
        <v>1.5428556006659591E-2</v>
      </c>
      <c r="V442" t="s">
        <v>159</v>
      </c>
    </row>
    <row r="443" spans="9:22" x14ac:dyDescent="0.45">
      <c r="I443" t="s">
        <v>179</v>
      </c>
      <c r="J443" t="s">
        <v>158</v>
      </c>
      <c r="K443">
        <v>8.0045574795972099E-3</v>
      </c>
      <c r="L443" t="s">
        <v>159</v>
      </c>
      <c r="N443" t="s">
        <v>222</v>
      </c>
      <c r="O443" t="s">
        <v>158</v>
      </c>
      <c r="P443">
        <v>0.10537664326511269</v>
      </c>
      <c r="Q443" t="s">
        <v>159</v>
      </c>
      <c r="S443" t="s">
        <v>264</v>
      </c>
      <c r="T443" t="s">
        <v>158</v>
      </c>
      <c r="U443">
        <v>0.12719805018006677</v>
      </c>
      <c r="V443" t="s">
        <v>159</v>
      </c>
    </row>
    <row r="444" spans="9:22" x14ac:dyDescent="0.45">
      <c r="I444" t="s">
        <v>179</v>
      </c>
      <c r="J444" t="s">
        <v>160</v>
      </c>
      <c r="K444">
        <v>2.7070001178531179E-2</v>
      </c>
      <c r="L444" t="s">
        <v>159</v>
      </c>
      <c r="N444" t="s">
        <v>222</v>
      </c>
      <c r="O444" t="s">
        <v>160</v>
      </c>
      <c r="P444">
        <v>1.4724595122171063E-2</v>
      </c>
      <c r="Q444" t="s">
        <v>159</v>
      </c>
      <c r="S444" t="s">
        <v>264</v>
      </c>
      <c r="T444" t="s">
        <v>160</v>
      </c>
      <c r="U444">
        <v>1.7869378361027786E-2</v>
      </c>
      <c r="V444" t="s">
        <v>159</v>
      </c>
    </row>
    <row r="445" spans="9:22" x14ac:dyDescent="0.45">
      <c r="I445" t="s">
        <v>179</v>
      </c>
      <c r="J445" t="s">
        <v>161</v>
      </c>
      <c r="K445">
        <v>0.37661123031560007</v>
      </c>
      <c r="L445" t="s">
        <v>159</v>
      </c>
      <c r="N445" t="s">
        <v>222</v>
      </c>
      <c r="O445" t="s">
        <v>161</v>
      </c>
      <c r="P445">
        <v>0.17677166303327982</v>
      </c>
      <c r="Q445" t="s">
        <v>159</v>
      </c>
      <c r="S445" t="s">
        <v>264</v>
      </c>
      <c r="T445" t="s">
        <v>161</v>
      </c>
      <c r="U445">
        <v>0.15733393670096729</v>
      </c>
      <c r="V445" t="s">
        <v>159</v>
      </c>
    </row>
    <row r="446" spans="9:22" x14ac:dyDescent="0.45">
      <c r="I446" t="s">
        <v>179</v>
      </c>
      <c r="J446" t="s">
        <v>287</v>
      </c>
      <c r="K446">
        <v>3.4898819431750078E-2</v>
      </c>
      <c r="L446" t="s">
        <v>159</v>
      </c>
      <c r="N446" t="s">
        <v>222</v>
      </c>
      <c r="O446" t="s">
        <v>287</v>
      </c>
      <c r="P446">
        <v>2.4971665876914059E-2</v>
      </c>
      <c r="Q446" t="s">
        <v>159</v>
      </c>
      <c r="S446" t="s">
        <v>264</v>
      </c>
      <c r="T446" t="s">
        <v>287</v>
      </c>
      <c r="U446">
        <v>1.7910563031279712E-2</v>
      </c>
      <c r="V446" t="s">
        <v>159</v>
      </c>
    </row>
    <row r="447" spans="9:22" x14ac:dyDescent="0.45">
      <c r="I447" t="s">
        <v>179</v>
      </c>
      <c r="J447" t="s">
        <v>288</v>
      </c>
      <c r="K447">
        <v>1.9033208819808328E-2</v>
      </c>
      <c r="L447" t="s">
        <v>159</v>
      </c>
      <c r="N447" t="s">
        <v>222</v>
      </c>
      <c r="O447" t="s">
        <v>288</v>
      </c>
      <c r="P447">
        <v>2.287012443907608E-2</v>
      </c>
      <c r="Q447" t="s">
        <v>159</v>
      </c>
      <c r="S447" t="s">
        <v>264</v>
      </c>
      <c r="T447" t="s">
        <v>288</v>
      </c>
      <c r="U447">
        <v>1.7868941983784806E-2</v>
      </c>
      <c r="V447" t="s">
        <v>159</v>
      </c>
    </row>
    <row r="448" spans="9:22" x14ac:dyDescent="0.45">
      <c r="I448" t="s">
        <v>179</v>
      </c>
      <c r="J448" t="s">
        <v>308</v>
      </c>
      <c r="K448">
        <v>6.1032881669155215E-3</v>
      </c>
      <c r="L448" t="s">
        <v>159</v>
      </c>
      <c r="N448" t="s">
        <v>222</v>
      </c>
      <c r="O448" t="s">
        <v>308</v>
      </c>
      <c r="P448">
        <v>8.9150318170992185E-2</v>
      </c>
      <c r="Q448" t="s">
        <v>159</v>
      </c>
      <c r="S448" t="s">
        <v>264</v>
      </c>
      <c r="T448" t="s">
        <v>308</v>
      </c>
      <c r="U448">
        <v>8.8175355692300755E-2</v>
      </c>
      <c r="V448" t="s">
        <v>159</v>
      </c>
    </row>
    <row r="449" spans="9:22" x14ac:dyDescent="0.45">
      <c r="I449" t="s">
        <v>179</v>
      </c>
      <c r="J449" t="s">
        <v>162</v>
      </c>
      <c r="K449">
        <v>0</v>
      </c>
      <c r="L449" t="s">
        <v>159</v>
      </c>
      <c r="N449" t="s">
        <v>222</v>
      </c>
      <c r="O449" t="s">
        <v>162</v>
      </c>
      <c r="P449">
        <v>2.1048492851331008E-2</v>
      </c>
      <c r="Q449" t="s">
        <v>159</v>
      </c>
      <c r="S449" t="s">
        <v>264</v>
      </c>
      <c r="T449" t="s">
        <v>162</v>
      </c>
      <c r="U449">
        <v>2.6201604549191418E-2</v>
      </c>
      <c r="V449" t="s">
        <v>159</v>
      </c>
    </row>
    <row r="450" spans="9:22" x14ac:dyDescent="0.45">
      <c r="I450" t="s">
        <v>179</v>
      </c>
      <c r="J450" t="s">
        <v>163</v>
      </c>
      <c r="K450">
        <v>0</v>
      </c>
      <c r="L450" t="s">
        <v>159</v>
      </c>
      <c r="N450" t="s">
        <v>222</v>
      </c>
      <c r="O450" t="s">
        <v>163</v>
      </c>
      <c r="P450">
        <v>2.8834882853146348E-3</v>
      </c>
      <c r="Q450" t="s">
        <v>159</v>
      </c>
      <c r="S450" t="s">
        <v>264</v>
      </c>
      <c r="T450" t="s">
        <v>163</v>
      </c>
      <c r="U450">
        <v>3.6335825328961957E-3</v>
      </c>
      <c r="V450" t="s">
        <v>159</v>
      </c>
    </row>
    <row r="451" spans="9:22" x14ac:dyDescent="0.45">
      <c r="I451" t="s">
        <v>179</v>
      </c>
      <c r="J451" t="s">
        <v>164</v>
      </c>
      <c r="K451">
        <v>3.8645664126641069E-2</v>
      </c>
      <c r="L451" t="s">
        <v>159</v>
      </c>
      <c r="N451" t="s">
        <v>222</v>
      </c>
      <c r="O451" t="s">
        <v>164</v>
      </c>
      <c r="P451">
        <v>2.7341571024637315E-2</v>
      </c>
      <c r="Q451" t="s">
        <v>159</v>
      </c>
      <c r="S451" t="s">
        <v>264</v>
      </c>
      <c r="T451" t="s">
        <v>164</v>
      </c>
      <c r="U451">
        <v>3.0892123310794151E-2</v>
      </c>
      <c r="V451" t="s">
        <v>159</v>
      </c>
    </row>
    <row r="452" spans="9:22" x14ac:dyDescent="0.45">
      <c r="I452" t="s">
        <v>179</v>
      </c>
      <c r="J452" t="s">
        <v>289</v>
      </c>
      <c r="K452">
        <v>3.2175817741690242E-3</v>
      </c>
      <c r="L452" t="s">
        <v>159</v>
      </c>
      <c r="N452" t="s">
        <v>222</v>
      </c>
      <c r="O452" t="s">
        <v>289</v>
      </c>
      <c r="P452">
        <v>3.3414296290476871E-3</v>
      </c>
      <c r="Q452" t="s">
        <v>159</v>
      </c>
      <c r="S452" t="s">
        <v>264</v>
      </c>
      <c r="T452" t="s">
        <v>289</v>
      </c>
      <c r="U452">
        <v>3.1548778731894486E-3</v>
      </c>
      <c r="V452" t="s">
        <v>159</v>
      </c>
    </row>
    <row r="453" spans="9:22" x14ac:dyDescent="0.45">
      <c r="I453" t="s">
        <v>179</v>
      </c>
      <c r="J453" t="s">
        <v>290</v>
      </c>
      <c r="K453">
        <v>0</v>
      </c>
      <c r="L453" t="s">
        <v>159</v>
      </c>
      <c r="N453" t="s">
        <v>222</v>
      </c>
      <c r="O453" t="s">
        <v>290</v>
      </c>
      <c r="P453">
        <v>3.3078799712551107E-3</v>
      </c>
      <c r="Q453" t="s">
        <v>159</v>
      </c>
      <c r="S453" t="s">
        <v>264</v>
      </c>
      <c r="T453" t="s">
        <v>290</v>
      </c>
      <c r="U453">
        <v>3.2023178229143951E-3</v>
      </c>
      <c r="V453" t="s">
        <v>159</v>
      </c>
    </row>
    <row r="454" spans="9:22" x14ac:dyDescent="0.45">
      <c r="I454" t="s">
        <v>179</v>
      </c>
      <c r="J454" t="s">
        <v>309</v>
      </c>
      <c r="K454">
        <v>0</v>
      </c>
      <c r="L454" t="s">
        <v>159</v>
      </c>
      <c r="N454" t="s">
        <v>222</v>
      </c>
      <c r="O454" t="s">
        <v>309</v>
      </c>
      <c r="P454">
        <v>1.5926738170997868E-2</v>
      </c>
      <c r="Q454" t="s">
        <v>159</v>
      </c>
      <c r="S454" t="s">
        <v>264</v>
      </c>
      <c r="T454" t="s">
        <v>309</v>
      </c>
      <c r="U454">
        <v>1.6538170800938189E-2</v>
      </c>
      <c r="V454" t="s">
        <v>159</v>
      </c>
    </row>
    <row r="455" spans="9:22" x14ac:dyDescent="0.45">
      <c r="I455" t="s">
        <v>179</v>
      </c>
      <c r="J455" t="s">
        <v>165</v>
      </c>
      <c r="K455">
        <v>0</v>
      </c>
      <c r="L455" t="s">
        <v>159</v>
      </c>
      <c r="N455" t="s">
        <v>222</v>
      </c>
      <c r="O455" t="s">
        <v>165</v>
      </c>
      <c r="P455">
        <v>2.5238322696758665E-2</v>
      </c>
      <c r="Q455" t="s">
        <v>159</v>
      </c>
      <c r="S455" t="s">
        <v>264</v>
      </c>
      <c r="T455" t="s">
        <v>165</v>
      </c>
      <c r="U455">
        <v>3.0647793526300607E-2</v>
      </c>
      <c r="V455" t="s">
        <v>159</v>
      </c>
    </row>
    <row r="456" spans="9:22" x14ac:dyDescent="0.45">
      <c r="I456" t="s">
        <v>179</v>
      </c>
      <c r="J456" t="s">
        <v>166</v>
      </c>
      <c r="K456">
        <v>9.9793328355439101E-4</v>
      </c>
      <c r="L456" t="s">
        <v>159</v>
      </c>
      <c r="N456" t="s">
        <v>222</v>
      </c>
      <c r="O456" t="s">
        <v>166</v>
      </c>
      <c r="P456">
        <v>3.8993815069535993E-3</v>
      </c>
      <c r="Q456" t="s">
        <v>159</v>
      </c>
      <c r="S456" t="s">
        <v>264</v>
      </c>
      <c r="T456" t="s">
        <v>166</v>
      </c>
      <c r="U456">
        <v>4.238450527377465E-3</v>
      </c>
      <c r="V456" t="s">
        <v>159</v>
      </c>
    </row>
    <row r="457" spans="9:22" x14ac:dyDescent="0.45">
      <c r="I457" t="s">
        <v>179</v>
      </c>
      <c r="J457" t="s">
        <v>167</v>
      </c>
      <c r="K457">
        <v>4.5287946829846819E-2</v>
      </c>
      <c r="L457" t="s">
        <v>159</v>
      </c>
      <c r="N457" t="s">
        <v>222</v>
      </c>
      <c r="O457" t="s">
        <v>167</v>
      </c>
      <c r="P457">
        <v>4.2082042100887292E-2</v>
      </c>
      <c r="Q457" t="s">
        <v>159</v>
      </c>
      <c r="S457" t="s">
        <v>264</v>
      </c>
      <c r="T457" t="s">
        <v>167</v>
      </c>
      <c r="U457">
        <v>3.9000670240323262E-2</v>
      </c>
      <c r="V457" t="s">
        <v>159</v>
      </c>
    </row>
    <row r="458" spans="9:22" x14ac:dyDescent="0.45">
      <c r="I458" t="s">
        <v>179</v>
      </c>
      <c r="J458" t="s">
        <v>291</v>
      </c>
      <c r="K458">
        <v>3.7452271699705115E-3</v>
      </c>
      <c r="L458" t="s">
        <v>159</v>
      </c>
      <c r="N458" t="s">
        <v>222</v>
      </c>
      <c r="O458" t="s">
        <v>291</v>
      </c>
      <c r="P458">
        <v>5.037136294520554E-3</v>
      </c>
      <c r="Q458" t="s">
        <v>159</v>
      </c>
      <c r="S458" t="s">
        <v>264</v>
      </c>
      <c r="T458" t="s">
        <v>291</v>
      </c>
      <c r="U458">
        <v>4.3950426795801066E-3</v>
      </c>
      <c r="V458" t="s">
        <v>159</v>
      </c>
    </row>
    <row r="459" spans="9:22" x14ac:dyDescent="0.45">
      <c r="I459" t="s">
        <v>179</v>
      </c>
      <c r="J459" t="s">
        <v>292</v>
      </c>
      <c r="K459">
        <v>0</v>
      </c>
      <c r="L459" t="s">
        <v>159</v>
      </c>
      <c r="N459" t="s">
        <v>222</v>
      </c>
      <c r="O459" t="s">
        <v>292</v>
      </c>
      <c r="P459">
        <v>4.8602448964108584E-3</v>
      </c>
      <c r="Q459" t="s">
        <v>159</v>
      </c>
      <c r="S459" t="s">
        <v>264</v>
      </c>
      <c r="T459" t="s">
        <v>292</v>
      </c>
      <c r="U459">
        <v>4.4376600535362505E-3</v>
      </c>
      <c r="V459" t="s">
        <v>159</v>
      </c>
    </row>
    <row r="460" spans="9:22" x14ac:dyDescent="0.45">
      <c r="I460" t="s">
        <v>179</v>
      </c>
      <c r="J460" t="s">
        <v>310</v>
      </c>
      <c r="K460">
        <v>0</v>
      </c>
      <c r="L460" t="s">
        <v>159</v>
      </c>
      <c r="N460" t="s">
        <v>222</v>
      </c>
      <c r="O460" t="s">
        <v>310</v>
      </c>
      <c r="P460">
        <v>2.1262490734895743E-2</v>
      </c>
      <c r="Q460" t="s">
        <v>159</v>
      </c>
      <c r="S460" t="s">
        <v>264</v>
      </c>
      <c r="T460" t="s">
        <v>310</v>
      </c>
      <c r="U460">
        <v>2.2807271697668937E-2</v>
      </c>
      <c r="V460" t="s">
        <v>159</v>
      </c>
    </row>
    <row r="461" spans="9:22" x14ac:dyDescent="0.45">
      <c r="I461" t="s">
        <v>179</v>
      </c>
      <c r="J461" t="s">
        <v>293</v>
      </c>
      <c r="K461">
        <v>0</v>
      </c>
      <c r="L461" t="s">
        <v>159</v>
      </c>
      <c r="N461" t="s">
        <v>222</v>
      </c>
      <c r="O461" t="s">
        <v>293</v>
      </c>
      <c r="P461">
        <v>2.7051632686806736E-3</v>
      </c>
      <c r="Q461" t="s">
        <v>159</v>
      </c>
      <c r="S461" t="s">
        <v>264</v>
      </c>
      <c r="T461" t="s">
        <v>293</v>
      </c>
      <c r="U461">
        <v>6.0760258773636441E-3</v>
      </c>
      <c r="V461" t="s">
        <v>159</v>
      </c>
    </row>
    <row r="462" spans="9:22" x14ac:dyDescent="0.45">
      <c r="I462" t="s">
        <v>179</v>
      </c>
      <c r="J462" t="s">
        <v>294</v>
      </c>
      <c r="K462">
        <v>8.4295529252034675E-4</v>
      </c>
      <c r="L462" t="s">
        <v>159</v>
      </c>
      <c r="N462" t="s">
        <v>222</v>
      </c>
      <c r="O462" t="s">
        <v>294</v>
      </c>
      <c r="P462">
        <v>5.5935104488143324E-4</v>
      </c>
      <c r="Q462" t="s">
        <v>159</v>
      </c>
      <c r="S462" t="s">
        <v>264</v>
      </c>
      <c r="T462" t="s">
        <v>294</v>
      </c>
      <c r="U462">
        <v>8.1444704239283863E-4</v>
      </c>
      <c r="V462" t="s">
        <v>159</v>
      </c>
    </row>
    <row r="463" spans="9:22" x14ac:dyDescent="0.45">
      <c r="I463" t="s">
        <v>179</v>
      </c>
      <c r="J463" t="s">
        <v>295</v>
      </c>
      <c r="K463">
        <v>1.4214779896730315E-2</v>
      </c>
      <c r="L463" t="s">
        <v>159</v>
      </c>
      <c r="N463" t="s">
        <v>222</v>
      </c>
      <c r="O463" t="s">
        <v>295</v>
      </c>
      <c r="P463">
        <v>5.6487155739942908E-3</v>
      </c>
      <c r="Q463" t="s">
        <v>159</v>
      </c>
      <c r="S463" t="s">
        <v>264</v>
      </c>
      <c r="T463" t="s">
        <v>295</v>
      </c>
      <c r="U463">
        <v>8.3468902679108472E-3</v>
      </c>
      <c r="V463" t="s">
        <v>159</v>
      </c>
    </row>
    <row r="464" spans="9:22" x14ac:dyDescent="0.45">
      <c r="I464" t="s">
        <v>179</v>
      </c>
      <c r="J464" t="s">
        <v>296</v>
      </c>
      <c r="K464">
        <v>1.2350897631867956E-3</v>
      </c>
      <c r="L464" t="s">
        <v>159</v>
      </c>
      <c r="N464" t="s">
        <v>222</v>
      </c>
      <c r="O464" t="s">
        <v>296</v>
      </c>
      <c r="P464">
        <v>6.0624995250205932E-4</v>
      </c>
      <c r="Q464" t="s">
        <v>159</v>
      </c>
      <c r="S464" t="s">
        <v>264</v>
      </c>
      <c r="T464" t="s">
        <v>296</v>
      </c>
      <c r="U464">
        <v>9.995653978278837E-4</v>
      </c>
      <c r="V464" t="s">
        <v>159</v>
      </c>
    </row>
    <row r="465" spans="9:22" x14ac:dyDescent="0.45">
      <c r="I465" t="s">
        <v>179</v>
      </c>
      <c r="J465" t="s">
        <v>297</v>
      </c>
      <c r="K465">
        <v>0</v>
      </c>
      <c r="L465" t="s">
        <v>159</v>
      </c>
      <c r="N465" t="s">
        <v>222</v>
      </c>
      <c r="O465" t="s">
        <v>297</v>
      </c>
      <c r="P465">
        <v>5.7243376901393371E-4</v>
      </c>
      <c r="Q465" t="s">
        <v>159</v>
      </c>
      <c r="S465" t="s">
        <v>264</v>
      </c>
      <c r="T465" t="s">
        <v>297</v>
      </c>
      <c r="U465">
        <v>1.0281176025001035E-3</v>
      </c>
      <c r="V465" t="s">
        <v>159</v>
      </c>
    </row>
    <row r="466" spans="9:22" x14ac:dyDescent="0.45">
      <c r="I466" t="s">
        <v>179</v>
      </c>
      <c r="J466" t="s">
        <v>311</v>
      </c>
      <c r="K466">
        <v>0</v>
      </c>
      <c r="L466" t="s">
        <v>159</v>
      </c>
      <c r="N466" t="s">
        <v>222</v>
      </c>
      <c r="O466" t="s">
        <v>311</v>
      </c>
      <c r="P466">
        <v>1.8423820891501545E-3</v>
      </c>
      <c r="Q466" t="s">
        <v>159</v>
      </c>
      <c r="S466" t="s">
        <v>264</v>
      </c>
      <c r="T466" t="s">
        <v>311</v>
      </c>
      <c r="U466">
        <v>4.9425334464695703E-3</v>
      </c>
      <c r="V466" t="s">
        <v>159</v>
      </c>
    </row>
    <row r="467" spans="9:22" x14ac:dyDescent="0.45">
      <c r="I467" t="s">
        <v>179</v>
      </c>
      <c r="J467" t="s">
        <v>298</v>
      </c>
      <c r="K467">
        <v>1.0779913771764715E-2</v>
      </c>
      <c r="L467" t="s">
        <v>159</v>
      </c>
      <c r="N467" t="s">
        <v>222</v>
      </c>
      <c r="O467" t="s">
        <v>298</v>
      </c>
      <c r="P467">
        <v>7.0075257543047428E-2</v>
      </c>
      <c r="Q467" t="s">
        <v>159</v>
      </c>
      <c r="S467" t="s">
        <v>264</v>
      </c>
      <c r="T467" t="s">
        <v>298</v>
      </c>
      <c r="U467">
        <v>8.783766766111277E-2</v>
      </c>
      <c r="V467" t="s">
        <v>159</v>
      </c>
    </row>
    <row r="468" spans="9:22" x14ac:dyDescent="0.45">
      <c r="I468" t="s">
        <v>179</v>
      </c>
      <c r="J468" t="s">
        <v>299</v>
      </c>
      <c r="K468">
        <v>2.0056013848623731E-2</v>
      </c>
      <c r="L468" t="s">
        <v>159</v>
      </c>
      <c r="N468" t="s">
        <v>222</v>
      </c>
      <c r="O468" t="s">
        <v>299</v>
      </c>
      <c r="P468">
        <v>9.4704593595261143E-3</v>
      </c>
      <c r="Q468" t="s">
        <v>159</v>
      </c>
      <c r="S468" t="s">
        <v>264</v>
      </c>
      <c r="T468" t="s">
        <v>299</v>
      </c>
      <c r="U468">
        <v>1.2359180513031099E-2</v>
      </c>
      <c r="V468" t="s">
        <v>159</v>
      </c>
    </row>
    <row r="469" spans="9:22" x14ac:dyDescent="0.45">
      <c r="I469" t="s">
        <v>179</v>
      </c>
      <c r="J469" t="s">
        <v>300</v>
      </c>
      <c r="K469">
        <v>0.24230336176736847</v>
      </c>
      <c r="L469" t="s">
        <v>159</v>
      </c>
      <c r="N469" t="s">
        <v>222</v>
      </c>
      <c r="O469" t="s">
        <v>300</v>
      </c>
      <c r="P469">
        <v>0.12109778756035185</v>
      </c>
      <c r="Q469" t="s">
        <v>159</v>
      </c>
      <c r="S469" t="s">
        <v>264</v>
      </c>
      <c r="T469" t="s">
        <v>300</v>
      </c>
      <c r="U469">
        <v>0.11092594143936811</v>
      </c>
      <c r="V469" t="s">
        <v>159</v>
      </c>
    </row>
    <row r="470" spans="9:22" x14ac:dyDescent="0.45">
      <c r="I470" t="s">
        <v>179</v>
      </c>
      <c r="J470" t="s">
        <v>301</v>
      </c>
      <c r="K470">
        <v>2.1432040640845394E-2</v>
      </c>
      <c r="L470" t="s">
        <v>159</v>
      </c>
      <c r="N470" t="s">
        <v>222</v>
      </c>
      <c r="O470" t="s">
        <v>301</v>
      </c>
      <c r="P470">
        <v>1.5918126165987125E-2</v>
      </c>
      <c r="Q470" t="s">
        <v>159</v>
      </c>
      <c r="S470" t="s">
        <v>264</v>
      </c>
      <c r="T470" t="s">
        <v>301</v>
      </c>
      <c r="U470">
        <v>1.2972947271711192E-2</v>
      </c>
      <c r="V470" t="s">
        <v>159</v>
      </c>
    </row>
    <row r="471" spans="9:22" x14ac:dyDescent="0.45">
      <c r="I471" t="s">
        <v>179</v>
      </c>
      <c r="J471" t="s">
        <v>302</v>
      </c>
      <c r="K471">
        <v>1.1815469524151587E-2</v>
      </c>
      <c r="L471" t="s">
        <v>159</v>
      </c>
      <c r="N471" t="s">
        <v>222</v>
      </c>
      <c r="O471" t="s">
        <v>302</v>
      </c>
      <c r="P471">
        <v>1.4469191289880064E-2</v>
      </c>
      <c r="Q471" t="s">
        <v>159</v>
      </c>
      <c r="S471" t="s">
        <v>264</v>
      </c>
      <c r="T471" t="s">
        <v>302</v>
      </c>
      <c r="U471">
        <v>1.2846650571182139E-2</v>
      </c>
      <c r="V471" t="s">
        <v>159</v>
      </c>
    </row>
    <row r="472" spans="9:22" x14ac:dyDescent="0.45">
      <c r="I472" t="s">
        <v>179</v>
      </c>
      <c r="J472" t="s">
        <v>312</v>
      </c>
      <c r="K472">
        <v>0</v>
      </c>
      <c r="L472" t="s">
        <v>159</v>
      </c>
      <c r="N472" t="s">
        <v>222</v>
      </c>
      <c r="O472" t="s">
        <v>312</v>
      </c>
      <c r="P472">
        <v>5.8998984890859092E-2</v>
      </c>
      <c r="Q472" t="s">
        <v>159</v>
      </c>
      <c r="S472" t="s">
        <v>264</v>
      </c>
      <c r="T472" t="s">
        <v>312</v>
      </c>
      <c r="U472">
        <v>6.2150415368708238E-2</v>
      </c>
      <c r="V472" t="s">
        <v>159</v>
      </c>
    </row>
    <row r="473" spans="9:22" x14ac:dyDescent="0.45">
      <c r="I473" t="s">
        <v>179</v>
      </c>
      <c r="J473" t="s">
        <v>313</v>
      </c>
      <c r="K473">
        <v>5.3770466704069209E-3</v>
      </c>
      <c r="L473" t="s">
        <v>159</v>
      </c>
      <c r="N473" t="s">
        <v>222</v>
      </c>
      <c r="O473" t="s">
        <v>313</v>
      </c>
      <c r="P473">
        <v>1.7907218451407025E-2</v>
      </c>
      <c r="Q473" t="s">
        <v>159</v>
      </c>
      <c r="S473" t="s">
        <v>264</v>
      </c>
      <c r="T473" t="s">
        <v>313</v>
      </c>
      <c r="U473">
        <v>1.8135015145459572E-2</v>
      </c>
      <c r="V473" t="s">
        <v>159</v>
      </c>
    </row>
    <row r="474" spans="9:22" x14ac:dyDescent="0.45">
      <c r="I474" t="s">
        <v>179</v>
      </c>
      <c r="J474" t="s">
        <v>314</v>
      </c>
      <c r="K474">
        <v>7.7423594926795932E-3</v>
      </c>
      <c r="L474" t="s">
        <v>159</v>
      </c>
      <c r="N474" t="s">
        <v>222</v>
      </c>
      <c r="O474" t="s">
        <v>314</v>
      </c>
      <c r="P474">
        <v>2.6111786668842284E-3</v>
      </c>
      <c r="Q474" t="s">
        <v>159</v>
      </c>
      <c r="S474" t="s">
        <v>264</v>
      </c>
      <c r="T474" t="s">
        <v>314</v>
      </c>
      <c r="U474">
        <v>2.5198587587044459E-3</v>
      </c>
      <c r="V474" t="s">
        <v>159</v>
      </c>
    </row>
    <row r="475" spans="9:22" x14ac:dyDescent="0.45">
      <c r="I475" t="s">
        <v>179</v>
      </c>
      <c r="J475" t="s">
        <v>315</v>
      </c>
      <c r="K475">
        <v>8.4122618898821416E-2</v>
      </c>
      <c r="L475" t="s">
        <v>159</v>
      </c>
      <c r="N475" t="s">
        <v>222</v>
      </c>
      <c r="O475" t="s">
        <v>315</v>
      </c>
      <c r="P475">
        <v>3.9551451990083232E-2</v>
      </c>
      <c r="Q475" t="s">
        <v>159</v>
      </c>
      <c r="S475" t="s">
        <v>264</v>
      </c>
      <c r="T475" t="s">
        <v>315</v>
      </c>
      <c r="U475">
        <v>2.2513918754686203E-2</v>
      </c>
      <c r="V475" t="s">
        <v>159</v>
      </c>
    </row>
    <row r="476" spans="9:22" x14ac:dyDescent="0.45">
      <c r="I476" t="s">
        <v>179</v>
      </c>
      <c r="J476" t="s">
        <v>316</v>
      </c>
      <c r="K476">
        <v>7.4524338916331992E-3</v>
      </c>
      <c r="L476" t="s">
        <v>159</v>
      </c>
      <c r="N476" t="s">
        <v>222</v>
      </c>
      <c r="O476" t="s">
        <v>316</v>
      </c>
      <c r="P476">
        <v>5.4765234666042774E-3</v>
      </c>
      <c r="Q476" t="s">
        <v>159</v>
      </c>
      <c r="S476" t="s">
        <v>264</v>
      </c>
      <c r="T476" t="s">
        <v>316</v>
      </c>
      <c r="U476">
        <v>2.849118948238789E-3</v>
      </c>
      <c r="V476" t="s">
        <v>159</v>
      </c>
    </row>
    <row r="477" spans="9:22" x14ac:dyDescent="0.45">
      <c r="I477" t="s">
        <v>179</v>
      </c>
      <c r="J477" t="s">
        <v>317</v>
      </c>
      <c r="K477">
        <v>6.0751674746186528E-3</v>
      </c>
      <c r="L477" t="s">
        <v>159</v>
      </c>
      <c r="N477" t="s">
        <v>222</v>
      </c>
      <c r="O477" t="s">
        <v>317</v>
      </c>
      <c r="P477">
        <v>4.8712257421163084E-3</v>
      </c>
      <c r="Q477" t="s">
        <v>159</v>
      </c>
      <c r="S477" t="s">
        <v>264</v>
      </c>
      <c r="T477" t="s">
        <v>317</v>
      </c>
      <c r="U477">
        <v>2.9408672714195836E-3</v>
      </c>
      <c r="V477" t="s">
        <v>159</v>
      </c>
    </row>
    <row r="478" spans="9:22" x14ac:dyDescent="0.45">
      <c r="I478" t="s">
        <v>179</v>
      </c>
      <c r="J478" t="s">
        <v>318</v>
      </c>
      <c r="K478">
        <v>2.9352904902604296E-3</v>
      </c>
      <c r="L478" t="s">
        <v>159</v>
      </c>
      <c r="N478" t="s">
        <v>222</v>
      </c>
      <c r="O478" t="s">
        <v>318</v>
      </c>
      <c r="P478">
        <v>1.7524071104476416E-2</v>
      </c>
      <c r="Q478" t="s">
        <v>159</v>
      </c>
      <c r="S478" t="s">
        <v>264</v>
      </c>
      <c r="T478" t="s">
        <v>318</v>
      </c>
      <c r="U478">
        <v>1.4235047097774171E-2</v>
      </c>
      <c r="V478" t="s">
        <v>159</v>
      </c>
    </row>
    <row r="479" spans="9:22" x14ac:dyDescent="0.45">
      <c r="I479" t="s">
        <v>180</v>
      </c>
      <c r="J479" t="s">
        <v>158</v>
      </c>
      <c r="K479">
        <v>5.4395696237115312E-3</v>
      </c>
      <c r="L479" t="s">
        <v>159</v>
      </c>
      <c r="N479" t="s">
        <v>223</v>
      </c>
      <c r="O479" t="s">
        <v>158</v>
      </c>
      <c r="P479">
        <v>0.1064411421057498</v>
      </c>
      <c r="Q479" t="s">
        <v>159</v>
      </c>
      <c r="S479" t="s">
        <v>265</v>
      </c>
      <c r="T479" t="s">
        <v>158</v>
      </c>
      <c r="U479">
        <v>0.12335566162731601</v>
      </c>
      <c r="V479" t="s">
        <v>159</v>
      </c>
    </row>
    <row r="480" spans="9:22" x14ac:dyDescent="0.45">
      <c r="I480" t="s">
        <v>180</v>
      </c>
      <c r="J480" t="s">
        <v>160</v>
      </c>
      <c r="K480">
        <v>2.4069857322992664E-2</v>
      </c>
      <c r="L480" t="s">
        <v>159</v>
      </c>
      <c r="N480" t="s">
        <v>223</v>
      </c>
      <c r="O480" t="s">
        <v>160</v>
      </c>
      <c r="P480">
        <v>1.5849593403506501E-2</v>
      </c>
      <c r="Q480" t="s">
        <v>159</v>
      </c>
      <c r="S480" t="s">
        <v>265</v>
      </c>
      <c r="T480" t="s">
        <v>160</v>
      </c>
      <c r="U480">
        <v>1.6915987881078769E-2</v>
      </c>
      <c r="V480" t="s">
        <v>159</v>
      </c>
    </row>
    <row r="481" spans="9:22" x14ac:dyDescent="0.45">
      <c r="I481" t="s">
        <v>180</v>
      </c>
      <c r="J481" t="s">
        <v>161</v>
      </c>
      <c r="K481">
        <v>0.37658140078801811</v>
      </c>
      <c r="L481" t="s">
        <v>159</v>
      </c>
      <c r="N481" t="s">
        <v>223</v>
      </c>
      <c r="O481" t="s">
        <v>161</v>
      </c>
      <c r="P481">
        <v>0.1859173723632046</v>
      </c>
      <c r="Q481" t="s">
        <v>159</v>
      </c>
      <c r="S481" t="s">
        <v>265</v>
      </c>
      <c r="T481" t="s">
        <v>161</v>
      </c>
      <c r="U481">
        <v>0.15609544332203504</v>
      </c>
      <c r="V481" t="s">
        <v>159</v>
      </c>
    </row>
    <row r="482" spans="9:22" x14ac:dyDescent="0.45">
      <c r="I482" t="s">
        <v>180</v>
      </c>
      <c r="J482" t="s">
        <v>287</v>
      </c>
      <c r="K482">
        <v>3.5534854603356147E-2</v>
      </c>
      <c r="L482" t="s">
        <v>159</v>
      </c>
      <c r="N482" t="s">
        <v>223</v>
      </c>
      <c r="O482" t="s">
        <v>287</v>
      </c>
      <c r="P482">
        <v>2.2810326878751203E-2</v>
      </c>
      <c r="Q482" t="s">
        <v>159</v>
      </c>
      <c r="S482" t="s">
        <v>265</v>
      </c>
      <c r="T482" t="s">
        <v>287</v>
      </c>
      <c r="U482">
        <v>1.9097049557016858E-2</v>
      </c>
      <c r="V482" t="s">
        <v>159</v>
      </c>
    </row>
    <row r="483" spans="9:22" x14ac:dyDescent="0.45">
      <c r="I483" t="s">
        <v>180</v>
      </c>
      <c r="J483" t="s">
        <v>288</v>
      </c>
      <c r="K483">
        <v>2.0024156280375592E-2</v>
      </c>
      <c r="L483" t="s">
        <v>159</v>
      </c>
      <c r="N483" t="s">
        <v>223</v>
      </c>
      <c r="O483" t="s">
        <v>288</v>
      </c>
      <c r="P483">
        <v>2.0960906856800736E-2</v>
      </c>
      <c r="Q483" t="s">
        <v>159</v>
      </c>
      <c r="S483" t="s">
        <v>265</v>
      </c>
      <c r="T483" t="s">
        <v>288</v>
      </c>
      <c r="U483">
        <v>1.9091079460387066E-2</v>
      </c>
      <c r="V483" t="s">
        <v>159</v>
      </c>
    </row>
    <row r="484" spans="9:22" x14ac:dyDescent="0.45">
      <c r="I484" t="s">
        <v>180</v>
      </c>
      <c r="J484" t="s">
        <v>308</v>
      </c>
      <c r="K484">
        <v>6.8037268673095111E-3</v>
      </c>
      <c r="L484" t="s">
        <v>159</v>
      </c>
      <c r="N484" t="s">
        <v>223</v>
      </c>
      <c r="O484" t="s">
        <v>308</v>
      </c>
      <c r="P484">
        <v>8.7064712069963052E-2</v>
      </c>
      <c r="Q484" t="s">
        <v>159</v>
      </c>
      <c r="S484" t="s">
        <v>265</v>
      </c>
      <c r="T484" t="s">
        <v>308</v>
      </c>
      <c r="U484">
        <v>9.2370306459543819E-2</v>
      </c>
      <c r="V484" t="s">
        <v>159</v>
      </c>
    </row>
    <row r="485" spans="9:22" x14ac:dyDescent="0.45">
      <c r="I485" t="s">
        <v>180</v>
      </c>
      <c r="J485" t="s">
        <v>162</v>
      </c>
      <c r="K485">
        <v>0</v>
      </c>
      <c r="L485" t="s">
        <v>159</v>
      </c>
      <c r="N485" t="s">
        <v>223</v>
      </c>
      <c r="O485" t="s">
        <v>162</v>
      </c>
      <c r="P485">
        <v>2.549241159862678E-2</v>
      </c>
      <c r="Q485" t="s">
        <v>159</v>
      </c>
      <c r="S485" t="s">
        <v>265</v>
      </c>
      <c r="T485" t="s">
        <v>162</v>
      </c>
      <c r="U485">
        <v>2.673620602496956E-2</v>
      </c>
      <c r="V485" t="s">
        <v>159</v>
      </c>
    </row>
    <row r="486" spans="9:22" x14ac:dyDescent="0.45">
      <c r="I486" t="s">
        <v>180</v>
      </c>
      <c r="J486" t="s">
        <v>163</v>
      </c>
      <c r="K486">
        <v>0</v>
      </c>
      <c r="L486" t="s">
        <v>159</v>
      </c>
      <c r="N486" t="s">
        <v>223</v>
      </c>
      <c r="O486" t="s">
        <v>163</v>
      </c>
      <c r="P486">
        <v>3.449610807396902E-3</v>
      </c>
      <c r="Q486" t="s">
        <v>159</v>
      </c>
      <c r="S486" t="s">
        <v>265</v>
      </c>
      <c r="T486" t="s">
        <v>163</v>
      </c>
      <c r="U486">
        <v>3.6812037355546112E-3</v>
      </c>
      <c r="V486" t="s">
        <v>159</v>
      </c>
    </row>
    <row r="487" spans="9:22" x14ac:dyDescent="0.45">
      <c r="I487" t="s">
        <v>180</v>
      </c>
      <c r="J487" t="s">
        <v>164</v>
      </c>
      <c r="K487">
        <v>4.1325874663917406E-2</v>
      </c>
      <c r="L487" t="s">
        <v>159</v>
      </c>
      <c r="N487" t="s">
        <v>223</v>
      </c>
      <c r="O487" t="s">
        <v>164</v>
      </c>
      <c r="P487">
        <v>3.3077854408476624E-2</v>
      </c>
      <c r="Q487" t="s">
        <v>159</v>
      </c>
      <c r="S487" t="s">
        <v>265</v>
      </c>
      <c r="T487" t="s">
        <v>164</v>
      </c>
      <c r="U487">
        <v>3.0782586471066693E-2</v>
      </c>
      <c r="V487" t="s">
        <v>159</v>
      </c>
    </row>
    <row r="488" spans="9:22" x14ac:dyDescent="0.45">
      <c r="I488" t="s">
        <v>180</v>
      </c>
      <c r="J488" t="s">
        <v>289</v>
      </c>
      <c r="K488">
        <v>3.4523316609824592E-3</v>
      </c>
      <c r="L488" t="s">
        <v>159</v>
      </c>
      <c r="N488" t="s">
        <v>223</v>
      </c>
      <c r="O488" t="s">
        <v>289</v>
      </c>
      <c r="P488">
        <v>3.2966749753633715E-3</v>
      </c>
      <c r="Q488" t="s">
        <v>159</v>
      </c>
      <c r="S488" t="s">
        <v>265</v>
      </c>
      <c r="T488" t="s">
        <v>289</v>
      </c>
      <c r="U488">
        <v>3.5648561214619168E-3</v>
      </c>
      <c r="V488" t="s">
        <v>159</v>
      </c>
    </row>
    <row r="489" spans="9:22" x14ac:dyDescent="0.45">
      <c r="I489" t="s">
        <v>180</v>
      </c>
      <c r="J489" t="s">
        <v>290</v>
      </c>
      <c r="K489">
        <v>0</v>
      </c>
      <c r="L489" t="s">
        <v>159</v>
      </c>
      <c r="N489" t="s">
        <v>223</v>
      </c>
      <c r="O489" t="s">
        <v>290</v>
      </c>
      <c r="P489">
        <v>3.3595577914423917E-3</v>
      </c>
      <c r="Q489" t="s">
        <v>159</v>
      </c>
      <c r="S489" t="s">
        <v>265</v>
      </c>
      <c r="T489" t="s">
        <v>290</v>
      </c>
      <c r="U489">
        <v>3.5913689765645464E-3</v>
      </c>
      <c r="V489" t="s">
        <v>159</v>
      </c>
    </row>
    <row r="490" spans="9:22" x14ac:dyDescent="0.45">
      <c r="I490" t="s">
        <v>180</v>
      </c>
      <c r="J490" t="s">
        <v>309</v>
      </c>
      <c r="K490">
        <v>0</v>
      </c>
      <c r="L490" t="s">
        <v>159</v>
      </c>
      <c r="N490" t="s">
        <v>223</v>
      </c>
      <c r="O490" t="s">
        <v>309</v>
      </c>
      <c r="P490">
        <v>1.7794906570668387E-2</v>
      </c>
      <c r="Q490" t="s">
        <v>159</v>
      </c>
      <c r="S490" t="s">
        <v>265</v>
      </c>
      <c r="T490" t="s">
        <v>309</v>
      </c>
      <c r="U490">
        <v>1.7770584009898876E-2</v>
      </c>
      <c r="V490" t="s">
        <v>159</v>
      </c>
    </row>
    <row r="491" spans="9:22" x14ac:dyDescent="0.45">
      <c r="I491" t="s">
        <v>180</v>
      </c>
      <c r="J491" t="s">
        <v>165</v>
      </c>
      <c r="K491">
        <v>0</v>
      </c>
      <c r="L491" t="s">
        <v>159</v>
      </c>
      <c r="N491" t="s">
        <v>223</v>
      </c>
      <c r="O491" t="s">
        <v>165</v>
      </c>
      <c r="P491">
        <v>2.9509787276424431E-2</v>
      </c>
      <c r="Q491" t="s">
        <v>159</v>
      </c>
      <c r="S491" t="s">
        <v>265</v>
      </c>
      <c r="T491" t="s">
        <v>165</v>
      </c>
      <c r="U491">
        <v>3.0178254072819738E-2</v>
      </c>
      <c r="V491" t="s">
        <v>159</v>
      </c>
    </row>
    <row r="492" spans="9:22" x14ac:dyDescent="0.45">
      <c r="I492" t="s">
        <v>180</v>
      </c>
      <c r="J492" t="s">
        <v>166</v>
      </c>
      <c r="K492">
        <v>7.606360416414188E-4</v>
      </c>
      <c r="L492" t="s">
        <v>159</v>
      </c>
      <c r="N492" t="s">
        <v>223</v>
      </c>
      <c r="O492" t="s">
        <v>166</v>
      </c>
      <c r="P492">
        <v>4.1271703000601255E-3</v>
      </c>
      <c r="Q492" t="s">
        <v>159</v>
      </c>
      <c r="S492" t="s">
        <v>265</v>
      </c>
      <c r="T492" t="s">
        <v>166</v>
      </c>
      <c r="U492">
        <v>4.321609715041295E-3</v>
      </c>
      <c r="V492" t="s">
        <v>159</v>
      </c>
    </row>
    <row r="493" spans="9:22" x14ac:dyDescent="0.45">
      <c r="I493" t="s">
        <v>180</v>
      </c>
      <c r="J493" t="s">
        <v>167</v>
      </c>
      <c r="K493">
        <v>4.768259821623666E-2</v>
      </c>
      <c r="L493" t="s">
        <v>159</v>
      </c>
      <c r="N493" t="s">
        <v>223</v>
      </c>
      <c r="O493" t="s">
        <v>167</v>
      </c>
      <c r="P493">
        <v>3.9657774637849495E-2</v>
      </c>
      <c r="Q493" t="s">
        <v>159</v>
      </c>
      <c r="S493" t="s">
        <v>265</v>
      </c>
      <c r="T493" t="s">
        <v>167</v>
      </c>
      <c r="U493">
        <v>4.0180415492041655E-2</v>
      </c>
      <c r="V493" t="s">
        <v>159</v>
      </c>
    </row>
    <row r="494" spans="9:22" x14ac:dyDescent="0.45">
      <c r="I494" t="s">
        <v>180</v>
      </c>
      <c r="J494" t="s">
        <v>291</v>
      </c>
      <c r="K494">
        <v>3.9038683963197509E-3</v>
      </c>
      <c r="L494" t="s">
        <v>159</v>
      </c>
      <c r="N494" t="s">
        <v>223</v>
      </c>
      <c r="O494" t="s">
        <v>291</v>
      </c>
      <c r="P494">
        <v>4.4246187266819385E-3</v>
      </c>
      <c r="Q494" t="s">
        <v>159</v>
      </c>
      <c r="S494" t="s">
        <v>265</v>
      </c>
      <c r="T494" t="s">
        <v>291</v>
      </c>
      <c r="U494">
        <v>4.4978860203002896E-3</v>
      </c>
      <c r="V494" t="s">
        <v>159</v>
      </c>
    </row>
    <row r="495" spans="9:22" x14ac:dyDescent="0.45">
      <c r="I495" t="s">
        <v>180</v>
      </c>
      <c r="J495" t="s">
        <v>292</v>
      </c>
      <c r="K495">
        <v>0</v>
      </c>
      <c r="L495" t="s">
        <v>159</v>
      </c>
      <c r="N495" t="s">
        <v>223</v>
      </c>
      <c r="O495" t="s">
        <v>292</v>
      </c>
      <c r="P495">
        <v>4.3430442051470113E-3</v>
      </c>
      <c r="Q495" t="s">
        <v>159</v>
      </c>
      <c r="S495" t="s">
        <v>265</v>
      </c>
      <c r="T495" t="s">
        <v>292</v>
      </c>
      <c r="U495">
        <v>4.493600164184733E-3</v>
      </c>
      <c r="V495" t="s">
        <v>159</v>
      </c>
    </row>
    <row r="496" spans="9:22" x14ac:dyDescent="0.45">
      <c r="I496" t="s">
        <v>180</v>
      </c>
      <c r="J496" t="s">
        <v>310</v>
      </c>
      <c r="K496">
        <v>0</v>
      </c>
      <c r="L496" t="s">
        <v>159</v>
      </c>
      <c r="N496" t="s">
        <v>223</v>
      </c>
      <c r="O496" t="s">
        <v>310</v>
      </c>
      <c r="P496">
        <v>2.26789192913971E-2</v>
      </c>
      <c r="Q496" t="s">
        <v>159</v>
      </c>
      <c r="S496" t="s">
        <v>265</v>
      </c>
      <c r="T496" t="s">
        <v>310</v>
      </c>
      <c r="U496">
        <v>2.22473345852441E-2</v>
      </c>
      <c r="V496" t="s">
        <v>159</v>
      </c>
    </row>
    <row r="497" spans="9:22" x14ac:dyDescent="0.45">
      <c r="I497" t="s">
        <v>180</v>
      </c>
      <c r="J497" t="s">
        <v>293</v>
      </c>
      <c r="K497">
        <v>0</v>
      </c>
      <c r="L497" t="s">
        <v>159</v>
      </c>
      <c r="N497" t="s">
        <v>223</v>
      </c>
      <c r="O497" t="s">
        <v>293</v>
      </c>
      <c r="P497">
        <v>3.3461984339092053E-3</v>
      </c>
      <c r="Q497" t="s">
        <v>159</v>
      </c>
      <c r="S497" t="s">
        <v>265</v>
      </c>
      <c r="T497" t="s">
        <v>293</v>
      </c>
      <c r="U497">
        <v>5.04971141770795E-3</v>
      </c>
      <c r="V497" t="s">
        <v>159</v>
      </c>
    </row>
    <row r="498" spans="9:22" x14ac:dyDescent="0.45">
      <c r="I498" t="s">
        <v>180</v>
      </c>
      <c r="J498" t="s">
        <v>294</v>
      </c>
      <c r="K498">
        <v>9.5531208961882499E-4</v>
      </c>
      <c r="L498" t="s">
        <v>159</v>
      </c>
      <c r="N498" t="s">
        <v>223</v>
      </c>
      <c r="O498" t="s">
        <v>294</v>
      </c>
      <c r="P498">
        <v>5.4842921370223334E-4</v>
      </c>
      <c r="Q498" t="s">
        <v>159</v>
      </c>
      <c r="S498" t="s">
        <v>265</v>
      </c>
      <c r="T498" t="s">
        <v>294</v>
      </c>
      <c r="U498">
        <v>7.0802274493349552E-4</v>
      </c>
      <c r="V498" t="s">
        <v>159</v>
      </c>
    </row>
    <row r="499" spans="9:22" x14ac:dyDescent="0.45">
      <c r="I499" t="s">
        <v>180</v>
      </c>
      <c r="J499" t="s">
        <v>295</v>
      </c>
      <c r="K499">
        <v>1.4708367920104434E-2</v>
      </c>
      <c r="L499" t="s">
        <v>159</v>
      </c>
      <c r="N499" t="s">
        <v>223</v>
      </c>
      <c r="O499" t="s">
        <v>295</v>
      </c>
      <c r="P499">
        <v>6.7377672760606166E-3</v>
      </c>
      <c r="Q499" t="s">
        <v>159</v>
      </c>
      <c r="S499" t="s">
        <v>265</v>
      </c>
      <c r="T499" t="s">
        <v>295</v>
      </c>
      <c r="U499">
        <v>7.8554310303839553E-3</v>
      </c>
      <c r="V499" t="s">
        <v>159</v>
      </c>
    </row>
    <row r="500" spans="9:22" x14ac:dyDescent="0.45">
      <c r="I500" t="s">
        <v>180</v>
      </c>
      <c r="J500" t="s">
        <v>296</v>
      </c>
      <c r="K500">
        <v>1.2740303225192199E-3</v>
      </c>
      <c r="L500" t="s">
        <v>159</v>
      </c>
      <c r="N500" t="s">
        <v>223</v>
      </c>
      <c r="O500" t="s">
        <v>296</v>
      </c>
      <c r="P500">
        <v>5.8444907830852331E-4</v>
      </c>
      <c r="Q500" t="s">
        <v>159</v>
      </c>
      <c r="S500" t="s">
        <v>265</v>
      </c>
      <c r="T500" t="s">
        <v>296</v>
      </c>
      <c r="U500">
        <v>9.8852429596584749E-4</v>
      </c>
      <c r="V500" t="s">
        <v>159</v>
      </c>
    </row>
    <row r="501" spans="9:22" x14ac:dyDescent="0.45">
      <c r="I501" t="s">
        <v>180</v>
      </c>
      <c r="J501" t="s">
        <v>297</v>
      </c>
      <c r="K501">
        <v>2.1608056074377336E-7</v>
      </c>
      <c r="L501" t="s">
        <v>159</v>
      </c>
      <c r="N501" t="s">
        <v>223</v>
      </c>
      <c r="O501" t="s">
        <v>297</v>
      </c>
      <c r="P501">
        <v>4.4170895095908157E-4</v>
      </c>
      <c r="Q501" t="s">
        <v>159</v>
      </c>
      <c r="S501" t="s">
        <v>265</v>
      </c>
      <c r="T501" t="s">
        <v>297</v>
      </c>
      <c r="U501">
        <v>9.5129471780360181E-4</v>
      </c>
      <c r="V501" t="s">
        <v>159</v>
      </c>
    </row>
    <row r="502" spans="9:22" x14ac:dyDescent="0.45">
      <c r="I502" t="s">
        <v>180</v>
      </c>
      <c r="J502" t="s">
        <v>311</v>
      </c>
      <c r="K502">
        <v>0</v>
      </c>
      <c r="L502" t="s">
        <v>159</v>
      </c>
      <c r="N502" t="s">
        <v>223</v>
      </c>
      <c r="O502" t="s">
        <v>311</v>
      </c>
      <c r="P502">
        <v>1.4514028776802456E-3</v>
      </c>
      <c r="Q502" t="s">
        <v>159</v>
      </c>
      <c r="S502" t="s">
        <v>265</v>
      </c>
      <c r="T502" t="s">
        <v>311</v>
      </c>
      <c r="U502">
        <v>4.4988556059295604E-3</v>
      </c>
      <c r="V502" t="s">
        <v>159</v>
      </c>
    </row>
    <row r="503" spans="9:22" x14ac:dyDescent="0.45">
      <c r="I503" t="s">
        <v>180</v>
      </c>
      <c r="J503" t="s">
        <v>298</v>
      </c>
      <c r="K503">
        <v>8.5334397245529024E-3</v>
      </c>
      <c r="L503" t="s">
        <v>159</v>
      </c>
      <c r="N503" t="s">
        <v>223</v>
      </c>
      <c r="O503" t="s">
        <v>298</v>
      </c>
      <c r="P503">
        <v>6.8914385446369811E-2</v>
      </c>
      <c r="Q503" t="s">
        <v>159</v>
      </c>
      <c r="S503" t="s">
        <v>265</v>
      </c>
      <c r="T503" t="s">
        <v>298</v>
      </c>
      <c r="U503">
        <v>8.3170090541866928E-2</v>
      </c>
      <c r="V503" t="s">
        <v>159</v>
      </c>
    </row>
    <row r="504" spans="9:22" x14ac:dyDescent="0.45">
      <c r="I504" t="s">
        <v>180</v>
      </c>
      <c r="J504" t="s">
        <v>299</v>
      </c>
      <c r="K504">
        <v>1.8771589902444607E-2</v>
      </c>
      <c r="L504" t="s">
        <v>159</v>
      </c>
      <c r="N504" t="s">
        <v>223</v>
      </c>
      <c r="O504" t="s">
        <v>299</v>
      </c>
      <c r="P504">
        <v>9.7776254952636373E-3</v>
      </c>
      <c r="Q504" t="s">
        <v>159</v>
      </c>
      <c r="S504" t="s">
        <v>265</v>
      </c>
      <c r="T504" t="s">
        <v>299</v>
      </c>
      <c r="U504">
        <v>1.1741983241869281E-2</v>
      </c>
      <c r="V504" t="s">
        <v>159</v>
      </c>
    </row>
    <row r="505" spans="9:22" x14ac:dyDescent="0.45">
      <c r="I505" t="s">
        <v>180</v>
      </c>
      <c r="J505" t="s">
        <v>300</v>
      </c>
      <c r="K505">
        <v>0.24033264972733709</v>
      </c>
      <c r="L505" t="s">
        <v>159</v>
      </c>
      <c r="N505" t="s">
        <v>223</v>
      </c>
      <c r="O505" t="s">
        <v>300</v>
      </c>
      <c r="P505">
        <v>0.11921244029213061</v>
      </c>
      <c r="Q505" t="s">
        <v>159</v>
      </c>
      <c r="S505" t="s">
        <v>265</v>
      </c>
      <c r="T505" t="s">
        <v>300</v>
      </c>
      <c r="U505">
        <v>0.10972737341116656</v>
      </c>
      <c r="V505" t="s">
        <v>159</v>
      </c>
    </row>
    <row r="506" spans="9:22" x14ac:dyDescent="0.45">
      <c r="I506" t="s">
        <v>180</v>
      </c>
      <c r="J506" t="s">
        <v>301</v>
      </c>
      <c r="K506">
        <v>2.1954114927220787E-2</v>
      </c>
      <c r="L506" t="s">
        <v>159</v>
      </c>
      <c r="N506" t="s">
        <v>223</v>
      </c>
      <c r="O506" t="s">
        <v>301</v>
      </c>
      <c r="P506">
        <v>1.423150056907896E-2</v>
      </c>
      <c r="Q506" t="s">
        <v>159</v>
      </c>
      <c r="S506" t="s">
        <v>265</v>
      </c>
      <c r="T506" t="s">
        <v>301</v>
      </c>
      <c r="U506">
        <v>1.311929137750344E-2</v>
      </c>
      <c r="V506" t="s">
        <v>159</v>
      </c>
    </row>
    <row r="507" spans="9:22" x14ac:dyDescent="0.45">
      <c r="I507" t="s">
        <v>180</v>
      </c>
      <c r="J507" t="s">
        <v>302</v>
      </c>
      <c r="K507">
        <v>1.4049938588106986E-2</v>
      </c>
      <c r="L507" t="s">
        <v>159</v>
      </c>
      <c r="N507" t="s">
        <v>223</v>
      </c>
      <c r="O507" t="s">
        <v>302</v>
      </c>
      <c r="P507">
        <v>1.3206926714368928E-2</v>
      </c>
      <c r="Q507" t="s">
        <v>159</v>
      </c>
      <c r="S507" t="s">
        <v>265</v>
      </c>
      <c r="T507" t="s">
        <v>302</v>
      </c>
      <c r="U507">
        <v>1.3058797978298092E-2</v>
      </c>
      <c r="V507" t="s">
        <v>159</v>
      </c>
    </row>
    <row r="508" spans="9:22" x14ac:dyDescent="0.45">
      <c r="I508" t="s">
        <v>180</v>
      </c>
      <c r="J508" t="s">
        <v>312</v>
      </c>
      <c r="K508">
        <v>3.2292965065901619E-7</v>
      </c>
      <c r="L508" t="s">
        <v>159</v>
      </c>
      <c r="N508" t="s">
        <v>223</v>
      </c>
      <c r="O508" t="s">
        <v>312</v>
      </c>
      <c r="P508">
        <v>5.610649550757197E-2</v>
      </c>
      <c r="Q508" t="s">
        <v>159</v>
      </c>
      <c r="S508" t="s">
        <v>265</v>
      </c>
      <c r="T508" t="s">
        <v>312</v>
      </c>
      <c r="U508">
        <v>6.1858853674252312E-2</v>
      </c>
      <c r="V508" t="s">
        <v>159</v>
      </c>
    </row>
    <row r="509" spans="9:22" x14ac:dyDescent="0.45">
      <c r="I509" t="s">
        <v>180</v>
      </c>
      <c r="J509" t="s">
        <v>313</v>
      </c>
      <c r="K509">
        <v>4.7943396436458613E-3</v>
      </c>
      <c r="L509" t="s">
        <v>159</v>
      </c>
      <c r="N509" t="s">
        <v>223</v>
      </c>
      <c r="O509" t="s">
        <v>313</v>
      </c>
      <c r="P509">
        <v>1.5311056361190865E-2</v>
      </c>
      <c r="Q509" t="s">
        <v>159</v>
      </c>
      <c r="S509" t="s">
        <v>265</v>
      </c>
      <c r="T509" t="s">
        <v>313</v>
      </c>
      <c r="U509">
        <v>1.9159342530818885E-2</v>
      </c>
      <c r="V509" t="s">
        <v>159</v>
      </c>
    </row>
    <row r="510" spans="9:22" x14ac:dyDescent="0.45">
      <c r="I510" t="s">
        <v>180</v>
      </c>
      <c r="J510" t="s">
        <v>314</v>
      </c>
      <c r="K510">
        <v>7.4263520449844569E-3</v>
      </c>
      <c r="L510" t="s">
        <v>159</v>
      </c>
      <c r="N510" t="s">
        <v>223</v>
      </c>
      <c r="O510" t="s">
        <v>314</v>
      </c>
      <c r="P510">
        <v>2.2789780620762739E-3</v>
      </c>
      <c r="Q510" t="s">
        <v>159</v>
      </c>
      <c r="S510" t="s">
        <v>265</v>
      </c>
      <c r="T510" t="s">
        <v>314</v>
      </c>
      <c r="U510">
        <v>2.7371894124698895E-3</v>
      </c>
      <c r="V510" t="s">
        <v>159</v>
      </c>
    </row>
    <row r="511" spans="9:22" x14ac:dyDescent="0.45">
      <c r="I511" t="s">
        <v>180</v>
      </c>
      <c r="J511" t="s">
        <v>315</v>
      </c>
      <c r="K511">
        <v>8.4062072030189838E-2</v>
      </c>
      <c r="L511" t="s">
        <v>159</v>
      </c>
      <c r="N511" t="s">
        <v>223</v>
      </c>
      <c r="O511" t="s">
        <v>315</v>
      </c>
      <c r="P511">
        <v>3.4377538116859778E-2</v>
      </c>
      <c r="Q511" t="s">
        <v>159</v>
      </c>
      <c r="S511" t="s">
        <v>265</v>
      </c>
      <c r="T511" t="s">
        <v>315</v>
      </c>
      <c r="U511">
        <v>2.5054205990140507E-2</v>
      </c>
      <c r="V511" t="s">
        <v>159</v>
      </c>
    </row>
    <row r="512" spans="9:22" x14ac:dyDescent="0.45">
      <c r="I512" t="s">
        <v>180</v>
      </c>
      <c r="J512" t="s">
        <v>316</v>
      </c>
      <c r="K512">
        <v>7.9025370577061813E-3</v>
      </c>
      <c r="L512" t="s">
        <v>159</v>
      </c>
      <c r="N512" t="s">
        <v>223</v>
      </c>
      <c r="O512" t="s">
        <v>316</v>
      </c>
      <c r="P512">
        <v>4.4571311619363198E-3</v>
      </c>
      <c r="Q512" t="s">
        <v>159</v>
      </c>
      <c r="S512" t="s">
        <v>265</v>
      </c>
      <c r="T512" t="s">
        <v>316</v>
      </c>
      <c r="U512">
        <v>3.2093943005587541E-3</v>
      </c>
      <c r="V512" t="s">
        <v>159</v>
      </c>
    </row>
    <row r="513" spans="9:22" x14ac:dyDescent="0.45">
      <c r="I513" t="s">
        <v>180</v>
      </c>
      <c r="J513" t="s">
        <v>317</v>
      </c>
      <c r="K513">
        <v>6.3069668667423929E-3</v>
      </c>
      <c r="L513" t="s">
        <v>159</v>
      </c>
      <c r="N513" t="s">
        <v>223</v>
      </c>
      <c r="O513" t="s">
        <v>317</v>
      </c>
      <c r="P513">
        <v>3.9692262119030231E-3</v>
      </c>
      <c r="Q513" t="s">
        <v>159</v>
      </c>
      <c r="S513" t="s">
        <v>265</v>
      </c>
      <c r="T513" t="s">
        <v>317</v>
      </c>
      <c r="U513">
        <v>3.2103063268094584E-3</v>
      </c>
      <c r="V513" t="s">
        <v>159</v>
      </c>
    </row>
    <row r="514" spans="9:22" x14ac:dyDescent="0.45">
      <c r="I514" t="s">
        <v>180</v>
      </c>
      <c r="J514" t="s">
        <v>318</v>
      </c>
      <c r="K514">
        <v>3.348875679749651E-3</v>
      </c>
      <c r="L514" t="s">
        <v>159</v>
      </c>
      <c r="N514" t="s">
        <v>223</v>
      </c>
      <c r="O514" t="s">
        <v>318</v>
      </c>
      <c r="P514">
        <v>1.4790355963120798E-2</v>
      </c>
      <c r="Q514" t="s">
        <v>159</v>
      </c>
      <c r="S514" t="s">
        <v>265</v>
      </c>
      <c r="T514" t="s">
        <v>318</v>
      </c>
      <c r="U514">
        <v>1.4929897704992956E-2</v>
      </c>
      <c r="V514" t="s">
        <v>159</v>
      </c>
    </row>
    <row r="515" spans="9:22" x14ac:dyDescent="0.45">
      <c r="I515" t="s">
        <v>181</v>
      </c>
      <c r="J515" t="s">
        <v>158</v>
      </c>
      <c r="K515">
        <v>1.3598993078403381E-2</v>
      </c>
      <c r="L515" t="s">
        <v>159</v>
      </c>
      <c r="N515" t="s">
        <v>224</v>
      </c>
      <c r="O515" t="s">
        <v>158</v>
      </c>
      <c r="P515">
        <v>9.9962701258671849E-2</v>
      </c>
      <c r="Q515" t="s">
        <v>159</v>
      </c>
      <c r="S515" t="s">
        <v>266</v>
      </c>
      <c r="T515" t="s">
        <v>158</v>
      </c>
      <c r="U515">
        <v>0.11174924479647989</v>
      </c>
      <c r="V515" t="s">
        <v>159</v>
      </c>
    </row>
    <row r="516" spans="9:22" x14ac:dyDescent="0.45">
      <c r="I516" t="s">
        <v>181</v>
      </c>
      <c r="J516" t="s">
        <v>160</v>
      </c>
      <c r="K516">
        <v>2.9345539834860407E-2</v>
      </c>
      <c r="L516" t="s">
        <v>159</v>
      </c>
      <c r="N516" t="s">
        <v>224</v>
      </c>
      <c r="O516" t="s">
        <v>160</v>
      </c>
      <c r="P516">
        <v>1.3812137456823879E-2</v>
      </c>
      <c r="Q516" t="s">
        <v>159</v>
      </c>
      <c r="S516" t="s">
        <v>266</v>
      </c>
      <c r="T516" t="s">
        <v>160</v>
      </c>
      <c r="U516">
        <v>1.5348016523301783E-2</v>
      </c>
      <c r="V516" t="s">
        <v>159</v>
      </c>
    </row>
    <row r="517" spans="9:22" x14ac:dyDescent="0.45">
      <c r="I517" t="s">
        <v>181</v>
      </c>
      <c r="J517" t="s">
        <v>161</v>
      </c>
      <c r="K517">
        <v>0.3805672495504156</v>
      </c>
      <c r="L517" t="s">
        <v>159</v>
      </c>
      <c r="N517" t="s">
        <v>224</v>
      </c>
      <c r="O517" t="s">
        <v>161</v>
      </c>
      <c r="P517">
        <v>0.13614568548340031</v>
      </c>
      <c r="Q517" t="s">
        <v>159</v>
      </c>
      <c r="S517" t="s">
        <v>266</v>
      </c>
      <c r="T517" t="s">
        <v>161</v>
      </c>
      <c r="U517">
        <v>0.16848676185455838</v>
      </c>
      <c r="V517" t="s">
        <v>159</v>
      </c>
    </row>
    <row r="518" spans="9:22" x14ac:dyDescent="0.45">
      <c r="I518" t="s">
        <v>181</v>
      </c>
      <c r="J518" t="s">
        <v>287</v>
      </c>
      <c r="K518">
        <v>2.5028277163421261E-2</v>
      </c>
      <c r="L518" t="s">
        <v>159</v>
      </c>
      <c r="N518" t="s">
        <v>224</v>
      </c>
      <c r="O518" t="s">
        <v>287</v>
      </c>
      <c r="P518">
        <v>2.6337289921972297E-2</v>
      </c>
      <c r="Q518" t="s">
        <v>159</v>
      </c>
      <c r="S518" t="s">
        <v>266</v>
      </c>
      <c r="T518" t="s">
        <v>287</v>
      </c>
      <c r="U518">
        <v>2.3645427113626927E-2</v>
      </c>
      <c r="V518" t="s">
        <v>159</v>
      </c>
    </row>
    <row r="519" spans="9:22" x14ac:dyDescent="0.45">
      <c r="I519" t="s">
        <v>181</v>
      </c>
      <c r="J519" t="s">
        <v>288</v>
      </c>
      <c r="K519">
        <v>1.3174450393203221E-2</v>
      </c>
      <c r="L519" t="s">
        <v>159</v>
      </c>
      <c r="N519" t="s">
        <v>224</v>
      </c>
      <c r="O519" t="s">
        <v>288</v>
      </c>
      <c r="P519">
        <v>2.7273829075931032E-2</v>
      </c>
      <c r="Q519" t="s">
        <v>159</v>
      </c>
      <c r="S519" t="s">
        <v>266</v>
      </c>
      <c r="T519" t="s">
        <v>288</v>
      </c>
      <c r="U519">
        <v>2.2216837375863292E-2</v>
      </c>
      <c r="V519" t="s">
        <v>159</v>
      </c>
    </row>
    <row r="520" spans="9:22" x14ac:dyDescent="0.45">
      <c r="I520" t="s">
        <v>181</v>
      </c>
      <c r="J520" t="s">
        <v>308</v>
      </c>
      <c r="K520">
        <v>3.3940665624020166E-5</v>
      </c>
      <c r="L520" t="s">
        <v>159</v>
      </c>
      <c r="N520" t="s">
        <v>224</v>
      </c>
      <c r="O520" t="s">
        <v>308</v>
      </c>
      <c r="P520">
        <v>0.10037488952954099</v>
      </c>
      <c r="Q520" t="s">
        <v>159</v>
      </c>
      <c r="S520" t="s">
        <v>266</v>
      </c>
      <c r="T520" t="s">
        <v>308</v>
      </c>
      <c r="U520">
        <v>9.096563974719743E-2</v>
      </c>
      <c r="V520" t="s">
        <v>159</v>
      </c>
    </row>
    <row r="521" spans="9:22" x14ac:dyDescent="0.45">
      <c r="I521" t="s">
        <v>181</v>
      </c>
      <c r="J521" t="s">
        <v>162</v>
      </c>
      <c r="K521">
        <v>0</v>
      </c>
      <c r="L521" t="s">
        <v>159</v>
      </c>
      <c r="N521" t="s">
        <v>224</v>
      </c>
      <c r="O521" t="s">
        <v>162</v>
      </c>
      <c r="P521">
        <v>2.2368722801210231E-2</v>
      </c>
      <c r="Q521" t="s">
        <v>159</v>
      </c>
      <c r="S521" t="s">
        <v>266</v>
      </c>
      <c r="T521" t="s">
        <v>162</v>
      </c>
      <c r="U521">
        <v>2.1208585174235951E-2</v>
      </c>
      <c r="V521" t="s">
        <v>159</v>
      </c>
    </row>
    <row r="522" spans="9:22" x14ac:dyDescent="0.45">
      <c r="I522" t="s">
        <v>181</v>
      </c>
      <c r="J522" t="s">
        <v>163</v>
      </c>
      <c r="K522">
        <v>3.9428539551525479E-4</v>
      </c>
      <c r="L522" t="s">
        <v>159</v>
      </c>
      <c r="N522" t="s">
        <v>224</v>
      </c>
      <c r="O522" t="s">
        <v>163</v>
      </c>
      <c r="P522">
        <v>3.2503670910292129E-3</v>
      </c>
      <c r="Q522" t="s">
        <v>159</v>
      </c>
      <c r="S522" t="s">
        <v>266</v>
      </c>
      <c r="T522" t="s">
        <v>163</v>
      </c>
      <c r="U522">
        <v>2.9800274661180479E-3</v>
      </c>
      <c r="V522" t="s">
        <v>159</v>
      </c>
    </row>
    <row r="523" spans="9:22" x14ac:dyDescent="0.45">
      <c r="I523" t="s">
        <v>181</v>
      </c>
      <c r="J523" t="s">
        <v>164</v>
      </c>
      <c r="K523">
        <v>3.6148078412745518E-2</v>
      </c>
      <c r="L523" t="s">
        <v>159</v>
      </c>
      <c r="N523" t="s">
        <v>224</v>
      </c>
      <c r="O523" t="s">
        <v>164</v>
      </c>
      <c r="P523">
        <v>2.1488747783902643E-2</v>
      </c>
      <c r="Q523" t="s">
        <v>159</v>
      </c>
      <c r="S523" t="s">
        <v>266</v>
      </c>
      <c r="T523" t="s">
        <v>164</v>
      </c>
      <c r="U523">
        <v>2.7761012620574017E-2</v>
      </c>
      <c r="V523" t="s">
        <v>159</v>
      </c>
    </row>
    <row r="524" spans="9:22" x14ac:dyDescent="0.45">
      <c r="I524" t="s">
        <v>181</v>
      </c>
      <c r="J524" t="s">
        <v>289</v>
      </c>
      <c r="K524">
        <v>0</v>
      </c>
      <c r="L524" t="s">
        <v>159</v>
      </c>
      <c r="N524" t="s">
        <v>224</v>
      </c>
      <c r="O524" t="s">
        <v>289</v>
      </c>
      <c r="P524">
        <v>4.383818247423529E-3</v>
      </c>
      <c r="Q524" t="s">
        <v>159</v>
      </c>
      <c r="S524" t="s">
        <v>266</v>
      </c>
      <c r="T524" t="s">
        <v>289</v>
      </c>
      <c r="U524">
        <v>3.4368406380087375E-3</v>
      </c>
      <c r="V524" t="s">
        <v>159</v>
      </c>
    </row>
    <row r="525" spans="9:22" x14ac:dyDescent="0.45">
      <c r="I525" t="s">
        <v>181</v>
      </c>
      <c r="J525" t="s">
        <v>290</v>
      </c>
      <c r="K525">
        <v>0</v>
      </c>
      <c r="L525" t="s">
        <v>159</v>
      </c>
      <c r="N525" t="s">
        <v>224</v>
      </c>
      <c r="O525" t="s">
        <v>290</v>
      </c>
      <c r="P525">
        <v>4.2586953299754678E-3</v>
      </c>
      <c r="Q525" t="s">
        <v>159</v>
      </c>
      <c r="S525" t="s">
        <v>266</v>
      </c>
      <c r="T525" t="s">
        <v>290</v>
      </c>
      <c r="U525">
        <v>3.4258674446976788E-3</v>
      </c>
      <c r="V525" t="s">
        <v>159</v>
      </c>
    </row>
    <row r="526" spans="9:22" x14ac:dyDescent="0.45">
      <c r="I526" t="s">
        <v>181</v>
      </c>
      <c r="J526" t="s">
        <v>309</v>
      </c>
      <c r="K526">
        <v>0</v>
      </c>
      <c r="L526" t="s">
        <v>159</v>
      </c>
      <c r="N526" t="s">
        <v>224</v>
      </c>
      <c r="O526" t="s">
        <v>309</v>
      </c>
      <c r="P526">
        <v>1.3142894309017425E-2</v>
      </c>
      <c r="Q526" t="s">
        <v>159</v>
      </c>
      <c r="S526" t="s">
        <v>266</v>
      </c>
      <c r="T526" t="s">
        <v>309</v>
      </c>
      <c r="U526">
        <v>1.6037718323212297E-2</v>
      </c>
      <c r="V526" t="s">
        <v>159</v>
      </c>
    </row>
    <row r="527" spans="9:22" x14ac:dyDescent="0.45">
      <c r="I527" t="s">
        <v>181</v>
      </c>
      <c r="J527" t="s">
        <v>165</v>
      </c>
      <c r="K527">
        <v>0</v>
      </c>
      <c r="L527" t="s">
        <v>159</v>
      </c>
      <c r="N527" t="s">
        <v>224</v>
      </c>
      <c r="O527" t="s">
        <v>165</v>
      </c>
      <c r="P527">
        <v>2.9017925434565529E-2</v>
      </c>
      <c r="Q527" t="s">
        <v>159</v>
      </c>
      <c r="S527" t="s">
        <v>266</v>
      </c>
      <c r="T527" t="s">
        <v>165</v>
      </c>
      <c r="U527">
        <v>2.6635906480984125E-2</v>
      </c>
      <c r="V527" t="s">
        <v>159</v>
      </c>
    </row>
    <row r="528" spans="9:22" x14ac:dyDescent="0.45">
      <c r="I528" t="s">
        <v>181</v>
      </c>
      <c r="J528" t="s">
        <v>166</v>
      </c>
      <c r="K528">
        <v>3.8523333054247101E-3</v>
      </c>
      <c r="L528" t="s">
        <v>159</v>
      </c>
      <c r="N528" t="s">
        <v>224</v>
      </c>
      <c r="O528" t="s">
        <v>166</v>
      </c>
      <c r="P528">
        <v>4.8236291054847046E-3</v>
      </c>
      <c r="Q528" t="s">
        <v>159</v>
      </c>
      <c r="S528" t="s">
        <v>266</v>
      </c>
      <c r="T528" t="s">
        <v>166</v>
      </c>
      <c r="U528">
        <v>4.1048878946181805E-3</v>
      </c>
      <c r="V528" t="s">
        <v>159</v>
      </c>
    </row>
    <row r="529" spans="9:22" x14ac:dyDescent="0.45">
      <c r="I529" t="s">
        <v>181</v>
      </c>
      <c r="J529" t="s">
        <v>167</v>
      </c>
      <c r="K529">
        <v>5.2337659125390783E-2</v>
      </c>
      <c r="L529" t="s">
        <v>159</v>
      </c>
      <c r="N529" t="s">
        <v>224</v>
      </c>
      <c r="O529" t="s">
        <v>167</v>
      </c>
      <c r="P529">
        <v>2.8719778978629051E-2</v>
      </c>
      <c r="Q529" t="s">
        <v>159</v>
      </c>
      <c r="S529" t="s">
        <v>266</v>
      </c>
      <c r="T529" t="s">
        <v>167</v>
      </c>
      <c r="U529">
        <v>4.1645456484197714E-2</v>
      </c>
      <c r="V529" t="s">
        <v>159</v>
      </c>
    </row>
    <row r="530" spans="9:22" x14ac:dyDescent="0.45">
      <c r="I530" t="s">
        <v>181</v>
      </c>
      <c r="J530" t="s">
        <v>291</v>
      </c>
      <c r="K530">
        <v>2.8681563165478723E-3</v>
      </c>
      <c r="L530" t="s">
        <v>159</v>
      </c>
      <c r="N530" t="s">
        <v>224</v>
      </c>
      <c r="O530" t="s">
        <v>291</v>
      </c>
      <c r="P530">
        <v>5.4967622958919738E-3</v>
      </c>
      <c r="Q530" t="s">
        <v>159</v>
      </c>
      <c r="S530" t="s">
        <v>266</v>
      </c>
      <c r="T530" t="s">
        <v>291</v>
      </c>
      <c r="U530">
        <v>4.7904110375584013E-3</v>
      </c>
      <c r="V530" t="s">
        <v>159</v>
      </c>
    </row>
    <row r="531" spans="9:22" x14ac:dyDescent="0.45">
      <c r="I531" t="s">
        <v>181</v>
      </c>
      <c r="J531" t="s">
        <v>292</v>
      </c>
      <c r="K531">
        <v>0</v>
      </c>
      <c r="L531" t="s">
        <v>159</v>
      </c>
      <c r="N531" t="s">
        <v>224</v>
      </c>
      <c r="O531" t="s">
        <v>292</v>
      </c>
      <c r="P531">
        <v>6.6332532733699929E-3</v>
      </c>
      <c r="Q531" t="s">
        <v>159</v>
      </c>
      <c r="S531" t="s">
        <v>266</v>
      </c>
      <c r="T531" t="s">
        <v>292</v>
      </c>
      <c r="U531">
        <v>4.625353273355848E-3</v>
      </c>
      <c r="V531" t="s">
        <v>159</v>
      </c>
    </row>
    <row r="532" spans="9:22" x14ac:dyDescent="0.45">
      <c r="I532" t="s">
        <v>181</v>
      </c>
      <c r="J532" t="s">
        <v>310</v>
      </c>
      <c r="K532">
        <v>0</v>
      </c>
      <c r="L532" t="s">
        <v>159</v>
      </c>
      <c r="N532" t="s">
        <v>224</v>
      </c>
      <c r="O532" t="s">
        <v>310</v>
      </c>
      <c r="P532">
        <v>2.5350462254877717E-2</v>
      </c>
      <c r="Q532" t="s">
        <v>159</v>
      </c>
      <c r="S532" t="s">
        <v>266</v>
      </c>
      <c r="T532" t="s">
        <v>310</v>
      </c>
      <c r="U532">
        <v>2.0457866993310449E-2</v>
      </c>
      <c r="V532" t="s">
        <v>159</v>
      </c>
    </row>
    <row r="533" spans="9:22" x14ac:dyDescent="0.45">
      <c r="I533" t="s">
        <v>181</v>
      </c>
      <c r="J533" t="s">
        <v>293</v>
      </c>
      <c r="K533">
        <v>0</v>
      </c>
      <c r="L533" t="s">
        <v>159</v>
      </c>
      <c r="N533" t="s">
        <v>224</v>
      </c>
      <c r="O533" t="s">
        <v>293</v>
      </c>
      <c r="P533">
        <v>7.0896697508363218E-3</v>
      </c>
      <c r="Q533" t="s">
        <v>159</v>
      </c>
      <c r="S533" t="s">
        <v>266</v>
      </c>
      <c r="T533" t="s">
        <v>293</v>
      </c>
      <c r="U533">
        <v>3.0442873899969836E-3</v>
      </c>
      <c r="V533" t="s">
        <v>159</v>
      </c>
    </row>
    <row r="534" spans="9:22" x14ac:dyDescent="0.45">
      <c r="I534" t="s">
        <v>181</v>
      </c>
      <c r="J534" t="s">
        <v>294</v>
      </c>
      <c r="K534">
        <v>1.2529910600307837E-3</v>
      </c>
      <c r="L534" t="s">
        <v>159</v>
      </c>
      <c r="N534" t="s">
        <v>224</v>
      </c>
      <c r="O534" t="s">
        <v>294</v>
      </c>
      <c r="P534">
        <v>1.0315586196843782E-3</v>
      </c>
      <c r="Q534" t="s">
        <v>159</v>
      </c>
      <c r="S534" t="s">
        <v>266</v>
      </c>
      <c r="T534" t="s">
        <v>294</v>
      </c>
      <c r="U534">
        <v>4.6913359680795684E-4</v>
      </c>
      <c r="V534" t="s">
        <v>159</v>
      </c>
    </row>
    <row r="535" spans="9:22" x14ac:dyDescent="0.45">
      <c r="I535" t="s">
        <v>181</v>
      </c>
      <c r="J535" t="s">
        <v>295</v>
      </c>
      <c r="K535">
        <v>1.605878033210759E-2</v>
      </c>
      <c r="L535" t="s">
        <v>159</v>
      </c>
      <c r="N535" t="s">
        <v>224</v>
      </c>
      <c r="O535" t="s">
        <v>295</v>
      </c>
      <c r="P535">
        <v>8.714757832487291E-3</v>
      </c>
      <c r="Q535" t="s">
        <v>159</v>
      </c>
      <c r="S535" t="s">
        <v>266</v>
      </c>
      <c r="T535" t="s">
        <v>295</v>
      </c>
      <c r="U535">
        <v>5.5720773307617981E-3</v>
      </c>
      <c r="V535" t="s">
        <v>159</v>
      </c>
    </row>
    <row r="536" spans="9:22" x14ac:dyDescent="0.45">
      <c r="I536" t="s">
        <v>181</v>
      </c>
      <c r="J536" t="s">
        <v>296</v>
      </c>
      <c r="K536">
        <v>1.1616146572171705E-3</v>
      </c>
      <c r="L536" t="s">
        <v>159</v>
      </c>
      <c r="N536" t="s">
        <v>224</v>
      </c>
      <c r="O536" t="s">
        <v>296</v>
      </c>
      <c r="P536">
        <v>2.3513839962972798E-3</v>
      </c>
      <c r="Q536" t="s">
        <v>159</v>
      </c>
      <c r="S536" t="s">
        <v>266</v>
      </c>
      <c r="T536" t="s">
        <v>296</v>
      </c>
      <c r="U536">
        <v>7.4911795365639039E-4</v>
      </c>
      <c r="V536" t="s">
        <v>159</v>
      </c>
    </row>
    <row r="537" spans="9:22" x14ac:dyDescent="0.45">
      <c r="I537" t="s">
        <v>181</v>
      </c>
      <c r="J537" t="s">
        <v>297</v>
      </c>
      <c r="K537">
        <v>0</v>
      </c>
      <c r="L537" t="s">
        <v>159</v>
      </c>
      <c r="N537" t="s">
        <v>224</v>
      </c>
      <c r="O537" t="s">
        <v>297</v>
      </c>
      <c r="P537">
        <v>2.7213077576872498E-3</v>
      </c>
      <c r="Q537" t="s">
        <v>159</v>
      </c>
      <c r="S537" t="s">
        <v>266</v>
      </c>
      <c r="T537" t="s">
        <v>297</v>
      </c>
      <c r="U537">
        <v>7.3077424085233537E-4</v>
      </c>
      <c r="V537" t="s">
        <v>159</v>
      </c>
    </row>
    <row r="538" spans="9:22" x14ac:dyDescent="0.45">
      <c r="I538" t="s">
        <v>181</v>
      </c>
      <c r="J538" t="s">
        <v>311</v>
      </c>
      <c r="K538">
        <v>0</v>
      </c>
      <c r="L538" t="s">
        <v>159</v>
      </c>
      <c r="N538" t="s">
        <v>224</v>
      </c>
      <c r="O538" t="s">
        <v>311</v>
      </c>
      <c r="P538">
        <v>9.9559387007667581E-3</v>
      </c>
      <c r="Q538" t="s">
        <v>159</v>
      </c>
      <c r="S538" t="s">
        <v>266</v>
      </c>
      <c r="T538" t="s">
        <v>311</v>
      </c>
      <c r="U538">
        <v>2.9306196043032405E-3</v>
      </c>
      <c r="V538" t="s">
        <v>159</v>
      </c>
    </row>
    <row r="539" spans="9:22" x14ac:dyDescent="0.45">
      <c r="I539" t="s">
        <v>181</v>
      </c>
      <c r="J539" t="s">
        <v>298</v>
      </c>
      <c r="K539">
        <v>1.7298273481645667E-2</v>
      </c>
      <c r="L539" t="s">
        <v>159</v>
      </c>
      <c r="N539" t="s">
        <v>224</v>
      </c>
      <c r="O539" t="s">
        <v>298</v>
      </c>
      <c r="P539">
        <v>7.0299704685868325E-2</v>
      </c>
      <c r="Q539" t="s">
        <v>159</v>
      </c>
      <c r="S539" t="s">
        <v>266</v>
      </c>
      <c r="T539" t="s">
        <v>298</v>
      </c>
      <c r="U539">
        <v>7.384669799893312E-2</v>
      </c>
      <c r="V539" t="s">
        <v>159</v>
      </c>
    </row>
    <row r="540" spans="9:22" x14ac:dyDescent="0.45">
      <c r="I540" t="s">
        <v>181</v>
      </c>
      <c r="J540" t="s">
        <v>299</v>
      </c>
      <c r="K540">
        <v>2.1258301705387398E-2</v>
      </c>
      <c r="L540" t="s">
        <v>159</v>
      </c>
      <c r="N540" t="s">
        <v>224</v>
      </c>
      <c r="O540" t="s">
        <v>299</v>
      </c>
      <c r="P540">
        <v>8.8922053161275428E-3</v>
      </c>
      <c r="Q540" t="s">
        <v>159</v>
      </c>
      <c r="S540" t="s">
        <v>266</v>
      </c>
      <c r="T540" t="s">
        <v>299</v>
      </c>
      <c r="U540">
        <v>1.0460894864940902E-2</v>
      </c>
      <c r="V540" t="s">
        <v>159</v>
      </c>
    </row>
    <row r="541" spans="9:22" x14ac:dyDescent="0.45">
      <c r="I541" t="s">
        <v>181</v>
      </c>
      <c r="J541" t="s">
        <v>300</v>
      </c>
      <c r="K541">
        <v>0.24947801465139721</v>
      </c>
      <c r="L541" t="s">
        <v>159</v>
      </c>
      <c r="N541" t="s">
        <v>224</v>
      </c>
      <c r="O541" t="s">
        <v>300</v>
      </c>
      <c r="P541">
        <v>0.11843855755517893</v>
      </c>
      <c r="Q541" t="s">
        <v>159</v>
      </c>
      <c r="S541" t="s">
        <v>266</v>
      </c>
      <c r="T541" t="s">
        <v>300</v>
      </c>
      <c r="U541">
        <v>0.11808811686336407</v>
      </c>
      <c r="V541" t="s">
        <v>159</v>
      </c>
    </row>
    <row r="542" spans="9:22" x14ac:dyDescent="0.45">
      <c r="I542" t="s">
        <v>181</v>
      </c>
      <c r="J542" t="s">
        <v>301</v>
      </c>
      <c r="K542">
        <v>1.8653653505506664E-2</v>
      </c>
      <c r="L542" t="s">
        <v>159</v>
      </c>
      <c r="N542" t="s">
        <v>224</v>
      </c>
      <c r="O542" t="s">
        <v>301</v>
      </c>
      <c r="P542">
        <v>2.4099040703521517E-2</v>
      </c>
      <c r="Q542" t="s">
        <v>159</v>
      </c>
      <c r="S542" t="s">
        <v>266</v>
      </c>
      <c r="T542" t="s">
        <v>301</v>
      </c>
      <c r="U542">
        <v>1.5235920330129115E-2</v>
      </c>
      <c r="V542" t="s">
        <v>159</v>
      </c>
    </row>
    <row r="543" spans="9:22" x14ac:dyDescent="0.45">
      <c r="I543" t="s">
        <v>181</v>
      </c>
      <c r="J543" t="s">
        <v>302</v>
      </c>
      <c r="K543">
        <v>5.3726615623448503E-3</v>
      </c>
      <c r="L543" t="s">
        <v>159</v>
      </c>
      <c r="N543" t="s">
        <v>224</v>
      </c>
      <c r="O543" t="s">
        <v>302</v>
      </c>
      <c r="P543">
        <v>2.5109958254087978E-2</v>
      </c>
      <c r="Q543" t="s">
        <v>159</v>
      </c>
      <c r="S543" t="s">
        <v>266</v>
      </c>
      <c r="T543" t="s">
        <v>302</v>
      </c>
      <c r="U543">
        <v>1.4262528746189324E-2</v>
      </c>
      <c r="V543" t="s">
        <v>159</v>
      </c>
    </row>
    <row r="544" spans="9:22" x14ac:dyDescent="0.45">
      <c r="I544" t="s">
        <v>181</v>
      </c>
      <c r="J544" t="s">
        <v>312</v>
      </c>
      <c r="K544">
        <v>0</v>
      </c>
      <c r="L544" t="s">
        <v>159</v>
      </c>
      <c r="N544" t="s">
        <v>224</v>
      </c>
      <c r="O544" t="s">
        <v>312</v>
      </c>
      <c r="P544">
        <v>9.2160511560514358E-2</v>
      </c>
      <c r="Q544" t="s">
        <v>159</v>
      </c>
      <c r="S544" t="s">
        <v>266</v>
      </c>
      <c r="T544" t="s">
        <v>312</v>
      </c>
      <c r="U544">
        <v>5.943823752639691E-2</v>
      </c>
      <c r="V544" t="s">
        <v>159</v>
      </c>
    </row>
    <row r="545" spans="9:22" x14ac:dyDescent="0.45">
      <c r="I545" t="s">
        <v>181</v>
      </c>
      <c r="J545" t="s">
        <v>313</v>
      </c>
      <c r="K545">
        <v>7.6768981594689985E-3</v>
      </c>
      <c r="L545" t="s">
        <v>159</v>
      </c>
      <c r="N545" t="s">
        <v>224</v>
      </c>
      <c r="O545" t="s">
        <v>313</v>
      </c>
      <c r="P545">
        <v>1.1515732506043685E-2</v>
      </c>
      <c r="Q545" t="s">
        <v>159</v>
      </c>
      <c r="S545" t="s">
        <v>266</v>
      </c>
      <c r="T545" t="s">
        <v>313</v>
      </c>
      <c r="U545">
        <v>2.0305729342655766E-2</v>
      </c>
      <c r="V545" t="s">
        <v>159</v>
      </c>
    </row>
    <row r="546" spans="9:22" x14ac:dyDescent="0.45">
      <c r="I546" t="s">
        <v>181</v>
      </c>
      <c r="J546" t="s">
        <v>314</v>
      </c>
      <c r="K546">
        <v>6.9695075519490444E-3</v>
      </c>
      <c r="L546" t="s">
        <v>159</v>
      </c>
      <c r="N546" t="s">
        <v>224</v>
      </c>
      <c r="O546" t="s">
        <v>314</v>
      </c>
      <c r="P546">
        <v>1.2238444423438312E-3</v>
      </c>
      <c r="Q546" t="s">
        <v>159</v>
      </c>
      <c r="S546" t="s">
        <v>266</v>
      </c>
      <c r="T546" t="s">
        <v>314</v>
      </c>
      <c r="U546">
        <v>3.1007004545476106E-3</v>
      </c>
      <c r="V546" t="s">
        <v>159</v>
      </c>
    </row>
    <row r="547" spans="9:22" x14ac:dyDescent="0.45">
      <c r="I547" t="s">
        <v>181</v>
      </c>
      <c r="J547" t="s">
        <v>315</v>
      </c>
      <c r="K547">
        <v>8.565741847150192E-2</v>
      </c>
      <c r="L547" t="s">
        <v>159</v>
      </c>
      <c r="N547" t="s">
        <v>224</v>
      </c>
      <c r="O547" t="s">
        <v>315</v>
      </c>
      <c r="P547">
        <v>2.2289267906085861E-2</v>
      </c>
      <c r="Q547" t="s">
        <v>159</v>
      </c>
      <c r="S547" t="s">
        <v>266</v>
      </c>
      <c r="T547" t="s">
        <v>315</v>
      </c>
      <c r="U547">
        <v>3.5495916779526765E-2</v>
      </c>
      <c r="V547" t="s">
        <v>159</v>
      </c>
    </row>
    <row r="548" spans="9:22" x14ac:dyDescent="0.45">
      <c r="I548" t="s">
        <v>181</v>
      </c>
      <c r="J548" t="s">
        <v>316</v>
      </c>
      <c r="K548">
        <v>7.0277133595924406E-3</v>
      </c>
      <c r="L548" t="s">
        <v>159</v>
      </c>
      <c r="N548" t="s">
        <v>224</v>
      </c>
      <c r="O548" t="s">
        <v>316</v>
      </c>
      <c r="P548">
        <v>3.8296355197927922E-3</v>
      </c>
      <c r="Q548" t="s">
        <v>159</v>
      </c>
      <c r="S548" t="s">
        <v>266</v>
      </c>
      <c r="T548" t="s">
        <v>316</v>
      </c>
      <c r="U548">
        <v>4.8118630926994414E-3</v>
      </c>
      <c r="V548" t="s">
        <v>159</v>
      </c>
    </row>
    <row r="549" spans="9:22" x14ac:dyDescent="0.45">
      <c r="I549" t="s">
        <v>181</v>
      </c>
      <c r="J549" t="s">
        <v>317</v>
      </c>
      <c r="K549">
        <v>4.7852082602991303E-3</v>
      </c>
      <c r="L549" t="s">
        <v>159</v>
      </c>
      <c r="N549" t="s">
        <v>224</v>
      </c>
      <c r="O549" t="s">
        <v>317</v>
      </c>
      <c r="P549">
        <v>3.6956799641302538E-3</v>
      </c>
      <c r="Q549" t="s">
        <v>159</v>
      </c>
      <c r="S549" t="s">
        <v>266</v>
      </c>
      <c r="T549" t="s">
        <v>317</v>
      </c>
      <c r="U549">
        <v>4.4302708952498344E-3</v>
      </c>
      <c r="V549" t="s">
        <v>159</v>
      </c>
    </row>
    <row r="550" spans="9:22" x14ac:dyDescent="0.45">
      <c r="I550" t="s">
        <v>181</v>
      </c>
      <c r="J550" t="s">
        <v>318</v>
      </c>
      <c r="K550">
        <v>0</v>
      </c>
      <c r="L550" t="s">
        <v>159</v>
      </c>
      <c r="N550" t="s">
        <v>224</v>
      </c>
      <c r="O550" t="s">
        <v>318</v>
      </c>
      <c r="P550">
        <v>1.3739655296829825E-2</v>
      </c>
      <c r="Q550" t="s">
        <v>159</v>
      </c>
      <c r="S550" t="s">
        <v>266</v>
      </c>
      <c r="T550" t="s">
        <v>318</v>
      </c>
      <c r="U550">
        <v>1.750525174708684E-2</v>
      </c>
      <c r="V550" t="s">
        <v>159</v>
      </c>
    </row>
    <row r="551" spans="9:22" x14ac:dyDescent="0.45">
      <c r="I551" t="s">
        <v>182</v>
      </c>
      <c r="J551" t="s">
        <v>158</v>
      </c>
      <c r="K551">
        <v>1.3729889898042935E-2</v>
      </c>
      <c r="L551" t="s">
        <v>159</v>
      </c>
      <c r="N551" t="s">
        <v>225</v>
      </c>
      <c r="O551" t="s">
        <v>158</v>
      </c>
      <c r="P551">
        <v>0.12151462300363233</v>
      </c>
      <c r="Q551" t="s">
        <v>159</v>
      </c>
      <c r="S551" t="s">
        <v>267</v>
      </c>
      <c r="T551" t="s">
        <v>158</v>
      </c>
      <c r="U551">
        <v>0.13074007245208005</v>
      </c>
      <c r="V551" t="s">
        <v>159</v>
      </c>
    </row>
    <row r="552" spans="9:22" x14ac:dyDescent="0.45">
      <c r="I552" t="s">
        <v>182</v>
      </c>
      <c r="J552" t="s">
        <v>160</v>
      </c>
      <c r="K552">
        <v>3.1533896160951119E-2</v>
      </c>
      <c r="L552" t="s">
        <v>159</v>
      </c>
      <c r="N552" t="s">
        <v>225</v>
      </c>
      <c r="O552" t="s">
        <v>160</v>
      </c>
      <c r="P552">
        <v>1.6350964176114879E-2</v>
      </c>
      <c r="Q552" t="s">
        <v>159</v>
      </c>
      <c r="S552" t="s">
        <v>267</v>
      </c>
      <c r="T552" t="s">
        <v>160</v>
      </c>
      <c r="U552">
        <v>1.7570593972240173E-2</v>
      </c>
      <c r="V552" t="s">
        <v>159</v>
      </c>
    </row>
    <row r="553" spans="9:22" x14ac:dyDescent="0.45">
      <c r="I553" t="s">
        <v>182</v>
      </c>
      <c r="J553" t="s">
        <v>161</v>
      </c>
      <c r="K553">
        <v>0.37424886774096305</v>
      </c>
      <c r="L553" t="s">
        <v>159</v>
      </c>
      <c r="N553" t="s">
        <v>225</v>
      </c>
      <c r="O553" t="s">
        <v>161</v>
      </c>
      <c r="P553">
        <v>0.1622387958926941</v>
      </c>
      <c r="Q553" t="s">
        <v>159</v>
      </c>
      <c r="S553" t="s">
        <v>267</v>
      </c>
      <c r="T553" t="s">
        <v>161</v>
      </c>
      <c r="U553">
        <v>0.16103283242255848</v>
      </c>
      <c r="V553" t="s">
        <v>159</v>
      </c>
    </row>
    <row r="554" spans="9:22" x14ac:dyDescent="0.45">
      <c r="I554" t="s">
        <v>182</v>
      </c>
      <c r="J554" t="s">
        <v>287</v>
      </c>
      <c r="K554">
        <v>2.3502789500008885E-2</v>
      </c>
      <c r="L554" t="s">
        <v>159</v>
      </c>
      <c r="N554" t="s">
        <v>225</v>
      </c>
      <c r="O554" t="s">
        <v>287</v>
      </c>
      <c r="P554">
        <v>2.295337059432144E-2</v>
      </c>
      <c r="Q554" t="s">
        <v>159</v>
      </c>
      <c r="S554" t="s">
        <v>267</v>
      </c>
      <c r="T554" t="s">
        <v>287</v>
      </c>
      <c r="U554">
        <v>2.0438078086032815E-2</v>
      </c>
      <c r="V554" t="s">
        <v>159</v>
      </c>
    </row>
    <row r="555" spans="9:22" x14ac:dyDescent="0.45">
      <c r="I555" t="s">
        <v>182</v>
      </c>
      <c r="J555" t="s">
        <v>288</v>
      </c>
      <c r="K555">
        <v>1.1984681801644387E-2</v>
      </c>
      <c r="L555" t="s">
        <v>159</v>
      </c>
      <c r="N555" t="s">
        <v>225</v>
      </c>
      <c r="O555" t="s">
        <v>288</v>
      </c>
      <c r="P555">
        <v>2.3647063545289646E-2</v>
      </c>
      <c r="Q555" t="s">
        <v>159</v>
      </c>
      <c r="S555" t="s">
        <v>267</v>
      </c>
      <c r="T555" t="s">
        <v>288</v>
      </c>
      <c r="U555">
        <v>2.0488220993151809E-2</v>
      </c>
      <c r="V555" t="s">
        <v>159</v>
      </c>
    </row>
    <row r="556" spans="9:22" x14ac:dyDescent="0.45">
      <c r="I556" t="s">
        <v>182</v>
      </c>
      <c r="J556" t="s">
        <v>308</v>
      </c>
      <c r="K556">
        <v>0</v>
      </c>
      <c r="L556" t="s">
        <v>159</v>
      </c>
      <c r="N556" t="s">
        <v>225</v>
      </c>
      <c r="O556" t="s">
        <v>308</v>
      </c>
      <c r="P556">
        <v>0.10514939953050695</v>
      </c>
      <c r="Q556" t="s">
        <v>159</v>
      </c>
      <c r="S556" t="s">
        <v>267</v>
      </c>
      <c r="T556" t="s">
        <v>308</v>
      </c>
      <c r="U556">
        <v>9.9550515580430848E-2</v>
      </c>
      <c r="V556" t="s">
        <v>159</v>
      </c>
    </row>
    <row r="557" spans="9:22" x14ac:dyDescent="0.45">
      <c r="I557" t="s">
        <v>182</v>
      </c>
      <c r="J557" t="s">
        <v>162</v>
      </c>
      <c r="K557">
        <v>0</v>
      </c>
      <c r="L557" t="s">
        <v>159</v>
      </c>
      <c r="N557" t="s">
        <v>225</v>
      </c>
      <c r="O557" t="s">
        <v>162</v>
      </c>
      <c r="P557">
        <v>1.7433318503140588E-2</v>
      </c>
      <c r="Q557" t="s">
        <v>159</v>
      </c>
      <c r="S557" t="s">
        <v>267</v>
      </c>
      <c r="T557" t="s">
        <v>162</v>
      </c>
      <c r="U557">
        <v>2.4797289124031983E-2</v>
      </c>
      <c r="V557" t="s">
        <v>159</v>
      </c>
    </row>
    <row r="558" spans="9:22" x14ac:dyDescent="0.45">
      <c r="I558" t="s">
        <v>182</v>
      </c>
      <c r="J558" t="s">
        <v>163</v>
      </c>
      <c r="K558">
        <v>2.5873540002770068E-3</v>
      </c>
      <c r="L558" t="s">
        <v>159</v>
      </c>
      <c r="N558" t="s">
        <v>225</v>
      </c>
      <c r="O558" t="s">
        <v>163</v>
      </c>
      <c r="P558">
        <v>2.3445531907857714E-3</v>
      </c>
      <c r="Q558" t="s">
        <v>159</v>
      </c>
      <c r="S558" t="s">
        <v>267</v>
      </c>
      <c r="T558" t="s">
        <v>163</v>
      </c>
      <c r="U558">
        <v>3.385630979977264E-3</v>
      </c>
      <c r="V558" t="s">
        <v>159</v>
      </c>
    </row>
    <row r="559" spans="9:22" x14ac:dyDescent="0.45">
      <c r="I559" t="s">
        <v>182</v>
      </c>
      <c r="J559" t="s">
        <v>164</v>
      </c>
      <c r="K559">
        <v>4.0895212404384824E-2</v>
      </c>
      <c r="L559" t="s">
        <v>159</v>
      </c>
      <c r="N559" t="s">
        <v>225</v>
      </c>
      <c r="O559" t="s">
        <v>164</v>
      </c>
      <c r="P559">
        <v>2.2792617940242815E-2</v>
      </c>
      <c r="Q559" t="s">
        <v>159</v>
      </c>
      <c r="S559" t="s">
        <v>267</v>
      </c>
      <c r="T559" t="s">
        <v>164</v>
      </c>
      <c r="U559">
        <v>2.9893057315992802E-2</v>
      </c>
      <c r="V559" t="s">
        <v>159</v>
      </c>
    </row>
    <row r="560" spans="9:22" x14ac:dyDescent="0.45">
      <c r="I560" t="s">
        <v>182</v>
      </c>
      <c r="J560" t="s">
        <v>289</v>
      </c>
      <c r="K560">
        <v>0</v>
      </c>
      <c r="L560" t="s">
        <v>159</v>
      </c>
      <c r="N560" t="s">
        <v>225</v>
      </c>
      <c r="O560" t="s">
        <v>289</v>
      </c>
      <c r="P560">
        <v>3.3965300176024434E-3</v>
      </c>
      <c r="Q560" t="s">
        <v>159</v>
      </c>
      <c r="S560" t="s">
        <v>267</v>
      </c>
      <c r="T560" t="s">
        <v>289</v>
      </c>
      <c r="U560">
        <v>3.3205179942464233E-3</v>
      </c>
      <c r="V560" t="s">
        <v>159</v>
      </c>
    </row>
    <row r="561" spans="9:22" x14ac:dyDescent="0.45">
      <c r="I561" t="s">
        <v>182</v>
      </c>
      <c r="J561" t="s">
        <v>290</v>
      </c>
      <c r="K561">
        <v>0</v>
      </c>
      <c r="L561" t="s">
        <v>159</v>
      </c>
      <c r="N561" t="s">
        <v>225</v>
      </c>
      <c r="O561" t="s">
        <v>290</v>
      </c>
      <c r="P561">
        <v>3.443709252455704E-3</v>
      </c>
      <c r="Q561" t="s">
        <v>159</v>
      </c>
      <c r="S561" t="s">
        <v>267</v>
      </c>
      <c r="T561" t="s">
        <v>290</v>
      </c>
      <c r="U561">
        <v>3.3569081425287718E-3</v>
      </c>
      <c r="V561" t="s">
        <v>159</v>
      </c>
    </row>
    <row r="562" spans="9:22" x14ac:dyDescent="0.45">
      <c r="I562" t="s">
        <v>182</v>
      </c>
      <c r="J562" t="s">
        <v>309</v>
      </c>
      <c r="K562">
        <v>0</v>
      </c>
      <c r="L562" t="s">
        <v>159</v>
      </c>
      <c r="N562" t="s">
        <v>225</v>
      </c>
      <c r="O562" t="s">
        <v>309</v>
      </c>
      <c r="P562">
        <v>1.514936692040557E-2</v>
      </c>
      <c r="Q562" t="s">
        <v>159</v>
      </c>
      <c r="S562" t="s">
        <v>267</v>
      </c>
      <c r="T562" t="s">
        <v>309</v>
      </c>
      <c r="U562">
        <v>1.7272000670932056E-2</v>
      </c>
      <c r="V562" t="s">
        <v>159</v>
      </c>
    </row>
    <row r="563" spans="9:22" x14ac:dyDescent="0.45">
      <c r="I563" t="s">
        <v>182</v>
      </c>
      <c r="J563" t="s">
        <v>165</v>
      </c>
      <c r="K563">
        <v>0</v>
      </c>
      <c r="L563" t="s">
        <v>159</v>
      </c>
      <c r="N563" t="s">
        <v>225</v>
      </c>
      <c r="O563" t="s">
        <v>165</v>
      </c>
      <c r="P563">
        <v>2.1462882097689925E-2</v>
      </c>
      <c r="Q563" t="s">
        <v>159</v>
      </c>
      <c r="S563" t="s">
        <v>267</v>
      </c>
      <c r="T563" t="s">
        <v>165</v>
      </c>
      <c r="U563">
        <v>2.7848947500259322E-2</v>
      </c>
      <c r="V563" t="s">
        <v>159</v>
      </c>
    </row>
    <row r="564" spans="9:22" x14ac:dyDescent="0.45">
      <c r="I564" t="s">
        <v>182</v>
      </c>
      <c r="J564" t="s">
        <v>166</v>
      </c>
      <c r="K564">
        <v>4.5671977120786073E-3</v>
      </c>
      <c r="L564" t="s">
        <v>159</v>
      </c>
      <c r="N564" t="s">
        <v>225</v>
      </c>
      <c r="O564" t="s">
        <v>166</v>
      </c>
      <c r="P564">
        <v>2.9681003692130364E-3</v>
      </c>
      <c r="Q564" t="s">
        <v>159</v>
      </c>
      <c r="S564" t="s">
        <v>267</v>
      </c>
      <c r="T564" t="s">
        <v>166</v>
      </c>
      <c r="U564">
        <v>4.1295453884704261E-3</v>
      </c>
      <c r="V564" t="s">
        <v>159</v>
      </c>
    </row>
    <row r="565" spans="9:22" x14ac:dyDescent="0.45">
      <c r="I565" t="s">
        <v>182</v>
      </c>
      <c r="J565" t="s">
        <v>167</v>
      </c>
      <c r="K565">
        <v>5.6596631483674373E-2</v>
      </c>
      <c r="L565" t="s">
        <v>159</v>
      </c>
      <c r="N565" t="s">
        <v>225</v>
      </c>
      <c r="O565" t="s">
        <v>167</v>
      </c>
      <c r="P565">
        <v>2.7113198651515884E-2</v>
      </c>
      <c r="Q565" t="s">
        <v>159</v>
      </c>
      <c r="S565" t="s">
        <v>267</v>
      </c>
      <c r="T565" t="s">
        <v>167</v>
      </c>
      <c r="U565">
        <v>3.4732915639587261E-2</v>
      </c>
      <c r="V565" t="s">
        <v>159</v>
      </c>
    </row>
    <row r="566" spans="9:22" x14ac:dyDescent="0.45">
      <c r="I566" t="s">
        <v>182</v>
      </c>
      <c r="J566" t="s">
        <v>291</v>
      </c>
      <c r="K566">
        <v>3.2756335696657382E-3</v>
      </c>
      <c r="L566" t="s">
        <v>159</v>
      </c>
      <c r="N566" t="s">
        <v>225</v>
      </c>
      <c r="O566" t="s">
        <v>291</v>
      </c>
      <c r="P566">
        <v>4.507252026133118E-3</v>
      </c>
      <c r="Q566" t="s">
        <v>159</v>
      </c>
      <c r="S566" t="s">
        <v>267</v>
      </c>
      <c r="T566" t="s">
        <v>291</v>
      </c>
      <c r="U566">
        <v>3.8182867520307889E-3</v>
      </c>
      <c r="V566" t="s">
        <v>159</v>
      </c>
    </row>
    <row r="567" spans="9:22" x14ac:dyDescent="0.45">
      <c r="I567" t="s">
        <v>182</v>
      </c>
      <c r="J567" t="s">
        <v>292</v>
      </c>
      <c r="K567">
        <v>0</v>
      </c>
      <c r="L567" t="s">
        <v>159</v>
      </c>
      <c r="N567" t="s">
        <v>225</v>
      </c>
      <c r="O567" t="s">
        <v>292</v>
      </c>
      <c r="P567">
        <v>4.7518544234192422E-3</v>
      </c>
      <c r="Q567" t="s">
        <v>159</v>
      </c>
      <c r="S567" t="s">
        <v>267</v>
      </c>
      <c r="T567" t="s">
        <v>292</v>
      </c>
      <c r="U567">
        <v>3.8134619297943654E-3</v>
      </c>
      <c r="V567" t="s">
        <v>159</v>
      </c>
    </row>
    <row r="568" spans="9:22" x14ac:dyDescent="0.45">
      <c r="I568" t="s">
        <v>182</v>
      </c>
      <c r="J568" t="s">
        <v>310</v>
      </c>
      <c r="K568">
        <v>0</v>
      </c>
      <c r="L568" t="s">
        <v>159</v>
      </c>
      <c r="N568" t="s">
        <v>225</v>
      </c>
      <c r="O568" t="s">
        <v>310</v>
      </c>
      <c r="P568">
        <v>2.0904654040621664E-2</v>
      </c>
      <c r="Q568" t="s">
        <v>159</v>
      </c>
      <c r="S568" t="s">
        <v>267</v>
      </c>
      <c r="T568" t="s">
        <v>310</v>
      </c>
      <c r="U568">
        <v>1.9454216880783411E-2</v>
      </c>
      <c r="V568" t="s">
        <v>159</v>
      </c>
    </row>
    <row r="569" spans="9:22" x14ac:dyDescent="0.45">
      <c r="I569" t="s">
        <v>182</v>
      </c>
      <c r="J569" t="s">
        <v>293</v>
      </c>
      <c r="K569">
        <v>0</v>
      </c>
      <c r="L569" t="s">
        <v>159</v>
      </c>
      <c r="N569" t="s">
        <v>225</v>
      </c>
      <c r="O569" t="s">
        <v>293</v>
      </c>
      <c r="P569">
        <v>8.8498595165443627E-3</v>
      </c>
      <c r="Q569" t="s">
        <v>159</v>
      </c>
      <c r="S569" t="s">
        <v>267</v>
      </c>
      <c r="T569" t="s">
        <v>293</v>
      </c>
      <c r="U569">
        <v>3.3211354002650119E-3</v>
      </c>
      <c r="V569" t="s">
        <v>159</v>
      </c>
    </row>
    <row r="570" spans="9:22" x14ac:dyDescent="0.45">
      <c r="I570" t="s">
        <v>182</v>
      </c>
      <c r="J570" t="s">
        <v>294</v>
      </c>
      <c r="K570">
        <v>1.3659277043725979E-3</v>
      </c>
      <c r="L570" t="s">
        <v>159</v>
      </c>
      <c r="N570" t="s">
        <v>225</v>
      </c>
      <c r="O570" t="s">
        <v>294</v>
      </c>
      <c r="P570">
        <v>1.2477262142093638E-3</v>
      </c>
      <c r="Q570" t="s">
        <v>159</v>
      </c>
      <c r="S570" t="s">
        <v>267</v>
      </c>
      <c r="T570" t="s">
        <v>294</v>
      </c>
      <c r="U570">
        <v>4.5982122127516704E-4</v>
      </c>
      <c r="V570" t="s">
        <v>159</v>
      </c>
    </row>
    <row r="571" spans="9:22" x14ac:dyDescent="0.45">
      <c r="I571" t="s">
        <v>182</v>
      </c>
      <c r="J571" t="s">
        <v>295</v>
      </c>
      <c r="K571">
        <v>1.5921467073225431E-2</v>
      </c>
      <c r="L571" t="s">
        <v>159</v>
      </c>
      <c r="N571" t="s">
        <v>225</v>
      </c>
      <c r="O571" t="s">
        <v>295</v>
      </c>
      <c r="P571">
        <v>1.061741570996666E-2</v>
      </c>
      <c r="Q571" t="s">
        <v>159</v>
      </c>
      <c r="S571" t="s">
        <v>267</v>
      </c>
      <c r="T571" t="s">
        <v>295</v>
      </c>
      <c r="U571">
        <v>5.6450272877217756E-3</v>
      </c>
      <c r="V571" t="s">
        <v>159</v>
      </c>
    </row>
    <row r="572" spans="9:22" x14ac:dyDescent="0.45">
      <c r="I572" t="s">
        <v>182</v>
      </c>
      <c r="J572" t="s">
        <v>296</v>
      </c>
      <c r="K572">
        <v>1.075965580239252E-3</v>
      </c>
      <c r="L572" t="s">
        <v>159</v>
      </c>
      <c r="N572" t="s">
        <v>225</v>
      </c>
      <c r="O572" t="s">
        <v>296</v>
      </c>
      <c r="P572">
        <v>1.5105909849801916E-3</v>
      </c>
      <c r="Q572" t="s">
        <v>159</v>
      </c>
      <c r="S572" t="s">
        <v>267</v>
      </c>
      <c r="T572" t="s">
        <v>296</v>
      </c>
      <c r="U572">
        <v>7.6104571726711171E-4</v>
      </c>
      <c r="V572" t="s">
        <v>159</v>
      </c>
    </row>
    <row r="573" spans="9:22" x14ac:dyDescent="0.45">
      <c r="I573" t="s">
        <v>182</v>
      </c>
      <c r="J573" t="s">
        <v>297</v>
      </c>
      <c r="K573">
        <v>0</v>
      </c>
      <c r="L573" t="s">
        <v>159</v>
      </c>
      <c r="N573" t="s">
        <v>225</v>
      </c>
      <c r="O573" t="s">
        <v>297</v>
      </c>
      <c r="P573">
        <v>1.5561220636251618E-3</v>
      </c>
      <c r="Q573" t="s">
        <v>159</v>
      </c>
      <c r="S573" t="s">
        <v>267</v>
      </c>
      <c r="T573" t="s">
        <v>297</v>
      </c>
      <c r="U573">
        <v>7.5016378130165562E-4</v>
      </c>
      <c r="V573" t="s">
        <v>159</v>
      </c>
    </row>
    <row r="574" spans="9:22" x14ac:dyDescent="0.45">
      <c r="I574" t="s">
        <v>182</v>
      </c>
      <c r="J574" t="s">
        <v>311</v>
      </c>
      <c r="K574">
        <v>0</v>
      </c>
      <c r="L574" t="s">
        <v>159</v>
      </c>
      <c r="N574" t="s">
        <v>225</v>
      </c>
      <c r="O574" t="s">
        <v>311</v>
      </c>
      <c r="P574">
        <v>6.937101009656472E-3</v>
      </c>
      <c r="Q574" t="s">
        <v>159</v>
      </c>
      <c r="S574" t="s">
        <v>267</v>
      </c>
      <c r="T574" t="s">
        <v>311</v>
      </c>
      <c r="U574">
        <v>3.4390302757760067E-3</v>
      </c>
      <c r="V574" t="s">
        <v>159</v>
      </c>
    </row>
    <row r="575" spans="9:22" x14ac:dyDescent="0.45">
      <c r="I575" t="s">
        <v>182</v>
      </c>
      <c r="J575" t="s">
        <v>298</v>
      </c>
      <c r="K575">
        <v>1.8510208278616783E-2</v>
      </c>
      <c r="L575" t="s">
        <v>159</v>
      </c>
      <c r="N575" t="s">
        <v>225</v>
      </c>
      <c r="O575" t="s">
        <v>298</v>
      </c>
      <c r="P575">
        <v>7.8897936334127311E-2</v>
      </c>
      <c r="Q575" t="s">
        <v>159</v>
      </c>
      <c r="S575" t="s">
        <v>267</v>
      </c>
      <c r="T575" t="s">
        <v>298</v>
      </c>
      <c r="U575">
        <v>7.8329907583365971E-2</v>
      </c>
      <c r="V575" t="s">
        <v>159</v>
      </c>
    </row>
    <row r="576" spans="9:22" x14ac:dyDescent="0.45">
      <c r="I576" t="s">
        <v>182</v>
      </c>
      <c r="J576" t="s">
        <v>299</v>
      </c>
      <c r="K576">
        <v>2.2732244942813205E-2</v>
      </c>
      <c r="L576" t="s">
        <v>159</v>
      </c>
      <c r="N576" t="s">
        <v>225</v>
      </c>
      <c r="O576" t="s">
        <v>299</v>
      </c>
      <c r="P576">
        <v>1.0200048531728767E-2</v>
      </c>
      <c r="Q576" t="s">
        <v>159</v>
      </c>
      <c r="S576" t="s">
        <v>267</v>
      </c>
      <c r="T576" t="s">
        <v>299</v>
      </c>
      <c r="U576">
        <v>1.1215476243374099E-2</v>
      </c>
      <c r="V576" t="s">
        <v>159</v>
      </c>
    </row>
    <row r="577" spans="9:22" x14ac:dyDescent="0.45">
      <c r="I577" t="s">
        <v>182</v>
      </c>
      <c r="J577" t="s">
        <v>300</v>
      </c>
      <c r="K577">
        <v>0.251172260278406</v>
      </c>
      <c r="L577" t="s">
        <v>159</v>
      </c>
      <c r="N577" t="s">
        <v>225</v>
      </c>
      <c r="O577" t="s">
        <v>300</v>
      </c>
      <c r="P577">
        <v>0.11016989372836139</v>
      </c>
      <c r="Q577" t="s">
        <v>159</v>
      </c>
      <c r="S577" t="s">
        <v>267</v>
      </c>
      <c r="T577" t="s">
        <v>300</v>
      </c>
      <c r="U577">
        <v>0.10171717486630462</v>
      </c>
      <c r="V577" t="s">
        <v>159</v>
      </c>
    </row>
    <row r="578" spans="9:22" x14ac:dyDescent="0.45">
      <c r="I578" t="s">
        <v>182</v>
      </c>
      <c r="J578" t="s">
        <v>301</v>
      </c>
      <c r="K578">
        <v>1.8058969917212432E-2</v>
      </c>
      <c r="L578" t="s">
        <v>159</v>
      </c>
      <c r="N578" t="s">
        <v>225</v>
      </c>
      <c r="O578" t="s">
        <v>301</v>
      </c>
      <c r="P578">
        <v>1.6051869377409742E-2</v>
      </c>
      <c r="Q578" t="s">
        <v>159</v>
      </c>
      <c r="S578" t="s">
        <v>267</v>
      </c>
      <c r="T578" t="s">
        <v>301</v>
      </c>
      <c r="U578">
        <v>1.2422456647536679E-2</v>
      </c>
      <c r="V578" t="s">
        <v>159</v>
      </c>
    </row>
    <row r="579" spans="9:22" x14ac:dyDescent="0.45">
      <c r="I579" t="s">
        <v>182</v>
      </c>
      <c r="J579" t="s">
        <v>302</v>
      </c>
      <c r="K579">
        <v>4.9493527143602807E-3</v>
      </c>
      <c r="L579" t="s">
        <v>159</v>
      </c>
      <c r="N579" t="s">
        <v>225</v>
      </c>
      <c r="O579" t="s">
        <v>302</v>
      </c>
      <c r="P579">
        <v>1.6499530743684886E-2</v>
      </c>
      <c r="Q579" t="s">
        <v>159</v>
      </c>
      <c r="S579" t="s">
        <v>267</v>
      </c>
      <c r="T579" t="s">
        <v>302</v>
      </c>
      <c r="U579">
        <v>1.2411145593926464E-2</v>
      </c>
      <c r="V579" t="s">
        <v>159</v>
      </c>
    </row>
    <row r="580" spans="9:22" x14ac:dyDescent="0.45">
      <c r="I580" t="s">
        <v>182</v>
      </c>
      <c r="J580" t="s">
        <v>312</v>
      </c>
      <c r="K580">
        <v>0</v>
      </c>
      <c r="L580" t="s">
        <v>159</v>
      </c>
      <c r="N580" t="s">
        <v>225</v>
      </c>
      <c r="O580" t="s">
        <v>312</v>
      </c>
      <c r="P580">
        <v>7.3192528290547287E-2</v>
      </c>
      <c r="Q580" t="s">
        <v>159</v>
      </c>
      <c r="S580" t="s">
        <v>267</v>
      </c>
      <c r="T580" t="s">
        <v>312</v>
      </c>
      <c r="U580">
        <v>5.8962318333040692E-2</v>
      </c>
      <c r="V580" t="s">
        <v>159</v>
      </c>
    </row>
    <row r="581" spans="9:22" x14ac:dyDescent="0.45">
      <c r="I581" t="s">
        <v>182</v>
      </c>
      <c r="J581" t="s">
        <v>313</v>
      </c>
      <c r="K581">
        <v>7.8425973330494315E-3</v>
      </c>
      <c r="L581" t="s">
        <v>159</v>
      </c>
      <c r="N581" t="s">
        <v>225</v>
      </c>
      <c r="O581" t="s">
        <v>313</v>
      </c>
      <c r="P581">
        <v>1.810031525186474E-2</v>
      </c>
      <c r="Q581" t="s">
        <v>159</v>
      </c>
      <c r="S581" t="s">
        <v>267</v>
      </c>
      <c r="T581" t="s">
        <v>313</v>
      </c>
      <c r="U581">
        <v>2.4148356486294199E-2</v>
      </c>
      <c r="V581" t="s">
        <v>159</v>
      </c>
    </row>
    <row r="582" spans="9:22" x14ac:dyDescent="0.45">
      <c r="I582" t="s">
        <v>182</v>
      </c>
      <c r="J582" t="s">
        <v>314</v>
      </c>
      <c r="K582">
        <v>6.9132579333182299E-3</v>
      </c>
      <c r="L582" t="s">
        <v>159</v>
      </c>
      <c r="N582" t="s">
        <v>225</v>
      </c>
      <c r="O582" t="s">
        <v>314</v>
      </c>
      <c r="P582">
        <v>2.3560670863934752E-3</v>
      </c>
      <c r="Q582" t="s">
        <v>159</v>
      </c>
      <c r="S582" t="s">
        <v>267</v>
      </c>
      <c r="T582" t="s">
        <v>314</v>
      </c>
      <c r="U582">
        <v>3.322564290872073E-3</v>
      </c>
      <c r="V582" t="s">
        <v>159</v>
      </c>
    </row>
    <row r="583" spans="9:22" x14ac:dyDescent="0.45">
      <c r="I583" t="s">
        <v>182</v>
      </c>
      <c r="J583" t="s">
        <v>315</v>
      </c>
      <c r="K583">
        <v>7.9195371138744072E-2</v>
      </c>
      <c r="L583" t="s">
        <v>159</v>
      </c>
      <c r="N583" t="s">
        <v>225</v>
      </c>
      <c r="O583" t="s">
        <v>315</v>
      </c>
      <c r="P583">
        <v>2.4539787445483477E-2</v>
      </c>
      <c r="Q583" t="s">
        <v>159</v>
      </c>
      <c r="S583" t="s">
        <v>267</v>
      </c>
      <c r="T583" t="s">
        <v>315</v>
      </c>
      <c r="U583">
        <v>3.0526439769181717E-2</v>
      </c>
      <c r="V583" t="s">
        <v>159</v>
      </c>
    </row>
    <row r="584" spans="9:22" x14ac:dyDescent="0.45">
      <c r="I584" t="s">
        <v>182</v>
      </c>
      <c r="J584" t="s">
        <v>316</v>
      </c>
      <c r="K584">
        <v>5.6074197390858886E-3</v>
      </c>
      <c r="L584" t="s">
        <v>159</v>
      </c>
      <c r="N584" t="s">
        <v>225</v>
      </c>
      <c r="O584" t="s">
        <v>316</v>
      </c>
      <c r="P584">
        <v>3.2314386554931933E-3</v>
      </c>
      <c r="Q584" t="s">
        <v>159</v>
      </c>
      <c r="S584" t="s">
        <v>267</v>
      </c>
      <c r="T584" t="s">
        <v>316</v>
      </c>
      <c r="U584">
        <v>3.9474552505550592E-3</v>
      </c>
      <c r="V584" t="s">
        <v>159</v>
      </c>
    </row>
    <row r="585" spans="9:22" x14ac:dyDescent="0.45">
      <c r="I585" t="s">
        <v>182</v>
      </c>
      <c r="J585" t="s">
        <v>317</v>
      </c>
      <c r="K585">
        <v>3.7328030948624146E-3</v>
      </c>
      <c r="L585" t="s">
        <v>159</v>
      </c>
      <c r="N585" t="s">
        <v>225</v>
      </c>
      <c r="O585" t="s">
        <v>317</v>
      </c>
      <c r="P585">
        <v>3.1760075798243212E-3</v>
      </c>
      <c r="Q585" t="s">
        <v>159</v>
      </c>
      <c r="S585" t="s">
        <v>267</v>
      </c>
      <c r="T585" t="s">
        <v>317</v>
      </c>
      <c r="U585">
        <v>3.9471107124152893E-3</v>
      </c>
      <c r="V585" t="s">
        <v>159</v>
      </c>
    </row>
    <row r="586" spans="9:22" x14ac:dyDescent="0.45">
      <c r="I586" t="s">
        <v>182</v>
      </c>
      <c r="J586" t="s">
        <v>318</v>
      </c>
      <c r="K586">
        <v>0</v>
      </c>
      <c r="L586" t="s">
        <v>159</v>
      </c>
      <c r="N586" t="s">
        <v>225</v>
      </c>
      <c r="O586" t="s">
        <v>318</v>
      </c>
      <c r="P586">
        <v>1.4743507300314781E-2</v>
      </c>
      <c r="Q586" t="s">
        <v>159</v>
      </c>
      <c r="S586" t="s">
        <v>267</v>
      </c>
      <c r="T586" t="s">
        <v>318</v>
      </c>
      <c r="U586">
        <v>1.9030278714394461E-2</v>
      </c>
      <c r="V586" t="s">
        <v>159</v>
      </c>
    </row>
    <row r="587" spans="9:22" x14ac:dyDescent="0.45">
      <c r="I587" t="s">
        <v>183</v>
      </c>
      <c r="J587" t="s">
        <v>158</v>
      </c>
      <c r="K587">
        <v>1.1886181355141325E-2</v>
      </c>
      <c r="L587" t="s">
        <v>159</v>
      </c>
      <c r="N587" t="s">
        <v>226</v>
      </c>
      <c r="O587" t="s">
        <v>158</v>
      </c>
      <c r="P587">
        <v>0.11872920487777089</v>
      </c>
      <c r="Q587" t="s">
        <v>159</v>
      </c>
      <c r="S587" t="s">
        <v>268</v>
      </c>
      <c r="T587" t="s">
        <v>158</v>
      </c>
      <c r="U587">
        <v>0.12803626769329615</v>
      </c>
      <c r="V587" t="s">
        <v>159</v>
      </c>
    </row>
    <row r="588" spans="9:22" x14ac:dyDescent="0.45">
      <c r="I588" t="s">
        <v>183</v>
      </c>
      <c r="J588" t="s">
        <v>160</v>
      </c>
      <c r="K588">
        <v>2.9209020761161924E-2</v>
      </c>
      <c r="L588" t="s">
        <v>159</v>
      </c>
      <c r="N588" t="s">
        <v>226</v>
      </c>
      <c r="O588" t="s">
        <v>160</v>
      </c>
      <c r="P588">
        <v>1.8483685619360757E-2</v>
      </c>
      <c r="Q588" t="s">
        <v>159</v>
      </c>
      <c r="S588" t="s">
        <v>268</v>
      </c>
      <c r="T588" t="s">
        <v>160</v>
      </c>
      <c r="U588">
        <v>1.8207813628134176E-2</v>
      </c>
      <c r="V588" t="s">
        <v>159</v>
      </c>
    </row>
    <row r="589" spans="9:22" x14ac:dyDescent="0.45">
      <c r="I589" t="s">
        <v>183</v>
      </c>
      <c r="J589" t="s">
        <v>161</v>
      </c>
      <c r="K589">
        <v>0.37685112765832002</v>
      </c>
      <c r="L589" t="s">
        <v>159</v>
      </c>
      <c r="N589" t="s">
        <v>226</v>
      </c>
      <c r="O589" t="s">
        <v>161</v>
      </c>
      <c r="P589">
        <v>0.18054316136019408</v>
      </c>
      <c r="Q589" t="s">
        <v>159</v>
      </c>
      <c r="S589" t="s">
        <v>268</v>
      </c>
      <c r="T589" t="s">
        <v>161</v>
      </c>
      <c r="U589">
        <v>0.1661998672972512</v>
      </c>
      <c r="V589" t="s">
        <v>159</v>
      </c>
    </row>
    <row r="590" spans="9:22" x14ac:dyDescent="0.45">
      <c r="I590" t="s">
        <v>183</v>
      </c>
      <c r="J590" t="s">
        <v>287</v>
      </c>
      <c r="K590">
        <v>2.6794508350617474E-2</v>
      </c>
      <c r="L590" t="s">
        <v>159</v>
      </c>
      <c r="N590" t="s">
        <v>226</v>
      </c>
      <c r="O590" t="s">
        <v>287</v>
      </c>
      <c r="P590">
        <v>2.5576538149985267E-2</v>
      </c>
      <c r="Q590" t="s">
        <v>159</v>
      </c>
      <c r="S590" t="s">
        <v>268</v>
      </c>
      <c r="T590" t="s">
        <v>287</v>
      </c>
      <c r="U590">
        <v>1.8797526472033074E-2</v>
      </c>
      <c r="V590" t="s">
        <v>159</v>
      </c>
    </row>
    <row r="591" spans="9:22" x14ac:dyDescent="0.45">
      <c r="I591" t="s">
        <v>183</v>
      </c>
      <c r="J591" t="s">
        <v>288</v>
      </c>
      <c r="K591">
        <v>1.4488244441475229E-2</v>
      </c>
      <c r="L591" t="s">
        <v>159</v>
      </c>
      <c r="N591" t="s">
        <v>226</v>
      </c>
      <c r="O591" t="s">
        <v>288</v>
      </c>
      <c r="P591">
        <v>2.2785715827335792E-2</v>
      </c>
      <c r="Q591" t="s">
        <v>159</v>
      </c>
      <c r="S591" t="s">
        <v>268</v>
      </c>
      <c r="T591" t="s">
        <v>288</v>
      </c>
      <c r="U591">
        <v>1.8585699891831963E-2</v>
      </c>
      <c r="V591" t="s">
        <v>159</v>
      </c>
    </row>
    <row r="592" spans="9:22" x14ac:dyDescent="0.45">
      <c r="I592" t="s">
        <v>183</v>
      </c>
      <c r="J592" t="s">
        <v>308</v>
      </c>
      <c r="K592">
        <v>1.1199837815115508E-4</v>
      </c>
      <c r="L592" t="s">
        <v>159</v>
      </c>
      <c r="N592" t="s">
        <v>226</v>
      </c>
      <c r="O592" t="s">
        <v>308</v>
      </c>
      <c r="P592">
        <v>7.7635121457723222E-2</v>
      </c>
      <c r="Q592" t="s">
        <v>159</v>
      </c>
      <c r="S592" t="s">
        <v>268</v>
      </c>
      <c r="T592" t="s">
        <v>308</v>
      </c>
      <c r="U592">
        <v>9.1399604826742337E-2</v>
      </c>
      <c r="V592" t="s">
        <v>159</v>
      </c>
    </row>
    <row r="593" spans="9:22" x14ac:dyDescent="0.45">
      <c r="I593" t="s">
        <v>183</v>
      </c>
      <c r="J593" t="s">
        <v>162</v>
      </c>
      <c r="K593">
        <v>0</v>
      </c>
      <c r="L593" t="s">
        <v>159</v>
      </c>
      <c r="N593" t="s">
        <v>226</v>
      </c>
      <c r="O593" t="s">
        <v>162</v>
      </c>
      <c r="P593">
        <v>1.4177772980178537E-2</v>
      </c>
      <c r="Q593" t="s">
        <v>159</v>
      </c>
      <c r="S593" t="s">
        <v>268</v>
      </c>
      <c r="T593" t="s">
        <v>162</v>
      </c>
      <c r="U593">
        <v>2.5803319785265087E-2</v>
      </c>
      <c r="V593" t="s">
        <v>159</v>
      </c>
    </row>
    <row r="594" spans="9:22" x14ac:dyDescent="0.45">
      <c r="I594" t="s">
        <v>183</v>
      </c>
      <c r="J594" t="s">
        <v>163</v>
      </c>
      <c r="K594">
        <v>3.0407951896572859E-4</v>
      </c>
      <c r="L594" t="s">
        <v>159</v>
      </c>
      <c r="N594" t="s">
        <v>226</v>
      </c>
      <c r="O594" t="s">
        <v>163</v>
      </c>
      <c r="P594">
        <v>2.5926376756492992E-3</v>
      </c>
      <c r="Q594" t="s">
        <v>159</v>
      </c>
      <c r="S594" t="s">
        <v>268</v>
      </c>
      <c r="T594" t="s">
        <v>163</v>
      </c>
      <c r="U594">
        <v>3.9472402676897795E-3</v>
      </c>
      <c r="V594" t="s">
        <v>159</v>
      </c>
    </row>
    <row r="595" spans="9:22" x14ac:dyDescent="0.45">
      <c r="I595" t="s">
        <v>183</v>
      </c>
      <c r="J595" t="s">
        <v>164</v>
      </c>
      <c r="K595">
        <v>3.9608178284009095E-2</v>
      </c>
      <c r="L595" t="s">
        <v>159</v>
      </c>
      <c r="N595" t="s">
        <v>226</v>
      </c>
      <c r="O595" t="s">
        <v>164</v>
      </c>
      <c r="P595">
        <v>2.3982045447963476E-2</v>
      </c>
      <c r="Q595" t="s">
        <v>159</v>
      </c>
      <c r="S595" t="s">
        <v>268</v>
      </c>
      <c r="T595" t="s">
        <v>164</v>
      </c>
      <c r="U595">
        <v>3.2123067699411173E-2</v>
      </c>
      <c r="V595" t="s">
        <v>159</v>
      </c>
    </row>
    <row r="596" spans="9:22" x14ac:dyDescent="0.45">
      <c r="I596" t="s">
        <v>183</v>
      </c>
      <c r="J596" t="s">
        <v>289</v>
      </c>
      <c r="K596">
        <v>4.776454861807922E-4</v>
      </c>
      <c r="L596" t="s">
        <v>159</v>
      </c>
      <c r="N596" t="s">
        <v>226</v>
      </c>
      <c r="O596" t="s">
        <v>289</v>
      </c>
      <c r="P596">
        <v>3.6935263930357879E-3</v>
      </c>
      <c r="Q596" t="s">
        <v>159</v>
      </c>
      <c r="S596" t="s">
        <v>268</v>
      </c>
      <c r="T596" t="s">
        <v>289</v>
      </c>
      <c r="U596">
        <v>3.3171013072514975E-3</v>
      </c>
      <c r="V596" t="s">
        <v>159</v>
      </c>
    </row>
    <row r="597" spans="9:22" x14ac:dyDescent="0.45">
      <c r="I597" t="s">
        <v>183</v>
      </c>
      <c r="J597" t="s">
        <v>290</v>
      </c>
      <c r="K597">
        <v>0</v>
      </c>
      <c r="L597" t="s">
        <v>159</v>
      </c>
      <c r="N597" t="s">
        <v>226</v>
      </c>
      <c r="O597" t="s">
        <v>290</v>
      </c>
      <c r="P597">
        <v>2.6657870980946667E-3</v>
      </c>
      <c r="Q597" t="s">
        <v>159</v>
      </c>
      <c r="S597" t="s">
        <v>268</v>
      </c>
      <c r="T597" t="s">
        <v>290</v>
      </c>
      <c r="U597">
        <v>3.3613482780384739E-3</v>
      </c>
      <c r="V597" t="s">
        <v>159</v>
      </c>
    </row>
    <row r="598" spans="9:22" x14ac:dyDescent="0.45">
      <c r="I598" t="s">
        <v>183</v>
      </c>
      <c r="J598" t="s">
        <v>309</v>
      </c>
      <c r="K598">
        <v>0</v>
      </c>
      <c r="L598" t="s">
        <v>159</v>
      </c>
      <c r="N598" t="s">
        <v>226</v>
      </c>
      <c r="O598" t="s">
        <v>309</v>
      </c>
      <c r="P598">
        <v>7.6517043785401745E-3</v>
      </c>
      <c r="Q598" t="s">
        <v>159</v>
      </c>
      <c r="S598" t="s">
        <v>268</v>
      </c>
      <c r="T598" t="s">
        <v>309</v>
      </c>
      <c r="U598">
        <v>1.7403899313016839E-2</v>
      </c>
      <c r="V598" t="s">
        <v>159</v>
      </c>
    </row>
    <row r="599" spans="9:22" x14ac:dyDescent="0.45">
      <c r="I599" t="s">
        <v>183</v>
      </c>
      <c r="J599" t="s">
        <v>165</v>
      </c>
      <c r="K599">
        <v>0</v>
      </c>
      <c r="L599" t="s">
        <v>159</v>
      </c>
      <c r="N599" t="s">
        <v>226</v>
      </c>
      <c r="O599" t="s">
        <v>165</v>
      </c>
      <c r="P599">
        <v>3.1911231560916929E-2</v>
      </c>
      <c r="Q599" t="s">
        <v>159</v>
      </c>
      <c r="S599" t="s">
        <v>268</v>
      </c>
      <c r="T599" t="s">
        <v>165</v>
      </c>
      <c r="U599">
        <v>2.9326019420313518E-2</v>
      </c>
      <c r="V599" t="s">
        <v>159</v>
      </c>
    </row>
    <row r="600" spans="9:22" x14ac:dyDescent="0.45">
      <c r="I600" t="s">
        <v>183</v>
      </c>
      <c r="J600" t="s">
        <v>166</v>
      </c>
      <c r="K600">
        <v>4.0067703692473113E-3</v>
      </c>
      <c r="L600" t="s">
        <v>159</v>
      </c>
      <c r="N600" t="s">
        <v>226</v>
      </c>
      <c r="O600" t="s">
        <v>166</v>
      </c>
      <c r="P600">
        <v>5.7449467032069995E-3</v>
      </c>
      <c r="Q600" t="s">
        <v>159</v>
      </c>
      <c r="S600" t="s">
        <v>268</v>
      </c>
      <c r="T600" t="s">
        <v>166</v>
      </c>
      <c r="U600">
        <v>4.0295491670534131E-3</v>
      </c>
      <c r="V600" t="s">
        <v>159</v>
      </c>
    </row>
    <row r="601" spans="9:22" x14ac:dyDescent="0.45">
      <c r="I601" t="s">
        <v>183</v>
      </c>
      <c r="J601" t="s">
        <v>167</v>
      </c>
      <c r="K601">
        <v>5.3110294665893086E-2</v>
      </c>
      <c r="L601" t="s">
        <v>159</v>
      </c>
      <c r="N601" t="s">
        <v>226</v>
      </c>
      <c r="O601" t="s">
        <v>167</v>
      </c>
      <c r="P601">
        <v>4.7773208083289734E-2</v>
      </c>
      <c r="Q601" t="s">
        <v>159</v>
      </c>
      <c r="S601" t="s">
        <v>268</v>
      </c>
      <c r="T601" t="s">
        <v>167</v>
      </c>
      <c r="U601">
        <v>3.4617188598351958E-2</v>
      </c>
      <c r="V601" t="s">
        <v>159</v>
      </c>
    </row>
    <row r="602" spans="9:22" x14ac:dyDescent="0.45">
      <c r="I602" t="s">
        <v>183</v>
      </c>
      <c r="J602" t="s">
        <v>291</v>
      </c>
      <c r="K602">
        <v>4.1588135179225633E-3</v>
      </c>
      <c r="L602" t="s">
        <v>159</v>
      </c>
      <c r="N602" t="s">
        <v>226</v>
      </c>
      <c r="O602" t="s">
        <v>291</v>
      </c>
      <c r="P602">
        <v>4.1634528217756603E-3</v>
      </c>
      <c r="Q602" t="s">
        <v>159</v>
      </c>
      <c r="S602" t="s">
        <v>268</v>
      </c>
      <c r="T602" t="s">
        <v>291</v>
      </c>
      <c r="U602">
        <v>3.6562023123193834E-3</v>
      </c>
      <c r="V602" t="s">
        <v>159</v>
      </c>
    </row>
    <row r="603" spans="9:22" x14ac:dyDescent="0.45">
      <c r="I603" t="s">
        <v>183</v>
      </c>
      <c r="J603" t="s">
        <v>292</v>
      </c>
      <c r="K603">
        <v>0</v>
      </c>
      <c r="L603" t="s">
        <v>159</v>
      </c>
      <c r="N603" t="s">
        <v>226</v>
      </c>
      <c r="O603" t="s">
        <v>292</v>
      </c>
      <c r="P603">
        <v>3.3142407359812625E-3</v>
      </c>
      <c r="Q603" t="s">
        <v>159</v>
      </c>
      <c r="S603" t="s">
        <v>268</v>
      </c>
      <c r="T603" t="s">
        <v>292</v>
      </c>
      <c r="U603">
        <v>3.7649964582200201E-3</v>
      </c>
      <c r="V603" t="s">
        <v>159</v>
      </c>
    </row>
    <row r="604" spans="9:22" x14ac:dyDescent="0.45">
      <c r="I604" t="s">
        <v>183</v>
      </c>
      <c r="J604" t="s">
        <v>310</v>
      </c>
      <c r="K604">
        <v>0</v>
      </c>
      <c r="L604" t="s">
        <v>159</v>
      </c>
      <c r="N604" t="s">
        <v>226</v>
      </c>
      <c r="O604" t="s">
        <v>310</v>
      </c>
      <c r="P604">
        <v>1.096431386787433E-2</v>
      </c>
      <c r="Q604" t="s">
        <v>159</v>
      </c>
      <c r="S604" t="s">
        <v>268</v>
      </c>
      <c r="T604" t="s">
        <v>310</v>
      </c>
      <c r="U604">
        <v>2.1471940399062927E-2</v>
      </c>
      <c r="V604" t="s">
        <v>159</v>
      </c>
    </row>
    <row r="605" spans="9:22" x14ac:dyDescent="0.45">
      <c r="I605" t="s">
        <v>183</v>
      </c>
      <c r="J605" t="s">
        <v>293</v>
      </c>
      <c r="K605">
        <v>0</v>
      </c>
      <c r="L605" t="s">
        <v>159</v>
      </c>
      <c r="N605" t="s">
        <v>226</v>
      </c>
      <c r="O605" t="s">
        <v>293</v>
      </c>
      <c r="P605">
        <v>8.4570427510616362E-3</v>
      </c>
      <c r="Q605" t="s">
        <v>159</v>
      </c>
      <c r="S605" t="s">
        <v>268</v>
      </c>
      <c r="T605" t="s">
        <v>293</v>
      </c>
      <c r="U605">
        <v>4.9297207254106632E-3</v>
      </c>
      <c r="V605" t="s">
        <v>159</v>
      </c>
    </row>
    <row r="606" spans="9:22" x14ac:dyDescent="0.45">
      <c r="I606" t="s">
        <v>183</v>
      </c>
      <c r="J606" t="s">
        <v>294</v>
      </c>
      <c r="K606">
        <v>1.290274979247203E-3</v>
      </c>
      <c r="L606" t="s">
        <v>159</v>
      </c>
      <c r="N606" t="s">
        <v>226</v>
      </c>
      <c r="O606" t="s">
        <v>294</v>
      </c>
      <c r="P606">
        <v>1.9998763150901777E-3</v>
      </c>
      <c r="Q606" t="s">
        <v>159</v>
      </c>
      <c r="S606" t="s">
        <v>268</v>
      </c>
      <c r="T606" t="s">
        <v>294</v>
      </c>
      <c r="U606">
        <v>5.9995187407444264E-4</v>
      </c>
      <c r="V606" t="s">
        <v>159</v>
      </c>
    </row>
    <row r="607" spans="9:22" x14ac:dyDescent="0.45">
      <c r="I607" t="s">
        <v>183</v>
      </c>
      <c r="J607" t="s">
        <v>295</v>
      </c>
      <c r="K607">
        <v>1.5741333818754037E-2</v>
      </c>
      <c r="L607" t="s">
        <v>159</v>
      </c>
      <c r="N607" t="s">
        <v>226</v>
      </c>
      <c r="O607" t="s">
        <v>295</v>
      </c>
      <c r="P607">
        <v>1.4771928138338645E-2</v>
      </c>
      <c r="Q607" t="s">
        <v>159</v>
      </c>
      <c r="S607" t="s">
        <v>268</v>
      </c>
      <c r="T607" t="s">
        <v>295</v>
      </c>
      <c r="U607">
        <v>7.2050000836747794E-3</v>
      </c>
      <c r="V607" t="s">
        <v>159</v>
      </c>
    </row>
    <row r="608" spans="9:22" x14ac:dyDescent="0.45">
      <c r="I608" t="s">
        <v>183</v>
      </c>
      <c r="J608" t="s">
        <v>296</v>
      </c>
      <c r="K608">
        <v>1.2106826829188094E-3</v>
      </c>
      <c r="L608" t="s">
        <v>159</v>
      </c>
      <c r="N608" t="s">
        <v>226</v>
      </c>
      <c r="O608" t="s">
        <v>296</v>
      </c>
      <c r="P608">
        <v>1.1260358245395081E-3</v>
      </c>
      <c r="Q608" t="s">
        <v>159</v>
      </c>
      <c r="S608" t="s">
        <v>268</v>
      </c>
      <c r="T608" t="s">
        <v>296</v>
      </c>
      <c r="U608">
        <v>9.2103094130270558E-4</v>
      </c>
      <c r="V608" t="s">
        <v>159</v>
      </c>
    </row>
    <row r="609" spans="9:22" x14ac:dyDescent="0.45">
      <c r="I609" t="s">
        <v>183</v>
      </c>
      <c r="J609" t="s">
        <v>297</v>
      </c>
      <c r="K609">
        <v>0</v>
      </c>
      <c r="L609" t="s">
        <v>159</v>
      </c>
      <c r="N609" t="s">
        <v>226</v>
      </c>
      <c r="O609" t="s">
        <v>297</v>
      </c>
      <c r="P609">
        <v>1.187982543256203E-3</v>
      </c>
      <c r="Q609" t="s">
        <v>159</v>
      </c>
      <c r="S609" t="s">
        <v>268</v>
      </c>
      <c r="T609" t="s">
        <v>297</v>
      </c>
      <c r="U609">
        <v>8.7886114356361845E-4</v>
      </c>
      <c r="V609" t="s">
        <v>159</v>
      </c>
    </row>
    <row r="610" spans="9:22" x14ac:dyDescent="0.45">
      <c r="I610" t="s">
        <v>183</v>
      </c>
      <c r="J610" t="s">
        <v>311</v>
      </c>
      <c r="K610">
        <v>0</v>
      </c>
      <c r="L610" t="s">
        <v>159</v>
      </c>
      <c r="N610" t="s">
        <v>226</v>
      </c>
      <c r="O610" t="s">
        <v>311</v>
      </c>
      <c r="P610">
        <v>4.0141611039840458E-3</v>
      </c>
      <c r="Q610" t="s">
        <v>159</v>
      </c>
      <c r="S610" t="s">
        <v>268</v>
      </c>
      <c r="T610" t="s">
        <v>311</v>
      </c>
      <c r="U610">
        <v>3.3737728015204413E-3</v>
      </c>
      <c r="V610" t="s">
        <v>159</v>
      </c>
    </row>
    <row r="611" spans="9:22" x14ac:dyDescent="0.45">
      <c r="I611" t="s">
        <v>183</v>
      </c>
      <c r="J611" t="s">
        <v>298</v>
      </c>
      <c r="K611">
        <v>1.5951966971042127E-2</v>
      </c>
      <c r="L611" t="s">
        <v>159</v>
      </c>
      <c r="N611" t="s">
        <v>226</v>
      </c>
      <c r="O611" t="s">
        <v>298</v>
      </c>
      <c r="P611">
        <v>6.5293518583735929E-2</v>
      </c>
      <c r="Q611" t="s">
        <v>159</v>
      </c>
      <c r="S611" t="s">
        <v>268</v>
      </c>
      <c r="T611" t="s">
        <v>298</v>
      </c>
      <c r="U611">
        <v>8.4937392340083517E-2</v>
      </c>
      <c r="V611" t="s">
        <v>159</v>
      </c>
    </row>
    <row r="612" spans="9:22" x14ac:dyDescent="0.45">
      <c r="I612" t="s">
        <v>183</v>
      </c>
      <c r="J612" t="s">
        <v>299</v>
      </c>
      <c r="K612">
        <v>2.1833911182066623E-2</v>
      </c>
      <c r="L612" t="s">
        <v>159</v>
      </c>
      <c r="N612" t="s">
        <v>226</v>
      </c>
      <c r="O612" t="s">
        <v>299</v>
      </c>
      <c r="P612">
        <v>9.6051940179740104E-3</v>
      </c>
      <c r="Q612" t="s">
        <v>159</v>
      </c>
      <c r="S612" t="s">
        <v>268</v>
      </c>
      <c r="T612" t="s">
        <v>299</v>
      </c>
      <c r="U612">
        <v>1.1954798294373101E-2</v>
      </c>
      <c r="V612" t="s">
        <v>159</v>
      </c>
    </row>
    <row r="613" spans="9:22" x14ac:dyDescent="0.45">
      <c r="I613" t="s">
        <v>183</v>
      </c>
      <c r="J613" t="s">
        <v>300</v>
      </c>
      <c r="K613">
        <v>0.25066116275368328</v>
      </c>
      <c r="L613" t="s">
        <v>159</v>
      </c>
      <c r="N613" t="s">
        <v>226</v>
      </c>
      <c r="O613" t="s">
        <v>300</v>
      </c>
      <c r="P613">
        <v>0.14696777354647653</v>
      </c>
      <c r="Q613" t="s">
        <v>159</v>
      </c>
      <c r="S613" t="s">
        <v>268</v>
      </c>
      <c r="T613" t="s">
        <v>300</v>
      </c>
      <c r="U613">
        <v>0.10774685390720663</v>
      </c>
      <c r="V613" t="s">
        <v>159</v>
      </c>
    </row>
    <row r="614" spans="9:22" x14ac:dyDescent="0.45">
      <c r="I614" t="s">
        <v>183</v>
      </c>
      <c r="J614" t="s">
        <v>301</v>
      </c>
      <c r="K614">
        <v>1.9537703428289931E-2</v>
      </c>
      <c r="L614" t="s">
        <v>159</v>
      </c>
      <c r="N614" t="s">
        <v>226</v>
      </c>
      <c r="O614" t="s">
        <v>301</v>
      </c>
      <c r="P614">
        <v>2.5031854301836794E-2</v>
      </c>
      <c r="Q614" t="s">
        <v>159</v>
      </c>
      <c r="S614" t="s">
        <v>268</v>
      </c>
      <c r="T614" t="s">
        <v>301</v>
      </c>
      <c r="U614">
        <v>1.2238245636710408E-2</v>
      </c>
      <c r="V614" t="s">
        <v>159</v>
      </c>
    </row>
    <row r="615" spans="9:22" x14ac:dyDescent="0.45">
      <c r="I615" t="s">
        <v>183</v>
      </c>
      <c r="J615" t="s">
        <v>302</v>
      </c>
      <c r="K615">
        <v>6.4230464767589795E-3</v>
      </c>
      <c r="L615" t="s">
        <v>159</v>
      </c>
      <c r="N615" t="s">
        <v>226</v>
      </c>
      <c r="O615" t="s">
        <v>302</v>
      </c>
      <c r="P615">
        <v>2.05236805757011E-2</v>
      </c>
      <c r="Q615" t="s">
        <v>159</v>
      </c>
      <c r="S615" t="s">
        <v>268</v>
      </c>
      <c r="T615" t="s">
        <v>302</v>
      </c>
      <c r="U615">
        <v>1.214204181939205E-2</v>
      </c>
      <c r="V615" t="s">
        <v>159</v>
      </c>
    </row>
    <row r="616" spans="9:22" x14ac:dyDescent="0.45">
      <c r="I616" t="s">
        <v>183</v>
      </c>
      <c r="J616" t="s">
        <v>312</v>
      </c>
      <c r="K616">
        <v>0</v>
      </c>
      <c r="L616" t="s">
        <v>159</v>
      </c>
      <c r="N616" t="s">
        <v>226</v>
      </c>
      <c r="O616" t="s">
        <v>312</v>
      </c>
      <c r="P616">
        <v>5.3098949751987479E-2</v>
      </c>
      <c r="Q616" t="s">
        <v>159</v>
      </c>
      <c r="S616" t="s">
        <v>268</v>
      </c>
      <c r="T616" t="s">
        <v>312</v>
      </c>
      <c r="U616">
        <v>5.9801752413222165E-2</v>
      </c>
      <c r="V616" t="s">
        <v>159</v>
      </c>
    </row>
    <row r="617" spans="9:22" x14ac:dyDescent="0.45">
      <c r="I617" t="s">
        <v>183</v>
      </c>
      <c r="J617" t="s">
        <v>313</v>
      </c>
      <c r="K617">
        <v>7.9924018114853872E-3</v>
      </c>
      <c r="L617" t="s">
        <v>159</v>
      </c>
      <c r="N617" t="s">
        <v>226</v>
      </c>
      <c r="O617" t="s">
        <v>313</v>
      </c>
      <c r="P617">
        <v>5.0585449166122608E-3</v>
      </c>
      <c r="Q617" t="s">
        <v>159</v>
      </c>
      <c r="S617" t="s">
        <v>268</v>
      </c>
      <c r="T617" t="s">
        <v>313</v>
      </c>
      <c r="U617">
        <v>1.9160377657247069E-2</v>
      </c>
      <c r="V617" t="s">
        <v>159</v>
      </c>
    </row>
    <row r="618" spans="9:22" x14ac:dyDescent="0.45">
      <c r="I618" t="s">
        <v>183</v>
      </c>
      <c r="J618" t="s">
        <v>314</v>
      </c>
      <c r="K618">
        <v>7.2356298822827932E-3</v>
      </c>
      <c r="L618" t="s">
        <v>159</v>
      </c>
      <c r="N618" t="s">
        <v>226</v>
      </c>
      <c r="O618" t="s">
        <v>314</v>
      </c>
      <c r="P618">
        <v>6.0536100752909021E-4</v>
      </c>
      <c r="Q618" t="s">
        <v>159</v>
      </c>
      <c r="S618" t="s">
        <v>268</v>
      </c>
      <c r="T618" t="s">
        <v>314</v>
      </c>
      <c r="U618">
        <v>2.818550670940086E-3</v>
      </c>
      <c r="V618" t="s">
        <v>159</v>
      </c>
    </row>
    <row r="619" spans="9:22" x14ac:dyDescent="0.45">
      <c r="I619" t="s">
        <v>183</v>
      </c>
      <c r="J619" t="s">
        <v>315</v>
      </c>
      <c r="K619">
        <v>8.1147337314719722E-2</v>
      </c>
      <c r="L619" t="s">
        <v>159</v>
      </c>
      <c r="N619" t="s">
        <v>226</v>
      </c>
      <c r="O619" t="s">
        <v>315</v>
      </c>
      <c r="P619">
        <v>2.235758651741343E-2</v>
      </c>
      <c r="Q619" t="s">
        <v>159</v>
      </c>
      <c r="S619" t="s">
        <v>268</v>
      </c>
      <c r="T619" t="s">
        <v>315</v>
      </c>
      <c r="U619">
        <v>2.7425640591494216E-2</v>
      </c>
      <c r="V619" t="s">
        <v>159</v>
      </c>
    </row>
    <row r="620" spans="9:22" x14ac:dyDescent="0.45">
      <c r="I620" t="s">
        <v>183</v>
      </c>
      <c r="J620" t="s">
        <v>316</v>
      </c>
      <c r="K620">
        <v>5.7838706048131639E-3</v>
      </c>
      <c r="L620" t="s">
        <v>159</v>
      </c>
      <c r="N620" t="s">
        <v>226</v>
      </c>
      <c r="O620" t="s">
        <v>316</v>
      </c>
      <c r="P620">
        <v>4.7314601539704031E-3</v>
      </c>
      <c r="Q620" t="s">
        <v>159</v>
      </c>
      <c r="S620" t="s">
        <v>268</v>
      </c>
      <c r="T620" t="s">
        <v>316</v>
      </c>
      <c r="U620">
        <v>3.1489277564682228E-3</v>
      </c>
      <c r="V620" t="s">
        <v>159</v>
      </c>
    </row>
    <row r="621" spans="9:22" x14ac:dyDescent="0.45">
      <c r="I621" t="s">
        <v>183</v>
      </c>
      <c r="J621" t="s">
        <v>317</v>
      </c>
      <c r="K621">
        <v>4.1838153068480613E-3</v>
      </c>
      <c r="L621" t="s">
        <v>159</v>
      </c>
      <c r="N621" t="s">
        <v>226</v>
      </c>
      <c r="O621" t="s">
        <v>317</v>
      </c>
      <c r="P621">
        <v>3.873401113399776E-3</v>
      </c>
      <c r="Q621" t="s">
        <v>159</v>
      </c>
      <c r="S621" t="s">
        <v>268</v>
      </c>
      <c r="T621" t="s">
        <v>317</v>
      </c>
      <c r="U621">
        <v>3.0546052974310435E-3</v>
      </c>
      <c r="V621" t="s">
        <v>159</v>
      </c>
    </row>
    <row r="622" spans="9:22" x14ac:dyDescent="0.45">
      <c r="I622" t="s">
        <v>183</v>
      </c>
      <c r="J622" t="s">
        <v>318</v>
      </c>
      <c r="K622">
        <v>0</v>
      </c>
      <c r="L622" t="s">
        <v>159</v>
      </c>
      <c r="N622" t="s">
        <v>226</v>
      </c>
      <c r="O622" t="s">
        <v>318</v>
      </c>
      <c r="P622">
        <v>8.907353798215242E-3</v>
      </c>
      <c r="Q622" t="s">
        <v>159</v>
      </c>
      <c r="S622" t="s">
        <v>268</v>
      </c>
      <c r="T622" t="s">
        <v>318</v>
      </c>
      <c r="U622">
        <v>1.3613823230599105E-2</v>
      </c>
      <c r="V622" t="s">
        <v>159</v>
      </c>
    </row>
    <row r="623" spans="9:22" x14ac:dyDescent="0.45">
      <c r="I623" t="s">
        <v>184</v>
      </c>
      <c r="J623" t="s">
        <v>158</v>
      </c>
      <c r="K623">
        <v>6.9445874433932591E-3</v>
      </c>
      <c r="L623" t="s">
        <v>159</v>
      </c>
      <c r="N623" t="s">
        <v>227</v>
      </c>
      <c r="O623" t="s">
        <v>158</v>
      </c>
      <c r="P623">
        <v>0.12225128624496666</v>
      </c>
      <c r="Q623" t="s">
        <v>159</v>
      </c>
      <c r="S623" t="s">
        <v>269</v>
      </c>
      <c r="T623" t="s">
        <v>158</v>
      </c>
      <c r="U623">
        <v>0.1204494464121165</v>
      </c>
      <c r="V623" t="s">
        <v>159</v>
      </c>
    </row>
    <row r="624" spans="9:22" x14ac:dyDescent="0.45">
      <c r="I624" t="s">
        <v>184</v>
      </c>
      <c r="J624" t="s">
        <v>160</v>
      </c>
      <c r="K624">
        <v>2.2041097401591513E-2</v>
      </c>
      <c r="L624" t="s">
        <v>159</v>
      </c>
      <c r="N624" t="s">
        <v>227</v>
      </c>
      <c r="O624" t="s">
        <v>160</v>
      </c>
      <c r="P624">
        <v>1.671514898651659E-2</v>
      </c>
      <c r="Q624" t="s">
        <v>159</v>
      </c>
      <c r="S624" t="s">
        <v>269</v>
      </c>
      <c r="T624" t="s">
        <v>160</v>
      </c>
      <c r="U624">
        <v>1.7158986879705712E-2</v>
      </c>
      <c r="V624" t="s">
        <v>159</v>
      </c>
    </row>
    <row r="625" spans="9:22" x14ac:dyDescent="0.45">
      <c r="I625" t="s">
        <v>184</v>
      </c>
      <c r="J625" t="s">
        <v>161</v>
      </c>
      <c r="K625">
        <v>0.37838339371089313</v>
      </c>
      <c r="L625" t="s">
        <v>159</v>
      </c>
      <c r="N625" t="s">
        <v>227</v>
      </c>
      <c r="O625" t="s">
        <v>161</v>
      </c>
      <c r="P625">
        <v>0.16687184472380495</v>
      </c>
      <c r="Q625" t="s">
        <v>159</v>
      </c>
      <c r="S625" t="s">
        <v>269</v>
      </c>
      <c r="T625" t="s">
        <v>161</v>
      </c>
      <c r="U625">
        <v>0.17010850496580945</v>
      </c>
      <c r="V625" t="s">
        <v>159</v>
      </c>
    </row>
    <row r="626" spans="9:22" x14ac:dyDescent="0.45">
      <c r="I626" t="s">
        <v>184</v>
      </c>
      <c r="J626" t="s">
        <v>287</v>
      </c>
      <c r="K626">
        <v>3.3883408262731028E-2</v>
      </c>
      <c r="L626" t="s">
        <v>159</v>
      </c>
      <c r="N626" t="s">
        <v>227</v>
      </c>
      <c r="O626" t="s">
        <v>287</v>
      </c>
      <c r="P626">
        <v>2.1996170395566415E-2</v>
      </c>
      <c r="Q626" t="s">
        <v>159</v>
      </c>
      <c r="S626" t="s">
        <v>269</v>
      </c>
      <c r="T626" t="s">
        <v>287</v>
      </c>
      <c r="U626">
        <v>2.0878569841247498E-2</v>
      </c>
      <c r="V626" t="s">
        <v>159</v>
      </c>
    </row>
    <row r="627" spans="9:22" x14ac:dyDescent="0.45">
      <c r="I627" t="s">
        <v>184</v>
      </c>
      <c r="J627" t="s">
        <v>288</v>
      </c>
      <c r="K627">
        <v>1.8636441018673316E-2</v>
      </c>
      <c r="L627" t="s">
        <v>159</v>
      </c>
      <c r="N627" t="s">
        <v>227</v>
      </c>
      <c r="O627" t="s">
        <v>288</v>
      </c>
      <c r="P627">
        <v>2.165298962682816E-2</v>
      </c>
      <c r="Q627" t="s">
        <v>159</v>
      </c>
      <c r="S627" t="s">
        <v>269</v>
      </c>
      <c r="T627" t="s">
        <v>288</v>
      </c>
      <c r="U627">
        <v>2.029789149085633E-2</v>
      </c>
      <c r="V627" t="s">
        <v>159</v>
      </c>
    </row>
    <row r="628" spans="9:22" x14ac:dyDescent="0.45">
      <c r="I628" t="s">
        <v>184</v>
      </c>
      <c r="J628" t="s">
        <v>308</v>
      </c>
      <c r="K628">
        <v>6.293339160146046E-3</v>
      </c>
      <c r="L628" t="s">
        <v>159</v>
      </c>
      <c r="N628" t="s">
        <v>227</v>
      </c>
      <c r="O628" t="s">
        <v>308</v>
      </c>
      <c r="P628">
        <v>0.1009991634266082</v>
      </c>
      <c r="Q628" t="s">
        <v>159</v>
      </c>
      <c r="S628" t="s">
        <v>269</v>
      </c>
      <c r="T628" t="s">
        <v>308</v>
      </c>
      <c r="U628">
        <v>9.0585508197829748E-2</v>
      </c>
      <c r="V628" t="s">
        <v>159</v>
      </c>
    </row>
    <row r="629" spans="9:22" x14ac:dyDescent="0.45">
      <c r="I629" t="s">
        <v>184</v>
      </c>
      <c r="J629" t="s">
        <v>162</v>
      </c>
      <c r="K629">
        <v>0</v>
      </c>
      <c r="L629" t="s">
        <v>159</v>
      </c>
      <c r="N629" t="s">
        <v>227</v>
      </c>
      <c r="O629" t="s">
        <v>162</v>
      </c>
      <c r="P629">
        <v>1.8467488133543358E-2</v>
      </c>
      <c r="Q629" t="s">
        <v>159</v>
      </c>
      <c r="S629" t="s">
        <v>269</v>
      </c>
      <c r="T629" t="s">
        <v>162</v>
      </c>
      <c r="U629">
        <v>2.718244219559051E-2</v>
      </c>
      <c r="V629" t="s">
        <v>159</v>
      </c>
    </row>
    <row r="630" spans="9:22" x14ac:dyDescent="0.45">
      <c r="I630" t="s">
        <v>184</v>
      </c>
      <c r="J630" t="s">
        <v>163</v>
      </c>
      <c r="K630">
        <v>0</v>
      </c>
      <c r="L630" t="s">
        <v>159</v>
      </c>
      <c r="N630" t="s">
        <v>227</v>
      </c>
      <c r="O630" t="s">
        <v>163</v>
      </c>
      <c r="P630">
        <v>2.9854659636612654E-3</v>
      </c>
      <c r="Q630" t="s">
        <v>159</v>
      </c>
      <c r="S630" t="s">
        <v>269</v>
      </c>
      <c r="T630" t="s">
        <v>163</v>
      </c>
      <c r="U630">
        <v>3.8884333567378434E-3</v>
      </c>
      <c r="V630" t="s">
        <v>159</v>
      </c>
    </row>
    <row r="631" spans="9:22" x14ac:dyDescent="0.45">
      <c r="I631" t="s">
        <v>184</v>
      </c>
      <c r="J631" t="s">
        <v>164</v>
      </c>
      <c r="K631">
        <v>3.4895714696651217E-2</v>
      </c>
      <c r="L631" t="s">
        <v>159</v>
      </c>
      <c r="N631" t="s">
        <v>227</v>
      </c>
      <c r="O631" t="s">
        <v>164</v>
      </c>
      <c r="P631">
        <v>2.7834583466115208E-2</v>
      </c>
      <c r="Q631" t="s">
        <v>159</v>
      </c>
      <c r="S631" t="s">
        <v>269</v>
      </c>
      <c r="T631" t="s">
        <v>164</v>
      </c>
      <c r="U631">
        <v>3.1450197424378788E-2</v>
      </c>
      <c r="V631" t="s">
        <v>159</v>
      </c>
    </row>
    <row r="632" spans="9:22" x14ac:dyDescent="0.45">
      <c r="I632" t="s">
        <v>184</v>
      </c>
      <c r="J632" t="s">
        <v>289</v>
      </c>
      <c r="K632">
        <v>2.8805965134345844E-3</v>
      </c>
      <c r="L632" t="s">
        <v>159</v>
      </c>
      <c r="N632" t="s">
        <v>227</v>
      </c>
      <c r="O632" t="s">
        <v>289</v>
      </c>
      <c r="P632">
        <v>3.4748169398432275E-3</v>
      </c>
      <c r="Q632" t="s">
        <v>159</v>
      </c>
      <c r="S632" t="s">
        <v>269</v>
      </c>
      <c r="T632" t="s">
        <v>289</v>
      </c>
      <c r="U632">
        <v>3.3782655379746575E-3</v>
      </c>
      <c r="V632" t="s">
        <v>159</v>
      </c>
    </row>
    <row r="633" spans="9:22" x14ac:dyDescent="0.45">
      <c r="I633" t="s">
        <v>184</v>
      </c>
      <c r="J633" t="s">
        <v>290</v>
      </c>
      <c r="K633">
        <v>0</v>
      </c>
      <c r="L633" t="s">
        <v>159</v>
      </c>
      <c r="N633" t="s">
        <v>227</v>
      </c>
      <c r="O633" t="s">
        <v>290</v>
      </c>
      <c r="P633">
        <v>3.2963245623153247E-3</v>
      </c>
      <c r="Q633" t="s">
        <v>159</v>
      </c>
      <c r="S633" t="s">
        <v>269</v>
      </c>
      <c r="T633" t="s">
        <v>290</v>
      </c>
      <c r="U633">
        <v>3.5389010529374701E-3</v>
      </c>
      <c r="V633" t="s">
        <v>159</v>
      </c>
    </row>
    <row r="634" spans="9:22" x14ac:dyDescent="0.45">
      <c r="I634" t="s">
        <v>184</v>
      </c>
      <c r="J634" t="s">
        <v>309</v>
      </c>
      <c r="K634">
        <v>0</v>
      </c>
      <c r="L634" t="s">
        <v>159</v>
      </c>
      <c r="N634" t="s">
        <v>227</v>
      </c>
      <c r="O634" t="s">
        <v>309</v>
      </c>
      <c r="P634">
        <v>1.4144380521772141E-2</v>
      </c>
      <c r="Q634" t="s">
        <v>159</v>
      </c>
      <c r="S634" t="s">
        <v>269</v>
      </c>
      <c r="T634" t="s">
        <v>309</v>
      </c>
      <c r="U634">
        <v>1.8665469342441239E-2</v>
      </c>
      <c r="V634" t="s">
        <v>159</v>
      </c>
    </row>
    <row r="635" spans="9:22" x14ac:dyDescent="0.45">
      <c r="I635" t="s">
        <v>184</v>
      </c>
      <c r="J635" t="s">
        <v>165</v>
      </c>
      <c r="K635">
        <v>0</v>
      </c>
      <c r="L635" t="s">
        <v>159</v>
      </c>
      <c r="N635" t="s">
        <v>227</v>
      </c>
      <c r="O635" t="s">
        <v>165</v>
      </c>
      <c r="P635">
        <v>2.4297092740577557E-2</v>
      </c>
      <c r="Q635" t="s">
        <v>159</v>
      </c>
      <c r="S635" t="s">
        <v>269</v>
      </c>
      <c r="T635" t="s">
        <v>165</v>
      </c>
      <c r="U635">
        <v>2.9943317790690573E-2</v>
      </c>
      <c r="V635" t="s">
        <v>159</v>
      </c>
    </row>
    <row r="636" spans="9:22" x14ac:dyDescent="0.45">
      <c r="I636" t="s">
        <v>184</v>
      </c>
      <c r="J636" t="s">
        <v>166</v>
      </c>
      <c r="K636">
        <v>8.3874553119506819E-4</v>
      </c>
      <c r="L636" t="s">
        <v>159</v>
      </c>
      <c r="N636" t="s">
        <v>227</v>
      </c>
      <c r="O636" t="s">
        <v>166</v>
      </c>
      <c r="P636">
        <v>3.6133870950669942E-3</v>
      </c>
      <c r="Q636" t="s">
        <v>159</v>
      </c>
      <c r="S636" t="s">
        <v>269</v>
      </c>
      <c r="T636" t="s">
        <v>166</v>
      </c>
      <c r="U636">
        <v>4.0664135408410226E-3</v>
      </c>
      <c r="V636" t="s">
        <v>159</v>
      </c>
    </row>
    <row r="637" spans="9:22" x14ac:dyDescent="0.45">
      <c r="I637" t="s">
        <v>184</v>
      </c>
      <c r="J637" t="s">
        <v>167</v>
      </c>
      <c r="K637">
        <v>4.7280255088612347E-2</v>
      </c>
      <c r="L637" t="s">
        <v>159</v>
      </c>
      <c r="N637" t="s">
        <v>227</v>
      </c>
      <c r="O637" t="s">
        <v>167</v>
      </c>
      <c r="P637">
        <v>3.440866004675848E-2</v>
      </c>
      <c r="Q637" t="s">
        <v>159</v>
      </c>
      <c r="S637" t="s">
        <v>269</v>
      </c>
      <c r="T637" t="s">
        <v>167</v>
      </c>
      <c r="U637">
        <v>3.386574704681411E-2</v>
      </c>
      <c r="V637" t="s">
        <v>159</v>
      </c>
    </row>
    <row r="638" spans="9:22" x14ac:dyDescent="0.45">
      <c r="I638" t="s">
        <v>184</v>
      </c>
      <c r="J638" t="s">
        <v>291</v>
      </c>
      <c r="K638">
        <v>4.1401856016099366E-3</v>
      </c>
      <c r="L638" t="s">
        <v>159</v>
      </c>
      <c r="N638" t="s">
        <v>227</v>
      </c>
      <c r="O638" t="s">
        <v>291</v>
      </c>
      <c r="P638">
        <v>4.4525705326456779E-3</v>
      </c>
      <c r="Q638" t="s">
        <v>159</v>
      </c>
      <c r="S638" t="s">
        <v>269</v>
      </c>
      <c r="T638" t="s">
        <v>291</v>
      </c>
      <c r="U638">
        <v>3.8580205621937618E-3</v>
      </c>
      <c r="V638" t="s">
        <v>159</v>
      </c>
    </row>
    <row r="639" spans="9:22" x14ac:dyDescent="0.45">
      <c r="I639" t="s">
        <v>184</v>
      </c>
      <c r="J639" t="s">
        <v>292</v>
      </c>
      <c r="K639">
        <v>0</v>
      </c>
      <c r="L639" t="s">
        <v>159</v>
      </c>
      <c r="N639" t="s">
        <v>227</v>
      </c>
      <c r="O639" t="s">
        <v>292</v>
      </c>
      <c r="P639">
        <v>4.318084725104779E-3</v>
      </c>
      <c r="Q639" t="s">
        <v>159</v>
      </c>
      <c r="S639" t="s">
        <v>269</v>
      </c>
      <c r="T639" t="s">
        <v>292</v>
      </c>
      <c r="U639">
        <v>3.9282739700971609E-3</v>
      </c>
      <c r="V639" t="s">
        <v>159</v>
      </c>
    </row>
    <row r="640" spans="9:22" x14ac:dyDescent="0.45">
      <c r="I640" t="s">
        <v>184</v>
      </c>
      <c r="J640" t="s">
        <v>310</v>
      </c>
      <c r="K640">
        <v>0</v>
      </c>
      <c r="L640" t="s">
        <v>159</v>
      </c>
      <c r="N640" t="s">
        <v>227</v>
      </c>
      <c r="O640" t="s">
        <v>310</v>
      </c>
      <c r="P640">
        <v>2.0239314912552691E-2</v>
      </c>
      <c r="Q640" t="s">
        <v>159</v>
      </c>
      <c r="S640" t="s">
        <v>269</v>
      </c>
      <c r="T640" t="s">
        <v>310</v>
      </c>
      <c r="U640">
        <v>2.148790016208782E-2</v>
      </c>
      <c r="V640" t="s">
        <v>159</v>
      </c>
    </row>
    <row r="641" spans="9:22" x14ac:dyDescent="0.45">
      <c r="I641" t="s">
        <v>184</v>
      </c>
      <c r="J641" t="s">
        <v>293</v>
      </c>
      <c r="K641">
        <v>0</v>
      </c>
      <c r="L641" t="s">
        <v>159</v>
      </c>
      <c r="N641" t="s">
        <v>227</v>
      </c>
      <c r="O641" t="s">
        <v>293</v>
      </c>
      <c r="P641">
        <v>6.1941803512479124E-3</v>
      </c>
      <c r="Q641" t="s">
        <v>159</v>
      </c>
      <c r="S641" t="s">
        <v>269</v>
      </c>
      <c r="T641" t="s">
        <v>293</v>
      </c>
      <c r="U641">
        <v>4.5288788051253276E-3</v>
      </c>
      <c r="V641" t="s">
        <v>159</v>
      </c>
    </row>
    <row r="642" spans="9:22" x14ac:dyDescent="0.45">
      <c r="I642" t="s">
        <v>184</v>
      </c>
      <c r="J642" t="s">
        <v>294</v>
      </c>
      <c r="K642">
        <v>9.5438563958694393E-4</v>
      </c>
      <c r="L642" t="s">
        <v>159</v>
      </c>
      <c r="N642" t="s">
        <v>227</v>
      </c>
      <c r="O642" t="s">
        <v>294</v>
      </c>
      <c r="P642">
        <v>7.1550575637423914E-4</v>
      </c>
      <c r="Q642" t="s">
        <v>159</v>
      </c>
      <c r="S642" t="s">
        <v>269</v>
      </c>
      <c r="T642" t="s">
        <v>294</v>
      </c>
      <c r="U642">
        <v>6.0315102566072909E-4</v>
      </c>
      <c r="V642" t="s">
        <v>159</v>
      </c>
    </row>
    <row r="643" spans="9:22" x14ac:dyDescent="0.45">
      <c r="I643" t="s">
        <v>184</v>
      </c>
      <c r="J643" t="s">
        <v>295</v>
      </c>
      <c r="K643">
        <v>1.2821076152037987E-2</v>
      </c>
      <c r="L643" t="s">
        <v>159</v>
      </c>
      <c r="N643" t="s">
        <v>227</v>
      </c>
      <c r="O643" t="s">
        <v>295</v>
      </c>
      <c r="P643">
        <v>8.3033257649410448E-3</v>
      </c>
      <c r="Q643" t="s">
        <v>159</v>
      </c>
      <c r="S643" t="s">
        <v>269</v>
      </c>
      <c r="T643" t="s">
        <v>295</v>
      </c>
      <c r="U643">
        <v>6.3781920595619565E-3</v>
      </c>
      <c r="V643" t="s">
        <v>159</v>
      </c>
    </row>
    <row r="644" spans="9:22" x14ac:dyDescent="0.45">
      <c r="I644" t="s">
        <v>184</v>
      </c>
      <c r="J644" t="s">
        <v>296</v>
      </c>
      <c r="K644">
        <v>1.0286233470870468E-3</v>
      </c>
      <c r="L644" t="s">
        <v>159</v>
      </c>
      <c r="N644" t="s">
        <v>227</v>
      </c>
      <c r="O644" t="s">
        <v>296</v>
      </c>
      <c r="P644">
        <v>1.2785347413539962E-3</v>
      </c>
      <c r="Q644" t="s">
        <v>159</v>
      </c>
      <c r="S644" t="s">
        <v>269</v>
      </c>
      <c r="T644" t="s">
        <v>296</v>
      </c>
      <c r="U644">
        <v>7.807069306197445E-4</v>
      </c>
      <c r="V644" t="s">
        <v>159</v>
      </c>
    </row>
    <row r="645" spans="9:22" x14ac:dyDescent="0.45">
      <c r="I645" t="s">
        <v>184</v>
      </c>
      <c r="J645" t="s">
        <v>297</v>
      </c>
      <c r="K645">
        <v>0</v>
      </c>
      <c r="L645" t="s">
        <v>159</v>
      </c>
      <c r="N645" t="s">
        <v>227</v>
      </c>
      <c r="O645" t="s">
        <v>297</v>
      </c>
      <c r="P645">
        <v>1.2459101844245674E-3</v>
      </c>
      <c r="Q645" t="s">
        <v>159</v>
      </c>
      <c r="S645" t="s">
        <v>269</v>
      </c>
      <c r="T645" t="s">
        <v>297</v>
      </c>
      <c r="U645">
        <v>7.1518331589202379E-4</v>
      </c>
      <c r="V645" t="s">
        <v>159</v>
      </c>
    </row>
    <row r="646" spans="9:22" x14ac:dyDescent="0.45">
      <c r="I646" t="s">
        <v>184</v>
      </c>
      <c r="J646" t="s">
        <v>311</v>
      </c>
      <c r="K646">
        <v>0</v>
      </c>
      <c r="L646" t="s">
        <v>159</v>
      </c>
      <c r="N646" t="s">
        <v>227</v>
      </c>
      <c r="O646" t="s">
        <v>311</v>
      </c>
      <c r="P646">
        <v>5.3902514773875136E-3</v>
      </c>
      <c r="Q646" t="s">
        <v>159</v>
      </c>
      <c r="S646" t="s">
        <v>269</v>
      </c>
      <c r="T646" t="s">
        <v>311</v>
      </c>
      <c r="U646">
        <v>2.594620020123862E-3</v>
      </c>
      <c r="V646" t="s">
        <v>159</v>
      </c>
    </row>
    <row r="647" spans="9:22" x14ac:dyDescent="0.45">
      <c r="I647" t="s">
        <v>184</v>
      </c>
      <c r="J647" t="s">
        <v>298</v>
      </c>
      <c r="K647">
        <v>9.4988272885703998E-3</v>
      </c>
      <c r="L647" t="s">
        <v>159</v>
      </c>
      <c r="N647" t="s">
        <v>227</v>
      </c>
      <c r="O647" t="s">
        <v>298</v>
      </c>
      <c r="P647">
        <v>7.5922265843986661E-2</v>
      </c>
      <c r="Q647" t="s">
        <v>159</v>
      </c>
      <c r="S647" t="s">
        <v>269</v>
      </c>
      <c r="T647" t="s">
        <v>298</v>
      </c>
      <c r="U647">
        <v>8.2132849478678396E-2</v>
      </c>
      <c r="V647" t="s">
        <v>159</v>
      </c>
    </row>
    <row r="648" spans="9:22" x14ac:dyDescent="0.45">
      <c r="I648" t="s">
        <v>184</v>
      </c>
      <c r="J648" t="s">
        <v>299</v>
      </c>
      <c r="K648">
        <v>1.8363011908848335E-2</v>
      </c>
      <c r="L648" t="s">
        <v>159</v>
      </c>
      <c r="N648" t="s">
        <v>227</v>
      </c>
      <c r="O648" t="s">
        <v>299</v>
      </c>
      <c r="P648">
        <v>1.1093817016128348E-2</v>
      </c>
      <c r="Q648" t="s">
        <v>159</v>
      </c>
      <c r="S648" t="s">
        <v>269</v>
      </c>
      <c r="T648" t="s">
        <v>299</v>
      </c>
      <c r="U648">
        <v>1.1257163887659748E-2</v>
      </c>
      <c r="V648" t="s">
        <v>159</v>
      </c>
    </row>
    <row r="649" spans="9:22" x14ac:dyDescent="0.45">
      <c r="I649" t="s">
        <v>184</v>
      </c>
      <c r="J649" t="s">
        <v>300</v>
      </c>
      <c r="K649">
        <v>0.24618689922558612</v>
      </c>
      <c r="L649" t="s">
        <v>159</v>
      </c>
      <c r="N649" t="s">
        <v>227</v>
      </c>
      <c r="O649" t="s">
        <v>300</v>
      </c>
      <c r="P649">
        <v>0.12203749640175446</v>
      </c>
      <c r="Q649" t="s">
        <v>159</v>
      </c>
      <c r="S649" t="s">
        <v>269</v>
      </c>
      <c r="T649" t="s">
        <v>300</v>
      </c>
      <c r="U649">
        <v>0.11089377718082581</v>
      </c>
      <c r="V649" t="s">
        <v>159</v>
      </c>
    </row>
    <row r="650" spans="9:22" x14ac:dyDescent="0.45">
      <c r="I650" t="s">
        <v>184</v>
      </c>
      <c r="J650" t="s">
        <v>301</v>
      </c>
      <c r="K650">
        <v>2.0711401851186636E-2</v>
      </c>
      <c r="L650" t="s">
        <v>159</v>
      </c>
      <c r="N650" t="s">
        <v>227</v>
      </c>
      <c r="O650" t="s">
        <v>301</v>
      </c>
      <c r="P650">
        <v>1.4953857566480258E-2</v>
      </c>
      <c r="Q650" t="s">
        <v>159</v>
      </c>
      <c r="S650" t="s">
        <v>269</v>
      </c>
      <c r="T650" t="s">
        <v>301</v>
      </c>
      <c r="U650">
        <v>1.3669531798424665E-2</v>
      </c>
      <c r="V650" t="s">
        <v>159</v>
      </c>
    </row>
    <row r="651" spans="9:22" x14ac:dyDescent="0.45">
      <c r="I651" t="s">
        <v>184</v>
      </c>
      <c r="J651" t="s">
        <v>302</v>
      </c>
      <c r="K651">
        <v>1.1347137363140188E-2</v>
      </c>
      <c r="L651" t="s">
        <v>159</v>
      </c>
      <c r="N651" t="s">
        <v>227</v>
      </c>
      <c r="O651" t="s">
        <v>302</v>
      </c>
      <c r="P651">
        <v>1.411630453239243E-2</v>
      </c>
      <c r="Q651" t="s">
        <v>159</v>
      </c>
      <c r="S651" t="s">
        <v>269</v>
      </c>
      <c r="T651" t="s">
        <v>302</v>
      </c>
      <c r="U651">
        <v>1.3058576543470788E-2</v>
      </c>
      <c r="V651" t="s">
        <v>159</v>
      </c>
    </row>
    <row r="652" spans="9:22" x14ac:dyDescent="0.45">
      <c r="I652" t="s">
        <v>184</v>
      </c>
      <c r="J652" t="s">
        <v>312</v>
      </c>
      <c r="K652">
        <v>1.1982524921330705E-4</v>
      </c>
      <c r="L652" t="s">
        <v>159</v>
      </c>
      <c r="N652" t="s">
        <v>227</v>
      </c>
      <c r="O652" t="s">
        <v>312</v>
      </c>
      <c r="P652">
        <v>6.2076738854679604E-2</v>
      </c>
      <c r="Q652" t="s">
        <v>159</v>
      </c>
      <c r="S652" t="s">
        <v>269</v>
      </c>
      <c r="T652" t="s">
        <v>312</v>
      </c>
      <c r="U652">
        <v>5.8900391560009799E-2</v>
      </c>
      <c r="V652" t="s">
        <v>159</v>
      </c>
    </row>
    <row r="653" spans="9:22" x14ac:dyDescent="0.45">
      <c r="I653" t="s">
        <v>184</v>
      </c>
      <c r="J653" t="s">
        <v>313</v>
      </c>
      <c r="K653">
        <v>4.7709538464240911E-3</v>
      </c>
      <c r="L653" t="s">
        <v>159</v>
      </c>
      <c r="N653" t="s">
        <v>227</v>
      </c>
      <c r="O653" t="s">
        <v>313</v>
      </c>
      <c r="P653">
        <v>1.6795438827421939E-2</v>
      </c>
      <c r="Q653" t="s">
        <v>159</v>
      </c>
      <c r="S653" t="s">
        <v>269</v>
      </c>
      <c r="T653" t="s">
        <v>313</v>
      </c>
      <c r="U653">
        <v>1.7169209974873745E-2</v>
      </c>
      <c r="V653" t="s">
        <v>159</v>
      </c>
    </row>
    <row r="654" spans="9:22" x14ac:dyDescent="0.45">
      <c r="I654" t="s">
        <v>184</v>
      </c>
      <c r="J654" t="s">
        <v>314</v>
      </c>
      <c r="K654">
        <v>6.9480675966942726E-3</v>
      </c>
      <c r="L654" t="s">
        <v>159</v>
      </c>
      <c r="N654" t="s">
        <v>227</v>
      </c>
      <c r="O654" t="s">
        <v>314</v>
      </c>
      <c r="P654">
        <v>2.3404436833736686E-3</v>
      </c>
      <c r="Q654" t="s">
        <v>159</v>
      </c>
      <c r="S654" t="s">
        <v>269</v>
      </c>
      <c r="T654" t="s">
        <v>314</v>
      </c>
      <c r="U654">
        <v>2.5959953676515778E-3</v>
      </c>
      <c r="V654" t="s">
        <v>159</v>
      </c>
    </row>
    <row r="655" spans="9:22" x14ac:dyDescent="0.45">
      <c r="I655" t="s">
        <v>184</v>
      </c>
      <c r="J655" t="s">
        <v>315</v>
      </c>
      <c r="K655">
        <v>9.2033099669800958E-2</v>
      </c>
      <c r="L655" t="s">
        <v>159</v>
      </c>
      <c r="N655" t="s">
        <v>227</v>
      </c>
      <c r="O655" t="s">
        <v>315</v>
      </c>
      <c r="P655">
        <v>2.5199991581552297E-2</v>
      </c>
      <c r="Q655" t="s">
        <v>159</v>
      </c>
      <c r="S655" t="s">
        <v>269</v>
      </c>
      <c r="T655" t="s">
        <v>315</v>
      </c>
      <c r="U655">
        <v>2.8939429927964739E-2</v>
      </c>
      <c r="V655" t="s">
        <v>159</v>
      </c>
    </row>
    <row r="656" spans="9:22" x14ac:dyDescent="0.45">
      <c r="I656" t="s">
        <v>184</v>
      </c>
      <c r="J656" t="s">
        <v>316</v>
      </c>
      <c r="K656">
        <v>8.6827324174102768E-3</v>
      </c>
      <c r="L656" t="s">
        <v>159</v>
      </c>
      <c r="N656" t="s">
        <v>227</v>
      </c>
      <c r="O656" t="s">
        <v>316</v>
      </c>
      <c r="P656">
        <v>3.2909972363981688E-3</v>
      </c>
      <c r="Q656" t="s">
        <v>159</v>
      </c>
      <c r="S656" t="s">
        <v>269</v>
      </c>
      <c r="T656" t="s">
        <v>316</v>
      </c>
      <c r="U656">
        <v>3.511688320761935E-3</v>
      </c>
      <c r="V656" t="s">
        <v>159</v>
      </c>
    </row>
    <row r="657" spans="9:22" x14ac:dyDescent="0.45">
      <c r="I657" t="s">
        <v>184</v>
      </c>
      <c r="J657" t="s">
        <v>317</v>
      </c>
      <c r="K657">
        <v>6.5638678477357403E-3</v>
      </c>
      <c r="L657" t="s">
        <v>159</v>
      </c>
      <c r="N657" t="s">
        <v>227</v>
      </c>
      <c r="O657" t="s">
        <v>317</v>
      </c>
      <c r="P657">
        <v>3.2086071132196039E-3</v>
      </c>
      <c r="Q657" t="s">
        <v>159</v>
      </c>
      <c r="S657" t="s">
        <v>269</v>
      </c>
      <c r="T657" t="s">
        <v>317</v>
      </c>
      <c r="U657">
        <v>3.3812406007800427E-3</v>
      </c>
      <c r="V657" t="s">
        <v>159</v>
      </c>
    </row>
    <row r="658" spans="9:22" x14ac:dyDescent="0.45">
      <c r="I658" t="s">
        <v>184</v>
      </c>
      <c r="J658" t="s">
        <v>318</v>
      </c>
      <c r="K658">
        <v>3.7523261677449606E-3</v>
      </c>
      <c r="L658" t="s">
        <v>159</v>
      </c>
      <c r="N658" t="s">
        <v>227</v>
      </c>
      <c r="O658" t="s">
        <v>318</v>
      </c>
      <c r="P658">
        <v>1.3817560022637038E-2</v>
      </c>
      <c r="Q658" t="s">
        <v>159</v>
      </c>
      <c r="S658" t="s">
        <v>269</v>
      </c>
      <c r="T658" t="s">
        <v>318</v>
      </c>
      <c r="U658">
        <v>1.4157123431566448E-2</v>
      </c>
      <c r="V658" t="s">
        <v>159</v>
      </c>
    </row>
    <row r="659" spans="9:22" x14ac:dyDescent="0.45">
      <c r="I659" t="s">
        <v>185</v>
      </c>
      <c r="J659" t="s">
        <v>158</v>
      </c>
      <c r="K659">
        <v>8.8601583874263565E-3</v>
      </c>
      <c r="L659" t="s">
        <v>159</v>
      </c>
      <c r="N659" t="s">
        <v>228</v>
      </c>
      <c r="O659" t="s">
        <v>158</v>
      </c>
      <c r="P659">
        <v>0.1087259379561907</v>
      </c>
      <c r="Q659" t="s">
        <v>159</v>
      </c>
      <c r="S659" t="s">
        <v>270</v>
      </c>
      <c r="T659" t="s">
        <v>158</v>
      </c>
      <c r="U659">
        <v>0.12430683772082177</v>
      </c>
      <c r="V659" t="s">
        <v>159</v>
      </c>
    </row>
    <row r="660" spans="9:22" x14ac:dyDescent="0.45">
      <c r="I660" t="s">
        <v>185</v>
      </c>
      <c r="J660" t="s">
        <v>160</v>
      </c>
      <c r="K660">
        <v>2.4557718835529461E-2</v>
      </c>
      <c r="L660" t="s">
        <v>159</v>
      </c>
      <c r="N660" t="s">
        <v>228</v>
      </c>
      <c r="O660" t="s">
        <v>160</v>
      </c>
      <c r="P660">
        <v>1.4454045267689838E-2</v>
      </c>
      <c r="Q660" t="s">
        <v>159</v>
      </c>
      <c r="S660" t="s">
        <v>270</v>
      </c>
      <c r="T660" t="s">
        <v>160</v>
      </c>
      <c r="U660">
        <v>1.7289854119226785E-2</v>
      </c>
      <c r="V660" t="s">
        <v>159</v>
      </c>
    </row>
    <row r="661" spans="9:22" x14ac:dyDescent="0.45">
      <c r="I661" t="s">
        <v>185</v>
      </c>
      <c r="J661" t="s">
        <v>161</v>
      </c>
      <c r="K661">
        <v>0.3751240301800236</v>
      </c>
      <c r="L661" t="s">
        <v>159</v>
      </c>
      <c r="N661" t="s">
        <v>228</v>
      </c>
      <c r="O661" t="s">
        <v>161</v>
      </c>
      <c r="P661">
        <v>0.17370680671848487</v>
      </c>
      <c r="Q661" t="s">
        <v>159</v>
      </c>
      <c r="S661" t="s">
        <v>270</v>
      </c>
      <c r="T661" t="s">
        <v>161</v>
      </c>
      <c r="U661">
        <v>0.15824068655661047</v>
      </c>
      <c r="V661" t="s">
        <v>159</v>
      </c>
    </row>
    <row r="662" spans="9:22" x14ac:dyDescent="0.45">
      <c r="I662" t="s">
        <v>185</v>
      </c>
      <c r="J662" t="s">
        <v>287</v>
      </c>
      <c r="K662">
        <v>3.0327366639677552E-2</v>
      </c>
      <c r="L662" t="s">
        <v>159</v>
      </c>
      <c r="N662" t="s">
        <v>228</v>
      </c>
      <c r="O662" t="s">
        <v>287</v>
      </c>
      <c r="P662">
        <v>2.7945363894249942E-2</v>
      </c>
      <c r="Q662" t="s">
        <v>159</v>
      </c>
      <c r="S662" t="s">
        <v>270</v>
      </c>
      <c r="T662" t="s">
        <v>287</v>
      </c>
      <c r="U662">
        <v>1.9210940083435948E-2</v>
      </c>
      <c r="V662" t="s">
        <v>159</v>
      </c>
    </row>
    <row r="663" spans="9:22" x14ac:dyDescent="0.45">
      <c r="I663" t="s">
        <v>185</v>
      </c>
      <c r="J663" t="s">
        <v>288</v>
      </c>
      <c r="K663">
        <v>1.7207066099815552E-2</v>
      </c>
      <c r="L663" t="s">
        <v>159</v>
      </c>
      <c r="N663" t="s">
        <v>228</v>
      </c>
      <c r="O663" t="s">
        <v>288</v>
      </c>
      <c r="P663">
        <v>2.5344314996356802E-2</v>
      </c>
      <c r="Q663" t="s">
        <v>159</v>
      </c>
      <c r="S663" t="s">
        <v>270</v>
      </c>
      <c r="T663" t="s">
        <v>288</v>
      </c>
      <c r="U663">
        <v>1.8914440698415153E-2</v>
      </c>
      <c r="V663" t="s">
        <v>159</v>
      </c>
    </row>
    <row r="664" spans="9:22" x14ac:dyDescent="0.45">
      <c r="I664" t="s">
        <v>185</v>
      </c>
      <c r="J664" t="s">
        <v>308</v>
      </c>
      <c r="K664">
        <v>5.1075501163643641E-3</v>
      </c>
      <c r="L664" t="s">
        <v>159</v>
      </c>
      <c r="N664" t="s">
        <v>228</v>
      </c>
      <c r="O664" t="s">
        <v>308</v>
      </c>
      <c r="P664">
        <v>9.7839627215380087E-2</v>
      </c>
      <c r="Q664" t="s">
        <v>159</v>
      </c>
      <c r="S664" t="s">
        <v>270</v>
      </c>
      <c r="T664" t="s">
        <v>308</v>
      </c>
      <c r="U664">
        <v>8.9720467089477868E-2</v>
      </c>
      <c r="V664" t="s">
        <v>159</v>
      </c>
    </row>
    <row r="665" spans="9:22" x14ac:dyDescent="0.45">
      <c r="I665" t="s">
        <v>185</v>
      </c>
      <c r="J665" t="s">
        <v>162</v>
      </c>
      <c r="K665">
        <v>0</v>
      </c>
      <c r="L665" t="s">
        <v>159</v>
      </c>
      <c r="N665" t="s">
        <v>228</v>
      </c>
      <c r="O665" t="s">
        <v>162</v>
      </c>
      <c r="P665">
        <v>1.2595945792655158E-2</v>
      </c>
      <c r="Q665" t="s">
        <v>159</v>
      </c>
      <c r="S665" t="s">
        <v>270</v>
      </c>
      <c r="T665" t="s">
        <v>162</v>
      </c>
      <c r="U665">
        <v>2.5280412938209127E-2</v>
      </c>
      <c r="V665" t="s">
        <v>159</v>
      </c>
    </row>
    <row r="666" spans="9:22" x14ac:dyDescent="0.45">
      <c r="I666" t="s">
        <v>185</v>
      </c>
      <c r="J666" t="s">
        <v>163</v>
      </c>
      <c r="K666">
        <v>0</v>
      </c>
      <c r="L666" t="s">
        <v>159</v>
      </c>
      <c r="N666" t="s">
        <v>228</v>
      </c>
      <c r="O666" t="s">
        <v>163</v>
      </c>
      <c r="P666">
        <v>1.8300703818145303E-3</v>
      </c>
      <c r="Q666" t="s">
        <v>159</v>
      </c>
      <c r="S666" t="s">
        <v>270</v>
      </c>
      <c r="T666" t="s">
        <v>163</v>
      </c>
      <c r="U666">
        <v>3.6870322030134943E-3</v>
      </c>
      <c r="V666" t="s">
        <v>159</v>
      </c>
    </row>
    <row r="667" spans="9:22" x14ac:dyDescent="0.45">
      <c r="I667" t="s">
        <v>185</v>
      </c>
      <c r="J667" t="s">
        <v>164</v>
      </c>
      <c r="K667">
        <v>3.5737246160232924E-2</v>
      </c>
      <c r="L667" t="s">
        <v>159</v>
      </c>
      <c r="N667" t="s">
        <v>228</v>
      </c>
      <c r="O667" t="s">
        <v>164</v>
      </c>
      <c r="P667">
        <v>2.5420506897145961E-2</v>
      </c>
      <c r="Q667" t="s">
        <v>159</v>
      </c>
      <c r="S667" t="s">
        <v>270</v>
      </c>
      <c r="T667" t="s">
        <v>164</v>
      </c>
      <c r="U667">
        <v>2.7967117978002505E-2</v>
      </c>
      <c r="V667" t="s">
        <v>159</v>
      </c>
    </row>
    <row r="668" spans="9:22" x14ac:dyDescent="0.45">
      <c r="I668" t="s">
        <v>185</v>
      </c>
      <c r="J668" t="s">
        <v>289</v>
      </c>
      <c r="K668">
        <v>1.6355014956429108E-3</v>
      </c>
      <c r="L668" t="s">
        <v>159</v>
      </c>
      <c r="N668" t="s">
        <v>228</v>
      </c>
      <c r="O668" t="s">
        <v>289</v>
      </c>
      <c r="P668">
        <v>4.0252213859986946E-3</v>
      </c>
      <c r="Q668" t="s">
        <v>159</v>
      </c>
      <c r="S668" t="s">
        <v>270</v>
      </c>
      <c r="T668" t="s">
        <v>289</v>
      </c>
      <c r="U668">
        <v>2.8565052093544045E-3</v>
      </c>
      <c r="V668" t="s">
        <v>159</v>
      </c>
    </row>
    <row r="669" spans="9:22" x14ac:dyDescent="0.45">
      <c r="I669" t="s">
        <v>185</v>
      </c>
      <c r="J669" t="s">
        <v>290</v>
      </c>
      <c r="K669">
        <v>0</v>
      </c>
      <c r="L669" t="s">
        <v>159</v>
      </c>
      <c r="N669" t="s">
        <v>228</v>
      </c>
      <c r="O669" t="s">
        <v>290</v>
      </c>
      <c r="P669">
        <v>3.1458945045607645E-3</v>
      </c>
      <c r="Q669" t="s">
        <v>159</v>
      </c>
      <c r="S669" t="s">
        <v>270</v>
      </c>
      <c r="T669" t="s">
        <v>290</v>
      </c>
      <c r="U669">
        <v>2.8695817084840396E-3</v>
      </c>
      <c r="V669" t="s">
        <v>159</v>
      </c>
    </row>
    <row r="670" spans="9:22" x14ac:dyDescent="0.45">
      <c r="I670" t="s">
        <v>185</v>
      </c>
      <c r="J670" t="s">
        <v>309</v>
      </c>
      <c r="K670">
        <v>0</v>
      </c>
      <c r="L670" t="s">
        <v>159</v>
      </c>
      <c r="N670" t="s">
        <v>228</v>
      </c>
      <c r="O670" t="s">
        <v>309</v>
      </c>
      <c r="P670">
        <v>1.1627069255015544E-2</v>
      </c>
      <c r="Q670" t="s">
        <v>159</v>
      </c>
      <c r="S670" t="s">
        <v>270</v>
      </c>
      <c r="T670" t="s">
        <v>309</v>
      </c>
      <c r="U670">
        <v>1.4838177169373835E-2</v>
      </c>
      <c r="V670" t="s">
        <v>159</v>
      </c>
    </row>
    <row r="671" spans="9:22" x14ac:dyDescent="0.45">
      <c r="I671" t="s">
        <v>185</v>
      </c>
      <c r="J671" t="s">
        <v>165</v>
      </c>
      <c r="K671">
        <v>0</v>
      </c>
      <c r="L671" t="s">
        <v>159</v>
      </c>
      <c r="N671" t="s">
        <v>228</v>
      </c>
      <c r="O671" t="s">
        <v>165</v>
      </c>
      <c r="P671">
        <v>1.7336377036388462E-2</v>
      </c>
      <c r="Q671" t="s">
        <v>159</v>
      </c>
      <c r="S671" t="s">
        <v>270</v>
      </c>
      <c r="T671" t="s">
        <v>165</v>
      </c>
      <c r="U671">
        <v>2.9523180317517054E-2</v>
      </c>
      <c r="V671" t="s">
        <v>159</v>
      </c>
    </row>
    <row r="672" spans="9:22" x14ac:dyDescent="0.45">
      <c r="I672" t="s">
        <v>185</v>
      </c>
      <c r="J672" t="s">
        <v>166</v>
      </c>
      <c r="K672">
        <v>1.4553882229545348E-3</v>
      </c>
      <c r="L672" t="s">
        <v>159</v>
      </c>
      <c r="N672" t="s">
        <v>228</v>
      </c>
      <c r="O672" t="s">
        <v>166</v>
      </c>
      <c r="P672">
        <v>2.9438050316058623E-3</v>
      </c>
      <c r="Q672" t="s">
        <v>159</v>
      </c>
      <c r="S672" t="s">
        <v>270</v>
      </c>
      <c r="T672" t="s">
        <v>166</v>
      </c>
      <c r="U672">
        <v>4.226140432726018E-3</v>
      </c>
      <c r="V672" t="s">
        <v>159</v>
      </c>
    </row>
    <row r="673" spans="9:22" x14ac:dyDescent="0.45">
      <c r="I673" t="s">
        <v>185</v>
      </c>
      <c r="J673" t="s">
        <v>167</v>
      </c>
      <c r="K673">
        <v>4.8636627788022094E-2</v>
      </c>
      <c r="L673" t="s">
        <v>159</v>
      </c>
      <c r="N673" t="s">
        <v>228</v>
      </c>
      <c r="O673" t="s">
        <v>167</v>
      </c>
      <c r="P673">
        <v>2.7740246429937079E-2</v>
      </c>
      <c r="Q673" t="s">
        <v>159</v>
      </c>
      <c r="S673" t="s">
        <v>270</v>
      </c>
      <c r="T673" t="s">
        <v>167</v>
      </c>
      <c r="U673">
        <v>3.9329230503948966E-2</v>
      </c>
      <c r="V673" t="s">
        <v>159</v>
      </c>
    </row>
    <row r="674" spans="9:22" x14ac:dyDescent="0.45">
      <c r="I674" t="s">
        <v>185</v>
      </c>
      <c r="J674" t="s">
        <v>291</v>
      </c>
      <c r="K674">
        <v>3.8536306283689214E-3</v>
      </c>
      <c r="L674" t="s">
        <v>159</v>
      </c>
      <c r="N674" t="s">
        <v>228</v>
      </c>
      <c r="O674" t="s">
        <v>291</v>
      </c>
      <c r="P674">
        <v>4.8911368379637044E-3</v>
      </c>
      <c r="Q674" t="s">
        <v>159</v>
      </c>
      <c r="S674" t="s">
        <v>270</v>
      </c>
      <c r="T674" t="s">
        <v>291</v>
      </c>
      <c r="U674">
        <v>4.4660184211073855E-3</v>
      </c>
      <c r="V674" t="s">
        <v>159</v>
      </c>
    </row>
    <row r="675" spans="9:22" x14ac:dyDescent="0.45">
      <c r="I675" t="s">
        <v>185</v>
      </c>
      <c r="J675" t="s">
        <v>292</v>
      </c>
      <c r="K675">
        <v>0</v>
      </c>
      <c r="L675" t="s">
        <v>159</v>
      </c>
      <c r="N675" t="s">
        <v>228</v>
      </c>
      <c r="O675" t="s">
        <v>292</v>
      </c>
      <c r="P675">
        <v>3.9597576760879794E-3</v>
      </c>
      <c r="Q675" t="s">
        <v>159</v>
      </c>
      <c r="S675" t="s">
        <v>270</v>
      </c>
      <c r="T675" t="s">
        <v>292</v>
      </c>
      <c r="U675">
        <v>4.551072872123159E-3</v>
      </c>
      <c r="V675" t="s">
        <v>159</v>
      </c>
    </row>
    <row r="676" spans="9:22" x14ac:dyDescent="0.45">
      <c r="I676" t="s">
        <v>185</v>
      </c>
      <c r="J676" t="s">
        <v>310</v>
      </c>
      <c r="K676">
        <v>0</v>
      </c>
      <c r="L676" t="s">
        <v>159</v>
      </c>
      <c r="N676" t="s">
        <v>228</v>
      </c>
      <c r="O676" t="s">
        <v>310</v>
      </c>
      <c r="P676">
        <v>1.3280515582458966E-2</v>
      </c>
      <c r="Q676" t="s">
        <v>159</v>
      </c>
      <c r="S676" t="s">
        <v>270</v>
      </c>
      <c r="T676" t="s">
        <v>310</v>
      </c>
      <c r="U676">
        <v>2.2933544453989256E-2</v>
      </c>
      <c r="V676" t="s">
        <v>159</v>
      </c>
    </row>
    <row r="677" spans="9:22" x14ac:dyDescent="0.45">
      <c r="I677" t="s">
        <v>185</v>
      </c>
      <c r="J677" t="s">
        <v>293</v>
      </c>
      <c r="K677">
        <v>0</v>
      </c>
      <c r="L677" t="s">
        <v>159</v>
      </c>
      <c r="N677" t="s">
        <v>228</v>
      </c>
      <c r="O677" t="s">
        <v>293</v>
      </c>
      <c r="P677">
        <v>8.4629359110779262E-3</v>
      </c>
      <c r="Q677" t="s">
        <v>159</v>
      </c>
      <c r="S677" t="s">
        <v>270</v>
      </c>
      <c r="T677" t="s">
        <v>293</v>
      </c>
      <c r="U677">
        <v>3.9552932571968787E-3</v>
      </c>
      <c r="V677" t="s">
        <v>159</v>
      </c>
    </row>
    <row r="678" spans="9:22" x14ac:dyDescent="0.45">
      <c r="I678" t="s">
        <v>185</v>
      </c>
      <c r="J678" t="s">
        <v>294</v>
      </c>
      <c r="K678">
        <v>1.007335982427787E-3</v>
      </c>
      <c r="L678" t="s">
        <v>159</v>
      </c>
      <c r="N678" t="s">
        <v>228</v>
      </c>
      <c r="O678" t="s">
        <v>294</v>
      </c>
      <c r="P678">
        <v>1.1413475457297179E-3</v>
      </c>
      <c r="Q678" t="s">
        <v>159</v>
      </c>
      <c r="S678" t="s">
        <v>270</v>
      </c>
      <c r="T678" t="s">
        <v>294</v>
      </c>
      <c r="U678">
        <v>6.3260266845544617E-4</v>
      </c>
      <c r="V678" t="s">
        <v>159</v>
      </c>
    </row>
    <row r="679" spans="9:22" x14ac:dyDescent="0.45">
      <c r="I679" t="s">
        <v>185</v>
      </c>
      <c r="J679" t="s">
        <v>295</v>
      </c>
      <c r="K679">
        <v>1.4507475401076744E-2</v>
      </c>
      <c r="L679" t="s">
        <v>159</v>
      </c>
      <c r="N679" t="s">
        <v>228</v>
      </c>
      <c r="O679" t="s">
        <v>295</v>
      </c>
      <c r="P679">
        <v>8.5728232737362631E-3</v>
      </c>
      <c r="Q679" t="s">
        <v>159</v>
      </c>
      <c r="S679" t="s">
        <v>270</v>
      </c>
      <c r="T679" t="s">
        <v>295</v>
      </c>
      <c r="U679">
        <v>6.8866714012667382E-3</v>
      </c>
      <c r="V679" t="s">
        <v>159</v>
      </c>
    </row>
    <row r="680" spans="9:22" x14ac:dyDescent="0.45">
      <c r="I680" t="s">
        <v>185</v>
      </c>
      <c r="J680" t="s">
        <v>296</v>
      </c>
      <c r="K680">
        <v>1.1228635167581818E-3</v>
      </c>
      <c r="L680" t="s">
        <v>159</v>
      </c>
      <c r="N680" t="s">
        <v>228</v>
      </c>
      <c r="O680" t="s">
        <v>296</v>
      </c>
      <c r="P680">
        <v>1.5798646899860933E-3</v>
      </c>
      <c r="Q680" t="s">
        <v>159</v>
      </c>
      <c r="S680" t="s">
        <v>270</v>
      </c>
      <c r="T680" t="s">
        <v>296</v>
      </c>
      <c r="U680">
        <v>7.9099645915764612E-4</v>
      </c>
      <c r="V680" t="s">
        <v>159</v>
      </c>
    </row>
    <row r="681" spans="9:22" x14ac:dyDescent="0.45">
      <c r="I681" t="s">
        <v>185</v>
      </c>
      <c r="J681" t="s">
        <v>297</v>
      </c>
      <c r="K681">
        <v>0</v>
      </c>
      <c r="L681" t="s">
        <v>159</v>
      </c>
      <c r="N681" t="s">
        <v>228</v>
      </c>
      <c r="O681" t="s">
        <v>297</v>
      </c>
      <c r="P681">
        <v>1.4600714587530391E-3</v>
      </c>
      <c r="Q681" t="s">
        <v>159</v>
      </c>
      <c r="S681" t="s">
        <v>270</v>
      </c>
      <c r="T681" t="s">
        <v>297</v>
      </c>
      <c r="U681">
        <v>7.8223418828545258E-4</v>
      </c>
      <c r="V681" t="s">
        <v>159</v>
      </c>
    </row>
    <row r="682" spans="9:22" x14ac:dyDescent="0.45">
      <c r="I682" t="s">
        <v>185</v>
      </c>
      <c r="J682" t="s">
        <v>311</v>
      </c>
      <c r="K682">
        <v>0</v>
      </c>
      <c r="L682" t="s">
        <v>159</v>
      </c>
      <c r="N682" t="s">
        <v>228</v>
      </c>
      <c r="O682" t="s">
        <v>311</v>
      </c>
      <c r="P682">
        <v>5.8549604209346242E-3</v>
      </c>
      <c r="Q682" t="s">
        <v>159</v>
      </c>
      <c r="S682" t="s">
        <v>270</v>
      </c>
      <c r="T682" t="s">
        <v>311</v>
      </c>
      <c r="U682">
        <v>3.3403453208360025E-3</v>
      </c>
      <c r="V682" t="s">
        <v>159</v>
      </c>
    </row>
    <row r="683" spans="9:22" x14ac:dyDescent="0.45">
      <c r="I683" t="s">
        <v>185</v>
      </c>
      <c r="J683" t="s">
        <v>298</v>
      </c>
      <c r="K683">
        <v>1.1864724662587738E-2</v>
      </c>
      <c r="L683" t="s">
        <v>159</v>
      </c>
      <c r="N683" t="s">
        <v>228</v>
      </c>
      <c r="O683" t="s">
        <v>298</v>
      </c>
      <c r="P683">
        <v>7.1174206398647605E-2</v>
      </c>
      <c r="Q683" t="s">
        <v>159</v>
      </c>
      <c r="S683" t="s">
        <v>270</v>
      </c>
      <c r="T683" t="s">
        <v>298</v>
      </c>
      <c r="U683">
        <v>8.6018741360053191E-2</v>
      </c>
      <c r="V683" t="s">
        <v>159</v>
      </c>
    </row>
    <row r="684" spans="9:22" x14ac:dyDescent="0.45">
      <c r="I684" t="s">
        <v>185</v>
      </c>
      <c r="J684" t="s">
        <v>299</v>
      </c>
      <c r="K684">
        <v>1.9542882736426168E-2</v>
      </c>
      <c r="L684" t="s">
        <v>159</v>
      </c>
      <c r="N684" t="s">
        <v>228</v>
      </c>
      <c r="O684" t="s">
        <v>299</v>
      </c>
      <c r="P684">
        <v>9.9083358304359933E-3</v>
      </c>
      <c r="Q684" t="s">
        <v>159</v>
      </c>
      <c r="S684" t="s">
        <v>270</v>
      </c>
      <c r="T684" t="s">
        <v>299</v>
      </c>
      <c r="U684">
        <v>1.1446002411416205E-2</v>
      </c>
      <c r="V684" t="s">
        <v>159</v>
      </c>
    </row>
    <row r="685" spans="9:22" x14ac:dyDescent="0.45">
      <c r="I685" t="s">
        <v>185</v>
      </c>
      <c r="J685" t="s">
        <v>300</v>
      </c>
      <c r="K685">
        <v>0.24850379291383523</v>
      </c>
      <c r="L685" t="s">
        <v>159</v>
      </c>
      <c r="N685" t="s">
        <v>228</v>
      </c>
      <c r="O685" t="s">
        <v>300</v>
      </c>
      <c r="P685">
        <v>0.14237662091507283</v>
      </c>
      <c r="Q685" t="s">
        <v>159</v>
      </c>
      <c r="S685" t="s">
        <v>270</v>
      </c>
      <c r="T685" t="s">
        <v>300</v>
      </c>
      <c r="U685">
        <v>0.11044860372793336</v>
      </c>
      <c r="V685" t="s">
        <v>159</v>
      </c>
    </row>
    <row r="686" spans="9:22" x14ac:dyDescent="0.45">
      <c r="I686" t="s">
        <v>185</v>
      </c>
      <c r="J686" t="s">
        <v>301</v>
      </c>
      <c r="K686">
        <v>2.0629215173695568E-2</v>
      </c>
      <c r="L686" t="s">
        <v>159</v>
      </c>
      <c r="N686" t="s">
        <v>228</v>
      </c>
      <c r="O686" t="s">
        <v>301</v>
      </c>
      <c r="P686">
        <v>2.1949726364744664E-2</v>
      </c>
      <c r="Q686" t="s">
        <v>159</v>
      </c>
      <c r="S686" t="s">
        <v>270</v>
      </c>
      <c r="T686" t="s">
        <v>301</v>
      </c>
      <c r="U686">
        <v>1.3412215160801795E-2</v>
      </c>
      <c r="V686" t="s">
        <v>159</v>
      </c>
    </row>
    <row r="687" spans="9:22" x14ac:dyDescent="0.45">
      <c r="I687" t="s">
        <v>185</v>
      </c>
      <c r="J687" t="s">
        <v>302</v>
      </c>
      <c r="K687">
        <v>9.5153931795743576E-3</v>
      </c>
      <c r="L687" t="s">
        <v>159</v>
      </c>
      <c r="N687" t="s">
        <v>228</v>
      </c>
      <c r="O687" t="s">
        <v>302</v>
      </c>
      <c r="P687">
        <v>1.8718278675786928E-2</v>
      </c>
      <c r="Q687" t="s">
        <v>159</v>
      </c>
      <c r="S687" t="s">
        <v>270</v>
      </c>
      <c r="T687" t="s">
        <v>302</v>
      </c>
      <c r="U687">
        <v>1.3169989664093247E-2</v>
      </c>
      <c r="V687" t="s">
        <v>159</v>
      </c>
    </row>
    <row r="688" spans="9:22" x14ac:dyDescent="0.45">
      <c r="I688" t="s">
        <v>185</v>
      </c>
      <c r="J688" t="s">
        <v>312</v>
      </c>
      <c r="K688">
        <v>0</v>
      </c>
      <c r="L688" t="s">
        <v>159</v>
      </c>
      <c r="N688" t="s">
        <v>228</v>
      </c>
      <c r="O688" t="s">
        <v>312</v>
      </c>
      <c r="P688">
        <v>6.4924548757647471E-2</v>
      </c>
      <c r="Q688" t="s">
        <v>159</v>
      </c>
      <c r="S688" t="s">
        <v>270</v>
      </c>
      <c r="T688" t="s">
        <v>312</v>
      </c>
      <c r="U688">
        <v>6.3245739539979792E-2</v>
      </c>
      <c r="V688" t="s">
        <v>159</v>
      </c>
    </row>
    <row r="689" spans="9:22" x14ac:dyDescent="0.45">
      <c r="I689" t="s">
        <v>185</v>
      </c>
      <c r="J689" t="s">
        <v>313</v>
      </c>
      <c r="K689">
        <v>6.718088081406547E-3</v>
      </c>
      <c r="L689" t="s">
        <v>159</v>
      </c>
      <c r="N689" t="s">
        <v>228</v>
      </c>
      <c r="O689" t="s">
        <v>313</v>
      </c>
      <c r="P689">
        <v>1.5362049432196396E-2</v>
      </c>
      <c r="Q689" t="s">
        <v>159</v>
      </c>
      <c r="S689" t="s">
        <v>270</v>
      </c>
      <c r="T689" t="s">
        <v>313</v>
      </c>
      <c r="U689">
        <v>2.0146496779016768E-2</v>
      </c>
      <c r="V689" t="s">
        <v>159</v>
      </c>
    </row>
    <row r="690" spans="9:22" x14ac:dyDescent="0.45">
      <c r="I690" t="s">
        <v>185</v>
      </c>
      <c r="J690" t="s">
        <v>314</v>
      </c>
      <c r="K690">
        <v>7.4074268328311529E-3</v>
      </c>
      <c r="L690" t="s">
        <v>159</v>
      </c>
      <c r="N690" t="s">
        <v>228</v>
      </c>
      <c r="O690" t="s">
        <v>314</v>
      </c>
      <c r="P690">
        <v>1.7905999721070862E-3</v>
      </c>
      <c r="Q690" t="s">
        <v>159</v>
      </c>
      <c r="S690" t="s">
        <v>270</v>
      </c>
      <c r="T690" t="s">
        <v>314</v>
      </c>
      <c r="U690">
        <v>2.8454418876426549E-3</v>
      </c>
      <c r="V690" t="s">
        <v>159</v>
      </c>
    </row>
    <row r="691" spans="9:22" x14ac:dyDescent="0.45">
      <c r="I691" t="s">
        <v>185</v>
      </c>
      <c r="J691" t="s">
        <v>315</v>
      </c>
      <c r="K691">
        <v>8.9564611767168692E-2</v>
      </c>
      <c r="L691" t="s">
        <v>159</v>
      </c>
      <c r="N691" t="s">
        <v>228</v>
      </c>
      <c r="O691" t="s">
        <v>315</v>
      </c>
      <c r="P691">
        <v>2.6795719027162872E-2</v>
      </c>
      <c r="Q691" t="s">
        <v>159</v>
      </c>
      <c r="S691" t="s">
        <v>270</v>
      </c>
      <c r="T691" t="s">
        <v>315</v>
      </c>
      <c r="U691">
        <v>2.9451137469175638E-2</v>
      </c>
      <c r="V691" t="s">
        <v>159</v>
      </c>
    </row>
    <row r="692" spans="9:22" x14ac:dyDescent="0.45">
      <c r="I692" t="s">
        <v>185</v>
      </c>
      <c r="J692" t="s">
        <v>316</v>
      </c>
      <c r="K692">
        <v>7.9912805766663483E-3</v>
      </c>
      <c r="L692" t="s">
        <v>159</v>
      </c>
      <c r="N692" t="s">
        <v>228</v>
      </c>
      <c r="O692" t="s">
        <v>316</v>
      </c>
      <c r="P692">
        <v>4.1413289358049618E-3</v>
      </c>
      <c r="Q692" t="s">
        <v>159</v>
      </c>
      <c r="S692" t="s">
        <v>270</v>
      </c>
      <c r="T692" t="s">
        <v>316</v>
      </c>
      <c r="U692">
        <v>3.5310549855962058E-3</v>
      </c>
      <c r="V692" t="s">
        <v>159</v>
      </c>
    </row>
    <row r="693" spans="9:22" x14ac:dyDescent="0.45">
      <c r="I693" t="s">
        <v>185</v>
      </c>
      <c r="J693" t="s">
        <v>317</v>
      </c>
      <c r="K693">
        <v>6.1631257105855403E-3</v>
      </c>
      <c r="L693" t="s">
        <v>159</v>
      </c>
      <c r="N693" t="s">
        <v>228</v>
      </c>
      <c r="O693" t="s">
        <v>317</v>
      </c>
      <c r="P693">
        <v>3.8010123876023412E-3</v>
      </c>
      <c r="Q693" t="s">
        <v>159</v>
      </c>
      <c r="S693" t="s">
        <v>270</v>
      </c>
      <c r="T693" t="s">
        <v>317</v>
      </c>
      <c r="U693">
        <v>3.4733210009098422E-3</v>
      </c>
      <c r="V693" t="s">
        <v>159</v>
      </c>
    </row>
    <row r="694" spans="9:22" x14ac:dyDescent="0.45">
      <c r="I694" t="s">
        <v>185</v>
      </c>
      <c r="J694" t="s">
        <v>318</v>
      </c>
      <c r="K694">
        <v>2.9594989109029799E-3</v>
      </c>
      <c r="L694" t="s">
        <v>159</v>
      </c>
      <c r="N694" t="s">
        <v>228</v>
      </c>
      <c r="O694" t="s">
        <v>318</v>
      </c>
      <c r="P694">
        <v>1.5172927142592288E-2</v>
      </c>
      <c r="Q694" t="s">
        <v>159</v>
      </c>
      <c r="S694" t="s">
        <v>270</v>
      </c>
      <c r="T694" t="s">
        <v>318</v>
      </c>
      <c r="U694">
        <v>1.6211872242345184E-2</v>
      </c>
      <c r="V694" t="s">
        <v>159</v>
      </c>
    </row>
    <row r="695" spans="9:22" x14ac:dyDescent="0.45">
      <c r="I695" t="s">
        <v>186</v>
      </c>
      <c r="J695" t="s">
        <v>158</v>
      </c>
      <c r="K695">
        <v>1.1135807075060504E-2</v>
      </c>
      <c r="L695" t="s">
        <v>159</v>
      </c>
      <c r="N695" t="s">
        <v>229</v>
      </c>
      <c r="O695" t="s">
        <v>158</v>
      </c>
      <c r="P695">
        <v>0.13623530850784163</v>
      </c>
      <c r="Q695" t="s">
        <v>159</v>
      </c>
      <c r="S695" t="s">
        <v>271</v>
      </c>
      <c r="T695" t="s">
        <v>158</v>
      </c>
      <c r="U695">
        <v>0.11292966908909058</v>
      </c>
      <c r="V695" t="s">
        <v>159</v>
      </c>
    </row>
    <row r="696" spans="9:22" x14ac:dyDescent="0.45">
      <c r="I696" t="s">
        <v>186</v>
      </c>
      <c r="J696" t="s">
        <v>160</v>
      </c>
      <c r="K696">
        <v>2.6954554616661453E-2</v>
      </c>
      <c r="L696" t="s">
        <v>159</v>
      </c>
      <c r="N696" t="s">
        <v>229</v>
      </c>
      <c r="O696" t="s">
        <v>160</v>
      </c>
      <c r="P696">
        <v>1.5978329388512354E-2</v>
      </c>
      <c r="Q696" t="s">
        <v>159</v>
      </c>
      <c r="S696" t="s">
        <v>271</v>
      </c>
      <c r="T696" t="s">
        <v>160</v>
      </c>
      <c r="U696">
        <v>1.6049096231233077E-2</v>
      </c>
      <c r="V696" t="s">
        <v>159</v>
      </c>
    </row>
    <row r="697" spans="9:22" x14ac:dyDescent="0.45">
      <c r="I697" t="s">
        <v>186</v>
      </c>
      <c r="J697" t="s">
        <v>161</v>
      </c>
      <c r="K697">
        <v>0.37758724119936793</v>
      </c>
      <c r="L697" t="s">
        <v>159</v>
      </c>
      <c r="N697" t="s">
        <v>229</v>
      </c>
      <c r="O697" t="s">
        <v>161</v>
      </c>
      <c r="P697">
        <v>0.12569461069681498</v>
      </c>
      <c r="Q697" t="s">
        <v>159</v>
      </c>
      <c r="S697" t="s">
        <v>271</v>
      </c>
      <c r="T697" t="s">
        <v>161</v>
      </c>
      <c r="U697">
        <v>0.17377421093354883</v>
      </c>
      <c r="V697" t="s">
        <v>159</v>
      </c>
    </row>
    <row r="698" spans="9:22" x14ac:dyDescent="0.45">
      <c r="I698" t="s">
        <v>186</v>
      </c>
      <c r="J698" t="s">
        <v>287</v>
      </c>
      <c r="K698">
        <v>2.7478410973173828E-2</v>
      </c>
      <c r="L698" t="s">
        <v>159</v>
      </c>
      <c r="N698" t="s">
        <v>229</v>
      </c>
      <c r="O698" t="s">
        <v>287</v>
      </c>
      <c r="P698">
        <v>1.5947078522393639E-2</v>
      </c>
      <c r="Q698" t="s">
        <v>159</v>
      </c>
      <c r="S698" t="s">
        <v>271</v>
      </c>
      <c r="T698" t="s">
        <v>287</v>
      </c>
      <c r="U698">
        <v>2.0814973443125523E-2</v>
      </c>
      <c r="V698" t="s">
        <v>159</v>
      </c>
    </row>
    <row r="699" spans="9:22" x14ac:dyDescent="0.45">
      <c r="I699" t="s">
        <v>186</v>
      </c>
      <c r="J699" t="s">
        <v>288</v>
      </c>
      <c r="K699">
        <v>1.5371258571065057E-2</v>
      </c>
      <c r="L699" t="s">
        <v>159</v>
      </c>
      <c r="N699" t="s">
        <v>229</v>
      </c>
      <c r="O699" t="s">
        <v>288</v>
      </c>
      <c r="P699">
        <v>1.8925627178248774E-2</v>
      </c>
      <c r="Q699" t="s">
        <v>159</v>
      </c>
      <c r="S699" t="s">
        <v>271</v>
      </c>
      <c r="T699" t="s">
        <v>288</v>
      </c>
      <c r="U699">
        <v>1.9660465008506406E-2</v>
      </c>
      <c r="V699" t="s">
        <v>159</v>
      </c>
    </row>
    <row r="700" spans="9:22" x14ac:dyDescent="0.45">
      <c r="I700" t="s">
        <v>186</v>
      </c>
      <c r="J700" t="s">
        <v>308</v>
      </c>
      <c r="K700">
        <v>2.9372053073119307E-3</v>
      </c>
      <c r="L700" t="s">
        <v>159</v>
      </c>
      <c r="N700" t="s">
        <v>229</v>
      </c>
      <c r="O700" t="s">
        <v>308</v>
      </c>
      <c r="P700">
        <v>0.12099864831249109</v>
      </c>
      <c r="Q700" t="s">
        <v>159</v>
      </c>
      <c r="S700" t="s">
        <v>271</v>
      </c>
      <c r="T700" t="s">
        <v>308</v>
      </c>
      <c r="U700">
        <v>8.9569564095100515E-2</v>
      </c>
      <c r="V700" t="s">
        <v>159</v>
      </c>
    </row>
    <row r="701" spans="9:22" x14ac:dyDescent="0.45">
      <c r="I701" t="s">
        <v>186</v>
      </c>
      <c r="J701" t="s">
        <v>162</v>
      </c>
      <c r="K701">
        <v>0</v>
      </c>
      <c r="L701" t="s">
        <v>159</v>
      </c>
      <c r="N701" t="s">
        <v>229</v>
      </c>
      <c r="O701" t="s">
        <v>162</v>
      </c>
      <c r="P701">
        <v>1.6990281453410635E-2</v>
      </c>
      <c r="Q701" t="s">
        <v>159</v>
      </c>
      <c r="S701" t="s">
        <v>271</v>
      </c>
      <c r="T701" t="s">
        <v>162</v>
      </c>
      <c r="U701">
        <v>2.5336555865313623E-2</v>
      </c>
      <c r="V701" t="s">
        <v>159</v>
      </c>
    </row>
    <row r="702" spans="9:22" x14ac:dyDescent="0.45">
      <c r="I702" t="s">
        <v>186</v>
      </c>
      <c r="J702" t="s">
        <v>163</v>
      </c>
      <c r="K702">
        <v>0</v>
      </c>
      <c r="L702" t="s">
        <v>159</v>
      </c>
      <c r="N702" t="s">
        <v>229</v>
      </c>
      <c r="O702" t="s">
        <v>163</v>
      </c>
      <c r="P702">
        <v>2.5186605765805106E-3</v>
      </c>
      <c r="Q702" t="s">
        <v>159</v>
      </c>
      <c r="S702" t="s">
        <v>271</v>
      </c>
      <c r="T702" t="s">
        <v>163</v>
      </c>
      <c r="U702">
        <v>3.4172357661989036E-3</v>
      </c>
      <c r="V702" t="s">
        <v>159</v>
      </c>
    </row>
    <row r="703" spans="9:22" x14ac:dyDescent="0.45">
      <c r="I703" t="s">
        <v>186</v>
      </c>
      <c r="J703" t="s">
        <v>164</v>
      </c>
      <c r="K703">
        <v>3.6482091803804961E-2</v>
      </c>
      <c r="L703" t="s">
        <v>159</v>
      </c>
      <c r="N703" t="s">
        <v>229</v>
      </c>
      <c r="O703" t="s">
        <v>164</v>
      </c>
      <c r="P703">
        <v>1.942878482446822E-2</v>
      </c>
      <c r="Q703" t="s">
        <v>159</v>
      </c>
      <c r="S703" t="s">
        <v>271</v>
      </c>
      <c r="T703" t="s">
        <v>164</v>
      </c>
      <c r="U703">
        <v>2.9890463614289712E-2</v>
      </c>
      <c r="V703" t="s">
        <v>159</v>
      </c>
    </row>
    <row r="704" spans="9:22" x14ac:dyDescent="0.45">
      <c r="I704" t="s">
        <v>186</v>
      </c>
      <c r="J704" t="s">
        <v>289</v>
      </c>
      <c r="K704">
        <v>4.151413529264983E-4</v>
      </c>
      <c r="L704" t="s">
        <v>159</v>
      </c>
      <c r="N704" t="s">
        <v>229</v>
      </c>
      <c r="O704" t="s">
        <v>289</v>
      </c>
      <c r="P704">
        <v>1.9572685051110102E-3</v>
      </c>
      <c r="Q704" t="s">
        <v>159</v>
      </c>
      <c r="S704" t="s">
        <v>271</v>
      </c>
      <c r="T704" t="s">
        <v>289</v>
      </c>
      <c r="U704">
        <v>3.207127052387172E-3</v>
      </c>
      <c r="V704" t="s">
        <v>159</v>
      </c>
    </row>
    <row r="705" spans="9:22" x14ac:dyDescent="0.45">
      <c r="I705" t="s">
        <v>186</v>
      </c>
      <c r="J705" t="s">
        <v>290</v>
      </c>
      <c r="K705">
        <v>0</v>
      </c>
      <c r="L705" t="s">
        <v>159</v>
      </c>
      <c r="N705" t="s">
        <v>229</v>
      </c>
      <c r="O705" t="s">
        <v>290</v>
      </c>
      <c r="P705">
        <v>2.434193832587148E-3</v>
      </c>
      <c r="Q705" t="s">
        <v>159</v>
      </c>
      <c r="S705" t="s">
        <v>271</v>
      </c>
      <c r="T705" t="s">
        <v>290</v>
      </c>
      <c r="U705">
        <v>3.2255423913454982E-3</v>
      </c>
      <c r="V705" t="s">
        <v>159</v>
      </c>
    </row>
    <row r="706" spans="9:22" x14ac:dyDescent="0.45">
      <c r="I706" t="s">
        <v>186</v>
      </c>
      <c r="J706" t="s">
        <v>309</v>
      </c>
      <c r="K706">
        <v>0</v>
      </c>
      <c r="L706" t="s">
        <v>159</v>
      </c>
      <c r="N706" t="s">
        <v>229</v>
      </c>
      <c r="O706" t="s">
        <v>309</v>
      </c>
      <c r="P706">
        <v>1.4041267048437639E-2</v>
      </c>
      <c r="Q706" t="s">
        <v>159</v>
      </c>
      <c r="S706" t="s">
        <v>271</v>
      </c>
      <c r="T706" t="s">
        <v>309</v>
      </c>
      <c r="U706">
        <v>1.7324514464492111E-2</v>
      </c>
      <c r="V706" t="s">
        <v>159</v>
      </c>
    </row>
    <row r="707" spans="9:22" x14ac:dyDescent="0.45">
      <c r="I707" t="s">
        <v>186</v>
      </c>
      <c r="J707" t="s">
        <v>165</v>
      </c>
      <c r="K707">
        <v>0</v>
      </c>
      <c r="L707" t="s">
        <v>159</v>
      </c>
      <c r="N707" t="s">
        <v>229</v>
      </c>
      <c r="O707" t="s">
        <v>165</v>
      </c>
      <c r="P707">
        <v>2.4045407680398208E-2</v>
      </c>
      <c r="Q707" t="s">
        <v>159</v>
      </c>
      <c r="S707" t="s">
        <v>271</v>
      </c>
      <c r="T707" t="s">
        <v>165</v>
      </c>
      <c r="U707">
        <v>2.8262193942178687E-2</v>
      </c>
      <c r="V707" t="s">
        <v>159</v>
      </c>
    </row>
    <row r="708" spans="9:22" x14ac:dyDescent="0.45">
      <c r="I708" t="s">
        <v>186</v>
      </c>
      <c r="J708" t="s">
        <v>166</v>
      </c>
      <c r="K708">
        <v>2.6194774744159191E-3</v>
      </c>
      <c r="L708" t="s">
        <v>159</v>
      </c>
      <c r="N708" t="s">
        <v>229</v>
      </c>
      <c r="O708" t="s">
        <v>166</v>
      </c>
      <c r="P708">
        <v>3.0736719104771533E-3</v>
      </c>
      <c r="Q708" t="s">
        <v>159</v>
      </c>
      <c r="S708" t="s">
        <v>271</v>
      </c>
      <c r="T708" t="s">
        <v>166</v>
      </c>
      <c r="U708">
        <v>3.8650236676063066E-3</v>
      </c>
      <c r="V708" t="s">
        <v>159</v>
      </c>
    </row>
    <row r="709" spans="9:22" x14ac:dyDescent="0.45">
      <c r="I709" t="s">
        <v>186</v>
      </c>
      <c r="J709" t="s">
        <v>167</v>
      </c>
      <c r="K709">
        <v>4.8903338045697492E-2</v>
      </c>
      <c r="L709" t="s">
        <v>159</v>
      </c>
      <c r="N709" t="s">
        <v>229</v>
      </c>
      <c r="O709" t="s">
        <v>167</v>
      </c>
      <c r="P709">
        <v>2.242861816400166E-2</v>
      </c>
      <c r="Q709" t="s">
        <v>159</v>
      </c>
      <c r="S709" t="s">
        <v>271</v>
      </c>
      <c r="T709" t="s">
        <v>167</v>
      </c>
      <c r="U709">
        <v>3.9353090186513118E-2</v>
      </c>
      <c r="V709" t="s">
        <v>159</v>
      </c>
    </row>
    <row r="710" spans="9:22" x14ac:dyDescent="0.45">
      <c r="I710" t="s">
        <v>186</v>
      </c>
      <c r="J710" t="s">
        <v>291</v>
      </c>
      <c r="K710">
        <v>3.7609018098626744E-3</v>
      </c>
      <c r="L710" t="s">
        <v>159</v>
      </c>
      <c r="N710" t="s">
        <v>229</v>
      </c>
      <c r="O710" t="s">
        <v>291</v>
      </c>
      <c r="P710">
        <v>2.3133190310071373E-3</v>
      </c>
      <c r="Q710" t="s">
        <v>159</v>
      </c>
      <c r="S710" t="s">
        <v>271</v>
      </c>
      <c r="T710" t="s">
        <v>291</v>
      </c>
      <c r="U710">
        <v>4.7449005495049223E-3</v>
      </c>
      <c r="V710" t="s">
        <v>159</v>
      </c>
    </row>
    <row r="711" spans="9:22" x14ac:dyDescent="0.45">
      <c r="I711" t="s">
        <v>186</v>
      </c>
      <c r="J711" t="s">
        <v>292</v>
      </c>
      <c r="K711">
        <v>0</v>
      </c>
      <c r="L711" t="s">
        <v>159</v>
      </c>
      <c r="N711" t="s">
        <v>229</v>
      </c>
      <c r="O711" t="s">
        <v>292</v>
      </c>
      <c r="P711">
        <v>2.8327663774784882E-3</v>
      </c>
      <c r="Q711" t="s">
        <v>159</v>
      </c>
      <c r="S711" t="s">
        <v>271</v>
      </c>
      <c r="T711" t="s">
        <v>292</v>
      </c>
      <c r="U711">
        <v>4.6341616449047194E-3</v>
      </c>
      <c r="V711" t="s">
        <v>159</v>
      </c>
    </row>
    <row r="712" spans="9:22" x14ac:dyDescent="0.45">
      <c r="I712" t="s">
        <v>186</v>
      </c>
      <c r="J712" t="s">
        <v>310</v>
      </c>
      <c r="K712">
        <v>0</v>
      </c>
      <c r="L712" t="s">
        <v>159</v>
      </c>
      <c r="N712" t="s">
        <v>229</v>
      </c>
      <c r="O712" t="s">
        <v>310</v>
      </c>
      <c r="P712">
        <v>1.8116434443316225E-2</v>
      </c>
      <c r="Q712" t="s">
        <v>159</v>
      </c>
      <c r="S712" t="s">
        <v>271</v>
      </c>
      <c r="T712" t="s">
        <v>310</v>
      </c>
      <c r="U712">
        <v>2.3062733971423957E-2</v>
      </c>
      <c r="V712" t="s">
        <v>159</v>
      </c>
    </row>
    <row r="713" spans="9:22" x14ac:dyDescent="0.45">
      <c r="I713" t="s">
        <v>186</v>
      </c>
      <c r="J713" t="s">
        <v>293</v>
      </c>
      <c r="K713">
        <v>0</v>
      </c>
      <c r="L713" t="s">
        <v>159</v>
      </c>
      <c r="N713" t="s">
        <v>229</v>
      </c>
      <c r="O713" t="s">
        <v>293</v>
      </c>
      <c r="P713">
        <v>5.8256383659931873E-3</v>
      </c>
      <c r="Q713" t="s">
        <v>159</v>
      </c>
      <c r="S713" t="s">
        <v>271</v>
      </c>
      <c r="T713" t="s">
        <v>293</v>
      </c>
      <c r="U713">
        <v>3.1538263558586899E-3</v>
      </c>
      <c r="V713" t="s">
        <v>159</v>
      </c>
    </row>
    <row r="714" spans="9:22" x14ac:dyDescent="0.45">
      <c r="I714" t="s">
        <v>186</v>
      </c>
      <c r="J714" t="s">
        <v>294</v>
      </c>
      <c r="K714">
        <v>1.0402130591950689E-3</v>
      </c>
      <c r="L714" t="s">
        <v>159</v>
      </c>
      <c r="N714" t="s">
        <v>229</v>
      </c>
      <c r="O714" t="s">
        <v>294</v>
      </c>
      <c r="P714">
        <v>6.4645339398603245E-4</v>
      </c>
      <c r="Q714" t="s">
        <v>159</v>
      </c>
      <c r="S714" t="s">
        <v>271</v>
      </c>
      <c r="T714" t="s">
        <v>294</v>
      </c>
      <c r="U714">
        <v>5.1166612445598851E-4</v>
      </c>
      <c r="V714" t="s">
        <v>159</v>
      </c>
    </row>
    <row r="715" spans="9:22" x14ac:dyDescent="0.45">
      <c r="I715" t="s">
        <v>186</v>
      </c>
      <c r="J715" t="s">
        <v>295</v>
      </c>
      <c r="K715">
        <v>1.5188111059187472E-2</v>
      </c>
      <c r="L715" t="s">
        <v>159</v>
      </c>
      <c r="N715" t="s">
        <v>229</v>
      </c>
      <c r="O715" t="s">
        <v>295</v>
      </c>
      <c r="P715">
        <v>6.2221824626303183E-3</v>
      </c>
      <c r="Q715" t="s">
        <v>159</v>
      </c>
      <c r="S715" t="s">
        <v>271</v>
      </c>
      <c r="T715" t="s">
        <v>295</v>
      </c>
      <c r="U715">
        <v>5.5421543843112838E-3</v>
      </c>
      <c r="V715" t="s">
        <v>159</v>
      </c>
    </row>
    <row r="716" spans="9:22" x14ac:dyDescent="0.45">
      <c r="I716" t="s">
        <v>186</v>
      </c>
      <c r="J716" t="s">
        <v>296</v>
      </c>
      <c r="K716">
        <v>1.1779940049577095E-3</v>
      </c>
      <c r="L716" t="s">
        <v>159</v>
      </c>
      <c r="N716" t="s">
        <v>229</v>
      </c>
      <c r="O716" t="s">
        <v>296</v>
      </c>
      <c r="P716">
        <v>1.104112538925681E-3</v>
      </c>
      <c r="Q716" t="s">
        <v>159</v>
      </c>
      <c r="S716" t="s">
        <v>271</v>
      </c>
      <c r="T716" t="s">
        <v>296</v>
      </c>
      <c r="U716">
        <v>5.8507205429794869E-4</v>
      </c>
      <c r="V716" t="s">
        <v>159</v>
      </c>
    </row>
    <row r="717" spans="9:22" x14ac:dyDescent="0.45">
      <c r="I717" t="s">
        <v>186</v>
      </c>
      <c r="J717" t="s">
        <v>297</v>
      </c>
      <c r="K717">
        <v>0</v>
      </c>
      <c r="L717" t="s">
        <v>159</v>
      </c>
      <c r="N717" t="s">
        <v>229</v>
      </c>
      <c r="O717" t="s">
        <v>297</v>
      </c>
      <c r="P717">
        <v>1.3119493405759968E-3</v>
      </c>
      <c r="Q717" t="s">
        <v>159</v>
      </c>
      <c r="S717" t="s">
        <v>271</v>
      </c>
      <c r="T717" t="s">
        <v>297</v>
      </c>
      <c r="U717">
        <v>4.702437032983234E-4</v>
      </c>
      <c r="V717" t="s">
        <v>159</v>
      </c>
    </row>
    <row r="718" spans="9:22" x14ac:dyDescent="0.45">
      <c r="I718" t="s">
        <v>186</v>
      </c>
      <c r="J718" t="s">
        <v>311</v>
      </c>
      <c r="K718">
        <v>0</v>
      </c>
      <c r="L718" t="s">
        <v>159</v>
      </c>
      <c r="N718" t="s">
        <v>229</v>
      </c>
      <c r="O718" t="s">
        <v>311</v>
      </c>
      <c r="P718">
        <v>7.3528793011077452E-3</v>
      </c>
      <c r="Q718" t="s">
        <v>159</v>
      </c>
      <c r="S718" t="s">
        <v>271</v>
      </c>
      <c r="T718" t="s">
        <v>311</v>
      </c>
      <c r="U718">
        <v>1.5297918761242003E-3</v>
      </c>
      <c r="V718" t="s">
        <v>159</v>
      </c>
    </row>
    <row r="719" spans="9:22" x14ac:dyDescent="0.45">
      <c r="I719" t="s">
        <v>186</v>
      </c>
      <c r="J719" t="s">
        <v>298</v>
      </c>
      <c r="K719">
        <v>1.4991713984427175E-2</v>
      </c>
      <c r="L719" t="s">
        <v>159</v>
      </c>
      <c r="N719" t="s">
        <v>229</v>
      </c>
      <c r="O719" t="s">
        <v>298</v>
      </c>
      <c r="P719">
        <v>9.6929153229809162E-2</v>
      </c>
      <c r="Q719" t="s">
        <v>159</v>
      </c>
      <c r="S719" t="s">
        <v>271</v>
      </c>
      <c r="T719" t="s">
        <v>298</v>
      </c>
      <c r="U719">
        <v>7.7109239879170191E-2</v>
      </c>
      <c r="V719" t="s">
        <v>159</v>
      </c>
    </row>
    <row r="720" spans="9:22" x14ac:dyDescent="0.45">
      <c r="I720" t="s">
        <v>186</v>
      </c>
      <c r="J720" t="s">
        <v>299</v>
      </c>
      <c r="K720">
        <v>2.0557286423088839E-2</v>
      </c>
      <c r="L720" t="s">
        <v>159</v>
      </c>
      <c r="N720" t="s">
        <v>229</v>
      </c>
      <c r="O720" t="s">
        <v>299</v>
      </c>
      <c r="P720">
        <v>1.2765531267600903E-2</v>
      </c>
      <c r="Q720" t="s">
        <v>159</v>
      </c>
      <c r="S720" t="s">
        <v>271</v>
      </c>
      <c r="T720" t="s">
        <v>299</v>
      </c>
      <c r="U720">
        <v>1.041909610949591E-2</v>
      </c>
      <c r="V720" t="s">
        <v>159</v>
      </c>
    </row>
    <row r="721" spans="9:22" x14ac:dyDescent="0.45">
      <c r="I721" t="s">
        <v>186</v>
      </c>
      <c r="J721" t="s">
        <v>300</v>
      </c>
      <c r="K721">
        <v>0.24805737902954109</v>
      </c>
      <c r="L721" t="s">
        <v>159</v>
      </c>
      <c r="N721" t="s">
        <v>229</v>
      </c>
      <c r="O721" t="s">
        <v>300</v>
      </c>
      <c r="P721">
        <v>9.5221045871216811E-2</v>
      </c>
      <c r="Q721" t="s">
        <v>159</v>
      </c>
      <c r="S721" t="s">
        <v>271</v>
      </c>
      <c r="T721" t="s">
        <v>300</v>
      </c>
      <c r="U721">
        <v>0.1156158336202</v>
      </c>
      <c r="V721" t="s">
        <v>159</v>
      </c>
    </row>
    <row r="722" spans="9:22" x14ac:dyDescent="0.45">
      <c r="I722" t="s">
        <v>186</v>
      </c>
      <c r="J722" t="s">
        <v>301</v>
      </c>
      <c r="K722">
        <v>1.9210193604979203E-2</v>
      </c>
      <c r="L722" t="s">
        <v>159</v>
      </c>
      <c r="N722" t="s">
        <v>229</v>
      </c>
      <c r="O722" t="s">
        <v>301</v>
      </c>
      <c r="P722">
        <v>1.2802125438564521E-2</v>
      </c>
      <c r="Q722" t="s">
        <v>159</v>
      </c>
      <c r="S722" t="s">
        <v>271</v>
      </c>
      <c r="T722" t="s">
        <v>301</v>
      </c>
      <c r="U722">
        <v>1.3665358591520297E-2</v>
      </c>
      <c r="V722" t="s">
        <v>159</v>
      </c>
    </row>
    <row r="723" spans="9:22" x14ac:dyDescent="0.45">
      <c r="I723" t="s">
        <v>186</v>
      </c>
      <c r="J723" t="s">
        <v>302</v>
      </c>
      <c r="K723">
        <v>7.1723865647835994E-3</v>
      </c>
      <c r="L723" t="s">
        <v>159</v>
      </c>
      <c r="N723" t="s">
        <v>229</v>
      </c>
      <c r="O723" t="s">
        <v>302</v>
      </c>
      <c r="P723">
        <v>1.5796327810019335E-2</v>
      </c>
      <c r="Q723" t="s">
        <v>159</v>
      </c>
      <c r="S723" t="s">
        <v>271</v>
      </c>
      <c r="T723" t="s">
        <v>302</v>
      </c>
      <c r="U723">
        <v>1.2970855583179746E-2</v>
      </c>
      <c r="V723" t="s">
        <v>159</v>
      </c>
    </row>
    <row r="724" spans="9:22" x14ac:dyDescent="0.45">
      <c r="I724" t="s">
        <v>186</v>
      </c>
      <c r="J724" t="s">
        <v>312</v>
      </c>
      <c r="K724">
        <v>0</v>
      </c>
      <c r="L724" t="s">
        <v>159</v>
      </c>
      <c r="N724" t="s">
        <v>229</v>
      </c>
      <c r="O724" t="s">
        <v>312</v>
      </c>
      <c r="P724">
        <v>0.10158723612386653</v>
      </c>
      <c r="Q724" t="s">
        <v>159</v>
      </c>
      <c r="S724" t="s">
        <v>271</v>
      </c>
      <c r="T724" t="s">
        <v>312</v>
      </c>
      <c r="U724">
        <v>6.0519686385080727E-2</v>
      </c>
      <c r="V724" t="s">
        <v>159</v>
      </c>
    </row>
    <row r="725" spans="9:22" x14ac:dyDescent="0.45">
      <c r="I725" t="s">
        <v>186</v>
      </c>
      <c r="J725" t="s">
        <v>313</v>
      </c>
      <c r="K725">
        <v>8.5141239025207493E-3</v>
      </c>
      <c r="L725" t="s">
        <v>159</v>
      </c>
      <c r="N725" t="s">
        <v>229</v>
      </c>
      <c r="O725" t="s">
        <v>313</v>
      </c>
      <c r="P725">
        <v>2.3662721782336544E-2</v>
      </c>
      <c r="Q725" t="s">
        <v>159</v>
      </c>
      <c r="S725" t="s">
        <v>271</v>
      </c>
      <c r="T725" t="s">
        <v>313</v>
      </c>
      <c r="U725">
        <v>1.8073490827414239E-2</v>
      </c>
      <c r="V725" t="s">
        <v>159</v>
      </c>
    </row>
    <row r="726" spans="9:22" x14ac:dyDescent="0.45">
      <c r="I726" t="s">
        <v>186</v>
      </c>
      <c r="J726" t="s">
        <v>314</v>
      </c>
      <c r="K726">
        <v>7.7267741305822408E-3</v>
      </c>
      <c r="L726" t="s">
        <v>159</v>
      </c>
      <c r="N726" t="s">
        <v>229</v>
      </c>
      <c r="O726" t="s">
        <v>314</v>
      </c>
      <c r="P726">
        <v>2.945657446405747E-3</v>
      </c>
      <c r="Q726" t="s">
        <v>159</v>
      </c>
      <c r="S726" t="s">
        <v>271</v>
      </c>
      <c r="T726" t="s">
        <v>314</v>
      </c>
      <c r="U726">
        <v>2.428471042454243E-3</v>
      </c>
      <c r="V726" t="s">
        <v>159</v>
      </c>
    </row>
    <row r="727" spans="9:22" x14ac:dyDescent="0.45">
      <c r="I727" t="s">
        <v>186</v>
      </c>
      <c r="J727" t="s">
        <v>315</v>
      </c>
      <c r="K727">
        <v>8.8705025666241416E-2</v>
      </c>
      <c r="L727" t="s">
        <v>159</v>
      </c>
      <c r="N727" t="s">
        <v>229</v>
      </c>
      <c r="O727" t="s">
        <v>315</v>
      </c>
      <c r="P727">
        <v>2.4511035308358207E-2</v>
      </c>
      <c r="Q727" t="s">
        <v>159</v>
      </c>
      <c r="S727" t="s">
        <v>271</v>
      </c>
      <c r="T727" t="s">
        <v>315</v>
      </c>
      <c r="U727">
        <v>3.400111691496556E-2</v>
      </c>
      <c r="V727" t="s">
        <v>159</v>
      </c>
    </row>
    <row r="728" spans="9:22" x14ac:dyDescent="0.45">
      <c r="I728" t="s">
        <v>186</v>
      </c>
      <c r="J728" t="s">
        <v>316</v>
      </c>
      <c r="K728">
        <v>7.5367583356093617E-3</v>
      </c>
      <c r="L728" t="s">
        <v>159</v>
      </c>
      <c r="N728" t="s">
        <v>229</v>
      </c>
      <c r="O728" t="s">
        <v>316</v>
      </c>
      <c r="P728">
        <v>3.4426938703638449E-3</v>
      </c>
      <c r="Q728" t="s">
        <v>159</v>
      </c>
      <c r="S728" t="s">
        <v>271</v>
      </c>
      <c r="T728" t="s">
        <v>316</v>
      </c>
      <c r="U728">
        <v>4.2720154533662539E-3</v>
      </c>
      <c r="V728" t="s">
        <v>159</v>
      </c>
    </row>
    <row r="729" spans="9:22" x14ac:dyDescent="0.45">
      <c r="I729" t="s">
        <v>186</v>
      </c>
      <c r="J729" t="s">
        <v>317</v>
      </c>
      <c r="K729">
        <v>5.4507150017798394E-3</v>
      </c>
      <c r="L729" t="s">
        <v>159</v>
      </c>
      <c r="N729" t="s">
        <v>229</v>
      </c>
      <c r="O729" t="s">
        <v>317</v>
      </c>
      <c r="P729">
        <v>3.5878693580381964E-3</v>
      </c>
      <c r="Q729" t="s">
        <v>159</v>
      </c>
      <c r="S729" t="s">
        <v>271</v>
      </c>
      <c r="T729" t="s">
        <v>317</v>
      </c>
      <c r="U729">
        <v>3.8613527463319886E-3</v>
      </c>
      <c r="V729" t="s">
        <v>159</v>
      </c>
    </row>
    <row r="730" spans="9:22" x14ac:dyDescent="0.45">
      <c r="I730" t="s">
        <v>186</v>
      </c>
      <c r="J730" t="s">
        <v>318</v>
      </c>
      <c r="K730">
        <v>1.0258970037592568E-3</v>
      </c>
      <c r="L730" t="s">
        <v>159</v>
      </c>
      <c r="N730" t="s">
        <v>229</v>
      </c>
      <c r="O730" t="s">
        <v>318</v>
      </c>
      <c r="P730">
        <v>2.0325110636628226E-2</v>
      </c>
      <c r="Q730" t="s">
        <v>159</v>
      </c>
      <c r="S730" t="s">
        <v>271</v>
      </c>
      <c r="T730" t="s">
        <v>318</v>
      </c>
      <c r="U730">
        <v>1.6149206431713057E-2</v>
      </c>
      <c r="V730" t="s">
        <v>159</v>
      </c>
    </row>
    <row r="731" spans="9:22" x14ac:dyDescent="0.45">
      <c r="I731" t="s">
        <v>187</v>
      </c>
      <c r="J731" t="s">
        <v>158</v>
      </c>
      <c r="K731">
        <v>1.0224195528533856E-2</v>
      </c>
      <c r="L731" t="s">
        <v>159</v>
      </c>
      <c r="N731" t="s">
        <v>230</v>
      </c>
      <c r="O731" t="s">
        <v>158</v>
      </c>
      <c r="P731">
        <v>0.13455471291677651</v>
      </c>
      <c r="Q731" t="s">
        <v>159</v>
      </c>
    </row>
    <row r="732" spans="9:22" x14ac:dyDescent="0.45">
      <c r="I732" t="s">
        <v>187</v>
      </c>
      <c r="J732" t="s">
        <v>160</v>
      </c>
      <c r="K732">
        <v>2.7717811703631384E-2</v>
      </c>
      <c r="L732" t="s">
        <v>159</v>
      </c>
      <c r="N732" t="s">
        <v>230</v>
      </c>
      <c r="O732" t="s">
        <v>160</v>
      </c>
      <c r="P732">
        <v>1.6284976062893371E-2</v>
      </c>
      <c r="Q732" t="s">
        <v>159</v>
      </c>
    </row>
    <row r="733" spans="9:22" x14ac:dyDescent="0.45">
      <c r="I733" t="s">
        <v>187</v>
      </c>
      <c r="J733" t="s">
        <v>161</v>
      </c>
      <c r="K733">
        <v>0.37484167884194758</v>
      </c>
      <c r="L733" t="s">
        <v>159</v>
      </c>
      <c r="N733" t="s">
        <v>230</v>
      </c>
      <c r="O733" t="s">
        <v>161</v>
      </c>
      <c r="P733">
        <v>0.12950200890060726</v>
      </c>
      <c r="Q733" t="s">
        <v>159</v>
      </c>
    </row>
    <row r="734" spans="9:22" x14ac:dyDescent="0.45">
      <c r="I734" t="s">
        <v>187</v>
      </c>
      <c r="J734" t="s">
        <v>287</v>
      </c>
      <c r="K734">
        <v>2.9764676975113549E-2</v>
      </c>
      <c r="L734" t="s">
        <v>159</v>
      </c>
      <c r="N734" t="s">
        <v>230</v>
      </c>
      <c r="O734" t="s">
        <v>287</v>
      </c>
      <c r="P734">
        <v>1.8032567932677851E-2</v>
      </c>
      <c r="Q734" t="s">
        <v>159</v>
      </c>
    </row>
    <row r="735" spans="9:22" x14ac:dyDescent="0.45">
      <c r="I735" t="s">
        <v>187</v>
      </c>
      <c r="J735" t="s">
        <v>288</v>
      </c>
      <c r="K735">
        <v>1.6792419504518978E-2</v>
      </c>
      <c r="L735" t="s">
        <v>159</v>
      </c>
      <c r="N735" t="s">
        <v>230</v>
      </c>
      <c r="O735" t="s">
        <v>288</v>
      </c>
      <c r="P735">
        <v>2.1663445184528861E-2</v>
      </c>
      <c r="Q735" t="s">
        <v>159</v>
      </c>
    </row>
    <row r="736" spans="9:22" x14ac:dyDescent="0.45">
      <c r="I736" t="s">
        <v>187</v>
      </c>
      <c r="J736" t="s">
        <v>308</v>
      </c>
      <c r="K736">
        <v>4.2095368953274778E-3</v>
      </c>
      <c r="L736" t="s">
        <v>159</v>
      </c>
      <c r="N736" t="s">
        <v>230</v>
      </c>
      <c r="O736" t="s">
        <v>308</v>
      </c>
      <c r="P736">
        <v>0.12816721560586186</v>
      </c>
      <c r="Q736" t="s">
        <v>159</v>
      </c>
    </row>
    <row r="737" spans="9:17" x14ac:dyDescent="0.45">
      <c r="I737" t="s">
        <v>187</v>
      </c>
      <c r="J737" t="s">
        <v>162</v>
      </c>
      <c r="K737">
        <v>0</v>
      </c>
      <c r="L737" t="s">
        <v>159</v>
      </c>
      <c r="N737" t="s">
        <v>230</v>
      </c>
      <c r="O737" t="s">
        <v>162</v>
      </c>
      <c r="P737">
        <v>2.1424066273659254E-2</v>
      </c>
      <c r="Q737" t="s">
        <v>159</v>
      </c>
    </row>
    <row r="738" spans="9:17" x14ac:dyDescent="0.45">
      <c r="I738" t="s">
        <v>187</v>
      </c>
      <c r="J738" t="s">
        <v>163</v>
      </c>
      <c r="K738">
        <v>0</v>
      </c>
      <c r="L738" t="s">
        <v>159</v>
      </c>
      <c r="N738" t="s">
        <v>230</v>
      </c>
      <c r="O738" t="s">
        <v>163</v>
      </c>
      <c r="P738">
        <v>2.6689589687486416E-3</v>
      </c>
      <c r="Q738" t="s">
        <v>159</v>
      </c>
    </row>
    <row r="739" spans="9:17" x14ac:dyDescent="0.45">
      <c r="I739" t="s">
        <v>187</v>
      </c>
      <c r="J739" t="s">
        <v>164</v>
      </c>
      <c r="K739">
        <v>3.7838727857127295E-2</v>
      </c>
      <c r="L739" t="s">
        <v>159</v>
      </c>
      <c r="N739" t="s">
        <v>230</v>
      </c>
      <c r="O739" t="s">
        <v>164</v>
      </c>
      <c r="P739">
        <v>1.5419325586748594E-2</v>
      </c>
      <c r="Q739" t="s">
        <v>159</v>
      </c>
    </row>
    <row r="740" spans="9:17" x14ac:dyDescent="0.45">
      <c r="I740" t="s">
        <v>187</v>
      </c>
      <c r="J740" t="s">
        <v>289</v>
      </c>
      <c r="K740">
        <v>2.0354263768342412E-3</v>
      </c>
      <c r="L740" t="s">
        <v>159</v>
      </c>
      <c r="N740" t="s">
        <v>230</v>
      </c>
      <c r="O740" t="s">
        <v>289</v>
      </c>
      <c r="P740">
        <v>1.9814209074880689E-3</v>
      </c>
      <c r="Q740" t="s">
        <v>159</v>
      </c>
    </row>
    <row r="741" spans="9:17" x14ac:dyDescent="0.45">
      <c r="I741" t="s">
        <v>187</v>
      </c>
      <c r="J741" t="s">
        <v>290</v>
      </c>
      <c r="K741">
        <v>0</v>
      </c>
      <c r="L741" t="s">
        <v>159</v>
      </c>
      <c r="N741" t="s">
        <v>230</v>
      </c>
      <c r="O741" t="s">
        <v>290</v>
      </c>
      <c r="P741">
        <v>2.8362197518983132E-3</v>
      </c>
      <c r="Q741" t="s">
        <v>159</v>
      </c>
    </row>
    <row r="742" spans="9:17" x14ac:dyDescent="0.45">
      <c r="I742" t="s">
        <v>187</v>
      </c>
      <c r="J742" t="s">
        <v>309</v>
      </c>
      <c r="K742">
        <v>0</v>
      </c>
      <c r="L742" t="s">
        <v>159</v>
      </c>
      <c r="N742" t="s">
        <v>230</v>
      </c>
      <c r="O742" t="s">
        <v>309</v>
      </c>
      <c r="P742">
        <v>1.6992736389018354E-2</v>
      </c>
      <c r="Q742" t="s">
        <v>159</v>
      </c>
    </row>
    <row r="743" spans="9:17" x14ac:dyDescent="0.45">
      <c r="I743" t="s">
        <v>187</v>
      </c>
      <c r="J743" t="s">
        <v>165</v>
      </c>
      <c r="K743">
        <v>0</v>
      </c>
      <c r="L743" t="s">
        <v>159</v>
      </c>
      <c r="N743" t="s">
        <v>230</v>
      </c>
      <c r="O743" t="s">
        <v>165</v>
      </c>
      <c r="P743">
        <v>2.6158585017402647E-2</v>
      </c>
      <c r="Q743" t="s">
        <v>159</v>
      </c>
    </row>
    <row r="744" spans="9:17" x14ac:dyDescent="0.45">
      <c r="I744" t="s">
        <v>187</v>
      </c>
      <c r="J744" t="s">
        <v>166</v>
      </c>
      <c r="K744">
        <v>2.1797373624440814E-3</v>
      </c>
      <c r="L744" t="s">
        <v>159</v>
      </c>
      <c r="N744" t="s">
        <v>230</v>
      </c>
      <c r="O744" t="s">
        <v>166</v>
      </c>
      <c r="P744">
        <v>3.2689635331115108E-3</v>
      </c>
      <c r="Q744" t="s">
        <v>159</v>
      </c>
    </row>
    <row r="745" spans="9:17" x14ac:dyDescent="0.45">
      <c r="I745" t="s">
        <v>187</v>
      </c>
      <c r="J745" t="s">
        <v>167</v>
      </c>
      <c r="K745">
        <v>4.9597626852735714E-2</v>
      </c>
      <c r="L745" t="s">
        <v>159</v>
      </c>
      <c r="N745" t="s">
        <v>230</v>
      </c>
      <c r="O745" t="s">
        <v>167</v>
      </c>
      <c r="P745">
        <v>1.9847000660582686E-2</v>
      </c>
      <c r="Q745" t="s">
        <v>159</v>
      </c>
    </row>
    <row r="746" spans="9:17" x14ac:dyDescent="0.45">
      <c r="I746" t="s">
        <v>187</v>
      </c>
      <c r="J746" t="s">
        <v>291</v>
      </c>
      <c r="K746">
        <v>3.8633590637151653E-3</v>
      </c>
      <c r="L746" t="s">
        <v>159</v>
      </c>
      <c r="N746" t="s">
        <v>230</v>
      </c>
      <c r="O746" t="s">
        <v>291</v>
      </c>
      <c r="P746">
        <v>3.087537257584933E-3</v>
      </c>
      <c r="Q746" t="s">
        <v>159</v>
      </c>
    </row>
    <row r="747" spans="9:17" x14ac:dyDescent="0.45">
      <c r="I747" t="s">
        <v>187</v>
      </c>
      <c r="J747" t="s">
        <v>292</v>
      </c>
      <c r="K747">
        <v>0</v>
      </c>
      <c r="L747" t="s">
        <v>159</v>
      </c>
      <c r="N747" t="s">
        <v>230</v>
      </c>
      <c r="O747" t="s">
        <v>292</v>
      </c>
      <c r="P747">
        <v>4.2043923292516879E-3</v>
      </c>
      <c r="Q747" t="s">
        <v>159</v>
      </c>
    </row>
    <row r="748" spans="9:17" x14ac:dyDescent="0.45">
      <c r="I748" t="s">
        <v>187</v>
      </c>
      <c r="J748" t="s">
        <v>310</v>
      </c>
      <c r="K748">
        <v>0</v>
      </c>
      <c r="L748" t="s">
        <v>159</v>
      </c>
      <c r="N748" t="s">
        <v>230</v>
      </c>
      <c r="O748" t="s">
        <v>310</v>
      </c>
      <c r="P748">
        <v>2.5519822908297823E-2</v>
      </c>
      <c r="Q748" t="s">
        <v>159</v>
      </c>
    </row>
    <row r="749" spans="9:17" x14ac:dyDescent="0.45">
      <c r="I749" t="s">
        <v>187</v>
      </c>
      <c r="J749" t="s">
        <v>293</v>
      </c>
      <c r="K749">
        <v>0</v>
      </c>
      <c r="L749" t="s">
        <v>159</v>
      </c>
      <c r="N749" t="s">
        <v>230</v>
      </c>
      <c r="O749" t="s">
        <v>293</v>
      </c>
      <c r="P749">
        <v>5.7300243114411144E-3</v>
      </c>
      <c r="Q749" t="s">
        <v>159</v>
      </c>
    </row>
    <row r="750" spans="9:17" x14ac:dyDescent="0.45">
      <c r="I750" t="s">
        <v>187</v>
      </c>
      <c r="J750" t="s">
        <v>294</v>
      </c>
      <c r="K750">
        <v>1.157195581962697E-3</v>
      </c>
      <c r="L750" t="s">
        <v>159</v>
      </c>
      <c r="N750" t="s">
        <v>230</v>
      </c>
      <c r="O750" t="s">
        <v>294</v>
      </c>
      <c r="P750">
        <v>6.9400525398778873E-4</v>
      </c>
      <c r="Q750" t="s">
        <v>159</v>
      </c>
    </row>
    <row r="751" spans="9:17" x14ac:dyDescent="0.45">
      <c r="I751" t="s">
        <v>187</v>
      </c>
      <c r="J751" t="s">
        <v>295</v>
      </c>
      <c r="K751">
        <v>1.5081415878268008E-2</v>
      </c>
      <c r="L751" t="s">
        <v>159</v>
      </c>
      <c r="N751" t="s">
        <v>230</v>
      </c>
      <c r="O751" t="s">
        <v>295</v>
      </c>
      <c r="P751">
        <v>7.4566703319222513E-3</v>
      </c>
      <c r="Q751" t="s">
        <v>159</v>
      </c>
    </row>
    <row r="752" spans="9:17" x14ac:dyDescent="0.45">
      <c r="I752" t="s">
        <v>187</v>
      </c>
      <c r="J752" t="s">
        <v>296</v>
      </c>
      <c r="K752">
        <v>1.2261623440539798E-3</v>
      </c>
      <c r="L752" t="s">
        <v>159</v>
      </c>
      <c r="N752" t="s">
        <v>230</v>
      </c>
      <c r="O752" t="s">
        <v>296</v>
      </c>
      <c r="P752">
        <v>1.0076988776508478E-3</v>
      </c>
      <c r="Q752" t="s">
        <v>159</v>
      </c>
    </row>
    <row r="753" spans="9:17" x14ac:dyDescent="0.45">
      <c r="I753" t="s">
        <v>187</v>
      </c>
      <c r="J753" t="s">
        <v>297</v>
      </c>
      <c r="K753">
        <v>0</v>
      </c>
      <c r="L753" t="s">
        <v>159</v>
      </c>
      <c r="N753" t="s">
        <v>230</v>
      </c>
      <c r="O753" t="s">
        <v>297</v>
      </c>
      <c r="P753">
        <v>1.1784845592054676E-3</v>
      </c>
      <c r="Q753" t="s">
        <v>159</v>
      </c>
    </row>
    <row r="754" spans="9:17" x14ac:dyDescent="0.45">
      <c r="I754" t="s">
        <v>187</v>
      </c>
      <c r="J754" t="s">
        <v>311</v>
      </c>
      <c r="K754">
        <v>0</v>
      </c>
      <c r="L754" t="s">
        <v>159</v>
      </c>
      <c r="N754" t="s">
        <v>230</v>
      </c>
      <c r="O754" t="s">
        <v>311</v>
      </c>
      <c r="P754">
        <v>5.9319939846758521E-3</v>
      </c>
      <c r="Q754" t="s">
        <v>159</v>
      </c>
    </row>
    <row r="755" spans="9:17" x14ac:dyDescent="0.45">
      <c r="I755" t="s">
        <v>187</v>
      </c>
      <c r="J755" t="s">
        <v>298</v>
      </c>
      <c r="K755">
        <v>1.3212123502710961E-2</v>
      </c>
      <c r="L755" t="s">
        <v>159</v>
      </c>
      <c r="N755" t="s">
        <v>230</v>
      </c>
      <c r="O755" t="s">
        <v>298</v>
      </c>
      <c r="P755">
        <v>9.3958544514622391E-2</v>
      </c>
      <c r="Q755" t="s">
        <v>159</v>
      </c>
    </row>
    <row r="756" spans="9:17" x14ac:dyDescent="0.45">
      <c r="I756" t="s">
        <v>187</v>
      </c>
      <c r="J756" t="s">
        <v>299</v>
      </c>
      <c r="K756">
        <v>2.1108034992418603E-2</v>
      </c>
      <c r="L756" t="s">
        <v>159</v>
      </c>
      <c r="N756" t="s">
        <v>230</v>
      </c>
      <c r="O756" t="s">
        <v>299</v>
      </c>
      <c r="P756">
        <v>1.1985433518178844E-2</v>
      </c>
      <c r="Q756" t="s">
        <v>159</v>
      </c>
    </row>
    <row r="757" spans="9:17" x14ac:dyDescent="0.45">
      <c r="I757" t="s">
        <v>187</v>
      </c>
      <c r="J757" t="s">
        <v>300</v>
      </c>
      <c r="K757">
        <v>0.24730946467989895</v>
      </c>
      <c r="L757" t="s">
        <v>159</v>
      </c>
      <c r="N757" t="s">
        <v>230</v>
      </c>
      <c r="O757" t="s">
        <v>300</v>
      </c>
      <c r="P757">
        <v>9.032234702845314E-2</v>
      </c>
      <c r="Q757" t="s">
        <v>159</v>
      </c>
    </row>
    <row r="758" spans="9:17" x14ac:dyDescent="0.45">
      <c r="I758" t="s">
        <v>187</v>
      </c>
      <c r="J758" t="s">
        <v>301</v>
      </c>
      <c r="K758">
        <v>2.0639316891120113E-2</v>
      </c>
      <c r="L758" t="s">
        <v>159</v>
      </c>
      <c r="N758" t="s">
        <v>230</v>
      </c>
      <c r="O758" t="s">
        <v>301</v>
      </c>
      <c r="P758">
        <v>1.2296381449465705E-2</v>
      </c>
      <c r="Q758" t="s">
        <v>159</v>
      </c>
    </row>
    <row r="759" spans="9:17" x14ac:dyDescent="0.45">
      <c r="I759" t="s">
        <v>187</v>
      </c>
      <c r="J759" t="s">
        <v>302</v>
      </c>
      <c r="K759">
        <v>8.8854031485518289E-3</v>
      </c>
      <c r="L759" t="s">
        <v>159</v>
      </c>
      <c r="N759" t="s">
        <v>230</v>
      </c>
      <c r="O759" t="s">
        <v>302</v>
      </c>
      <c r="P759">
        <v>1.595876273271591E-2</v>
      </c>
      <c r="Q759" t="s">
        <v>159</v>
      </c>
    </row>
    <row r="760" spans="9:17" x14ac:dyDescent="0.45">
      <c r="I760" t="s">
        <v>187</v>
      </c>
      <c r="J760" t="s">
        <v>312</v>
      </c>
      <c r="K760">
        <v>0</v>
      </c>
      <c r="L760" t="s">
        <v>159</v>
      </c>
      <c r="N760" t="s">
        <v>230</v>
      </c>
      <c r="O760" t="s">
        <v>312</v>
      </c>
      <c r="P760">
        <v>9.4529932243055725E-2</v>
      </c>
      <c r="Q760" t="s">
        <v>159</v>
      </c>
    </row>
    <row r="761" spans="9:17" x14ac:dyDescent="0.45">
      <c r="I761" t="s">
        <v>187</v>
      </c>
      <c r="J761" t="s">
        <v>313</v>
      </c>
      <c r="K761">
        <v>6.8958046157379617E-3</v>
      </c>
      <c r="L761" t="s">
        <v>159</v>
      </c>
      <c r="N761" t="s">
        <v>230</v>
      </c>
      <c r="O761" t="s">
        <v>313</v>
      </c>
      <c r="P761">
        <v>2.0028721033635913E-2</v>
      </c>
      <c r="Q761" t="s">
        <v>159</v>
      </c>
    </row>
    <row r="762" spans="9:17" x14ac:dyDescent="0.45">
      <c r="I762" t="s">
        <v>187</v>
      </c>
      <c r="J762" t="s">
        <v>314</v>
      </c>
      <c r="K762">
        <v>7.6850828956496363E-3</v>
      </c>
      <c r="L762" t="s">
        <v>159</v>
      </c>
      <c r="N762" t="s">
        <v>230</v>
      </c>
      <c r="O762" t="s">
        <v>314</v>
      </c>
      <c r="P762">
        <v>2.4026502666417977E-3</v>
      </c>
      <c r="Q762" t="s">
        <v>159</v>
      </c>
    </row>
    <row r="763" spans="9:17" x14ac:dyDescent="0.45">
      <c r="I763" t="s">
        <v>187</v>
      </c>
      <c r="J763" t="s">
        <v>315</v>
      </c>
      <c r="K763">
        <v>8.4406818654747084E-2</v>
      </c>
      <c r="L763" t="s">
        <v>159</v>
      </c>
      <c r="N763" t="s">
        <v>230</v>
      </c>
      <c r="O763" t="s">
        <v>315</v>
      </c>
      <c r="P763">
        <v>2.0724097628219133E-2</v>
      </c>
      <c r="Q763" t="s">
        <v>159</v>
      </c>
    </row>
    <row r="764" spans="9:17" x14ac:dyDescent="0.45">
      <c r="I764" t="s">
        <v>187</v>
      </c>
      <c r="J764" t="s">
        <v>316</v>
      </c>
      <c r="K764">
        <v>6.6939926374339131E-3</v>
      </c>
      <c r="L764" t="s">
        <v>159</v>
      </c>
      <c r="N764" t="s">
        <v>230</v>
      </c>
      <c r="O764" t="s">
        <v>316</v>
      </c>
      <c r="P764">
        <v>2.7239231257894241E-3</v>
      </c>
      <c r="Q764" t="s">
        <v>159</v>
      </c>
    </row>
    <row r="765" spans="9:17" x14ac:dyDescent="0.45">
      <c r="I765" t="s">
        <v>187</v>
      </c>
      <c r="J765" t="s">
        <v>317</v>
      </c>
      <c r="K765">
        <v>5.0327768415964385E-3</v>
      </c>
      <c r="L765" t="s">
        <v>159</v>
      </c>
      <c r="N765" t="s">
        <v>230</v>
      </c>
      <c r="O765" t="s">
        <v>317</v>
      </c>
      <c r="P765">
        <v>3.0422707932783884E-3</v>
      </c>
      <c r="Q765" t="s">
        <v>159</v>
      </c>
    </row>
    <row r="766" spans="9:17" x14ac:dyDescent="0.45">
      <c r="I766" t="s">
        <v>187</v>
      </c>
      <c r="J766" t="s">
        <v>318</v>
      </c>
      <c r="K766">
        <v>1.6012103739210558E-3</v>
      </c>
      <c r="L766" t="s">
        <v>159</v>
      </c>
      <c r="N766" t="s">
        <v>230</v>
      </c>
      <c r="O766" t="s">
        <v>318</v>
      </c>
      <c r="P766">
        <v>1.841410215991969E-2</v>
      </c>
      <c r="Q766" t="s">
        <v>159</v>
      </c>
    </row>
    <row r="767" spans="9:17" x14ac:dyDescent="0.45">
      <c r="I767" t="s">
        <v>188</v>
      </c>
      <c r="J767" t="s">
        <v>158</v>
      </c>
      <c r="K767">
        <v>1.345226520987888E-3</v>
      </c>
      <c r="L767" t="s">
        <v>159</v>
      </c>
      <c r="N767" t="s">
        <v>231</v>
      </c>
      <c r="O767" t="s">
        <v>158</v>
      </c>
      <c r="P767">
        <v>9.0335254982754118E-2</v>
      </c>
      <c r="Q767" t="s">
        <v>159</v>
      </c>
    </row>
    <row r="768" spans="9:17" x14ac:dyDescent="0.45">
      <c r="I768" t="s">
        <v>188</v>
      </c>
      <c r="J768" t="s">
        <v>160</v>
      </c>
      <c r="K768">
        <v>1.9609345656013855E-2</v>
      </c>
      <c r="L768" t="s">
        <v>159</v>
      </c>
      <c r="N768" t="s">
        <v>231</v>
      </c>
      <c r="O768" t="s">
        <v>160</v>
      </c>
      <c r="P768">
        <v>6.6153073612108433E-3</v>
      </c>
      <c r="Q768" t="s">
        <v>159</v>
      </c>
    </row>
    <row r="769" spans="9:17" x14ac:dyDescent="0.45">
      <c r="I769" t="s">
        <v>188</v>
      </c>
      <c r="J769" t="s">
        <v>161</v>
      </c>
      <c r="K769">
        <v>0.40478667089616188</v>
      </c>
      <c r="L769" t="s">
        <v>159</v>
      </c>
      <c r="N769" t="s">
        <v>231</v>
      </c>
      <c r="O769" t="s">
        <v>161</v>
      </c>
      <c r="P769">
        <v>8.0937205830044531E-2</v>
      </c>
      <c r="Q769" t="s">
        <v>159</v>
      </c>
    </row>
    <row r="770" spans="9:17" x14ac:dyDescent="0.45">
      <c r="I770" t="s">
        <v>188</v>
      </c>
      <c r="J770" t="s">
        <v>287</v>
      </c>
      <c r="K770">
        <v>3.41486572079788E-2</v>
      </c>
      <c r="L770" t="s">
        <v>159</v>
      </c>
      <c r="N770" t="s">
        <v>231</v>
      </c>
      <c r="O770" t="s">
        <v>287</v>
      </c>
      <c r="P770">
        <v>1.4143441366781112E-2</v>
      </c>
      <c r="Q770" t="s">
        <v>159</v>
      </c>
    </row>
    <row r="771" spans="9:17" x14ac:dyDescent="0.45">
      <c r="I771" t="s">
        <v>188</v>
      </c>
      <c r="J771" t="s">
        <v>288</v>
      </c>
      <c r="K771">
        <v>1.7408317724154004E-2</v>
      </c>
      <c r="L771" t="s">
        <v>159</v>
      </c>
      <c r="N771" t="s">
        <v>231</v>
      </c>
      <c r="O771" t="s">
        <v>288</v>
      </c>
      <c r="P771">
        <v>1.9983803365924511E-2</v>
      </c>
      <c r="Q771" t="s">
        <v>159</v>
      </c>
    </row>
    <row r="772" spans="9:17" x14ac:dyDescent="0.45">
      <c r="I772" t="s">
        <v>188</v>
      </c>
      <c r="J772" t="s">
        <v>308</v>
      </c>
      <c r="K772">
        <v>4.2898220141279041E-3</v>
      </c>
      <c r="L772" t="s">
        <v>159</v>
      </c>
      <c r="N772" t="s">
        <v>231</v>
      </c>
      <c r="O772" t="s">
        <v>308</v>
      </c>
      <c r="P772">
        <v>0.15464739496297644</v>
      </c>
      <c r="Q772" t="s">
        <v>159</v>
      </c>
    </row>
    <row r="773" spans="9:17" x14ac:dyDescent="0.45">
      <c r="I773" t="s">
        <v>188</v>
      </c>
      <c r="J773" t="s">
        <v>162</v>
      </c>
      <c r="K773">
        <v>0</v>
      </c>
      <c r="L773" t="s">
        <v>159</v>
      </c>
      <c r="N773" t="s">
        <v>231</v>
      </c>
      <c r="O773" t="s">
        <v>162</v>
      </c>
      <c r="P773">
        <v>1.2531925612901373E-2</v>
      </c>
      <c r="Q773" t="s">
        <v>159</v>
      </c>
    </row>
    <row r="774" spans="9:17" x14ac:dyDescent="0.45">
      <c r="I774" t="s">
        <v>188</v>
      </c>
      <c r="J774" t="s">
        <v>163</v>
      </c>
      <c r="K774">
        <v>0</v>
      </c>
      <c r="L774" t="s">
        <v>159</v>
      </c>
      <c r="N774" t="s">
        <v>231</v>
      </c>
      <c r="O774" t="s">
        <v>163</v>
      </c>
      <c r="P774">
        <v>8.0007872659735202E-4</v>
      </c>
      <c r="Q774" t="s">
        <v>159</v>
      </c>
    </row>
    <row r="775" spans="9:17" x14ac:dyDescent="0.45">
      <c r="I775" t="s">
        <v>188</v>
      </c>
      <c r="J775" t="s">
        <v>164</v>
      </c>
      <c r="K775">
        <v>5.2327767974361311E-2</v>
      </c>
      <c r="L775" t="s">
        <v>159</v>
      </c>
      <c r="N775" t="s">
        <v>231</v>
      </c>
      <c r="O775" t="s">
        <v>164</v>
      </c>
      <c r="P775">
        <v>1.3461657251485348E-2</v>
      </c>
      <c r="Q775" t="s">
        <v>159</v>
      </c>
    </row>
    <row r="776" spans="9:17" x14ac:dyDescent="0.45">
      <c r="I776" t="s">
        <v>188</v>
      </c>
      <c r="J776" t="s">
        <v>289</v>
      </c>
      <c r="K776">
        <v>4.1178992597711104E-3</v>
      </c>
      <c r="L776" t="s">
        <v>159</v>
      </c>
      <c r="N776" t="s">
        <v>231</v>
      </c>
      <c r="O776" t="s">
        <v>289</v>
      </c>
      <c r="P776">
        <v>2.2899391426111754E-3</v>
      </c>
      <c r="Q776" t="s">
        <v>159</v>
      </c>
    </row>
    <row r="777" spans="9:17" x14ac:dyDescent="0.45">
      <c r="I777" t="s">
        <v>188</v>
      </c>
      <c r="J777" t="s">
        <v>290</v>
      </c>
      <c r="K777">
        <v>0</v>
      </c>
      <c r="L777" t="s">
        <v>159</v>
      </c>
      <c r="N777" t="s">
        <v>231</v>
      </c>
      <c r="O777" t="s">
        <v>290</v>
      </c>
      <c r="P777">
        <v>3.4810454570962769E-3</v>
      </c>
      <c r="Q777" t="s">
        <v>159</v>
      </c>
    </row>
    <row r="778" spans="9:17" x14ac:dyDescent="0.45">
      <c r="I778" t="s">
        <v>188</v>
      </c>
      <c r="J778" t="s">
        <v>309</v>
      </c>
      <c r="K778">
        <v>0</v>
      </c>
      <c r="L778" t="s">
        <v>159</v>
      </c>
      <c r="N778" t="s">
        <v>231</v>
      </c>
      <c r="O778" t="s">
        <v>309</v>
      </c>
      <c r="P778">
        <v>2.083309979643291E-2</v>
      </c>
      <c r="Q778" t="s">
        <v>159</v>
      </c>
    </row>
    <row r="779" spans="9:17" x14ac:dyDescent="0.45">
      <c r="I779" t="s">
        <v>188</v>
      </c>
      <c r="J779" t="s">
        <v>165</v>
      </c>
      <c r="K779">
        <v>0</v>
      </c>
      <c r="L779" t="s">
        <v>159</v>
      </c>
      <c r="N779" t="s">
        <v>231</v>
      </c>
      <c r="O779" t="s">
        <v>165</v>
      </c>
      <c r="P779">
        <v>1.7647904840585125E-2</v>
      </c>
      <c r="Q779" t="s">
        <v>159</v>
      </c>
    </row>
    <row r="780" spans="9:17" x14ac:dyDescent="0.45">
      <c r="I780" t="s">
        <v>188</v>
      </c>
      <c r="J780" t="s">
        <v>166</v>
      </c>
      <c r="K780">
        <v>1.1213243106048645E-3</v>
      </c>
      <c r="L780" t="s">
        <v>159</v>
      </c>
      <c r="N780" t="s">
        <v>231</v>
      </c>
      <c r="O780" t="s">
        <v>166</v>
      </c>
      <c r="P780">
        <v>1.3658349532183567E-3</v>
      </c>
      <c r="Q780" t="s">
        <v>159</v>
      </c>
    </row>
    <row r="781" spans="9:17" x14ac:dyDescent="0.45">
      <c r="I781" t="s">
        <v>188</v>
      </c>
      <c r="J781" t="s">
        <v>167</v>
      </c>
      <c r="K781">
        <v>6.2973595976949417E-2</v>
      </c>
      <c r="L781" t="s">
        <v>159</v>
      </c>
      <c r="N781" t="s">
        <v>231</v>
      </c>
      <c r="O781" t="s">
        <v>167</v>
      </c>
      <c r="P781">
        <v>1.9350853287434619E-2</v>
      </c>
      <c r="Q781" t="s">
        <v>159</v>
      </c>
    </row>
    <row r="782" spans="9:17" x14ac:dyDescent="0.45">
      <c r="I782" t="s">
        <v>188</v>
      </c>
      <c r="J782" t="s">
        <v>291</v>
      </c>
      <c r="K782">
        <v>4.7451944215443111E-3</v>
      </c>
      <c r="L782" t="s">
        <v>159</v>
      </c>
      <c r="N782" t="s">
        <v>231</v>
      </c>
      <c r="O782" t="s">
        <v>291</v>
      </c>
      <c r="P782">
        <v>2.7924210762969057E-3</v>
      </c>
      <c r="Q782" t="s">
        <v>159</v>
      </c>
    </row>
    <row r="783" spans="9:17" x14ac:dyDescent="0.45">
      <c r="I783" t="s">
        <v>188</v>
      </c>
      <c r="J783" t="s">
        <v>292</v>
      </c>
      <c r="K783">
        <v>4.4767044378690848E-4</v>
      </c>
      <c r="L783" t="s">
        <v>159</v>
      </c>
      <c r="N783" t="s">
        <v>231</v>
      </c>
      <c r="O783" t="s">
        <v>292</v>
      </c>
      <c r="P783">
        <v>4.3134562628445164E-3</v>
      </c>
      <c r="Q783" t="s">
        <v>159</v>
      </c>
    </row>
    <row r="784" spans="9:17" x14ac:dyDescent="0.45">
      <c r="I784" t="s">
        <v>188</v>
      </c>
      <c r="J784" t="s">
        <v>310</v>
      </c>
      <c r="K784">
        <v>0</v>
      </c>
      <c r="L784" t="s">
        <v>159</v>
      </c>
      <c r="N784" t="s">
        <v>231</v>
      </c>
      <c r="O784" t="s">
        <v>310</v>
      </c>
      <c r="P784">
        <v>2.7694208531856352E-2</v>
      </c>
      <c r="Q784" t="s">
        <v>159</v>
      </c>
    </row>
    <row r="785" spans="9:17" x14ac:dyDescent="0.45">
      <c r="I785" t="s">
        <v>188</v>
      </c>
      <c r="J785" t="s">
        <v>293</v>
      </c>
      <c r="K785">
        <v>0</v>
      </c>
      <c r="L785" t="s">
        <v>159</v>
      </c>
      <c r="N785" t="s">
        <v>231</v>
      </c>
      <c r="O785" t="s">
        <v>293</v>
      </c>
      <c r="P785">
        <v>6.5842034875059387E-3</v>
      </c>
      <c r="Q785" t="s">
        <v>159</v>
      </c>
    </row>
    <row r="786" spans="9:17" x14ac:dyDescent="0.45">
      <c r="I786" t="s">
        <v>188</v>
      </c>
      <c r="J786" t="s">
        <v>294</v>
      </c>
      <c r="K786">
        <v>8.1645167899032224E-4</v>
      </c>
      <c r="L786" t="s">
        <v>159</v>
      </c>
      <c r="N786" t="s">
        <v>231</v>
      </c>
      <c r="O786" t="s">
        <v>294</v>
      </c>
      <c r="P786">
        <v>5.733116055503107E-4</v>
      </c>
      <c r="Q786" t="s">
        <v>159</v>
      </c>
    </row>
    <row r="787" spans="9:17" x14ac:dyDescent="0.45">
      <c r="I787" t="s">
        <v>188</v>
      </c>
      <c r="J787" t="s">
        <v>295</v>
      </c>
      <c r="K787">
        <v>1.5525468755296448E-2</v>
      </c>
      <c r="L787" t="s">
        <v>159</v>
      </c>
      <c r="N787" t="s">
        <v>231</v>
      </c>
      <c r="O787" t="s">
        <v>295</v>
      </c>
      <c r="P787">
        <v>6.6107012473637268E-3</v>
      </c>
      <c r="Q787" t="s">
        <v>159</v>
      </c>
    </row>
    <row r="788" spans="9:17" x14ac:dyDescent="0.45">
      <c r="I788" t="s">
        <v>188</v>
      </c>
      <c r="J788" t="s">
        <v>296</v>
      </c>
      <c r="K788">
        <v>1.1036214099173062E-3</v>
      </c>
      <c r="L788" t="s">
        <v>159</v>
      </c>
      <c r="N788" t="s">
        <v>231</v>
      </c>
      <c r="O788" t="s">
        <v>296</v>
      </c>
      <c r="P788">
        <v>1.0278622683239666E-3</v>
      </c>
      <c r="Q788" t="s">
        <v>159</v>
      </c>
    </row>
    <row r="789" spans="9:17" x14ac:dyDescent="0.45">
      <c r="I789" t="s">
        <v>188</v>
      </c>
      <c r="J789" t="s">
        <v>297</v>
      </c>
      <c r="K789">
        <v>8.2541257755526422E-4</v>
      </c>
      <c r="L789" t="s">
        <v>159</v>
      </c>
      <c r="N789" t="s">
        <v>231</v>
      </c>
      <c r="O789" t="s">
        <v>297</v>
      </c>
      <c r="P789">
        <v>1.5022537890389584E-3</v>
      </c>
      <c r="Q789" t="s">
        <v>159</v>
      </c>
    </row>
    <row r="790" spans="9:17" x14ac:dyDescent="0.45">
      <c r="I790" t="s">
        <v>188</v>
      </c>
      <c r="J790" t="s">
        <v>311</v>
      </c>
      <c r="K790">
        <v>0</v>
      </c>
      <c r="L790" t="s">
        <v>159</v>
      </c>
      <c r="N790" t="s">
        <v>231</v>
      </c>
      <c r="O790" t="s">
        <v>311</v>
      </c>
      <c r="P790">
        <v>1.0954755208815628E-2</v>
      </c>
      <c r="Q790" t="s">
        <v>159</v>
      </c>
    </row>
    <row r="791" spans="9:17" x14ac:dyDescent="0.45">
      <c r="I791" t="s">
        <v>188</v>
      </c>
      <c r="J791" t="s">
        <v>298</v>
      </c>
      <c r="K791">
        <v>4.7797787196764401E-3</v>
      </c>
      <c r="L791" t="s">
        <v>159</v>
      </c>
      <c r="N791" t="s">
        <v>231</v>
      </c>
      <c r="O791" t="s">
        <v>298</v>
      </c>
      <c r="P791">
        <v>9.8961693591270564E-2</v>
      </c>
      <c r="Q791" t="s">
        <v>159</v>
      </c>
    </row>
    <row r="792" spans="9:17" x14ac:dyDescent="0.45">
      <c r="I792" t="s">
        <v>188</v>
      </c>
      <c r="J792" t="s">
        <v>299</v>
      </c>
      <c r="K792">
        <v>1.5956534493637889E-2</v>
      </c>
      <c r="L792" t="s">
        <v>159</v>
      </c>
      <c r="N792" t="s">
        <v>231</v>
      </c>
      <c r="O792" t="s">
        <v>299</v>
      </c>
      <c r="P792">
        <v>9.5718787396568087E-3</v>
      </c>
      <c r="Q792" t="s">
        <v>159</v>
      </c>
    </row>
    <row r="793" spans="9:17" x14ac:dyDescent="0.45">
      <c r="I793" t="s">
        <v>188</v>
      </c>
      <c r="J793" t="s">
        <v>300</v>
      </c>
      <c r="K793">
        <v>0.24325005772044331</v>
      </c>
      <c r="L793" t="s">
        <v>159</v>
      </c>
      <c r="N793" t="s">
        <v>231</v>
      </c>
      <c r="O793" t="s">
        <v>300</v>
      </c>
      <c r="P793">
        <v>0.10214773947486797</v>
      </c>
      <c r="Q793" t="s">
        <v>159</v>
      </c>
    </row>
    <row r="794" spans="9:17" x14ac:dyDescent="0.45">
      <c r="I794" t="s">
        <v>188</v>
      </c>
      <c r="J794" t="s">
        <v>301</v>
      </c>
      <c r="K794">
        <v>1.8505241204252412E-2</v>
      </c>
      <c r="L794" t="s">
        <v>159</v>
      </c>
      <c r="N794" t="s">
        <v>231</v>
      </c>
      <c r="O794" t="s">
        <v>301</v>
      </c>
      <c r="P794">
        <v>1.7783116842454538E-2</v>
      </c>
      <c r="Q794" t="s">
        <v>159</v>
      </c>
    </row>
    <row r="795" spans="9:17" x14ac:dyDescent="0.45">
      <c r="I795" t="s">
        <v>188</v>
      </c>
      <c r="J795" t="s">
        <v>302</v>
      </c>
      <c r="K795">
        <v>1.1917556249917338E-2</v>
      </c>
      <c r="L795" t="s">
        <v>159</v>
      </c>
      <c r="N795" t="s">
        <v>231</v>
      </c>
      <c r="O795" t="s">
        <v>302</v>
      </c>
      <c r="P795">
        <v>2.312957732445629E-2</v>
      </c>
      <c r="Q795" t="s">
        <v>159</v>
      </c>
    </row>
    <row r="796" spans="9:17" x14ac:dyDescent="0.45">
      <c r="I796" t="s">
        <v>188</v>
      </c>
      <c r="J796" t="s">
        <v>312</v>
      </c>
      <c r="K796">
        <v>0</v>
      </c>
      <c r="L796" t="s">
        <v>159</v>
      </c>
      <c r="N796" t="s">
        <v>231</v>
      </c>
      <c r="O796" t="s">
        <v>312</v>
      </c>
      <c r="P796">
        <v>0.16618698142799412</v>
      </c>
      <c r="Q796" t="s">
        <v>159</v>
      </c>
    </row>
    <row r="797" spans="9:17" x14ac:dyDescent="0.45">
      <c r="I797" t="s">
        <v>188</v>
      </c>
      <c r="J797" t="s">
        <v>313</v>
      </c>
      <c r="K797">
        <v>2.397343349986804E-3</v>
      </c>
      <c r="L797" t="s">
        <v>159</v>
      </c>
      <c r="N797" t="s">
        <v>231</v>
      </c>
      <c r="O797" t="s">
        <v>313</v>
      </c>
      <c r="P797">
        <v>1.5169583540214431E-2</v>
      </c>
      <c r="Q797" t="s">
        <v>159</v>
      </c>
    </row>
    <row r="798" spans="9:17" x14ac:dyDescent="0.45">
      <c r="I798" t="s">
        <v>188</v>
      </c>
      <c r="J798" t="s">
        <v>314</v>
      </c>
      <c r="K798">
        <v>4.2465035283064138E-3</v>
      </c>
      <c r="L798" t="s">
        <v>159</v>
      </c>
      <c r="N798" t="s">
        <v>231</v>
      </c>
      <c r="O798" t="s">
        <v>314</v>
      </c>
      <c r="P798">
        <v>1.3607712432431114E-3</v>
      </c>
      <c r="Q798" t="s">
        <v>159</v>
      </c>
    </row>
    <row r="799" spans="9:17" x14ac:dyDescent="0.45">
      <c r="I799" t="s">
        <v>188</v>
      </c>
      <c r="J799" t="s">
        <v>315</v>
      </c>
      <c r="K799">
        <v>6.2728369412269655E-2</v>
      </c>
      <c r="L799" t="s">
        <v>159</v>
      </c>
      <c r="N799" t="s">
        <v>231</v>
      </c>
      <c r="O799" t="s">
        <v>315</v>
      </c>
      <c r="P799">
        <v>1.3115488392243481E-2</v>
      </c>
      <c r="Q799" t="s">
        <v>159</v>
      </c>
    </row>
    <row r="800" spans="9:17" x14ac:dyDescent="0.45">
      <c r="I800" t="s">
        <v>188</v>
      </c>
      <c r="J800" t="s">
        <v>316</v>
      </c>
      <c r="K800">
        <v>5.2028866100317433E-3</v>
      </c>
      <c r="L800" t="s">
        <v>159</v>
      </c>
      <c r="N800" t="s">
        <v>231</v>
      </c>
      <c r="O800" t="s">
        <v>316</v>
      </c>
      <c r="P800">
        <v>2.3197466091217202E-3</v>
      </c>
      <c r="Q800" t="s">
        <v>159</v>
      </c>
    </row>
    <row r="801" spans="9:17" x14ac:dyDescent="0.45">
      <c r="I801" t="s">
        <v>188</v>
      </c>
      <c r="J801" t="s">
        <v>317</v>
      </c>
      <c r="K801">
        <v>3.8375367792176538E-3</v>
      </c>
      <c r="L801" t="s">
        <v>159</v>
      </c>
      <c r="N801" t="s">
        <v>231</v>
      </c>
      <c r="O801" t="s">
        <v>317</v>
      </c>
      <c r="P801">
        <v>3.3228183240373447E-3</v>
      </c>
      <c r="Q801" t="s">
        <v>159</v>
      </c>
    </row>
    <row r="802" spans="9:17" x14ac:dyDescent="0.45">
      <c r="I802" t="s">
        <v>188</v>
      </c>
      <c r="J802" t="s">
        <v>318</v>
      </c>
      <c r="K802">
        <v>1.5857451040531317E-3</v>
      </c>
      <c r="L802" t="s">
        <v>159</v>
      </c>
      <c r="N802" t="s">
        <v>231</v>
      </c>
      <c r="O802" t="s">
        <v>318</v>
      </c>
      <c r="P802">
        <v>2.6452684074789047E-2</v>
      </c>
      <c r="Q802" t="s">
        <v>159</v>
      </c>
    </row>
    <row r="803" spans="9:17" x14ac:dyDescent="0.45">
      <c r="I803" t="s">
        <v>189</v>
      </c>
      <c r="J803" t="s">
        <v>158</v>
      </c>
      <c r="K803">
        <v>1.3321472112198236E-3</v>
      </c>
      <c r="L803" t="s">
        <v>159</v>
      </c>
      <c r="N803" t="s">
        <v>232</v>
      </c>
      <c r="O803" t="s">
        <v>158</v>
      </c>
      <c r="P803">
        <v>0.13162915710773984</v>
      </c>
      <c r="Q803" t="s">
        <v>159</v>
      </c>
    </row>
    <row r="804" spans="9:17" x14ac:dyDescent="0.45">
      <c r="I804" t="s">
        <v>189</v>
      </c>
      <c r="J804" t="s">
        <v>160</v>
      </c>
      <c r="K804">
        <v>1.6924897616757771E-2</v>
      </c>
      <c r="L804" t="s">
        <v>159</v>
      </c>
      <c r="N804" t="s">
        <v>232</v>
      </c>
      <c r="O804" t="s">
        <v>160</v>
      </c>
      <c r="P804">
        <v>1.3065154626036815E-2</v>
      </c>
      <c r="Q804" t="s">
        <v>159</v>
      </c>
    </row>
    <row r="805" spans="9:17" x14ac:dyDescent="0.45">
      <c r="I805" t="s">
        <v>189</v>
      </c>
      <c r="J805" t="s">
        <v>161</v>
      </c>
      <c r="K805">
        <v>0.40902708338500909</v>
      </c>
      <c r="L805" t="s">
        <v>159</v>
      </c>
      <c r="N805" t="s">
        <v>232</v>
      </c>
      <c r="O805" t="s">
        <v>161</v>
      </c>
      <c r="P805">
        <v>9.4872685074358865E-2</v>
      </c>
      <c r="Q805" t="s">
        <v>159</v>
      </c>
    </row>
    <row r="806" spans="9:17" x14ac:dyDescent="0.45">
      <c r="I806" t="s">
        <v>189</v>
      </c>
      <c r="J806" t="s">
        <v>287</v>
      </c>
      <c r="K806">
        <v>3.359779671070879E-2</v>
      </c>
      <c r="L806" t="s">
        <v>159</v>
      </c>
      <c r="N806" t="s">
        <v>232</v>
      </c>
      <c r="O806" t="s">
        <v>287</v>
      </c>
      <c r="P806">
        <v>1.0274055693907175E-2</v>
      </c>
      <c r="Q806" t="s">
        <v>159</v>
      </c>
    </row>
    <row r="807" spans="9:17" x14ac:dyDescent="0.45">
      <c r="I807" t="s">
        <v>189</v>
      </c>
      <c r="J807" t="s">
        <v>288</v>
      </c>
      <c r="K807">
        <v>1.6325638913069953E-2</v>
      </c>
      <c r="L807" t="s">
        <v>159</v>
      </c>
      <c r="N807" t="s">
        <v>232</v>
      </c>
      <c r="O807" t="s">
        <v>288</v>
      </c>
      <c r="P807">
        <v>1.3730139241044454E-2</v>
      </c>
      <c r="Q807" t="s">
        <v>159</v>
      </c>
    </row>
    <row r="808" spans="9:17" x14ac:dyDescent="0.45">
      <c r="I808" t="s">
        <v>189</v>
      </c>
      <c r="J808" t="s">
        <v>308</v>
      </c>
      <c r="K808">
        <v>4.2051116317937858E-3</v>
      </c>
      <c r="L808" t="s">
        <v>159</v>
      </c>
      <c r="N808" t="s">
        <v>232</v>
      </c>
      <c r="O808" t="s">
        <v>308</v>
      </c>
      <c r="P808">
        <v>0.1252148619538328</v>
      </c>
      <c r="Q808" t="s">
        <v>159</v>
      </c>
    </row>
    <row r="809" spans="9:17" x14ac:dyDescent="0.45">
      <c r="I809" t="s">
        <v>189</v>
      </c>
      <c r="J809" t="s">
        <v>162</v>
      </c>
      <c r="K809">
        <v>0</v>
      </c>
      <c r="L809" t="s">
        <v>159</v>
      </c>
      <c r="N809" t="s">
        <v>232</v>
      </c>
      <c r="O809" t="s">
        <v>162</v>
      </c>
      <c r="P809">
        <v>1.87509007688649E-2</v>
      </c>
      <c r="Q809" t="s">
        <v>159</v>
      </c>
    </row>
    <row r="810" spans="9:17" x14ac:dyDescent="0.45">
      <c r="I810" t="s">
        <v>189</v>
      </c>
      <c r="J810" t="s">
        <v>163</v>
      </c>
      <c r="K810">
        <v>0</v>
      </c>
      <c r="L810" t="s">
        <v>159</v>
      </c>
      <c r="N810" t="s">
        <v>232</v>
      </c>
      <c r="O810" t="s">
        <v>163</v>
      </c>
      <c r="P810">
        <v>2.4030195041178756E-3</v>
      </c>
      <c r="Q810" t="s">
        <v>159</v>
      </c>
    </row>
    <row r="811" spans="9:17" x14ac:dyDescent="0.45">
      <c r="I811" t="s">
        <v>189</v>
      </c>
      <c r="J811" t="s">
        <v>164</v>
      </c>
      <c r="K811">
        <v>5.2203711175321674E-2</v>
      </c>
      <c r="L811" t="s">
        <v>159</v>
      </c>
      <c r="N811" t="s">
        <v>232</v>
      </c>
      <c r="O811" t="s">
        <v>164</v>
      </c>
      <c r="P811">
        <v>1.8146198666135292E-2</v>
      </c>
      <c r="Q811" t="s">
        <v>159</v>
      </c>
    </row>
    <row r="812" spans="9:17" x14ac:dyDescent="0.45">
      <c r="I812" t="s">
        <v>189</v>
      </c>
      <c r="J812" t="s">
        <v>289</v>
      </c>
      <c r="K812">
        <v>4.1709638825110952E-3</v>
      </c>
      <c r="L812" t="s">
        <v>159</v>
      </c>
      <c r="N812" t="s">
        <v>232</v>
      </c>
      <c r="O812" t="s">
        <v>289</v>
      </c>
      <c r="P812">
        <v>1.9520364193061543E-3</v>
      </c>
      <c r="Q812" t="s">
        <v>159</v>
      </c>
    </row>
    <row r="813" spans="9:17" x14ac:dyDescent="0.45">
      <c r="I813" t="s">
        <v>189</v>
      </c>
      <c r="J813" t="s">
        <v>290</v>
      </c>
      <c r="K813">
        <v>0</v>
      </c>
      <c r="L813" t="s">
        <v>159</v>
      </c>
      <c r="N813" t="s">
        <v>232</v>
      </c>
      <c r="O813" t="s">
        <v>290</v>
      </c>
      <c r="P813">
        <v>2.6847134123666638E-3</v>
      </c>
      <c r="Q813" t="s">
        <v>159</v>
      </c>
    </row>
    <row r="814" spans="9:17" x14ac:dyDescent="0.45">
      <c r="I814" t="s">
        <v>189</v>
      </c>
      <c r="J814" t="s">
        <v>309</v>
      </c>
      <c r="K814">
        <v>0</v>
      </c>
      <c r="L814" t="s">
        <v>159</v>
      </c>
      <c r="N814" t="s">
        <v>232</v>
      </c>
      <c r="O814" t="s">
        <v>309</v>
      </c>
      <c r="P814">
        <v>1.8216484805840687E-2</v>
      </c>
      <c r="Q814" t="s">
        <v>159</v>
      </c>
    </row>
    <row r="815" spans="9:17" x14ac:dyDescent="0.45">
      <c r="I815" t="s">
        <v>189</v>
      </c>
      <c r="J815" t="s">
        <v>165</v>
      </c>
      <c r="K815">
        <v>0</v>
      </c>
      <c r="L815" t="s">
        <v>159</v>
      </c>
      <c r="N815" t="s">
        <v>232</v>
      </c>
      <c r="O815" t="s">
        <v>165</v>
      </c>
      <c r="P815">
        <v>2.4012736021163082E-2</v>
      </c>
      <c r="Q815" t="s">
        <v>159</v>
      </c>
    </row>
    <row r="816" spans="9:17" x14ac:dyDescent="0.45">
      <c r="I816" t="s">
        <v>189</v>
      </c>
      <c r="J816" t="s">
        <v>166</v>
      </c>
      <c r="K816">
        <v>5.7869341197491872E-4</v>
      </c>
      <c r="L816" t="s">
        <v>159</v>
      </c>
      <c r="N816" t="s">
        <v>232</v>
      </c>
      <c r="O816" t="s">
        <v>166</v>
      </c>
      <c r="P816">
        <v>2.7092002665710978E-3</v>
      </c>
      <c r="Q816" t="s">
        <v>159</v>
      </c>
    </row>
    <row r="817" spans="9:17" x14ac:dyDescent="0.45">
      <c r="I817" t="s">
        <v>189</v>
      </c>
      <c r="J817" t="s">
        <v>167</v>
      </c>
      <c r="K817">
        <v>6.5672444583394482E-2</v>
      </c>
      <c r="L817" t="s">
        <v>159</v>
      </c>
      <c r="N817" t="s">
        <v>232</v>
      </c>
      <c r="O817" t="s">
        <v>167</v>
      </c>
      <c r="P817">
        <v>1.7854407819453449E-2</v>
      </c>
      <c r="Q817" t="s">
        <v>159</v>
      </c>
    </row>
    <row r="818" spans="9:17" x14ac:dyDescent="0.45">
      <c r="I818" t="s">
        <v>189</v>
      </c>
      <c r="J818" t="s">
        <v>291</v>
      </c>
      <c r="K818">
        <v>5.5235402089531069E-3</v>
      </c>
      <c r="L818" t="s">
        <v>159</v>
      </c>
      <c r="N818" t="s">
        <v>232</v>
      </c>
      <c r="O818" t="s">
        <v>291</v>
      </c>
      <c r="P818">
        <v>2.0454020313568975E-3</v>
      </c>
      <c r="Q818" t="s">
        <v>159</v>
      </c>
    </row>
    <row r="819" spans="9:17" x14ac:dyDescent="0.45">
      <c r="I819" t="s">
        <v>189</v>
      </c>
      <c r="J819" t="s">
        <v>292</v>
      </c>
      <c r="K819">
        <v>6.4730909449733399E-4</v>
      </c>
      <c r="L819" t="s">
        <v>159</v>
      </c>
      <c r="N819" t="s">
        <v>232</v>
      </c>
      <c r="O819" t="s">
        <v>292</v>
      </c>
      <c r="P819">
        <v>2.8872490789958872E-3</v>
      </c>
      <c r="Q819" t="s">
        <v>159</v>
      </c>
    </row>
    <row r="820" spans="9:17" x14ac:dyDescent="0.45">
      <c r="I820" t="s">
        <v>189</v>
      </c>
      <c r="J820" t="s">
        <v>310</v>
      </c>
      <c r="K820">
        <v>0</v>
      </c>
      <c r="L820" t="s">
        <v>159</v>
      </c>
      <c r="N820" t="s">
        <v>232</v>
      </c>
      <c r="O820" t="s">
        <v>310</v>
      </c>
      <c r="P820">
        <v>2.1879352420516401E-2</v>
      </c>
      <c r="Q820" t="s">
        <v>159</v>
      </c>
    </row>
    <row r="821" spans="9:17" x14ac:dyDescent="0.45">
      <c r="I821" t="s">
        <v>189</v>
      </c>
      <c r="J821" t="s">
        <v>293</v>
      </c>
      <c r="K821">
        <v>0</v>
      </c>
      <c r="L821" t="s">
        <v>159</v>
      </c>
      <c r="N821" t="s">
        <v>232</v>
      </c>
      <c r="O821" t="s">
        <v>293</v>
      </c>
      <c r="P821">
        <v>8.1336579191260746E-3</v>
      </c>
      <c r="Q821" t="s">
        <v>159</v>
      </c>
    </row>
    <row r="822" spans="9:17" x14ac:dyDescent="0.45">
      <c r="I822" t="s">
        <v>189</v>
      </c>
      <c r="J822" t="s">
        <v>294</v>
      </c>
      <c r="K822">
        <v>8.0794543127141172E-4</v>
      </c>
      <c r="L822" t="s">
        <v>159</v>
      </c>
      <c r="N822" t="s">
        <v>232</v>
      </c>
      <c r="O822" t="s">
        <v>294</v>
      </c>
      <c r="P822">
        <v>8.7237761982789899E-4</v>
      </c>
      <c r="Q822" t="s">
        <v>159</v>
      </c>
    </row>
    <row r="823" spans="9:17" x14ac:dyDescent="0.45">
      <c r="I823" t="s">
        <v>189</v>
      </c>
      <c r="J823" t="s">
        <v>295</v>
      </c>
      <c r="K823">
        <v>1.5324151692563626E-2</v>
      </c>
      <c r="L823" t="s">
        <v>159</v>
      </c>
      <c r="N823" t="s">
        <v>232</v>
      </c>
      <c r="O823" t="s">
        <v>295</v>
      </c>
      <c r="P823">
        <v>7.4732253528918546E-3</v>
      </c>
      <c r="Q823" t="s">
        <v>159</v>
      </c>
    </row>
    <row r="824" spans="9:17" x14ac:dyDescent="0.45">
      <c r="I824" t="s">
        <v>189</v>
      </c>
      <c r="J824" t="s">
        <v>296</v>
      </c>
      <c r="K824">
        <v>1.2125969705628968E-3</v>
      </c>
      <c r="L824" t="s">
        <v>159</v>
      </c>
      <c r="N824" t="s">
        <v>232</v>
      </c>
      <c r="O824" t="s">
        <v>296</v>
      </c>
      <c r="P824">
        <v>8.14179603823202E-4</v>
      </c>
      <c r="Q824" t="s">
        <v>159</v>
      </c>
    </row>
    <row r="825" spans="9:17" x14ac:dyDescent="0.45">
      <c r="I825" t="s">
        <v>189</v>
      </c>
      <c r="J825" t="s">
        <v>297</v>
      </c>
      <c r="K825">
        <v>8.0447439399531956E-4</v>
      </c>
      <c r="L825" t="s">
        <v>159</v>
      </c>
      <c r="N825" t="s">
        <v>232</v>
      </c>
      <c r="O825" t="s">
        <v>297</v>
      </c>
      <c r="P825">
        <v>9.8912109202506024E-4</v>
      </c>
      <c r="Q825" t="s">
        <v>159</v>
      </c>
    </row>
    <row r="826" spans="9:17" x14ac:dyDescent="0.45">
      <c r="I826" t="s">
        <v>189</v>
      </c>
      <c r="J826" t="s">
        <v>311</v>
      </c>
      <c r="K826">
        <v>0</v>
      </c>
      <c r="L826" t="s">
        <v>159</v>
      </c>
      <c r="N826" t="s">
        <v>232</v>
      </c>
      <c r="O826" t="s">
        <v>311</v>
      </c>
      <c r="P826">
        <v>8.4795938143885259E-3</v>
      </c>
      <c r="Q826" t="s">
        <v>159</v>
      </c>
    </row>
    <row r="827" spans="9:17" x14ac:dyDescent="0.45">
      <c r="I827" t="s">
        <v>189</v>
      </c>
      <c r="J827" t="s">
        <v>298</v>
      </c>
      <c r="K827">
        <v>3.939439645977919E-3</v>
      </c>
      <c r="L827" t="s">
        <v>159</v>
      </c>
      <c r="N827" t="s">
        <v>232</v>
      </c>
      <c r="O827" t="s">
        <v>298</v>
      </c>
      <c r="P827">
        <v>0.11584945054349202</v>
      </c>
      <c r="Q827" t="s">
        <v>159</v>
      </c>
    </row>
    <row r="828" spans="9:17" x14ac:dyDescent="0.45">
      <c r="I828" t="s">
        <v>189</v>
      </c>
      <c r="J828" t="s">
        <v>299</v>
      </c>
      <c r="K828">
        <v>1.5194038826997536E-2</v>
      </c>
      <c r="L828" t="s">
        <v>159</v>
      </c>
      <c r="N828" t="s">
        <v>232</v>
      </c>
      <c r="O828" t="s">
        <v>299</v>
      </c>
      <c r="P828">
        <v>1.3552524662237752E-2</v>
      </c>
      <c r="Q828" t="s">
        <v>159</v>
      </c>
    </row>
    <row r="829" spans="9:17" x14ac:dyDescent="0.45">
      <c r="I829" t="s">
        <v>189</v>
      </c>
      <c r="J829" t="s">
        <v>300</v>
      </c>
      <c r="K829">
        <v>0.24474471645771267</v>
      </c>
      <c r="L829" t="s">
        <v>159</v>
      </c>
      <c r="N829" t="s">
        <v>232</v>
      </c>
      <c r="O829" t="s">
        <v>300</v>
      </c>
      <c r="P829">
        <v>0.10036591645993882</v>
      </c>
      <c r="Q829" t="s">
        <v>159</v>
      </c>
    </row>
    <row r="830" spans="9:17" x14ac:dyDescent="0.45">
      <c r="I830" t="s">
        <v>189</v>
      </c>
      <c r="J830" t="s">
        <v>301</v>
      </c>
      <c r="K830">
        <v>1.8257581189021127E-2</v>
      </c>
      <c r="L830" t="s">
        <v>159</v>
      </c>
      <c r="N830" t="s">
        <v>232</v>
      </c>
      <c r="O830" t="s">
        <v>301</v>
      </c>
      <c r="P830">
        <v>1.2083377521588905E-2</v>
      </c>
      <c r="Q830" t="s">
        <v>159</v>
      </c>
    </row>
    <row r="831" spans="9:17" x14ac:dyDescent="0.45">
      <c r="I831" t="s">
        <v>189</v>
      </c>
      <c r="J831" t="s">
        <v>302</v>
      </c>
      <c r="K831">
        <v>1.178685395262693E-2</v>
      </c>
      <c r="L831" t="s">
        <v>159</v>
      </c>
      <c r="N831" t="s">
        <v>232</v>
      </c>
      <c r="O831" t="s">
        <v>302</v>
      </c>
      <c r="P831">
        <v>1.4942371448544959E-2</v>
      </c>
      <c r="Q831" t="s">
        <v>159</v>
      </c>
    </row>
    <row r="832" spans="9:17" x14ac:dyDescent="0.45">
      <c r="I832" t="s">
        <v>189</v>
      </c>
      <c r="J832" t="s">
        <v>312</v>
      </c>
      <c r="K832">
        <v>0</v>
      </c>
      <c r="L832" t="s">
        <v>159</v>
      </c>
      <c r="N832" t="s">
        <v>232</v>
      </c>
      <c r="O832" t="s">
        <v>312</v>
      </c>
      <c r="P832">
        <v>0.12117368589884968</v>
      </c>
      <c r="Q832" t="s">
        <v>159</v>
      </c>
    </row>
    <row r="833" spans="9:17" x14ac:dyDescent="0.45">
      <c r="I833" t="s">
        <v>189</v>
      </c>
      <c r="J833" t="s">
        <v>313</v>
      </c>
      <c r="K833">
        <v>1.7418392595712668E-3</v>
      </c>
      <c r="L833" t="s">
        <v>159</v>
      </c>
      <c r="N833" t="s">
        <v>232</v>
      </c>
      <c r="O833" t="s">
        <v>313</v>
      </c>
      <c r="P833">
        <v>2.0982365981701296E-2</v>
      </c>
      <c r="Q833" t="s">
        <v>159</v>
      </c>
    </row>
    <row r="834" spans="9:17" x14ac:dyDescent="0.45">
      <c r="I834" t="s">
        <v>189</v>
      </c>
      <c r="J834" t="s">
        <v>314</v>
      </c>
      <c r="K834">
        <v>3.4291902927086788E-3</v>
      </c>
      <c r="L834" t="s">
        <v>159</v>
      </c>
      <c r="N834" t="s">
        <v>232</v>
      </c>
      <c r="O834" t="s">
        <v>314</v>
      </c>
      <c r="P834">
        <v>2.3629644909417586E-3</v>
      </c>
      <c r="Q834" t="s">
        <v>159</v>
      </c>
    </row>
    <row r="835" spans="9:17" x14ac:dyDescent="0.45">
      <c r="I835" t="s">
        <v>189</v>
      </c>
      <c r="J835" t="s">
        <v>315</v>
      </c>
      <c r="K835">
        <v>6.2584696796567946E-2</v>
      </c>
      <c r="L835" t="s">
        <v>159</v>
      </c>
      <c r="N835" t="s">
        <v>232</v>
      </c>
      <c r="O835" t="s">
        <v>315</v>
      </c>
      <c r="P835">
        <v>1.9855952542394504E-2</v>
      </c>
      <c r="Q835" t="s">
        <v>159</v>
      </c>
    </row>
    <row r="836" spans="9:17" x14ac:dyDescent="0.45">
      <c r="I836" t="s">
        <v>189</v>
      </c>
      <c r="J836" t="s">
        <v>316</v>
      </c>
      <c r="K836">
        <v>4.9580133670001809E-3</v>
      </c>
      <c r="L836" t="s">
        <v>159</v>
      </c>
      <c r="N836" t="s">
        <v>232</v>
      </c>
      <c r="O836" t="s">
        <v>316</v>
      </c>
      <c r="P836">
        <v>2.370025578335514E-3</v>
      </c>
      <c r="Q836" t="s">
        <v>159</v>
      </c>
    </row>
    <row r="837" spans="9:17" x14ac:dyDescent="0.45">
      <c r="I837" t="s">
        <v>189</v>
      </c>
      <c r="J837" t="s">
        <v>317</v>
      </c>
      <c r="K837">
        <v>3.4509508683690971E-3</v>
      </c>
      <c r="L837" t="s">
        <v>159</v>
      </c>
      <c r="N837" t="s">
        <v>232</v>
      </c>
      <c r="O837" t="s">
        <v>317</v>
      </c>
      <c r="P837">
        <v>3.0250586928873258E-3</v>
      </c>
      <c r="Q837" t="s">
        <v>159</v>
      </c>
    </row>
    <row r="838" spans="9:17" x14ac:dyDescent="0.45">
      <c r="I838" t="s">
        <v>189</v>
      </c>
      <c r="J838" t="s">
        <v>318</v>
      </c>
      <c r="K838">
        <v>1.5541730298439399E-3</v>
      </c>
      <c r="L838" t="s">
        <v>159</v>
      </c>
      <c r="N838" t="s">
        <v>232</v>
      </c>
      <c r="O838" t="s">
        <v>318</v>
      </c>
      <c r="P838">
        <v>2.4346395865399249E-2</v>
      </c>
      <c r="Q838" t="s">
        <v>159</v>
      </c>
    </row>
    <row r="839" spans="9:17" x14ac:dyDescent="0.45">
      <c r="I839" t="s">
        <v>190</v>
      </c>
      <c r="J839" t="s">
        <v>158</v>
      </c>
      <c r="K839">
        <v>1.0581243755480949E-3</v>
      </c>
      <c r="L839" t="s">
        <v>159</v>
      </c>
      <c r="N839" t="s">
        <v>233</v>
      </c>
      <c r="O839" t="s">
        <v>158</v>
      </c>
      <c r="P839">
        <v>0.15003548151857043</v>
      </c>
      <c r="Q839" t="s">
        <v>159</v>
      </c>
    </row>
    <row r="840" spans="9:17" x14ac:dyDescent="0.45">
      <c r="I840" t="s">
        <v>190</v>
      </c>
      <c r="J840" t="s">
        <v>160</v>
      </c>
      <c r="K840">
        <v>2.0586497186446489E-2</v>
      </c>
      <c r="L840" t="s">
        <v>159</v>
      </c>
      <c r="N840" t="s">
        <v>233</v>
      </c>
      <c r="O840" t="s">
        <v>160</v>
      </c>
      <c r="P840">
        <v>1.5912840587272613E-2</v>
      </c>
      <c r="Q840" t="s">
        <v>159</v>
      </c>
    </row>
    <row r="841" spans="9:17" x14ac:dyDescent="0.45">
      <c r="I841" t="s">
        <v>190</v>
      </c>
      <c r="J841" t="s">
        <v>161</v>
      </c>
      <c r="K841">
        <v>0.3987809680278247</v>
      </c>
      <c r="L841" t="s">
        <v>159</v>
      </c>
      <c r="N841" t="s">
        <v>233</v>
      </c>
      <c r="O841" t="s">
        <v>161</v>
      </c>
      <c r="P841">
        <v>9.2158631340072003E-2</v>
      </c>
      <c r="Q841" t="s">
        <v>159</v>
      </c>
    </row>
    <row r="842" spans="9:17" x14ac:dyDescent="0.45">
      <c r="I842" t="s">
        <v>190</v>
      </c>
      <c r="J842" t="s">
        <v>287</v>
      </c>
      <c r="K842">
        <v>3.5515486396560339E-2</v>
      </c>
      <c r="L842" t="s">
        <v>159</v>
      </c>
      <c r="N842" t="s">
        <v>233</v>
      </c>
      <c r="O842" t="s">
        <v>287</v>
      </c>
      <c r="P842">
        <v>7.4329966337060875E-3</v>
      </c>
      <c r="Q842" t="s">
        <v>159</v>
      </c>
    </row>
    <row r="843" spans="9:17" x14ac:dyDescent="0.45">
      <c r="I843" t="s">
        <v>190</v>
      </c>
      <c r="J843" t="s">
        <v>288</v>
      </c>
      <c r="K843">
        <v>1.9267528361957154E-2</v>
      </c>
      <c r="L843" t="s">
        <v>159</v>
      </c>
      <c r="N843" t="s">
        <v>233</v>
      </c>
      <c r="O843" t="s">
        <v>288</v>
      </c>
      <c r="P843">
        <v>9.327883057821694E-3</v>
      </c>
      <c r="Q843" t="s">
        <v>159</v>
      </c>
    </row>
    <row r="844" spans="9:17" x14ac:dyDescent="0.45">
      <c r="I844" t="s">
        <v>190</v>
      </c>
      <c r="J844" t="s">
        <v>308</v>
      </c>
      <c r="K844">
        <v>4.9341144028411804E-3</v>
      </c>
      <c r="L844" t="s">
        <v>159</v>
      </c>
      <c r="N844" t="s">
        <v>233</v>
      </c>
      <c r="O844" t="s">
        <v>308</v>
      </c>
      <c r="P844">
        <v>9.2400632558156018E-2</v>
      </c>
      <c r="Q844" t="s">
        <v>159</v>
      </c>
    </row>
    <row r="845" spans="9:17" x14ac:dyDescent="0.45">
      <c r="I845" t="s">
        <v>190</v>
      </c>
      <c r="J845" t="s">
        <v>162</v>
      </c>
      <c r="K845">
        <v>0</v>
      </c>
      <c r="L845" t="s">
        <v>159</v>
      </c>
      <c r="N845" t="s">
        <v>233</v>
      </c>
      <c r="O845" t="s">
        <v>162</v>
      </c>
      <c r="P845">
        <v>2.341939645207684E-2</v>
      </c>
      <c r="Q845" t="s">
        <v>159</v>
      </c>
    </row>
    <row r="846" spans="9:17" x14ac:dyDescent="0.45">
      <c r="I846" t="s">
        <v>190</v>
      </c>
      <c r="J846" t="s">
        <v>163</v>
      </c>
      <c r="K846">
        <v>0</v>
      </c>
      <c r="L846" t="s">
        <v>159</v>
      </c>
      <c r="N846" t="s">
        <v>233</v>
      </c>
      <c r="O846" t="s">
        <v>163</v>
      </c>
      <c r="P846">
        <v>2.6878232331893621E-3</v>
      </c>
      <c r="Q846" t="s">
        <v>159</v>
      </c>
    </row>
    <row r="847" spans="9:17" x14ac:dyDescent="0.45">
      <c r="I847" t="s">
        <v>190</v>
      </c>
      <c r="J847" t="s">
        <v>164</v>
      </c>
      <c r="K847">
        <v>5.309807885625175E-2</v>
      </c>
      <c r="L847" t="s">
        <v>159</v>
      </c>
      <c r="N847" t="s">
        <v>233</v>
      </c>
      <c r="O847" t="s">
        <v>164</v>
      </c>
      <c r="P847">
        <v>1.8107678323971657E-2</v>
      </c>
      <c r="Q847" t="s">
        <v>159</v>
      </c>
    </row>
    <row r="848" spans="9:17" x14ac:dyDescent="0.45">
      <c r="I848" t="s">
        <v>190</v>
      </c>
      <c r="J848" t="s">
        <v>289</v>
      </c>
      <c r="K848">
        <v>4.1917660408808373E-3</v>
      </c>
      <c r="L848" t="s">
        <v>159</v>
      </c>
      <c r="N848" t="s">
        <v>233</v>
      </c>
      <c r="O848" t="s">
        <v>289</v>
      </c>
      <c r="P848">
        <v>1.6616341242627743E-3</v>
      </c>
      <c r="Q848" t="s">
        <v>159</v>
      </c>
    </row>
    <row r="849" spans="9:17" x14ac:dyDescent="0.45">
      <c r="I849" t="s">
        <v>190</v>
      </c>
      <c r="J849" t="s">
        <v>290</v>
      </c>
      <c r="K849">
        <v>0</v>
      </c>
      <c r="L849" t="s">
        <v>159</v>
      </c>
      <c r="N849" t="s">
        <v>233</v>
      </c>
      <c r="O849" t="s">
        <v>290</v>
      </c>
      <c r="P849">
        <v>2.1604675763613069E-3</v>
      </c>
      <c r="Q849" t="s">
        <v>159</v>
      </c>
    </row>
    <row r="850" spans="9:17" x14ac:dyDescent="0.45">
      <c r="I850" t="s">
        <v>190</v>
      </c>
      <c r="J850" t="s">
        <v>309</v>
      </c>
      <c r="K850">
        <v>0</v>
      </c>
      <c r="L850" t="s">
        <v>159</v>
      </c>
      <c r="N850" t="s">
        <v>233</v>
      </c>
      <c r="O850" t="s">
        <v>309</v>
      </c>
      <c r="P850">
        <v>1.8748846601759604E-2</v>
      </c>
      <c r="Q850" t="s">
        <v>159</v>
      </c>
    </row>
    <row r="851" spans="9:17" x14ac:dyDescent="0.45">
      <c r="I851" t="s">
        <v>190</v>
      </c>
      <c r="J851" t="s">
        <v>165</v>
      </c>
      <c r="K851">
        <v>0</v>
      </c>
      <c r="L851" t="s">
        <v>159</v>
      </c>
      <c r="N851" t="s">
        <v>233</v>
      </c>
      <c r="O851" t="s">
        <v>165</v>
      </c>
      <c r="P851">
        <v>3.3992506404164048E-2</v>
      </c>
      <c r="Q851" t="s">
        <v>159</v>
      </c>
    </row>
    <row r="852" spans="9:17" x14ac:dyDescent="0.45">
      <c r="I852" t="s">
        <v>190</v>
      </c>
      <c r="J852" t="s">
        <v>166</v>
      </c>
      <c r="K852">
        <v>1.0695117393688745E-3</v>
      </c>
      <c r="L852" t="s">
        <v>159</v>
      </c>
      <c r="N852" t="s">
        <v>233</v>
      </c>
      <c r="O852" t="s">
        <v>166</v>
      </c>
      <c r="P852">
        <v>3.3955458162391182E-3</v>
      </c>
      <c r="Q852" t="s">
        <v>159</v>
      </c>
    </row>
    <row r="853" spans="9:17" x14ac:dyDescent="0.45">
      <c r="I853" t="s">
        <v>190</v>
      </c>
      <c r="J853" t="s">
        <v>167</v>
      </c>
      <c r="K853">
        <v>6.1535559256879195E-2</v>
      </c>
      <c r="L853" t="s">
        <v>159</v>
      </c>
      <c r="N853" t="s">
        <v>233</v>
      </c>
      <c r="O853" t="s">
        <v>167</v>
      </c>
      <c r="P853">
        <v>1.8270635263396322E-2</v>
      </c>
      <c r="Q853" t="s">
        <v>159</v>
      </c>
    </row>
    <row r="854" spans="9:17" x14ac:dyDescent="0.45">
      <c r="I854" t="s">
        <v>190</v>
      </c>
      <c r="J854" t="s">
        <v>291</v>
      </c>
      <c r="K854">
        <v>4.5358745739254658E-3</v>
      </c>
      <c r="L854" t="s">
        <v>159</v>
      </c>
      <c r="N854" t="s">
        <v>233</v>
      </c>
      <c r="O854" t="s">
        <v>291</v>
      </c>
      <c r="P854">
        <v>2.1788672763303303E-3</v>
      </c>
      <c r="Q854" t="s">
        <v>159</v>
      </c>
    </row>
    <row r="855" spans="9:17" x14ac:dyDescent="0.45">
      <c r="I855" t="s">
        <v>190</v>
      </c>
      <c r="J855" t="s">
        <v>292</v>
      </c>
      <c r="K855">
        <v>1.19122940205679E-3</v>
      </c>
      <c r="L855" t="s">
        <v>159</v>
      </c>
      <c r="N855" t="s">
        <v>233</v>
      </c>
      <c r="O855" t="s">
        <v>292</v>
      </c>
      <c r="P855">
        <v>2.5662895503776365E-3</v>
      </c>
      <c r="Q855" t="s">
        <v>159</v>
      </c>
    </row>
    <row r="856" spans="9:17" x14ac:dyDescent="0.45">
      <c r="I856" t="s">
        <v>190</v>
      </c>
      <c r="J856" t="s">
        <v>310</v>
      </c>
      <c r="K856">
        <v>0</v>
      </c>
      <c r="L856" t="s">
        <v>159</v>
      </c>
      <c r="N856" t="s">
        <v>233</v>
      </c>
      <c r="O856" t="s">
        <v>310</v>
      </c>
      <c r="P856">
        <v>2.2793153395545728E-2</v>
      </c>
      <c r="Q856" t="s">
        <v>159</v>
      </c>
    </row>
    <row r="857" spans="9:17" x14ac:dyDescent="0.45">
      <c r="I857" t="s">
        <v>190</v>
      </c>
      <c r="J857" t="s">
        <v>293</v>
      </c>
      <c r="K857">
        <v>0</v>
      </c>
      <c r="L857" t="s">
        <v>159</v>
      </c>
      <c r="N857" t="s">
        <v>233</v>
      </c>
      <c r="O857" t="s">
        <v>293</v>
      </c>
      <c r="P857">
        <v>1.1752236712463511E-2</v>
      </c>
      <c r="Q857" t="s">
        <v>159</v>
      </c>
    </row>
    <row r="858" spans="9:17" x14ac:dyDescent="0.45">
      <c r="I858" t="s">
        <v>190</v>
      </c>
      <c r="J858" t="s">
        <v>294</v>
      </c>
      <c r="K858">
        <v>9.2686555422072251E-4</v>
      </c>
      <c r="L858" t="s">
        <v>159</v>
      </c>
      <c r="N858" t="s">
        <v>233</v>
      </c>
      <c r="O858" t="s">
        <v>294</v>
      </c>
      <c r="P858">
        <v>1.3759305045829E-3</v>
      </c>
      <c r="Q858" t="s">
        <v>159</v>
      </c>
    </row>
    <row r="859" spans="9:17" x14ac:dyDescent="0.45">
      <c r="I859" t="s">
        <v>190</v>
      </c>
      <c r="J859" t="s">
        <v>295</v>
      </c>
      <c r="K859">
        <v>1.6388498019521414E-2</v>
      </c>
      <c r="L859" t="s">
        <v>159</v>
      </c>
      <c r="N859" t="s">
        <v>233</v>
      </c>
      <c r="O859" t="s">
        <v>295</v>
      </c>
      <c r="P859">
        <v>8.6153337797703136E-3</v>
      </c>
      <c r="Q859" t="s">
        <v>159</v>
      </c>
    </row>
    <row r="860" spans="9:17" x14ac:dyDescent="0.45">
      <c r="I860" t="s">
        <v>190</v>
      </c>
      <c r="J860" t="s">
        <v>296</v>
      </c>
      <c r="K860">
        <v>1.2294764044231E-3</v>
      </c>
      <c r="L860" t="s">
        <v>159</v>
      </c>
      <c r="N860" t="s">
        <v>233</v>
      </c>
      <c r="O860" t="s">
        <v>296</v>
      </c>
      <c r="P860">
        <v>7.5679372394078597E-4</v>
      </c>
      <c r="Q860" t="s">
        <v>159</v>
      </c>
    </row>
    <row r="861" spans="9:17" x14ac:dyDescent="0.45">
      <c r="I861" t="s">
        <v>190</v>
      </c>
      <c r="J861" t="s">
        <v>297</v>
      </c>
      <c r="K861">
        <v>8.9072356232486013E-4</v>
      </c>
      <c r="L861" t="s">
        <v>159</v>
      </c>
      <c r="N861" t="s">
        <v>233</v>
      </c>
      <c r="O861" t="s">
        <v>297</v>
      </c>
      <c r="P861">
        <v>9.2236761704161908E-4</v>
      </c>
      <c r="Q861" t="s">
        <v>159</v>
      </c>
    </row>
    <row r="862" spans="9:17" x14ac:dyDescent="0.45">
      <c r="I862" t="s">
        <v>190</v>
      </c>
      <c r="J862" t="s">
        <v>311</v>
      </c>
      <c r="K862">
        <v>0</v>
      </c>
      <c r="L862" t="s">
        <v>159</v>
      </c>
      <c r="N862" t="s">
        <v>233</v>
      </c>
      <c r="O862" t="s">
        <v>311</v>
      </c>
      <c r="P862">
        <v>8.0495187618631336E-3</v>
      </c>
      <c r="Q862" t="s">
        <v>159</v>
      </c>
    </row>
    <row r="863" spans="9:17" x14ac:dyDescent="0.45">
      <c r="I863" t="s">
        <v>190</v>
      </c>
      <c r="J863" t="s">
        <v>298</v>
      </c>
      <c r="K863">
        <v>4.7907327992591543E-3</v>
      </c>
      <c r="L863" t="s">
        <v>159</v>
      </c>
      <c r="N863" t="s">
        <v>233</v>
      </c>
      <c r="O863" t="s">
        <v>298</v>
      </c>
      <c r="P863">
        <v>0.14063622503871809</v>
      </c>
      <c r="Q863" t="s">
        <v>159</v>
      </c>
    </row>
    <row r="864" spans="9:17" x14ac:dyDescent="0.45">
      <c r="I864" t="s">
        <v>190</v>
      </c>
      <c r="J864" t="s">
        <v>299</v>
      </c>
      <c r="K864">
        <v>1.6143576873746714E-2</v>
      </c>
      <c r="L864" t="s">
        <v>159</v>
      </c>
      <c r="N864" t="s">
        <v>233</v>
      </c>
      <c r="O864" t="s">
        <v>299</v>
      </c>
      <c r="P864">
        <v>1.5835339141137904E-2</v>
      </c>
      <c r="Q864" t="s">
        <v>159</v>
      </c>
    </row>
    <row r="865" spans="9:17" x14ac:dyDescent="0.45">
      <c r="I865" t="s">
        <v>190</v>
      </c>
      <c r="J865" t="s">
        <v>300</v>
      </c>
      <c r="K865">
        <v>0.24316820041715248</v>
      </c>
      <c r="L865" t="s">
        <v>159</v>
      </c>
      <c r="N865" t="s">
        <v>233</v>
      </c>
      <c r="O865" t="s">
        <v>300</v>
      </c>
      <c r="P865">
        <v>0.10473813011017828</v>
      </c>
      <c r="Q865" t="s">
        <v>159</v>
      </c>
    </row>
    <row r="866" spans="9:17" x14ac:dyDescent="0.45">
      <c r="I866" t="s">
        <v>190</v>
      </c>
      <c r="J866" t="s">
        <v>301</v>
      </c>
      <c r="K866">
        <v>1.9337142280327405E-2</v>
      </c>
      <c r="L866" t="s">
        <v>159</v>
      </c>
      <c r="N866" t="s">
        <v>233</v>
      </c>
      <c r="O866" t="s">
        <v>301</v>
      </c>
      <c r="P866">
        <v>9.9491910392462378E-3</v>
      </c>
      <c r="Q866" t="s">
        <v>159</v>
      </c>
    </row>
    <row r="867" spans="9:17" x14ac:dyDescent="0.45">
      <c r="I867" t="s">
        <v>190</v>
      </c>
      <c r="J867" t="s">
        <v>302</v>
      </c>
      <c r="K867">
        <v>1.2402266382253781E-2</v>
      </c>
      <c r="L867" t="s">
        <v>159</v>
      </c>
      <c r="N867" t="s">
        <v>233</v>
      </c>
      <c r="O867" t="s">
        <v>302</v>
      </c>
      <c r="P867">
        <v>1.0617745692050829E-2</v>
      </c>
      <c r="Q867" t="s">
        <v>159</v>
      </c>
    </row>
    <row r="868" spans="9:17" x14ac:dyDescent="0.45">
      <c r="I868" t="s">
        <v>190</v>
      </c>
      <c r="J868" t="s">
        <v>312</v>
      </c>
      <c r="K868">
        <v>0</v>
      </c>
      <c r="L868" t="s">
        <v>159</v>
      </c>
      <c r="N868" t="s">
        <v>233</v>
      </c>
      <c r="O868" t="s">
        <v>312</v>
      </c>
      <c r="P868">
        <v>0.10285800162615966</v>
      </c>
      <c r="Q868" t="s">
        <v>159</v>
      </c>
    </row>
    <row r="869" spans="9:17" x14ac:dyDescent="0.45">
      <c r="I869" t="s">
        <v>190</v>
      </c>
      <c r="J869" t="s">
        <v>313</v>
      </c>
      <c r="K869">
        <v>2.2996802487133677E-3</v>
      </c>
      <c r="L869" t="s">
        <v>159</v>
      </c>
      <c r="N869" t="s">
        <v>233</v>
      </c>
      <c r="O869" t="s">
        <v>313</v>
      </c>
      <c r="P869">
        <v>2.3165219424150979E-2</v>
      </c>
      <c r="Q869" t="s">
        <v>159</v>
      </c>
    </row>
    <row r="870" spans="9:17" x14ac:dyDescent="0.45">
      <c r="I870" t="s">
        <v>190</v>
      </c>
      <c r="J870" t="s">
        <v>314</v>
      </c>
      <c r="K870">
        <v>4.1832235717220124E-3</v>
      </c>
      <c r="L870" t="s">
        <v>159</v>
      </c>
      <c r="N870" t="s">
        <v>233</v>
      </c>
      <c r="O870" t="s">
        <v>314</v>
      </c>
      <c r="P870">
        <v>2.7629678916620422E-3</v>
      </c>
      <c r="Q870" t="s">
        <v>159</v>
      </c>
    </row>
    <row r="871" spans="9:17" x14ac:dyDescent="0.45">
      <c r="I871" t="s">
        <v>190</v>
      </c>
      <c r="J871" t="s">
        <v>315</v>
      </c>
      <c r="K871">
        <v>6.225571287598216E-2</v>
      </c>
      <c r="L871" t="s">
        <v>159</v>
      </c>
      <c r="N871" t="s">
        <v>233</v>
      </c>
      <c r="O871" t="s">
        <v>315</v>
      </c>
      <c r="P871">
        <v>1.7800037628259564E-2</v>
      </c>
      <c r="Q871" t="s">
        <v>159</v>
      </c>
    </row>
    <row r="872" spans="9:17" x14ac:dyDescent="0.45">
      <c r="I872" t="s">
        <v>190</v>
      </c>
      <c r="J872" t="s">
        <v>316</v>
      </c>
      <c r="K872">
        <v>5.1234805347057646E-3</v>
      </c>
      <c r="L872" t="s">
        <v>159</v>
      </c>
      <c r="N872" t="s">
        <v>233</v>
      </c>
      <c r="O872" t="s">
        <v>316</v>
      </c>
      <c r="P872">
        <v>1.9048769735884831E-3</v>
      </c>
      <c r="Q872" t="s">
        <v>159</v>
      </c>
    </row>
    <row r="873" spans="9:17" x14ac:dyDescent="0.45">
      <c r="I873" t="s">
        <v>190</v>
      </c>
      <c r="J873" t="s">
        <v>317</v>
      </c>
      <c r="K873">
        <v>3.6800996347708202E-3</v>
      </c>
      <c r="L873" t="s">
        <v>159</v>
      </c>
      <c r="N873" t="s">
        <v>233</v>
      </c>
      <c r="O873" t="s">
        <v>317</v>
      </c>
      <c r="P873">
        <v>2.2409643516119997E-3</v>
      </c>
      <c r="Q873" t="s">
        <v>159</v>
      </c>
    </row>
    <row r="874" spans="9:17" x14ac:dyDescent="0.45">
      <c r="I874" t="s">
        <v>190</v>
      </c>
      <c r="J874" t="s">
        <v>318</v>
      </c>
      <c r="K874">
        <v>1.415582220337685E-3</v>
      </c>
      <c r="L874" t="s">
        <v>159</v>
      </c>
      <c r="N874" t="s">
        <v>233</v>
      </c>
      <c r="O874" t="s">
        <v>318</v>
      </c>
      <c r="P874">
        <v>1.8767810270302922E-2</v>
      </c>
      <c r="Q874" t="s">
        <v>159</v>
      </c>
    </row>
    <row r="875" spans="9:17" x14ac:dyDescent="0.45">
      <c r="I875" t="s">
        <v>191</v>
      </c>
      <c r="J875" t="s">
        <v>158</v>
      </c>
      <c r="K875">
        <v>7.0688324420688014E-4</v>
      </c>
      <c r="L875" t="s">
        <v>159</v>
      </c>
      <c r="N875" t="s">
        <v>234</v>
      </c>
      <c r="O875" t="s">
        <v>158</v>
      </c>
      <c r="P875">
        <v>0.14057480967620692</v>
      </c>
      <c r="Q875" t="s">
        <v>159</v>
      </c>
    </row>
    <row r="876" spans="9:17" x14ac:dyDescent="0.45">
      <c r="I876" t="s">
        <v>191</v>
      </c>
      <c r="J876" t="s">
        <v>160</v>
      </c>
      <c r="K876">
        <v>1.8606875005008985E-2</v>
      </c>
      <c r="L876" t="s">
        <v>159</v>
      </c>
      <c r="N876" t="s">
        <v>234</v>
      </c>
      <c r="O876" t="s">
        <v>160</v>
      </c>
      <c r="P876">
        <v>1.2654387191304331E-2</v>
      </c>
      <c r="Q876" t="s">
        <v>159</v>
      </c>
    </row>
    <row r="877" spans="9:17" x14ac:dyDescent="0.45">
      <c r="I877" t="s">
        <v>191</v>
      </c>
      <c r="J877" t="s">
        <v>161</v>
      </c>
      <c r="K877">
        <v>0.39611624962730263</v>
      </c>
      <c r="L877" t="s">
        <v>159</v>
      </c>
      <c r="N877" t="s">
        <v>234</v>
      </c>
      <c r="O877" t="s">
        <v>161</v>
      </c>
      <c r="P877">
        <v>9.0138852096780797E-2</v>
      </c>
      <c r="Q877" t="s">
        <v>159</v>
      </c>
    </row>
    <row r="878" spans="9:17" x14ac:dyDescent="0.45">
      <c r="I878" t="s">
        <v>191</v>
      </c>
      <c r="J878" t="s">
        <v>287</v>
      </c>
      <c r="K878">
        <v>3.6519858249631373E-2</v>
      </c>
      <c r="L878" t="s">
        <v>159</v>
      </c>
      <c r="N878" t="s">
        <v>234</v>
      </c>
      <c r="O878" t="s">
        <v>287</v>
      </c>
      <c r="P878">
        <v>1.064092660400002E-2</v>
      </c>
      <c r="Q878" t="s">
        <v>159</v>
      </c>
    </row>
    <row r="879" spans="9:17" x14ac:dyDescent="0.45">
      <c r="I879" t="s">
        <v>191</v>
      </c>
      <c r="J879" t="s">
        <v>288</v>
      </c>
      <c r="K879">
        <v>2.0855489253260993E-2</v>
      </c>
      <c r="L879" t="s">
        <v>159</v>
      </c>
      <c r="N879" t="s">
        <v>234</v>
      </c>
      <c r="O879" t="s">
        <v>288</v>
      </c>
      <c r="P879">
        <v>1.2427949320323154E-2</v>
      </c>
      <c r="Q879" t="s">
        <v>159</v>
      </c>
    </row>
    <row r="880" spans="9:17" x14ac:dyDescent="0.45">
      <c r="I880" t="s">
        <v>191</v>
      </c>
      <c r="J880" t="s">
        <v>308</v>
      </c>
      <c r="K880">
        <v>6.0883844544895958E-3</v>
      </c>
      <c r="L880" t="s">
        <v>159</v>
      </c>
      <c r="N880" t="s">
        <v>234</v>
      </c>
      <c r="O880" t="s">
        <v>308</v>
      </c>
      <c r="P880">
        <v>9.6228543355318025E-2</v>
      </c>
      <c r="Q880" t="s">
        <v>159</v>
      </c>
    </row>
    <row r="881" spans="9:17" x14ac:dyDescent="0.45">
      <c r="I881" t="s">
        <v>191</v>
      </c>
      <c r="J881" t="s">
        <v>162</v>
      </c>
      <c r="K881">
        <v>0</v>
      </c>
      <c r="L881" t="s">
        <v>159</v>
      </c>
      <c r="N881" t="s">
        <v>234</v>
      </c>
      <c r="O881" t="s">
        <v>162</v>
      </c>
      <c r="P881">
        <v>2.1688094043353059E-2</v>
      </c>
      <c r="Q881" t="s">
        <v>159</v>
      </c>
    </row>
    <row r="882" spans="9:17" x14ac:dyDescent="0.45">
      <c r="I882" t="s">
        <v>191</v>
      </c>
      <c r="J882" t="s">
        <v>163</v>
      </c>
      <c r="K882">
        <v>0</v>
      </c>
      <c r="L882" t="s">
        <v>159</v>
      </c>
      <c r="N882" t="s">
        <v>234</v>
      </c>
      <c r="O882" t="s">
        <v>163</v>
      </c>
      <c r="P882">
        <v>2.237258305403193E-3</v>
      </c>
      <c r="Q882" t="s">
        <v>159</v>
      </c>
    </row>
    <row r="883" spans="9:17" x14ac:dyDescent="0.45">
      <c r="I883" t="s">
        <v>191</v>
      </c>
      <c r="J883" t="s">
        <v>164</v>
      </c>
      <c r="K883">
        <v>5.2582832560507671E-2</v>
      </c>
      <c r="L883" t="s">
        <v>159</v>
      </c>
      <c r="N883" t="s">
        <v>234</v>
      </c>
      <c r="O883" t="s">
        <v>164</v>
      </c>
      <c r="P883">
        <v>1.6891184300016373E-2</v>
      </c>
      <c r="Q883" t="s">
        <v>159</v>
      </c>
    </row>
    <row r="884" spans="9:17" x14ac:dyDescent="0.45">
      <c r="I884" t="s">
        <v>191</v>
      </c>
      <c r="J884" t="s">
        <v>289</v>
      </c>
      <c r="K884">
        <v>4.3269969438882068E-3</v>
      </c>
      <c r="L884" t="s">
        <v>159</v>
      </c>
      <c r="N884" t="s">
        <v>234</v>
      </c>
      <c r="O884" t="s">
        <v>289</v>
      </c>
      <c r="P884">
        <v>1.9666254013575067E-3</v>
      </c>
      <c r="Q884" t="s">
        <v>159</v>
      </c>
    </row>
    <row r="885" spans="9:17" x14ac:dyDescent="0.45">
      <c r="I885" t="s">
        <v>191</v>
      </c>
      <c r="J885" t="s">
        <v>290</v>
      </c>
      <c r="K885">
        <v>0</v>
      </c>
      <c r="L885" t="s">
        <v>159</v>
      </c>
      <c r="N885" t="s">
        <v>234</v>
      </c>
      <c r="O885" t="s">
        <v>290</v>
      </c>
      <c r="P885">
        <v>2.6934024153906677E-3</v>
      </c>
      <c r="Q885" t="s">
        <v>159</v>
      </c>
    </row>
    <row r="886" spans="9:17" x14ac:dyDescent="0.45">
      <c r="I886" t="s">
        <v>191</v>
      </c>
      <c r="J886" t="s">
        <v>309</v>
      </c>
      <c r="K886">
        <v>0</v>
      </c>
      <c r="L886" t="s">
        <v>159</v>
      </c>
      <c r="N886" t="s">
        <v>234</v>
      </c>
      <c r="O886" t="s">
        <v>309</v>
      </c>
      <c r="P886">
        <v>1.9174490990097184E-2</v>
      </c>
      <c r="Q886" t="s">
        <v>159</v>
      </c>
    </row>
    <row r="887" spans="9:17" x14ac:dyDescent="0.45">
      <c r="I887" t="s">
        <v>191</v>
      </c>
      <c r="J887" t="s">
        <v>165</v>
      </c>
      <c r="K887">
        <v>0</v>
      </c>
      <c r="L887" t="s">
        <v>159</v>
      </c>
      <c r="N887" t="s">
        <v>234</v>
      </c>
      <c r="O887" t="s">
        <v>165</v>
      </c>
      <c r="P887">
        <v>3.5726087584862044E-2</v>
      </c>
      <c r="Q887" t="s">
        <v>159</v>
      </c>
    </row>
    <row r="888" spans="9:17" x14ac:dyDescent="0.45">
      <c r="I888" t="s">
        <v>191</v>
      </c>
      <c r="J888" t="s">
        <v>166</v>
      </c>
      <c r="K888">
        <v>3.6328728876483155E-4</v>
      </c>
      <c r="L888" t="s">
        <v>159</v>
      </c>
      <c r="N888" t="s">
        <v>234</v>
      </c>
      <c r="O888" t="s">
        <v>166</v>
      </c>
      <c r="P888">
        <v>2.9940130275942843E-3</v>
      </c>
      <c r="Q888" t="s">
        <v>159</v>
      </c>
    </row>
    <row r="889" spans="9:17" x14ac:dyDescent="0.45">
      <c r="I889" t="s">
        <v>191</v>
      </c>
      <c r="J889" t="s">
        <v>167</v>
      </c>
      <c r="K889">
        <v>6.1318547682859215E-2</v>
      </c>
      <c r="L889" t="s">
        <v>159</v>
      </c>
      <c r="N889" t="s">
        <v>234</v>
      </c>
      <c r="O889" t="s">
        <v>167</v>
      </c>
      <c r="P889">
        <v>2.137680503965575E-2</v>
      </c>
      <c r="Q889" t="s">
        <v>159</v>
      </c>
    </row>
    <row r="890" spans="9:17" x14ac:dyDescent="0.45">
      <c r="I890" t="s">
        <v>191</v>
      </c>
      <c r="J890" t="s">
        <v>291</v>
      </c>
      <c r="K890">
        <v>4.9211406731567882E-3</v>
      </c>
      <c r="L890" t="s">
        <v>159</v>
      </c>
      <c r="N890" t="s">
        <v>234</v>
      </c>
      <c r="O890" t="s">
        <v>291</v>
      </c>
      <c r="P890">
        <v>3.3561659353387265E-3</v>
      </c>
      <c r="Q890" t="s">
        <v>159</v>
      </c>
    </row>
    <row r="891" spans="9:17" x14ac:dyDescent="0.45">
      <c r="I891" t="s">
        <v>191</v>
      </c>
      <c r="J891" t="s">
        <v>292</v>
      </c>
      <c r="K891">
        <v>2.4611285133283342E-3</v>
      </c>
      <c r="L891" t="s">
        <v>159</v>
      </c>
      <c r="N891" t="s">
        <v>234</v>
      </c>
      <c r="O891" t="s">
        <v>292</v>
      </c>
      <c r="P891">
        <v>3.5802323288524492E-3</v>
      </c>
      <c r="Q891" t="s">
        <v>159</v>
      </c>
    </row>
    <row r="892" spans="9:17" x14ac:dyDescent="0.45">
      <c r="I892" t="s">
        <v>191</v>
      </c>
      <c r="J892" t="s">
        <v>310</v>
      </c>
      <c r="K892">
        <v>0</v>
      </c>
      <c r="L892" t="s">
        <v>159</v>
      </c>
      <c r="N892" t="s">
        <v>234</v>
      </c>
      <c r="O892" t="s">
        <v>310</v>
      </c>
      <c r="P892">
        <v>2.4803582838567515E-2</v>
      </c>
      <c r="Q892" t="s">
        <v>159</v>
      </c>
    </row>
    <row r="893" spans="9:17" x14ac:dyDescent="0.45">
      <c r="I893" t="s">
        <v>191</v>
      </c>
      <c r="J893" t="s">
        <v>293</v>
      </c>
      <c r="K893">
        <v>0</v>
      </c>
      <c r="L893" t="s">
        <v>159</v>
      </c>
      <c r="N893" t="s">
        <v>234</v>
      </c>
      <c r="O893" t="s">
        <v>293</v>
      </c>
      <c r="P893">
        <v>9.0632729826885684E-3</v>
      </c>
      <c r="Q893" t="s">
        <v>159</v>
      </c>
    </row>
    <row r="894" spans="9:17" x14ac:dyDescent="0.45">
      <c r="I894" t="s">
        <v>191</v>
      </c>
      <c r="J894" t="s">
        <v>294</v>
      </c>
      <c r="K894">
        <v>8.4990203002881367E-4</v>
      </c>
      <c r="L894" t="s">
        <v>159</v>
      </c>
      <c r="N894" t="s">
        <v>234</v>
      </c>
      <c r="O894" t="s">
        <v>294</v>
      </c>
      <c r="P894">
        <v>9.1832102418983085E-4</v>
      </c>
      <c r="Q894" t="s">
        <v>159</v>
      </c>
    </row>
    <row r="895" spans="9:17" x14ac:dyDescent="0.45">
      <c r="I895" t="s">
        <v>191</v>
      </c>
      <c r="J895" t="s">
        <v>295</v>
      </c>
      <c r="K895">
        <v>1.5483002149326538E-2</v>
      </c>
      <c r="L895" t="s">
        <v>159</v>
      </c>
      <c r="N895" t="s">
        <v>234</v>
      </c>
      <c r="O895" t="s">
        <v>295</v>
      </c>
      <c r="P895">
        <v>5.7596019845443502E-3</v>
      </c>
      <c r="Q895" t="s">
        <v>159</v>
      </c>
    </row>
    <row r="896" spans="9:17" x14ac:dyDescent="0.45">
      <c r="I896" t="s">
        <v>191</v>
      </c>
      <c r="J896" t="s">
        <v>296</v>
      </c>
      <c r="K896">
        <v>1.2836866218629501E-3</v>
      </c>
      <c r="L896" t="s">
        <v>159</v>
      </c>
      <c r="N896" t="s">
        <v>234</v>
      </c>
      <c r="O896" t="s">
        <v>296</v>
      </c>
      <c r="P896">
        <v>5.3213268491292362E-4</v>
      </c>
      <c r="Q896" t="s">
        <v>159</v>
      </c>
    </row>
    <row r="897" spans="9:17" x14ac:dyDescent="0.45">
      <c r="I897" t="s">
        <v>191</v>
      </c>
      <c r="J897" t="s">
        <v>297</v>
      </c>
      <c r="K897">
        <v>8.3793259860301102E-4</v>
      </c>
      <c r="L897" t="s">
        <v>159</v>
      </c>
      <c r="N897" t="s">
        <v>234</v>
      </c>
      <c r="O897" t="s">
        <v>297</v>
      </c>
      <c r="P897">
        <v>6.9700249551975788E-4</v>
      </c>
      <c r="Q897" t="s">
        <v>159</v>
      </c>
    </row>
    <row r="898" spans="9:17" x14ac:dyDescent="0.45">
      <c r="I898" t="s">
        <v>191</v>
      </c>
      <c r="J898" t="s">
        <v>311</v>
      </c>
      <c r="K898">
        <v>0</v>
      </c>
      <c r="L898" t="s">
        <v>159</v>
      </c>
      <c r="N898" t="s">
        <v>234</v>
      </c>
      <c r="O898" t="s">
        <v>311</v>
      </c>
      <c r="P898">
        <v>5.6390597549578828E-3</v>
      </c>
      <c r="Q898" t="s">
        <v>159</v>
      </c>
    </row>
    <row r="899" spans="9:17" x14ac:dyDescent="0.45">
      <c r="I899" t="s">
        <v>191</v>
      </c>
      <c r="J899" t="s">
        <v>298</v>
      </c>
      <c r="K899">
        <v>4.1026667643317234E-3</v>
      </c>
      <c r="L899" t="s">
        <v>159</v>
      </c>
      <c r="N899" t="s">
        <v>234</v>
      </c>
      <c r="O899" t="s">
        <v>298</v>
      </c>
      <c r="P899">
        <v>0.12496547047407544</v>
      </c>
      <c r="Q899" t="s">
        <v>159</v>
      </c>
    </row>
    <row r="900" spans="9:17" x14ac:dyDescent="0.45">
      <c r="I900" t="s">
        <v>191</v>
      </c>
      <c r="J900" t="s">
        <v>299</v>
      </c>
      <c r="K900">
        <v>1.5277838858587009E-2</v>
      </c>
      <c r="L900" t="s">
        <v>159</v>
      </c>
      <c r="N900" t="s">
        <v>234</v>
      </c>
      <c r="O900" t="s">
        <v>299</v>
      </c>
      <c r="P900">
        <v>1.0627824353293356E-2</v>
      </c>
      <c r="Q900" t="s">
        <v>159</v>
      </c>
    </row>
    <row r="901" spans="9:17" x14ac:dyDescent="0.45">
      <c r="I901" t="s">
        <v>191</v>
      </c>
      <c r="J901" t="s">
        <v>300</v>
      </c>
      <c r="K901">
        <v>0.24404159707161677</v>
      </c>
      <c r="L901" t="s">
        <v>159</v>
      </c>
      <c r="N901" t="s">
        <v>234</v>
      </c>
      <c r="O901" t="s">
        <v>300</v>
      </c>
      <c r="P901">
        <v>0.12911880279894195</v>
      </c>
      <c r="Q901" t="s">
        <v>159</v>
      </c>
    </row>
    <row r="902" spans="9:17" x14ac:dyDescent="0.45">
      <c r="I902" t="s">
        <v>191</v>
      </c>
      <c r="J902" t="s">
        <v>301</v>
      </c>
      <c r="K902">
        <v>2.0260118665928219E-2</v>
      </c>
      <c r="L902" t="s">
        <v>159</v>
      </c>
      <c r="N902" t="s">
        <v>234</v>
      </c>
      <c r="O902" t="s">
        <v>301</v>
      </c>
      <c r="P902">
        <v>1.6010843630431395E-2</v>
      </c>
      <c r="Q902" t="s">
        <v>159</v>
      </c>
    </row>
    <row r="903" spans="9:17" x14ac:dyDescent="0.45">
      <c r="I903" t="s">
        <v>191</v>
      </c>
      <c r="J903" t="s">
        <v>302</v>
      </c>
      <c r="K903">
        <v>1.294070941906875E-2</v>
      </c>
      <c r="L903" t="s">
        <v>159</v>
      </c>
      <c r="N903" t="s">
        <v>234</v>
      </c>
      <c r="O903" t="s">
        <v>302</v>
      </c>
      <c r="P903">
        <v>1.4410627775870545E-2</v>
      </c>
      <c r="Q903" t="s">
        <v>159</v>
      </c>
    </row>
    <row r="904" spans="9:17" x14ac:dyDescent="0.45">
      <c r="I904" t="s">
        <v>191</v>
      </c>
      <c r="J904" t="s">
        <v>312</v>
      </c>
      <c r="K904">
        <v>0</v>
      </c>
      <c r="L904" t="s">
        <v>159</v>
      </c>
      <c r="N904" t="s">
        <v>234</v>
      </c>
      <c r="O904" t="s">
        <v>312</v>
      </c>
      <c r="P904">
        <v>0.10882423791669278</v>
      </c>
      <c r="Q904" t="s">
        <v>159</v>
      </c>
    </row>
    <row r="905" spans="9:17" x14ac:dyDescent="0.45">
      <c r="I905" t="s">
        <v>191</v>
      </c>
      <c r="J905" t="s">
        <v>313</v>
      </c>
      <c r="K905">
        <v>2.1746295722733394E-3</v>
      </c>
      <c r="L905" t="s">
        <v>159</v>
      </c>
      <c r="N905" t="s">
        <v>234</v>
      </c>
      <c r="O905" t="s">
        <v>313</v>
      </c>
      <c r="P905">
        <v>1.4348310259305412E-2</v>
      </c>
      <c r="Q905" t="s">
        <v>159</v>
      </c>
    </row>
    <row r="906" spans="9:17" x14ac:dyDescent="0.45">
      <c r="I906" t="s">
        <v>191</v>
      </c>
      <c r="J906" t="s">
        <v>314</v>
      </c>
      <c r="K906">
        <v>3.9487113168809908E-3</v>
      </c>
      <c r="L906" t="s">
        <v>159</v>
      </c>
      <c r="N906" t="s">
        <v>234</v>
      </c>
      <c r="O906" t="s">
        <v>314</v>
      </c>
      <c r="P906">
        <v>1.697086702077069E-3</v>
      </c>
      <c r="Q906" t="s">
        <v>159</v>
      </c>
    </row>
    <row r="907" spans="9:17" x14ac:dyDescent="0.45">
      <c r="I907" t="s">
        <v>191</v>
      </c>
      <c r="J907" t="s">
        <v>315</v>
      </c>
      <c r="K907">
        <v>6.2473400297621905E-2</v>
      </c>
      <c r="L907" t="s">
        <v>159</v>
      </c>
      <c r="N907" t="s">
        <v>234</v>
      </c>
      <c r="O907" t="s">
        <v>315</v>
      </c>
      <c r="P907">
        <v>1.8643688847177518E-2</v>
      </c>
      <c r="Q907" t="s">
        <v>159</v>
      </c>
    </row>
    <row r="908" spans="9:17" x14ac:dyDescent="0.45">
      <c r="I908" t="s">
        <v>191</v>
      </c>
      <c r="J908" t="s">
        <v>316</v>
      </c>
      <c r="K908">
        <v>5.4336729617707599E-3</v>
      </c>
      <c r="L908" t="s">
        <v>159</v>
      </c>
      <c r="N908" t="s">
        <v>234</v>
      </c>
      <c r="O908" t="s">
        <v>316</v>
      </c>
      <c r="P908">
        <v>1.9932579728489117E-3</v>
      </c>
      <c r="Q908" t="s">
        <v>159</v>
      </c>
    </row>
    <row r="909" spans="9:17" x14ac:dyDescent="0.45">
      <c r="I909" t="s">
        <v>191</v>
      </c>
      <c r="J909" t="s">
        <v>317</v>
      </c>
      <c r="K909">
        <v>3.963306366081912E-3</v>
      </c>
      <c r="L909" t="s">
        <v>159</v>
      </c>
      <c r="N909" t="s">
        <v>234</v>
      </c>
      <c r="O909" t="s">
        <v>317</v>
      </c>
      <c r="P909">
        <v>2.0170520410960945E-3</v>
      </c>
      <c r="Q909" t="s">
        <v>159</v>
      </c>
    </row>
    <row r="910" spans="9:17" x14ac:dyDescent="0.45">
      <c r="I910" t="s">
        <v>191</v>
      </c>
      <c r="J910" t="s">
        <v>318</v>
      </c>
      <c r="K910">
        <v>2.0611518096120859E-3</v>
      </c>
      <c r="L910" t="s">
        <v>159</v>
      </c>
      <c r="N910" t="s">
        <v>234</v>
      </c>
      <c r="O910" t="s">
        <v>318</v>
      </c>
      <c r="P910">
        <v>1.5579995846954037E-2</v>
      </c>
      <c r="Q910" t="s">
        <v>159</v>
      </c>
    </row>
    <row r="911" spans="9:17" x14ac:dyDescent="0.45">
      <c r="I911" t="s">
        <v>192</v>
      </c>
      <c r="J911" t="s">
        <v>158</v>
      </c>
      <c r="K911">
        <v>1.1309490066213159E-3</v>
      </c>
      <c r="L911" t="s">
        <v>159</v>
      </c>
      <c r="N911" t="s">
        <v>235</v>
      </c>
      <c r="O911" t="s">
        <v>158</v>
      </c>
      <c r="P911">
        <v>0.1326078406128211</v>
      </c>
      <c r="Q911" t="s">
        <v>159</v>
      </c>
    </row>
    <row r="912" spans="9:17" x14ac:dyDescent="0.45">
      <c r="I912" t="s">
        <v>192</v>
      </c>
      <c r="J912" t="s">
        <v>160</v>
      </c>
      <c r="K912">
        <v>1.3586395728548712E-2</v>
      </c>
      <c r="L912" t="s">
        <v>159</v>
      </c>
      <c r="N912" t="s">
        <v>235</v>
      </c>
      <c r="O912" t="s">
        <v>160</v>
      </c>
      <c r="P912">
        <v>1.0870700320974307E-2</v>
      </c>
      <c r="Q912" t="s">
        <v>159</v>
      </c>
    </row>
    <row r="913" spans="9:17" x14ac:dyDescent="0.45">
      <c r="I913" t="s">
        <v>192</v>
      </c>
      <c r="J913" t="s">
        <v>161</v>
      </c>
      <c r="K913">
        <v>0.39508079238605803</v>
      </c>
      <c r="L913" t="s">
        <v>159</v>
      </c>
      <c r="N913" t="s">
        <v>235</v>
      </c>
      <c r="O913" t="s">
        <v>161</v>
      </c>
      <c r="P913">
        <v>8.1288462257306598E-2</v>
      </c>
      <c r="Q913" t="s">
        <v>159</v>
      </c>
    </row>
    <row r="914" spans="9:17" x14ac:dyDescent="0.45">
      <c r="I914" t="s">
        <v>192</v>
      </c>
      <c r="J914" t="s">
        <v>287</v>
      </c>
      <c r="K914">
        <v>3.2950645312313911E-2</v>
      </c>
      <c r="L914" t="s">
        <v>159</v>
      </c>
      <c r="N914" t="s">
        <v>235</v>
      </c>
      <c r="O914" t="s">
        <v>287</v>
      </c>
      <c r="P914">
        <v>1.1232622928014208E-2</v>
      </c>
      <c r="Q914" t="s">
        <v>159</v>
      </c>
    </row>
    <row r="915" spans="9:17" x14ac:dyDescent="0.45">
      <c r="I915" t="s">
        <v>192</v>
      </c>
      <c r="J915" t="s">
        <v>288</v>
      </c>
      <c r="K915">
        <v>1.6916284635490539E-2</v>
      </c>
      <c r="L915" t="s">
        <v>159</v>
      </c>
      <c r="N915" t="s">
        <v>235</v>
      </c>
      <c r="O915" t="s">
        <v>288</v>
      </c>
      <c r="P915">
        <v>1.4396412051200083E-2</v>
      </c>
      <c r="Q915" t="s">
        <v>159</v>
      </c>
    </row>
    <row r="916" spans="9:17" x14ac:dyDescent="0.45">
      <c r="I916" t="s">
        <v>192</v>
      </c>
      <c r="J916" t="s">
        <v>308</v>
      </c>
      <c r="K916">
        <v>5.7645492345875385E-3</v>
      </c>
      <c r="L916" t="s">
        <v>159</v>
      </c>
      <c r="N916" t="s">
        <v>235</v>
      </c>
      <c r="O916" t="s">
        <v>308</v>
      </c>
      <c r="P916">
        <v>0.12073586908366522</v>
      </c>
      <c r="Q916" t="s">
        <v>159</v>
      </c>
    </row>
    <row r="917" spans="9:17" x14ac:dyDescent="0.45">
      <c r="I917" t="s">
        <v>192</v>
      </c>
      <c r="J917" t="s">
        <v>162</v>
      </c>
      <c r="K917">
        <v>0</v>
      </c>
      <c r="L917" t="s">
        <v>159</v>
      </c>
      <c r="N917" t="s">
        <v>235</v>
      </c>
      <c r="O917" t="s">
        <v>162</v>
      </c>
      <c r="P917">
        <v>1.9235073131009032E-2</v>
      </c>
      <c r="Q917" t="s">
        <v>159</v>
      </c>
    </row>
    <row r="918" spans="9:17" x14ac:dyDescent="0.45">
      <c r="I918" t="s">
        <v>192</v>
      </c>
      <c r="J918" t="s">
        <v>163</v>
      </c>
      <c r="K918">
        <v>0</v>
      </c>
      <c r="L918" t="s">
        <v>159</v>
      </c>
      <c r="N918" t="s">
        <v>235</v>
      </c>
      <c r="O918" t="s">
        <v>163</v>
      </c>
      <c r="P918">
        <v>2.1868916872532897E-3</v>
      </c>
      <c r="Q918" t="s">
        <v>159</v>
      </c>
    </row>
    <row r="919" spans="9:17" x14ac:dyDescent="0.45">
      <c r="I919" t="s">
        <v>192</v>
      </c>
      <c r="J919" t="s">
        <v>164</v>
      </c>
      <c r="K919">
        <v>5.3235178675822711E-2</v>
      </c>
      <c r="L919" t="s">
        <v>159</v>
      </c>
      <c r="N919" t="s">
        <v>235</v>
      </c>
      <c r="O919" t="s">
        <v>164</v>
      </c>
      <c r="P919">
        <v>1.5234240464924076E-2</v>
      </c>
      <c r="Q919" t="s">
        <v>159</v>
      </c>
    </row>
    <row r="920" spans="9:17" x14ac:dyDescent="0.45">
      <c r="I920" t="s">
        <v>192</v>
      </c>
      <c r="J920" t="s">
        <v>289</v>
      </c>
      <c r="K920">
        <v>4.6627422510504054E-3</v>
      </c>
      <c r="L920" t="s">
        <v>159</v>
      </c>
      <c r="N920" t="s">
        <v>235</v>
      </c>
      <c r="O920" t="s">
        <v>289</v>
      </c>
      <c r="P920">
        <v>1.8798798883703984E-3</v>
      </c>
      <c r="Q920" t="s">
        <v>159</v>
      </c>
    </row>
    <row r="921" spans="9:17" x14ac:dyDescent="0.45">
      <c r="I921" t="s">
        <v>192</v>
      </c>
      <c r="J921" t="s">
        <v>290</v>
      </c>
      <c r="K921">
        <v>0</v>
      </c>
      <c r="L921" t="s">
        <v>159</v>
      </c>
      <c r="N921" t="s">
        <v>235</v>
      </c>
      <c r="O921" t="s">
        <v>290</v>
      </c>
      <c r="P921">
        <v>2.8483809628935771E-3</v>
      </c>
      <c r="Q921" t="s">
        <v>159</v>
      </c>
    </row>
    <row r="922" spans="9:17" x14ac:dyDescent="0.45">
      <c r="I922" t="s">
        <v>192</v>
      </c>
      <c r="J922" t="s">
        <v>309</v>
      </c>
      <c r="K922">
        <v>0</v>
      </c>
      <c r="L922" t="s">
        <v>159</v>
      </c>
      <c r="N922" t="s">
        <v>235</v>
      </c>
      <c r="O922" t="s">
        <v>309</v>
      </c>
      <c r="P922">
        <v>1.9565021956636747E-2</v>
      </c>
      <c r="Q922" t="s">
        <v>159</v>
      </c>
    </row>
    <row r="923" spans="9:17" x14ac:dyDescent="0.45">
      <c r="I923" t="s">
        <v>192</v>
      </c>
      <c r="J923" t="s">
        <v>165</v>
      </c>
      <c r="K923">
        <v>0</v>
      </c>
      <c r="L923" t="s">
        <v>159</v>
      </c>
      <c r="N923" t="s">
        <v>235</v>
      </c>
      <c r="O923" t="s">
        <v>165</v>
      </c>
      <c r="P923">
        <v>3.1158786547792628E-2</v>
      </c>
      <c r="Q923" t="s">
        <v>159</v>
      </c>
    </row>
    <row r="924" spans="9:17" x14ac:dyDescent="0.45">
      <c r="I924" t="s">
        <v>192</v>
      </c>
      <c r="J924" t="s">
        <v>166</v>
      </c>
      <c r="K924">
        <v>1.6045822243098085E-5</v>
      </c>
      <c r="L924" t="s">
        <v>159</v>
      </c>
      <c r="N924" t="s">
        <v>235</v>
      </c>
      <c r="O924" t="s">
        <v>166</v>
      </c>
      <c r="P924">
        <v>2.8756431517326896E-3</v>
      </c>
      <c r="Q924" t="s">
        <v>159</v>
      </c>
    </row>
    <row r="925" spans="9:17" x14ac:dyDescent="0.45">
      <c r="I925" t="s">
        <v>192</v>
      </c>
      <c r="J925" t="s">
        <v>167</v>
      </c>
      <c r="K925">
        <v>6.6069818081619269E-2</v>
      </c>
      <c r="L925" t="s">
        <v>159</v>
      </c>
      <c r="N925" t="s">
        <v>235</v>
      </c>
      <c r="O925" t="s">
        <v>167</v>
      </c>
      <c r="P925">
        <v>1.9918086798726465E-2</v>
      </c>
      <c r="Q925" t="s">
        <v>159</v>
      </c>
    </row>
    <row r="926" spans="9:17" x14ac:dyDescent="0.45">
      <c r="I926" t="s">
        <v>192</v>
      </c>
      <c r="J926" t="s">
        <v>291</v>
      </c>
      <c r="K926">
        <v>6.1058487624247038E-3</v>
      </c>
      <c r="L926" t="s">
        <v>159</v>
      </c>
      <c r="N926" t="s">
        <v>235</v>
      </c>
      <c r="O926" t="s">
        <v>291</v>
      </c>
      <c r="P926">
        <v>2.4489737165785219E-3</v>
      </c>
      <c r="Q926" t="s">
        <v>159</v>
      </c>
    </row>
    <row r="927" spans="9:17" x14ac:dyDescent="0.45">
      <c r="I927" t="s">
        <v>192</v>
      </c>
      <c r="J927" t="s">
        <v>292</v>
      </c>
      <c r="K927">
        <v>2.2817108839325749E-3</v>
      </c>
      <c r="L927" t="s">
        <v>159</v>
      </c>
      <c r="N927" t="s">
        <v>235</v>
      </c>
      <c r="O927" t="s">
        <v>292</v>
      </c>
      <c r="P927">
        <v>3.4033394769569071E-3</v>
      </c>
      <c r="Q927" t="s">
        <v>159</v>
      </c>
    </row>
    <row r="928" spans="9:17" x14ac:dyDescent="0.45">
      <c r="I928" t="s">
        <v>192</v>
      </c>
      <c r="J928" t="s">
        <v>310</v>
      </c>
      <c r="K928">
        <v>0</v>
      </c>
      <c r="L928" t="s">
        <v>159</v>
      </c>
      <c r="N928" t="s">
        <v>235</v>
      </c>
      <c r="O928" t="s">
        <v>310</v>
      </c>
      <c r="P928">
        <v>2.7822738766953497E-2</v>
      </c>
      <c r="Q928" t="s">
        <v>159</v>
      </c>
    </row>
    <row r="929" spans="9:17" x14ac:dyDescent="0.45">
      <c r="I929" t="s">
        <v>192</v>
      </c>
      <c r="J929" t="s">
        <v>293</v>
      </c>
      <c r="K929">
        <v>0</v>
      </c>
      <c r="L929" t="s">
        <v>159</v>
      </c>
      <c r="N929" t="s">
        <v>235</v>
      </c>
      <c r="O929" t="s">
        <v>293</v>
      </c>
      <c r="P929">
        <v>7.4806330501484023E-3</v>
      </c>
      <c r="Q929" t="s">
        <v>159</v>
      </c>
    </row>
    <row r="930" spans="9:17" x14ac:dyDescent="0.45">
      <c r="I930" t="s">
        <v>192</v>
      </c>
      <c r="J930" t="s">
        <v>294</v>
      </c>
      <c r="K930">
        <v>6.1502897593627992E-4</v>
      </c>
      <c r="L930" t="s">
        <v>159</v>
      </c>
      <c r="N930" t="s">
        <v>235</v>
      </c>
      <c r="O930" t="s">
        <v>294</v>
      </c>
      <c r="P930">
        <v>8.6623118109172828E-4</v>
      </c>
      <c r="Q930" t="s">
        <v>159</v>
      </c>
    </row>
    <row r="931" spans="9:17" x14ac:dyDescent="0.45">
      <c r="I931" t="s">
        <v>192</v>
      </c>
      <c r="J931" t="s">
        <v>295</v>
      </c>
      <c r="K931">
        <v>1.6252536988279581E-2</v>
      </c>
      <c r="L931" t="s">
        <v>159</v>
      </c>
      <c r="N931" t="s">
        <v>235</v>
      </c>
      <c r="O931" t="s">
        <v>295</v>
      </c>
      <c r="P931">
        <v>5.042655195272432E-3</v>
      </c>
      <c r="Q931" t="s">
        <v>159</v>
      </c>
    </row>
    <row r="932" spans="9:17" x14ac:dyDescent="0.45">
      <c r="I932" t="s">
        <v>192</v>
      </c>
      <c r="J932" t="s">
        <v>296</v>
      </c>
      <c r="K932">
        <v>1.3406619437352117E-3</v>
      </c>
      <c r="L932" t="s">
        <v>159</v>
      </c>
      <c r="N932" t="s">
        <v>235</v>
      </c>
      <c r="O932" t="s">
        <v>296</v>
      </c>
      <c r="P932">
        <v>7.2289560465203741E-4</v>
      </c>
      <c r="Q932" t="s">
        <v>159</v>
      </c>
    </row>
    <row r="933" spans="9:17" x14ac:dyDescent="0.45">
      <c r="I933" t="s">
        <v>192</v>
      </c>
      <c r="J933" t="s">
        <v>297</v>
      </c>
      <c r="K933">
        <v>9.2775600693888053E-4</v>
      </c>
      <c r="L933" t="s">
        <v>159</v>
      </c>
      <c r="N933" t="s">
        <v>235</v>
      </c>
      <c r="O933" t="s">
        <v>297</v>
      </c>
      <c r="P933">
        <v>1.1563585353766767E-3</v>
      </c>
      <c r="Q933" t="s">
        <v>159</v>
      </c>
    </row>
    <row r="934" spans="9:17" x14ac:dyDescent="0.45">
      <c r="I934" t="s">
        <v>192</v>
      </c>
      <c r="J934" t="s">
        <v>311</v>
      </c>
      <c r="K934">
        <v>0</v>
      </c>
      <c r="L934" t="s">
        <v>159</v>
      </c>
      <c r="N934" t="s">
        <v>235</v>
      </c>
      <c r="O934" t="s">
        <v>311</v>
      </c>
      <c r="P934">
        <v>7.1497075275367104E-3</v>
      </c>
      <c r="Q934" t="s">
        <v>159</v>
      </c>
    </row>
    <row r="935" spans="9:17" x14ac:dyDescent="0.45">
      <c r="I935" t="s">
        <v>192</v>
      </c>
      <c r="J935" t="s">
        <v>298</v>
      </c>
      <c r="K935">
        <v>3.3290064659438415E-3</v>
      </c>
      <c r="L935" t="s">
        <v>159</v>
      </c>
      <c r="N935" t="s">
        <v>235</v>
      </c>
      <c r="O935" t="s">
        <v>298</v>
      </c>
      <c r="P935">
        <v>0.12792271722666365</v>
      </c>
      <c r="Q935" t="s">
        <v>159</v>
      </c>
    </row>
    <row r="936" spans="9:17" x14ac:dyDescent="0.45">
      <c r="I936" t="s">
        <v>192</v>
      </c>
      <c r="J936" t="s">
        <v>299</v>
      </c>
      <c r="K936">
        <v>1.5379327550477761E-2</v>
      </c>
      <c r="L936" t="s">
        <v>159</v>
      </c>
      <c r="N936" t="s">
        <v>235</v>
      </c>
      <c r="O936" t="s">
        <v>299</v>
      </c>
      <c r="P936">
        <v>1.0727785643845765E-2</v>
      </c>
      <c r="Q936" t="s">
        <v>159</v>
      </c>
    </row>
    <row r="937" spans="9:17" x14ac:dyDescent="0.45">
      <c r="I937" t="s">
        <v>192</v>
      </c>
      <c r="J937" t="s">
        <v>300</v>
      </c>
      <c r="K937">
        <v>0.24915117467545145</v>
      </c>
      <c r="L937" t="s">
        <v>159</v>
      </c>
      <c r="N937" t="s">
        <v>235</v>
      </c>
      <c r="O937" t="s">
        <v>300</v>
      </c>
      <c r="P937">
        <v>0.10132022483294133</v>
      </c>
      <c r="Q937" t="s">
        <v>159</v>
      </c>
    </row>
    <row r="938" spans="9:17" x14ac:dyDescent="0.45">
      <c r="I938" t="s">
        <v>192</v>
      </c>
      <c r="J938" t="s">
        <v>301</v>
      </c>
      <c r="K938">
        <v>1.9614141008493884E-2</v>
      </c>
      <c r="L938" t="s">
        <v>159</v>
      </c>
      <c r="N938" t="s">
        <v>235</v>
      </c>
      <c r="O938" t="s">
        <v>301</v>
      </c>
      <c r="P938">
        <v>1.2732055999058441E-2</v>
      </c>
      <c r="Q938" t="s">
        <v>159</v>
      </c>
    </row>
    <row r="939" spans="9:17" x14ac:dyDescent="0.45">
      <c r="I939" t="s">
        <v>192</v>
      </c>
      <c r="J939" t="s">
        <v>302</v>
      </c>
      <c r="K939">
        <v>1.2340956780972129E-2</v>
      </c>
      <c r="L939" t="s">
        <v>159</v>
      </c>
      <c r="N939" t="s">
        <v>235</v>
      </c>
      <c r="O939" t="s">
        <v>302</v>
      </c>
      <c r="P939">
        <v>1.4666690775025451E-2</v>
      </c>
      <c r="Q939" t="s">
        <v>159</v>
      </c>
    </row>
    <row r="940" spans="9:17" x14ac:dyDescent="0.45">
      <c r="I940" t="s">
        <v>192</v>
      </c>
      <c r="J940" t="s">
        <v>312</v>
      </c>
      <c r="K940">
        <v>1.272488656464159E-4</v>
      </c>
      <c r="L940" t="s">
        <v>159</v>
      </c>
      <c r="N940" t="s">
        <v>235</v>
      </c>
      <c r="O940" t="s">
        <v>312</v>
      </c>
      <c r="P940">
        <v>0.13292605395119431</v>
      </c>
      <c r="Q940" t="s">
        <v>159</v>
      </c>
    </row>
    <row r="941" spans="9:17" x14ac:dyDescent="0.45">
      <c r="I941" t="s">
        <v>192</v>
      </c>
      <c r="J941" t="s">
        <v>313</v>
      </c>
      <c r="K941">
        <v>1.2825793429889496E-3</v>
      </c>
      <c r="L941" t="s">
        <v>159</v>
      </c>
      <c r="N941" t="s">
        <v>235</v>
      </c>
      <c r="O941" t="s">
        <v>313</v>
      </c>
      <c r="P941">
        <v>1.6785989229085065E-2</v>
      </c>
      <c r="Q941" t="s">
        <v>159</v>
      </c>
    </row>
    <row r="942" spans="9:17" x14ac:dyDescent="0.45">
      <c r="I942" t="s">
        <v>192</v>
      </c>
      <c r="J942" t="s">
        <v>314</v>
      </c>
      <c r="K942">
        <v>2.929892026878214E-3</v>
      </c>
      <c r="L942" t="s">
        <v>159</v>
      </c>
      <c r="N942" t="s">
        <v>235</v>
      </c>
      <c r="O942" t="s">
        <v>314</v>
      </c>
      <c r="P942">
        <v>1.4862006036011814E-3</v>
      </c>
      <c r="Q942" t="s">
        <v>159</v>
      </c>
    </row>
    <row r="943" spans="9:17" x14ac:dyDescent="0.45">
      <c r="I943" t="s">
        <v>192</v>
      </c>
      <c r="J943" t="s">
        <v>315</v>
      </c>
      <c r="K943">
        <v>6.7906249123800416E-2</v>
      </c>
      <c r="L943" t="s">
        <v>159</v>
      </c>
      <c r="N943" t="s">
        <v>235</v>
      </c>
      <c r="O943" t="s">
        <v>315</v>
      </c>
      <c r="P943">
        <v>1.3825311776716831E-2</v>
      </c>
      <c r="Q943" t="s">
        <v>159</v>
      </c>
    </row>
    <row r="944" spans="9:17" x14ac:dyDescent="0.45">
      <c r="I944" t="s">
        <v>192</v>
      </c>
      <c r="J944" t="s">
        <v>316</v>
      </c>
      <c r="K944">
        <v>5.3631559849193107E-3</v>
      </c>
      <c r="L944" t="s">
        <v>159</v>
      </c>
      <c r="N944" t="s">
        <v>235</v>
      </c>
      <c r="O944" t="s">
        <v>316</v>
      </c>
      <c r="P944">
        <v>1.5306893441850886E-3</v>
      </c>
      <c r="Q944" t="s">
        <v>159</v>
      </c>
    </row>
    <row r="945" spans="9:17" x14ac:dyDescent="0.45">
      <c r="I945" t="s">
        <v>192</v>
      </c>
      <c r="J945" t="s">
        <v>317</v>
      </c>
      <c r="K945">
        <v>3.6428234933291144E-3</v>
      </c>
      <c r="L945" t="s">
        <v>159</v>
      </c>
      <c r="N945" t="s">
        <v>235</v>
      </c>
      <c r="O945" t="s">
        <v>317</v>
      </c>
      <c r="P945">
        <v>1.8145424635611135E-3</v>
      </c>
      <c r="Q945" t="s">
        <v>159</v>
      </c>
    </row>
    <row r="946" spans="9:17" x14ac:dyDescent="0.45">
      <c r="I946" t="s">
        <v>192</v>
      </c>
      <c r="J946" t="s">
        <v>318</v>
      </c>
      <c r="K946">
        <v>1.9964999854983618E-3</v>
      </c>
      <c r="L946" t="s">
        <v>159</v>
      </c>
      <c r="N946" t="s">
        <v>235</v>
      </c>
      <c r="O946" t="s">
        <v>318</v>
      </c>
      <c r="P946">
        <v>2.2134293256234516E-2</v>
      </c>
      <c r="Q946" t="s">
        <v>159</v>
      </c>
    </row>
    <row r="947" spans="9:17" x14ac:dyDescent="0.45">
      <c r="I947" t="s">
        <v>193</v>
      </c>
      <c r="J947" t="s">
        <v>158</v>
      </c>
      <c r="K947">
        <v>1.2936960361094331E-3</v>
      </c>
      <c r="L947" t="s">
        <v>159</v>
      </c>
      <c r="N947" t="s">
        <v>236</v>
      </c>
      <c r="O947" t="s">
        <v>158</v>
      </c>
      <c r="P947">
        <v>0.15468801962414036</v>
      </c>
      <c r="Q947" t="s">
        <v>159</v>
      </c>
    </row>
    <row r="948" spans="9:17" x14ac:dyDescent="0.45">
      <c r="I948" t="s">
        <v>193</v>
      </c>
      <c r="J948" t="s">
        <v>160</v>
      </c>
      <c r="K948">
        <v>1.3208654229961644E-2</v>
      </c>
      <c r="L948" t="s">
        <v>159</v>
      </c>
      <c r="N948" t="s">
        <v>236</v>
      </c>
      <c r="O948" t="s">
        <v>160</v>
      </c>
      <c r="P948">
        <v>1.5734126223256883E-2</v>
      </c>
      <c r="Q948" t="s">
        <v>159</v>
      </c>
    </row>
    <row r="949" spans="9:17" x14ac:dyDescent="0.45">
      <c r="I949" t="s">
        <v>193</v>
      </c>
      <c r="J949" t="s">
        <v>161</v>
      </c>
      <c r="K949">
        <v>0.39360743575678847</v>
      </c>
      <c r="L949" t="s">
        <v>159</v>
      </c>
      <c r="N949" t="s">
        <v>236</v>
      </c>
      <c r="O949" t="s">
        <v>161</v>
      </c>
      <c r="P949">
        <v>9.6458316037992806E-2</v>
      </c>
      <c r="Q949" t="s">
        <v>159</v>
      </c>
    </row>
    <row r="950" spans="9:17" x14ac:dyDescent="0.45">
      <c r="I950" t="s">
        <v>193</v>
      </c>
      <c r="J950" t="s">
        <v>287</v>
      </c>
      <c r="K950">
        <v>3.3810413316670826E-2</v>
      </c>
      <c r="L950" t="s">
        <v>159</v>
      </c>
      <c r="N950" t="s">
        <v>236</v>
      </c>
      <c r="O950" t="s">
        <v>287</v>
      </c>
      <c r="P950">
        <v>1.0289726442237513E-2</v>
      </c>
      <c r="Q950" t="s">
        <v>159</v>
      </c>
    </row>
    <row r="951" spans="9:17" x14ac:dyDescent="0.45">
      <c r="I951" t="s">
        <v>193</v>
      </c>
      <c r="J951" t="s">
        <v>288</v>
      </c>
      <c r="K951">
        <v>1.6354144660437095E-2</v>
      </c>
      <c r="L951" t="s">
        <v>159</v>
      </c>
      <c r="N951" t="s">
        <v>236</v>
      </c>
      <c r="O951" t="s">
        <v>288</v>
      </c>
      <c r="P951">
        <v>1.065496195164249E-2</v>
      </c>
      <c r="Q951" t="s">
        <v>159</v>
      </c>
    </row>
    <row r="952" spans="9:17" x14ac:dyDescent="0.45">
      <c r="I952" t="s">
        <v>193</v>
      </c>
      <c r="J952" t="s">
        <v>308</v>
      </c>
      <c r="K952">
        <v>5.4945931858881485E-3</v>
      </c>
      <c r="L952" t="s">
        <v>159</v>
      </c>
      <c r="N952" t="s">
        <v>236</v>
      </c>
      <c r="O952" t="s">
        <v>308</v>
      </c>
      <c r="P952">
        <v>9.6982739946183005E-2</v>
      </c>
      <c r="Q952" t="s">
        <v>159</v>
      </c>
    </row>
    <row r="953" spans="9:17" x14ac:dyDescent="0.45">
      <c r="I953" t="s">
        <v>193</v>
      </c>
      <c r="J953" t="s">
        <v>162</v>
      </c>
      <c r="K953">
        <v>0</v>
      </c>
      <c r="L953" t="s">
        <v>159</v>
      </c>
      <c r="N953" t="s">
        <v>236</v>
      </c>
      <c r="O953" t="s">
        <v>162</v>
      </c>
      <c r="P953">
        <v>3.2603837015423458E-2</v>
      </c>
      <c r="Q953" t="s">
        <v>159</v>
      </c>
    </row>
    <row r="954" spans="9:17" x14ac:dyDescent="0.45">
      <c r="I954" t="s">
        <v>193</v>
      </c>
      <c r="J954" t="s">
        <v>163</v>
      </c>
      <c r="K954">
        <v>0</v>
      </c>
      <c r="L954" t="s">
        <v>159</v>
      </c>
      <c r="N954" t="s">
        <v>236</v>
      </c>
      <c r="O954" t="s">
        <v>163</v>
      </c>
      <c r="P954">
        <v>3.7491498655166803E-3</v>
      </c>
      <c r="Q954" t="s">
        <v>159</v>
      </c>
    </row>
    <row r="955" spans="9:17" x14ac:dyDescent="0.45">
      <c r="I955" t="s">
        <v>193</v>
      </c>
      <c r="J955" t="s">
        <v>164</v>
      </c>
      <c r="K955">
        <v>5.1016338054804905E-2</v>
      </c>
      <c r="L955" t="s">
        <v>159</v>
      </c>
      <c r="N955" t="s">
        <v>236</v>
      </c>
      <c r="O955" t="s">
        <v>164</v>
      </c>
      <c r="P955">
        <v>2.4302411064730939E-2</v>
      </c>
      <c r="Q955" t="s">
        <v>159</v>
      </c>
    </row>
    <row r="956" spans="9:17" x14ac:dyDescent="0.45">
      <c r="I956" t="s">
        <v>193</v>
      </c>
      <c r="J956" t="s">
        <v>289</v>
      </c>
      <c r="K956">
        <v>4.5909496128722195E-3</v>
      </c>
      <c r="L956" t="s">
        <v>159</v>
      </c>
      <c r="N956" t="s">
        <v>236</v>
      </c>
      <c r="O956" t="s">
        <v>289</v>
      </c>
      <c r="P956">
        <v>2.1483530656758077E-3</v>
      </c>
      <c r="Q956" t="s">
        <v>159</v>
      </c>
    </row>
    <row r="957" spans="9:17" x14ac:dyDescent="0.45">
      <c r="I957" t="s">
        <v>193</v>
      </c>
      <c r="J957" t="s">
        <v>290</v>
      </c>
      <c r="K957">
        <v>0</v>
      </c>
      <c r="L957" t="s">
        <v>159</v>
      </c>
      <c r="N957" t="s">
        <v>236</v>
      </c>
      <c r="O957" t="s">
        <v>290</v>
      </c>
      <c r="P957">
        <v>2.4352324310206062E-3</v>
      </c>
      <c r="Q957" t="s">
        <v>159</v>
      </c>
    </row>
    <row r="958" spans="9:17" x14ac:dyDescent="0.45">
      <c r="I958" t="s">
        <v>193</v>
      </c>
      <c r="J958" t="s">
        <v>309</v>
      </c>
      <c r="K958">
        <v>0</v>
      </c>
      <c r="L958" t="s">
        <v>159</v>
      </c>
      <c r="N958" t="s">
        <v>236</v>
      </c>
      <c r="O958" t="s">
        <v>309</v>
      </c>
      <c r="P958">
        <v>1.8566930716711727E-2</v>
      </c>
      <c r="Q958" t="s">
        <v>159</v>
      </c>
    </row>
    <row r="959" spans="9:17" x14ac:dyDescent="0.45">
      <c r="I959" t="s">
        <v>193</v>
      </c>
      <c r="J959" t="s">
        <v>165</v>
      </c>
      <c r="K959">
        <v>0</v>
      </c>
      <c r="L959" t="s">
        <v>159</v>
      </c>
      <c r="N959" t="s">
        <v>236</v>
      </c>
      <c r="O959" t="s">
        <v>165</v>
      </c>
      <c r="P959">
        <v>2.8214319801859341E-2</v>
      </c>
      <c r="Q959" t="s">
        <v>159</v>
      </c>
    </row>
    <row r="960" spans="9:17" x14ac:dyDescent="0.45">
      <c r="I960" t="s">
        <v>193</v>
      </c>
      <c r="J960" t="s">
        <v>166</v>
      </c>
      <c r="K960">
        <v>0</v>
      </c>
      <c r="L960" t="s">
        <v>159</v>
      </c>
      <c r="N960" t="s">
        <v>236</v>
      </c>
      <c r="O960" t="s">
        <v>166</v>
      </c>
      <c r="P960">
        <v>2.7272099284239831E-3</v>
      </c>
      <c r="Q960" t="s">
        <v>159</v>
      </c>
    </row>
    <row r="961" spans="9:17" x14ac:dyDescent="0.45">
      <c r="I961" t="s">
        <v>193</v>
      </c>
      <c r="J961" t="s">
        <v>167</v>
      </c>
      <c r="K961">
        <v>6.6318732587614587E-2</v>
      </c>
      <c r="L961" t="s">
        <v>159</v>
      </c>
      <c r="N961" t="s">
        <v>236</v>
      </c>
      <c r="O961" t="s">
        <v>167</v>
      </c>
      <c r="P961">
        <v>2.1726135560412713E-2</v>
      </c>
      <c r="Q961" t="s">
        <v>159</v>
      </c>
    </row>
    <row r="962" spans="9:17" x14ac:dyDescent="0.45">
      <c r="I962" t="s">
        <v>193</v>
      </c>
      <c r="J962" t="s">
        <v>291</v>
      </c>
      <c r="K962">
        <v>6.2588466980737284E-3</v>
      </c>
      <c r="L962" t="s">
        <v>159</v>
      </c>
      <c r="N962" t="s">
        <v>236</v>
      </c>
      <c r="O962" t="s">
        <v>291</v>
      </c>
      <c r="P962">
        <v>2.9176224637318835E-3</v>
      </c>
      <c r="Q962" t="s">
        <v>159</v>
      </c>
    </row>
    <row r="963" spans="9:17" x14ac:dyDescent="0.45">
      <c r="I963" t="s">
        <v>193</v>
      </c>
      <c r="J963" t="s">
        <v>292</v>
      </c>
      <c r="K963">
        <v>1.4366884213270741E-3</v>
      </c>
      <c r="L963" t="s">
        <v>159</v>
      </c>
      <c r="N963" t="s">
        <v>236</v>
      </c>
      <c r="O963" t="s">
        <v>292</v>
      </c>
      <c r="P963">
        <v>2.8234721171852225E-3</v>
      </c>
      <c r="Q963" t="s">
        <v>159</v>
      </c>
    </row>
    <row r="964" spans="9:17" x14ac:dyDescent="0.45">
      <c r="I964" t="s">
        <v>193</v>
      </c>
      <c r="J964" t="s">
        <v>310</v>
      </c>
      <c r="K964">
        <v>0</v>
      </c>
      <c r="L964" t="s">
        <v>159</v>
      </c>
      <c r="N964" t="s">
        <v>236</v>
      </c>
      <c r="O964" t="s">
        <v>310</v>
      </c>
      <c r="P964">
        <v>1.6631555035629051E-2</v>
      </c>
      <c r="Q964" t="s">
        <v>159</v>
      </c>
    </row>
    <row r="965" spans="9:17" x14ac:dyDescent="0.45">
      <c r="I965" t="s">
        <v>193</v>
      </c>
      <c r="J965" t="s">
        <v>293</v>
      </c>
      <c r="K965">
        <v>0</v>
      </c>
      <c r="L965" t="s">
        <v>159</v>
      </c>
      <c r="N965" t="s">
        <v>236</v>
      </c>
      <c r="O965" t="s">
        <v>293</v>
      </c>
      <c r="P965">
        <v>1.2091259909278174E-2</v>
      </c>
      <c r="Q965" t="s">
        <v>159</v>
      </c>
    </row>
    <row r="966" spans="9:17" x14ac:dyDescent="0.45">
      <c r="I966" t="s">
        <v>193</v>
      </c>
      <c r="J966" t="s">
        <v>294</v>
      </c>
      <c r="K966">
        <v>6.3661239598668284E-4</v>
      </c>
      <c r="L966" t="s">
        <v>159</v>
      </c>
      <c r="N966" t="s">
        <v>236</v>
      </c>
      <c r="O966" t="s">
        <v>294</v>
      </c>
      <c r="P966">
        <v>1.1514072781211948E-3</v>
      </c>
      <c r="Q966" t="s">
        <v>159</v>
      </c>
    </row>
    <row r="967" spans="9:17" x14ac:dyDescent="0.45">
      <c r="I967" t="s">
        <v>193</v>
      </c>
      <c r="J967" t="s">
        <v>295</v>
      </c>
      <c r="K967">
        <v>1.6528109478034396E-2</v>
      </c>
      <c r="L967" t="s">
        <v>159</v>
      </c>
      <c r="N967" t="s">
        <v>236</v>
      </c>
      <c r="O967" t="s">
        <v>295</v>
      </c>
      <c r="P967">
        <v>5.7664269747955939E-3</v>
      </c>
      <c r="Q967" t="s">
        <v>159</v>
      </c>
    </row>
    <row r="968" spans="9:17" x14ac:dyDescent="0.45">
      <c r="I968" t="s">
        <v>193</v>
      </c>
      <c r="J968" t="s">
        <v>296</v>
      </c>
      <c r="K968">
        <v>1.374748187187678E-3</v>
      </c>
      <c r="L968" t="s">
        <v>159</v>
      </c>
      <c r="N968" t="s">
        <v>236</v>
      </c>
      <c r="O968" t="s">
        <v>296</v>
      </c>
      <c r="P968">
        <v>4.6752665837337785E-4</v>
      </c>
      <c r="Q968" t="s">
        <v>159</v>
      </c>
    </row>
    <row r="969" spans="9:17" x14ac:dyDescent="0.45">
      <c r="I969" t="s">
        <v>193</v>
      </c>
      <c r="J969" t="s">
        <v>297</v>
      </c>
      <c r="K969">
        <v>1.0845636279237202E-3</v>
      </c>
      <c r="L969" t="s">
        <v>159</v>
      </c>
      <c r="N969" t="s">
        <v>236</v>
      </c>
      <c r="O969" t="s">
        <v>297</v>
      </c>
      <c r="P969">
        <v>4.4589875879015052E-4</v>
      </c>
      <c r="Q969" t="s">
        <v>159</v>
      </c>
    </row>
    <row r="970" spans="9:17" x14ac:dyDescent="0.45">
      <c r="I970" t="s">
        <v>193</v>
      </c>
      <c r="J970" t="s">
        <v>311</v>
      </c>
      <c r="K970">
        <v>0</v>
      </c>
      <c r="L970" t="s">
        <v>159</v>
      </c>
      <c r="N970" t="s">
        <v>236</v>
      </c>
      <c r="O970" t="s">
        <v>311</v>
      </c>
      <c r="P970">
        <v>5.4861004463944178E-3</v>
      </c>
      <c r="Q970" t="s">
        <v>159</v>
      </c>
    </row>
    <row r="971" spans="9:17" x14ac:dyDescent="0.45">
      <c r="I971" t="s">
        <v>193</v>
      </c>
      <c r="J971" t="s">
        <v>298</v>
      </c>
      <c r="K971">
        <v>3.2589690389054457E-3</v>
      </c>
      <c r="L971" t="s">
        <v>159</v>
      </c>
      <c r="N971" t="s">
        <v>236</v>
      </c>
      <c r="O971" t="s">
        <v>298</v>
      </c>
      <c r="P971">
        <v>0.1280231485291255</v>
      </c>
      <c r="Q971" t="s">
        <v>159</v>
      </c>
    </row>
    <row r="972" spans="9:17" x14ac:dyDescent="0.45">
      <c r="I972" t="s">
        <v>193</v>
      </c>
      <c r="J972" t="s">
        <v>299</v>
      </c>
      <c r="K972">
        <v>1.4605544162721763E-2</v>
      </c>
      <c r="L972" t="s">
        <v>159</v>
      </c>
      <c r="N972" t="s">
        <v>236</v>
      </c>
      <c r="O972" t="s">
        <v>299</v>
      </c>
      <c r="P972">
        <v>1.2488301543256678E-2</v>
      </c>
      <c r="Q972" t="s">
        <v>159</v>
      </c>
    </row>
    <row r="973" spans="9:17" x14ac:dyDescent="0.45">
      <c r="I973" t="s">
        <v>193</v>
      </c>
      <c r="J973" t="s">
        <v>300</v>
      </c>
      <c r="K973">
        <v>0.24777001907828478</v>
      </c>
      <c r="L973" t="s">
        <v>159</v>
      </c>
      <c r="N973" t="s">
        <v>236</v>
      </c>
      <c r="O973" t="s">
        <v>300</v>
      </c>
      <c r="P973">
        <v>0.11346456227385315</v>
      </c>
      <c r="Q973" t="s">
        <v>159</v>
      </c>
    </row>
    <row r="974" spans="9:17" x14ac:dyDescent="0.45">
      <c r="I974" t="s">
        <v>193</v>
      </c>
      <c r="J974" t="s">
        <v>301</v>
      </c>
      <c r="K974">
        <v>2.030023052546609E-2</v>
      </c>
      <c r="L974" t="s">
        <v>159</v>
      </c>
      <c r="N974" t="s">
        <v>236</v>
      </c>
      <c r="O974" t="s">
        <v>301</v>
      </c>
      <c r="P974">
        <v>1.4228773481091634E-2</v>
      </c>
      <c r="Q974" t="s">
        <v>159</v>
      </c>
    </row>
    <row r="975" spans="9:17" x14ac:dyDescent="0.45">
      <c r="I975" t="s">
        <v>193</v>
      </c>
      <c r="J975" t="s">
        <v>302</v>
      </c>
      <c r="K975">
        <v>1.2577823737041039E-2</v>
      </c>
      <c r="L975" t="s">
        <v>159</v>
      </c>
      <c r="N975" t="s">
        <v>236</v>
      </c>
      <c r="O975" t="s">
        <v>302</v>
      </c>
      <c r="P975">
        <v>1.2475421738967721E-2</v>
      </c>
      <c r="Q975" t="s">
        <v>159</v>
      </c>
    </row>
    <row r="976" spans="9:17" x14ac:dyDescent="0.45">
      <c r="I976" t="s">
        <v>193</v>
      </c>
      <c r="J976" t="s">
        <v>312</v>
      </c>
      <c r="K976">
        <v>1.887775626024403E-4</v>
      </c>
      <c r="L976" t="s">
        <v>159</v>
      </c>
      <c r="N976" t="s">
        <v>236</v>
      </c>
      <c r="O976" t="s">
        <v>312</v>
      </c>
      <c r="P976">
        <v>8.3734658952240901E-2</v>
      </c>
      <c r="Q976" t="s">
        <v>159</v>
      </c>
    </row>
    <row r="977" spans="9:17" x14ac:dyDescent="0.45">
      <c r="I977" t="s">
        <v>193</v>
      </c>
      <c r="J977" t="s">
        <v>313</v>
      </c>
      <c r="K977">
        <v>1.4221180012436588E-3</v>
      </c>
      <c r="L977" t="s">
        <v>159</v>
      </c>
      <c r="N977" t="s">
        <v>236</v>
      </c>
      <c r="O977" t="s">
        <v>313</v>
      </c>
      <c r="P977">
        <v>2.5545133466855927E-2</v>
      </c>
      <c r="Q977" t="s">
        <v>159</v>
      </c>
    </row>
    <row r="978" spans="9:17" x14ac:dyDescent="0.45">
      <c r="I978" t="s">
        <v>193</v>
      </c>
      <c r="J978" t="s">
        <v>314</v>
      </c>
      <c r="K978">
        <v>3.1169322008390327E-3</v>
      </c>
      <c r="L978" t="s">
        <v>159</v>
      </c>
      <c r="N978" t="s">
        <v>236</v>
      </c>
      <c r="O978" t="s">
        <v>314</v>
      </c>
      <c r="P978">
        <v>2.2063346266990159E-3</v>
      </c>
      <c r="Q978" t="s">
        <v>159</v>
      </c>
    </row>
    <row r="979" spans="9:17" x14ac:dyDescent="0.45">
      <c r="I979" t="s">
        <v>193</v>
      </c>
      <c r="J979" t="s">
        <v>315</v>
      </c>
      <c r="K979">
        <v>7.2517842282530234E-2</v>
      </c>
      <c r="L979" t="s">
        <v>159</v>
      </c>
      <c r="N979" t="s">
        <v>236</v>
      </c>
      <c r="O979" t="s">
        <v>315</v>
      </c>
      <c r="P979">
        <v>1.9899018690212936E-2</v>
      </c>
      <c r="Q979" t="s">
        <v>159</v>
      </c>
    </row>
    <row r="980" spans="9:17" x14ac:dyDescent="0.45">
      <c r="I980" t="s">
        <v>193</v>
      </c>
      <c r="J980" t="s">
        <v>316</v>
      </c>
      <c r="K980">
        <v>5.4648442304778321E-3</v>
      </c>
      <c r="L980" t="s">
        <v>159</v>
      </c>
      <c r="N980" t="s">
        <v>236</v>
      </c>
      <c r="O980" t="s">
        <v>316</v>
      </c>
      <c r="P980">
        <v>2.5218207408403879E-3</v>
      </c>
      <c r="Q980" t="s">
        <v>159</v>
      </c>
    </row>
    <row r="981" spans="9:17" x14ac:dyDescent="0.45">
      <c r="I981" t="s">
        <v>193</v>
      </c>
      <c r="J981" t="s">
        <v>317</v>
      </c>
      <c r="K981">
        <v>3.7456467510884567E-3</v>
      </c>
      <c r="L981" t="s">
        <v>159</v>
      </c>
      <c r="N981" t="s">
        <v>236</v>
      </c>
      <c r="O981" t="s">
        <v>317</v>
      </c>
      <c r="P981">
        <v>1.9198659897001538E-3</v>
      </c>
      <c r="Q981" t="s">
        <v>159</v>
      </c>
    </row>
    <row r="982" spans="9:17" x14ac:dyDescent="0.45">
      <c r="I982" t="s">
        <v>193</v>
      </c>
      <c r="J982" t="s">
        <v>318</v>
      </c>
      <c r="K982">
        <v>2.0167261791191379E-3</v>
      </c>
      <c r="L982" t="s">
        <v>159</v>
      </c>
      <c r="N982" t="s">
        <v>236</v>
      </c>
      <c r="O982" t="s">
        <v>318</v>
      </c>
      <c r="P982">
        <v>1.4430220649628393E-2</v>
      </c>
      <c r="Q982" t="s">
        <v>159</v>
      </c>
    </row>
    <row r="983" spans="9:17" x14ac:dyDescent="0.45">
      <c r="I983" t="s">
        <v>194</v>
      </c>
      <c r="J983" t="s">
        <v>158</v>
      </c>
      <c r="K983">
        <v>2.2580495593228526E-3</v>
      </c>
      <c r="L983" t="s">
        <v>159</v>
      </c>
      <c r="N983" t="s">
        <v>237</v>
      </c>
      <c r="O983" t="s">
        <v>158</v>
      </c>
      <c r="P983">
        <v>0.14944466086795352</v>
      </c>
      <c r="Q983" t="s">
        <v>159</v>
      </c>
    </row>
    <row r="984" spans="9:17" x14ac:dyDescent="0.45">
      <c r="I984" t="s">
        <v>194</v>
      </c>
      <c r="J984" t="s">
        <v>160</v>
      </c>
      <c r="K984">
        <v>1.6805296695852973E-2</v>
      </c>
      <c r="L984" t="s">
        <v>159</v>
      </c>
      <c r="N984" t="s">
        <v>237</v>
      </c>
      <c r="O984" t="s">
        <v>160</v>
      </c>
      <c r="P984">
        <v>1.8315169590849476E-2</v>
      </c>
      <c r="Q984" t="s">
        <v>159</v>
      </c>
    </row>
    <row r="985" spans="9:17" x14ac:dyDescent="0.45">
      <c r="I985" t="s">
        <v>194</v>
      </c>
      <c r="J985" t="s">
        <v>161</v>
      </c>
      <c r="K985">
        <v>0.39771674899354231</v>
      </c>
      <c r="L985" t="s">
        <v>159</v>
      </c>
      <c r="N985" t="s">
        <v>237</v>
      </c>
      <c r="O985" t="s">
        <v>161</v>
      </c>
      <c r="P985">
        <v>9.9496884112346723E-2</v>
      </c>
      <c r="Q985" t="s">
        <v>159</v>
      </c>
    </row>
    <row r="986" spans="9:17" x14ac:dyDescent="0.45">
      <c r="I986" t="s">
        <v>194</v>
      </c>
      <c r="J986" t="s">
        <v>287</v>
      </c>
      <c r="K986">
        <v>3.261740944715142E-2</v>
      </c>
      <c r="L986" t="s">
        <v>159</v>
      </c>
      <c r="N986" t="s">
        <v>237</v>
      </c>
      <c r="O986" t="s">
        <v>287</v>
      </c>
      <c r="P986">
        <v>8.5290002163458632E-3</v>
      </c>
      <c r="Q986" t="s">
        <v>159</v>
      </c>
    </row>
    <row r="987" spans="9:17" x14ac:dyDescent="0.45">
      <c r="I987" t="s">
        <v>194</v>
      </c>
      <c r="J987" t="s">
        <v>288</v>
      </c>
      <c r="K987">
        <v>1.5309259419456637E-2</v>
      </c>
      <c r="L987" t="s">
        <v>159</v>
      </c>
      <c r="N987" t="s">
        <v>237</v>
      </c>
      <c r="O987" t="s">
        <v>288</v>
      </c>
      <c r="P987">
        <v>9.4267639664664359E-3</v>
      </c>
      <c r="Q987" t="s">
        <v>159</v>
      </c>
    </row>
    <row r="988" spans="9:17" x14ac:dyDescent="0.45">
      <c r="I988" t="s">
        <v>194</v>
      </c>
      <c r="J988" t="s">
        <v>308</v>
      </c>
      <c r="K988">
        <v>4.2685498838607059E-3</v>
      </c>
      <c r="L988" t="s">
        <v>159</v>
      </c>
      <c r="N988" t="s">
        <v>237</v>
      </c>
      <c r="O988" t="s">
        <v>308</v>
      </c>
      <c r="P988">
        <v>8.4692787197494179E-2</v>
      </c>
      <c r="Q988" t="s">
        <v>159</v>
      </c>
    </row>
    <row r="989" spans="9:17" x14ac:dyDescent="0.45">
      <c r="I989" t="s">
        <v>194</v>
      </c>
      <c r="J989" t="s">
        <v>162</v>
      </c>
      <c r="K989">
        <v>0</v>
      </c>
      <c r="L989" t="s">
        <v>159</v>
      </c>
      <c r="N989" t="s">
        <v>237</v>
      </c>
      <c r="O989" t="s">
        <v>162</v>
      </c>
      <c r="P989">
        <v>3.5509584483716043E-2</v>
      </c>
      <c r="Q989" t="s">
        <v>159</v>
      </c>
    </row>
    <row r="990" spans="9:17" x14ac:dyDescent="0.45">
      <c r="I990" t="s">
        <v>194</v>
      </c>
      <c r="J990" t="s">
        <v>163</v>
      </c>
      <c r="K990">
        <v>0</v>
      </c>
      <c r="L990" t="s">
        <v>159</v>
      </c>
      <c r="N990" t="s">
        <v>237</v>
      </c>
      <c r="O990" t="s">
        <v>163</v>
      </c>
      <c r="P990">
        <v>4.4897920337255209E-3</v>
      </c>
      <c r="Q990" t="s">
        <v>159</v>
      </c>
    </row>
    <row r="991" spans="9:17" x14ac:dyDescent="0.45">
      <c r="I991" t="s">
        <v>194</v>
      </c>
      <c r="J991" t="s">
        <v>164</v>
      </c>
      <c r="K991">
        <v>4.7876439679203305E-2</v>
      </c>
      <c r="L991" t="s">
        <v>159</v>
      </c>
      <c r="N991" t="s">
        <v>237</v>
      </c>
      <c r="O991" t="s">
        <v>164</v>
      </c>
      <c r="P991">
        <v>2.8247754257296753E-2</v>
      </c>
      <c r="Q991" t="s">
        <v>159</v>
      </c>
    </row>
    <row r="992" spans="9:17" x14ac:dyDescent="0.45">
      <c r="I992" t="s">
        <v>194</v>
      </c>
      <c r="J992" t="s">
        <v>289</v>
      </c>
      <c r="K992">
        <v>3.7616878354629797E-3</v>
      </c>
      <c r="L992" t="s">
        <v>159</v>
      </c>
      <c r="N992" t="s">
        <v>237</v>
      </c>
      <c r="O992" t="s">
        <v>289</v>
      </c>
      <c r="P992">
        <v>2.2807870375237639E-3</v>
      </c>
      <c r="Q992" t="s">
        <v>159</v>
      </c>
    </row>
    <row r="993" spans="9:17" x14ac:dyDescent="0.45">
      <c r="I993" t="s">
        <v>194</v>
      </c>
      <c r="J993" t="s">
        <v>290</v>
      </c>
      <c r="K993">
        <v>0</v>
      </c>
      <c r="L993" t="s">
        <v>159</v>
      </c>
      <c r="N993" t="s">
        <v>237</v>
      </c>
      <c r="O993" t="s">
        <v>290</v>
      </c>
      <c r="P993">
        <v>2.7458531606822188E-3</v>
      </c>
      <c r="Q993" t="s">
        <v>159</v>
      </c>
    </row>
    <row r="994" spans="9:17" x14ac:dyDescent="0.45">
      <c r="I994" t="s">
        <v>194</v>
      </c>
      <c r="J994" t="s">
        <v>309</v>
      </c>
      <c r="K994">
        <v>0</v>
      </c>
      <c r="L994" t="s">
        <v>159</v>
      </c>
      <c r="N994" t="s">
        <v>237</v>
      </c>
      <c r="O994" t="s">
        <v>309</v>
      </c>
      <c r="P994">
        <v>2.1062218542498633E-2</v>
      </c>
      <c r="Q994" t="s">
        <v>159</v>
      </c>
    </row>
    <row r="995" spans="9:17" x14ac:dyDescent="0.45">
      <c r="I995" t="s">
        <v>194</v>
      </c>
      <c r="J995" t="s">
        <v>165</v>
      </c>
      <c r="K995">
        <v>0</v>
      </c>
      <c r="L995" t="s">
        <v>159</v>
      </c>
      <c r="N995" t="s">
        <v>237</v>
      </c>
      <c r="O995" t="s">
        <v>165</v>
      </c>
      <c r="P995">
        <v>3.12092342245829E-2</v>
      </c>
      <c r="Q995" t="s">
        <v>159</v>
      </c>
    </row>
    <row r="996" spans="9:17" x14ac:dyDescent="0.45">
      <c r="I996" t="s">
        <v>194</v>
      </c>
      <c r="J996" t="s">
        <v>166</v>
      </c>
      <c r="K996">
        <v>2.5782690147812534E-4</v>
      </c>
      <c r="L996" t="s">
        <v>159</v>
      </c>
      <c r="N996" t="s">
        <v>237</v>
      </c>
      <c r="O996" t="s">
        <v>166</v>
      </c>
      <c r="P996">
        <v>3.8141989514722191E-3</v>
      </c>
      <c r="Q996" t="s">
        <v>159</v>
      </c>
    </row>
    <row r="997" spans="9:17" x14ac:dyDescent="0.45">
      <c r="I997" t="s">
        <v>194</v>
      </c>
      <c r="J997" t="s">
        <v>167</v>
      </c>
      <c r="K997">
        <v>6.5004667648589434E-2</v>
      </c>
      <c r="L997" t="s">
        <v>159</v>
      </c>
      <c r="N997" t="s">
        <v>237</v>
      </c>
      <c r="O997" t="s">
        <v>167</v>
      </c>
      <c r="P997">
        <v>2.3817064685580498E-2</v>
      </c>
      <c r="Q997" t="s">
        <v>159</v>
      </c>
    </row>
    <row r="998" spans="9:17" x14ac:dyDescent="0.45">
      <c r="I998" t="s">
        <v>194</v>
      </c>
      <c r="J998" t="s">
        <v>291</v>
      </c>
      <c r="K998">
        <v>5.2977811300254866E-3</v>
      </c>
      <c r="L998" t="s">
        <v>159</v>
      </c>
      <c r="N998" t="s">
        <v>237</v>
      </c>
      <c r="O998" t="s">
        <v>291</v>
      </c>
      <c r="P998">
        <v>2.8149432638857703E-3</v>
      </c>
      <c r="Q998" t="s">
        <v>159</v>
      </c>
    </row>
    <row r="999" spans="9:17" x14ac:dyDescent="0.45">
      <c r="I999" t="s">
        <v>194</v>
      </c>
      <c r="J999" t="s">
        <v>292</v>
      </c>
      <c r="K999">
        <v>0</v>
      </c>
      <c r="L999" t="s">
        <v>159</v>
      </c>
      <c r="N999" t="s">
        <v>237</v>
      </c>
      <c r="O999" t="s">
        <v>292</v>
      </c>
      <c r="P999">
        <v>2.8835591636591179E-3</v>
      </c>
      <c r="Q999" t="s">
        <v>159</v>
      </c>
    </row>
    <row r="1000" spans="9:17" x14ac:dyDescent="0.45">
      <c r="I1000" t="s">
        <v>194</v>
      </c>
      <c r="J1000" t="s">
        <v>310</v>
      </c>
      <c r="K1000">
        <v>0</v>
      </c>
      <c r="L1000" t="s">
        <v>159</v>
      </c>
      <c r="N1000" t="s">
        <v>237</v>
      </c>
      <c r="O1000" t="s">
        <v>310</v>
      </c>
      <c r="P1000">
        <v>2.0471083910715036E-2</v>
      </c>
      <c r="Q1000" t="s">
        <v>159</v>
      </c>
    </row>
    <row r="1001" spans="9:17" x14ac:dyDescent="0.45">
      <c r="I1001" t="s">
        <v>194</v>
      </c>
      <c r="J1001" t="s">
        <v>293</v>
      </c>
      <c r="K1001">
        <v>0</v>
      </c>
      <c r="L1001" t="s">
        <v>159</v>
      </c>
      <c r="N1001" t="s">
        <v>237</v>
      </c>
      <c r="O1001" t="s">
        <v>293</v>
      </c>
      <c r="P1001">
        <v>1.3564461540760143E-2</v>
      </c>
      <c r="Q1001" t="s">
        <v>159</v>
      </c>
    </row>
    <row r="1002" spans="9:17" x14ac:dyDescent="0.45">
      <c r="I1002" t="s">
        <v>194</v>
      </c>
      <c r="J1002" t="s">
        <v>294</v>
      </c>
      <c r="K1002">
        <v>1.0507708065816933E-3</v>
      </c>
      <c r="L1002" t="s">
        <v>159</v>
      </c>
      <c r="N1002" t="s">
        <v>237</v>
      </c>
      <c r="O1002" t="s">
        <v>294</v>
      </c>
      <c r="P1002">
        <v>1.7725324670625961E-3</v>
      </c>
      <c r="Q1002" t="s">
        <v>159</v>
      </c>
    </row>
    <row r="1003" spans="9:17" x14ac:dyDescent="0.45">
      <c r="I1003" t="s">
        <v>194</v>
      </c>
      <c r="J1003" t="s">
        <v>295</v>
      </c>
      <c r="K1003">
        <v>1.7437907413319145E-2</v>
      </c>
      <c r="L1003" t="s">
        <v>159</v>
      </c>
      <c r="N1003" t="s">
        <v>237</v>
      </c>
      <c r="O1003" t="s">
        <v>295</v>
      </c>
      <c r="P1003">
        <v>9.7986404059505778E-3</v>
      </c>
      <c r="Q1003" t="s">
        <v>159</v>
      </c>
    </row>
    <row r="1004" spans="9:17" x14ac:dyDescent="0.45">
      <c r="I1004" t="s">
        <v>194</v>
      </c>
      <c r="J1004" t="s">
        <v>296</v>
      </c>
      <c r="K1004">
        <v>1.4905912004813237E-3</v>
      </c>
      <c r="L1004" t="s">
        <v>159</v>
      </c>
      <c r="N1004" t="s">
        <v>237</v>
      </c>
      <c r="O1004" t="s">
        <v>296</v>
      </c>
      <c r="P1004">
        <v>5.3326279191543422E-4</v>
      </c>
      <c r="Q1004" t="s">
        <v>159</v>
      </c>
    </row>
    <row r="1005" spans="9:17" x14ac:dyDescent="0.45">
      <c r="I1005" t="s">
        <v>194</v>
      </c>
      <c r="J1005" t="s">
        <v>297</v>
      </c>
      <c r="K1005">
        <v>1.7624346261414792E-4</v>
      </c>
      <c r="L1005" t="s">
        <v>159</v>
      </c>
      <c r="N1005" t="s">
        <v>237</v>
      </c>
      <c r="O1005" t="s">
        <v>297</v>
      </c>
      <c r="P1005">
        <v>6.2300271571286787E-4</v>
      </c>
      <c r="Q1005" t="s">
        <v>159</v>
      </c>
    </row>
    <row r="1006" spans="9:17" x14ac:dyDescent="0.45">
      <c r="I1006" t="s">
        <v>194</v>
      </c>
      <c r="J1006" t="s">
        <v>311</v>
      </c>
      <c r="K1006">
        <v>0</v>
      </c>
      <c r="L1006" t="s">
        <v>159</v>
      </c>
      <c r="N1006" t="s">
        <v>237</v>
      </c>
      <c r="O1006" t="s">
        <v>311</v>
      </c>
      <c r="P1006">
        <v>7.4967736314404676E-3</v>
      </c>
      <c r="Q1006" t="s">
        <v>159</v>
      </c>
    </row>
    <row r="1007" spans="9:17" x14ac:dyDescent="0.45">
      <c r="I1007" t="s">
        <v>194</v>
      </c>
      <c r="J1007" t="s">
        <v>298</v>
      </c>
      <c r="K1007">
        <v>5.3083001517090266E-3</v>
      </c>
      <c r="L1007" t="s">
        <v>159</v>
      </c>
      <c r="N1007" t="s">
        <v>237</v>
      </c>
      <c r="O1007" t="s">
        <v>298</v>
      </c>
      <c r="P1007">
        <v>0.12725338899151373</v>
      </c>
      <c r="Q1007" t="s">
        <v>159</v>
      </c>
    </row>
    <row r="1008" spans="9:17" x14ac:dyDescent="0.45">
      <c r="I1008" t="s">
        <v>194</v>
      </c>
      <c r="J1008" t="s">
        <v>299</v>
      </c>
      <c r="K1008">
        <v>1.5556413515319303E-2</v>
      </c>
      <c r="L1008" t="s">
        <v>159</v>
      </c>
      <c r="N1008" t="s">
        <v>237</v>
      </c>
      <c r="O1008" t="s">
        <v>299</v>
      </c>
      <c r="P1008">
        <v>1.4546812210202285E-2</v>
      </c>
      <c r="Q1008" t="s">
        <v>159</v>
      </c>
    </row>
    <row r="1009" spans="9:17" x14ac:dyDescent="0.45">
      <c r="I1009" t="s">
        <v>194</v>
      </c>
      <c r="J1009" t="s">
        <v>300</v>
      </c>
      <c r="K1009">
        <v>0.24651371690414545</v>
      </c>
      <c r="L1009" t="s">
        <v>159</v>
      </c>
      <c r="N1009" t="s">
        <v>237</v>
      </c>
      <c r="O1009" t="s">
        <v>300</v>
      </c>
      <c r="P1009">
        <v>0.11603130458000435</v>
      </c>
      <c r="Q1009" t="s">
        <v>159</v>
      </c>
    </row>
    <row r="1010" spans="9:17" x14ac:dyDescent="0.45">
      <c r="I1010" t="s">
        <v>194</v>
      </c>
      <c r="J1010" t="s">
        <v>301</v>
      </c>
      <c r="K1010">
        <v>1.8818373872864998E-2</v>
      </c>
      <c r="L1010" t="s">
        <v>159</v>
      </c>
      <c r="N1010" t="s">
        <v>237</v>
      </c>
      <c r="O1010" t="s">
        <v>301</v>
      </c>
      <c r="P1010">
        <v>1.3080856037154176E-2</v>
      </c>
      <c r="Q1010" t="s">
        <v>159</v>
      </c>
    </row>
    <row r="1011" spans="9:17" x14ac:dyDescent="0.45">
      <c r="I1011" t="s">
        <v>194</v>
      </c>
      <c r="J1011" t="s">
        <v>302</v>
      </c>
      <c r="K1011">
        <v>1.1524203306720269E-2</v>
      </c>
      <c r="L1011" t="s">
        <v>159</v>
      </c>
      <c r="N1011" t="s">
        <v>237</v>
      </c>
      <c r="O1011" t="s">
        <v>302</v>
      </c>
      <c r="P1011">
        <v>1.1942225304474112E-2</v>
      </c>
      <c r="Q1011" t="s">
        <v>159</v>
      </c>
    </row>
    <row r="1012" spans="9:17" x14ac:dyDescent="0.45">
      <c r="I1012" t="s">
        <v>194</v>
      </c>
      <c r="J1012" t="s">
        <v>312</v>
      </c>
      <c r="K1012">
        <v>7.1587782278166294E-5</v>
      </c>
      <c r="L1012" t="s">
        <v>159</v>
      </c>
      <c r="N1012" t="s">
        <v>237</v>
      </c>
      <c r="O1012" t="s">
        <v>312</v>
      </c>
      <c r="P1012">
        <v>7.6737488689768721E-2</v>
      </c>
      <c r="Q1012" t="s">
        <v>159</v>
      </c>
    </row>
    <row r="1013" spans="9:17" x14ac:dyDescent="0.45">
      <c r="I1013" t="s">
        <v>194</v>
      </c>
      <c r="J1013" t="s">
        <v>313</v>
      </c>
      <c r="K1013">
        <v>1.9497109801532029E-3</v>
      </c>
      <c r="L1013" t="s">
        <v>159</v>
      </c>
      <c r="N1013" t="s">
        <v>237</v>
      </c>
      <c r="O1013" t="s">
        <v>313</v>
      </c>
      <c r="P1013">
        <v>2.0605020547404936E-2</v>
      </c>
      <c r="Q1013" t="s">
        <v>159</v>
      </c>
    </row>
    <row r="1014" spans="9:17" x14ac:dyDescent="0.45">
      <c r="I1014" t="s">
        <v>194</v>
      </c>
      <c r="J1014" t="s">
        <v>314</v>
      </c>
      <c r="K1014">
        <v>4.0692389214072727E-3</v>
      </c>
      <c r="L1014" t="s">
        <v>159</v>
      </c>
      <c r="N1014" t="s">
        <v>237</v>
      </c>
      <c r="O1014" t="s">
        <v>314</v>
      </c>
      <c r="P1014">
        <v>2.2370127020040517E-3</v>
      </c>
      <c r="Q1014" t="s">
        <v>159</v>
      </c>
    </row>
    <row r="1015" spans="9:17" x14ac:dyDescent="0.45">
      <c r="I1015" t="s">
        <v>194</v>
      </c>
      <c r="J1015" t="s">
        <v>315</v>
      </c>
      <c r="K1015">
        <v>7.5060204544676074E-2</v>
      </c>
      <c r="L1015" t="s">
        <v>159</v>
      </c>
      <c r="N1015" t="s">
        <v>237</v>
      </c>
      <c r="O1015" t="s">
        <v>315</v>
      </c>
      <c r="P1015">
        <v>1.922047477936803E-2</v>
      </c>
      <c r="Q1015" t="s">
        <v>159</v>
      </c>
    </row>
    <row r="1016" spans="9:17" x14ac:dyDescent="0.45">
      <c r="I1016" t="s">
        <v>194</v>
      </c>
      <c r="J1016" t="s">
        <v>316</v>
      </c>
      <c r="K1016">
        <v>4.9376581876485921E-3</v>
      </c>
      <c r="L1016" t="s">
        <v>159</v>
      </c>
      <c r="N1016" t="s">
        <v>237</v>
      </c>
      <c r="O1016" t="s">
        <v>316</v>
      </c>
      <c r="P1016">
        <v>2.0267781501475839E-3</v>
      </c>
      <c r="Q1016" t="s">
        <v>159</v>
      </c>
    </row>
    <row r="1017" spans="9:17" x14ac:dyDescent="0.45">
      <c r="I1017" t="s">
        <v>194</v>
      </c>
      <c r="J1017" t="s">
        <v>317</v>
      </c>
      <c r="K1017">
        <v>3.3168847905851975E-3</v>
      </c>
      <c r="L1017" t="s">
        <v>159</v>
      </c>
      <c r="N1017" t="s">
        <v>237</v>
      </c>
      <c r="O1017" t="s">
        <v>317</v>
      </c>
      <c r="P1017">
        <v>1.7950150924078943E-3</v>
      </c>
      <c r="Q1017" t="s">
        <v>159</v>
      </c>
    </row>
    <row r="1018" spans="9:17" x14ac:dyDescent="0.45">
      <c r="I1018" t="s">
        <v>194</v>
      </c>
      <c r="J1018" t="s">
        <v>318</v>
      </c>
      <c r="K1018">
        <v>1.544476965548901E-3</v>
      </c>
      <c r="L1018" t="s">
        <v>159</v>
      </c>
      <c r="N1018" t="s">
        <v>237</v>
      </c>
      <c r="O1018" t="s">
        <v>318</v>
      </c>
      <c r="P1018">
        <v>1.1483609695913206E-2</v>
      </c>
      <c r="Q1018" t="s">
        <v>159</v>
      </c>
    </row>
    <row r="1019" spans="9:17" x14ac:dyDescent="0.45">
      <c r="I1019" t="s">
        <v>195</v>
      </c>
      <c r="J1019" t="s">
        <v>158</v>
      </c>
      <c r="K1019">
        <v>1.8386249321436137E-3</v>
      </c>
      <c r="L1019" t="s">
        <v>159</v>
      </c>
      <c r="N1019" t="s">
        <v>238</v>
      </c>
      <c r="O1019" t="s">
        <v>158</v>
      </c>
      <c r="P1019">
        <v>0.15261132289222248</v>
      </c>
      <c r="Q1019" t="s">
        <v>159</v>
      </c>
    </row>
    <row r="1020" spans="9:17" x14ac:dyDescent="0.45">
      <c r="I1020" t="s">
        <v>195</v>
      </c>
      <c r="J1020" t="s">
        <v>160</v>
      </c>
      <c r="K1020">
        <v>1.4366360434725695E-2</v>
      </c>
      <c r="L1020" t="s">
        <v>159</v>
      </c>
      <c r="N1020" t="s">
        <v>238</v>
      </c>
      <c r="O1020" t="s">
        <v>160</v>
      </c>
      <c r="P1020">
        <v>1.6124576784146381E-2</v>
      </c>
      <c r="Q1020" t="s">
        <v>159</v>
      </c>
    </row>
    <row r="1021" spans="9:17" x14ac:dyDescent="0.45">
      <c r="I1021" t="s">
        <v>195</v>
      </c>
      <c r="J1021" t="s">
        <v>161</v>
      </c>
      <c r="K1021">
        <v>0.39852309851179563</v>
      </c>
      <c r="L1021" t="s">
        <v>159</v>
      </c>
      <c r="N1021" t="s">
        <v>238</v>
      </c>
      <c r="O1021" t="s">
        <v>161</v>
      </c>
      <c r="P1021">
        <v>0.12252386035810404</v>
      </c>
      <c r="Q1021" t="s">
        <v>159</v>
      </c>
    </row>
    <row r="1022" spans="9:17" x14ac:dyDescent="0.45">
      <c r="I1022" t="s">
        <v>195</v>
      </c>
      <c r="J1022" t="s">
        <v>287</v>
      </c>
      <c r="K1022">
        <v>3.184503781332236E-2</v>
      </c>
      <c r="L1022" t="s">
        <v>159</v>
      </c>
      <c r="N1022" t="s">
        <v>238</v>
      </c>
      <c r="O1022" t="s">
        <v>287</v>
      </c>
      <c r="P1022">
        <v>1.2995661493708809E-2</v>
      </c>
      <c r="Q1022" t="s">
        <v>159</v>
      </c>
    </row>
    <row r="1023" spans="9:17" x14ac:dyDescent="0.45">
      <c r="I1023" t="s">
        <v>195</v>
      </c>
      <c r="J1023" t="s">
        <v>288</v>
      </c>
      <c r="K1023">
        <v>1.4804622101144737E-2</v>
      </c>
      <c r="L1023" t="s">
        <v>159</v>
      </c>
      <c r="N1023" t="s">
        <v>238</v>
      </c>
      <c r="O1023" t="s">
        <v>288</v>
      </c>
      <c r="P1023">
        <v>1.4167688795096832E-2</v>
      </c>
      <c r="Q1023" t="s">
        <v>159</v>
      </c>
    </row>
    <row r="1024" spans="9:17" x14ac:dyDescent="0.45">
      <c r="I1024" t="s">
        <v>195</v>
      </c>
      <c r="J1024" t="s">
        <v>308</v>
      </c>
      <c r="K1024">
        <v>4.3661093529989842E-3</v>
      </c>
      <c r="L1024" t="s">
        <v>159</v>
      </c>
      <c r="N1024" t="s">
        <v>238</v>
      </c>
      <c r="O1024" t="s">
        <v>308</v>
      </c>
      <c r="P1024">
        <v>0.11192319425563303</v>
      </c>
      <c r="Q1024" t="s">
        <v>159</v>
      </c>
    </row>
    <row r="1025" spans="9:17" x14ac:dyDescent="0.45">
      <c r="I1025" t="s">
        <v>195</v>
      </c>
      <c r="J1025" t="s">
        <v>162</v>
      </c>
      <c r="K1025">
        <v>0</v>
      </c>
      <c r="L1025" t="s">
        <v>159</v>
      </c>
      <c r="N1025" t="s">
        <v>238</v>
      </c>
      <c r="O1025" t="s">
        <v>162</v>
      </c>
      <c r="P1025">
        <v>2.5500411764341591E-2</v>
      </c>
      <c r="Q1025" t="s">
        <v>159</v>
      </c>
    </row>
    <row r="1026" spans="9:17" x14ac:dyDescent="0.45">
      <c r="I1026" t="s">
        <v>195</v>
      </c>
      <c r="J1026" t="s">
        <v>163</v>
      </c>
      <c r="K1026">
        <v>0</v>
      </c>
      <c r="L1026" t="s">
        <v>159</v>
      </c>
      <c r="N1026" t="s">
        <v>238</v>
      </c>
      <c r="O1026" t="s">
        <v>163</v>
      </c>
      <c r="P1026">
        <v>3.7087119111721303E-3</v>
      </c>
      <c r="Q1026" t="s">
        <v>159</v>
      </c>
    </row>
    <row r="1027" spans="9:17" x14ac:dyDescent="0.45">
      <c r="I1027" t="s">
        <v>195</v>
      </c>
      <c r="J1027" t="s">
        <v>164</v>
      </c>
      <c r="K1027">
        <v>5.005790563148535E-2</v>
      </c>
      <c r="L1027" t="s">
        <v>159</v>
      </c>
      <c r="N1027" t="s">
        <v>238</v>
      </c>
      <c r="O1027" t="s">
        <v>164</v>
      </c>
      <c r="P1027">
        <v>2.8385433118170759E-2</v>
      </c>
      <c r="Q1027" t="s">
        <v>159</v>
      </c>
    </row>
    <row r="1028" spans="9:17" x14ac:dyDescent="0.45">
      <c r="I1028" t="s">
        <v>195</v>
      </c>
      <c r="J1028" t="s">
        <v>289</v>
      </c>
      <c r="K1028">
        <v>4.1796552480701642E-3</v>
      </c>
      <c r="L1028" t="s">
        <v>159</v>
      </c>
      <c r="N1028" t="s">
        <v>238</v>
      </c>
      <c r="O1028" t="s">
        <v>289</v>
      </c>
      <c r="P1028">
        <v>2.8255223206966147E-3</v>
      </c>
      <c r="Q1028" t="s">
        <v>159</v>
      </c>
    </row>
    <row r="1029" spans="9:17" x14ac:dyDescent="0.45">
      <c r="I1029" t="s">
        <v>195</v>
      </c>
      <c r="J1029" t="s">
        <v>290</v>
      </c>
      <c r="K1029">
        <v>0</v>
      </c>
      <c r="L1029" t="s">
        <v>159</v>
      </c>
      <c r="N1029" t="s">
        <v>238</v>
      </c>
      <c r="O1029" t="s">
        <v>290</v>
      </c>
      <c r="P1029">
        <v>3.352732240973886E-3</v>
      </c>
      <c r="Q1029" t="s">
        <v>159</v>
      </c>
    </row>
    <row r="1030" spans="9:17" x14ac:dyDescent="0.45">
      <c r="I1030" t="s">
        <v>195</v>
      </c>
      <c r="J1030" t="s">
        <v>309</v>
      </c>
      <c r="K1030">
        <v>0</v>
      </c>
      <c r="L1030" t="s">
        <v>159</v>
      </c>
      <c r="N1030" t="s">
        <v>238</v>
      </c>
      <c r="O1030" t="s">
        <v>309</v>
      </c>
      <c r="P1030">
        <v>2.047468312616945E-2</v>
      </c>
      <c r="Q1030" t="s">
        <v>159</v>
      </c>
    </row>
    <row r="1031" spans="9:17" x14ac:dyDescent="0.45">
      <c r="I1031" t="s">
        <v>195</v>
      </c>
      <c r="J1031" t="s">
        <v>165</v>
      </c>
      <c r="K1031">
        <v>0</v>
      </c>
      <c r="L1031" t="s">
        <v>159</v>
      </c>
      <c r="N1031" t="s">
        <v>238</v>
      </c>
      <c r="O1031" t="s">
        <v>165</v>
      </c>
      <c r="P1031">
        <v>2.4982748338918764E-2</v>
      </c>
      <c r="Q1031" t="s">
        <v>159</v>
      </c>
    </row>
    <row r="1032" spans="9:17" x14ac:dyDescent="0.45">
      <c r="I1032" t="s">
        <v>195</v>
      </c>
      <c r="J1032" t="s">
        <v>166</v>
      </c>
      <c r="K1032">
        <v>6.1474104006414651E-6</v>
      </c>
      <c r="L1032" t="s">
        <v>159</v>
      </c>
      <c r="N1032" t="s">
        <v>238</v>
      </c>
      <c r="O1032" t="s">
        <v>166</v>
      </c>
      <c r="P1032">
        <v>3.0671845515104494E-3</v>
      </c>
      <c r="Q1032" t="s">
        <v>159</v>
      </c>
    </row>
    <row r="1033" spans="9:17" x14ac:dyDescent="0.45">
      <c r="I1033" t="s">
        <v>195</v>
      </c>
      <c r="J1033" t="s">
        <v>167</v>
      </c>
      <c r="K1033">
        <v>6.8502013240732754E-2</v>
      </c>
      <c r="L1033" t="s">
        <v>159</v>
      </c>
      <c r="N1033" t="s">
        <v>238</v>
      </c>
      <c r="O1033" t="s">
        <v>167</v>
      </c>
      <c r="P1033">
        <v>2.7064073435720988E-2</v>
      </c>
      <c r="Q1033" t="s">
        <v>159</v>
      </c>
    </row>
    <row r="1034" spans="9:17" x14ac:dyDescent="0.45">
      <c r="I1034" t="s">
        <v>195</v>
      </c>
      <c r="J1034" t="s">
        <v>291</v>
      </c>
      <c r="K1034">
        <v>6.1571828374711608E-3</v>
      </c>
      <c r="L1034" t="s">
        <v>159</v>
      </c>
      <c r="N1034" t="s">
        <v>238</v>
      </c>
      <c r="O1034" t="s">
        <v>291</v>
      </c>
      <c r="P1034">
        <v>3.0731743673062736E-3</v>
      </c>
      <c r="Q1034" t="s">
        <v>159</v>
      </c>
    </row>
    <row r="1035" spans="9:17" x14ac:dyDescent="0.45">
      <c r="I1035" t="s">
        <v>195</v>
      </c>
      <c r="J1035" t="s">
        <v>292</v>
      </c>
      <c r="K1035">
        <v>2.2087766101491207E-4</v>
      </c>
      <c r="L1035" t="s">
        <v>159</v>
      </c>
      <c r="N1035" t="s">
        <v>238</v>
      </c>
      <c r="O1035" t="s">
        <v>292</v>
      </c>
      <c r="P1035">
        <v>3.4777549891446468E-3</v>
      </c>
      <c r="Q1035" t="s">
        <v>159</v>
      </c>
    </row>
    <row r="1036" spans="9:17" x14ac:dyDescent="0.45">
      <c r="I1036" t="s">
        <v>195</v>
      </c>
      <c r="J1036" t="s">
        <v>310</v>
      </c>
      <c r="K1036">
        <v>0</v>
      </c>
      <c r="L1036" t="s">
        <v>159</v>
      </c>
      <c r="N1036" t="s">
        <v>238</v>
      </c>
      <c r="O1036" t="s">
        <v>310</v>
      </c>
      <c r="P1036">
        <v>2.1879419669594533E-2</v>
      </c>
      <c r="Q1036" t="s">
        <v>159</v>
      </c>
    </row>
    <row r="1037" spans="9:17" x14ac:dyDescent="0.45">
      <c r="I1037" t="s">
        <v>195</v>
      </c>
      <c r="J1037" t="s">
        <v>293</v>
      </c>
      <c r="K1037">
        <v>0</v>
      </c>
      <c r="L1037" t="s">
        <v>159</v>
      </c>
      <c r="N1037" t="s">
        <v>238</v>
      </c>
      <c r="O1037" t="s">
        <v>293</v>
      </c>
      <c r="P1037">
        <v>1.0854855831033407E-2</v>
      </c>
      <c r="Q1037" t="s">
        <v>159</v>
      </c>
    </row>
    <row r="1038" spans="9:17" x14ac:dyDescent="0.45">
      <c r="I1038" t="s">
        <v>195</v>
      </c>
      <c r="J1038" t="s">
        <v>294</v>
      </c>
      <c r="K1038">
        <v>8.5768088003590525E-4</v>
      </c>
      <c r="L1038" t="s">
        <v>159</v>
      </c>
      <c r="N1038" t="s">
        <v>238</v>
      </c>
      <c r="O1038" t="s">
        <v>294</v>
      </c>
      <c r="P1038">
        <v>1.3481823988086233E-3</v>
      </c>
      <c r="Q1038" t="s">
        <v>159</v>
      </c>
    </row>
    <row r="1039" spans="9:17" x14ac:dyDescent="0.45">
      <c r="I1039" t="s">
        <v>195</v>
      </c>
      <c r="J1039" t="s">
        <v>295</v>
      </c>
      <c r="K1039">
        <v>1.7413969287236875E-2</v>
      </c>
      <c r="L1039" t="s">
        <v>159</v>
      </c>
      <c r="N1039" t="s">
        <v>238</v>
      </c>
      <c r="O1039" t="s">
        <v>295</v>
      </c>
      <c r="P1039">
        <v>1.0973915290955391E-2</v>
      </c>
      <c r="Q1039" t="s">
        <v>159</v>
      </c>
    </row>
    <row r="1040" spans="9:17" x14ac:dyDescent="0.45">
      <c r="I1040" t="s">
        <v>195</v>
      </c>
      <c r="J1040" t="s">
        <v>296</v>
      </c>
      <c r="K1040">
        <v>1.5005687636344385E-3</v>
      </c>
      <c r="L1040" t="s">
        <v>159</v>
      </c>
      <c r="N1040" t="s">
        <v>238</v>
      </c>
      <c r="O1040" t="s">
        <v>296</v>
      </c>
      <c r="P1040">
        <v>8.1202379003550494E-4</v>
      </c>
      <c r="Q1040" t="s">
        <v>159</v>
      </c>
    </row>
    <row r="1041" spans="9:17" x14ac:dyDescent="0.45">
      <c r="I1041" t="s">
        <v>195</v>
      </c>
      <c r="J1041" t="s">
        <v>297</v>
      </c>
      <c r="K1041">
        <v>1.1412372595299581E-3</v>
      </c>
      <c r="L1041" t="s">
        <v>159</v>
      </c>
      <c r="N1041" t="s">
        <v>238</v>
      </c>
      <c r="O1041" t="s">
        <v>297</v>
      </c>
      <c r="P1041">
        <v>8.0330870183604498E-4</v>
      </c>
      <c r="Q1041" t="s">
        <v>159</v>
      </c>
    </row>
    <row r="1042" spans="9:17" x14ac:dyDescent="0.45">
      <c r="I1042" t="s">
        <v>195</v>
      </c>
      <c r="J1042" t="s">
        <v>311</v>
      </c>
      <c r="K1042">
        <v>0</v>
      </c>
      <c r="L1042" t="s">
        <v>159</v>
      </c>
      <c r="N1042" t="s">
        <v>238</v>
      </c>
      <c r="O1042" t="s">
        <v>311</v>
      </c>
      <c r="P1042">
        <v>6.1671372841136211E-3</v>
      </c>
      <c r="Q1042" t="s">
        <v>159</v>
      </c>
    </row>
    <row r="1043" spans="9:17" x14ac:dyDescent="0.45">
      <c r="I1043" t="s">
        <v>195</v>
      </c>
      <c r="J1043" t="s">
        <v>298</v>
      </c>
      <c r="K1043">
        <v>4.0583970185494407E-3</v>
      </c>
      <c r="L1043" t="s">
        <v>159</v>
      </c>
      <c r="N1043" t="s">
        <v>238</v>
      </c>
      <c r="O1043" t="s">
        <v>298</v>
      </c>
      <c r="P1043">
        <v>8.5322637313787808E-2</v>
      </c>
      <c r="Q1043" t="s">
        <v>159</v>
      </c>
    </row>
    <row r="1044" spans="9:17" x14ac:dyDescent="0.45">
      <c r="I1044" t="s">
        <v>195</v>
      </c>
      <c r="J1044" t="s">
        <v>299</v>
      </c>
      <c r="K1044">
        <v>1.523949345280437E-2</v>
      </c>
      <c r="L1044" t="s">
        <v>159</v>
      </c>
      <c r="N1044" t="s">
        <v>238</v>
      </c>
      <c r="O1044" t="s">
        <v>299</v>
      </c>
      <c r="P1044">
        <v>8.4210879541220737E-3</v>
      </c>
      <c r="Q1044" t="s">
        <v>159</v>
      </c>
    </row>
    <row r="1045" spans="9:17" x14ac:dyDescent="0.45">
      <c r="I1045" t="s">
        <v>195</v>
      </c>
      <c r="J1045" t="s">
        <v>300</v>
      </c>
      <c r="K1045">
        <v>0.24488248613182187</v>
      </c>
      <c r="L1045" t="s">
        <v>159</v>
      </c>
      <c r="N1045" t="s">
        <v>238</v>
      </c>
      <c r="O1045" t="s">
        <v>300</v>
      </c>
      <c r="P1045">
        <v>0.10233909326202546</v>
      </c>
      <c r="Q1045" t="s">
        <v>159</v>
      </c>
    </row>
    <row r="1046" spans="9:17" x14ac:dyDescent="0.45">
      <c r="I1046" t="s">
        <v>195</v>
      </c>
      <c r="J1046" t="s">
        <v>301</v>
      </c>
      <c r="K1046">
        <v>1.8500219975349425E-2</v>
      </c>
      <c r="L1046" t="s">
        <v>159</v>
      </c>
      <c r="N1046" t="s">
        <v>238</v>
      </c>
      <c r="O1046" t="s">
        <v>301</v>
      </c>
      <c r="P1046">
        <v>1.3003111508048433E-2</v>
      </c>
      <c r="Q1046" t="s">
        <v>159</v>
      </c>
    </row>
    <row r="1047" spans="9:17" x14ac:dyDescent="0.45">
      <c r="I1047" t="s">
        <v>195</v>
      </c>
      <c r="J1047" t="s">
        <v>302</v>
      </c>
      <c r="K1047">
        <v>1.1778893828134117E-2</v>
      </c>
      <c r="L1047" t="s">
        <v>159</v>
      </c>
      <c r="N1047" t="s">
        <v>238</v>
      </c>
      <c r="O1047" t="s">
        <v>302</v>
      </c>
      <c r="P1047">
        <v>1.346359315517778E-2</v>
      </c>
      <c r="Q1047" t="s">
        <v>159</v>
      </c>
    </row>
    <row r="1048" spans="9:17" x14ac:dyDescent="0.45">
      <c r="I1048" t="s">
        <v>195</v>
      </c>
      <c r="J1048" t="s">
        <v>312</v>
      </c>
      <c r="K1048">
        <v>2.9749298362287315E-4</v>
      </c>
      <c r="L1048" t="s">
        <v>159</v>
      </c>
      <c r="N1048" t="s">
        <v>238</v>
      </c>
      <c r="O1048" t="s">
        <v>312</v>
      </c>
      <c r="P1048">
        <v>7.926668522810966E-2</v>
      </c>
      <c r="Q1048" t="s">
        <v>159</v>
      </c>
    </row>
    <row r="1049" spans="9:17" x14ac:dyDescent="0.45">
      <c r="I1049" t="s">
        <v>195</v>
      </c>
      <c r="J1049" t="s">
        <v>313</v>
      </c>
      <c r="K1049">
        <v>1.896284611903916E-3</v>
      </c>
      <c r="L1049" t="s">
        <v>159</v>
      </c>
      <c r="N1049" t="s">
        <v>238</v>
      </c>
      <c r="O1049" t="s">
        <v>313</v>
      </c>
      <c r="P1049">
        <v>2.1850345301369565E-2</v>
      </c>
      <c r="Q1049" t="s">
        <v>159</v>
      </c>
    </row>
    <row r="1050" spans="9:17" x14ac:dyDescent="0.45">
      <c r="I1050" t="s">
        <v>195</v>
      </c>
      <c r="J1050" t="s">
        <v>314</v>
      </c>
      <c r="K1050">
        <v>4.0281172505274195E-3</v>
      </c>
      <c r="L1050" t="s">
        <v>159</v>
      </c>
      <c r="N1050" t="s">
        <v>238</v>
      </c>
      <c r="O1050" t="s">
        <v>314</v>
      </c>
      <c r="P1050">
        <v>1.8449523381300758E-3</v>
      </c>
      <c r="Q1050" t="s">
        <v>159</v>
      </c>
    </row>
    <row r="1051" spans="9:17" x14ac:dyDescent="0.45">
      <c r="I1051" t="s">
        <v>195</v>
      </c>
      <c r="J1051" t="s">
        <v>315</v>
      </c>
      <c r="K1051">
        <v>7.4364319072806426E-2</v>
      </c>
      <c r="L1051" t="s">
        <v>159</v>
      </c>
      <c r="N1051" t="s">
        <v>238</v>
      </c>
      <c r="O1051" t="s">
        <v>315</v>
      </c>
      <c r="P1051">
        <v>1.7841372608262723E-2</v>
      </c>
      <c r="Q1051" t="s">
        <v>159</v>
      </c>
    </row>
    <row r="1052" spans="9:17" x14ac:dyDescent="0.45">
      <c r="I1052" t="s">
        <v>195</v>
      </c>
      <c r="J1052" t="s">
        <v>316</v>
      </c>
      <c r="K1052">
        <v>4.5911304176744381E-3</v>
      </c>
      <c r="L1052" t="s">
        <v>159</v>
      </c>
      <c r="N1052" t="s">
        <v>238</v>
      </c>
      <c r="O1052" t="s">
        <v>316</v>
      </c>
      <c r="P1052">
        <v>2.7222099327366064E-3</v>
      </c>
      <c r="Q1052" t="s">
        <v>159</v>
      </c>
    </row>
    <row r="1053" spans="9:17" x14ac:dyDescent="0.45">
      <c r="I1053" t="s">
        <v>195</v>
      </c>
      <c r="J1053" t="s">
        <v>317</v>
      </c>
      <c r="K1053">
        <v>3.0399857291813453E-3</v>
      </c>
      <c r="L1053" t="s">
        <v>159</v>
      </c>
      <c r="N1053" t="s">
        <v>238</v>
      </c>
      <c r="O1053" t="s">
        <v>317</v>
      </c>
      <c r="P1053">
        <v>2.7199992694406415E-3</v>
      </c>
      <c r="Q1053" t="s">
        <v>159</v>
      </c>
    </row>
    <row r="1054" spans="9:17" x14ac:dyDescent="0.45">
      <c r="I1054" t="s">
        <v>195</v>
      </c>
      <c r="J1054" t="s">
        <v>318</v>
      </c>
      <c r="K1054">
        <v>1.542088161880457E-3</v>
      </c>
      <c r="L1054" t="s">
        <v>159</v>
      </c>
      <c r="N1054" t="s">
        <v>238</v>
      </c>
      <c r="O1054" t="s">
        <v>318</v>
      </c>
      <c r="P1054">
        <v>2.2107334419373292E-2</v>
      </c>
      <c r="Q1054" t="s">
        <v>159</v>
      </c>
    </row>
    <row r="1055" spans="9:17" x14ac:dyDescent="0.45">
      <c r="I1055" t="s">
        <v>196</v>
      </c>
      <c r="J1055" t="s">
        <v>158</v>
      </c>
      <c r="K1055">
        <v>1.4011736761520702E-3</v>
      </c>
      <c r="L1055" t="s">
        <v>159</v>
      </c>
      <c r="N1055" t="s">
        <v>239</v>
      </c>
      <c r="O1055" t="s">
        <v>158</v>
      </c>
      <c r="P1055">
        <v>0.13183328589804105</v>
      </c>
      <c r="Q1055" t="s">
        <v>159</v>
      </c>
    </row>
    <row r="1056" spans="9:17" x14ac:dyDescent="0.45">
      <c r="I1056" t="s">
        <v>196</v>
      </c>
      <c r="J1056" t="s">
        <v>160</v>
      </c>
      <c r="K1056">
        <v>1.4132730334304094E-2</v>
      </c>
      <c r="L1056" t="s">
        <v>159</v>
      </c>
      <c r="N1056" t="s">
        <v>239</v>
      </c>
      <c r="O1056" t="s">
        <v>160</v>
      </c>
      <c r="P1056">
        <v>1.6886489068172646E-2</v>
      </c>
      <c r="Q1056" t="s">
        <v>159</v>
      </c>
    </row>
    <row r="1057" spans="9:17" x14ac:dyDescent="0.45">
      <c r="I1057" t="s">
        <v>196</v>
      </c>
      <c r="J1057" t="s">
        <v>161</v>
      </c>
      <c r="K1057">
        <v>0.40448070094829947</v>
      </c>
      <c r="L1057" t="s">
        <v>159</v>
      </c>
      <c r="N1057" t="s">
        <v>239</v>
      </c>
      <c r="O1057" t="s">
        <v>161</v>
      </c>
      <c r="P1057">
        <v>0.13239682569818695</v>
      </c>
      <c r="Q1057" t="s">
        <v>159</v>
      </c>
    </row>
    <row r="1058" spans="9:17" x14ac:dyDescent="0.45">
      <c r="I1058" t="s">
        <v>196</v>
      </c>
      <c r="J1058" t="s">
        <v>287</v>
      </c>
      <c r="K1058">
        <v>3.348677814854055E-2</v>
      </c>
      <c r="L1058" t="s">
        <v>159</v>
      </c>
      <c r="N1058" t="s">
        <v>239</v>
      </c>
      <c r="O1058" t="s">
        <v>287</v>
      </c>
      <c r="P1058">
        <v>1.349440877832853E-2</v>
      </c>
      <c r="Q1058" t="s">
        <v>159</v>
      </c>
    </row>
    <row r="1059" spans="9:17" x14ac:dyDescent="0.45">
      <c r="I1059" t="s">
        <v>196</v>
      </c>
      <c r="J1059" t="s">
        <v>288</v>
      </c>
      <c r="K1059">
        <v>1.6059162652008845E-2</v>
      </c>
      <c r="L1059" t="s">
        <v>159</v>
      </c>
      <c r="N1059" t="s">
        <v>239</v>
      </c>
      <c r="O1059" t="s">
        <v>288</v>
      </c>
      <c r="P1059">
        <v>1.3216152881597512E-2</v>
      </c>
      <c r="Q1059" t="s">
        <v>159</v>
      </c>
    </row>
    <row r="1060" spans="9:17" x14ac:dyDescent="0.45">
      <c r="I1060" t="s">
        <v>196</v>
      </c>
      <c r="J1060" t="s">
        <v>308</v>
      </c>
      <c r="K1060">
        <v>4.2988725822617046E-3</v>
      </c>
      <c r="L1060" t="s">
        <v>159</v>
      </c>
      <c r="N1060" t="s">
        <v>239</v>
      </c>
      <c r="O1060" t="s">
        <v>308</v>
      </c>
      <c r="P1060">
        <v>9.2049131128418865E-2</v>
      </c>
      <c r="Q1060" t="s">
        <v>159</v>
      </c>
    </row>
    <row r="1061" spans="9:17" x14ac:dyDescent="0.45">
      <c r="I1061" t="s">
        <v>196</v>
      </c>
      <c r="J1061" t="s">
        <v>162</v>
      </c>
      <c r="K1061">
        <v>0</v>
      </c>
      <c r="L1061" t="s">
        <v>159</v>
      </c>
      <c r="N1061" t="s">
        <v>239</v>
      </c>
      <c r="O1061" t="s">
        <v>162</v>
      </c>
      <c r="P1061">
        <v>2.8134057024855417E-2</v>
      </c>
      <c r="Q1061" t="s">
        <v>159</v>
      </c>
    </row>
    <row r="1062" spans="9:17" x14ac:dyDescent="0.45">
      <c r="I1062" t="s">
        <v>196</v>
      </c>
      <c r="J1062" t="s">
        <v>163</v>
      </c>
      <c r="K1062">
        <v>0</v>
      </c>
      <c r="L1062" t="s">
        <v>159</v>
      </c>
      <c r="N1062" t="s">
        <v>239</v>
      </c>
      <c r="O1062" t="s">
        <v>163</v>
      </c>
      <c r="P1062">
        <v>4.0999833534704549E-3</v>
      </c>
      <c r="Q1062" t="s">
        <v>159</v>
      </c>
    </row>
    <row r="1063" spans="9:17" x14ac:dyDescent="0.45">
      <c r="I1063" t="s">
        <v>196</v>
      </c>
      <c r="J1063" t="s">
        <v>164</v>
      </c>
      <c r="K1063">
        <v>5.2589667073502835E-2</v>
      </c>
      <c r="L1063" t="s">
        <v>159</v>
      </c>
      <c r="N1063" t="s">
        <v>239</v>
      </c>
      <c r="O1063" t="s">
        <v>164</v>
      </c>
      <c r="P1063">
        <v>3.2039913723924056E-2</v>
      </c>
      <c r="Q1063" t="s">
        <v>159</v>
      </c>
    </row>
    <row r="1064" spans="9:17" x14ac:dyDescent="0.45">
      <c r="I1064" t="s">
        <v>196</v>
      </c>
      <c r="J1064" t="s">
        <v>289</v>
      </c>
      <c r="K1064">
        <v>4.2167043040891696E-3</v>
      </c>
      <c r="L1064" t="s">
        <v>159</v>
      </c>
      <c r="N1064" t="s">
        <v>239</v>
      </c>
      <c r="O1064" t="s">
        <v>289</v>
      </c>
      <c r="P1064">
        <v>3.0484644846938682E-3</v>
      </c>
      <c r="Q1064" t="s">
        <v>159</v>
      </c>
    </row>
    <row r="1065" spans="9:17" x14ac:dyDescent="0.45">
      <c r="I1065" t="s">
        <v>196</v>
      </c>
      <c r="J1065" t="s">
        <v>290</v>
      </c>
      <c r="K1065">
        <v>0</v>
      </c>
      <c r="L1065" t="s">
        <v>159</v>
      </c>
      <c r="N1065" t="s">
        <v>239</v>
      </c>
      <c r="O1065" t="s">
        <v>290</v>
      </c>
      <c r="P1065">
        <v>2.9521003725821405E-3</v>
      </c>
      <c r="Q1065" t="s">
        <v>159</v>
      </c>
    </row>
    <row r="1066" spans="9:17" x14ac:dyDescent="0.45">
      <c r="I1066" t="s">
        <v>196</v>
      </c>
      <c r="J1066" t="s">
        <v>309</v>
      </c>
      <c r="K1066">
        <v>0</v>
      </c>
      <c r="L1066" t="s">
        <v>159</v>
      </c>
      <c r="N1066" t="s">
        <v>239</v>
      </c>
      <c r="O1066" t="s">
        <v>309</v>
      </c>
      <c r="P1066">
        <v>1.9522906746203088E-2</v>
      </c>
      <c r="Q1066" t="s">
        <v>159</v>
      </c>
    </row>
    <row r="1067" spans="9:17" x14ac:dyDescent="0.45">
      <c r="I1067" t="s">
        <v>196</v>
      </c>
      <c r="J1067" t="s">
        <v>165</v>
      </c>
      <c r="K1067">
        <v>0</v>
      </c>
      <c r="L1067" t="s">
        <v>159</v>
      </c>
      <c r="N1067" t="s">
        <v>239</v>
      </c>
      <c r="O1067" t="s">
        <v>165</v>
      </c>
      <c r="P1067">
        <v>2.3424409443081353E-2</v>
      </c>
      <c r="Q1067" t="s">
        <v>159</v>
      </c>
    </row>
    <row r="1068" spans="9:17" x14ac:dyDescent="0.45">
      <c r="I1068" t="s">
        <v>196</v>
      </c>
      <c r="J1068" t="s">
        <v>166</v>
      </c>
      <c r="K1068">
        <v>2.0708751724862626E-4</v>
      </c>
      <c r="L1068" t="s">
        <v>159</v>
      </c>
      <c r="N1068" t="s">
        <v>239</v>
      </c>
      <c r="O1068" t="s">
        <v>166</v>
      </c>
      <c r="P1068">
        <v>3.3409687693984084E-3</v>
      </c>
      <c r="Q1068" t="s">
        <v>159</v>
      </c>
    </row>
    <row r="1069" spans="9:17" x14ac:dyDescent="0.45">
      <c r="I1069" t="s">
        <v>196</v>
      </c>
      <c r="J1069" t="s">
        <v>167</v>
      </c>
      <c r="K1069">
        <v>6.8641810144896065E-2</v>
      </c>
      <c r="L1069" t="s">
        <v>159</v>
      </c>
      <c r="N1069" t="s">
        <v>239</v>
      </c>
      <c r="O1069" t="s">
        <v>167</v>
      </c>
      <c r="P1069">
        <v>2.8826483702064871E-2</v>
      </c>
      <c r="Q1069" t="s">
        <v>159</v>
      </c>
    </row>
    <row r="1070" spans="9:17" x14ac:dyDescent="0.45">
      <c r="I1070" t="s">
        <v>196</v>
      </c>
      <c r="J1070" t="s">
        <v>291</v>
      </c>
      <c r="K1070">
        <v>6.011998727896606E-3</v>
      </c>
      <c r="L1070" t="s">
        <v>159</v>
      </c>
      <c r="N1070" t="s">
        <v>239</v>
      </c>
      <c r="O1070" t="s">
        <v>291</v>
      </c>
      <c r="P1070">
        <v>3.731215028336783E-3</v>
      </c>
      <c r="Q1070" t="s">
        <v>159</v>
      </c>
    </row>
    <row r="1071" spans="9:17" x14ac:dyDescent="0.45">
      <c r="I1071" t="s">
        <v>196</v>
      </c>
      <c r="J1071" t="s">
        <v>292</v>
      </c>
      <c r="K1071">
        <v>2.5357818873682832E-4</v>
      </c>
      <c r="L1071" t="s">
        <v>159</v>
      </c>
      <c r="N1071" t="s">
        <v>239</v>
      </c>
      <c r="O1071" t="s">
        <v>292</v>
      </c>
      <c r="P1071">
        <v>3.2653918572416022E-3</v>
      </c>
      <c r="Q1071" t="s">
        <v>159</v>
      </c>
    </row>
    <row r="1072" spans="9:17" x14ac:dyDescent="0.45">
      <c r="I1072" t="s">
        <v>196</v>
      </c>
      <c r="J1072" t="s">
        <v>310</v>
      </c>
      <c r="K1072">
        <v>0</v>
      </c>
      <c r="L1072" t="s">
        <v>159</v>
      </c>
      <c r="N1072" t="s">
        <v>239</v>
      </c>
      <c r="O1072" t="s">
        <v>310</v>
      </c>
      <c r="P1072">
        <v>1.8752878333933229E-2</v>
      </c>
      <c r="Q1072" t="s">
        <v>159</v>
      </c>
    </row>
    <row r="1073" spans="9:17" x14ac:dyDescent="0.45">
      <c r="I1073" t="s">
        <v>196</v>
      </c>
      <c r="J1073" t="s">
        <v>293</v>
      </c>
      <c r="K1073">
        <v>0</v>
      </c>
      <c r="L1073" t="s">
        <v>159</v>
      </c>
      <c r="N1073" t="s">
        <v>239</v>
      </c>
      <c r="O1073" t="s">
        <v>293</v>
      </c>
      <c r="P1073">
        <v>1.0734216538110049E-2</v>
      </c>
      <c r="Q1073" t="s">
        <v>159</v>
      </c>
    </row>
    <row r="1074" spans="9:17" x14ac:dyDescent="0.45">
      <c r="I1074" t="s">
        <v>196</v>
      </c>
      <c r="J1074" t="s">
        <v>294</v>
      </c>
      <c r="K1074">
        <v>1.0642671519283655E-3</v>
      </c>
      <c r="L1074" t="s">
        <v>159</v>
      </c>
      <c r="N1074" t="s">
        <v>239</v>
      </c>
      <c r="O1074" t="s">
        <v>294</v>
      </c>
      <c r="P1074">
        <v>1.523795713295237E-3</v>
      </c>
      <c r="Q1074" t="s">
        <v>159</v>
      </c>
    </row>
    <row r="1075" spans="9:17" x14ac:dyDescent="0.45">
      <c r="I1075" t="s">
        <v>196</v>
      </c>
      <c r="J1075" t="s">
        <v>295</v>
      </c>
      <c r="K1075">
        <v>1.6588047081399201E-2</v>
      </c>
      <c r="L1075" t="s">
        <v>159</v>
      </c>
      <c r="N1075" t="s">
        <v>239</v>
      </c>
      <c r="O1075" t="s">
        <v>295</v>
      </c>
      <c r="P1075">
        <v>1.0353152616886864E-2</v>
      </c>
      <c r="Q1075" t="s">
        <v>159</v>
      </c>
    </row>
    <row r="1076" spans="9:17" x14ac:dyDescent="0.45">
      <c r="I1076" t="s">
        <v>196</v>
      </c>
      <c r="J1076" t="s">
        <v>296</v>
      </c>
      <c r="K1076">
        <v>1.3028320979489129E-3</v>
      </c>
      <c r="L1076" t="s">
        <v>159</v>
      </c>
      <c r="N1076" t="s">
        <v>239</v>
      </c>
      <c r="O1076" t="s">
        <v>296</v>
      </c>
      <c r="P1076">
        <v>9.9631085768963441E-4</v>
      </c>
      <c r="Q1076" t="s">
        <v>159</v>
      </c>
    </row>
    <row r="1077" spans="9:17" x14ac:dyDescent="0.45">
      <c r="I1077" t="s">
        <v>196</v>
      </c>
      <c r="J1077" t="s">
        <v>297</v>
      </c>
      <c r="K1077">
        <v>9.6627248778520221E-4</v>
      </c>
      <c r="L1077" t="s">
        <v>159</v>
      </c>
      <c r="N1077" t="s">
        <v>239</v>
      </c>
      <c r="O1077" t="s">
        <v>297</v>
      </c>
      <c r="P1077">
        <v>7.3675740875014765E-4</v>
      </c>
      <c r="Q1077" t="s">
        <v>159</v>
      </c>
    </row>
    <row r="1078" spans="9:17" x14ac:dyDescent="0.45">
      <c r="I1078" t="s">
        <v>196</v>
      </c>
      <c r="J1078" t="s">
        <v>311</v>
      </c>
      <c r="K1078">
        <v>0</v>
      </c>
      <c r="L1078" t="s">
        <v>159</v>
      </c>
      <c r="N1078" t="s">
        <v>239</v>
      </c>
      <c r="O1078" t="s">
        <v>311</v>
      </c>
      <c r="P1078">
        <v>5.6141415019742413E-3</v>
      </c>
      <c r="Q1078" t="s">
        <v>159</v>
      </c>
    </row>
    <row r="1079" spans="9:17" x14ac:dyDescent="0.45">
      <c r="I1079" t="s">
        <v>196</v>
      </c>
      <c r="J1079" t="s">
        <v>298</v>
      </c>
      <c r="K1079">
        <v>3.4987641022269879E-3</v>
      </c>
      <c r="L1079" t="s">
        <v>159</v>
      </c>
      <c r="N1079" t="s">
        <v>239</v>
      </c>
      <c r="O1079" t="s">
        <v>298</v>
      </c>
      <c r="P1079">
        <v>9.4967337513492442E-2</v>
      </c>
      <c r="Q1079" t="s">
        <v>159</v>
      </c>
    </row>
    <row r="1080" spans="9:17" x14ac:dyDescent="0.45">
      <c r="I1080" t="s">
        <v>196</v>
      </c>
      <c r="J1080" t="s">
        <v>299</v>
      </c>
      <c r="K1080">
        <v>1.4488725898542025E-2</v>
      </c>
      <c r="L1080" t="s">
        <v>159</v>
      </c>
      <c r="N1080" t="s">
        <v>239</v>
      </c>
      <c r="O1080" t="s">
        <v>299</v>
      </c>
      <c r="P1080">
        <v>1.1097465894894762E-2</v>
      </c>
      <c r="Q1080" t="s">
        <v>159</v>
      </c>
    </row>
    <row r="1081" spans="9:17" x14ac:dyDescent="0.45">
      <c r="I1081" t="s">
        <v>196</v>
      </c>
      <c r="J1081" t="s">
        <v>300</v>
      </c>
      <c r="K1081">
        <v>0.24445014411272628</v>
      </c>
      <c r="L1081" t="s">
        <v>159</v>
      </c>
      <c r="N1081" t="s">
        <v>239</v>
      </c>
      <c r="O1081" t="s">
        <v>300</v>
      </c>
      <c r="P1081">
        <v>0.12378998192688366</v>
      </c>
      <c r="Q1081" t="s">
        <v>159</v>
      </c>
    </row>
    <row r="1082" spans="9:17" x14ac:dyDescent="0.45">
      <c r="I1082" t="s">
        <v>196</v>
      </c>
      <c r="J1082" t="s">
        <v>301</v>
      </c>
      <c r="K1082">
        <v>1.8928472147830073E-2</v>
      </c>
      <c r="L1082" t="s">
        <v>159</v>
      </c>
      <c r="N1082" t="s">
        <v>239</v>
      </c>
      <c r="O1082" t="s">
        <v>301</v>
      </c>
      <c r="P1082">
        <v>1.6500964670759524E-2</v>
      </c>
      <c r="Q1082" t="s">
        <v>159</v>
      </c>
    </row>
    <row r="1083" spans="9:17" x14ac:dyDescent="0.45">
      <c r="I1083" t="s">
        <v>196</v>
      </c>
      <c r="J1083" t="s">
        <v>302</v>
      </c>
      <c r="K1083">
        <v>1.1958609702241323E-2</v>
      </c>
      <c r="L1083" t="s">
        <v>159</v>
      </c>
      <c r="N1083" t="s">
        <v>239</v>
      </c>
      <c r="O1083" t="s">
        <v>302</v>
      </c>
      <c r="P1083">
        <v>1.4425500084818871E-2</v>
      </c>
      <c r="Q1083" t="s">
        <v>159</v>
      </c>
    </row>
    <row r="1084" spans="9:17" x14ac:dyDescent="0.45">
      <c r="I1084" t="s">
        <v>196</v>
      </c>
      <c r="J1084" t="s">
        <v>312</v>
      </c>
      <c r="K1084">
        <v>1.2752622135451557E-5</v>
      </c>
      <c r="L1084" t="s">
        <v>159</v>
      </c>
      <c r="N1084" t="s">
        <v>239</v>
      </c>
      <c r="O1084" t="s">
        <v>312</v>
      </c>
      <c r="P1084">
        <v>7.9790753668968206E-2</v>
      </c>
      <c r="Q1084" t="s">
        <v>159</v>
      </c>
    </row>
    <row r="1085" spans="9:17" x14ac:dyDescent="0.45">
      <c r="I1085" t="s">
        <v>196</v>
      </c>
      <c r="J1085" t="s">
        <v>313</v>
      </c>
      <c r="K1085">
        <v>1.1702635722747527E-3</v>
      </c>
      <c r="L1085" t="s">
        <v>159</v>
      </c>
      <c r="N1085" t="s">
        <v>239</v>
      </c>
      <c r="O1085" t="s">
        <v>313</v>
      </c>
      <c r="P1085">
        <v>1.8218499653342303E-2</v>
      </c>
      <c r="Q1085" t="s">
        <v>159</v>
      </c>
    </row>
    <row r="1086" spans="9:17" x14ac:dyDescent="0.45">
      <c r="I1086" t="s">
        <v>196</v>
      </c>
      <c r="J1086" t="s">
        <v>314</v>
      </c>
      <c r="K1086">
        <v>2.7869921293856709E-3</v>
      </c>
      <c r="L1086" t="s">
        <v>159</v>
      </c>
      <c r="N1086" t="s">
        <v>239</v>
      </c>
      <c r="O1086" t="s">
        <v>314</v>
      </c>
      <c r="P1086">
        <v>1.6506569782580392E-3</v>
      </c>
      <c r="Q1086" t="s">
        <v>159</v>
      </c>
    </row>
    <row r="1087" spans="9:17" x14ac:dyDescent="0.45">
      <c r="I1087" t="s">
        <v>196</v>
      </c>
      <c r="J1087" t="s">
        <v>315</v>
      </c>
      <c r="K1087">
        <v>6.8042857415190547E-2</v>
      </c>
      <c r="L1087" t="s">
        <v>159</v>
      </c>
      <c r="N1087" t="s">
        <v>239</v>
      </c>
      <c r="O1087" t="s">
        <v>315</v>
      </c>
      <c r="P1087">
        <v>1.749737688706168E-2</v>
      </c>
      <c r="Q1087" t="s">
        <v>159</v>
      </c>
    </row>
    <row r="1088" spans="9:17" x14ac:dyDescent="0.45">
      <c r="I1088" t="s">
        <v>196</v>
      </c>
      <c r="J1088" t="s">
        <v>316</v>
      </c>
      <c r="K1088">
        <v>4.5416015746014725E-3</v>
      </c>
      <c r="L1088" t="s">
        <v>159</v>
      </c>
      <c r="N1088" t="s">
        <v>239</v>
      </c>
      <c r="O1088" t="s">
        <v>316</v>
      </c>
      <c r="P1088">
        <v>2.5579534894355446E-3</v>
      </c>
      <c r="Q1088" t="s">
        <v>159</v>
      </c>
    </row>
    <row r="1089" spans="9:17" x14ac:dyDescent="0.45">
      <c r="I1089" t="s">
        <v>196</v>
      </c>
      <c r="J1089" t="s">
        <v>317</v>
      </c>
      <c r="K1089">
        <v>2.8775682820593395E-3</v>
      </c>
      <c r="L1089" t="s">
        <v>159</v>
      </c>
      <c r="N1089" t="s">
        <v>239</v>
      </c>
      <c r="O1089" t="s">
        <v>317</v>
      </c>
      <c r="P1089">
        <v>2.1802333880866615E-3</v>
      </c>
      <c r="Q1089" t="s">
        <v>159</v>
      </c>
    </row>
    <row r="1090" spans="9:17" x14ac:dyDescent="0.45">
      <c r="I1090" t="s">
        <v>196</v>
      </c>
      <c r="J1090" t="s">
        <v>318</v>
      </c>
      <c r="K1090">
        <v>1.5415653237864019E-3</v>
      </c>
      <c r="L1090" t="s">
        <v>159</v>
      </c>
      <c r="N1090" t="s">
        <v>239</v>
      </c>
      <c r="O1090" t="s">
        <v>318</v>
      </c>
      <c r="P1090">
        <v>1.6349834914761257E-2</v>
      </c>
      <c r="Q1090" t="s">
        <v>159</v>
      </c>
    </row>
    <row r="1091" spans="9:17" x14ac:dyDescent="0.45">
      <c r="I1091" t="s">
        <v>197</v>
      </c>
      <c r="J1091" t="s">
        <v>158</v>
      </c>
      <c r="K1091">
        <v>2.2684643880167103E-3</v>
      </c>
      <c r="L1091" t="s">
        <v>159</v>
      </c>
      <c r="N1091" t="s">
        <v>240</v>
      </c>
      <c r="O1091" t="s">
        <v>158</v>
      </c>
      <c r="P1091">
        <v>0.15678212210918158</v>
      </c>
      <c r="Q1091" t="s">
        <v>159</v>
      </c>
    </row>
    <row r="1092" spans="9:17" x14ac:dyDescent="0.45">
      <c r="I1092" t="s">
        <v>197</v>
      </c>
      <c r="J1092" t="s">
        <v>160</v>
      </c>
      <c r="K1092">
        <v>1.7496127057945308E-2</v>
      </c>
      <c r="L1092" t="s">
        <v>159</v>
      </c>
      <c r="N1092" t="s">
        <v>240</v>
      </c>
      <c r="O1092" t="s">
        <v>160</v>
      </c>
      <c r="P1092">
        <v>1.8706611154075761E-2</v>
      </c>
      <c r="Q1092" t="s">
        <v>159</v>
      </c>
    </row>
    <row r="1093" spans="9:17" x14ac:dyDescent="0.45">
      <c r="I1093" t="s">
        <v>197</v>
      </c>
      <c r="J1093" t="s">
        <v>161</v>
      </c>
      <c r="K1093">
        <v>0.40606496500689598</v>
      </c>
      <c r="L1093" t="s">
        <v>159</v>
      </c>
      <c r="N1093" t="s">
        <v>240</v>
      </c>
      <c r="O1093" t="s">
        <v>161</v>
      </c>
      <c r="P1093">
        <v>0.11364572519531504</v>
      </c>
      <c r="Q1093" t="s">
        <v>159</v>
      </c>
    </row>
    <row r="1094" spans="9:17" x14ac:dyDescent="0.45">
      <c r="I1094" t="s">
        <v>197</v>
      </c>
      <c r="J1094" t="s">
        <v>287</v>
      </c>
      <c r="K1094">
        <v>3.3156932188878607E-2</v>
      </c>
      <c r="L1094" t="s">
        <v>159</v>
      </c>
      <c r="N1094" t="s">
        <v>240</v>
      </c>
      <c r="O1094" t="s">
        <v>287</v>
      </c>
      <c r="P1094">
        <v>8.975984536688365E-3</v>
      </c>
      <c r="Q1094" t="s">
        <v>159</v>
      </c>
    </row>
    <row r="1095" spans="9:17" x14ac:dyDescent="0.45">
      <c r="I1095" t="s">
        <v>197</v>
      </c>
      <c r="J1095" t="s">
        <v>288</v>
      </c>
      <c r="K1095">
        <v>1.6029986658498283E-2</v>
      </c>
      <c r="L1095" t="s">
        <v>159</v>
      </c>
      <c r="N1095" t="s">
        <v>240</v>
      </c>
      <c r="O1095" t="s">
        <v>288</v>
      </c>
      <c r="P1095">
        <v>1.0809234633626425E-2</v>
      </c>
      <c r="Q1095" t="s">
        <v>159</v>
      </c>
    </row>
    <row r="1096" spans="9:17" x14ac:dyDescent="0.45">
      <c r="I1096" t="s">
        <v>197</v>
      </c>
      <c r="J1096" t="s">
        <v>308</v>
      </c>
      <c r="K1096">
        <v>4.274902393453137E-3</v>
      </c>
      <c r="L1096" t="s">
        <v>159</v>
      </c>
      <c r="N1096" t="s">
        <v>240</v>
      </c>
      <c r="O1096" t="s">
        <v>308</v>
      </c>
      <c r="P1096">
        <v>9.5909202089203019E-2</v>
      </c>
      <c r="Q1096" t="s">
        <v>159</v>
      </c>
    </row>
    <row r="1097" spans="9:17" x14ac:dyDescent="0.45">
      <c r="I1097" t="s">
        <v>197</v>
      </c>
      <c r="J1097" t="s">
        <v>162</v>
      </c>
      <c r="K1097">
        <v>0</v>
      </c>
      <c r="L1097" t="s">
        <v>159</v>
      </c>
      <c r="N1097" t="s">
        <v>240</v>
      </c>
      <c r="O1097" t="s">
        <v>162</v>
      </c>
      <c r="P1097">
        <v>3.5625905647461736E-2</v>
      </c>
      <c r="Q1097" t="s">
        <v>159</v>
      </c>
    </row>
    <row r="1098" spans="9:17" x14ac:dyDescent="0.45">
      <c r="I1098" t="s">
        <v>197</v>
      </c>
      <c r="J1098" t="s">
        <v>163</v>
      </c>
      <c r="K1098">
        <v>0</v>
      </c>
      <c r="L1098" t="s">
        <v>159</v>
      </c>
      <c r="N1098" t="s">
        <v>240</v>
      </c>
      <c r="O1098" t="s">
        <v>163</v>
      </c>
      <c r="P1098">
        <v>5.099944418802755E-3</v>
      </c>
      <c r="Q1098" t="s">
        <v>159</v>
      </c>
    </row>
    <row r="1099" spans="9:17" x14ac:dyDescent="0.45">
      <c r="I1099" t="s">
        <v>197</v>
      </c>
      <c r="J1099" t="s">
        <v>164</v>
      </c>
      <c r="K1099">
        <v>5.0006478437098503E-2</v>
      </c>
      <c r="L1099" t="s">
        <v>159</v>
      </c>
      <c r="N1099" t="s">
        <v>240</v>
      </c>
      <c r="O1099" t="s">
        <v>164</v>
      </c>
      <c r="P1099">
        <v>3.399863114449455E-2</v>
      </c>
      <c r="Q1099" t="s">
        <v>159</v>
      </c>
    </row>
    <row r="1100" spans="9:17" x14ac:dyDescent="0.45">
      <c r="I1100" t="s">
        <v>197</v>
      </c>
      <c r="J1100" t="s">
        <v>289</v>
      </c>
      <c r="K1100">
        <v>3.7663583550437947E-3</v>
      </c>
      <c r="L1100" t="s">
        <v>159</v>
      </c>
      <c r="N1100" t="s">
        <v>240</v>
      </c>
      <c r="O1100" t="s">
        <v>289</v>
      </c>
      <c r="P1100">
        <v>2.951834992854045E-3</v>
      </c>
      <c r="Q1100" t="s">
        <v>159</v>
      </c>
    </row>
    <row r="1101" spans="9:17" x14ac:dyDescent="0.45">
      <c r="I1101" t="s">
        <v>197</v>
      </c>
      <c r="J1101" t="s">
        <v>290</v>
      </c>
      <c r="K1101">
        <v>0</v>
      </c>
      <c r="L1101" t="s">
        <v>159</v>
      </c>
      <c r="N1101" t="s">
        <v>240</v>
      </c>
      <c r="O1101" t="s">
        <v>290</v>
      </c>
      <c r="P1101">
        <v>3.5418384281664357E-3</v>
      </c>
      <c r="Q1101" t="s">
        <v>159</v>
      </c>
    </row>
    <row r="1102" spans="9:17" x14ac:dyDescent="0.45">
      <c r="I1102" t="s">
        <v>197</v>
      </c>
      <c r="J1102" t="s">
        <v>309</v>
      </c>
      <c r="K1102">
        <v>0</v>
      </c>
      <c r="L1102" t="s">
        <v>159</v>
      </c>
      <c r="N1102" t="s">
        <v>240</v>
      </c>
      <c r="O1102" t="s">
        <v>309</v>
      </c>
      <c r="P1102">
        <v>2.2998284772583057E-2</v>
      </c>
      <c r="Q1102" t="s">
        <v>159</v>
      </c>
    </row>
    <row r="1103" spans="9:17" x14ac:dyDescent="0.45">
      <c r="I1103" t="s">
        <v>197</v>
      </c>
      <c r="J1103" t="s">
        <v>165</v>
      </c>
      <c r="K1103">
        <v>0</v>
      </c>
      <c r="L1103" t="s">
        <v>159</v>
      </c>
      <c r="N1103" t="s">
        <v>240</v>
      </c>
      <c r="O1103" t="s">
        <v>165</v>
      </c>
      <c r="P1103">
        <v>2.7515568754173513E-2</v>
      </c>
      <c r="Q1103" t="s">
        <v>159</v>
      </c>
    </row>
    <row r="1104" spans="9:17" x14ac:dyDescent="0.45">
      <c r="I1104" t="s">
        <v>197</v>
      </c>
      <c r="J1104" t="s">
        <v>166</v>
      </c>
      <c r="K1104">
        <v>8.5199709049969829E-4</v>
      </c>
      <c r="L1104" t="s">
        <v>159</v>
      </c>
      <c r="N1104" t="s">
        <v>240</v>
      </c>
      <c r="O1104" t="s">
        <v>166</v>
      </c>
      <c r="P1104">
        <v>3.7747654256377241E-3</v>
      </c>
      <c r="Q1104" t="s">
        <v>159</v>
      </c>
    </row>
    <row r="1105" spans="9:17" x14ac:dyDescent="0.45">
      <c r="I1105" t="s">
        <v>197</v>
      </c>
      <c r="J1105" t="s">
        <v>167</v>
      </c>
      <c r="K1105">
        <v>6.6601758344281559E-2</v>
      </c>
      <c r="L1105" t="s">
        <v>159</v>
      </c>
      <c r="N1105" t="s">
        <v>240</v>
      </c>
      <c r="O1105" t="s">
        <v>167</v>
      </c>
      <c r="P1105">
        <v>2.6829312193739196E-2</v>
      </c>
      <c r="Q1105" t="s">
        <v>159</v>
      </c>
    </row>
    <row r="1106" spans="9:17" x14ac:dyDescent="0.45">
      <c r="I1106" t="s">
        <v>197</v>
      </c>
      <c r="J1106" t="s">
        <v>291</v>
      </c>
      <c r="K1106">
        <v>5.3556598348633438E-3</v>
      </c>
      <c r="L1106" t="s">
        <v>159</v>
      </c>
      <c r="N1106" t="s">
        <v>240</v>
      </c>
      <c r="O1106" t="s">
        <v>291</v>
      </c>
      <c r="P1106">
        <v>2.6679505412336769E-3</v>
      </c>
      <c r="Q1106" t="s">
        <v>159</v>
      </c>
    </row>
    <row r="1107" spans="9:17" x14ac:dyDescent="0.45">
      <c r="I1107" t="s">
        <v>197</v>
      </c>
      <c r="J1107" t="s">
        <v>292</v>
      </c>
      <c r="K1107">
        <v>0</v>
      </c>
      <c r="L1107" t="s">
        <v>159</v>
      </c>
      <c r="N1107" t="s">
        <v>240</v>
      </c>
      <c r="O1107" t="s">
        <v>292</v>
      </c>
      <c r="P1107">
        <v>3.1533967843915046E-3</v>
      </c>
      <c r="Q1107" t="s">
        <v>159</v>
      </c>
    </row>
    <row r="1108" spans="9:17" x14ac:dyDescent="0.45">
      <c r="I1108" t="s">
        <v>197</v>
      </c>
      <c r="J1108" t="s">
        <v>310</v>
      </c>
      <c r="K1108">
        <v>0</v>
      </c>
      <c r="L1108" t="s">
        <v>159</v>
      </c>
      <c r="N1108" t="s">
        <v>240</v>
      </c>
      <c r="O1108" t="s">
        <v>310</v>
      </c>
      <c r="P1108">
        <v>2.1574220545763165E-2</v>
      </c>
      <c r="Q1108" t="s">
        <v>159</v>
      </c>
    </row>
    <row r="1109" spans="9:17" x14ac:dyDescent="0.45">
      <c r="I1109" t="s">
        <v>197</v>
      </c>
      <c r="J1109" t="s">
        <v>293</v>
      </c>
      <c r="K1109">
        <v>0</v>
      </c>
      <c r="L1109" t="s">
        <v>159</v>
      </c>
      <c r="N1109" t="s">
        <v>240</v>
      </c>
      <c r="O1109" t="s">
        <v>293</v>
      </c>
      <c r="P1109">
        <v>1.3315073604121328E-2</v>
      </c>
      <c r="Q1109" t="s">
        <v>159</v>
      </c>
    </row>
    <row r="1110" spans="9:17" x14ac:dyDescent="0.45">
      <c r="I1110" t="s">
        <v>197</v>
      </c>
      <c r="J1110" t="s">
        <v>294</v>
      </c>
      <c r="K1110">
        <v>9.6851627895289214E-4</v>
      </c>
      <c r="L1110" t="s">
        <v>159</v>
      </c>
      <c r="N1110" t="s">
        <v>240</v>
      </c>
      <c r="O1110" t="s">
        <v>294</v>
      </c>
      <c r="P1110">
        <v>1.6428717634849915E-3</v>
      </c>
      <c r="Q1110" t="s">
        <v>159</v>
      </c>
    </row>
    <row r="1111" spans="9:17" x14ac:dyDescent="0.45">
      <c r="I1111" t="s">
        <v>197</v>
      </c>
      <c r="J1111" t="s">
        <v>295</v>
      </c>
      <c r="K1111">
        <v>1.6800083075054959E-2</v>
      </c>
      <c r="L1111" t="s">
        <v>159</v>
      </c>
      <c r="N1111" t="s">
        <v>240</v>
      </c>
      <c r="O1111" t="s">
        <v>295</v>
      </c>
      <c r="P1111">
        <v>1.0532005417086855E-2</v>
      </c>
      <c r="Q1111" t="s">
        <v>159</v>
      </c>
    </row>
    <row r="1112" spans="9:17" x14ac:dyDescent="0.45">
      <c r="I1112" t="s">
        <v>197</v>
      </c>
      <c r="J1112" t="s">
        <v>296</v>
      </c>
      <c r="K1112">
        <v>1.4049502349219617E-3</v>
      </c>
      <c r="L1112" t="s">
        <v>159</v>
      </c>
      <c r="N1112" t="s">
        <v>240</v>
      </c>
      <c r="O1112" t="s">
        <v>296</v>
      </c>
      <c r="P1112">
        <v>6.281701207490742E-4</v>
      </c>
      <c r="Q1112" t="s">
        <v>159</v>
      </c>
    </row>
    <row r="1113" spans="9:17" x14ac:dyDescent="0.45">
      <c r="I1113" t="s">
        <v>197</v>
      </c>
      <c r="J1113" t="s">
        <v>297</v>
      </c>
      <c r="K1113">
        <v>1.6844547457916595E-4</v>
      </c>
      <c r="L1113" t="s">
        <v>159</v>
      </c>
      <c r="N1113" t="s">
        <v>240</v>
      </c>
      <c r="O1113" t="s">
        <v>297</v>
      </c>
      <c r="P1113">
        <v>8.4484068377726085E-4</v>
      </c>
      <c r="Q1113" t="s">
        <v>159</v>
      </c>
    </row>
    <row r="1114" spans="9:17" x14ac:dyDescent="0.45">
      <c r="I1114" t="s">
        <v>197</v>
      </c>
      <c r="J1114" t="s">
        <v>311</v>
      </c>
      <c r="K1114">
        <v>0</v>
      </c>
      <c r="L1114" t="s">
        <v>159</v>
      </c>
      <c r="N1114" t="s">
        <v>240</v>
      </c>
      <c r="O1114" t="s">
        <v>311</v>
      </c>
      <c r="P1114">
        <v>8.4629407476065135E-3</v>
      </c>
      <c r="Q1114" t="s">
        <v>159</v>
      </c>
    </row>
    <row r="1115" spans="9:17" x14ac:dyDescent="0.45">
      <c r="I1115" t="s">
        <v>197</v>
      </c>
      <c r="J1115" t="s">
        <v>298</v>
      </c>
      <c r="K1115">
        <v>5.0668435961412689E-3</v>
      </c>
      <c r="L1115" t="s">
        <v>159</v>
      </c>
      <c r="N1115" t="s">
        <v>240</v>
      </c>
      <c r="O1115" t="s">
        <v>298</v>
      </c>
      <c r="P1115">
        <v>0.10340094095561014</v>
      </c>
      <c r="Q1115" t="s">
        <v>159</v>
      </c>
    </row>
    <row r="1116" spans="9:17" x14ac:dyDescent="0.45">
      <c r="I1116" t="s">
        <v>197</v>
      </c>
      <c r="J1116" t="s">
        <v>299</v>
      </c>
      <c r="K1116">
        <v>1.5534651050565345E-2</v>
      </c>
      <c r="L1116" t="s">
        <v>159</v>
      </c>
      <c r="N1116" t="s">
        <v>240</v>
      </c>
      <c r="O1116" t="s">
        <v>299</v>
      </c>
      <c r="P1116">
        <v>1.126060938968689E-2</v>
      </c>
      <c r="Q1116" t="s">
        <v>159</v>
      </c>
    </row>
    <row r="1117" spans="9:17" x14ac:dyDescent="0.45">
      <c r="I1117" t="s">
        <v>197</v>
      </c>
      <c r="J1117" t="s">
        <v>300</v>
      </c>
      <c r="K1117">
        <v>0.24376465896163724</v>
      </c>
      <c r="L1117" t="s">
        <v>159</v>
      </c>
      <c r="N1117" t="s">
        <v>240</v>
      </c>
      <c r="O1117" t="s">
        <v>300</v>
      </c>
      <c r="P1117">
        <v>0.1046851067762363</v>
      </c>
      <c r="Q1117" t="s">
        <v>159</v>
      </c>
    </row>
    <row r="1118" spans="9:17" x14ac:dyDescent="0.45">
      <c r="I1118" t="s">
        <v>197</v>
      </c>
      <c r="J1118" t="s">
        <v>301</v>
      </c>
      <c r="K1118">
        <v>1.8128551501446988E-2</v>
      </c>
      <c r="L1118" t="s">
        <v>159</v>
      </c>
      <c r="N1118" t="s">
        <v>240</v>
      </c>
      <c r="O1118" t="s">
        <v>301</v>
      </c>
      <c r="P1118">
        <v>1.0513510056532021E-2</v>
      </c>
      <c r="Q1118" t="s">
        <v>159</v>
      </c>
    </row>
    <row r="1119" spans="9:17" x14ac:dyDescent="0.45">
      <c r="I1119" t="s">
        <v>197</v>
      </c>
      <c r="J1119" t="s">
        <v>302</v>
      </c>
      <c r="K1119">
        <v>1.136611133906487E-2</v>
      </c>
      <c r="L1119" t="s">
        <v>159</v>
      </c>
      <c r="N1119" t="s">
        <v>240</v>
      </c>
      <c r="O1119" t="s">
        <v>302</v>
      </c>
      <c r="P1119">
        <v>1.1452028835917219E-2</v>
      </c>
      <c r="Q1119" t="s">
        <v>159</v>
      </c>
    </row>
    <row r="1120" spans="9:17" x14ac:dyDescent="0.45">
      <c r="I1120" t="s">
        <v>197</v>
      </c>
      <c r="J1120" t="s">
        <v>312</v>
      </c>
      <c r="K1120">
        <v>0</v>
      </c>
      <c r="L1120" t="s">
        <v>159</v>
      </c>
      <c r="N1120" t="s">
        <v>240</v>
      </c>
      <c r="O1120" t="s">
        <v>312</v>
      </c>
      <c r="P1120">
        <v>7.6055181710855249E-2</v>
      </c>
      <c r="Q1120" t="s">
        <v>159</v>
      </c>
    </row>
    <row r="1121" spans="9:17" x14ac:dyDescent="0.45">
      <c r="I1121" t="s">
        <v>197</v>
      </c>
      <c r="J1121" t="s">
        <v>313</v>
      </c>
      <c r="K1121">
        <v>1.5837851432053591E-3</v>
      </c>
      <c r="L1121" t="s">
        <v>159</v>
      </c>
      <c r="N1121" t="s">
        <v>240</v>
      </c>
      <c r="O1121" t="s">
        <v>313</v>
      </c>
      <c r="P1121">
        <v>1.7766606145295297E-2</v>
      </c>
      <c r="Q1121" t="s">
        <v>159</v>
      </c>
    </row>
    <row r="1122" spans="9:17" x14ac:dyDescent="0.45">
      <c r="I1122" t="s">
        <v>197</v>
      </c>
      <c r="J1122" t="s">
        <v>314</v>
      </c>
      <c r="K1122">
        <v>3.1578789404314148E-3</v>
      </c>
      <c r="L1122" t="s">
        <v>159</v>
      </c>
      <c r="N1122" t="s">
        <v>240</v>
      </c>
      <c r="O1122" t="s">
        <v>314</v>
      </c>
      <c r="P1122">
        <v>1.5893123174772217E-3</v>
      </c>
      <c r="Q1122" t="s">
        <v>159</v>
      </c>
    </row>
    <row r="1123" spans="9:17" x14ac:dyDescent="0.45">
      <c r="I1123" t="s">
        <v>197</v>
      </c>
      <c r="J1123" t="s">
        <v>315</v>
      </c>
      <c r="K1123">
        <v>6.6454688844640397E-2</v>
      </c>
      <c r="L1123" t="s">
        <v>159</v>
      </c>
      <c r="N1123" t="s">
        <v>240</v>
      </c>
      <c r="O1123" t="s">
        <v>315</v>
      </c>
      <c r="P1123">
        <v>1.6561344818225143E-2</v>
      </c>
      <c r="Q1123" t="s">
        <v>159</v>
      </c>
    </row>
    <row r="1124" spans="9:17" x14ac:dyDescent="0.45">
      <c r="I1124" t="s">
        <v>197</v>
      </c>
      <c r="J1124" t="s">
        <v>316</v>
      </c>
      <c r="K1124">
        <v>4.8244488555640539E-3</v>
      </c>
      <c r="L1124" t="s">
        <v>159</v>
      </c>
      <c r="N1124" t="s">
        <v>240</v>
      </c>
      <c r="O1124" t="s">
        <v>316</v>
      </c>
      <c r="P1124">
        <v>1.8398133894223046E-3</v>
      </c>
      <c r="Q1124" t="s">
        <v>159</v>
      </c>
    </row>
    <row r="1125" spans="9:17" x14ac:dyDescent="0.45">
      <c r="I1125" t="s">
        <v>197</v>
      </c>
      <c r="J1125" t="s">
        <v>317</v>
      </c>
      <c r="K1125">
        <v>3.2354050326038044E-3</v>
      </c>
      <c r="L1125" t="s">
        <v>159</v>
      </c>
      <c r="N1125" t="s">
        <v>240</v>
      </c>
      <c r="O1125" t="s">
        <v>317</v>
      </c>
      <c r="P1125">
        <v>1.8303245448664687E-3</v>
      </c>
      <c r="Q1125" t="s">
        <v>159</v>
      </c>
    </row>
    <row r="1126" spans="9:17" x14ac:dyDescent="0.45">
      <c r="I1126" t="s">
        <v>197</v>
      </c>
      <c r="J1126" t="s">
        <v>318</v>
      </c>
      <c r="K1126">
        <v>1.6673519157128383E-3</v>
      </c>
      <c r="L1126" t="s">
        <v>159</v>
      </c>
      <c r="N1126" t="s">
        <v>240</v>
      </c>
      <c r="O1126" t="s">
        <v>318</v>
      </c>
      <c r="P1126">
        <v>1.3058785355657966E-2</v>
      </c>
      <c r="Q1126" t="s">
        <v>159</v>
      </c>
    </row>
    <row r="1127" spans="9:17" x14ac:dyDescent="0.45">
      <c r="I1127" t="s">
        <v>198</v>
      </c>
      <c r="J1127" t="s">
        <v>158</v>
      </c>
      <c r="K1127">
        <v>2.2887662839077517E-3</v>
      </c>
      <c r="L1127" t="s">
        <v>159</v>
      </c>
      <c r="N1127" t="s">
        <v>241</v>
      </c>
      <c r="O1127" t="s">
        <v>158</v>
      </c>
      <c r="P1127">
        <v>0.17204538112806925</v>
      </c>
      <c r="Q1127" t="s">
        <v>159</v>
      </c>
    </row>
    <row r="1128" spans="9:17" x14ac:dyDescent="0.45">
      <c r="I1128" t="s">
        <v>198</v>
      </c>
      <c r="J1128" t="s">
        <v>160</v>
      </c>
      <c r="K1128">
        <v>1.4837492277823661E-2</v>
      </c>
      <c r="L1128" t="s">
        <v>159</v>
      </c>
      <c r="N1128" t="s">
        <v>241</v>
      </c>
      <c r="O1128" t="s">
        <v>160</v>
      </c>
      <c r="P1128">
        <v>1.9646046665026375E-2</v>
      </c>
      <c r="Q1128" t="s">
        <v>159</v>
      </c>
    </row>
    <row r="1129" spans="9:17" x14ac:dyDescent="0.45">
      <c r="I1129" t="s">
        <v>198</v>
      </c>
      <c r="J1129" t="s">
        <v>161</v>
      </c>
      <c r="K1129">
        <v>0.39259354035948368</v>
      </c>
      <c r="L1129" t="s">
        <v>159</v>
      </c>
      <c r="N1129" t="s">
        <v>241</v>
      </c>
      <c r="O1129" t="s">
        <v>161</v>
      </c>
      <c r="P1129">
        <v>9.6230742225563298E-2</v>
      </c>
      <c r="Q1129" t="s">
        <v>159</v>
      </c>
    </row>
    <row r="1130" spans="9:17" x14ac:dyDescent="0.45">
      <c r="I1130" t="s">
        <v>198</v>
      </c>
      <c r="J1130" t="s">
        <v>287</v>
      </c>
      <c r="K1130">
        <v>3.1877372274317264E-2</v>
      </c>
      <c r="L1130" t="s">
        <v>159</v>
      </c>
      <c r="N1130" t="s">
        <v>241</v>
      </c>
      <c r="O1130" t="s">
        <v>287</v>
      </c>
      <c r="P1130">
        <v>7.30307769896767E-3</v>
      </c>
      <c r="Q1130" t="s">
        <v>159</v>
      </c>
    </row>
    <row r="1131" spans="9:17" x14ac:dyDescent="0.45">
      <c r="I1131" t="s">
        <v>198</v>
      </c>
      <c r="J1131" t="s">
        <v>288</v>
      </c>
      <c r="K1131">
        <v>1.4753194197132549E-2</v>
      </c>
      <c r="L1131" t="s">
        <v>159</v>
      </c>
      <c r="N1131" t="s">
        <v>241</v>
      </c>
      <c r="O1131" t="s">
        <v>288</v>
      </c>
      <c r="P1131">
        <v>9.4281802585894584E-3</v>
      </c>
      <c r="Q1131" t="s">
        <v>159</v>
      </c>
    </row>
    <row r="1132" spans="9:17" x14ac:dyDescent="0.45">
      <c r="I1132" t="s">
        <v>198</v>
      </c>
      <c r="J1132" t="s">
        <v>308</v>
      </c>
      <c r="K1132">
        <v>4.5033776170717004E-3</v>
      </c>
      <c r="L1132" t="s">
        <v>159</v>
      </c>
      <c r="N1132" t="s">
        <v>241</v>
      </c>
      <c r="O1132" t="s">
        <v>308</v>
      </c>
      <c r="P1132">
        <v>9.8898205256596039E-2</v>
      </c>
      <c r="Q1132" t="s">
        <v>159</v>
      </c>
    </row>
    <row r="1133" spans="9:17" x14ac:dyDescent="0.45">
      <c r="I1133" t="s">
        <v>198</v>
      </c>
      <c r="J1133" t="s">
        <v>162</v>
      </c>
      <c r="K1133">
        <v>0</v>
      </c>
      <c r="L1133" t="s">
        <v>159</v>
      </c>
      <c r="N1133" t="s">
        <v>241</v>
      </c>
      <c r="O1133" t="s">
        <v>162</v>
      </c>
      <c r="P1133">
        <v>3.7493392206090069E-2</v>
      </c>
      <c r="Q1133" t="s">
        <v>159</v>
      </c>
    </row>
    <row r="1134" spans="9:17" x14ac:dyDescent="0.45">
      <c r="I1134" t="s">
        <v>198</v>
      </c>
      <c r="J1134" t="s">
        <v>163</v>
      </c>
      <c r="K1134">
        <v>0</v>
      </c>
      <c r="L1134" t="s">
        <v>159</v>
      </c>
      <c r="N1134" t="s">
        <v>241</v>
      </c>
      <c r="O1134" t="s">
        <v>163</v>
      </c>
      <c r="P1134">
        <v>5.0888813135188124E-3</v>
      </c>
      <c r="Q1134" t="s">
        <v>159</v>
      </c>
    </row>
    <row r="1135" spans="9:17" x14ac:dyDescent="0.45">
      <c r="I1135" t="s">
        <v>198</v>
      </c>
      <c r="J1135" t="s">
        <v>164</v>
      </c>
      <c r="K1135">
        <v>4.4387112859929564E-2</v>
      </c>
      <c r="L1135" t="s">
        <v>159</v>
      </c>
      <c r="N1135" t="s">
        <v>241</v>
      </c>
      <c r="O1135" t="s">
        <v>164</v>
      </c>
      <c r="P1135">
        <v>2.7419932254944216E-2</v>
      </c>
      <c r="Q1135" t="s">
        <v>159</v>
      </c>
    </row>
    <row r="1136" spans="9:17" x14ac:dyDescent="0.45">
      <c r="I1136" t="s">
        <v>198</v>
      </c>
      <c r="J1136" t="s">
        <v>289</v>
      </c>
      <c r="K1136">
        <v>3.3489478792689425E-3</v>
      </c>
      <c r="L1136" t="s">
        <v>159</v>
      </c>
      <c r="N1136" t="s">
        <v>241</v>
      </c>
      <c r="O1136" t="s">
        <v>289</v>
      </c>
      <c r="P1136">
        <v>2.1603108694821442E-3</v>
      </c>
      <c r="Q1136" t="s">
        <v>159</v>
      </c>
    </row>
    <row r="1137" spans="9:17" x14ac:dyDescent="0.45">
      <c r="I1137" t="s">
        <v>198</v>
      </c>
      <c r="J1137" t="s">
        <v>290</v>
      </c>
      <c r="K1137">
        <v>0</v>
      </c>
      <c r="L1137" t="s">
        <v>159</v>
      </c>
      <c r="N1137" t="s">
        <v>241</v>
      </c>
      <c r="O1137" t="s">
        <v>290</v>
      </c>
      <c r="P1137">
        <v>2.8723414726112995E-3</v>
      </c>
      <c r="Q1137" t="s">
        <v>159</v>
      </c>
    </row>
    <row r="1138" spans="9:17" x14ac:dyDescent="0.45">
      <c r="I1138" t="s">
        <v>198</v>
      </c>
      <c r="J1138" t="s">
        <v>309</v>
      </c>
      <c r="K1138">
        <v>0</v>
      </c>
      <c r="L1138" t="s">
        <v>159</v>
      </c>
      <c r="N1138" t="s">
        <v>241</v>
      </c>
      <c r="O1138" t="s">
        <v>309</v>
      </c>
      <c r="P1138">
        <v>2.4465057245304705E-2</v>
      </c>
      <c r="Q1138" t="s">
        <v>159</v>
      </c>
    </row>
    <row r="1139" spans="9:17" x14ac:dyDescent="0.45">
      <c r="I1139" t="s">
        <v>198</v>
      </c>
      <c r="J1139" t="s">
        <v>165</v>
      </c>
      <c r="K1139">
        <v>0</v>
      </c>
      <c r="L1139" t="s">
        <v>159</v>
      </c>
      <c r="N1139" t="s">
        <v>241</v>
      </c>
      <c r="O1139" t="s">
        <v>165</v>
      </c>
      <c r="P1139">
        <v>3.3174596707733185E-2</v>
      </c>
      <c r="Q1139" t="s">
        <v>159</v>
      </c>
    </row>
    <row r="1140" spans="9:17" x14ac:dyDescent="0.45">
      <c r="I1140" t="s">
        <v>198</v>
      </c>
      <c r="J1140" t="s">
        <v>166</v>
      </c>
      <c r="K1140">
        <v>0</v>
      </c>
      <c r="L1140" t="s">
        <v>159</v>
      </c>
      <c r="N1140" t="s">
        <v>241</v>
      </c>
      <c r="O1140" t="s">
        <v>166</v>
      </c>
      <c r="P1140">
        <v>4.3555316919892733E-3</v>
      </c>
      <c r="Q1140" t="s">
        <v>159</v>
      </c>
    </row>
    <row r="1141" spans="9:17" x14ac:dyDescent="0.45">
      <c r="I1141" t="s">
        <v>198</v>
      </c>
      <c r="J1141" t="s">
        <v>167</v>
      </c>
      <c r="K1141">
        <v>6.5980166506954915E-2</v>
      </c>
      <c r="L1141" t="s">
        <v>159</v>
      </c>
      <c r="N1141" t="s">
        <v>241</v>
      </c>
      <c r="O1141" t="s">
        <v>167</v>
      </c>
      <c r="P1141">
        <v>2.3473593918932122E-2</v>
      </c>
      <c r="Q1141" t="s">
        <v>159</v>
      </c>
    </row>
    <row r="1142" spans="9:17" x14ac:dyDescent="0.45">
      <c r="I1142" t="s">
        <v>198</v>
      </c>
      <c r="J1142" t="s">
        <v>291</v>
      </c>
      <c r="K1142">
        <v>5.4687990843570664E-3</v>
      </c>
      <c r="L1142" t="s">
        <v>159</v>
      </c>
      <c r="N1142" t="s">
        <v>241</v>
      </c>
      <c r="O1142" t="s">
        <v>291</v>
      </c>
      <c r="P1142">
        <v>2.2120961341186188E-3</v>
      </c>
      <c r="Q1142" t="s">
        <v>159</v>
      </c>
    </row>
    <row r="1143" spans="9:17" x14ac:dyDescent="0.45">
      <c r="I1143" t="s">
        <v>198</v>
      </c>
      <c r="J1143" t="s">
        <v>292</v>
      </c>
      <c r="K1143">
        <v>6.5025514581587974E-5</v>
      </c>
      <c r="L1143" t="s">
        <v>159</v>
      </c>
      <c r="N1143" t="s">
        <v>241</v>
      </c>
      <c r="O1143" t="s">
        <v>292</v>
      </c>
      <c r="P1143">
        <v>2.6868029590994135E-3</v>
      </c>
      <c r="Q1143" t="s">
        <v>159</v>
      </c>
    </row>
    <row r="1144" spans="9:17" x14ac:dyDescent="0.45">
      <c r="I1144" t="s">
        <v>198</v>
      </c>
      <c r="J1144" t="s">
        <v>310</v>
      </c>
      <c r="K1144">
        <v>0</v>
      </c>
      <c r="L1144" t="s">
        <v>159</v>
      </c>
      <c r="N1144" t="s">
        <v>241</v>
      </c>
      <c r="O1144" t="s">
        <v>310</v>
      </c>
      <c r="P1144">
        <v>2.1918832715389438E-2</v>
      </c>
      <c r="Q1144" t="s">
        <v>159</v>
      </c>
    </row>
    <row r="1145" spans="9:17" x14ac:dyDescent="0.45">
      <c r="I1145" t="s">
        <v>198</v>
      </c>
      <c r="J1145" t="s">
        <v>293</v>
      </c>
      <c r="K1145">
        <v>0</v>
      </c>
      <c r="L1145" t="s">
        <v>159</v>
      </c>
      <c r="N1145" t="s">
        <v>241</v>
      </c>
      <c r="O1145" t="s">
        <v>293</v>
      </c>
      <c r="P1145">
        <v>1.3543794672233126E-2</v>
      </c>
      <c r="Q1145" t="s">
        <v>159</v>
      </c>
    </row>
    <row r="1146" spans="9:17" x14ac:dyDescent="0.45">
      <c r="I1146" t="s">
        <v>198</v>
      </c>
      <c r="J1146" t="s">
        <v>294</v>
      </c>
      <c r="K1146">
        <v>4.950440728222499E-4</v>
      </c>
      <c r="L1146" t="s">
        <v>159</v>
      </c>
      <c r="N1146" t="s">
        <v>241</v>
      </c>
      <c r="O1146" t="s">
        <v>294</v>
      </c>
      <c r="P1146">
        <v>1.7076466084675623E-3</v>
      </c>
      <c r="Q1146" t="s">
        <v>159</v>
      </c>
    </row>
    <row r="1147" spans="9:17" x14ac:dyDescent="0.45">
      <c r="I1147" t="s">
        <v>198</v>
      </c>
      <c r="J1147" t="s">
        <v>295</v>
      </c>
      <c r="K1147">
        <v>1.8171580776773773E-2</v>
      </c>
      <c r="L1147" t="s">
        <v>159</v>
      </c>
      <c r="N1147" t="s">
        <v>241</v>
      </c>
      <c r="O1147" t="s">
        <v>295</v>
      </c>
      <c r="P1147">
        <v>9.5502471877220232E-3</v>
      </c>
      <c r="Q1147" t="s">
        <v>159</v>
      </c>
    </row>
    <row r="1148" spans="9:17" x14ac:dyDescent="0.45">
      <c r="I1148" t="s">
        <v>198</v>
      </c>
      <c r="J1148" t="s">
        <v>296</v>
      </c>
      <c r="K1148">
        <v>1.4478568745777557E-3</v>
      </c>
      <c r="L1148" t="s">
        <v>159</v>
      </c>
      <c r="N1148" t="s">
        <v>241</v>
      </c>
      <c r="O1148" t="s">
        <v>296</v>
      </c>
      <c r="P1148">
        <v>6.1082101273011167E-4</v>
      </c>
      <c r="Q1148" t="s">
        <v>159</v>
      </c>
    </row>
    <row r="1149" spans="9:17" x14ac:dyDescent="0.45">
      <c r="I1149" t="s">
        <v>198</v>
      </c>
      <c r="J1149" t="s">
        <v>297</v>
      </c>
      <c r="K1149">
        <v>7.8455351865756525E-4</v>
      </c>
      <c r="L1149" t="s">
        <v>159</v>
      </c>
      <c r="N1149" t="s">
        <v>241</v>
      </c>
      <c r="O1149" t="s">
        <v>297</v>
      </c>
      <c r="P1149">
        <v>8.8461315388521406E-4</v>
      </c>
      <c r="Q1149" t="s">
        <v>159</v>
      </c>
    </row>
    <row r="1150" spans="9:17" x14ac:dyDescent="0.45">
      <c r="I1150" t="s">
        <v>198</v>
      </c>
      <c r="J1150" t="s">
        <v>311</v>
      </c>
      <c r="K1150">
        <v>0</v>
      </c>
      <c r="L1150" t="s">
        <v>159</v>
      </c>
      <c r="N1150" t="s">
        <v>241</v>
      </c>
      <c r="O1150" t="s">
        <v>311</v>
      </c>
      <c r="P1150">
        <v>8.4806773339857616E-3</v>
      </c>
      <c r="Q1150" t="s">
        <v>159</v>
      </c>
    </row>
    <row r="1151" spans="9:17" x14ac:dyDescent="0.45">
      <c r="I1151" t="s">
        <v>198</v>
      </c>
      <c r="J1151" t="s">
        <v>298</v>
      </c>
      <c r="K1151">
        <v>5.1371674241869501E-3</v>
      </c>
      <c r="L1151" t="s">
        <v>159</v>
      </c>
      <c r="N1151" t="s">
        <v>241</v>
      </c>
      <c r="O1151" t="s">
        <v>298</v>
      </c>
      <c r="P1151">
        <v>0.12046909532639739</v>
      </c>
      <c r="Q1151" t="s">
        <v>159</v>
      </c>
    </row>
    <row r="1152" spans="9:17" x14ac:dyDescent="0.45">
      <c r="I1152" t="s">
        <v>198</v>
      </c>
      <c r="J1152" t="s">
        <v>299</v>
      </c>
      <c r="K1152">
        <v>1.586202079661159E-2</v>
      </c>
      <c r="L1152" t="s">
        <v>159</v>
      </c>
      <c r="N1152" t="s">
        <v>241</v>
      </c>
      <c r="O1152" t="s">
        <v>299</v>
      </c>
      <c r="P1152">
        <v>1.251165894326514E-2</v>
      </c>
      <c r="Q1152" t="s">
        <v>159</v>
      </c>
    </row>
    <row r="1153" spans="9:17" x14ac:dyDescent="0.45">
      <c r="I1153" t="s">
        <v>198</v>
      </c>
      <c r="J1153" t="s">
        <v>300</v>
      </c>
      <c r="K1153">
        <v>0.25267932396711806</v>
      </c>
      <c r="L1153" t="s">
        <v>159</v>
      </c>
      <c r="N1153" t="s">
        <v>241</v>
      </c>
      <c r="O1153" t="s">
        <v>300</v>
      </c>
      <c r="P1153">
        <v>8.9578239820215955E-2</v>
      </c>
      <c r="Q1153" t="s">
        <v>159</v>
      </c>
    </row>
    <row r="1154" spans="9:17" x14ac:dyDescent="0.45">
      <c r="I1154" t="s">
        <v>198</v>
      </c>
      <c r="J1154" t="s">
        <v>301</v>
      </c>
      <c r="K1154">
        <v>1.8735215563707587E-2</v>
      </c>
      <c r="L1154" t="s">
        <v>159</v>
      </c>
      <c r="N1154" t="s">
        <v>241</v>
      </c>
      <c r="O1154" t="s">
        <v>301</v>
      </c>
      <c r="P1154">
        <v>9.5383772548197892E-3</v>
      </c>
      <c r="Q1154" t="s">
        <v>159</v>
      </c>
    </row>
    <row r="1155" spans="9:17" x14ac:dyDescent="0.45">
      <c r="I1155" t="s">
        <v>198</v>
      </c>
      <c r="J1155" t="s">
        <v>302</v>
      </c>
      <c r="K1155">
        <v>1.1749328950115651E-2</v>
      </c>
      <c r="L1155" t="s">
        <v>159</v>
      </c>
      <c r="N1155" t="s">
        <v>241</v>
      </c>
      <c r="O1155" t="s">
        <v>302</v>
      </c>
      <c r="P1155">
        <v>1.0671334114215334E-2</v>
      </c>
      <c r="Q1155" t="s">
        <v>159</v>
      </c>
    </row>
    <row r="1156" spans="9:17" x14ac:dyDescent="0.45">
      <c r="I1156" t="s">
        <v>198</v>
      </c>
      <c r="J1156" t="s">
        <v>312</v>
      </c>
      <c r="K1156">
        <v>6.5481250194211131E-4</v>
      </c>
      <c r="L1156" t="s">
        <v>159</v>
      </c>
      <c r="N1156" t="s">
        <v>241</v>
      </c>
      <c r="O1156" t="s">
        <v>312</v>
      </c>
      <c r="P1156">
        <v>7.653410871554342E-2</v>
      </c>
      <c r="Q1156" t="s">
        <v>159</v>
      </c>
    </row>
    <row r="1157" spans="9:17" x14ac:dyDescent="0.45">
      <c r="I1157" t="s">
        <v>198</v>
      </c>
      <c r="J1157" t="s">
        <v>313</v>
      </c>
      <c r="K1157">
        <v>2.5489265872553428E-3</v>
      </c>
      <c r="L1157" t="s">
        <v>159</v>
      </c>
      <c r="N1157" t="s">
        <v>241</v>
      </c>
      <c r="O1157" t="s">
        <v>313</v>
      </c>
      <c r="P1157">
        <v>2.0624576264473997E-2</v>
      </c>
      <c r="Q1157" t="s">
        <v>159</v>
      </c>
    </row>
    <row r="1158" spans="9:17" x14ac:dyDescent="0.45">
      <c r="I1158" t="s">
        <v>198</v>
      </c>
      <c r="J1158" t="s">
        <v>314</v>
      </c>
      <c r="K1158">
        <v>4.7829389384935351E-3</v>
      </c>
      <c r="L1158" t="s">
        <v>159</v>
      </c>
      <c r="N1158" t="s">
        <v>241</v>
      </c>
      <c r="O1158" t="s">
        <v>314</v>
      </c>
      <c r="P1158">
        <v>2.2875688241113996E-3</v>
      </c>
      <c r="Q1158" t="s">
        <v>159</v>
      </c>
    </row>
    <row r="1159" spans="9:17" x14ac:dyDescent="0.45">
      <c r="I1159" t="s">
        <v>198</v>
      </c>
      <c r="J1159" t="s">
        <v>315</v>
      </c>
      <c r="K1159">
        <v>7.6068542370230849E-2</v>
      </c>
      <c r="L1159" t="s">
        <v>159</v>
      </c>
      <c r="N1159" t="s">
        <v>241</v>
      </c>
      <c r="O1159" t="s">
        <v>315</v>
      </c>
      <c r="P1159">
        <v>1.397986791909985E-2</v>
      </c>
      <c r="Q1159" t="s">
        <v>159</v>
      </c>
    </row>
    <row r="1160" spans="9:17" x14ac:dyDescent="0.45">
      <c r="I1160" t="s">
        <v>198</v>
      </c>
      <c r="J1160" t="s">
        <v>316</v>
      </c>
      <c r="K1160">
        <v>5.1800880877994051E-3</v>
      </c>
      <c r="L1160" t="s">
        <v>159</v>
      </c>
      <c r="N1160" t="s">
        <v>241</v>
      </c>
      <c r="O1160" t="s">
        <v>316</v>
      </c>
      <c r="P1160">
        <v>1.4825580768623124E-3</v>
      </c>
      <c r="Q1160" t="s">
        <v>159</v>
      </c>
    </row>
    <row r="1161" spans="9:17" x14ac:dyDescent="0.45">
      <c r="I1161" t="s">
        <v>198</v>
      </c>
      <c r="J1161" t="s">
        <v>317</v>
      </c>
      <c r="K1161">
        <v>3.6443253457072887E-3</v>
      </c>
      <c r="L1161" t="s">
        <v>159</v>
      </c>
      <c r="N1161" t="s">
        <v>241</v>
      </c>
      <c r="O1161" t="s">
        <v>317</v>
      </c>
      <c r="P1161">
        <v>1.8416034797818703E-3</v>
      </c>
      <c r="Q1161" t="s">
        <v>159</v>
      </c>
    </row>
    <row r="1162" spans="9:17" x14ac:dyDescent="0.45">
      <c r="I1162" t="s">
        <v>198</v>
      </c>
      <c r="J1162" t="s">
        <v>318</v>
      </c>
      <c r="K1162">
        <v>1.9544793691761504E-3</v>
      </c>
      <c r="L1162" t="s">
        <v>159</v>
      </c>
      <c r="N1162" t="s">
        <v>241</v>
      </c>
      <c r="O1162" t="s">
        <v>318</v>
      </c>
      <c r="P1162">
        <v>1.483020857016161E-2</v>
      </c>
      <c r="Q1162" t="s">
        <v>159</v>
      </c>
    </row>
    <row r="1163" spans="9:17" x14ac:dyDescent="0.45">
      <c r="I1163" t="s">
        <v>199</v>
      </c>
      <c r="J1163" t="s">
        <v>158</v>
      </c>
      <c r="K1163">
        <v>1.7779559207773254E-3</v>
      </c>
      <c r="L1163" t="s">
        <v>159</v>
      </c>
      <c r="N1163" t="s">
        <v>242</v>
      </c>
      <c r="O1163" t="s">
        <v>158</v>
      </c>
      <c r="P1163">
        <v>0.17507117408146386</v>
      </c>
      <c r="Q1163" t="s">
        <v>159</v>
      </c>
    </row>
    <row r="1164" spans="9:17" x14ac:dyDescent="0.45">
      <c r="I1164" t="s">
        <v>199</v>
      </c>
      <c r="J1164" t="s">
        <v>160</v>
      </c>
      <c r="K1164">
        <v>1.4104062841396632E-2</v>
      </c>
      <c r="L1164" t="s">
        <v>159</v>
      </c>
      <c r="N1164" t="s">
        <v>242</v>
      </c>
      <c r="O1164" t="s">
        <v>160</v>
      </c>
      <c r="P1164">
        <v>2.1065920493742073E-2</v>
      </c>
      <c r="Q1164" t="s">
        <v>159</v>
      </c>
    </row>
    <row r="1165" spans="9:17" x14ac:dyDescent="0.45">
      <c r="I1165" t="s">
        <v>199</v>
      </c>
      <c r="J1165" t="s">
        <v>161</v>
      </c>
      <c r="K1165">
        <v>0.38609738534882759</v>
      </c>
      <c r="L1165" t="s">
        <v>159</v>
      </c>
      <c r="N1165" t="s">
        <v>242</v>
      </c>
      <c r="O1165" t="s">
        <v>161</v>
      </c>
      <c r="P1165">
        <v>0.1247388821353568</v>
      </c>
      <c r="Q1165" t="s">
        <v>159</v>
      </c>
    </row>
    <row r="1166" spans="9:17" x14ac:dyDescent="0.45">
      <c r="I1166" t="s">
        <v>199</v>
      </c>
      <c r="J1166" t="s">
        <v>287</v>
      </c>
      <c r="K1166">
        <v>3.1470979613426542E-2</v>
      </c>
      <c r="L1166" t="s">
        <v>159</v>
      </c>
      <c r="N1166" t="s">
        <v>242</v>
      </c>
      <c r="O1166" t="s">
        <v>287</v>
      </c>
      <c r="P1166">
        <v>9.6310347515321422E-3</v>
      </c>
      <c r="Q1166" t="s">
        <v>159</v>
      </c>
    </row>
    <row r="1167" spans="9:17" x14ac:dyDescent="0.45">
      <c r="I1167" t="s">
        <v>199</v>
      </c>
      <c r="J1167" t="s">
        <v>288</v>
      </c>
      <c r="K1167">
        <v>1.5083141187145132E-2</v>
      </c>
      <c r="L1167" t="s">
        <v>159</v>
      </c>
      <c r="N1167" t="s">
        <v>242</v>
      </c>
      <c r="O1167" t="s">
        <v>288</v>
      </c>
      <c r="P1167">
        <v>1.1020798660315486E-2</v>
      </c>
      <c r="Q1167" t="s">
        <v>159</v>
      </c>
    </row>
    <row r="1168" spans="9:17" x14ac:dyDescent="0.45">
      <c r="I1168" t="s">
        <v>199</v>
      </c>
      <c r="J1168" t="s">
        <v>308</v>
      </c>
      <c r="K1168">
        <v>5.4278135817539029E-3</v>
      </c>
      <c r="L1168" t="s">
        <v>159</v>
      </c>
      <c r="N1168" t="s">
        <v>242</v>
      </c>
      <c r="O1168" t="s">
        <v>308</v>
      </c>
      <c r="P1168">
        <v>0.1017629231048284</v>
      </c>
      <c r="Q1168" t="s">
        <v>159</v>
      </c>
    </row>
    <row r="1169" spans="9:17" x14ac:dyDescent="0.45">
      <c r="I1169" t="s">
        <v>199</v>
      </c>
      <c r="J1169" t="s">
        <v>162</v>
      </c>
      <c r="K1169">
        <v>0</v>
      </c>
      <c r="L1169" t="s">
        <v>159</v>
      </c>
      <c r="N1169" t="s">
        <v>242</v>
      </c>
      <c r="O1169" t="s">
        <v>162</v>
      </c>
      <c r="P1169">
        <v>3.2847053908803721E-2</v>
      </c>
      <c r="Q1169" t="s">
        <v>159</v>
      </c>
    </row>
    <row r="1170" spans="9:17" x14ac:dyDescent="0.45">
      <c r="I1170" t="s">
        <v>199</v>
      </c>
      <c r="J1170" t="s">
        <v>163</v>
      </c>
      <c r="K1170">
        <v>0</v>
      </c>
      <c r="L1170" t="s">
        <v>159</v>
      </c>
      <c r="N1170" t="s">
        <v>242</v>
      </c>
      <c r="O1170" t="s">
        <v>163</v>
      </c>
      <c r="P1170">
        <v>4.9620080681518058E-3</v>
      </c>
      <c r="Q1170" t="s">
        <v>159</v>
      </c>
    </row>
    <row r="1171" spans="9:17" x14ac:dyDescent="0.45">
      <c r="I1171" t="s">
        <v>199</v>
      </c>
      <c r="J1171" t="s">
        <v>164</v>
      </c>
      <c r="K1171">
        <v>4.8333978631126741E-2</v>
      </c>
      <c r="L1171" t="s">
        <v>159</v>
      </c>
      <c r="N1171" t="s">
        <v>242</v>
      </c>
      <c r="O1171" t="s">
        <v>164</v>
      </c>
      <c r="P1171">
        <v>3.2305122465650017E-2</v>
      </c>
      <c r="Q1171" t="s">
        <v>159</v>
      </c>
    </row>
    <row r="1172" spans="9:17" x14ac:dyDescent="0.45">
      <c r="I1172" t="s">
        <v>199</v>
      </c>
      <c r="J1172" t="s">
        <v>289</v>
      </c>
      <c r="K1172">
        <v>4.2235806289412812E-3</v>
      </c>
      <c r="L1172" t="s">
        <v>159</v>
      </c>
      <c r="N1172" t="s">
        <v>242</v>
      </c>
      <c r="O1172" t="s">
        <v>289</v>
      </c>
      <c r="P1172">
        <v>2.3247596440027513E-3</v>
      </c>
      <c r="Q1172" t="s">
        <v>159</v>
      </c>
    </row>
    <row r="1173" spans="9:17" x14ac:dyDescent="0.45">
      <c r="I1173" t="s">
        <v>199</v>
      </c>
      <c r="J1173" t="s">
        <v>290</v>
      </c>
      <c r="K1173">
        <v>0</v>
      </c>
      <c r="L1173" t="s">
        <v>159</v>
      </c>
      <c r="N1173" t="s">
        <v>242</v>
      </c>
      <c r="O1173" t="s">
        <v>290</v>
      </c>
      <c r="P1173">
        <v>2.5197569316670718E-3</v>
      </c>
      <c r="Q1173" t="s">
        <v>159</v>
      </c>
    </row>
    <row r="1174" spans="9:17" x14ac:dyDescent="0.45">
      <c r="I1174" t="s">
        <v>199</v>
      </c>
      <c r="J1174" t="s">
        <v>309</v>
      </c>
      <c r="K1174">
        <v>0</v>
      </c>
      <c r="L1174" t="s">
        <v>159</v>
      </c>
      <c r="N1174" t="s">
        <v>242</v>
      </c>
      <c r="O1174" t="s">
        <v>309</v>
      </c>
      <c r="P1174">
        <v>1.8619694129171718E-2</v>
      </c>
      <c r="Q1174" t="s">
        <v>159</v>
      </c>
    </row>
    <row r="1175" spans="9:17" x14ac:dyDescent="0.45">
      <c r="I1175" t="s">
        <v>199</v>
      </c>
      <c r="J1175" t="s">
        <v>165</v>
      </c>
      <c r="K1175">
        <v>0</v>
      </c>
      <c r="L1175" t="s">
        <v>159</v>
      </c>
      <c r="N1175" t="s">
        <v>242</v>
      </c>
      <c r="O1175" t="s">
        <v>165</v>
      </c>
      <c r="P1175">
        <v>3.0220333074240147E-2</v>
      </c>
      <c r="Q1175" t="s">
        <v>159</v>
      </c>
    </row>
    <row r="1176" spans="9:17" x14ac:dyDescent="0.45">
      <c r="I1176" t="s">
        <v>199</v>
      </c>
      <c r="J1176" t="s">
        <v>166</v>
      </c>
      <c r="K1176">
        <v>0</v>
      </c>
      <c r="L1176" t="s">
        <v>159</v>
      </c>
      <c r="N1176" t="s">
        <v>242</v>
      </c>
      <c r="O1176" t="s">
        <v>166</v>
      </c>
      <c r="P1176">
        <v>4.1476311003947174E-3</v>
      </c>
      <c r="Q1176" t="s">
        <v>159</v>
      </c>
    </row>
    <row r="1177" spans="9:17" x14ac:dyDescent="0.45">
      <c r="I1177" t="s">
        <v>199</v>
      </c>
      <c r="J1177" t="s">
        <v>167</v>
      </c>
      <c r="K1177">
        <v>6.6696736641517179E-2</v>
      </c>
      <c r="L1177" t="s">
        <v>159</v>
      </c>
      <c r="N1177" t="s">
        <v>242</v>
      </c>
      <c r="O1177" t="s">
        <v>167</v>
      </c>
      <c r="P1177">
        <v>2.5613988171085941E-2</v>
      </c>
      <c r="Q1177" t="s">
        <v>159</v>
      </c>
    </row>
    <row r="1178" spans="9:17" x14ac:dyDescent="0.45">
      <c r="I1178" t="s">
        <v>199</v>
      </c>
      <c r="J1178" t="s">
        <v>291</v>
      </c>
      <c r="K1178">
        <v>6.3655913487826038E-3</v>
      </c>
      <c r="L1178" t="s">
        <v>159</v>
      </c>
      <c r="N1178" t="s">
        <v>242</v>
      </c>
      <c r="O1178" t="s">
        <v>291</v>
      </c>
      <c r="P1178">
        <v>2.5125086056690059E-3</v>
      </c>
      <c r="Q1178" t="s">
        <v>159</v>
      </c>
    </row>
    <row r="1179" spans="9:17" x14ac:dyDescent="0.45">
      <c r="I1179" t="s">
        <v>199</v>
      </c>
      <c r="J1179" t="s">
        <v>292</v>
      </c>
      <c r="K1179">
        <v>1.5418727412841501E-3</v>
      </c>
      <c r="L1179" t="s">
        <v>159</v>
      </c>
      <c r="N1179" t="s">
        <v>242</v>
      </c>
      <c r="O1179" t="s">
        <v>292</v>
      </c>
      <c r="P1179">
        <v>2.8990610596775954E-3</v>
      </c>
      <c r="Q1179" t="s">
        <v>159</v>
      </c>
    </row>
    <row r="1180" spans="9:17" x14ac:dyDescent="0.45">
      <c r="I1180" t="s">
        <v>199</v>
      </c>
      <c r="J1180" t="s">
        <v>310</v>
      </c>
      <c r="K1180">
        <v>0</v>
      </c>
      <c r="L1180" t="s">
        <v>159</v>
      </c>
      <c r="N1180" t="s">
        <v>242</v>
      </c>
      <c r="O1180" t="s">
        <v>310</v>
      </c>
      <c r="P1180">
        <v>2.0117716566914697E-2</v>
      </c>
      <c r="Q1180" t="s">
        <v>159</v>
      </c>
    </row>
    <row r="1181" spans="9:17" x14ac:dyDescent="0.45">
      <c r="I1181" t="s">
        <v>199</v>
      </c>
      <c r="J1181" t="s">
        <v>293</v>
      </c>
      <c r="K1181">
        <v>0</v>
      </c>
      <c r="L1181" t="s">
        <v>159</v>
      </c>
      <c r="N1181" t="s">
        <v>242</v>
      </c>
      <c r="O1181" t="s">
        <v>293</v>
      </c>
      <c r="P1181">
        <v>1.1377326684686714E-2</v>
      </c>
      <c r="Q1181" t="s">
        <v>159</v>
      </c>
    </row>
    <row r="1182" spans="9:17" x14ac:dyDescent="0.45">
      <c r="I1182" t="s">
        <v>199</v>
      </c>
      <c r="J1182" t="s">
        <v>294</v>
      </c>
      <c r="K1182">
        <v>4.9481589419001762E-5</v>
      </c>
      <c r="L1182" t="s">
        <v>159</v>
      </c>
      <c r="N1182" t="s">
        <v>242</v>
      </c>
      <c r="O1182" t="s">
        <v>294</v>
      </c>
      <c r="P1182">
        <v>1.3791070788456762E-3</v>
      </c>
      <c r="Q1182" t="s">
        <v>159</v>
      </c>
    </row>
    <row r="1183" spans="9:17" x14ac:dyDescent="0.45">
      <c r="I1183" t="s">
        <v>199</v>
      </c>
      <c r="J1183" t="s">
        <v>295</v>
      </c>
      <c r="K1183">
        <v>1.7040794545696063E-2</v>
      </c>
      <c r="L1183" t="s">
        <v>159</v>
      </c>
      <c r="N1183" t="s">
        <v>242</v>
      </c>
      <c r="O1183" t="s">
        <v>295</v>
      </c>
      <c r="P1183">
        <v>1.0637349405477271E-2</v>
      </c>
      <c r="Q1183" t="s">
        <v>159</v>
      </c>
    </row>
    <row r="1184" spans="9:17" x14ac:dyDescent="0.45">
      <c r="I1184" t="s">
        <v>199</v>
      </c>
      <c r="J1184" t="s">
        <v>296</v>
      </c>
      <c r="K1184">
        <v>1.5390715171547352E-3</v>
      </c>
      <c r="L1184" t="s">
        <v>159</v>
      </c>
      <c r="N1184" t="s">
        <v>242</v>
      </c>
      <c r="O1184" t="s">
        <v>296</v>
      </c>
      <c r="P1184">
        <v>8.617887971417988E-4</v>
      </c>
      <c r="Q1184" t="s">
        <v>159</v>
      </c>
    </row>
    <row r="1185" spans="9:17" x14ac:dyDescent="0.45">
      <c r="I1185" t="s">
        <v>199</v>
      </c>
      <c r="J1185" t="s">
        <v>297</v>
      </c>
      <c r="K1185">
        <v>1.2441224184560949E-3</v>
      </c>
      <c r="L1185" t="s">
        <v>159</v>
      </c>
      <c r="N1185" t="s">
        <v>242</v>
      </c>
      <c r="O1185" t="s">
        <v>297</v>
      </c>
      <c r="P1185">
        <v>8.62414876161883E-4</v>
      </c>
      <c r="Q1185" t="s">
        <v>159</v>
      </c>
    </row>
    <row r="1186" spans="9:17" x14ac:dyDescent="0.45">
      <c r="I1186" t="s">
        <v>199</v>
      </c>
      <c r="J1186" t="s">
        <v>311</v>
      </c>
      <c r="K1186">
        <v>0</v>
      </c>
      <c r="L1186" t="s">
        <v>159</v>
      </c>
      <c r="N1186" t="s">
        <v>242</v>
      </c>
      <c r="O1186" t="s">
        <v>311</v>
      </c>
      <c r="P1186">
        <v>6.5639530972899313E-3</v>
      </c>
      <c r="Q1186" t="s">
        <v>159</v>
      </c>
    </row>
    <row r="1187" spans="9:17" x14ac:dyDescent="0.45">
      <c r="I1187" t="s">
        <v>199</v>
      </c>
      <c r="J1187" t="s">
        <v>298</v>
      </c>
      <c r="K1187">
        <v>4.5179473294284537E-3</v>
      </c>
      <c r="L1187" t="s">
        <v>159</v>
      </c>
      <c r="N1187" t="s">
        <v>242</v>
      </c>
      <c r="O1187" t="s">
        <v>298</v>
      </c>
      <c r="P1187">
        <v>0.10275538086202547</v>
      </c>
      <c r="Q1187" t="s">
        <v>159</v>
      </c>
    </row>
    <row r="1188" spans="9:17" x14ac:dyDescent="0.45">
      <c r="I1188" t="s">
        <v>199</v>
      </c>
      <c r="J1188" t="s">
        <v>299</v>
      </c>
      <c r="K1188">
        <v>1.6871546076392872E-2</v>
      </c>
      <c r="L1188" t="s">
        <v>159</v>
      </c>
      <c r="N1188" t="s">
        <v>242</v>
      </c>
      <c r="O1188" t="s">
        <v>299</v>
      </c>
      <c r="P1188">
        <v>1.0117607333159164E-2</v>
      </c>
      <c r="Q1188" t="s">
        <v>159</v>
      </c>
    </row>
    <row r="1189" spans="9:17" x14ac:dyDescent="0.45">
      <c r="I1189" t="s">
        <v>199</v>
      </c>
      <c r="J1189" t="s">
        <v>300</v>
      </c>
      <c r="K1189">
        <v>0.25182450337646117</v>
      </c>
      <c r="L1189" t="s">
        <v>159</v>
      </c>
      <c r="N1189" t="s">
        <v>242</v>
      </c>
      <c r="O1189" t="s">
        <v>300</v>
      </c>
      <c r="P1189">
        <v>8.0990190348909599E-2</v>
      </c>
      <c r="Q1189" t="s">
        <v>159</v>
      </c>
    </row>
    <row r="1190" spans="9:17" x14ac:dyDescent="0.45">
      <c r="I1190" t="s">
        <v>199</v>
      </c>
      <c r="J1190" t="s">
        <v>301</v>
      </c>
      <c r="K1190">
        <v>2.0083281506225834E-2</v>
      </c>
      <c r="L1190" t="s">
        <v>159</v>
      </c>
      <c r="N1190" t="s">
        <v>242</v>
      </c>
      <c r="O1190" t="s">
        <v>301</v>
      </c>
      <c r="P1190">
        <v>1.025030154789424E-2</v>
      </c>
      <c r="Q1190" t="s">
        <v>159</v>
      </c>
    </row>
    <row r="1191" spans="9:17" x14ac:dyDescent="0.45">
      <c r="I1191" t="s">
        <v>199</v>
      </c>
      <c r="J1191" t="s">
        <v>302</v>
      </c>
      <c r="K1191">
        <v>1.3682373327616952E-2</v>
      </c>
      <c r="L1191" t="s">
        <v>159</v>
      </c>
      <c r="N1191" t="s">
        <v>242</v>
      </c>
      <c r="O1191" t="s">
        <v>302</v>
      </c>
      <c r="P1191">
        <v>1.0486311978856747E-2</v>
      </c>
      <c r="Q1191" t="s">
        <v>159</v>
      </c>
    </row>
    <row r="1192" spans="9:17" x14ac:dyDescent="0.45">
      <c r="I1192" t="s">
        <v>199</v>
      </c>
      <c r="J1192" t="s">
        <v>312</v>
      </c>
      <c r="K1192">
        <v>8.9693267794155329E-4</v>
      </c>
      <c r="L1192" t="s">
        <v>159</v>
      </c>
      <c r="N1192" t="s">
        <v>242</v>
      </c>
      <c r="O1192" t="s">
        <v>312</v>
      </c>
      <c r="P1192">
        <v>6.8456251741493321E-2</v>
      </c>
      <c r="Q1192" t="s">
        <v>159</v>
      </c>
    </row>
    <row r="1193" spans="9:17" x14ac:dyDescent="0.45">
      <c r="I1193" t="s">
        <v>199</v>
      </c>
      <c r="J1193" t="s">
        <v>313</v>
      </c>
      <c r="K1193">
        <v>2.4046848273867254E-3</v>
      </c>
      <c r="L1193" t="s">
        <v>159</v>
      </c>
      <c r="N1193" t="s">
        <v>242</v>
      </c>
      <c r="O1193" t="s">
        <v>313</v>
      </c>
      <c r="P1193">
        <v>2.6085969351339805E-2</v>
      </c>
      <c r="Q1193" t="s">
        <v>159</v>
      </c>
    </row>
    <row r="1194" spans="9:17" x14ac:dyDescent="0.45">
      <c r="I1194" t="s">
        <v>199</v>
      </c>
      <c r="J1194" t="s">
        <v>314</v>
      </c>
      <c r="K1194">
        <v>4.6174433449915403E-3</v>
      </c>
      <c r="L1194" t="s">
        <v>159</v>
      </c>
      <c r="N1194" t="s">
        <v>242</v>
      </c>
      <c r="O1194" t="s">
        <v>314</v>
      </c>
      <c r="P1194">
        <v>2.2987352731578476E-3</v>
      </c>
      <c r="Q1194" t="s">
        <v>159</v>
      </c>
    </row>
    <row r="1195" spans="9:17" x14ac:dyDescent="0.45">
      <c r="I1195" t="s">
        <v>199</v>
      </c>
      <c r="J1195" t="s">
        <v>315</v>
      </c>
      <c r="K1195">
        <v>7.3875091092421796E-2</v>
      </c>
      <c r="L1195" t="s">
        <v>159</v>
      </c>
      <c r="N1195" t="s">
        <v>242</v>
      </c>
      <c r="O1195" t="s">
        <v>315</v>
      </c>
      <c r="P1195">
        <v>1.4071752038800308E-2</v>
      </c>
      <c r="Q1195" t="s">
        <v>159</v>
      </c>
    </row>
    <row r="1196" spans="9:17" x14ac:dyDescent="0.45">
      <c r="I1196" t="s">
        <v>199</v>
      </c>
      <c r="J1196" t="s">
        <v>316</v>
      </c>
      <c r="K1196">
        <v>4.8854110937656637E-3</v>
      </c>
      <c r="L1196" t="s">
        <v>159</v>
      </c>
      <c r="N1196" t="s">
        <v>242</v>
      </c>
      <c r="O1196" t="s">
        <v>316</v>
      </c>
      <c r="P1196">
        <v>1.6766713563553964E-3</v>
      </c>
      <c r="Q1196" t="s">
        <v>159</v>
      </c>
    </row>
    <row r="1197" spans="9:17" x14ac:dyDescent="0.45">
      <c r="I1197" t="s">
        <v>199</v>
      </c>
      <c r="J1197" t="s">
        <v>317</v>
      </c>
      <c r="K1197">
        <v>3.5307877081867047E-3</v>
      </c>
      <c r="L1197" t="s">
        <v>159</v>
      </c>
      <c r="N1197" t="s">
        <v>242</v>
      </c>
      <c r="O1197" t="s">
        <v>317</v>
      </c>
      <c r="P1197">
        <v>1.9421958239039302E-3</v>
      </c>
      <c r="Q1197" t="s">
        <v>159</v>
      </c>
    </row>
    <row r="1198" spans="9:17" x14ac:dyDescent="0.45">
      <c r="I1198" t="s">
        <v>199</v>
      </c>
      <c r="J1198" t="s">
        <v>318</v>
      </c>
      <c r="K1198">
        <v>1.8134290834749679E-3</v>
      </c>
      <c r="L1198" t="s">
        <v>159</v>
      </c>
      <c r="N1198" t="s">
        <v>242</v>
      </c>
      <c r="O1198" t="s">
        <v>318</v>
      </c>
      <c r="P1198">
        <v>1.6806325451832652E-2</v>
      </c>
      <c r="Q1198" t="s">
        <v>159</v>
      </c>
    </row>
    <row r="1199" spans="9:17" x14ac:dyDescent="0.45">
      <c r="I1199" t="s">
        <v>200</v>
      </c>
      <c r="J1199" t="s">
        <v>158</v>
      </c>
      <c r="K1199">
        <v>1.6412378011180526E-3</v>
      </c>
      <c r="L1199" t="s">
        <v>159</v>
      </c>
      <c r="N1199" t="s">
        <v>243</v>
      </c>
      <c r="O1199" t="s">
        <v>158</v>
      </c>
      <c r="P1199">
        <v>0.1588613773653639</v>
      </c>
      <c r="Q1199" t="s">
        <v>159</v>
      </c>
    </row>
    <row r="1200" spans="9:17" x14ac:dyDescent="0.45">
      <c r="I1200" t="s">
        <v>200</v>
      </c>
      <c r="J1200" t="s">
        <v>160</v>
      </c>
      <c r="K1200">
        <v>1.16205588274485E-2</v>
      </c>
      <c r="L1200" t="s">
        <v>159</v>
      </c>
      <c r="N1200" t="s">
        <v>243</v>
      </c>
      <c r="O1200" t="s">
        <v>160</v>
      </c>
      <c r="P1200">
        <v>2.0480534652001441E-2</v>
      </c>
      <c r="Q1200" t="s">
        <v>159</v>
      </c>
    </row>
    <row r="1201" spans="9:17" x14ac:dyDescent="0.45">
      <c r="I1201" t="s">
        <v>200</v>
      </c>
      <c r="J1201" t="s">
        <v>161</v>
      </c>
      <c r="K1201">
        <v>0.37825943623265146</v>
      </c>
      <c r="L1201" t="s">
        <v>159</v>
      </c>
      <c r="N1201" t="s">
        <v>243</v>
      </c>
      <c r="O1201" t="s">
        <v>161</v>
      </c>
      <c r="P1201">
        <v>0.15420836610977909</v>
      </c>
      <c r="Q1201" t="s">
        <v>159</v>
      </c>
    </row>
    <row r="1202" spans="9:17" x14ac:dyDescent="0.45">
      <c r="I1202" t="s">
        <v>200</v>
      </c>
      <c r="J1202" t="s">
        <v>287</v>
      </c>
      <c r="K1202">
        <v>3.2838004293692338E-2</v>
      </c>
      <c r="L1202" t="s">
        <v>159</v>
      </c>
      <c r="N1202" t="s">
        <v>243</v>
      </c>
      <c r="O1202" t="s">
        <v>287</v>
      </c>
      <c r="P1202">
        <v>1.3901719954538087E-2</v>
      </c>
      <c r="Q1202" t="s">
        <v>159</v>
      </c>
    </row>
    <row r="1203" spans="9:17" x14ac:dyDescent="0.45">
      <c r="I1203" t="s">
        <v>200</v>
      </c>
      <c r="J1203" t="s">
        <v>288</v>
      </c>
      <c r="K1203">
        <v>1.6647631067076753E-2</v>
      </c>
      <c r="L1203" t="s">
        <v>159</v>
      </c>
      <c r="N1203" t="s">
        <v>243</v>
      </c>
      <c r="O1203" t="s">
        <v>288</v>
      </c>
      <c r="P1203">
        <v>1.453391856674882E-2</v>
      </c>
      <c r="Q1203" t="s">
        <v>159</v>
      </c>
    </row>
    <row r="1204" spans="9:17" x14ac:dyDescent="0.45">
      <c r="I1204" t="s">
        <v>200</v>
      </c>
      <c r="J1204" t="s">
        <v>308</v>
      </c>
      <c r="K1204">
        <v>6.3052349182988092E-3</v>
      </c>
      <c r="L1204" t="s">
        <v>159</v>
      </c>
      <c r="N1204" t="s">
        <v>243</v>
      </c>
      <c r="O1204" t="s">
        <v>308</v>
      </c>
      <c r="P1204">
        <v>9.9519382664889244E-2</v>
      </c>
      <c r="Q1204" t="s">
        <v>159</v>
      </c>
    </row>
    <row r="1205" spans="9:17" x14ac:dyDescent="0.45">
      <c r="I1205" t="s">
        <v>200</v>
      </c>
      <c r="J1205" t="s">
        <v>162</v>
      </c>
      <c r="K1205">
        <v>0</v>
      </c>
      <c r="L1205" t="s">
        <v>159</v>
      </c>
      <c r="N1205" t="s">
        <v>243</v>
      </c>
      <c r="O1205" t="s">
        <v>162</v>
      </c>
      <c r="P1205">
        <v>2.7619267454472921E-2</v>
      </c>
      <c r="Q1205" t="s">
        <v>159</v>
      </c>
    </row>
    <row r="1206" spans="9:17" x14ac:dyDescent="0.45">
      <c r="I1206" t="s">
        <v>200</v>
      </c>
      <c r="J1206" t="s">
        <v>163</v>
      </c>
      <c r="K1206">
        <v>0</v>
      </c>
      <c r="L1206" t="s">
        <v>159</v>
      </c>
      <c r="N1206" t="s">
        <v>243</v>
      </c>
      <c r="O1206" t="s">
        <v>163</v>
      </c>
      <c r="P1206">
        <v>4.3544812503671249E-3</v>
      </c>
      <c r="Q1206" t="s">
        <v>159</v>
      </c>
    </row>
    <row r="1207" spans="9:17" x14ac:dyDescent="0.45">
      <c r="I1207" t="s">
        <v>200</v>
      </c>
      <c r="J1207" t="s">
        <v>164</v>
      </c>
      <c r="K1207">
        <v>4.3317980454163366E-2</v>
      </c>
      <c r="L1207" t="s">
        <v>159</v>
      </c>
      <c r="N1207" t="s">
        <v>243</v>
      </c>
      <c r="O1207" t="s">
        <v>164</v>
      </c>
      <c r="P1207">
        <v>3.4574923107551517E-2</v>
      </c>
      <c r="Q1207" t="s">
        <v>159</v>
      </c>
    </row>
    <row r="1208" spans="9:17" x14ac:dyDescent="0.45">
      <c r="I1208" t="s">
        <v>200</v>
      </c>
      <c r="J1208" t="s">
        <v>289</v>
      </c>
      <c r="K1208">
        <v>3.6665376957474784E-3</v>
      </c>
      <c r="L1208" t="s">
        <v>159</v>
      </c>
      <c r="N1208" t="s">
        <v>243</v>
      </c>
      <c r="O1208" t="s">
        <v>289</v>
      </c>
      <c r="P1208">
        <v>2.9095773939746086E-3</v>
      </c>
      <c r="Q1208" t="s">
        <v>159</v>
      </c>
    </row>
    <row r="1209" spans="9:17" x14ac:dyDescent="0.45">
      <c r="I1209" t="s">
        <v>200</v>
      </c>
      <c r="J1209" t="s">
        <v>290</v>
      </c>
      <c r="K1209">
        <v>0</v>
      </c>
      <c r="L1209" t="s">
        <v>159</v>
      </c>
      <c r="N1209" t="s">
        <v>243</v>
      </c>
      <c r="O1209" t="s">
        <v>290</v>
      </c>
      <c r="P1209">
        <v>3.0929054736486324E-3</v>
      </c>
      <c r="Q1209" t="s">
        <v>159</v>
      </c>
    </row>
    <row r="1210" spans="9:17" x14ac:dyDescent="0.45">
      <c r="I1210" t="s">
        <v>200</v>
      </c>
      <c r="J1210" t="s">
        <v>309</v>
      </c>
      <c r="K1210">
        <v>0</v>
      </c>
      <c r="L1210" t="s">
        <v>159</v>
      </c>
      <c r="N1210" t="s">
        <v>243</v>
      </c>
      <c r="O1210" t="s">
        <v>309</v>
      </c>
      <c r="P1210">
        <v>1.7512581873501052E-2</v>
      </c>
      <c r="Q1210" t="s">
        <v>159</v>
      </c>
    </row>
    <row r="1211" spans="9:17" x14ac:dyDescent="0.45">
      <c r="I1211" t="s">
        <v>200</v>
      </c>
      <c r="J1211" t="s">
        <v>165</v>
      </c>
      <c r="K1211">
        <v>0</v>
      </c>
      <c r="L1211" t="s">
        <v>159</v>
      </c>
      <c r="N1211" t="s">
        <v>243</v>
      </c>
      <c r="O1211" t="s">
        <v>165</v>
      </c>
      <c r="P1211">
        <v>2.5674253278091665E-2</v>
      </c>
      <c r="Q1211" t="s">
        <v>159</v>
      </c>
    </row>
    <row r="1212" spans="9:17" x14ac:dyDescent="0.45">
      <c r="I1212" t="s">
        <v>200</v>
      </c>
      <c r="J1212" t="s">
        <v>166</v>
      </c>
      <c r="K1212">
        <v>0</v>
      </c>
      <c r="L1212" t="s">
        <v>159</v>
      </c>
      <c r="N1212" t="s">
        <v>243</v>
      </c>
      <c r="O1212" t="s">
        <v>166</v>
      </c>
      <c r="P1212">
        <v>3.4815422973865102E-3</v>
      </c>
      <c r="Q1212" t="s">
        <v>159</v>
      </c>
    </row>
    <row r="1213" spans="9:17" x14ac:dyDescent="0.45">
      <c r="I1213" t="s">
        <v>200</v>
      </c>
      <c r="J1213" t="s">
        <v>167</v>
      </c>
      <c r="K1213">
        <v>6.479035968217231E-2</v>
      </c>
      <c r="L1213" t="s">
        <v>159</v>
      </c>
      <c r="N1213" t="s">
        <v>243</v>
      </c>
      <c r="O1213" t="s">
        <v>167</v>
      </c>
      <c r="P1213">
        <v>3.1127299569635797E-2</v>
      </c>
      <c r="Q1213" t="s">
        <v>159</v>
      </c>
    </row>
    <row r="1214" spans="9:17" x14ac:dyDescent="0.45">
      <c r="I1214" t="s">
        <v>200</v>
      </c>
      <c r="J1214" t="s">
        <v>291</v>
      </c>
      <c r="K1214">
        <v>5.8757051586167917E-3</v>
      </c>
      <c r="L1214" t="s">
        <v>159</v>
      </c>
      <c r="N1214" t="s">
        <v>243</v>
      </c>
      <c r="O1214" t="s">
        <v>291</v>
      </c>
      <c r="P1214">
        <v>3.2977713279310206E-3</v>
      </c>
      <c r="Q1214" t="s">
        <v>159</v>
      </c>
    </row>
    <row r="1215" spans="9:17" x14ac:dyDescent="0.45">
      <c r="I1215" t="s">
        <v>200</v>
      </c>
      <c r="J1215" t="s">
        <v>292</v>
      </c>
      <c r="K1215">
        <v>1.1292195744262113E-3</v>
      </c>
      <c r="L1215" t="s">
        <v>159</v>
      </c>
      <c r="N1215" t="s">
        <v>243</v>
      </c>
      <c r="O1215" t="s">
        <v>292</v>
      </c>
      <c r="P1215">
        <v>3.6024193474286431E-3</v>
      </c>
      <c r="Q1215" t="s">
        <v>159</v>
      </c>
    </row>
    <row r="1216" spans="9:17" x14ac:dyDescent="0.45">
      <c r="I1216" t="s">
        <v>200</v>
      </c>
      <c r="J1216" t="s">
        <v>310</v>
      </c>
      <c r="K1216">
        <v>0</v>
      </c>
      <c r="L1216" t="s">
        <v>159</v>
      </c>
      <c r="N1216" t="s">
        <v>243</v>
      </c>
      <c r="O1216" t="s">
        <v>310</v>
      </c>
      <c r="P1216">
        <v>2.0294668459760468E-2</v>
      </c>
      <c r="Q1216" t="s">
        <v>159</v>
      </c>
    </row>
    <row r="1217" spans="9:17" x14ac:dyDescent="0.45">
      <c r="I1217" t="s">
        <v>200</v>
      </c>
      <c r="J1217" t="s">
        <v>293</v>
      </c>
      <c r="K1217">
        <v>0</v>
      </c>
      <c r="L1217" t="s">
        <v>159</v>
      </c>
      <c r="N1217" t="s">
        <v>243</v>
      </c>
      <c r="O1217" t="s">
        <v>293</v>
      </c>
      <c r="P1217">
        <v>1.0240911844744554E-2</v>
      </c>
      <c r="Q1217" t="s">
        <v>159</v>
      </c>
    </row>
    <row r="1218" spans="9:17" x14ac:dyDescent="0.45">
      <c r="I1218" t="s">
        <v>200</v>
      </c>
      <c r="J1218" t="s">
        <v>294</v>
      </c>
      <c r="K1218">
        <v>0</v>
      </c>
      <c r="L1218" t="s">
        <v>159</v>
      </c>
      <c r="N1218" t="s">
        <v>243</v>
      </c>
      <c r="O1218" t="s">
        <v>294</v>
      </c>
      <c r="P1218">
        <v>1.4906169038461428E-3</v>
      </c>
      <c r="Q1218" t="s">
        <v>159</v>
      </c>
    </row>
    <row r="1219" spans="9:17" x14ac:dyDescent="0.45">
      <c r="I1219" t="s">
        <v>200</v>
      </c>
      <c r="J1219" t="s">
        <v>295</v>
      </c>
      <c r="K1219">
        <v>1.7559837947988963E-2</v>
      </c>
      <c r="L1219" t="s">
        <v>159</v>
      </c>
      <c r="N1219" t="s">
        <v>243</v>
      </c>
      <c r="O1219" t="s">
        <v>295</v>
      </c>
      <c r="P1219">
        <v>1.2381036585316868E-2</v>
      </c>
      <c r="Q1219" t="s">
        <v>159</v>
      </c>
    </row>
    <row r="1220" spans="9:17" x14ac:dyDescent="0.45">
      <c r="I1220" t="s">
        <v>200</v>
      </c>
      <c r="J1220" t="s">
        <v>296</v>
      </c>
      <c r="K1220">
        <v>1.6027077127917313E-3</v>
      </c>
      <c r="L1220" t="s">
        <v>159</v>
      </c>
      <c r="N1220" t="s">
        <v>243</v>
      </c>
      <c r="O1220" t="s">
        <v>296</v>
      </c>
      <c r="P1220">
        <v>1.0211250081032413E-3</v>
      </c>
      <c r="Q1220" t="s">
        <v>159</v>
      </c>
    </row>
    <row r="1221" spans="9:17" x14ac:dyDescent="0.45">
      <c r="I1221" t="s">
        <v>200</v>
      </c>
      <c r="J1221" t="s">
        <v>297</v>
      </c>
      <c r="K1221">
        <v>1.2483474376711805E-3</v>
      </c>
      <c r="L1221" t="s">
        <v>159</v>
      </c>
      <c r="N1221" t="s">
        <v>243</v>
      </c>
      <c r="O1221" t="s">
        <v>297</v>
      </c>
      <c r="P1221">
        <v>9.6510359295862321E-4</v>
      </c>
      <c r="Q1221" t="s">
        <v>159</v>
      </c>
    </row>
    <row r="1222" spans="9:17" x14ac:dyDescent="0.45">
      <c r="I1222" t="s">
        <v>200</v>
      </c>
      <c r="J1222" t="s">
        <v>311</v>
      </c>
      <c r="K1222">
        <v>0</v>
      </c>
      <c r="L1222" t="s">
        <v>159</v>
      </c>
      <c r="N1222" t="s">
        <v>243</v>
      </c>
      <c r="O1222" t="s">
        <v>311</v>
      </c>
      <c r="P1222">
        <v>5.9372387777397746E-3</v>
      </c>
      <c r="Q1222" t="s">
        <v>159</v>
      </c>
    </row>
    <row r="1223" spans="9:17" x14ac:dyDescent="0.45">
      <c r="I1223" t="s">
        <v>200</v>
      </c>
      <c r="J1223" t="s">
        <v>298</v>
      </c>
      <c r="K1223">
        <v>4.5012241939369601E-3</v>
      </c>
      <c r="L1223" t="s">
        <v>159</v>
      </c>
      <c r="N1223" t="s">
        <v>243</v>
      </c>
      <c r="O1223" t="s">
        <v>298</v>
      </c>
      <c r="P1223">
        <v>7.4452197105556728E-2</v>
      </c>
      <c r="Q1223" t="s">
        <v>159</v>
      </c>
    </row>
    <row r="1224" spans="9:17" x14ac:dyDescent="0.45">
      <c r="I1224" t="s">
        <v>200</v>
      </c>
      <c r="J1224" t="s">
        <v>299</v>
      </c>
      <c r="K1224">
        <v>1.5981116624419794E-2</v>
      </c>
      <c r="L1224" t="s">
        <v>159</v>
      </c>
      <c r="N1224" t="s">
        <v>243</v>
      </c>
      <c r="O1224" t="s">
        <v>299</v>
      </c>
      <c r="P1224">
        <v>7.9550900543161364E-3</v>
      </c>
      <c r="Q1224" t="s">
        <v>159</v>
      </c>
    </row>
    <row r="1225" spans="9:17" x14ac:dyDescent="0.45">
      <c r="I1225" t="s">
        <v>200</v>
      </c>
      <c r="J1225" t="s">
        <v>300</v>
      </c>
      <c r="K1225">
        <v>0.26084377267966075</v>
      </c>
      <c r="L1225" t="s">
        <v>159</v>
      </c>
      <c r="N1225" t="s">
        <v>243</v>
      </c>
      <c r="O1225" t="s">
        <v>300</v>
      </c>
      <c r="P1225">
        <v>9.7960288569003004E-2</v>
      </c>
      <c r="Q1225" t="s">
        <v>159</v>
      </c>
    </row>
    <row r="1226" spans="9:17" x14ac:dyDescent="0.45">
      <c r="I1226" t="s">
        <v>200</v>
      </c>
      <c r="J1226" t="s">
        <v>301</v>
      </c>
      <c r="K1226">
        <v>2.1489422169108409E-2</v>
      </c>
      <c r="L1226" t="s">
        <v>159</v>
      </c>
      <c r="N1226" t="s">
        <v>243</v>
      </c>
      <c r="O1226" t="s">
        <v>301</v>
      </c>
      <c r="P1226">
        <v>1.2134673830997261E-2</v>
      </c>
      <c r="Q1226" t="s">
        <v>159</v>
      </c>
    </row>
    <row r="1227" spans="9:17" x14ac:dyDescent="0.45">
      <c r="I1227" t="s">
        <v>200</v>
      </c>
      <c r="J1227" t="s">
        <v>302</v>
      </c>
      <c r="K1227">
        <v>1.4371871126766366E-2</v>
      </c>
      <c r="L1227" t="s">
        <v>159</v>
      </c>
      <c r="N1227" t="s">
        <v>243</v>
      </c>
      <c r="O1227" t="s">
        <v>302</v>
      </c>
      <c r="P1227">
        <v>1.1684904970212065E-2</v>
      </c>
      <c r="Q1227" t="s">
        <v>159</v>
      </c>
    </row>
    <row r="1228" spans="9:17" x14ac:dyDescent="0.45">
      <c r="I1228" t="s">
        <v>200</v>
      </c>
      <c r="J1228" t="s">
        <v>312</v>
      </c>
      <c r="K1228">
        <v>1.849213911604588E-3</v>
      </c>
      <c r="L1228" t="s">
        <v>159</v>
      </c>
      <c r="N1228" t="s">
        <v>243</v>
      </c>
      <c r="O1228" t="s">
        <v>312</v>
      </c>
      <c r="P1228">
        <v>6.0401277546067125E-2</v>
      </c>
      <c r="Q1228" t="s">
        <v>159</v>
      </c>
    </row>
    <row r="1229" spans="9:17" x14ac:dyDescent="0.45">
      <c r="I1229" t="s">
        <v>200</v>
      </c>
      <c r="J1229" t="s">
        <v>313</v>
      </c>
      <c r="K1229">
        <v>2.2690721788231161E-3</v>
      </c>
      <c r="L1229" t="s">
        <v>159</v>
      </c>
      <c r="N1229" t="s">
        <v>243</v>
      </c>
      <c r="O1229" t="s">
        <v>313</v>
      </c>
      <c r="P1229">
        <v>2.2928095625892746E-2</v>
      </c>
      <c r="Q1229" t="s">
        <v>159</v>
      </c>
    </row>
    <row r="1230" spans="9:17" x14ac:dyDescent="0.45">
      <c r="I1230" t="s">
        <v>200</v>
      </c>
      <c r="J1230" t="s">
        <v>314</v>
      </c>
      <c r="K1230">
        <v>4.2637846459628124E-3</v>
      </c>
      <c r="L1230" t="s">
        <v>159</v>
      </c>
      <c r="N1230" t="s">
        <v>243</v>
      </c>
      <c r="O1230" t="s">
        <v>314</v>
      </c>
      <c r="P1230">
        <v>2.0383025125902767E-3</v>
      </c>
      <c r="Q1230" t="s">
        <v>159</v>
      </c>
    </row>
    <row r="1231" spans="9:17" x14ac:dyDescent="0.45">
      <c r="I1231" t="s">
        <v>200</v>
      </c>
      <c r="J1231" t="s">
        <v>315</v>
      </c>
      <c r="K1231">
        <v>7.5266683278421329E-2</v>
      </c>
      <c r="L1231" t="s">
        <v>159</v>
      </c>
      <c r="N1231" t="s">
        <v>243</v>
      </c>
      <c r="O1231" t="s">
        <v>315</v>
      </c>
      <c r="P1231">
        <v>1.78866453417659E-2</v>
      </c>
      <c r="Q1231" t="s">
        <v>159</v>
      </c>
    </row>
    <row r="1232" spans="9:17" x14ac:dyDescent="0.45">
      <c r="I1232" t="s">
        <v>200</v>
      </c>
      <c r="J1232" t="s">
        <v>316</v>
      </c>
      <c r="K1232">
        <v>5.8403220941147709E-3</v>
      </c>
      <c r="L1232" t="s">
        <v>159</v>
      </c>
      <c r="N1232" t="s">
        <v>243</v>
      </c>
      <c r="O1232" t="s">
        <v>316</v>
      </c>
      <c r="P1232">
        <v>2.2570786438787047E-3</v>
      </c>
      <c r="Q1232" t="s">
        <v>159</v>
      </c>
    </row>
    <row r="1233" spans="9:17" x14ac:dyDescent="0.45">
      <c r="I1233" t="s">
        <v>200</v>
      </c>
      <c r="J1233" t="s">
        <v>317</v>
      </c>
      <c r="K1233">
        <v>4.4428596174907083E-3</v>
      </c>
      <c r="L1233" t="s">
        <v>159</v>
      </c>
      <c r="N1233" t="s">
        <v>243</v>
      </c>
      <c r="O1233" t="s">
        <v>317</v>
      </c>
      <c r="P1233">
        <v>2.1376037675016305E-3</v>
      </c>
      <c r="Q1233" t="s">
        <v>159</v>
      </c>
    </row>
    <row r="1234" spans="9:17" x14ac:dyDescent="0.45">
      <c r="I1234" t="s">
        <v>200</v>
      </c>
      <c r="J1234" t="s">
        <v>318</v>
      </c>
      <c r="K1234">
        <v>2.3778586758274843E-3</v>
      </c>
      <c r="L1234" t="s">
        <v>159</v>
      </c>
      <c r="N1234" t="s">
        <v>243</v>
      </c>
      <c r="O1234" t="s">
        <v>318</v>
      </c>
      <c r="P1234">
        <v>1.7080819172443234E-2</v>
      </c>
      <c r="Q1234" t="s">
        <v>159</v>
      </c>
    </row>
    <row r="1235" spans="9:17" x14ac:dyDescent="0.45">
      <c r="I1235" t="s">
        <v>201</v>
      </c>
      <c r="J1235" t="s">
        <v>158</v>
      </c>
      <c r="K1235">
        <v>1.4040280511980079E-3</v>
      </c>
      <c r="L1235" t="s">
        <v>159</v>
      </c>
      <c r="N1235" t="s">
        <v>244</v>
      </c>
      <c r="O1235" t="s">
        <v>158</v>
      </c>
      <c r="P1235">
        <v>0.12601068560665732</v>
      </c>
      <c r="Q1235" t="s">
        <v>159</v>
      </c>
    </row>
    <row r="1236" spans="9:17" x14ac:dyDescent="0.45">
      <c r="I1236" t="s">
        <v>201</v>
      </c>
      <c r="J1236" t="s">
        <v>160</v>
      </c>
      <c r="K1236">
        <v>1.2802900289808737E-2</v>
      </c>
      <c r="L1236" t="s">
        <v>159</v>
      </c>
      <c r="N1236" t="s">
        <v>244</v>
      </c>
      <c r="O1236" t="s">
        <v>160</v>
      </c>
      <c r="P1236">
        <v>1.5367015037103556E-2</v>
      </c>
      <c r="Q1236" t="s">
        <v>159</v>
      </c>
    </row>
    <row r="1237" spans="9:17" x14ac:dyDescent="0.45">
      <c r="I1237" t="s">
        <v>201</v>
      </c>
      <c r="J1237" t="s">
        <v>161</v>
      </c>
      <c r="K1237">
        <v>0.37314938942274811</v>
      </c>
      <c r="L1237" t="s">
        <v>159</v>
      </c>
      <c r="N1237" t="s">
        <v>244</v>
      </c>
      <c r="O1237" t="s">
        <v>161</v>
      </c>
      <c r="P1237">
        <v>0.16601111731078805</v>
      </c>
      <c r="Q1237" t="s">
        <v>159</v>
      </c>
    </row>
    <row r="1238" spans="9:17" x14ac:dyDescent="0.45">
      <c r="I1238" t="s">
        <v>201</v>
      </c>
      <c r="J1238" t="s">
        <v>287</v>
      </c>
      <c r="K1238">
        <v>3.4319158879023509E-2</v>
      </c>
      <c r="L1238" t="s">
        <v>159</v>
      </c>
      <c r="N1238" t="s">
        <v>244</v>
      </c>
      <c r="O1238" t="s">
        <v>287</v>
      </c>
      <c r="P1238">
        <v>2.5554764812006608E-2</v>
      </c>
      <c r="Q1238" t="s">
        <v>159</v>
      </c>
    </row>
    <row r="1239" spans="9:17" x14ac:dyDescent="0.45">
      <c r="I1239" t="s">
        <v>201</v>
      </c>
      <c r="J1239" t="s">
        <v>288</v>
      </c>
      <c r="K1239">
        <v>2.0193916374821094E-2</v>
      </c>
      <c r="L1239" t="s">
        <v>159</v>
      </c>
      <c r="N1239" t="s">
        <v>244</v>
      </c>
      <c r="O1239" t="s">
        <v>288</v>
      </c>
      <c r="P1239">
        <v>2.5363834424522058E-2</v>
      </c>
      <c r="Q1239" t="s">
        <v>159</v>
      </c>
    </row>
    <row r="1240" spans="9:17" x14ac:dyDescent="0.45">
      <c r="I1240" t="s">
        <v>201</v>
      </c>
      <c r="J1240" t="s">
        <v>308</v>
      </c>
      <c r="K1240">
        <v>9.2321684856701055E-3</v>
      </c>
      <c r="L1240" t="s">
        <v>159</v>
      </c>
      <c r="N1240" t="s">
        <v>244</v>
      </c>
      <c r="O1240" t="s">
        <v>308</v>
      </c>
      <c r="P1240">
        <v>0.11340829094061017</v>
      </c>
      <c r="Q1240" t="s">
        <v>159</v>
      </c>
    </row>
    <row r="1241" spans="9:17" x14ac:dyDescent="0.45">
      <c r="I1241" t="s">
        <v>201</v>
      </c>
      <c r="J1241" t="s">
        <v>162</v>
      </c>
      <c r="K1241">
        <v>0</v>
      </c>
      <c r="L1241" t="s">
        <v>159</v>
      </c>
      <c r="N1241" t="s">
        <v>244</v>
      </c>
      <c r="O1241" t="s">
        <v>162</v>
      </c>
      <c r="P1241">
        <v>1.981974111295938E-2</v>
      </c>
      <c r="Q1241" t="s">
        <v>159</v>
      </c>
    </row>
    <row r="1242" spans="9:17" x14ac:dyDescent="0.45">
      <c r="I1242" t="s">
        <v>201</v>
      </c>
      <c r="J1242" t="s">
        <v>163</v>
      </c>
      <c r="K1242">
        <v>0</v>
      </c>
      <c r="L1242" t="s">
        <v>159</v>
      </c>
      <c r="N1242" t="s">
        <v>244</v>
      </c>
      <c r="O1242" t="s">
        <v>163</v>
      </c>
      <c r="P1242">
        <v>2.7803217985930039E-3</v>
      </c>
      <c r="Q1242" t="s">
        <v>159</v>
      </c>
    </row>
    <row r="1243" spans="9:17" x14ac:dyDescent="0.45">
      <c r="I1243" t="s">
        <v>201</v>
      </c>
      <c r="J1243" t="s">
        <v>164</v>
      </c>
      <c r="K1243">
        <v>4.3345311360085174E-2</v>
      </c>
      <c r="L1243" t="s">
        <v>159</v>
      </c>
      <c r="N1243" t="s">
        <v>244</v>
      </c>
      <c r="O1243" t="s">
        <v>164</v>
      </c>
      <c r="P1243">
        <v>2.539960752055876E-2</v>
      </c>
      <c r="Q1243" t="s">
        <v>159</v>
      </c>
    </row>
    <row r="1244" spans="9:17" x14ac:dyDescent="0.45">
      <c r="I1244" t="s">
        <v>201</v>
      </c>
      <c r="J1244" t="s">
        <v>289</v>
      </c>
      <c r="K1244">
        <v>4.1200218598371873E-3</v>
      </c>
      <c r="L1244" t="s">
        <v>159</v>
      </c>
      <c r="N1244" t="s">
        <v>244</v>
      </c>
      <c r="O1244" t="s">
        <v>289</v>
      </c>
      <c r="P1244">
        <v>3.2738727515397464E-3</v>
      </c>
      <c r="Q1244" t="s">
        <v>159</v>
      </c>
    </row>
    <row r="1245" spans="9:17" x14ac:dyDescent="0.45">
      <c r="I1245" t="s">
        <v>201</v>
      </c>
      <c r="J1245" t="s">
        <v>290</v>
      </c>
      <c r="K1245">
        <v>0</v>
      </c>
      <c r="L1245" t="s">
        <v>159</v>
      </c>
      <c r="N1245" t="s">
        <v>244</v>
      </c>
      <c r="O1245" t="s">
        <v>290</v>
      </c>
      <c r="P1245">
        <v>3.32210676544892E-3</v>
      </c>
      <c r="Q1245" t="s">
        <v>159</v>
      </c>
    </row>
    <row r="1246" spans="9:17" x14ac:dyDescent="0.45">
      <c r="I1246" t="s">
        <v>201</v>
      </c>
      <c r="J1246" t="s">
        <v>309</v>
      </c>
      <c r="K1246">
        <v>0</v>
      </c>
      <c r="L1246" t="s">
        <v>159</v>
      </c>
      <c r="N1246" t="s">
        <v>244</v>
      </c>
      <c r="O1246" t="s">
        <v>309</v>
      </c>
      <c r="P1246">
        <v>1.5859047372897325E-2</v>
      </c>
      <c r="Q1246" t="s">
        <v>159</v>
      </c>
    </row>
    <row r="1247" spans="9:17" x14ac:dyDescent="0.45">
      <c r="I1247" t="s">
        <v>201</v>
      </c>
      <c r="J1247" t="s">
        <v>165</v>
      </c>
      <c r="K1247">
        <v>0</v>
      </c>
      <c r="L1247" t="s">
        <v>159</v>
      </c>
      <c r="N1247" t="s">
        <v>244</v>
      </c>
      <c r="O1247" t="s">
        <v>165</v>
      </c>
      <c r="P1247">
        <v>2.3158949588777265E-2</v>
      </c>
      <c r="Q1247" t="s">
        <v>159</v>
      </c>
    </row>
    <row r="1248" spans="9:17" x14ac:dyDescent="0.45">
      <c r="I1248" t="s">
        <v>201</v>
      </c>
      <c r="J1248" t="s">
        <v>166</v>
      </c>
      <c r="K1248">
        <v>0</v>
      </c>
      <c r="L1248" t="s">
        <v>159</v>
      </c>
      <c r="N1248" t="s">
        <v>244</v>
      </c>
      <c r="O1248" t="s">
        <v>166</v>
      </c>
      <c r="P1248">
        <v>3.3238554692845289E-3</v>
      </c>
      <c r="Q1248" t="s">
        <v>159</v>
      </c>
    </row>
    <row r="1249" spans="9:17" x14ac:dyDescent="0.45">
      <c r="I1249" t="s">
        <v>201</v>
      </c>
      <c r="J1249" t="s">
        <v>167</v>
      </c>
      <c r="K1249">
        <v>6.0162686338172788E-2</v>
      </c>
      <c r="L1249" t="s">
        <v>159</v>
      </c>
      <c r="N1249" t="s">
        <v>244</v>
      </c>
      <c r="O1249" t="s">
        <v>167</v>
      </c>
      <c r="P1249">
        <v>2.8632369447362641E-2</v>
      </c>
      <c r="Q1249" t="s">
        <v>159</v>
      </c>
    </row>
    <row r="1250" spans="9:17" x14ac:dyDescent="0.45">
      <c r="I1250" t="s">
        <v>201</v>
      </c>
      <c r="J1250" t="s">
        <v>291</v>
      </c>
      <c r="K1250">
        <v>5.8527076844780458E-3</v>
      </c>
      <c r="L1250" t="s">
        <v>159</v>
      </c>
      <c r="N1250" t="s">
        <v>244</v>
      </c>
      <c r="O1250" t="s">
        <v>291</v>
      </c>
      <c r="P1250">
        <v>3.3049025310919471E-3</v>
      </c>
      <c r="Q1250" t="s">
        <v>159</v>
      </c>
    </row>
    <row r="1251" spans="9:17" x14ac:dyDescent="0.45">
      <c r="I1251" t="s">
        <v>201</v>
      </c>
      <c r="J1251" t="s">
        <v>292</v>
      </c>
      <c r="K1251">
        <v>2.7204160189414723E-3</v>
      </c>
      <c r="L1251" t="s">
        <v>159</v>
      </c>
      <c r="N1251" t="s">
        <v>244</v>
      </c>
      <c r="O1251" t="s">
        <v>292</v>
      </c>
      <c r="P1251">
        <v>3.2943797216164789E-3</v>
      </c>
      <c r="Q1251" t="s">
        <v>159</v>
      </c>
    </row>
    <row r="1252" spans="9:17" x14ac:dyDescent="0.45">
      <c r="I1252" t="s">
        <v>201</v>
      </c>
      <c r="J1252" t="s">
        <v>310</v>
      </c>
      <c r="K1252">
        <v>0</v>
      </c>
      <c r="L1252" t="s">
        <v>159</v>
      </c>
      <c r="N1252" t="s">
        <v>244</v>
      </c>
      <c r="O1252" t="s">
        <v>310</v>
      </c>
      <c r="P1252">
        <v>1.6029345766969273E-2</v>
      </c>
      <c r="Q1252" t="s">
        <v>159</v>
      </c>
    </row>
    <row r="1253" spans="9:17" x14ac:dyDescent="0.45">
      <c r="I1253" t="s">
        <v>201</v>
      </c>
      <c r="J1253" t="s">
        <v>293</v>
      </c>
      <c r="K1253">
        <v>0</v>
      </c>
      <c r="L1253" t="s">
        <v>159</v>
      </c>
      <c r="N1253" t="s">
        <v>244</v>
      </c>
      <c r="O1253" t="s">
        <v>293</v>
      </c>
      <c r="P1253">
        <v>4.4443083416529621E-3</v>
      </c>
      <c r="Q1253" t="s">
        <v>159</v>
      </c>
    </row>
    <row r="1254" spans="9:17" x14ac:dyDescent="0.45">
      <c r="I1254" t="s">
        <v>201</v>
      </c>
      <c r="J1254" t="s">
        <v>294</v>
      </c>
      <c r="K1254">
        <v>0</v>
      </c>
      <c r="L1254" t="s">
        <v>159</v>
      </c>
      <c r="N1254" t="s">
        <v>244</v>
      </c>
      <c r="O1254" t="s">
        <v>294</v>
      </c>
      <c r="P1254">
        <v>5.5641409956343679E-4</v>
      </c>
      <c r="Q1254" t="s">
        <v>159</v>
      </c>
    </row>
    <row r="1255" spans="9:17" x14ac:dyDescent="0.45">
      <c r="I1255" t="s">
        <v>201</v>
      </c>
      <c r="J1255" t="s">
        <v>295</v>
      </c>
      <c r="K1255">
        <v>1.6016852459858E-2</v>
      </c>
      <c r="L1255" t="s">
        <v>159</v>
      </c>
      <c r="N1255" t="s">
        <v>244</v>
      </c>
      <c r="O1255" t="s">
        <v>295</v>
      </c>
      <c r="P1255">
        <v>6.0107172636399394E-3</v>
      </c>
      <c r="Q1255" t="s">
        <v>159</v>
      </c>
    </row>
    <row r="1256" spans="9:17" x14ac:dyDescent="0.45">
      <c r="I1256" t="s">
        <v>201</v>
      </c>
      <c r="J1256" t="s">
        <v>296</v>
      </c>
      <c r="K1256">
        <v>1.6156587778338486E-3</v>
      </c>
      <c r="L1256" t="s">
        <v>159</v>
      </c>
      <c r="N1256" t="s">
        <v>244</v>
      </c>
      <c r="O1256" t="s">
        <v>296</v>
      </c>
      <c r="P1256">
        <v>9.2684363082791931E-4</v>
      </c>
      <c r="Q1256" t="s">
        <v>159</v>
      </c>
    </row>
    <row r="1257" spans="9:17" x14ac:dyDescent="0.45">
      <c r="I1257" t="s">
        <v>201</v>
      </c>
      <c r="J1257" t="s">
        <v>297</v>
      </c>
      <c r="K1257">
        <v>1.1531123996843813E-3</v>
      </c>
      <c r="L1257" t="s">
        <v>159</v>
      </c>
      <c r="N1257" t="s">
        <v>244</v>
      </c>
      <c r="O1257" t="s">
        <v>297</v>
      </c>
      <c r="P1257">
        <v>9.4358267425792282E-4</v>
      </c>
      <c r="Q1257" t="s">
        <v>159</v>
      </c>
    </row>
    <row r="1258" spans="9:17" x14ac:dyDescent="0.45">
      <c r="I1258" t="s">
        <v>201</v>
      </c>
      <c r="J1258" t="s">
        <v>311</v>
      </c>
      <c r="K1258">
        <v>0</v>
      </c>
      <c r="L1258" t="s">
        <v>159</v>
      </c>
      <c r="N1258" t="s">
        <v>244</v>
      </c>
      <c r="O1258" t="s">
        <v>311</v>
      </c>
      <c r="P1258">
        <v>4.2602366670802883E-3</v>
      </c>
      <c r="Q1258" t="s">
        <v>159</v>
      </c>
    </row>
    <row r="1259" spans="9:17" x14ac:dyDescent="0.45">
      <c r="I1259" t="s">
        <v>201</v>
      </c>
      <c r="J1259" t="s">
        <v>298</v>
      </c>
      <c r="K1259">
        <v>4.2341710520630875E-3</v>
      </c>
      <c r="L1259" t="s">
        <v>159</v>
      </c>
      <c r="N1259" t="s">
        <v>244</v>
      </c>
      <c r="O1259" t="s">
        <v>298</v>
      </c>
      <c r="P1259">
        <v>7.0425308185470242E-2</v>
      </c>
      <c r="Q1259" t="s">
        <v>159</v>
      </c>
    </row>
    <row r="1260" spans="9:17" x14ac:dyDescent="0.45">
      <c r="I1260" t="s">
        <v>201</v>
      </c>
      <c r="J1260" t="s">
        <v>299</v>
      </c>
      <c r="K1260">
        <v>1.5010043632133629E-2</v>
      </c>
      <c r="L1260" t="s">
        <v>159</v>
      </c>
      <c r="N1260" t="s">
        <v>244</v>
      </c>
      <c r="O1260" t="s">
        <v>299</v>
      </c>
      <c r="P1260">
        <v>8.6781102754526843E-3</v>
      </c>
      <c r="Q1260" t="s">
        <v>159</v>
      </c>
    </row>
    <row r="1261" spans="9:17" x14ac:dyDescent="0.45">
      <c r="I1261" t="s">
        <v>201</v>
      </c>
      <c r="J1261" t="s">
        <v>300</v>
      </c>
      <c r="K1261">
        <v>0.25179300503376578</v>
      </c>
      <c r="L1261" t="s">
        <v>159</v>
      </c>
      <c r="N1261" t="s">
        <v>244</v>
      </c>
      <c r="O1261" t="s">
        <v>300</v>
      </c>
      <c r="P1261">
        <v>0.10111290686557237</v>
      </c>
      <c r="Q1261" t="s">
        <v>159</v>
      </c>
    </row>
    <row r="1262" spans="9:17" x14ac:dyDescent="0.45">
      <c r="I1262" t="s">
        <v>201</v>
      </c>
      <c r="J1262" t="s">
        <v>301</v>
      </c>
      <c r="K1262">
        <v>2.2779741114134507E-2</v>
      </c>
      <c r="L1262" t="s">
        <v>159</v>
      </c>
      <c r="N1262" t="s">
        <v>244</v>
      </c>
      <c r="O1262" t="s">
        <v>301</v>
      </c>
      <c r="P1262">
        <v>1.4715973389981672E-2</v>
      </c>
      <c r="Q1262" t="s">
        <v>159</v>
      </c>
    </row>
    <row r="1263" spans="9:17" x14ac:dyDescent="0.45">
      <c r="I1263" t="s">
        <v>201</v>
      </c>
      <c r="J1263" t="s">
        <v>302</v>
      </c>
      <c r="K1263">
        <v>1.6514717746840869E-2</v>
      </c>
      <c r="L1263" t="s">
        <v>159</v>
      </c>
      <c r="N1263" t="s">
        <v>244</v>
      </c>
      <c r="O1263" t="s">
        <v>302</v>
      </c>
      <c r="P1263">
        <v>1.4437834328209788E-2</v>
      </c>
      <c r="Q1263" t="s">
        <v>159</v>
      </c>
    </row>
    <row r="1264" spans="9:17" x14ac:dyDescent="0.45">
      <c r="I1264" t="s">
        <v>201</v>
      </c>
      <c r="J1264" t="s">
        <v>312</v>
      </c>
      <c r="K1264">
        <v>3.3091046979570517E-3</v>
      </c>
      <c r="L1264" t="s">
        <v>159</v>
      </c>
      <c r="N1264" t="s">
        <v>244</v>
      </c>
      <c r="O1264" t="s">
        <v>312</v>
      </c>
      <c r="P1264">
        <v>6.2614563097023873E-2</v>
      </c>
      <c r="Q1264" t="s">
        <v>159</v>
      </c>
    </row>
    <row r="1265" spans="9:17" x14ac:dyDescent="0.45">
      <c r="I1265" t="s">
        <v>201</v>
      </c>
      <c r="J1265" t="s">
        <v>313</v>
      </c>
      <c r="K1265">
        <v>2.6228581060145509E-3</v>
      </c>
      <c r="L1265" t="s">
        <v>159</v>
      </c>
      <c r="N1265" t="s">
        <v>244</v>
      </c>
      <c r="O1265" t="s">
        <v>313</v>
      </c>
      <c r="P1265">
        <v>2.2213206384838011E-2</v>
      </c>
      <c r="Q1265" t="s">
        <v>159</v>
      </c>
    </row>
    <row r="1266" spans="9:17" x14ac:dyDescent="0.45">
      <c r="I1266" t="s">
        <v>201</v>
      </c>
      <c r="J1266" t="s">
        <v>314</v>
      </c>
      <c r="K1266">
        <v>4.9415057212127116E-3</v>
      </c>
      <c r="L1266" t="s">
        <v>159</v>
      </c>
      <c r="N1266" t="s">
        <v>244</v>
      </c>
      <c r="O1266" t="s">
        <v>314</v>
      </c>
      <c r="P1266">
        <v>2.4670917702511379E-3</v>
      </c>
      <c r="Q1266" t="s">
        <v>159</v>
      </c>
    </row>
    <row r="1267" spans="9:17" x14ac:dyDescent="0.45">
      <c r="I1267" t="s">
        <v>201</v>
      </c>
      <c r="J1267" t="s">
        <v>315</v>
      </c>
      <c r="K1267">
        <v>7.8153495470387344E-2</v>
      </c>
      <c r="L1267" t="s">
        <v>159</v>
      </c>
      <c r="N1267" t="s">
        <v>244</v>
      </c>
      <c r="O1267" t="s">
        <v>315</v>
      </c>
      <c r="P1267">
        <v>3.3084904185654199E-2</v>
      </c>
      <c r="Q1267" t="s">
        <v>159</v>
      </c>
    </row>
    <row r="1268" spans="9:17" x14ac:dyDescent="0.45">
      <c r="I1268" t="s">
        <v>201</v>
      </c>
      <c r="J1268" t="s">
        <v>316</v>
      </c>
      <c r="K1268">
        <v>6.4525698759402414E-3</v>
      </c>
      <c r="L1268" t="s">
        <v>159</v>
      </c>
      <c r="N1268" t="s">
        <v>244</v>
      </c>
      <c r="O1268" t="s">
        <v>316</v>
      </c>
      <c r="P1268">
        <v>5.3008887619870318E-3</v>
      </c>
      <c r="Q1268" t="s">
        <v>159</v>
      </c>
    </row>
    <row r="1269" spans="9:17" x14ac:dyDescent="0.45">
      <c r="I1269" t="s">
        <v>201</v>
      </c>
      <c r="J1269" t="s">
        <v>317</v>
      </c>
      <c r="K1269">
        <v>5.0171259079948086E-3</v>
      </c>
      <c r="L1269" t="s">
        <v>159</v>
      </c>
      <c r="N1269" t="s">
        <v>244</v>
      </c>
      <c r="O1269" t="s">
        <v>317</v>
      </c>
      <c r="P1269">
        <v>5.126292787811077E-3</v>
      </c>
      <c r="Q1269" t="s">
        <v>159</v>
      </c>
    </row>
    <row r="1270" spans="9:17" x14ac:dyDescent="0.45">
      <c r="I1270" t="s">
        <v>201</v>
      </c>
      <c r="J1270" t="s">
        <v>318</v>
      </c>
      <c r="K1270">
        <v>3.0833332393953288E-3</v>
      </c>
      <c r="L1270" t="s">
        <v>159</v>
      </c>
      <c r="N1270" t="s">
        <v>244</v>
      </c>
      <c r="O1270" t="s">
        <v>318</v>
      </c>
      <c r="P1270">
        <v>2.2766609311937584E-2</v>
      </c>
      <c r="Q1270" t="s">
        <v>159</v>
      </c>
    </row>
    <row r="1271" spans="9:17" x14ac:dyDescent="0.45">
      <c r="I1271" t="s">
        <v>202</v>
      </c>
      <c r="J1271" t="s">
        <v>158</v>
      </c>
      <c r="K1271">
        <v>1.5340943763234003E-3</v>
      </c>
      <c r="L1271" t="s">
        <v>159</v>
      </c>
      <c r="N1271" t="s">
        <v>245</v>
      </c>
      <c r="O1271" t="s">
        <v>158</v>
      </c>
      <c r="P1271">
        <v>0.13952031826423164</v>
      </c>
      <c r="Q1271" t="s">
        <v>159</v>
      </c>
    </row>
    <row r="1272" spans="9:17" x14ac:dyDescent="0.45">
      <c r="I1272" t="s">
        <v>202</v>
      </c>
      <c r="J1272" t="s">
        <v>160</v>
      </c>
      <c r="K1272">
        <v>1.2275542063182307E-2</v>
      </c>
      <c r="L1272" t="s">
        <v>159</v>
      </c>
      <c r="N1272" t="s">
        <v>245</v>
      </c>
      <c r="O1272" t="s">
        <v>160</v>
      </c>
      <c r="P1272">
        <v>1.7079363179097262E-2</v>
      </c>
      <c r="Q1272" t="s">
        <v>159</v>
      </c>
    </row>
    <row r="1273" spans="9:17" x14ac:dyDescent="0.45">
      <c r="I1273" t="s">
        <v>202</v>
      </c>
      <c r="J1273" t="s">
        <v>161</v>
      </c>
      <c r="K1273">
        <v>0.37104215760789216</v>
      </c>
      <c r="L1273" t="s">
        <v>159</v>
      </c>
      <c r="N1273" t="s">
        <v>245</v>
      </c>
      <c r="O1273" t="s">
        <v>161</v>
      </c>
      <c r="P1273">
        <v>0.14221258264622852</v>
      </c>
      <c r="Q1273" t="s">
        <v>159</v>
      </c>
    </row>
    <row r="1274" spans="9:17" x14ac:dyDescent="0.45">
      <c r="I1274" t="s">
        <v>202</v>
      </c>
      <c r="J1274" t="s">
        <v>287</v>
      </c>
      <c r="K1274">
        <v>3.41572286901769E-2</v>
      </c>
      <c r="L1274" t="s">
        <v>159</v>
      </c>
      <c r="N1274" t="s">
        <v>245</v>
      </c>
      <c r="O1274" t="s">
        <v>287</v>
      </c>
      <c r="P1274">
        <v>2.3075891073937475E-2</v>
      </c>
      <c r="Q1274" t="s">
        <v>159</v>
      </c>
    </row>
    <row r="1275" spans="9:17" x14ac:dyDescent="0.45">
      <c r="I1275" t="s">
        <v>202</v>
      </c>
      <c r="J1275" t="s">
        <v>288</v>
      </c>
      <c r="K1275">
        <v>2.0074119266278043E-2</v>
      </c>
      <c r="L1275" t="s">
        <v>159</v>
      </c>
      <c r="N1275" t="s">
        <v>245</v>
      </c>
      <c r="O1275" t="s">
        <v>288</v>
      </c>
      <c r="P1275">
        <v>2.7089333685282383E-2</v>
      </c>
      <c r="Q1275" t="s">
        <v>159</v>
      </c>
    </row>
    <row r="1276" spans="9:17" x14ac:dyDescent="0.45">
      <c r="I1276" t="s">
        <v>202</v>
      </c>
      <c r="J1276" t="s">
        <v>308</v>
      </c>
      <c r="K1276">
        <v>9.1040890935258773E-3</v>
      </c>
      <c r="L1276" t="s">
        <v>159</v>
      </c>
      <c r="N1276" t="s">
        <v>245</v>
      </c>
      <c r="O1276" t="s">
        <v>308</v>
      </c>
      <c r="P1276">
        <v>0.1367889313566383</v>
      </c>
      <c r="Q1276" t="s">
        <v>159</v>
      </c>
    </row>
    <row r="1277" spans="9:17" x14ac:dyDescent="0.45">
      <c r="I1277" t="s">
        <v>202</v>
      </c>
      <c r="J1277" t="s">
        <v>162</v>
      </c>
      <c r="K1277">
        <v>0</v>
      </c>
      <c r="L1277" t="s">
        <v>159</v>
      </c>
      <c r="N1277" t="s">
        <v>245</v>
      </c>
      <c r="O1277" t="s">
        <v>162</v>
      </c>
      <c r="P1277">
        <v>1.9121114728300588E-2</v>
      </c>
      <c r="Q1277" t="s">
        <v>159</v>
      </c>
    </row>
    <row r="1278" spans="9:17" x14ac:dyDescent="0.45">
      <c r="I1278" t="s">
        <v>202</v>
      </c>
      <c r="J1278" t="s">
        <v>163</v>
      </c>
      <c r="K1278">
        <v>0</v>
      </c>
      <c r="L1278" t="s">
        <v>159</v>
      </c>
      <c r="N1278" t="s">
        <v>245</v>
      </c>
      <c r="O1278" t="s">
        <v>163</v>
      </c>
      <c r="P1278">
        <v>2.7047358883374954E-3</v>
      </c>
      <c r="Q1278" t="s">
        <v>159</v>
      </c>
    </row>
    <row r="1279" spans="9:17" x14ac:dyDescent="0.45">
      <c r="I1279" t="s">
        <v>202</v>
      </c>
      <c r="J1279" t="s">
        <v>164</v>
      </c>
      <c r="K1279">
        <v>3.9946100731182106E-2</v>
      </c>
      <c r="L1279" t="s">
        <v>159</v>
      </c>
      <c r="N1279" t="s">
        <v>245</v>
      </c>
      <c r="O1279" t="s">
        <v>164</v>
      </c>
      <c r="P1279">
        <v>2.3429108186798716E-2</v>
      </c>
      <c r="Q1279" t="s">
        <v>159</v>
      </c>
    </row>
    <row r="1280" spans="9:17" x14ac:dyDescent="0.45">
      <c r="I1280" t="s">
        <v>202</v>
      </c>
      <c r="J1280" t="s">
        <v>289</v>
      </c>
      <c r="K1280">
        <v>3.5591488554183462E-3</v>
      </c>
      <c r="L1280" t="s">
        <v>159</v>
      </c>
      <c r="N1280" t="s">
        <v>245</v>
      </c>
      <c r="O1280" t="s">
        <v>289</v>
      </c>
      <c r="P1280">
        <v>2.6333678621331823E-3</v>
      </c>
      <c r="Q1280" t="s">
        <v>159</v>
      </c>
    </row>
    <row r="1281" spans="9:17" x14ac:dyDescent="0.45">
      <c r="I1281" t="s">
        <v>202</v>
      </c>
      <c r="J1281" t="s">
        <v>290</v>
      </c>
      <c r="K1281">
        <v>0</v>
      </c>
      <c r="L1281" t="s">
        <v>159</v>
      </c>
      <c r="N1281" t="s">
        <v>245</v>
      </c>
      <c r="O1281" t="s">
        <v>290</v>
      </c>
      <c r="P1281">
        <v>2.8340317233262911E-3</v>
      </c>
      <c r="Q1281" t="s">
        <v>159</v>
      </c>
    </row>
    <row r="1282" spans="9:17" x14ac:dyDescent="0.45">
      <c r="I1282" t="s">
        <v>202</v>
      </c>
      <c r="J1282" t="s">
        <v>309</v>
      </c>
      <c r="K1282">
        <v>0</v>
      </c>
      <c r="L1282" t="s">
        <v>159</v>
      </c>
      <c r="N1282" t="s">
        <v>245</v>
      </c>
      <c r="O1282" t="s">
        <v>309</v>
      </c>
      <c r="P1282">
        <v>1.5357499574166478E-2</v>
      </c>
      <c r="Q1282" t="s">
        <v>159</v>
      </c>
    </row>
    <row r="1283" spans="9:17" x14ac:dyDescent="0.45">
      <c r="I1283" t="s">
        <v>202</v>
      </c>
      <c r="J1283" t="s">
        <v>165</v>
      </c>
      <c r="K1283">
        <v>0</v>
      </c>
      <c r="L1283" t="s">
        <v>159</v>
      </c>
      <c r="N1283" t="s">
        <v>245</v>
      </c>
      <c r="O1283" t="s">
        <v>165</v>
      </c>
      <c r="P1283">
        <v>2.5202046767975529E-2</v>
      </c>
      <c r="Q1283" t="s">
        <v>159</v>
      </c>
    </row>
    <row r="1284" spans="9:17" x14ac:dyDescent="0.45">
      <c r="I1284" t="s">
        <v>202</v>
      </c>
      <c r="J1284" t="s">
        <v>166</v>
      </c>
      <c r="K1284">
        <v>0</v>
      </c>
      <c r="L1284" t="s">
        <v>159</v>
      </c>
      <c r="N1284" t="s">
        <v>245</v>
      </c>
      <c r="O1284" t="s">
        <v>166</v>
      </c>
      <c r="P1284">
        <v>3.8369410712096328E-3</v>
      </c>
      <c r="Q1284" t="s">
        <v>159</v>
      </c>
    </row>
    <row r="1285" spans="9:17" x14ac:dyDescent="0.45">
      <c r="I1285" t="s">
        <v>202</v>
      </c>
      <c r="J1285" t="s">
        <v>167</v>
      </c>
      <c r="K1285">
        <v>5.9119657153771932E-2</v>
      </c>
      <c r="L1285" t="s">
        <v>159</v>
      </c>
      <c r="N1285" t="s">
        <v>245</v>
      </c>
      <c r="O1285" t="s">
        <v>167</v>
      </c>
      <c r="P1285">
        <v>3.8754969265370184E-2</v>
      </c>
      <c r="Q1285" t="s">
        <v>159</v>
      </c>
    </row>
    <row r="1286" spans="9:17" x14ac:dyDescent="0.45">
      <c r="I1286" t="s">
        <v>202</v>
      </c>
      <c r="J1286" t="s">
        <v>291</v>
      </c>
      <c r="K1286">
        <v>5.520916099555199E-3</v>
      </c>
      <c r="L1286" t="s">
        <v>159</v>
      </c>
      <c r="N1286" t="s">
        <v>245</v>
      </c>
      <c r="O1286" t="s">
        <v>291</v>
      </c>
      <c r="P1286">
        <v>4.0500352430912125E-3</v>
      </c>
      <c r="Q1286" t="s">
        <v>159</v>
      </c>
    </row>
    <row r="1287" spans="9:17" x14ac:dyDescent="0.45">
      <c r="I1287" t="s">
        <v>202</v>
      </c>
      <c r="J1287" t="s">
        <v>292</v>
      </c>
      <c r="K1287">
        <v>1.7794772137642535E-3</v>
      </c>
      <c r="L1287" t="s">
        <v>159</v>
      </c>
      <c r="N1287" t="s">
        <v>245</v>
      </c>
      <c r="O1287" t="s">
        <v>292</v>
      </c>
      <c r="P1287">
        <v>4.0056097862163935E-3</v>
      </c>
      <c r="Q1287" t="s">
        <v>159</v>
      </c>
    </row>
    <row r="1288" spans="9:17" x14ac:dyDescent="0.45">
      <c r="I1288" t="s">
        <v>202</v>
      </c>
      <c r="J1288" t="s">
        <v>310</v>
      </c>
      <c r="K1288">
        <v>0</v>
      </c>
      <c r="L1288" t="s">
        <v>159</v>
      </c>
      <c r="N1288" t="s">
        <v>245</v>
      </c>
      <c r="O1288" t="s">
        <v>310</v>
      </c>
      <c r="P1288">
        <v>1.9216507954209178E-2</v>
      </c>
      <c r="Q1288" t="s">
        <v>159</v>
      </c>
    </row>
    <row r="1289" spans="9:17" x14ac:dyDescent="0.45">
      <c r="I1289" t="s">
        <v>202</v>
      </c>
      <c r="J1289" t="s">
        <v>293</v>
      </c>
      <c r="K1289">
        <v>0</v>
      </c>
      <c r="L1289" t="s">
        <v>159</v>
      </c>
      <c r="N1289" t="s">
        <v>245</v>
      </c>
      <c r="O1289" t="s">
        <v>293</v>
      </c>
      <c r="P1289">
        <v>4.2711972935661428E-3</v>
      </c>
      <c r="Q1289" t="s">
        <v>159</v>
      </c>
    </row>
    <row r="1290" spans="9:17" x14ac:dyDescent="0.45">
      <c r="I1290" t="s">
        <v>202</v>
      </c>
      <c r="J1290" t="s">
        <v>294</v>
      </c>
      <c r="K1290">
        <v>0</v>
      </c>
      <c r="L1290" t="s">
        <v>159</v>
      </c>
      <c r="N1290" t="s">
        <v>245</v>
      </c>
      <c r="O1290" t="s">
        <v>294</v>
      </c>
      <c r="P1290">
        <v>7.317324939277312E-4</v>
      </c>
      <c r="Q1290" t="s">
        <v>159</v>
      </c>
    </row>
    <row r="1291" spans="9:17" x14ac:dyDescent="0.45">
      <c r="I1291" t="s">
        <v>202</v>
      </c>
      <c r="J1291" t="s">
        <v>295</v>
      </c>
      <c r="K1291">
        <v>1.625681075146472E-2</v>
      </c>
      <c r="L1291" t="s">
        <v>159</v>
      </c>
      <c r="N1291" t="s">
        <v>245</v>
      </c>
      <c r="O1291" t="s">
        <v>295</v>
      </c>
      <c r="P1291">
        <v>5.0942928241156666E-3</v>
      </c>
      <c r="Q1291" t="s">
        <v>159</v>
      </c>
    </row>
    <row r="1292" spans="9:17" x14ac:dyDescent="0.45">
      <c r="I1292" t="s">
        <v>202</v>
      </c>
      <c r="J1292" t="s">
        <v>296</v>
      </c>
      <c r="K1292">
        <v>1.5551827605032893E-3</v>
      </c>
      <c r="L1292" t="s">
        <v>159</v>
      </c>
      <c r="N1292" t="s">
        <v>245</v>
      </c>
      <c r="O1292" t="s">
        <v>296</v>
      </c>
      <c r="P1292">
        <v>5.6788153835126993E-4</v>
      </c>
      <c r="Q1292" t="s">
        <v>159</v>
      </c>
    </row>
    <row r="1293" spans="9:17" x14ac:dyDescent="0.45">
      <c r="I1293" t="s">
        <v>202</v>
      </c>
      <c r="J1293" t="s">
        <v>297</v>
      </c>
      <c r="K1293">
        <v>1.120575707462546E-3</v>
      </c>
      <c r="L1293" t="s">
        <v>159</v>
      </c>
      <c r="N1293" t="s">
        <v>245</v>
      </c>
      <c r="O1293" t="s">
        <v>297</v>
      </c>
      <c r="P1293">
        <v>6.7106590756257022E-4</v>
      </c>
      <c r="Q1293" t="s">
        <v>159</v>
      </c>
    </row>
    <row r="1294" spans="9:17" x14ac:dyDescent="0.45">
      <c r="I1294" t="s">
        <v>202</v>
      </c>
      <c r="J1294" t="s">
        <v>311</v>
      </c>
      <c r="K1294">
        <v>0</v>
      </c>
      <c r="L1294" t="s">
        <v>159</v>
      </c>
      <c r="N1294" t="s">
        <v>245</v>
      </c>
      <c r="O1294" t="s">
        <v>311</v>
      </c>
      <c r="P1294">
        <v>3.5355534692396535E-3</v>
      </c>
      <c r="Q1294" t="s">
        <v>159</v>
      </c>
    </row>
    <row r="1295" spans="9:17" x14ac:dyDescent="0.45">
      <c r="I1295" t="s">
        <v>202</v>
      </c>
      <c r="J1295" t="s">
        <v>298</v>
      </c>
      <c r="K1295">
        <v>4.5282319868970317E-3</v>
      </c>
      <c r="L1295" t="s">
        <v>159</v>
      </c>
      <c r="N1295" t="s">
        <v>245</v>
      </c>
      <c r="O1295" t="s">
        <v>298</v>
      </c>
      <c r="P1295">
        <v>6.6423969603362679E-2</v>
      </c>
      <c r="Q1295" t="s">
        <v>159</v>
      </c>
    </row>
    <row r="1296" spans="9:17" x14ac:dyDescent="0.45">
      <c r="I1296" t="s">
        <v>202</v>
      </c>
      <c r="J1296" t="s">
        <v>299</v>
      </c>
      <c r="K1296">
        <v>1.5594912506953384E-2</v>
      </c>
      <c r="L1296" t="s">
        <v>159</v>
      </c>
      <c r="N1296" t="s">
        <v>245</v>
      </c>
      <c r="O1296" t="s">
        <v>299</v>
      </c>
      <c r="P1296">
        <v>7.5753593583702079E-3</v>
      </c>
      <c r="Q1296" t="s">
        <v>159</v>
      </c>
    </row>
    <row r="1297" spans="9:17" x14ac:dyDescent="0.45">
      <c r="I1297" t="s">
        <v>202</v>
      </c>
      <c r="J1297" t="s">
        <v>300</v>
      </c>
      <c r="K1297">
        <v>0.25693328829042522</v>
      </c>
      <c r="L1297" t="s">
        <v>159</v>
      </c>
      <c r="N1297" t="s">
        <v>245</v>
      </c>
      <c r="O1297" t="s">
        <v>300</v>
      </c>
      <c r="P1297">
        <v>7.800810728279764E-2</v>
      </c>
      <c r="Q1297" t="s">
        <v>159</v>
      </c>
    </row>
    <row r="1298" spans="9:17" x14ac:dyDescent="0.45">
      <c r="I1298" t="s">
        <v>202</v>
      </c>
      <c r="J1298" t="s">
        <v>301</v>
      </c>
      <c r="K1298">
        <v>2.3055064184837486E-2</v>
      </c>
      <c r="L1298" t="s">
        <v>159</v>
      </c>
      <c r="N1298" t="s">
        <v>245</v>
      </c>
      <c r="O1298" t="s">
        <v>301</v>
      </c>
      <c r="P1298">
        <v>1.4266343198222906E-2</v>
      </c>
      <c r="Q1298" t="s">
        <v>159</v>
      </c>
    </row>
    <row r="1299" spans="9:17" x14ac:dyDescent="0.45">
      <c r="I1299" t="s">
        <v>202</v>
      </c>
      <c r="J1299" t="s">
        <v>302</v>
      </c>
      <c r="K1299">
        <v>1.6631064867145703E-2</v>
      </c>
      <c r="L1299" t="s">
        <v>159</v>
      </c>
      <c r="N1299" t="s">
        <v>245</v>
      </c>
      <c r="O1299" t="s">
        <v>302</v>
      </c>
      <c r="P1299">
        <v>1.6550883443045662E-2</v>
      </c>
      <c r="Q1299" t="s">
        <v>159</v>
      </c>
    </row>
    <row r="1300" spans="9:17" x14ac:dyDescent="0.45">
      <c r="I1300" t="s">
        <v>202</v>
      </c>
      <c r="J1300" t="s">
        <v>312</v>
      </c>
      <c r="K1300">
        <v>3.7257944362485418E-3</v>
      </c>
      <c r="L1300" t="s">
        <v>159</v>
      </c>
      <c r="N1300" t="s">
        <v>245</v>
      </c>
      <c r="O1300" t="s">
        <v>312</v>
      </c>
      <c r="P1300">
        <v>7.6488315178006819E-2</v>
      </c>
      <c r="Q1300" t="s">
        <v>159</v>
      </c>
    </row>
    <row r="1301" spans="9:17" x14ac:dyDescent="0.45">
      <c r="I1301" t="s">
        <v>202</v>
      </c>
      <c r="J1301" t="s">
        <v>313</v>
      </c>
      <c r="K1301">
        <v>2.5294190343726074E-3</v>
      </c>
      <c r="L1301" t="s">
        <v>159</v>
      </c>
      <c r="N1301" t="s">
        <v>245</v>
      </c>
      <c r="O1301" t="s">
        <v>313</v>
      </c>
      <c r="P1301">
        <v>2.2113830489601739E-2</v>
      </c>
      <c r="Q1301" t="s">
        <v>159</v>
      </c>
    </row>
    <row r="1302" spans="9:17" x14ac:dyDescent="0.45">
      <c r="I1302" t="s">
        <v>202</v>
      </c>
      <c r="J1302" t="s">
        <v>314</v>
      </c>
      <c r="K1302">
        <v>4.4750108796242126E-3</v>
      </c>
      <c r="L1302" t="s">
        <v>159</v>
      </c>
      <c r="N1302" t="s">
        <v>245</v>
      </c>
      <c r="O1302" t="s">
        <v>314</v>
      </c>
      <c r="P1302">
        <v>2.3229647466937158E-3</v>
      </c>
      <c r="Q1302" t="s">
        <v>159</v>
      </c>
    </row>
    <row r="1303" spans="9:17" x14ac:dyDescent="0.45">
      <c r="I1303" t="s">
        <v>202</v>
      </c>
      <c r="J1303" t="s">
        <v>315</v>
      </c>
      <c r="K1303">
        <v>7.9216873834546314E-2</v>
      </c>
      <c r="L1303" t="s">
        <v>159</v>
      </c>
      <c r="N1303" t="s">
        <v>245</v>
      </c>
      <c r="O1303" t="s">
        <v>315</v>
      </c>
      <c r="P1303">
        <v>1.743933863060227E-2</v>
      </c>
      <c r="Q1303" t="s">
        <v>159</v>
      </c>
    </row>
    <row r="1304" spans="9:17" x14ac:dyDescent="0.45">
      <c r="I1304" t="s">
        <v>202</v>
      </c>
      <c r="J1304" t="s">
        <v>316</v>
      </c>
      <c r="K1304">
        <v>7.2429355060314353E-3</v>
      </c>
      <c r="L1304" t="s">
        <v>159</v>
      </c>
      <c r="N1304" t="s">
        <v>245</v>
      </c>
      <c r="O1304" t="s">
        <v>316</v>
      </c>
      <c r="P1304">
        <v>4.5751109107194949E-3</v>
      </c>
      <c r="Q1304" t="s">
        <v>159</v>
      </c>
    </row>
    <row r="1305" spans="9:17" x14ac:dyDescent="0.45">
      <c r="I1305" t="s">
        <v>202</v>
      </c>
      <c r="J1305" t="s">
        <v>317</v>
      </c>
      <c r="K1305">
        <v>5.6175073634851958E-3</v>
      </c>
      <c r="L1305" t="s">
        <v>159</v>
      </c>
      <c r="N1305" t="s">
        <v>245</v>
      </c>
      <c r="O1305" t="s">
        <v>317</v>
      </c>
      <c r="P1305">
        <v>5.7196469711032231E-3</v>
      </c>
      <c r="Q1305" t="s">
        <v>159</v>
      </c>
    </row>
    <row r="1306" spans="9:17" x14ac:dyDescent="0.45">
      <c r="I1306" t="s">
        <v>202</v>
      </c>
      <c r="J1306" t="s">
        <v>318</v>
      </c>
      <c r="K1306">
        <v>3.4047967389312056E-3</v>
      </c>
      <c r="L1306" t="s">
        <v>159</v>
      </c>
      <c r="N1306" t="s">
        <v>245</v>
      </c>
      <c r="O1306" t="s">
        <v>318</v>
      </c>
      <c r="P1306">
        <v>2.6732018404158991E-2</v>
      </c>
      <c r="Q1306" t="s">
        <v>159</v>
      </c>
    </row>
    <row r="1307" spans="9:17" x14ac:dyDescent="0.45">
      <c r="I1307" t="s">
        <v>203</v>
      </c>
      <c r="J1307" t="s">
        <v>158</v>
      </c>
      <c r="K1307">
        <v>0</v>
      </c>
      <c r="L1307" t="s">
        <v>159</v>
      </c>
      <c r="N1307" t="s">
        <v>246</v>
      </c>
      <c r="O1307" t="s">
        <v>158</v>
      </c>
      <c r="P1307">
        <v>0.10824387026480406</v>
      </c>
      <c r="Q1307" t="s">
        <v>159</v>
      </c>
    </row>
    <row r="1308" spans="9:17" x14ac:dyDescent="0.45">
      <c r="I1308" t="s">
        <v>203</v>
      </c>
      <c r="J1308" t="s">
        <v>160</v>
      </c>
      <c r="K1308">
        <v>1.5290886039481616E-2</v>
      </c>
      <c r="L1308" t="s">
        <v>159</v>
      </c>
      <c r="N1308" t="s">
        <v>246</v>
      </c>
      <c r="O1308" t="s">
        <v>160</v>
      </c>
      <c r="P1308">
        <v>1.6661942102198173E-2</v>
      </c>
      <c r="Q1308" t="s">
        <v>159</v>
      </c>
    </row>
    <row r="1309" spans="9:17" x14ac:dyDescent="0.45">
      <c r="I1309" t="s">
        <v>203</v>
      </c>
      <c r="J1309" t="s">
        <v>161</v>
      </c>
      <c r="K1309">
        <v>0.38591072408335558</v>
      </c>
      <c r="L1309" t="s">
        <v>159</v>
      </c>
      <c r="N1309" t="s">
        <v>246</v>
      </c>
      <c r="O1309" t="s">
        <v>161</v>
      </c>
      <c r="P1309">
        <v>0.18749264608811292</v>
      </c>
      <c r="Q1309" t="s">
        <v>159</v>
      </c>
    </row>
    <row r="1310" spans="9:17" x14ac:dyDescent="0.45">
      <c r="I1310" t="s">
        <v>203</v>
      </c>
      <c r="J1310" t="s">
        <v>287</v>
      </c>
      <c r="K1310">
        <v>3.4524977071121739E-2</v>
      </c>
      <c r="L1310" t="s">
        <v>159</v>
      </c>
      <c r="N1310" t="s">
        <v>246</v>
      </c>
      <c r="O1310" t="s">
        <v>287</v>
      </c>
      <c r="P1310">
        <v>3.3739717221020399E-2</v>
      </c>
      <c r="Q1310" t="s">
        <v>159</v>
      </c>
    </row>
    <row r="1311" spans="9:17" x14ac:dyDescent="0.45">
      <c r="I1311" t="s">
        <v>203</v>
      </c>
      <c r="J1311" t="s">
        <v>288</v>
      </c>
      <c r="K1311">
        <v>2.1896988950728391E-2</v>
      </c>
      <c r="L1311" t="s">
        <v>159</v>
      </c>
      <c r="N1311" t="s">
        <v>246</v>
      </c>
      <c r="O1311" t="s">
        <v>288</v>
      </c>
      <c r="P1311">
        <v>3.2615567819523399E-2</v>
      </c>
      <c r="Q1311" t="s">
        <v>159</v>
      </c>
    </row>
    <row r="1312" spans="9:17" x14ac:dyDescent="0.45">
      <c r="I1312" t="s">
        <v>203</v>
      </c>
      <c r="J1312" t="s">
        <v>308</v>
      </c>
      <c r="K1312">
        <v>7.5370209939194313E-3</v>
      </c>
      <c r="L1312" t="s">
        <v>159</v>
      </c>
      <c r="N1312" t="s">
        <v>246</v>
      </c>
      <c r="O1312" t="s">
        <v>308</v>
      </c>
      <c r="P1312">
        <v>9.7907884959439709E-2</v>
      </c>
      <c r="Q1312" t="s">
        <v>159</v>
      </c>
    </row>
    <row r="1313" spans="9:17" x14ac:dyDescent="0.45">
      <c r="I1313" t="s">
        <v>203</v>
      </c>
      <c r="J1313" t="s">
        <v>162</v>
      </c>
      <c r="K1313">
        <v>0</v>
      </c>
      <c r="L1313" t="s">
        <v>159</v>
      </c>
      <c r="N1313" t="s">
        <v>246</v>
      </c>
      <c r="O1313" t="s">
        <v>162</v>
      </c>
      <c r="P1313">
        <v>2.0883953602327116E-2</v>
      </c>
      <c r="Q1313" t="s">
        <v>159</v>
      </c>
    </row>
    <row r="1314" spans="9:17" x14ac:dyDescent="0.45">
      <c r="I1314" t="s">
        <v>203</v>
      </c>
      <c r="J1314" t="s">
        <v>163</v>
      </c>
      <c r="K1314">
        <v>0</v>
      </c>
      <c r="L1314" t="s">
        <v>159</v>
      </c>
      <c r="N1314" t="s">
        <v>246</v>
      </c>
      <c r="O1314" t="s">
        <v>163</v>
      </c>
      <c r="P1314">
        <v>3.0847619591948972E-3</v>
      </c>
      <c r="Q1314" t="s">
        <v>159</v>
      </c>
    </row>
    <row r="1315" spans="9:17" x14ac:dyDescent="0.45">
      <c r="I1315" t="s">
        <v>203</v>
      </c>
      <c r="J1315" t="s">
        <v>164</v>
      </c>
      <c r="K1315">
        <v>5.2359672885480345E-2</v>
      </c>
      <c r="L1315" t="s">
        <v>159</v>
      </c>
      <c r="N1315" t="s">
        <v>246</v>
      </c>
      <c r="O1315" t="s">
        <v>164</v>
      </c>
      <c r="P1315">
        <v>2.8705121547602207E-2</v>
      </c>
      <c r="Q1315" t="s">
        <v>159</v>
      </c>
    </row>
    <row r="1316" spans="9:17" x14ac:dyDescent="0.45">
      <c r="I1316" t="s">
        <v>203</v>
      </c>
      <c r="J1316" t="s">
        <v>289</v>
      </c>
      <c r="K1316">
        <v>4.6883824177128492E-3</v>
      </c>
      <c r="L1316" t="s">
        <v>159</v>
      </c>
      <c r="N1316" t="s">
        <v>246</v>
      </c>
      <c r="O1316" t="s">
        <v>289</v>
      </c>
      <c r="P1316">
        <v>3.0719684649347413E-3</v>
      </c>
      <c r="Q1316" t="s">
        <v>159</v>
      </c>
    </row>
    <row r="1317" spans="9:17" x14ac:dyDescent="0.45">
      <c r="I1317" t="s">
        <v>203</v>
      </c>
      <c r="J1317" t="s">
        <v>290</v>
      </c>
      <c r="K1317">
        <v>1.5627731627106604E-3</v>
      </c>
      <c r="L1317" t="s">
        <v>159</v>
      </c>
      <c r="N1317" t="s">
        <v>246</v>
      </c>
      <c r="O1317" t="s">
        <v>290</v>
      </c>
      <c r="P1317">
        <v>3.0093586229563056E-3</v>
      </c>
      <c r="Q1317" t="s">
        <v>159</v>
      </c>
    </row>
    <row r="1318" spans="9:17" x14ac:dyDescent="0.45">
      <c r="I1318" t="s">
        <v>203</v>
      </c>
      <c r="J1318" t="s">
        <v>309</v>
      </c>
      <c r="K1318">
        <v>0</v>
      </c>
      <c r="L1318" t="s">
        <v>159</v>
      </c>
      <c r="N1318" t="s">
        <v>246</v>
      </c>
      <c r="O1318" t="s">
        <v>309</v>
      </c>
      <c r="P1318">
        <v>1.5260742930364635E-2</v>
      </c>
      <c r="Q1318" t="s">
        <v>159</v>
      </c>
    </row>
    <row r="1319" spans="9:17" x14ac:dyDescent="0.45">
      <c r="I1319" t="s">
        <v>203</v>
      </c>
      <c r="J1319" t="s">
        <v>165</v>
      </c>
      <c r="K1319">
        <v>0</v>
      </c>
      <c r="L1319" t="s">
        <v>159</v>
      </c>
      <c r="N1319" t="s">
        <v>246</v>
      </c>
      <c r="O1319" t="s">
        <v>165</v>
      </c>
      <c r="P1319">
        <v>2.859503354949449E-2</v>
      </c>
      <c r="Q1319" t="s">
        <v>159</v>
      </c>
    </row>
    <row r="1320" spans="9:17" x14ac:dyDescent="0.45">
      <c r="I1320" t="s">
        <v>203</v>
      </c>
      <c r="J1320" t="s">
        <v>166</v>
      </c>
      <c r="K1320">
        <v>0</v>
      </c>
      <c r="L1320" t="s">
        <v>159</v>
      </c>
      <c r="N1320" t="s">
        <v>246</v>
      </c>
      <c r="O1320" t="s">
        <v>166</v>
      </c>
      <c r="P1320">
        <v>4.9728374284399197E-3</v>
      </c>
      <c r="Q1320" t="s">
        <v>159</v>
      </c>
    </row>
    <row r="1321" spans="9:17" x14ac:dyDescent="0.45">
      <c r="I1321" t="s">
        <v>203</v>
      </c>
      <c r="J1321" t="s">
        <v>167</v>
      </c>
      <c r="K1321">
        <v>6.379836595853737E-2</v>
      </c>
      <c r="L1321" t="s">
        <v>159</v>
      </c>
      <c r="N1321" t="s">
        <v>246</v>
      </c>
      <c r="O1321" t="s">
        <v>167</v>
      </c>
      <c r="P1321">
        <v>4.7282150101361262E-2</v>
      </c>
      <c r="Q1321" t="s">
        <v>159</v>
      </c>
    </row>
    <row r="1322" spans="9:17" x14ac:dyDescent="0.45">
      <c r="I1322" t="s">
        <v>203</v>
      </c>
      <c r="J1322" t="s">
        <v>291</v>
      </c>
      <c r="K1322">
        <v>5.7461454722289888E-3</v>
      </c>
      <c r="L1322" t="s">
        <v>159</v>
      </c>
      <c r="N1322" t="s">
        <v>246</v>
      </c>
      <c r="O1322" t="s">
        <v>291</v>
      </c>
      <c r="P1322">
        <v>4.4331551360060383E-3</v>
      </c>
      <c r="Q1322" t="s">
        <v>159</v>
      </c>
    </row>
    <row r="1323" spans="9:17" x14ac:dyDescent="0.45">
      <c r="I1323" t="s">
        <v>203</v>
      </c>
      <c r="J1323" t="s">
        <v>292</v>
      </c>
      <c r="K1323">
        <v>3.8689791568126512E-3</v>
      </c>
      <c r="L1323" t="s">
        <v>159</v>
      </c>
      <c r="N1323" t="s">
        <v>246</v>
      </c>
      <c r="O1323" t="s">
        <v>292</v>
      </c>
      <c r="P1323">
        <v>3.9506840624239925E-3</v>
      </c>
      <c r="Q1323" t="s">
        <v>159</v>
      </c>
    </row>
    <row r="1324" spans="9:17" x14ac:dyDescent="0.45">
      <c r="I1324" t="s">
        <v>203</v>
      </c>
      <c r="J1324" t="s">
        <v>310</v>
      </c>
      <c r="K1324">
        <v>0</v>
      </c>
      <c r="L1324" t="s">
        <v>159</v>
      </c>
      <c r="N1324" t="s">
        <v>246</v>
      </c>
      <c r="O1324" t="s">
        <v>310</v>
      </c>
      <c r="P1324">
        <v>1.6032524195228708E-2</v>
      </c>
      <c r="Q1324" t="s">
        <v>159</v>
      </c>
    </row>
    <row r="1325" spans="9:17" x14ac:dyDescent="0.45">
      <c r="I1325" t="s">
        <v>203</v>
      </c>
      <c r="J1325" t="s">
        <v>293</v>
      </c>
      <c r="K1325">
        <v>0</v>
      </c>
      <c r="L1325" t="s">
        <v>159</v>
      </c>
      <c r="N1325" t="s">
        <v>246</v>
      </c>
      <c r="O1325" t="s">
        <v>293</v>
      </c>
      <c r="P1325">
        <v>2.2405727320463876E-3</v>
      </c>
      <c r="Q1325" t="s">
        <v>159</v>
      </c>
    </row>
    <row r="1326" spans="9:17" x14ac:dyDescent="0.45">
      <c r="I1326" t="s">
        <v>203</v>
      </c>
      <c r="J1326" t="s">
        <v>294</v>
      </c>
      <c r="K1326">
        <v>0</v>
      </c>
      <c r="L1326" t="s">
        <v>159</v>
      </c>
      <c r="N1326" t="s">
        <v>246</v>
      </c>
      <c r="O1326" t="s">
        <v>294</v>
      </c>
      <c r="P1326">
        <v>5.6118142368039286E-4</v>
      </c>
      <c r="Q1326" t="s">
        <v>159</v>
      </c>
    </row>
    <row r="1327" spans="9:17" x14ac:dyDescent="0.45">
      <c r="I1327" t="s">
        <v>203</v>
      </c>
      <c r="J1327" t="s">
        <v>295</v>
      </c>
      <c r="K1327">
        <v>1.5176506250990552E-2</v>
      </c>
      <c r="L1327" t="s">
        <v>159</v>
      </c>
      <c r="N1327" t="s">
        <v>246</v>
      </c>
      <c r="O1327" t="s">
        <v>295</v>
      </c>
      <c r="P1327">
        <v>6.0964859394740624E-3</v>
      </c>
      <c r="Q1327" t="s">
        <v>159</v>
      </c>
    </row>
    <row r="1328" spans="9:17" x14ac:dyDescent="0.45">
      <c r="I1328" t="s">
        <v>203</v>
      </c>
      <c r="J1328" t="s">
        <v>296</v>
      </c>
      <c r="K1328">
        <v>1.4925371816135583E-3</v>
      </c>
      <c r="L1328" t="s">
        <v>159</v>
      </c>
      <c r="N1328" t="s">
        <v>246</v>
      </c>
      <c r="O1328" t="s">
        <v>296</v>
      </c>
      <c r="P1328">
        <v>8.8062482373109103E-4</v>
      </c>
      <c r="Q1328" t="s">
        <v>159</v>
      </c>
    </row>
    <row r="1329" spans="9:17" x14ac:dyDescent="0.45">
      <c r="I1329" t="s">
        <v>203</v>
      </c>
      <c r="J1329" t="s">
        <v>297</v>
      </c>
      <c r="K1329">
        <v>9.2127490765374928E-4</v>
      </c>
      <c r="L1329" t="s">
        <v>159</v>
      </c>
      <c r="N1329" t="s">
        <v>246</v>
      </c>
      <c r="O1329" t="s">
        <v>297</v>
      </c>
      <c r="P1329">
        <v>9.4194271598479064E-4</v>
      </c>
      <c r="Q1329" t="s">
        <v>159</v>
      </c>
    </row>
    <row r="1330" spans="9:17" x14ac:dyDescent="0.45">
      <c r="I1330" t="s">
        <v>203</v>
      </c>
      <c r="J1330" t="s">
        <v>311</v>
      </c>
      <c r="K1330">
        <v>0</v>
      </c>
      <c r="L1330" t="s">
        <v>159</v>
      </c>
      <c r="N1330" t="s">
        <v>246</v>
      </c>
      <c r="O1330" t="s">
        <v>311</v>
      </c>
      <c r="P1330">
        <v>2.6481323286850406E-3</v>
      </c>
      <c r="Q1330" t="s">
        <v>159</v>
      </c>
    </row>
    <row r="1331" spans="9:17" x14ac:dyDescent="0.45">
      <c r="I1331" t="s">
        <v>203</v>
      </c>
      <c r="J1331" t="s">
        <v>298</v>
      </c>
      <c r="K1331">
        <v>2.7055439539450379E-3</v>
      </c>
      <c r="L1331" t="s">
        <v>159</v>
      </c>
      <c r="N1331" t="s">
        <v>246</v>
      </c>
      <c r="O1331" t="s">
        <v>298</v>
      </c>
      <c r="P1331">
        <v>4.9925495264632053E-2</v>
      </c>
      <c r="Q1331" t="s">
        <v>159</v>
      </c>
    </row>
    <row r="1332" spans="9:17" x14ac:dyDescent="0.45">
      <c r="I1332" t="s">
        <v>203</v>
      </c>
      <c r="J1332" t="s">
        <v>299</v>
      </c>
      <c r="K1332">
        <v>1.5336083135820619E-2</v>
      </c>
      <c r="L1332" t="s">
        <v>159</v>
      </c>
      <c r="N1332" t="s">
        <v>246</v>
      </c>
      <c r="O1332" t="s">
        <v>299</v>
      </c>
      <c r="P1332">
        <v>7.5166988952134941E-3</v>
      </c>
      <c r="Q1332" t="s">
        <v>159</v>
      </c>
    </row>
    <row r="1333" spans="9:17" x14ac:dyDescent="0.45">
      <c r="I1333" t="s">
        <v>203</v>
      </c>
      <c r="J1333" t="s">
        <v>300</v>
      </c>
      <c r="K1333">
        <v>0.25169899458433764</v>
      </c>
      <c r="L1333" t="s">
        <v>159</v>
      </c>
      <c r="N1333" t="s">
        <v>246</v>
      </c>
      <c r="O1333" t="s">
        <v>300</v>
      </c>
      <c r="P1333">
        <v>0.10445218011936751</v>
      </c>
      <c r="Q1333" t="s">
        <v>159</v>
      </c>
    </row>
    <row r="1334" spans="9:17" x14ac:dyDescent="0.45">
      <c r="I1334" t="s">
        <v>203</v>
      </c>
      <c r="J1334" t="s">
        <v>301</v>
      </c>
      <c r="K1334">
        <v>2.1610666039871541E-2</v>
      </c>
      <c r="L1334" t="s">
        <v>159</v>
      </c>
      <c r="N1334" t="s">
        <v>246</v>
      </c>
      <c r="O1334" t="s">
        <v>301</v>
      </c>
      <c r="P1334">
        <v>2.0011156960031508E-2</v>
      </c>
      <c r="Q1334" t="s">
        <v>159</v>
      </c>
    </row>
    <row r="1335" spans="9:17" x14ac:dyDescent="0.45">
      <c r="I1335" t="s">
        <v>203</v>
      </c>
      <c r="J1335" t="s">
        <v>302</v>
      </c>
      <c r="K1335">
        <v>1.3782599176400352E-2</v>
      </c>
      <c r="L1335" t="s">
        <v>159</v>
      </c>
      <c r="N1335" t="s">
        <v>246</v>
      </c>
      <c r="O1335" t="s">
        <v>302</v>
      </c>
      <c r="P1335">
        <v>1.8731004348972145E-2</v>
      </c>
      <c r="Q1335" t="s">
        <v>159</v>
      </c>
    </row>
    <row r="1336" spans="9:17" x14ac:dyDescent="0.45">
      <c r="I1336" t="s">
        <v>203</v>
      </c>
      <c r="J1336" t="s">
        <v>312</v>
      </c>
      <c r="K1336">
        <v>7.4172548688530013E-4</v>
      </c>
      <c r="L1336" t="s">
        <v>159</v>
      </c>
      <c r="N1336" t="s">
        <v>246</v>
      </c>
      <c r="O1336" t="s">
        <v>312</v>
      </c>
      <c r="P1336">
        <v>4.8694775414895086E-2</v>
      </c>
      <c r="Q1336" t="s">
        <v>159</v>
      </c>
    </row>
    <row r="1337" spans="9:17" x14ac:dyDescent="0.45">
      <c r="I1337" t="s">
        <v>203</v>
      </c>
      <c r="J1337" t="s">
        <v>313</v>
      </c>
      <c r="K1337">
        <v>1.7153987774918265E-3</v>
      </c>
      <c r="L1337" t="s">
        <v>159</v>
      </c>
      <c r="N1337" t="s">
        <v>246</v>
      </c>
      <c r="O1337" t="s">
        <v>313</v>
      </c>
      <c r="P1337">
        <v>1.5061713940561307E-2</v>
      </c>
      <c r="Q1337" t="s">
        <v>159</v>
      </c>
    </row>
    <row r="1338" spans="9:17" x14ac:dyDescent="0.45">
      <c r="I1338" t="s">
        <v>203</v>
      </c>
      <c r="J1338" t="s">
        <v>314</v>
      </c>
      <c r="K1338">
        <v>3.8228029627597705E-3</v>
      </c>
      <c r="L1338" t="s">
        <v>159</v>
      </c>
      <c r="N1338" t="s">
        <v>246</v>
      </c>
      <c r="O1338" t="s">
        <v>314</v>
      </c>
      <c r="P1338">
        <v>2.1977480719474292E-3</v>
      </c>
      <c r="Q1338" t="s">
        <v>159</v>
      </c>
    </row>
    <row r="1339" spans="9:17" x14ac:dyDescent="0.45">
      <c r="I1339" t="s">
        <v>203</v>
      </c>
      <c r="J1339" t="s">
        <v>315</v>
      </c>
      <c r="K1339">
        <v>6.2714151981477256E-2</v>
      </c>
      <c r="L1339" t="s">
        <v>159</v>
      </c>
      <c r="N1339" t="s">
        <v>246</v>
      </c>
      <c r="O1339" t="s">
        <v>315</v>
      </c>
      <c r="P1339">
        <v>3.2412521933536331E-2</v>
      </c>
      <c r="Q1339" t="s">
        <v>159</v>
      </c>
    </row>
    <row r="1340" spans="9:17" x14ac:dyDescent="0.45">
      <c r="I1340" t="s">
        <v>203</v>
      </c>
      <c r="J1340" t="s">
        <v>316</v>
      </c>
      <c r="K1340">
        <v>5.0062441907600388E-3</v>
      </c>
      <c r="L1340" t="s">
        <v>159</v>
      </c>
      <c r="N1340" t="s">
        <v>246</v>
      </c>
      <c r="O1340" t="s">
        <v>316</v>
      </c>
      <c r="P1340">
        <v>7.5200948899643277E-3</v>
      </c>
      <c r="Q1340" t="s">
        <v>159</v>
      </c>
    </row>
    <row r="1341" spans="9:17" x14ac:dyDescent="0.45">
      <c r="I1341" t="s">
        <v>203</v>
      </c>
      <c r="J1341" t="s">
        <v>317</v>
      </c>
      <c r="K1341">
        <v>3.8222967514860706E-3</v>
      </c>
      <c r="L1341" t="s">
        <v>159</v>
      </c>
      <c r="N1341" t="s">
        <v>246</v>
      </c>
      <c r="O1341" t="s">
        <v>317</v>
      </c>
      <c r="P1341">
        <v>6.9535010209381531E-3</v>
      </c>
      <c r="Q1341" t="s">
        <v>159</v>
      </c>
    </row>
    <row r="1342" spans="9:17" x14ac:dyDescent="0.45">
      <c r="I1342" t="s">
        <v>203</v>
      </c>
      <c r="J1342" t="s">
        <v>318</v>
      </c>
      <c r="K1342">
        <v>2.2682584264190767E-3</v>
      </c>
      <c r="L1342" t="s">
        <v>159</v>
      </c>
      <c r="N1342" t="s">
        <v>246</v>
      </c>
      <c r="O1342" t="s">
        <v>318</v>
      </c>
      <c r="P1342">
        <v>1.7210249120904395E-2</v>
      </c>
      <c r="Q1342" t="s">
        <v>159</v>
      </c>
    </row>
    <row r="1343" spans="9:17" x14ac:dyDescent="0.45">
      <c r="I1343" t="s">
        <v>204</v>
      </c>
      <c r="J1343" t="s">
        <v>158</v>
      </c>
      <c r="K1343">
        <v>1.5124999044531718E-4</v>
      </c>
      <c r="L1343" t="s">
        <v>159</v>
      </c>
      <c r="N1343" t="s">
        <v>247</v>
      </c>
      <c r="O1343" t="s">
        <v>158</v>
      </c>
      <c r="P1343">
        <v>9.2754604245286934E-2</v>
      </c>
      <c r="Q1343" t="s">
        <v>159</v>
      </c>
    </row>
    <row r="1344" spans="9:17" x14ac:dyDescent="0.45">
      <c r="I1344" t="s">
        <v>204</v>
      </c>
      <c r="J1344" t="s">
        <v>160</v>
      </c>
      <c r="K1344">
        <v>1.4675436000427453E-2</v>
      </c>
      <c r="L1344" t="s">
        <v>159</v>
      </c>
      <c r="N1344" t="s">
        <v>247</v>
      </c>
      <c r="O1344" t="s">
        <v>160</v>
      </c>
      <c r="P1344">
        <v>1.3946490840891067E-2</v>
      </c>
      <c r="Q1344" t="s">
        <v>159</v>
      </c>
    </row>
    <row r="1345" spans="9:17" x14ac:dyDescent="0.45">
      <c r="I1345" t="s">
        <v>204</v>
      </c>
      <c r="J1345" t="s">
        <v>161</v>
      </c>
      <c r="K1345">
        <v>0.38559586023089226</v>
      </c>
      <c r="L1345" t="s">
        <v>159</v>
      </c>
      <c r="N1345" t="s">
        <v>247</v>
      </c>
      <c r="O1345" t="s">
        <v>161</v>
      </c>
      <c r="P1345">
        <v>0.20137161519001751</v>
      </c>
      <c r="Q1345" t="s">
        <v>159</v>
      </c>
    </row>
    <row r="1346" spans="9:17" x14ac:dyDescent="0.45">
      <c r="I1346" t="s">
        <v>204</v>
      </c>
      <c r="J1346" t="s">
        <v>287</v>
      </c>
      <c r="K1346">
        <v>3.500371244716325E-2</v>
      </c>
      <c r="L1346" t="s">
        <v>159</v>
      </c>
      <c r="N1346" t="s">
        <v>247</v>
      </c>
      <c r="O1346" t="s">
        <v>287</v>
      </c>
      <c r="P1346">
        <v>3.6841567352360473E-2</v>
      </c>
      <c r="Q1346" t="s">
        <v>159</v>
      </c>
    </row>
    <row r="1347" spans="9:17" x14ac:dyDescent="0.45">
      <c r="I1347" t="s">
        <v>204</v>
      </c>
      <c r="J1347" t="s">
        <v>288</v>
      </c>
      <c r="K1347">
        <v>2.1768499684367063E-2</v>
      </c>
      <c r="L1347" t="s">
        <v>159</v>
      </c>
      <c r="N1347" t="s">
        <v>247</v>
      </c>
      <c r="O1347" t="s">
        <v>288</v>
      </c>
      <c r="P1347">
        <v>3.3615899731397877E-2</v>
      </c>
      <c r="Q1347" t="s">
        <v>159</v>
      </c>
    </row>
    <row r="1348" spans="9:17" x14ac:dyDescent="0.45">
      <c r="I1348" t="s">
        <v>204</v>
      </c>
      <c r="J1348" t="s">
        <v>308</v>
      </c>
      <c r="K1348">
        <v>7.8250628481517596E-3</v>
      </c>
      <c r="L1348" t="s">
        <v>159</v>
      </c>
      <c r="N1348" t="s">
        <v>247</v>
      </c>
      <c r="O1348" t="s">
        <v>308</v>
      </c>
      <c r="P1348">
        <v>0.10399997253909878</v>
      </c>
      <c r="Q1348" t="s">
        <v>159</v>
      </c>
    </row>
    <row r="1349" spans="9:17" x14ac:dyDescent="0.45">
      <c r="I1349" t="s">
        <v>204</v>
      </c>
      <c r="J1349" t="s">
        <v>162</v>
      </c>
      <c r="K1349">
        <v>0</v>
      </c>
      <c r="L1349" t="s">
        <v>159</v>
      </c>
      <c r="N1349" t="s">
        <v>247</v>
      </c>
      <c r="O1349" t="s">
        <v>162</v>
      </c>
      <c r="P1349">
        <v>1.6378547164624363E-2</v>
      </c>
      <c r="Q1349" t="s">
        <v>159</v>
      </c>
    </row>
    <row r="1350" spans="9:17" x14ac:dyDescent="0.45">
      <c r="I1350" t="s">
        <v>204</v>
      </c>
      <c r="J1350" t="s">
        <v>163</v>
      </c>
      <c r="K1350">
        <v>0</v>
      </c>
      <c r="L1350" t="s">
        <v>159</v>
      </c>
      <c r="N1350" t="s">
        <v>247</v>
      </c>
      <c r="O1350" t="s">
        <v>163</v>
      </c>
      <c r="P1350">
        <v>2.6571504729329225E-3</v>
      </c>
      <c r="Q1350" t="s">
        <v>159</v>
      </c>
    </row>
    <row r="1351" spans="9:17" x14ac:dyDescent="0.45">
      <c r="I1351" t="s">
        <v>204</v>
      </c>
      <c r="J1351" t="s">
        <v>164</v>
      </c>
      <c r="K1351">
        <v>5.1179537331666143E-2</v>
      </c>
      <c r="L1351" t="s">
        <v>159</v>
      </c>
      <c r="N1351" t="s">
        <v>247</v>
      </c>
      <c r="O1351" t="s">
        <v>164</v>
      </c>
      <c r="P1351">
        <v>2.3478900690623195E-2</v>
      </c>
      <c r="Q1351" t="s">
        <v>159</v>
      </c>
    </row>
    <row r="1352" spans="9:17" x14ac:dyDescent="0.45">
      <c r="I1352" t="s">
        <v>204</v>
      </c>
      <c r="J1352" t="s">
        <v>289</v>
      </c>
      <c r="K1352">
        <v>4.5260193762715764E-3</v>
      </c>
      <c r="L1352" t="s">
        <v>159</v>
      </c>
      <c r="N1352" t="s">
        <v>247</v>
      </c>
      <c r="O1352" t="s">
        <v>289</v>
      </c>
      <c r="P1352">
        <v>2.6230026383274136E-3</v>
      </c>
      <c r="Q1352" t="s">
        <v>159</v>
      </c>
    </row>
    <row r="1353" spans="9:17" x14ac:dyDescent="0.45">
      <c r="I1353" t="s">
        <v>204</v>
      </c>
      <c r="J1353" t="s">
        <v>290</v>
      </c>
      <c r="K1353">
        <v>8.6710369064125885E-4</v>
      </c>
      <c r="L1353" t="s">
        <v>159</v>
      </c>
      <c r="N1353" t="s">
        <v>247</v>
      </c>
      <c r="O1353" t="s">
        <v>290</v>
      </c>
      <c r="P1353">
        <v>2.5238975889012847E-3</v>
      </c>
      <c r="Q1353" t="s">
        <v>159</v>
      </c>
    </row>
    <row r="1354" spans="9:17" x14ac:dyDescent="0.45">
      <c r="I1354" t="s">
        <v>204</v>
      </c>
      <c r="J1354" t="s">
        <v>309</v>
      </c>
      <c r="K1354">
        <v>0</v>
      </c>
      <c r="L1354" t="s">
        <v>159</v>
      </c>
      <c r="N1354" t="s">
        <v>247</v>
      </c>
      <c r="O1354" t="s">
        <v>309</v>
      </c>
      <c r="P1354">
        <v>1.1349085510078811E-2</v>
      </c>
      <c r="Q1354" t="s">
        <v>159</v>
      </c>
    </row>
    <row r="1355" spans="9:17" x14ac:dyDescent="0.45">
      <c r="I1355" t="s">
        <v>204</v>
      </c>
      <c r="J1355" t="s">
        <v>165</v>
      </c>
      <c r="K1355">
        <v>0</v>
      </c>
      <c r="L1355" t="s">
        <v>159</v>
      </c>
      <c r="N1355" t="s">
        <v>247</v>
      </c>
      <c r="O1355" t="s">
        <v>165</v>
      </c>
      <c r="P1355">
        <v>2.7389587032442559E-2</v>
      </c>
      <c r="Q1355" t="s">
        <v>159</v>
      </c>
    </row>
    <row r="1356" spans="9:17" x14ac:dyDescent="0.45">
      <c r="I1356" t="s">
        <v>204</v>
      </c>
      <c r="J1356" t="s">
        <v>166</v>
      </c>
      <c r="K1356">
        <v>0</v>
      </c>
      <c r="L1356" t="s">
        <v>159</v>
      </c>
      <c r="N1356" t="s">
        <v>247</v>
      </c>
      <c r="O1356" t="s">
        <v>166</v>
      </c>
      <c r="P1356">
        <v>4.4523296715133897E-3</v>
      </c>
      <c r="Q1356" t="s">
        <v>159</v>
      </c>
    </row>
    <row r="1357" spans="9:17" x14ac:dyDescent="0.45">
      <c r="I1357" t="s">
        <v>204</v>
      </c>
      <c r="J1357" t="s">
        <v>167</v>
      </c>
      <c r="K1357">
        <v>6.4058520894143503E-2</v>
      </c>
      <c r="L1357" t="s">
        <v>159</v>
      </c>
      <c r="N1357" t="s">
        <v>247</v>
      </c>
      <c r="O1357" t="s">
        <v>167</v>
      </c>
      <c r="P1357">
        <v>4.2423254543367692E-2</v>
      </c>
      <c r="Q1357" t="s">
        <v>159</v>
      </c>
    </row>
    <row r="1358" spans="9:17" x14ac:dyDescent="0.45">
      <c r="I1358" t="s">
        <v>204</v>
      </c>
      <c r="J1358" t="s">
        <v>291</v>
      </c>
      <c r="K1358">
        <v>5.9692627087153298E-3</v>
      </c>
      <c r="L1358" t="s">
        <v>159</v>
      </c>
      <c r="N1358" t="s">
        <v>247</v>
      </c>
      <c r="O1358" t="s">
        <v>291</v>
      </c>
      <c r="P1358">
        <v>4.1901326779760807E-3</v>
      </c>
      <c r="Q1358" t="s">
        <v>159</v>
      </c>
    </row>
    <row r="1359" spans="9:17" x14ac:dyDescent="0.45">
      <c r="I1359" t="s">
        <v>204</v>
      </c>
      <c r="J1359" t="s">
        <v>292</v>
      </c>
      <c r="K1359">
        <v>3.9280230668461182E-3</v>
      </c>
      <c r="L1359" t="s">
        <v>159</v>
      </c>
      <c r="N1359" t="s">
        <v>247</v>
      </c>
      <c r="O1359" t="s">
        <v>292</v>
      </c>
      <c r="P1359">
        <v>3.9892905762090227E-3</v>
      </c>
      <c r="Q1359" t="s">
        <v>159</v>
      </c>
    </row>
    <row r="1360" spans="9:17" x14ac:dyDescent="0.45">
      <c r="I1360" t="s">
        <v>204</v>
      </c>
      <c r="J1360" t="s">
        <v>310</v>
      </c>
      <c r="K1360">
        <v>0</v>
      </c>
      <c r="L1360" t="s">
        <v>159</v>
      </c>
      <c r="N1360" t="s">
        <v>247</v>
      </c>
      <c r="O1360" t="s">
        <v>310</v>
      </c>
      <c r="P1360">
        <v>1.7120102908908176E-2</v>
      </c>
      <c r="Q1360" t="s">
        <v>159</v>
      </c>
    </row>
    <row r="1361" spans="9:17" x14ac:dyDescent="0.45">
      <c r="I1361" t="s">
        <v>204</v>
      </c>
      <c r="J1361" t="s">
        <v>293</v>
      </c>
      <c r="K1361">
        <v>0</v>
      </c>
      <c r="L1361" t="s">
        <v>159</v>
      </c>
      <c r="N1361" t="s">
        <v>247</v>
      </c>
      <c r="O1361" t="s">
        <v>293</v>
      </c>
      <c r="P1361">
        <v>3.8882845451412604E-3</v>
      </c>
      <c r="Q1361" t="s">
        <v>159</v>
      </c>
    </row>
    <row r="1362" spans="9:17" x14ac:dyDescent="0.45">
      <c r="I1362" t="s">
        <v>204</v>
      </c>
      <c r="J1362" t="s">
        <v>294</v>
      </c>
      <c r="K1362">
        <v>5.4207721575277697E-5</v>
      </c>
      <c r="L1362" t="s">
        <v>159</v>
      </c>
      <c r="N1362" t="s">
        <v>247</v>
      </c>
      <c r="O1362" t="s">
        <v>294</v>
      </c>
      <c r="P1362">
        <v>6.716484688981105E-4</v>
      </c>
      <c r="Q1362" t="s">
        <v>159</v>
      </c>
    </row>
    <row r="1363" spans="9:17" x14ac:dyDescent="0.45">
      <c r="I1363" t="s">
        <v>204</v>
      </c>
      <c r="J1363" t="s">
        <v>295</v>
      </c>
      <c r="K1363">
        <v>1.5407652619258609E-2</v>
      </c>
      <c r="L1363" t="s">
        <v>159</v>
      </c>
      <c r="N1363" t="s">
        <v>247</v>
      </c>
      <c r="O1363" t="s">
        <v>295</v>
      </c>
      <c r="P1363">
        <v>6.4822670098619488E-3</v>
      </c>
      <c r="Q1363" t="s">
        <v>159</v>
      </c>
    </row>
    <row r="1364" spans="9:17" x14ac:dyDescent="0.45">
      <c r="I1364" t="s">
        <v>204</v>
      </c>
      <c r="J1364" t="s">
        <v>296</v>
      </c>
      <c r="K1364">
        <v>1.4540588618790118E-3</v>
      </c>
      <c r="L1364" t="s">
        <v>159</v>
      </c>
      <c r="N1364" t="s">
        <v>247</v>
      </c>
      <c r="O1364" t="s">
        <v>296</v>
      </c>
      <c r="P1364">
        <v>9.5871852168521359E-4</v>
      </c>
      <c r="Q1364" t="s">
        <v>159</v>
      </c>
    </row>
    <row r="1365" spans="9:17" x14ac:dyDescent="0.45">
      <c r="I1365" t="s">
        <v>204</v>
      </c>
      <c r="J1365" t="s">
        <v>297</v>
      </c>
      <c r="K1365">
        <v>9.2139029661773885E-4</v>
      </c>
      <c r="L1365" t="s">
        <v>159</v>
      </c>
      <c r="N1365" t="s">
        <v>247</v>
      </c>
      <c r="O1365" t="s">
        <v>297</v>
      </c>
      <c r="P1365">
        <v>9.2304734807938907E-4</v>
      </c>
      <c r="Q1365" t="s">
        <v>159</v>
      </c>
    </row>
    <row r="1366" spans="9:17" x14ac:dyDescent="0.45">
      <c r="I1366" t="s">
        <v>204</v>
      </c>
      <c r="J1366" t="s">
        <v>311</v>
      </c>
      <c r="K1366">
        <v>0</v>
      </c>
      <c r="L1366" t="s">
        <v>159</v>
      </c>
      <c r="N1366" t="s">
        <v>247</v>
      </c>
      <c r="O1366" t="s">
        <v>311</v>
      </c>
      <c r="P1366">
        <v>3.4112300169221502E-3</v>
      </c>
      <c r="Q1366" t="s">
        <v>159</v>
      </c>
    </row>
    <row r="1367" spans="9:17" x14ac:dyDescent="0.45">
      <c r="I1367" t="s">
        <v>204</v>
      </c>
      <c r="J1367" t="s">
        <v>298</v>
      </c>
      <c r="K1367">
        <v>3.0607558023827246E-3</v>
      </c>
      <c r="L1367" t="s">
        <v>159</v>
      </c>
      <c r="N1367" t="s">
        <v>247</v>
      </c>
      <c r="O1367" t="s">
        <v>298</v>
      </c>
      <c r="P1367">
        <v>4.2731493736410178E-2</v>
      </c>
      <c r="Q1367" t="s">
        <v>159</v>
      </c>
    </row>
    <row r="1368" spans="9:17" x14ac:dyDescent="0.45">
      <c r="I1368" t="s">
        <v>204</v>
      </c>
      <c r="J1368" t="s">
        <v>299</v>
      </c>
      <c r="K1368">
        <v>1.5606043831591193E-2</v>
      </c>
      <c r="L1368" t="s">
        <v>159</v>
      </c>
      <c r="N1368" t="s">
        <v>247</v>
      </c>
      <c r="O1368" t="s">
        <v>299</v>
      </c>
      <c r="P1368">
        <v>5.1892766172819986E-3</v>
      </c>
      <c r="Q1368" t="s">
        <v>159</v>
      </c>
    </row>
    <row r="1369" spans="9:17" x14ac:dyDescent="0.45">
      <c r="I1369" t="s">
        <v>204</v>
      </c>
      <c r="J1369" t="s">
        <v>300</v>
      </c>
      <c r="K1369">
        <v>0.2480307308149898</v>
      </c>
      <c r="L1369" t="s">
        <v>159</v>
      </c>
      <c r="N1369" t="s">
        <v>247</v>
      </c>
      <c r="O1369" t="s">
        <v>300</v>
      </c>
      <c r="P1369">
        <v>0.11497356046651915</v>
      </c>
      <c r="Q1369" t="s">
        <v>159</v>
      </c>
    </row>
    <row r="1370" spans="9:17" x14ac:dyDescent="0.45">
      <c r="I1370" t="s">
        <v>204</v>
      </c>
      <c r="J1370" t="s">
        <v>301</v>
      </c>
      <c r="K1370">
        <v>2.099903932770484E-2</v>
      </c>
      <c r="L1370" t="s">
        <v>159</v>
      </c>
      <c r="N1370" t="s">
        <v>247</v>
      </c>
      <c r="O1370" t="s">
        <v>301</v>
      </c>
      <c r="P1370">
        <v>2.2905427418638203E-2</v>
      </c>
      <c r="Q1370" t="s">
        <v>159</v>
      </c>
    </row>
    <row r="1371" spans="9:17" x14ac:dyDescent="0.45">
      <c r="I1371" t="s">
        <v>204</v>
      </c>
      <c r="J1371" t="s">
        <v>302</v>
      </c>
      <c r="K1371">
        <v>1.3703760452473219E-2</v>
      </c>
      <c r="L1371" t="s">
        <v>159</v>
      </c>
      <c r="N1371" t="s">
        <v>247</v>
      </c>
      <c r="O1371" t="s">
        <v>302</v>
      </c>
      <c r="P1371">
        <v>2.0498277357392455E-2</v>
      </c>
      <c r="Q1371" t="s">
        <v>159</v>
      </c>
    </row>
    <row r="1372" spans="9:17" x14ac:dyDescent="0.45">
      <c r="I1372" t="s">
        <v>204</v>
      </c>
      <c r="J1372" t="s">
        <v>312</v>
      </c>
      <c r="K1372">
        <v>7.7686653988583111E-4</v>
      </c>
      <c r="L1372" t="s">
        <v>159</v>
      </c>
      <c r="N1372" t="s">
        <v>247</v>
      </c>
      <c r="O1372" t="s">
        <v>312</v>
      </c>
      <c r="P1372">
        <v>5.9765196733331694E-2</v>
      </c>
      <c r="Q1372" t="s">
        <v>159</v>
      </c>
    </row>
    <row r="1373" spans="9:17" x14ac:dyDescent="0.45">
      <c r="I1373" t="s">
        <v>204</v>
      </c>
      <c r="J1373" t="s">
        <v>313</v>
      </c>
      <c r="K1373">
        <v>1.870940781822356E-3</v>
      </c>
      <c r="L1373" t="s">
        <v>159</v>
      </c>
      <c r="N1373" t="s">
        <v>247</v>
      </c>
      <c r="O1373" t="s">
        <v>313</v>
      </c>
      <c r="P1373">
        <v>7.9738212202468267E-3</v>
      </c>
      <c r="Q1373" t="s">
        <v>159</v>
      </c>
    </row>
    <row r="1374" spans="9:17" x14ac:dyDescent="0.45">
      <c r="I1374" t="s">
        <v>204</v>
      </c>
      <c r="J1374" t="s">
        <v>314</v>
      </c>
      <c r="K1374">
        <v>3.9461369275982259E-3</v>
      </c>
      <c r="L1374" t="s">
        <v>159</v>
      </c>
      <c r="N1374" t="s">
        <v>247</v>
      </c>
      <c r="O1374" t="s">
        <v>314</v>
      </c>
      <c r="P1374">
        <v>8.970720313796883E-4</v>
      </c>
      <c r="Q1374" t="s">
        <v>159</v>
      </c>
    </row>
    <row r="1375" spans="9:17" x14ac:dyDescent="0.45">
      <c r="I1375" t="s">
        <v>204</v>
      </c>
      <c r="J1375" t="s">
        <v>315</v>
      </c>
      <c r="K1375">
        <v>6.638251356746476E-2</v>
      </c>
      <c r="L1375" t="s">
        <v>159</v>
      </c>
      <c r="N1375" t="s">
        <v>247</v>
      </c>
      <c r="O1375" t="s">
        <v>315</v>
      </c>
      <c r="P1375">
        <v>3.5182894055108833E-2</v>
      </c>
      <c r="Q1375" t="s">
        <v>159</v>
      </c>
    </row>
    <row r="1376" spans="9:17" x14ac:dyDescent="0.45">
      <c r="I1376" t="s">
        <v>204</v>
      </c>
      <c r="J1376" t="s">
        <v>316</v>
      </c>
      <c r="K1376">
        <v>5.6943331856629783E-3</v>
      </c>
      <c r="L1376" t="s">
        <v>159</v>
      </c>
      <c r="N1376" t="s">
        <v>247</v>
      </c>
      <c r="O1376" t="s">
        <v>316</v>
      </c>
      <c r="P1376">
        <v>8.6168079015103722E-3</v>
      </c>
      <c r="Q1376" t="s">
        <v>159</v>
      </c>
    </row>
    <row r="1377" spans="9:17" x14ac:dyDescent="0.45">
      <c r="I1377" t="s">
        <v>204</v>
      </c>
      <c r="J1377" t="s">
        <v>317</v>
      </c>
      <c r="K1377">
        <v>4.2271383420280188E-3</v>
      </c>
      <c r="L1377" t="s">
        <v>159</v>
      </c>
      <c r="N1377" t="s">
        <v>247</v>
      </c>
      <c r="O1377" t="s">
        <v>317</v>
      </c>
      <c r="P1377">
        <v>7.2517346784705967E-3</v>
      </c>
      <c r="Q1377" t="s">
        <v>159</v>
      </c>
    </row>
    <row r="1378" spans="9:17" x14ac:dyDescent="0.45">
      <c r="I1378" t="s">
        <v>204</v>
      </c>
      <c r="J1378" t="s">
        <v>318</v>
      </c>
      <c r="K1378">
        <v>2.3161426573358812E-3</v>
      </c>
      <c r="L1378" t="s">
        <v>159</v>
      </c>
      <c r="N1378" t="s">
        <v>247</v>
      </c>
      <c r="O1378" t="s">
        <v>318</v>
      </c>
      <c r="P1378">
        <v>1.6573810498163328E-2</v>
      </c>
      <c r="Q1378" t="s">
        <v>159</v>
      </c>
    </row>
    <row r="1379" spans="9:17" x14ac:dyDescent="0.45">
      <c r="I1379" t="s">
        <v>205</v>
      </c>
      <c r="J1379" t="s">
        <v>158</v>
      </c>
      <c r="K1379">
        <v>5.5513204474363692E-5</v>
      </c>
      <c r="L1379" t="s">
        <v>159</v>
      </c>
      <c r="N1379" t="s">
        <v>248</v>
      </c>
      <c r="O1379" t="s">
        <v>158</v>
      </c>
      <c r="P1379">
        <v>0.14911682755400094</v>
      </c>
      <c r="Q1379" t="s">
        <v>159</v>
      </c>
    </row>
    <row r="1380" spans="9:17" x14ac:dyDescent="0.45">
      <c r="I1380" t="s">
        <v>205</v>
      </c>
      <c r="J1380" t="s">
        <v>160</v>
      </c>
      <c r="K1380">
        <v>1.7500427891911186E-2</v>
      </c>
      <c r="L1380" t="s">
        <v>159</v>
      </c>
      <c r="N1380" t="s">
        <v>248</v>
      </c>
      <c r="O1380" t="s">
        <v>160</v>
      </c>
      <c r="P1380">
        <v>1.7109192499504374E-2</v>
      </c>
      <c r="Q1380" t="s">
        <v>159</v>
      </c>
    </row>
    <row r="1381" spans="9:17" x14ac:dyDescent="0.45">
      <c r="I1381" t="s">
        <v>205</v>
      </c>
      <c r="J1381" t="s">
        <v>161</v>
      </c>
      <c r="K1381">
        <v>0.38886140983129575</v>
      </c>
      <c r="L1381" t="s">
        <v>159</v>
      </c>
      <c r="N1381" t="s">
        <v>248</v>
      </c>
      <c r="O1381" t="s">
        <v>161</v>
      </c>
      <c r="P1381">
        <v>0.14765711638985576</v>
      </c>
      <c r="Q1381" t="s">
        <v>159</v>
      </c>
    </row>
    <row r="1382" spans="9:17" x14ac:dyDescent="0.45">
      <c r="I1382" t="s">
        <v>205</v>
      </c>
      <c r="J1382" t="s">
        <v>287</v>
      </c>
      <c r="K1382">
        <v>3.4860413564796869E-2</v>
      </c>
      <c r="L1382" t="s">
        <v>159</v>
      </c>
      <c r="N1382" t="s">
        <v>248</v>
      </c>
      <c r="O1382" t="s">
        <v>287</v>
      </c>
      <c r="P1382">
        <v>1.8872503736247707E-2</v>
      </c>
      <c r="Q1382" t="s">
        <v>159</v>
      </c>
    </row>
    <row r="1383" spans="9:17" x14ac:dyDescent="0.45">
      <c r="I1383" t="s">
        <v>205</v>
      </c>
      <c r="J1383" t="s">
        <v>288</v>
      </c>
      <c r="K1383">
        <v>2.1019885868655823E-2</v>
      </c>
      <c r="L1383" t="s">
        <v>159</v>
      </c>
      <c r="N1383" t="s">
        <v>248</v>
      </c>
      <c r="O1383" t="s">
        <v>288</v>
      </c>
      <c r="P1383">
        <v>2.02630337343623E-2</v>
      </c>
      <c r="Q1383" t="s">
        <v>159</v>
      </c>
    </row>
    <row r="1384" spans="9:17" x14ac:dyDescent="0.45">
      <c r="I1384" t="s">
        <v>205</v>
      </c>
      <c r="J1384" t="s">
        <v>308</v>
      </c>
      <c r="K1384">
        <v>6.4699445458925794E-3</v>
      </c>
      <c r="L1384" t="s">
        <v>159</v>
      </c>
      <c r="N1384" t="s">
        <v>248</v>
      </c>
      <c r="O1384" t="s">
        <v>308</v>
      </c>
      <c r="P1384">
        <v>0.1233876276596431</v>
      </c>
      <c r="Q1384" t="s">
        <v>159</v>
      </c>
    </row>
    <row r="1385" spans="9:17" x14ac:dyDescent="0.45">
      <c r="I1385" t="s">
        <v>205</v>
      </c>
      <c r="J1385" t="s">
        <v>162</v>
      </c>
      <c r="K1385">
        <v>0</v>
      </c>
      <c r="L1385" t="s">
        <v>159</v>
      </c>
      <c r="N1385" t="s">
        <v>248</v>
      </c>
      <c r="O1385" t="s">
        <v>162</v>
      </c>
      <c r="P1385">
        <v>2.2352535941101842E-2</v>
      </c>
      <c r="Q1385" t="s">
        <v>159</v>
      </c>
    </row>
    <row r="1386" spans="9:17" x14ac:dyDescent="0.45">
      <c r="I1386" t="s">
        <v>205</v>
      </c>
      <c r="J1386" t="s">
        <v>163</v>
      </c>
      <c r="K1386">
        <v>0</v>
      </c>
      <c r="L1386" t="s">
        <v>159</v>
      </c>
      <c r="N1386" t="s">
        <v>248</v>
      </c>
      <c r="O1386" t="s">
        <v>163</v>
      </c>
      <c r="P1386">
        <v>3.1059234347350132E-3</v>
      </c>
      <c r="Q1386" t="s">
        <v>159</v>
      </c>
    </row>
    <row r="1387" spans="9:17" x14ac:dyDescent="0.45">
      <c r="I1387" t="s">
        <v>205</v>
      </c>
      <c r="J1387" t="s">
        <v>164</v>
      </c>
      <c r="K1387">
        <v>5.2869721594636022E-2</v>
      </c>
      <c r="L1387" t="s">
        <v>159</v>
      </c>
      <c r="N1387" t="s">
        <v>248</v>
      </c>
      <c r="O1387" t="s">
        <v>164</v>
      </c>
      <c r="P1387">
        <v>2.6050924343760804E-2</v>
      </c>
      <c r="Q1387" t="s">
        <v>159</v>
      </c>
    </row>
    <row r="1388" spans="9:17" x14ac:dyDescent="0.45">
      <c r="I1388" t="s">
        <v>205</v>
      </c>
      <c r="J1388" t="s">
        <v>289</v>
      </c>
      <c r="K1388">
        <v>4.4932245815123683E-3</v>
      </c>
      <c r="L1388" t="s">
        <v>159</v>
      </c>
      <c r="N1388" t="s">
        <v>248</v>
      </c>
      <c r="O1388" t="s">
        <v>289</v>
      </c>
      <c r="P1388">
        <v>2.7841705462664582E-3</v>
      </c>
      <c r="Q1388" t="s">
        <v>159</v>
      </c>
    </row>
    <row r="1389" spans="9:17" x14ac:dyDescent="0.45">
      <c r="I1389" t="s">
        <v>205</v>
      </c>
      <c r="J1389" t="s">
        <v>290</v>
      </c>
      <c r="K1389">
        <v>4.5130359852106925E-4</v>
      </c>
      <c r="L1389" t="s">
        <v>159</v>
      </c>
      <c r="N1389" t="s">
        <v>248</v>
      </c>
      <c r="O1389" t="s">
        <v>290</v>
      </c>
      <c r="P1389">
        <v>2.8790355523066755E-3</v>
      </c>
      <c r="Q1389" t="s">
        <v>159</v>
      </c>
    </row>
    <row r="1390" spans="9:17" x14ac:dyDescent="0.45">
      <c r="I1390" t="s">
        <v>205</v>
      </c>
      <c r="J1390" t="s">
        <v>309</v>
      </c>
      <c r="K1390">
        <v>0</v>
      </c>
      <c r="L1390" t="s">
        <v>159</v>
      </c>
      <c r="N1390" t="s">
        <v>248</v>
      </c>
      <c r="O1390" t="s">
        <v>309</v>
      </c>
      <c r="P1390">
        <v>1.594233513044311E-2</v>
      </c>
      <c r="Q1390" t="s">
        <v>159</v>
      </c>
    </row>
    <row r="1391" spans="9:17" x14ac:dyDescent="0.45">
      <c r="I1391" t="s">
        <v>205</v>
      </c>
      <c r="J1391" t="s">
        <v>165</v>
      </c>
      <c r="K1391">
        <v>0</v>
      </c>
      <c r="L1391" t="s">
        <v>159</v>
      </c>
      <c r="N1391" t="s">
        <v>248</v>
      </c>
      <c r="O1391" t="s">
        <v>165</v>
      </c>
      <c r="P1391">
        <v>2.1221411128739567E-2</v>
      </c>
      <c r="Q1391" t="s">
        <v>159</v>
      </c>
    </row>
    <row r="1392" spans="9:17" x14ac:dyDescent="0.45">
      <c r="I1392" t="s">
        <v>205</v>
      </c>
      <c r="J1392" t="s">
        <v>166</v>
      </c>
      <c r="K1392">
        <v>4.0803535280736333E-6</v>
      </c>
      <c r="L1392" t="s">
        <v>159</v>
      </c>
      <c r="N1392" t="s">
        <v>248</v>
      </c>
      <c r="O1392" t="s">
        <v>166</v>
      </c>
      <c r="P1392">
        <v>2.8881727009211111E-3</v>
      </c>
      <c r="Q1392" t="s">
        <v>159</v>
      </c>
    </row>
    <row r="1393" spans="9:17" x14ac:dyDescent="0.45">
      <c r="I1393" t="s">
        <v>205</v>
      </c>
      <c r="J1393" t="s">
        <v>167</v>
      </c>
      <c r="K1393">
        <v>6.2172265567863642E-2</v>
      </c>
      <c r="L1393" t="s">
        <v>159</v>
      </c>
      <c r="N1393" t="s">
        <v>248</v>
      </c>
      <c r="O1393" t="s">
        <v>167</v>
      </c>
      <c r="P1393">
        <v>3.5263974606656159E-2</v>
      </c>
      <c r="Q1393" t="s">
        <v>159</v>
      </c>
    </row>
    <row r="1394" spans="9:17" x14ac:dyDescent="0.45">
      <c r="I1394" t="s">
        <v>205</v>
      </c>
      <c r="J1394" t="s">
        <v>291</v>
      </c>
      <c r="K1394">
        <v>5.280401750397911E-3</v>
      </c>
      <c r="L1394" t="s">
        <v>159</v>
      </c>
      <c r="N1394" t="s">
        <v>248</v>
      </c>
      <c r="O1394" t="s">
        <v>291</v>
      </c>
      <c r="P1394">
        <v>4.1348054317815507E-3</v>
      </c>
      <c r="Q1394" t="s">
        <v>159</v>
      </c>
    </row>
    <row r="1395" spans="9:17" x14ac:dyDescent="0.45">
      <c r="I1395" t="s">
        <v>205</v>
      </c>
      <c r="J1395" t="s">
        <v>292</v>
      </c>
      <c r="K1395">
        <v>3.6904315531979363E-3</v>
      </c>
      <c r="L1395" t="s">
        <v>159</v>
      </c>
      <c r="N1395" t="s">
        <v>248</v>
      </c>
      <c r="O1395" t="s">
        <v>292</v>
      </c>
      <c r="P1395">
        <v>4.0226814414240806E-3</v>
      </c>
      <c r="Q1395" t="s">
        <v>159</v>
      </c>
    </row>
    <row r="1396" spans="9:17" x14ac:dyDescent="0.45">
      <c r="I1396" t="s">
        <v>205</v>
      </c>
      <c r="J1396" t="s">
        <v>310</v>
      </c>
      <c r="K1396">
        <v>0</v>
      </c>
      <c r="L1396" t="s">
        <v>159</v>
      </c>
      <c r="N1396" t="s">
        <v>248</v>
      </c>
      <c r="O1396" t="s">
        <v>310</v>
      </c>
      <c r="P1396">
        <v>1.8577722310937381E-2</v>
      </c>
      <c r="Q1396" t="s">
        <v>159</v>
      </c>
    </row>
    <row r="1397" spans="9:17" x14ac:dyDescent="0.45">
      <c r="I1397" t="s">
        <v>205</v>
      </c>
      <c r="J1397" t="s">
        <v>293</v>
      </c>
      <c r="K1397">
        <v>0</v>
      </c>
      <c r="L1397" t="s">
        <v>159</v>
      </c>
      <c r="N1397" t="s">
        <v>248</v>
      </c>
      <c r="O1397" t="s">
        <v>293</v>
      </c>
      <c r="P1397">
        <v>4.3823020551392328E-3</v>
      </c>
      <c r="Q1397" t="s">
        <v>159</v>
      </c>
    </row>
    <row r="1398" spans="9:17" x14ac:dyDescent="0.45">
      <c r="I1398" t="s">
        <v>205</v>
      </c>
      <c r="J1398" t="s">
        <v>294</v>
      </c>
      <c r="K1398">
        <v>4.2348754721427428E-4</v>
      </c>
      <c r="L1398" t="s">
        <v>159</v>
      </c>
      <c r="N1398" t="s">
        <v>248</v>
      </c>
      <c r="O1398" t="s">
        <v>294</v>
      </c>
      <c r="P1398">
        <v>7.5643787381197937E-4</v>
      </c>
      <c r="Q1398" t="s">
        <v>159</v>
      </c>
    </row>
    <row r="1399" spans="9:17" x14ac:dyDescent="0.45">
      <c r="I1399" t="s">
        <v>205</v>
      </c>
      <c r="J1399" t="s">
        <v>295</v>
      </c>
      <c r="K1399">
        <v>1.5389262559294774E-2</v>
      </c>
      <c r="L1399" t="s">
        <v>159</v>
      </c>
      <c r="N1399" t="s">
        <v>248</v>
      </c>
      <c r="O1399" t="s">
        <v>295</v>
      </c>
      <c r="P1399">
        <v>7.5641526325008817E-3</v>
      </c>
      <c r="Q1399" t="s">
        <v>159</v>
      </c>
    </row>
    <row r="1400" spans="9:17" x14ac:dyDescent="0.45">
      <c r="I1400" t="s">
        <v>205</v>
      </c>
      <c r="J1400" t="s">
        <v>296</v>
      </c>
      <c r="K1400">
        <v>1.4621479977275031E-3</v>
      </c>
      <c r="L1400" t="s">
        <v>159</v>
      </c>
      <c r="N1400" t="s">
        <v>248</v>
      </c>
      <c r="O1400" t="s">
        <v>296</v>
      </c>
      <c r="P1400">
        <v>7.4306327135250229E-4</v>
      </c>
      <c r="Q1400" t="s">
        <v>159</v>
      </c>
    </row>
    <row r="1401" spans="9:17" x14ac:dyDescent="0.45">
      <c r="I1401" t="s">
        <v>205</v>
      </c>
      <c r="J1401" t="s">
        <v>297</v>
      </c>
      <c r="K1401">
        <v>9.1548934298922222E-4</v>
      </c>
      <c r="L1401" t="s">
        <v>159</v>
      </c>
      <c r="N1401" t="s">
        <v>248</v>
      </c>
      <c r="O1401" t="s">
        <v>297</v>
      </c>
      <c r="P1401">
        <v>6.9375045832191051E-4</v>
      </c>
      <c r="Q1401" t="s">
        <v>159</v>
      </c>
    </row>
    <row r="1402" spans="9:17" x14ac:dyDescent="0.45">
      <c r="I1402" t="s">
        <v>205</v>
      </c>
      <c r="J1402" t="s">
        <v>311</v>
      </c>
      <c r="K1402">
        <v>0</v>
      </c>
      <c r="L1402" t="s">
        <v>159</v>
      </c>
      <c r="N1402" t="s">
        <v>248</v>
      </c>
      <c r="O1402" t="s">
        <v>311</v>
      </c>
      <c r="P1402">
        <v>3.3532262186014455E-3</v>
      </c>
      <c r="Q1402" t="s">
        <v>159</v>
      </c>
    </row>
    <row r="1403" spans="9:17" x14ac:dyDescent="0.45">
      <c r="I1403" t="s">
        <v>205</v>
      </c>
      <c r="J1403" t="s">
        <v>298</v>
      </c>
      <c r="K1403">
        <v>3.6470061014117414E-3</v>
      </c>
      <c r="L1403" t="s">
        <v>159</v>
      </c>
      <c r="N1403" t="s">
        <v>248</v>
      </c>
      <c r="O1403" t="s">
        <v>298</v>
      </c>
      <c r="P1403">
        <v>7.6651668844340257E-2</v>
      </c>
      <c r="Q1403" t="s">
        <v>159</v>
      </c>
    </row>
    <row r="1404" spans="9:17" x14ac:dyDescent="0.45">
      <c r="I1404" t="s">
        <v>205</v>
      </c>
      <c r="J1404" t="s">
        <v>299</v>
      </c>
      <c r="K1404">
        <v>1.5556967348496282E-2</v>
      </c>
      <c r="L1404" t="s">
        <v>159</v>
      </c>
      <c r="N1404" t="s">
        <v>248</v>
      </c>
      <c r="O1404" t="s">
        <v>299</v>
      </c>
      <c r="P1404">
        <v>8.8356799955103833E-3</v>
      </c>
      <c r="Q1404" t="s">
        <v>159</v>
      </c>
    </row>
    <row r="1405" spans="9:17" x14ac:dyDescent="0.45">
      <c r="I1405" t="s">
        <v>205</v>
      </c>
      <c r="J1405" t="s">
        <v>300</v>
      </c>
      <c r="K1405">
        <v>0.24815041636957397</v>
      </c>
      <c r="L1405" t="s">
        <v>159</v>
      </c>
      <c r="N1405" t="s">
        <v>248</v>
      </c>
      <c r="O1405" t="s">
        <v>300</v>
      </c>
      <c r="P1405">
        <v>9.0967680871839984E-2</v>
      </c>
      <c r="Q1405" t="s">
        <v>159</v>
      </c>
    </row>
    <row r="1406" spans="9:17" x14ac:dyDescent="0.45">
      <c r="I1406" t="s">
        <v>205</v>
      </c>
      <c r="J1406" t="s">
        <v>301</v>
      </c>
      <c r="K1406">
        <v>2.1413441794287016E-2</v>
      </c>
      <c r="L1406" t="s">
        <v>159</v>
      </c>
      <c r="N1406" t="s">
        <v>248</v>
      </c>
      <c r="O1406" t="s">
        <v>301</v>
      </c>
      <c r="P1406">
        <v>1.2194204335100572E-2</v>
      </c>
      <c r="Q1406" t="s">
        <v>159</v>
      </c>
    </row>
    <row r="1407" spans="9:17" x14ac:dyDescent="0.45">
      <c r="I1407" t="s">
        <v>205</v>
      </c>
      <c r="J1407" t="s">
        <v>302</v>
      </c>
      <c r="K1407">
        <v>1.3349154049470499E-2</v>
      </c>
      <c r="L1407" t="s">
        <v>159</v>
      </c>
      <c r="N1407" t="s">
        <v>248</v>
      </c>
      <c r="O1407" t="s">
        <v>302</v>
      </c>
      <c r="P1407">
        <v>1.2494073938908537E-2</v>
      </c>
      <c r="Q1407" t="s">
        <v>159</v>
      </c>
    </row>
    <row r="1408" spans="9:17" x14ac:dyDescent="0.45">
      <c r="I1408" t="s">
        <v>205</v>
      </c>
      <c r="J1408" t="s">
        <v>312</v>
      </c>
      <c r="K1408">
        <v>1.4995024872703616E-4</v>
      </c>
      <c r="L1408" t="s">
        <v>159</v>
      </c>
      <c r="N1408" t="s">
        <v>248</v>
      </c>
      <c r="O1408" t="s">
        <v>312</v>
      </c>
      <c r="P1408">
        <v>6.8965110969486251E-2</v>
      </c>
      <c r="Q1408" t="s">
        <v>159</v>
      </c>
    </row>
    <row r="1409" spans="9:17" x14ac:dyDescent="0.45">
      <c r="I1409" t="s">
        <v>205</v>
      </c>
      <c r="J1409" t="s">
        <v>313</v>
      </c>
      <c r="K1409">
        <v>2.165805520593817E-3</v>
      </c>
      <c r="L1409" t="s">
        <v>159</v>
      </c>
      <c r="N1409" t="s">
        <v>248</v>
      </c>
      <c r="O1409" t="s">
        <v>313</v>
      </c>
      <c r="P1409">
        <v>2.6066597921501868E-2</v>
      </c>
      <c r="Q1409" t="s">
        <v>159</v>
      </c>
    </row>
    <row r="1410" spans="9:17" x14ac:dyDescent="0.45">
      <c r="I1410" t="s">
        <v>205</v>
      </c>
      <c r="J1410" t="s">
        <v>314</v>
      </c>
      <c r="K1410">
        <v>3.9920911044802948E-3</v>
      </c>
      <c r="L1410" t="s">
        <v>159</v>
      </c>
      <c r="N1410" t="s">
        <v>248</v>
      </c>
      <c r="O1410" t="s">
        <v>314</v>
      </c>
      <c r="P1410">
        <v>2.4061251616798061E-3</v>
      </c>
      <c r="Q1410" t="s">
        <v>159</v>
      </c>
    </row>
    <row r="1411" spans="9:17" x14ac:dyDescent="0.45">
      <c r="I1411" t="s">
        <v>205</v>
      </c>
      <c r="J1411" t="s">
        <v>315</v>
      </c>
      <c r="K1411">
        <v>6.4115260667153576E-2</v>
      </c>
      <c r="L1411" t="s">
        <v>159</v>
      </c>
      <c r="N1411" t="s">
        <v>248</v>
      </c>
      <c r="O1411" t="s">
        <v>315</v>
      </c>
      <c r="P1411">
        <v>1.7609519353173564E-2</v>
      </c>
      <c r="Q1411" t="s">
        <v>159</v>
      </c>
    </row>
    <row r="1412" spans="9:17" x14ac:dyDescent="0.45">
      <c r="I1412" t="s">
        <v>205</v>
      </c>
      <c r="J1412" t="s">
        <v>316</v>
      </c>
      <c r="K1412">
        <v>5.269888556695683E-3</v>
      </c>
      <c r="L1412" t="s">
        <v>159</v>
      </c>
      <c r="N1412" t="s">
        <v>248</v>
      </c>
      <c r="O1412" t="s">
        <v>316</v>
      </c>
      <c r="P1412">
        <v>2.8529464442633612E-3</v>
      </c>
      <c r="Q1412" t="s">
        <v>159</v>
      </c>
    </row>
    <row r="1413" spans="9:17" x14ac:dyDescent="0.45">
      <c r="I1413" t="s">
        <v>205</v>
      </c>
      <c r="J1413" t="s">
        <v>317</v>
      </c>
      <c r="K1413">
        <v>3.780574270239341E-3</v>
      </c>
      <c r="L1413" t="s">
        <v>159</v>
      </c>
      <c r="N1413" t="s">
        <v>248</v>
      </c>
      <c r="O1413" t="s">
        <v>317</v>
      </c>
      <c r="P1413">
        <v>3.3831975564062372E-3</v>
      </c>
      <c r="Q1413" t="s">
        <v>159</v>
      </c>
    </row>
    <row r="1414" spans="9:17" x14ac:dyDescent="0.45">
      <c r="I1414" t="s">
        <v>205</v>
      </c>
      <c r="J1414" t="s">
        <v>318</v>
      </c>
      <c r="K1414">
        <v>2.4900326149633789E-3</v>
      </c>
      <c r="L1414" t="s">
        <v>159</v>
      </c>
      <c r="N1414" t="s">
        <v>248</v>
      </c>
      <c r="O1414" t="s">
        <v>318</v>
      </c>
      <c r="P1414">
        <v>2.4450267955369649E-2</v>
      </c>
      <c r="Q1414" t="s">
        <v>159</v>
      </c>
    </row>
    <row r="1415" spans="9:17" x14ac:dyDescent="0.45">
      <c r="I1415" t="s">
        <v>206</v>
      </c>
      <c r="J1415" t="s">
        <v>158</v>
      </c>
      <c r="K1415">
        <v>8.3985325403761451E-4</v>
      </c>
      <c r="L1415" t="s">
        <v>159</v>
      </c>
      <c r="N1415" t="s">
        <v>249</v>
      </c>
      <c r="O1415" t="s">
        <v>158</v>
      </c>
      <c r="P1415">
        <v>0.13950628934517048</v>
      </c>
      <c r="Q1415" t="s">
        <v>159</v>
      </c>
    </row>
    <row r="1416" spans="9:17" x14ac:dyDescent="0.45">
      <c r="I1416" t="s">
        <v>206</v>
      </c>
      <c r="J1416" t="s">
        <v>160</v>
      </c>
      <c r="K1416">
        <v>1.722294595528891E-2</v>
      </c>
      <c r="L1416" t="s">
        <v>159</v>
      </c>
      <c r="N1416" t="s">
        <v>249</v>
      </c>
      <c r="O1416" t="s">
        <v>160</v>
      </c>
      <c r="P1416">
        <v>1.5256670870797446E-2</v>
      </c>
      <c r="Q1416" t="s">
        <v>159</v>
      </c>
    </row>
    <row r="1417" spans="9:17" x14ac:dyDescent="0.45">
      <c r="I1417" t="s">
        <v>206</v>
      </c>
      <c r="J1417" t="s">
        <v>161</v>
      </c>
      <c r="K1417">
        <v>0.3916072402027384</v>
      </c>
      <c r="L1417" t="s">
        <v>159</v>
      </c>
      <c r="N1417" t="s">
        <v>249</v>
      </c>
      <c r="O1417" t="s">
        <v>161</v>
      </c>
      <c r="P1417">
        <v>0.14385736044576869</v>
      </c>
      <c r="Q1417" t="s">
        <v>159</v>
      </c>
    </row>
    <row r="1418" spans="9:17" x14ac:dyDescent="0.45">
      <c r="I1418" t="s">
        <v>206</v>
      </c>
      <c r="J1418" t="s">
        <v>287</v>
      </c>
      <c r="K1418">
        <v>3.3686699456725581E-2</v>
      </c>
      <c r="L1418" t="s">
        <v>159</v>
      </c>
      <c r="N1418" t="s">
        <v>249</v>
      </c>
      <c r="O1418" t="s">
        <v>287</v>
      </c>
      <c r="P1418">
        <v>1.7294718528847182E-2</v>
      </c>
      <c r="Q1418" t="s">
        <v>159</v>
      </c>
    </row>
    <row r="1419" spans="9:17" x14ac:dyDescent="0.45">
      <c r="I1419" t="s">
        <v>206</v>
      </c>
      <c r="J1419" t="s">
        <v>288</v>
      </c>
      <c r="K1419">
        <v>1.8449712114689345E-2</v>
      </c>
      <c r="L1419" t="s">
        <v>159</v>
      </c>
      <c r="N1419" t="s">
        <v>249</v>
      </c>
      <c r="O1419" t="s">
        <v>288</v>
      </c>
      <c r="P1419">
        <v>1.8183903921583651E-2</v>
      </c>
      <c r="Q1419" t="s">
        <v>159</v>
      </c>
    </row>
    <row r="1420" spans="9:17" x14ac:dyDescent="0.45">
      <c r="I1420" t="s">
        <v>206</v>
      </c>
      <c r="J1420" t="s">
        <v>308</v>
      </c>
      <c r="K1420">
        <v>5.8074244942595129E-3</v>
      </c>
      <c r="L1420" t="s">
        <v>159</v>
      </c>
      <c r="N1420" t="s">
        <v>249</v>
      </c>
      <c r="O1420" t="s">
        <v>308</v>
      </c>
      <c r="P1420">
        <v>0.11991488299415583</v>
      </c>
      <c r="Q1420" t="s">
        <v>159</v>
      </c>
    </row>
    <row r="1421" spans="9:17" x14ac:dyDescent="0.45">
      <c r="I1421" t="s">
        <v>206</v>
      </c>
      <c r="J1421" t="s">
        <v>162</v>
      </c>
      <c r="K1421">
        <v>0</v>
      </c>
      <c r="L1421" t="s">
        <v>159</v>
      </c>
      <c r="N1421" t="s">
        <v>249</v>
      </c>
      <c r="O1421" t="s">
        <v>162</v>
      </c>
      <c r="P1421">
        <v>2.1494878427174988E-2</v>
      </c>
      <c r="Q1421" t="s">
        <v>159</v>
      </c>
    </row>
    <row r="1422" spans="9:17" x14ac:dyDescent="0.45">
      <c r="I1422" t="s">
        <v>206</v>
      </c>
      <c r="J1422" t="s">
        <v>163</v>
      </c>
      <c r="K1422">
        <v>0</v>
      </c>
      <c r="L1422" t="s">
        <v>159</v>
      </c>
      <c r="N1422" t="s">
        <v>249</v>
      </c>
      <c r="O1422" t="s">
        <v>163</v>
      </c>
      <c r="P1422">
        <v>2.9837401602875908E-3</v>
      </c>
      <c r="Q1422" t="s">
        <v>159</v>
      </c>
    </row>
    <row r="1423" spans="9:17" x14ac:dyDescent="0.45">
      <c r="I1423" t="s">
        <v>206</v>
      </c>
      <c r="J1423" t="s">
        <v>164</v>
      </c>
      <c r="K1423">
        <v>5.1958176484386713E-2</v>
      </c>
      <c r="L1423" t="s">
        <v>159</v>
      </c>
      <c r="N1423" t="s">
        <v>249</v>
      </c>
      <c r="O1423" t="s">
        <v>164</v>
      </c>
      <c r="P1423">
        <v>2.5826659051438168E-2</v>
      </c>
      <c r="Q1423" t="s">
        <v>159</v>
      </c>
    </row>
    <row r="1424" spans="9:17" x14ac:dyDescent="0.45">
      <c r="I1424" t="s">
        <v>206</v>
      </c>
      <c r="J1424" t="s">
        <v>289</v>
      </c>
      <c r="K1424">
        <v>4.3705542962487413E-3</v>
      </c>
      <c r="L1424" t="s">
        <v>159</v>
      </c>
      <c r="N1424" t="s">
        <v>249</v>
      </c>
      <c r="O1424" t="s">
        <v>289</v>
      </c>
      <c r="P1424">
        <v>2.7063807787012328E-3</v>
      </c>
      <c r="Q1424" t="s">
        <v>159</v>
      </c>
    </row>
    <row r="1425" spans="9:17" x14ac:dyDescent="0.45">
      <c r="I1425" t="s">
        <v>206</v>
      </c>
      <c r="J1425" t="s">
        <v>290</v>
      </c>
      <c r="K1425">
        <v>1.8918761797084221E-6</v>
      </c>
      <c r="L1425" t="s">
        <v>159</v>
      </c>
      <c r="N1425" t="s">
        <v>249</v>
      </c>
      <c r="O1425" t="s">
        <v>290</v>
      </c>
      <c r="P1425">
        <v>2.8913160093721425E-3</v>
      </c>
      <c r="Q1425" t="s">
        <v>159</v>
      </c>
    </row>
    <row r="1426" spans="9:17" x14ac:dyDescent="0.45">
      <c r="I1426" t="s">
        <v>206</v>
      </c>
      <c r="J1426" t="s">
        <v>309</v>
      </c>
      <c r="K1426">
        <v>0</v>
      </c>
      <c r="L1426" t="s">
        <v>159</v>
      </c>
      <c r="N1426" t="s">
        <v>249</v>
      </c>
      <c r="O1426" t="s">
        <v>309</v>
      </c>
      <c r="P1426">
        <v>1.6078706021970118E-2</v>
      </c>
      <c r="Q1426" t="s">
        <v>159</v>
      </c>
    </row>
    <row r="1427" spans="9:17" x14ac:dyDescent="0.45">
      <c r="I1427" t="s">
        <v>206</v>
      </c>
      <c r="J1427" t="s">
        <v>165</v>
      </c>
      <c r="K1427">
        <v>0</v>
      </c>
      <c r="L1427" t="s">
        <v>159</v>
      </c>
      <c r="N1427" t="s">
        <v>249</v>
      </c>
      <c r="O1427" t="s">
        <v>165</v>
      </c>
      <c r="P1427">
        <v>2.3451190968031131E-2</v>
      </c>
      <c r="Q1427" t="s">
        <v>159</v>
      </c>
    </row>
    <row r="1428" spans="9:17" x14ac:dyDescent="0.45">
      <c r="I1428" t="s">
        <v>206</v>
      </c>
      <c r="J1428" t="s">
        <v>166</v>
      </c>
      <c r="K1428">
        <v>3.5441307422666725E-5</v>
      </c>
      <c r="L1428" t="s">
        <v>159</v>
      </c>
      <c r="N1428" t="s">
        <v>249</v>
      </c>
      <c r="O1428" t="s">
        <v>166</v>
      </c>
      <c r="P1428">
        <v>2.7340279029704592E-3</v>
      </c>
      <c r="Q1428" t="s">
        <v>159</v>
      </c>
    </row>
    <row r="1429" spans="9:17" x14ac:dyDescent="0.45">
      <c r="I1429" t="s">
        <v>206</v>
      </c>
      <c r="J1429" t="s">
        <v>167</v>
      </c>
      <c r="K1429">
        <v>6.3923437730064425E-2</v>
      </c>
      <c r="L1429" t="s">
        <v>159</v>
      </c>
      <c r="N1429" t="s">
        <v>249</v>
      </c>
      <c r="O1429" t="s">
        <v>167</v>
      </c>
      <c r="P1429">
        <v>3.2692001334394594E-2</v>
      </c>
      <c r="Q1429" t="s">
        <v>159</v>
      </c>
    </row>
    <row r="1430" spans="9:17" x14ac:dyDescent="0.45">
      <c r="I1430" t="s">
        <v>206</v>
      </c>
      <c r="J1430" t="s">
        <v>291</v>
      </c>
      <c r="K1430">
        <v>5.6066531477893117E-3</v>
      </c>
      <c r="L1430" t="s">
        <v>159</v>
      </c>
      <c r="N1430" t="s">
        <v>249</v>
      </c>
      <c r="O1430" t="s">
        <v>291</v>
      </c>
      <c r="P1430">
        <v>3.9704680224454574E-3</v>
      </c>
      <c r="Q1430" t="s">
        <v>159</v>
      </c>
    </row>
    <row r="1431" spans="9:17" x14ac:dyDescent="0.45">
      <c r="I1431" t="s">
        <v>206</v>
      </c>
      <c r="J1431" t="s">
        <v>292</v>
      </c>
      <c r="K1431">
        <v>2.9682230827329701E-3</v>
      </c>
      <c r="L1431" t="s">
        <v>159</v>
      </c>
      <c r="N1431" t="s">
        <v>249</v>
      </c>
      <c r="O1431" t="s">
        <v>292</v>
      </c>
      <c r="P1431">
        <v>3.8952888056482068E-3</v>
      </c>
      <c r="Q1431" t="s">
        <v>159</v>
      </c>
    </row>
    <row r="1432" spans="9:17" x14ac:dyDescent="0.45">
      <c r="I1432" t="s">
        <v>206</v>
      </c>
      <c r="J1432" t="s">
        <v>310</v>
      </c>
      <c r="K1432">
        <v>0</v>
      </c>
      <c r="L1432" t="s">
        <v>159</v>
      </c>
      <c r="N1432" t="s">
        <v>249</v>
      </c>
      <c r="O1432" t="s">
        <v>310</v>
      </c>
      <c r="P1432">
        <v>2.134166439451694E-2</v>
      </c>
      <c r="Q1432" t="s">
        <v>159</v>
      </c>
    </row>
    <row r="1433" spans="9:17" x14ac:dyDescent="0.45">
      <c r="I1433" t="s">
        <v>206</v>
      </c>
      <c r="J1433" t="s">
        <v>293</v>
      </c>
      <c r="K1433">
        <v>0</v>
      </c>
      <c r="L1433" t="s">
        <v>159</v>
      </c>
      <c r="N1433" t="s">
        <v>249</v>
      </c>
      <c r="O1433" t="s">
        <v>293</v>
      </c>
      <c r="P1433">
        <v>7.3314738814494627E-3</v>
      </c>
      <c r="Q1433" t="s">
        <v>159</v>
      </c>
    </row>
    <row r="1434" spans="9:17" x14ac:dyDescent="0.45">
      <c r="I1434" t="s">
        <v>206</v>
      </c>
      <c r="J1434" t="s">
        <v>294</v>
      </c>
      <c r="K1434">
        <v>6.7718184456776556E-4</v>
      </c>
      <c r="L1434" t="s">
        <v>159</v>
      </c>
      <c r="N1434" t="s">
        <v>249</v>
      </c>
      <c r="O1434" t="s">
        <v>294</v>
      </c>
      <c r="P1434">
        <v>1.0269484034943234E-3</v>
      </c>
      <c r="Q1434" t="s">
        <v>159</v>
      </c>
    </row>
    <row r="1435" spans="9:17" x14ac:dyDescent="0.45">
      <c r="I1435" t="s">
        <v>206</v>
      </c>
      <c r="J1435" t="s">
        <v>295</v>
      </c>
      <c r="K1435">
        <v>1.5775713563425886E-2</v>
      </c>
      <c r="L1435" t="s">
        <v>159</v>
      </c>
      <c r="N1435" t="s">
        <v>249</v>
      </c>
      <c r="O1435" t="s">
        <v>295</v>
      </c>
      <c r="P1435">
        <v>9.7946119690471532E-3</v>
      </c>
      <c r="Q1435" t="s">
        <v>159</v>
      </c>
    </row>
    <row r="1436" spans="9:17" x14ac:dyDescent="0.45">
      <c r="I1436" t="s">
        <v>206</v>
      </c>
      <c r="J1436" t="s">
        <v>296</v>
      </c>
      <c r="K1436">
        <v>1.3721177205919585E-3</v>
      </c>
      <c r="L1436" t="s">
        <v>159</v>
      </c>
      <c r="N1436" t="s">
        <v>249</v>
      </c>
      <c r="O1436" t="s">
        <v>296</v>
      </c>
      <c r="P1436">
        <v>9.4657500940853814E-4</v>
      </c>
      <c r="Q1436" t="s">
        <v>159</v>
      </c>
    </row>
    <row r="1437" spans="9:17" x14ac:dyDescent="0.45">
      <c r="I1437" t="s">
        <v>206</v>
      </c>
      <c r="J1437" t="s">
        <v>297</v>
      </c>
      <c r="K1437">
        <v>8.9792010624945386E-4</v>
      </c>
      <c r="L1437" t="s">
        <v>159</v>
      </c>
      <c r="N1437" t="s">
        <v>249</v>
      </c>
      <c r="O1437" t="s">
        <v>297</v>
      </c>
      <c r="P1437">
        <v>8.4925596916488044E-4</v>
      </c>
      <c r="Q1437" t="s">
        <v>159</v>
      </c>
    </row>
    <row r="1438" spans="9:17" x14ac:dyDescent="0.45">
      <c r="I1438" t="s">
        <v>206</v>
      </c>
      <c r="J1438" t="s">
        <v>311</v>
      </c>
      <c r="K1438">
        <v>0</v>
      </c>
      <c r="L1438" t="s">
        <v>159</v>
      </c>
      <c r="N1438" t="s">
        <v>249</v>
      </c>
      <c r="O1438" t="s">
        <v>311</v>
      </c>
      <c r="P1438">
        <v>4.691682898879156E-3</v>
      </c>
      <c r="Q1438" t="s">
        <v>159</v>
      </c>
    </row>
    <row r="1439" spans="9:17" x14ac:dyDescent="0.45">
      <c r="I1439" t="s">
        <v>206</v>
      </c>
      <c r="J1439" t="s">
        <v>298</v>
      </c>
      <c r="K1439">
        <v>4.1558804487899581E-3</v>
      </c>
      <c r="L1439" t="s">
        <v>159</v>
      </c>
      <c r="N1439" t="s">
        <v>249</v>
      </c>
      <c r="O1439" t="s">
        <v>298</v>
      </c>
      <c r="P1439">
        <v>7.4306736431639722E-2</v>
      </c>
      <c r="Q1439" t="s">
        <v>159</v>
      </c>
    </row>
    <row r="1440" spans="9:17" x14ac:dyDescent="0.45">
      <c r="I1440" t="s">
        <v>206</v>
      </c>
      <c r="J1440" t="s">
        <v>299</v>
      </c>
      <c r="K1440">
        <v>1.666334207822277E-2</v>
      </c>
      <c r="L1440" t="s">
        <v>159</v>
      </c>
      <c r="N1440" t="s">
        <v>249</v>
      </c>
      <c r="O1440" t="s">
        <v>299</v>
      </c>
      <c r="P1440">
        <v>7.9440526070793105E-3</v>
      </c>
      <c r="Q1440" t="s">
        <v>159</v>
      </c>
    </row>
    <row r="1441" spans="9:17" x14ac:dyDescent="0.45">
      <c r="I1441" t="s">
        <v>206</v>
      </c>
      <c r="J1441" t="s">
        <v>300</v>
      </c>
      <c r="K1441">
        <v>0.24865272726464527</v>
      </c>
      <c r="L1441" t="s">
        <v>159</v>
      </c>
      <c r="N1441" t="s">
        <v>249</v>
      </c>
      <c r="O1441" t="s">
        <v>300</v>
      </c>
      <c r="P1441">
        <v>0.10499642809045102</v>
      </c>
      <c r="Q1441" t="s">
        <v>159</v>
      </c>
    </row>
    <row r="1442" spans="9:17" x14ac:dyDescent="0.45">
      <c r="I1442" t="s">
        <v>206</v>
      </c>
      <c r="J1442" t="s">
        <v>301</v>
      </c>
      <c r="K1442">
        <v>1.9895452530478652E-2</v>
      </c>
      <c r="L1442" t="s">
        <v>159</v>
      </c>
      <c r="N1442" t="s">
        <v>249</v>
      </c>
      <c r="O1442" t="s">
        <v>301</v>
      </c>
      <c r="P1442">
        <v>1.4006717234881422E-2</v>
      </c>
      <c r="Q1442" t="s">
        <v>159</v>
      </c>
    </row>
    <row r="1443" spans="9:17" x14ac:dyDescent="0.45">
      <c r="I1443" t="s">
        <v>206</v>
      </c>
      <c r="J1443" t="s">
        <v>302</v>
      </c>
      <c r="K1443">
        <v>1.272429389615885E-2</v>
      </c>
      <c r="L1443" t="s">
        <v>159</v>
      </c>
      <c r="N1443" t="s">
        <v>249</v>
      </c>
      <c r="O1443" t="s">
        <v>302</v>
      </c>
      <c r="P1443">
        <v>1.3714616852342819E-2</v>
      </c>
      <c r="Q1443" t="s">
        <v>159</v>
      </c>
    </row>
    <row r="1444" spans="9:17" x14ac:dyDescent="0.45">
      <c r="I1444" t="s">
        <v>206</v>
      </c>
      <c r="J1444" t="s">
        <v>312</v>
      </c>
      <c r="K1444">
        <v>1.2054383022088355E-4</v>
      </c>
      <c r="L1444" t="s">
        <v>159</v>
      </c>
      <c r="N1444" t="s">
        <v>249</v>
      </c>
      <c r="O1444" t="s">
        <v>312</v>
      </c>
      <c r="P1444">
        <v>7.6800915496178845E-2</v>
      </c>
      <c r="Q1444" t="s">
        <v>159</v>
      </c>
    </row>
    <row r="1445" spans="9:17" x14ac:dyDescent="0.45">
      <c r="I1445" t="s">
        <v>206</v>
      </c>
      <c r="J1445" t="s">
        <v>313</v>
      </c>
      <c r="K1445">
        <v>2.0490646559659224E-3</v>
      </c>
      <c r="L1445" t="s">
        <v>159</v>
      </c>
      <c r="N1445" t="s">
        <v>249</v>
      </c>
      <c r="O1445" t="s">
        <v>313</v>
      </c>
      <c r="P1445">
        <v>2.1956943499028336E-2</v>
      </c>
      <c r="Q1445" t="s">
        <v>159</v>
      </c>
    </row>
    <row r="1446" spans="9:17" x14ac:dyDescent="0.45">
      <c r="I1446" t="s">
        <v>206</v>
      </c>
      <c r="J1446" t="s">
        <v>314</v>
      </c>
      <c r="K1446">
        <v>4.0810236491048103E-3</v>
      </c>
      <c r="L1446" t="s">
        <v>159</v>
      </c>
      <c r="N1446" t="s">
        <v>249</v>
      </c>
      <c r="O1446" t="s">
        <v>314</v>
      </c>
      <c r="P1446">
        <v>1.7342375303876019E-3</v>
      </c>
      <c r="Q1446" t="s">
        <v>159</v>
      </c>
    </row>
    <row r="1447" spans="9:17" x14ac:dyDescent="0.45">
      <c r="I1447" t="s">
        <v>206</v>
      </c>
      <c r="J1447" t="s">
        <v>315</v>
      </c>
      <c r="K1447">
        <v>6.4985932893281542E-2</v>
      </c>
      <c r="L1447" t="s">
        <v>159</v>
      </c>
      <c r="N1447" t="s">
        <v>249</v>
      </c>
      <c r="O1447" t="s">
        <v>315</v>
      </c>
      <c r="P1447">
        <v>1.4921923579987749E-2</v>
      </c>
      <c r="Q1447" t="s">
        <v>159</v>
      </c>
    </row>
    <row r="1448" spans="9:17" x14ac:dyDescent="0.45">
      <c r="I1448" t="s">
        <v>206</v>
      </c>
      <c r="J1448" t="s">
        <v>316</v>
      </c>
      <c r="K1448">
        <v>5.3596116309258934E-3</v>
      </c>
      <c r="L1448" t="s">
        <v>159</v>
      </c>
      <c r="N1448" t="s">
        <v>249</v>
      </c>
      <c r="O1448" t="s">
        <v>316</v>
      </c>
      <c r="P1448">
        <v>2.9518650698849482E-3</v>
      </c>
      <c r="Q1448" t="s">
        <v>159</v>
      </c>
    </row>
    <row r="1449" spans="9:17" x14ac:dyDescent="0.45">
      <c r="I1449" t="s">
        <v>206</v>
      </c>
      <c r="J1449" t="s">
        <v>317</v>
      </c>
      <c r="K1449">
        <v>3.8516755300203715E-3</v>
      </c>
      <c r="L1449" t="s">
        <v>159</v>
      </c>
      <c r="N1449" t="s">
        <v>249</v>
      </c>
      <c r="O1449" t="s">
        <v>317</v>
      </c>
      <c r="P1449">
        <v>3.3321495529072703E-3</v>
      </c>
      <c r="Q1449" t="s">
        <v>159</v>
      </c>
    </row>
    <row r="1450" spans="9:17" x14ac:dyDescent="0.45">
      <c r="I1450" t="s">
        <v>206</v>
      </c>
      <c r="J1450" t="s">
        <v>318</v>
      </c>
      <c r="K1450">
        <v>2.2592649547855392E-3</v>
      </c>
      <c r="L1450" t="s">
        <v>159</v>
      </c>
      <c r="N1450" t="s">
        <v>249</v>
      </c>
      <c r="O1450" t="s">
        <v>318</v>
      </c>
      <c r="P1450">
        <v>2.4612717940513583E-2</v>
      </c>
      <c r="Q1450" t="s">
        <v>159</v>
      </c>
    </row>
    <row r="1451" spans="9:17" x14ac:dyDescent="0.45">
      <c r="I1451" t="s">
        <v>207</v>
      </c>
      <c r="J1451" t="s">
        <v>158</v>
      </c>
      <c r="K1451">
        <v>1.0022052096170327E-3</v>
      </c>
      <c r="L1451" t="s">
        <v>159</v>
      </c>
      <c r="N1451" t="s">
        <v>250</v>
      </c>
      <c r="O1451" t="s">
        <v>158</v>
      </c>
      <c r="P1451">
        <v>0.17121089024118102</v>
      </c>
      <c r="Q1451" t="s">
        <v>159</v>
      </c>
    </row>
    <row r="1452" spans="9:17" x14ac:dyDescent="0.45">
      <c r="I1452" t="s">
        <v>207</v>
      </c>
      <c r="J1452" t="s">
        <v>160</v>
      </c>
      <c r="K1452">
        <v>1.5142999062213208E-2</v>
      </c>
      <c r="L1452" t="s">
        <v>159</v>
      </c>
      <c r="N1452" t="s">
        <v>250</v>
      </c>
      <c r="O1452" t="s">
        <v>160</v>
      </c>
      <c r="P1452">
        <v>1.9325750039226292E-2</v>
      </c>
      <c r="Q1452" t="s">
        <v>159</v>
      </c>
    </row>
    <row r="1453" spans="9:17" x14ac:dyDescent="0.45">
      <c r="I1453" t="s">
        <v>207</v>
      </c>
      <c r="J1453" t="s">
        <v>161</v>
      </c>
      <c r="K1453">
        <v>0.37346580995454937</v>
      </c>
      <c r="L1453" t="s">
        <v>159</v>
      </c>
      <c r="N1453" t="s">
        <v>250</v>
      </c>
      <c r="O1453" t="s">
        <v>161</v>
      </c>
      <c r="P1453">
        <v>0.13267284183805775</v>
      </c>
      <c r="Q1453" t="s">
        <v>159</v>
      </c>
    </row>
    <row r="1454" spans="9:17" x14ac:dyDescent="0.45">
      <c r="I1454" t="s">
        <v>207</v>
      </c>
      <c r="J1454" t="s">
        <v>287</v>
      </c>
      <c r="K1454">
        <v>3.4307594676627674E-2</v>
      </c>
      <c r="L1454" t="s">
        <v>159</v>
      </c>
      <c r="N1454" t="s">
        <v>250</v>
      </c>
      <c r="O1454" t="s">
        <v>287</v>
      </c>
      <c r="P1454">
        <v>1.5235982763199946E-2</v>
      </c>
      <c r="Q1454" t="s">
        <v>159</v>
      </c>
    </row>
    <row r="1455" spans="9:17" x14ac:dyDescent="0.45">
      <c r="I1455" t="s">
        <v>207</v>
      </c>
      <c r="J1455" t="s">
        <v>288</v>
      </c>
      <c r="K1455">
        <v>2.0742480089319098E-2</v>
      </c>
      <c r="L1455" t="s">
        <v>159</v>
      </c>
      <c r="N1455" t="s">
        <v>250</v>
      </c>
      <c r="O1455" t="s">
        <v>288</v>
      </c>
      <c r="P1455">
        <v>1.7090478777200536E-2</v>
      </c>
      <c r="Q1455" t="s">
        <v>159</v>
      </c>
    </row>
    <row r="1456" spans="9:17" x14ac:dyDescent="0.45">
      <c r="I1456" t="s">
        <v>207</v>
      </c>
      <c r="J1456" t="s">
        <v>308</v>
      </c>
      <c r="K1456">
        <v>8.7953484993314839E-3</v>
      </c>
      <c r="L1456" t="s">
        <v>159</v>
      </c>
      <c r="N1456" t="s">
        <v>250</v>
      </c>
      <c r="O1456" t="s">
        <v>308</v>
      </c>
      <c r="P1456">
        <v>0.12450544190315291</v>
      </c>
      <c r="Q1456" t="s">
        <v>159</v>
      </c>
    </row>
    <row r="1457" spans="9:17" x14ac:dyDescent="0.45">
      <c r="I1457" t="s">
        <v>207</v>
      </c>
      <c r="J1457" t="s">
        <v>162</v>
      </c>
      <c r="K1457">
        <v>0</v>
      </c>
      <c r="L1457" t="s">
        <v>159</v>
      </c>
      <c r="N1457" t="s">
        <v>250</v>
      </c>
      <c r="O1457" t="s">
        <v>162</v>
      </c>
      <c r="P1457">
        <v>2.4424419871056747E-2</v>
      </c>
      <c r="Q1457" t="s">
        <v>159</v>
      </c>
    </row>
    <row r="1458" spans="9:17" x14ac:dyDescent="0.45">
      <c r="I1458" t="s">
        <v>207</v>
      </c>
      <c r="J1458" t="s">
        <v>163</v>
      </c>
      <c r="K1458">
        <v>0</v>
      </c>
      <c r="L1458" t="s">
        <v>159</v>
      </c>
      <c r="N1458" t="s">
        <v>250</v>
      </c>
      <c r="O1458" t="s">
        <v>163</v>
      </c>
      <c r="P1458">
        <v>3.568966693329686E-3</v>
      </c>
      <c r="Q1458" t="s">
        <v>159</v>
      </c>
    </row>
    <row r="1459" spans="9:17" x14ac:dyDescent="0.45">
      <c r="I1459" t="s">
        <v>207</v>
      </c>
      <c r="J1459" t="s">
        <v>164</v>
      </c>
      <c r="K1459">
        <v>4.5721946211086641E-2</v>
      </c>
      <c r="L1459" t="s">
        <v>159</v>
      </c>
      <c r="N1459" t="s">
        <v>250</v>
      </c>
      <c r="O1459" t="s">
        <v>164</v>
      </c>
      <c r="P1459">
        <v>2.4432861665106068E-2</v>
      </c>
      <c r="Q1459" t="s">
        <v>159</v>
      </c>
    </row>
    <row r="1460" spans="9:17" x14ac:dyDescent="0.45">
      <c r="I1460" t="s">
        <v>207</v>
      </c>
      <c r="J1460" t="s">
        <v>289</v>
      </c>
      <c r="K1460">
        <v>4.2455743249736506E-3</v>
      </c>
      <c r="L1460" t="s">
        <v>159</v>
      </c>
      <c r="N1460" t="s">
        <v>250</v>
      </c>
      <c r="O1460" t="s">
        <v>289</v>
      </c>
      <c r="P1460">
        <v>2.3802496860206067E-3</v>
      </c>
      <c r="Q1460" t="s">
        <v>159</v>
      </c>
    </row>
    <row r="1461" spans="9:17" x14ac:dyDescent="0.45">
      <c r="I1461" t="s">
        <v>207</v>
      </c>
      <c r="J1461" t="s">
        <v>290</v>
      </c>
      <c r="K1461">
        <v>3.1513439372254855E-5</v>
      </c>
      <c r="L1461" t="s">
        <v>159</v>
      </c>
      <c r="N1461" t="s">
        <v>250</v>
      </c>
      <c r="O1461" t="s">
        <v>290</v>
      </c>
      <c r="P1461">
        <v>2.7277481732552486E-3</v>
      </c>
      <c r="Q1461" t="s">
        <v>159</v>
      </c>
    </row>
    <row r="1462" spans="9:17" x14ac:dyDescent="0.45">
      <c r="I1462" t="s">
        <v>207</v>
      </c>
      <c r="J1462" t="s">
        <v>309</v>
      </c>
      <c r="K1462">
        <v>0</v>
      </c>
      <c r="L1462" t="s">
        <v>159</v>
      </c>
      <c r="N1462" t="s">
        <v>250</v>
      </c>
      <c r="O1462" t="s">
        <v>309</v>
      </c>
      <c r="P1462">
        <v>1.6866099400153399E-2</v>
      </c>
      <c r="Q1462" t="s">
        <v>159</v>
      </c>
    </row>
    <row r="1463" spans="9:17" x14ac:dyDescent="0.45">
      <c r="I1463" t="s">
        <v>207</v>
      </c>
      <c r="J1463" t="s">
        <v>165</v>
      </c>
      <c r="K1463">
        <v>0</v>
      </c>
      <c r="L1463" t="s">
        <v>159</v>
      </c>
      <c r="N1463" t="s">
        <v>250</v>
      </c>
      <c r="O1463" t="s">
        <v>165</v>
      </c>
      <c r="P1463">
        <v>2.4728271911021386E-2</v>
      </c>
      <c r="Q1463" t="s">
        <v>159</v>
      </c>
    </row>
    <row r="1464" spans="9:17" x14ac:dyDescent="0.45">
      <c r="I1464" t="s">
        <v>207</v>
      </c>
      <c r="J1464" t="s">
        <v>166</v>
      </c>
      <c r="K1464">
        <v>0</v>
      </c>
      <c r="L1464" t="s">
        <v>159</v>
      </c>
      <c r="N1464" t="s">
        <v>250</v>
      </c>
      <c r="O1464" t="s">
        <v>166</v>
      </c>
      <c r="P1464">
        <v>3.3551623086705111E-3</v>
      </c>
      <c r="Q1464" t="s">
        <v>159</v>
      </c>
    </row>
    <row r="1465" spans="9:17" x14ac:dyDescent="0.45">
      <c r="I1465" t="s">
        <v>207</v>
      </c>
      <c r="J1465" t="s">
        <v>167</v>
      </c>
      <c r="K1465">
        <v>5.9847485164521042E-2</v>
      </c>
      <c r="L1465" t="s">
        <v>159</v>
      </c>
      <c r="N1465" t="s">
        <v>250</v>
      </c>
      <c r="O1465" t="s">
        <v>167</v>
      </c>
      <c r="P1465">
        <v>2.9834637404644163E-2</v>
      </c>
      <c r="Q1465" t="s">
        <v>159</v>
      </c>
    </row>
    <row r="1466" spans="9:17" x14ac:dyDescent="0.45">
      <c r="I1466" t="s">
        <v>207</v>
      </c>
      <c r="J1466" t="s">
        <v>291</v>
      </c>
      <c r="K1466">
        <v>5.8578933023436201E-3</v>
      </c>
      <c r="L1466" t="s">
        <v>159</v>
      </c>
      <c r="N1466" t="s">
        <v>250</v>
      </c>
      <c r="O1466" t="s">
        <v>291</v>
      </c>
      <c r="P1466">
        <v>3.4686646312344599E-3</v>
      </c>
      <c r="Q1466" t="s">
        <v>159</v>
      </c>
    </row>
    <row r="1467" spans="9:17" x14ac:dyDescent="0.45">
      <c r="I1467" t="s">
        <v>207</v>
      </c>
      <c r="J1467" t="s">
        <v>292</v>
      </c>
      <c r="K1467">
        <v>3.5822407339167455E-3</v>
      </c>
      <c r="L1467" t="s">
        <v>159</v>
      </c>
      <c r="N1467" t="s">
        <v>250</v>
      </c>
      <c r="O1467" t="s">
        <v>292</v>
      </c>
      <c r="P1467">
        <v>3.5774591583824524E-3</v>
      </c>
      <c r="Q1467" t="s">
        <v>159</v>
      </c>
    </row>
    <row r="1468" spans="9:17" x14ac:dyDescent="0.45">
      <c r="I1468" t="s">
        <v>207</v>
      </c>
      <c r="J1468" t="s">
        <v>310</v>
      </c>
      <c r="K1468">
        <v>0</v>
      </c>
      <c r="L1468" t="s">
        <v>159</v>
      </c>
      <c r="N1468" t="s">
        <v>250</v>
      </c>
      <c r="O1468" t="s">
        <v>310</v>
      </c>
      <c r="P1468">
        <v>2.0346604195022919E-2</v>
      </c>
      <c r="Q1468" t="s">
        <v>159</v>
      </c>
    </row>
    <row r="1469" spans="9:17" x14ac:dyDescent="0.45">
      <c r="I1469" t="s">
        <v>207</v>
      </c>
      <c r="J1469" t="s">
        <v>293</v>
      </c>
      <c r="K1469">
        <v>0</v>
      </c>
      <c r="L1469" t="s">
        <v>159</v>
      </c>
      <c r="N1469" t="s">
        <v>250</v>
      </c>
      <c r="O1469" t="s">
        <v>293</v>
      </c>
      <c r="P1469">
        <v>6.2738576574089579E-3</v>
      </c>
      <c r="Q1469" t="s">
        <v>159</v>
      </c>
    </row>
    <row r="1470" spans="9:17" x14ac:dyDescent="0.45">
      <c r="I1470" t="s">
        <v>207</v>
      </c>
      <c r="J1470" t="s">
        <v>294</v>
      </c>
      <c r="K1470">
        <v>0</v>
      </c>
      <c r="L1470" t="s">
        <v>159</v>
      </c>
      <c r="N1470" t="s">
        <v>250</v>
      </c>
      <c r="O1470" t="s">
        <v>294</v>
      </c>
      <c r="P1470">
        <v>8.5802995144900721E-4</v>
      </c>
      <c r="Q1470" t="s">
        <v>159</v>
      </c>
    </row>
    <row r="1471" spans="9:17" x14ac:dyDescent="0.45">
      <c r="I1471" t="s">
        <v>207</v>
      </c>
      <c r="J1471" t="s">
        <v>295</v>
      </c>
      <c r="K1471">
        <v>1.4969201232285895E-2</v>
      </c>
      <c r="L1471" t="s">
        <v>159</v>
      </c>
      <c r="N1471" t="s">
        <v>250</v>
      </c>
      <c r="O1471" t="s">
        <v>295</v>
      </c>
      <c r="P1471">
        <v>6.5880782645266764E-3</v>
      </c>
      <c r="Q1471" t="s">
        <v>159</v>
      </c>
    </row>
    <row r="1472" spans="9:17" x14ac:dyDescent="0.45">
      <c r="I1472" t="s">
        <v>207</v>
      </c>
      <c r="J1472" t="s">
        <v>296</v>
      </c>
      <c r="K1472">
        <v>1.4700198035441775E-3</v>
      </c>
      <c r="L1472" t="s">
        <v>159</v>
      </c>
      <c r="N1472" t="s">
        <v>250</v>
      </c>
      <c r="O1472" t="s">
        <v>296</v>
      </c>
      <c r="P1472">
        <v>7.1652147806755898E-4</v>
      </c>
      <c r="Q1472" t="s">
        <v>159</v>
      </c>
    </row>
    <row r="1473" spans="9:17" x14ac:dyDescent="0.45">
      <c r="I1473" t="s">
        <v>207</v>
      </c>
      <c r="J1473" t="s">
        <v>297</v>
      </c>
      <c r="K1473">
        <v>1.0216610501830926E-3</v>
      </c>
      <c r="L1473" t="s">
        <v>159</v>
      </c>
      <c r="N1473" t="s">
        <v>250</v>
      </c>
      <c r="O1473" t="s">
        <v>297</v>
      </c>
      <c r="P1473">
        <v>7.1708903967941347E-4</v>
      </c>
      <c r="Q1473" t="s">
        <v>159</v>
      </c>
    </row>
    <row r="1474" spans="9:17" x14ac:dyDescent="0.45">
      <c r="I1474" t="s">
        <v>207</v>
      </c>
      <c r="J1474" t="s">
        <v>311</v>
      </c>
      <c r="K1474">
        <v>0</v>
      </c>
      <c r="L1474" t="s">
        <v>159</v>
      </c>
      <c r="N1474" t="s">
        <v>250</v>
      </c>
      <c r="O1474" t="s">
        <v>311</v>
      </c>
      <c r="P1474">
        <v>3.6502736385391117E-3</v>
      </c>
      <c r="Q1474" t="s">
        <v>159</v>
      </c>
    </row>
    <row r="1475" spans="9:17" x14ac:dyDescent="0.45">
      <c r="I1475" t="s">
        <v>207</v>
      </c>
      <c r="J1475" t="s">
        <v>298</v>
      </c>
      <c r="K1475">
        <v>4.4106854398792868E-3</v>
      </c>
      <c r="L1475" t="s">
        <v>159</v>
      </c>
      <c r="N1475" t="s">
        <v>250</v>
      </c>
      <c r="O1475" t="s">
        <v>298</v>
      </c>
      <c r="P1475">
        <v>8.7487533644487706E-2</v>
      </c>
      <c r="Q1475" t="s">
        <v>159</v>
      </c>
    </row>
    <row r="1476" spans="9:17" x14ac:dyDescent="0.45">
      <c r="I1476" t="s">
        <v>207</v>
      </c>
      <c r="J1476" t="s">
        <v>299</v>
      </c>
      <c r="K1476">
        <v>1.6509602357393443E-2</v>
      </c>
      <c r="L1476" t="s">
        <v>159</v>
      </c>
      <c r="N1476" t="s">
        <v>250</v>
      </c>
      <c r="O1476" t="s">
        <v>299</v>
      </c>
      <c r="P1476">
        <v>8.1124482565629614E-3</v>
      </c>
      <c r="Q1476" t="s">
        <v>159</v>
      </c>
    </row>
    <row r="1477" spans="9:17" x14ac:dyDescent="0.45">
      <c r="I1477" t="s">
        <v>207</v>
      </c>
      <c r="J1477" t="s">
        <v>300</v>
      </c>
      <c r="K1477">
        <v>0.2492961123450724</v>
      </c>
      <c r="L1477" t="s">
        <v>159</v>
      </c>
      <c r="N1477" t="s">
        <v>250</v>
      </c>
      <c r="O1477" t="s">
        <v>300</v>
      </c>
      <c r="P1477">
        <v>7.0846105744910889E-2</v>
      </c>
      <c r="Q1477" t="s">
        <v>159</v>
      </c>
    </row>
    <row r="1478" spans="9:17" x14ac:dyDescent="0.45">
      <c r="I1478" t="s">
        <v>207</v>
      </c>
      <c r="J1478" t="s">
        <v>301</v>
      </c>
      <c r="K1478">
        <v>2.2324591225627563E-2</v>
      </c>
      <c r="L1478" t="s">
        <v>159</v>
      </c>
      <c r="N1478" t="s">
        <v>250</v>
      </c>
      <c r="O1478" t="s">
        <v>301</v>
      </c>
      <c r="P1478">
        <v>1.0454793743987277E-2</v>
      </c>
      <c r="Q1478" t="s">
        <v>159</v>
      </c>
    </row>
    <row r="1479" spans="9:17" x14ac:dyDescent="0.45">
      <c r="I1479" t="s">
        <v>207</v>
      </c>
      <c r="J1479" t="s">
        <v>302</v>
      </c>
      <c r="K1479">
        <v>1.5922466303076723E-2</v>
      </c>
      <c r="L1479" t="s">
        <v>159</v>
      </c>
      <c r="N1479" t="s">
        <v>250</v>
      </c>
      <c r="O1479" t="s">
        <v>302</v>
      </c>
      <c r="P1479">
        <v>1.1052517616296413E-2</v>
      </c>
      <c r="Q1479" t="s">
        <v>159</v>
      </c>
    </row>
    <row r="1480" spans="9:17" x14ac:dyDescent="0.45">
      <c r="I1480" t="s">
        <v>207</v>
      </c>
      <c r="J1480" t="s">
        <v>312</v>
      </c>
      <c r="K1480">
        <v>2.3904706227481491E-3</v>
      </c>
      <c r="L1480" t="s">
        <v>159</v>
      </c>
      <c r="N1480" t="s">
        <v>250</v>
      </c>
      <c r="O1480" t="s">
        <v>312</v>
      </c>
      <c r="P1480">
        <v>7.2817399185788043E-2</v>
      </c>
      <c r="Q1480" t="s">
        <v>159</v>
      </c>
    </row>
    <row r="1481" spans="9:17" x14ac:dyDescent="0.45">
      <c r="I1481" t="s">
        <v>207</v>
      </c>
      <c r="J1481" t="s">
        <v>313</v>
      </c>
      <c r="K1481">
        <v>2.9167858168616377E-3</v>
      </c>
      <c r="L1481" t="s">
        <v>159</v>
      </c>
      <c r="N1481" t="s">
        <v>250</v>
      </c>
      <c r="O1481" t="s">
        <v>313</v>
      </c>
      <c r="P1481">
        <v>3.0683285491837447E-2</v>
      </c>
      <c r="Q1481" t="s">
        <v>159</v>
      </c>
    </row>
    <row r="1482" spans="9:17" x14ac:dyDescent="0.45">
      <c r="I1482" t="s">
        <v>207</v>
      </c>
      <c r="J1482" t="s">
        <v>314</v>
      </c>
      <c r="K1482">
        <v>5.1230156258903438E-3</v>
      </c>
      <c r="L1482" t="s">
        <v>159</v>
      </c>
      <c r="N1482" t="s">
        <v>250</v>
      </c>
      <c r="O1482" t="s">
        <v>314</v>
      </c>
      <c r="P1482">
        <v>2.8876423054336152E-3</v>
      </c>
      <c r="Q1482" t="s">
        <v>159</v>
      </c>
    </row>
    <row r="1483" spans="9:17" x14ac:dyDescent="0.45">
      <c r="I1483" t="s">
        <v>207</v>
      </c>
      <c r="J1483" t="s">
        <v>315</v>
      </c>
      <c r="K1483">
        <v>7.5647506402395981E-2</v>
      </c>
      <c r="L1483" t="s">
        <v>159</v>
      </c>
      <c r="N1483" t="s">
        <v>250</v>
      </c>
      <c r="O1483" t="s">
        <v>315</v>
      </c>
      <c r="P1483">
        <v>1.7147843528127531E-2</v>
      </c>
      <c r="Q1483" t="s">
        <v>159</v>
      </c>
    </row>
    <row r="1484" spans="9:17" x14ac:dyDescent="0.45">
      <c r="I1484" t="s">
        <v>207</v>
      </c>
      <c r="J1484" t="s">
        <v>316</v>
      </c>
      <c r="K1484">
        <v>6.7683867982337815E-3</v>
      </c>
      <c r="L1484" t="s">
        <v>159</v>
      </c>
      <c r="N1484" t="s">
        <v>250</v>
      </c>
      <c r="O1484" t="s">
        <v>316</v>
      </c>
      <c r="P1484">
        <v>2.4813349753702611E-3</v>
      </c>
      <c r="Q1484" t="s">
        <v>159</v>
      </c>
    </row>
    <row r="1485" spans="9:17" x14ac:dyDescent="0.45">
      <c r="I1485" t="s">
        <v>207</v>
      </c>
      <c r="J1485" t="s">
        <v>317</v>
      </c>
      <c r="K1485">
        <v>5.2762937105977504E-3</v>
      </c>
      <c r="L1485" t="s">
        <v>159</v>
      </c>
      <c r="N1485" t="s">
        <v>250</v>
      </c>
      <c r="O1485" t="s">
        <v>317</v>
      </c>
      <c r="P1485">
        <v>2.8207310415729243E-3</v>
      </c>
      <c r="Q1485" t="s">
        <v>159</v>
      </c>
    </row>
    <row r="1486" spans="9:17" x14ac:dyDescent="0.45">
      <c r="I1486" t="s">
        <v>207</v>
      </c>
      <c r="J1486" t="s">
        <v>318</v>
      </c>
      <c r="K1486">
        <v>3.2101105983362906E-3</v>
      </c>
      <c r="L1486" t="s">
        <v>159</v>
      </c>
      <c r="N1486" t="s">
        <v>250</v>
      </c>
      <c r="O1486" t="s">
        <v>318</v>
      </c>
      <c r="P1486">
        <v>2.4651983776038448E-2</v>
      </c>
      <c r="Q1486" t="s">
        <v>159</v>
      </c>
    </row>
    <row r="1487" spans="9:17" x14ac:dyDescent="0.45">
      <c r="I1487" t="s">
        <v>208</v>
      </c>
      <c r="J1487" t="s">
        <v>158</v>
      </c>
      <c r="K1487">
        <v>1.8531836683473584E-4</v>
      </c>
      <c r="L1487" t="s">
        <v>159</v>
      </c>
      <c r="N1487" t="s">
        <v>251</v>
      </c>
      <c r="O1487" t="s">
        <v>158</v>
      </c>
      <c r="P1487">
        <v>0.18845305372165341</v>
      </c>
      <c r="Q1487" t="s">
        <v>159</v>
      </c>
    </row>
    <row r="1488" spans="9:17" x14ac:dyDescent="0.45">
      <c r="I1488" t="s">
        <v>208</v>
      </c>
      <c r="J1488" t="s">
        <v>160</v>
      </c>
      <c r="K1488">
        <v>1.4558662350115232E-2</v>
      </c>
      <c r="L1488" t="s">
        <v>159</v>
      </c>
      <c r="N1488" t="s">
        <v>251</v>
      </c>
      <c r="O1488" t="s">
        <v>160</v>
      </c>
      <c r="P1488">
        <v>2.0864581638101169E-2</v>
      </c>
      <c r="Q1488" t="s">
        <v>159</v>
      </c>
    </row>
    <row r="1489" spans="9:17" x14ac:dyDescent="0.45">
      <c r="I1489" t="s">
        <v>208</v>
      </c>
      <c r="J1489" t="s">
        <v>161</v>
      </c>
      <c r="K1489">
        <v>0.3802612169020273</v>
      </c>
      <c r="L1489" t="s">
        <v>159</v>
      </c>
      <c r="N1489" t="s">
        <v>251</v>
      </c>
      <c r="O1489" t="s">
        <v>161</v>
      </c>
      <c r="P1489">
        <v>0.11181548875999875</v>
      </c>
      <c r="Q1489" t="s">
        <v>159</v>
      </c>
    </row>
    <row r="1490" spans="9:17" x14ac:dyDescent="0.45">
      <c r="I1490" t="s">
        <v>208</v>
      </c>
      <c r="J1490" t="s">
        <v>287</v>
      </c>
      <c r="K1490">
        <v>3.4757119747626672E-2</v>
      </c>
      <c r="L1490" t="s">
        <v>159</v>
      </c>
      <c r="N1490" t="s">
        <v>251</v>
      </c>
      <c r="O1490" t="s">
        <v>287</v>
      </c>
      <c r="P1490">
        <v>9.4594337686959469E-3</v>
      </c>
      <c r="Q1490" t="s">
        <v>159</v>
      </c>
    </row>
    <row r="1491" spans="9:17" x14ac:dyDescent="0.45">
      <c r="I1491" t="s">
        <v>208</v>
      </c>
      <c r="J1491" t="s">
        <v>288</v>
      </c>
      <c r="K1491">
        <v>2.1253191625419054E-2</v>
      </c>
      <c r="L1491" t="s">
        <v>159</v>
      </c>
      <c r="N1491" t="s">
        <v>251</v>
      </c>
      <c r="O1491" t="s">
        <v>288</v>
      </c>
      <c r="P1491">
        <v>1.2282950357302884E-2</v>
      </c>
      <c r="Q1491" t="s">
        <v>159</v>
      </c>
    </row>
    <row r="1492" spans="9:17" x14ac:dyDescent="0.45">
      <c r="I1492" t="s">
        <v>208</v>
      </c>
      <c r="J1492" t="s">
        <v>308</v>
      </c>
      <c r="K1492">
        <v>7.8211732564363763E-3</v>
      </c>
      <c r="L1492" t="s">
        <v>159</v>
      </c>
      <c r="N1492" t="s">
        <v>251</v>
      </c>
      <c r="O1492" t="s">
        <v>308</v>
      </c>
      <c r="P1492">
        <v>0.12065131501002133</v>
      </c>
      <c r="Q1492" t="s">
        <v>159</v>
      </c>
    </row>
    <row r="1493" spans="9:17" x14ac:dyDescent="0.45">
      <c r="I1493" t="s">
        <v>208</v>
      </c>
      <c r="J1493" t="s">
        <v>162</v>
      </c>
      <c r="K1493">
        <v>0</v>
      </c>
      <c r="L1493" t="s">
        <v>159</v>
      </c>
      <c r="N1493" t="s">
        <v>251</v>
      </c>
      <c r="O1493" t="s">
        <v>162</v>
      </c>
      <c r="P1493">
        <v>2.8475244126676388E-2</v>
      </c>
      <c r="Q1493" t="s">
        <v>159</v>
      </c>
    </row>
    <row r="1494" spans="9:17" x14ac:dyDescent="0.45">
      <c r="I1494" t="s">
        <v>208</v>
      </c>
      <c r="J1494" t="s">
        <v>163</v>
      </c>
      <c r="K1494">
        <v>0</v>
      </c>
      <c r="L1494" t="s">
        <v>159</v>
      </c>
      <c r="N1494" t="s">
        <v>251</v>
      </c>
      <c r="O1494" t="s">
        <v>163</v>
      </c>
      <c r="P1494">
        <v>3.8936410172953663E-3</v>
      </c>
      <c r="Q1494" t="s">
        <v>159</v>
      </c>
    </row>
    <row r="1495" spans="9:17" x14ac:dyDescent="0.45">
      <c r="I1495" t="s">
        <v>208</v>
      </c>
      <c r="J1495" t="s">
        <v>164</v>
      </c>
      <c r="K1495">
        <v>4.9188388100266926E-2</v>
      </c>
      <c r="L1495" t="s">
        <v>159</v>
      </c>
      <c r="N1495" t="s">
        <v>251</v>
      </c>
      <c r="O1495" t="s">
        <v>164</v>
      </c>
      <c r="P1495">
        <v>2.1313921720060476E-2</v>
      </c>
      <c r="Q1495" t="s">
        <v>159</v>
      </c>
    </row>
    <row r="1496" spans="9:17" x14ac:dyDescent="0.45">
      <c r="I1496" t="s">
        <v>208</v>
      </c>
      <c r="J1496" t="s">
        <v>289</v>
      </c>
      <c r="K1496">
        <v>4.6042563206179559E-3</v>
      </c>
      <c r="L1496" t="s">
        <v>159</v>
      </c>
      <c r="N1496" t="s">
        <v>251</v>
      </c>
      <c r="O1496" t="s">
        <v>289</v>
      </c>
      <c r="P1496">
        <v>1.7149484196692362E-3</v>
      </c>
      <c r="Q1496" t="s">
        <v>159</v>
      </c>
    </row>
    <row r="1497" spans="9:17" x14ac:dyDescent="0.45">
      <c r="I1497" t="s">
        <v>208</v>
      </c>
      <c r="J1497" t="s">
        <v>290</v>
      </c>
      <c r="K1497">
        <v>4.5045096642165795E-4</v>
      </c>
      <c r="L1497" t="s">
        <v>159</v>
      </c>
      <c r="N1497" t="s">
        <v>251</v>
      </c>
      <c r="O1497" t="s">
        <v>290</v>
      </c>
      <c r="P1497">
        <v>2.3471029794011199E-3</v>
      </c>
      <c r="Q1497" t="s">
        <v>159</v>
      </c>
    </row>
    <row r="1498" spans="9:17" x14ac:dyDescent="0.45">
      <c r="I1498" t="s">
        <v>208</v>
      </c>
      <c r="J1498" t="s">
        <v>309</v>
      </c>
      <c r="K1498">
        <v>0</v>
      </c>
      <c r="L1498" t="s">
        <v>159</v>
      </c>
      <c r="N1498" t="s">
        <v>251</v>
      </c>
      <c r="O1498" t="s">
        <v>309</v>
      </c>
      <c r="P1498">
        <v>1.9356339504723458E-2</v>
      </c>
      <c r="Q1498" t="s">
        <v>159</v>
      </c>
    </row>
    <row r="1499" spans="9:17" x14ac:dyDescent="0.45">
      <c r="I1499" t="s">
        <v>208</v>
      </c>
      <c r="J1499" t="s">
        <v>165</v>
      </c>
      <c r="K1499">
        <v>0</v>
      </c>
      <c r="L1499" t="s">
        <v>159</v>
      </c>
      <c r="N1499" t="s">
        <v>251</v>
      </c>
      <c r="O1499" t="s">
        <v>165</v>
      </c>
      <c r="P1499">
        <v>3.2557856776908797E-2</v>
      </c>
      <c r="Q1499" t="s">
        <v>159</v>
      </c>
    </row>
    <row r="1500" spans="9:17" x14ac:dyDescent="0.45">
      <c r="I1500" t="s">
        <v>208</v>
      </c>
      <c r="J1500" t="s">
        <v>166</v>
      </c>
      <c r="K1500">
        <v>0</v>
      </c>
      <c r="L1500" t="s">
        <v>159</v>
      </c>
      <c r="N1500" t="s">
        <v>251</v>
      </c>
      <c r="O1500" t="s">
        <v>166</v>
      </c>
      <c r="P1500">
        <v>4.1795296147187598E-3</v>
      </c>
      <c r="Q1500" t="s">
        <v>159</v>
      </c>
    </row>
    <row r="1501" spans="9:17" x14ac:dyDescent="0.45">
      <c r="I1501" t="s">
        <v>208</v>
      </c>
      <c r="J1501" t="s">
        <v>167</v>
      </c>
      <c r="K1501">
        <v>6.2866670051391613E-2</v>
      </c>
      <c r="L1501" t="s">
        <v>159</v>
      </c>
      <c r="N1501" t="s">
        <v>251</v>
      </c>
      <c r="O1501" t="s">
        <v>167</v>
      </c>
      <c r="P1501">
        <v>2.4360979192050429E-2</v>
      </c>
      <c r="Q1501" t="s">
        <v>159</v>
      </c>
    </row>
    <row r="1502" spans="9:17" x14ac:dyDescent="0.45">
      <c r="I1502" t="s">
        <v>208</v>
      </c>
      <c r="J1502" t="s">
        <v>291</v>
      </c>
      <c r="K1502">
        <v>5.9334194132136331E-3</v>
      </c>
      <c r="L1502" t="s">
        <v>159</v>
      </c>
      <c r="N1502" t="s">
        <v>251</v>
      </c>
      <c r="O1502" t="s">
        <v>291</v>
      </c>
      <c r="P1502">
        <v>2.3772491960205012E-3</v>
      </c>
      <c r="Q1502" t="s">
        <v>159</v>
      </c>
    </row>
    <row r="1503" spans="9:17" x14ac:dyDescent="0.45">
      <c r="I1503" t="s">
        <v>208</v>
      </c>
      <c r="J1503" t="s">
        <v>292</v>
      </c>
      <c r="K1503">
        <v>4.0868235743722735E-3</v>
      </c>
      <c r="L1503" t="s">
        <v>159</v>
      </c>
      <c r="N1503" t="s">
        <v>251</v>
      </c>
      <c r="O1503" t="s">
        <v>292</v>
      </c>
      <c r="P1503">
        <v>3.026228998373418E-3</v>
      </c>
      <c r="Q1503" t="s">
        <v>159</v>
      </c>
    </row>
    <row r="1504" spans="9:17" x14ac:dyDescent="0.45">
      <c r="I1504" t="s">
        <v>208</v>
      </c>
      <c r="J1504" t="s">
        <v>310</v>
      </c>
      <c r="K1504">
        <v>0</v>
      </c>
      <c r="L1504" t="s">
        <v>159</v>
      </c>
      <c r="N1504" t="s">
        <v>251</v>
      </c>
      <c r="O1504" t="s">
        <v>310</v>
      </c>
      <c r="P1504">
        <v>2.3997810031763513E-2</v>
      </c>
      <c r="Q1504" t="s">
        <v>159</v>
      </c>
    </row>
    <row r="1505" spans="9:17" x14ac:dyDescent="0.45">
      <c r="I1505" t="s">
        <v>208</v>
      </c>
      <c r="J1505" t="s">
        <v>293</v>
      </c>
      <c r="K1505">
        <v>0</v>
      </c>
      <c r="L1505" t="s">
        <v>159</v>
      </c>
      <c r="N1505" t="s">
        <v>251</v>
      </c>
      <c r="O1505" t="s">
        <v>293</v>
      </c>
      <c r="P1505">
        <v>8.2236244912412271E-3</v>
      </c>
      <c r="Q1505" t="s">
        <v>159</v>
      </c>
    </row>
    <row r="1506" spans="9:17" x14ac:dyDescent="0.45">
      <c r="I1506" t="s">
        <v>208</v>
      </c>
      <c r="J1506" t="s">
        <v>294</v>
      </c>
      <c r="K1506">
        <v>0</v>
      </c>
      <c r="L1506" t="s">
        <v>159</v>
      </c>
      <c r="N1506" t="s">
        <v>251</v>
      </c>
      <c r="O1506" t="s">
        <v>294</v>
      </c>
      <c r="P1506">
        <v>9.7529978902229141E-4</v>
      </c>
      <c r="Q1506" t="s">
        <v>159</v>
      </c>
    </row>
    <row r="1507" spans="9:17" x14ac:dyDescent="0.45">
      <c r="I1507" t="s">
        <v>208</v>
      </c>
      <c r="J1507" t="s">
        <v>295</v>
      </c>
      <c r="K1507">
        <v>1.5388241606248007E-2</v>
      </c>
      <c r="L1507" t="s">
        <v>159</v>
      </c>
      <c r="N1507" t="s">
        <v>251</v>
      </c>
      <c r="O1507" t="s">
        <v>295</v>
      </c>
      <c r="P1507">
        <v>7.8775448830878253E-3</v>
      </c>
      <c r="Q1507" t="s">
        <v>159</v>
      </c>
    </row>
    <row r="1508" spans="9:17" x14ac:dyDescent="0.45">
      <c r="I1508" t="s">
        <v>208</v>
      </c>
      <c r="J1508" t="s">
        <v>296</v>
      </c>
      <c r="K1508">
        <v>1.4240341605334019E-3</v>
      </c>
      <c r="L1508" t="s">
        <v>159</v>
      </c>
      <c r="N1508" t="s">
        <v>251</v>
      </c>
      <c r="O1508" t="s">
        <v>296</v>
      </c>
      <c r="P1508">
        <v>7.0594377855973871E-4</v>
      </c>
      <c r="Q1508" t="s">
        <v>159</v>
      </c>
    </row>
    <row r="1509" spans="9:17" x14ac:dyDescent="0.45">
      <c r="I1509" t="s">
        <v>208</v>
      </c>
      <c r="J1509" t="s">
        <v>297</v>
      </c>
      <c r="K1509">
        <v>9.4614243550728374E-4</v>
      </c>
      <c r="L1509" t="s">
        <v>159</v>
      </c>
      <c r="N1509" t="s">
        <v>251</v>
      </c>
      <c r="O1509" t="s">
        <v>297</v>
      </c>
      <c r="P1509">
        <v>7.2655313084473122E-4</v>
      </c>
      <c r="Q1509" t="s">
        <v>159</v>
      </c>
    </row>
    <row r="1510" spans="9:17" x14ac:dyDescent="0.45">
      <c r="I1510" t="s">
        <v>208</v>
      </c>
      <c r="J1510" t="s">
        <v>311</v>
      </c>
      <c r="K1510">
        <v>0</v>
      </c>
      <c r="L1510" t="s">
        <v>159</v>
      </c>
      <c r="N1510" t="s">
        <v>251</v>
      </c>
      <c r="O1510" t="s">
        <v>311</v>
      </c>
      <c r="P1510">
        <v>5.7707588424291707E-3</v>
      </c>
      <c r="Q1510" t="s">
        <v>159</v>
      </c>
    </row>
    <row r="1511" spans="9:17" x14ac:dyDescent="0.45">
      <c r="I1511" t="s">
        <v>208</v>
      </c>
      <c r="J1511" t="s">
        <v>298</v>
      </c>
      <c r="K1511">
        <v>3.1884871355869122E-3</v>
      </c>
      <c r="L1511" t="s">
        <v>159</v>
      </c>
      <c r="N1511" t="s">
        <v>251</v>
      </c>
      <c r="O1511" t="s">
        <v>298</v>
      </c>
      <c r="P1511">
        <v>0.10635348953631275</v>
      </c>
      <c r="Q1511" t="s">
        <v>159</v>
      </c>
    </row>
    <row r="1512" spans="9:17" x14ac:dyDescent="0.45">
      <c r="I1512" t="s">
        <v>208</v>
      </c>
      <c r="J1512" t="s">
        <v>299</v>
      </c>
      <c r="K1512">
        <v>1.5558659143405951E-2</v>
      </c>
      <c r="L1512" t="s">
        <v>159</v>
      </c>
      <c r="N1512" t="s">
        <v>251</v>
      </c>
      <c r="O1512" t="s">
        <v>299</v>
      </c>
      <c r="P1512">
        <v>8.6363896650023704E-3</v>
      </c>
      <c r="Q1512" t="s">
        <v>159</v>
      </c>
    </row>
    <row r="1513" spans="9:17" x14ac:dyDescent="0.45">
      <c r="I1513" t="s">
        <v>208</v>
      </c>
      <c r="J1513" t="s">
        <v>300</v>
      </c>
      <c r="K1513">
        <v>0.24858518894954776</v>
      </c>
      <c r="L1513" t="s">
        <v>159</v>
      </c>
      <c r="N1513" t="s">
        <v>251</v>
      </c>
      <c r="O1513" t="s">
        <v>300</v>
      </c>
      <c r="P1513">
        <v>6.0585569053691529E-2</v>
      </c>
      <c r="Q1513" t="s">
        <v>159</v>
      </c>
    </row>
    <row r="1514" spans="9:17" x14ac:dyDescent="0.45">
      <c r="I1514" t="s">
        <v>208</v>
      </c>
      <c r="J1514" t="s">
        <v>301</v>
      </c>
      <c r="K1514">
        <v>2.121807391938196E-2</v>
      </c>
      <c r="L1514" t="s">
        <v>159</v>
      </c>
      <c r="N1514" t="s">
        <v>251</v>
      </c>
      <c r="O1514" t="s">
        <v>301</v>
      </c>
      <c r="P1514">
        <v>8.2686735751276372E-3</v>
      </c>
      <c r="Q1514" t="s">
        <v>159</v>
      </c>
    </row>
    <row r="1515" spans="9:17" x14ac:dyDescent="0.45">
      <c r="I1515" t="s">
        <v>208</v>
      </c>
      <c r="J1515" t="s">
        <v>302</v>
      </c>
      <c r="K1515">
        <v>1.4614164311550921E-2</v>
      </c>
      <c r="L1515" t="s">
        <v>159</v>
      </c>
      <c r="N1515" t="s">
        <v>251</v>
      </c>
      <c r="O1515" t="s">
        <v>302</v>
      </c>
      <c r="P1515">
        <v>9.4579443598343405E-3</v>
      </c>
      <c r="Q1515" t="s">
        <v>159</v>
      </c>
    </row>
    <row r="1516" spans="9:17" x14ac:dyDescent="0.45">
      <c r="I1516" t="s">
        <v>208</v>
      </c>
      <c r="J1516" t="s">
        <v>312</v>
      </c>
      <c r="K1516">
        <v>1.2655886745206457E-3</v>
      </c>
      <c r="L1516" t="s">
        <v>159</v>
      </c>
      <c r="N1516" t="s">
        <v>251</v>
      </c>
      <c r="O1516" t="s">
        <v>312</v>
      </c>
      <c r="P1516">
        <v>8.1395680657364758E-2</v>
      </c>
      <c r="Q1516" t="s">
        <v>159</v>
      </c>
    </row>
    <row r="1517" spans="9:17" x14ac:dyDescent="0.45">
      <c r="I1517" t="s">
        <v>208</v>
      </c>
      <c r="J1517" t="s">
        <v>313</v>
      </c>
      <c r="K1517">
        <v>2.2822951989201587E-3</v>
      </c>
      <c r="L1517" t="s">
        <v>159</v>
      </c>
      <c r="N1517" t="s">
        <v>251</v>
      </c>
      <c r="O1517" t="s">
        <v>313</v>
      </c>
      <c r="P1517">
        <v>3.0844517669950135E-2</v>
      </c>
      <c r="Q1517" t="s">
        <v>159</v>
      </c>
    </row>
    <row r="1518" spans="9:17" x14ac:dyDescent="0.45">
      <c r="I1518" t="s">
        <v>208</v>
      </c>
      <c r="J1518" t="s">
        <v>314</v>
      </c>
      <c r="K1518">
        <v>4.427567166795222E-3</v>
      </c>
      <c r="L1518" t="s">
        <v>159</v>
      </c>
      <c r="N1518" t="s">
        <v>251</v>
      </c>
      <c r="O1518" t="s">
        <v>314</v>
      </c>
      <c r="P1518">
        <v>2.6741161234404873E-3</v>
      </c>
      <c r="Q1518" t="s">
        <v>159</v>
      </c>
    </row>
    <row r="1519" spans="9:17" x14ac:dyDescent="0.45">
      <c r="I1519" t="s">
        <v>208</v>
      </c>
      <c r="J1519" t="s">
        <v>315</v>
      </c>
      <c r="K1519">
        <v>7.1339561134916102E-2</v>
      </c>
      <c r="L1519" t="s">
        <v>159</v>
      </c>
      <c r="N1519" t="s">
        <v>251</v>
      </c>
      <c r="O1519" t="s">
        <v>315</v>
      </c>
      <c r="P1519">
        <v>1.392683410898117E-2</v>
      </c>
      <c r="Q1519" t="s">
        <v>159</v>
      </c>
    </row>
    <row r="1520" spans="9:17" x14ac:dyDescent="0.45">
      <c r="I1520" t="s">
        <v>208</v>
      </c>
      <c r="J1520" t="s">
        <v>316</v>
      </c>
      <c r="K1520">
        <v>6.335067161763637E-3</v>
      </c>
      <c r="L1520" t="s">
        <v>159</v>
      </c>
      <c r="N1520" t="s">
        <v>251</v>
      </c>
      <c r="O1520" t="s">
        <v>316</v>
      </c>
      <c r="P1520">
        <v>1.259026175026024E-3</v>
      </c>
      <c r="Q1520" t="s">
        <v>159</v>
      </c>
    </row>
    <row r="1521" spans="9:17" x14ac:dyDescent="0.45">
      <c r="I1521" t="s">
        <v>208</v>
      </c>
      <c r="J1521" t="s">
        <v>317</v>
      </c>
      <c r="K1521">
        <v>4.7146832820996083E-3</v>
      </c>
      <c r="L1521" t="s">
        <v>159</v>
      </c>
      <c r="N1521" t="s">
        <v>251</v>
      </c>
      <c r="O1521" t="s">
        <v>317</v>
      </c>
      <c r="P1521">
        <v>1.577565416611528E-3</v>
      </c>
      <c r="Q1521" t="s">
        <v>159</v>
      </c>
    </row>
    <row r="1522" spans="9:17" x14ac:dyDescent="0.45">
      <c r="I1522" t="s">
        <v>208</v>
      </c>
      <c r="J1522" t="s">
        <v>318</v>
      </c>
      <c r="K1522">
        <v>2.7455550444823377E-3</v>
      </c>
      <c r="L1522" t="s">
        <v>159</v>
      </c>
      <c r="N1522" t="s">
        <v>251</v>
      </c>
      <c r="O1522" t="s">
        <v>318</v>
      </c>
      <c r="P1522">
        <v>1.9612793910038093E-2</v>
      </c>
      <c r="Q1522" t="s">
        <v>159</v>
      </c>
    </row>
    <row r="1523" spans="9:17" x14ac:dyDescent="0.45">
      <c r="I1523" t="s">
        <v>209</v>
      </c>
      <c r="J1523" t="s">
        <v>158</v>
      </c>
      <c r="K1523">
        <v>1.0449113922378658E-3</v>
      </c>
      <c r="L1523" t="s">
        <v>159</v>
      </c>
    </row>
    <row r="1524" spans="9:17" x14ac:dyDescent="0.45">
      <c r="I1524" t="s">
        <v>209</v>
      </c>
      <c r="J1524" t="s">
        <v>160</v>
      </c>
      <c r="K1524">
        <v>1.4024774081668681E-2</v>
      </c>
      <c r="L1524" t="s">
        <v>159</v>
      </c>
    </row>
    <row r="1525" spans="9:17" x14ac:dyDescent="0.45">
      <c r="I1525" t="s">
        <v>209</v>
      </c>
      <c r="J1525" t="s">
        <v>161</v>
      </c>
      <c r="K1525">
        <v>0.38387320844105183</v>
      </c>
      <c r="L1525" t="s">
        <v>159</v>
      </c>
    </row>
    <row r="1526" spans="9:17" x14ac:dyDescent="0.45">
      <c r="I1526" t="s">
        <v>209</v>
      </c>
      <c r="J1526" t="s">
        <v>287</v>
      </c>
      <c r="K1526">
        <v>3.4304461764467435E-2</v>
      </c>
      <c r="L1526" t="s">
        <v>159</v>
      </c>
    </row>
    <row r="1527" spans="9:17" x14ac:dyDescent="0.45">
      <c r="I1527" t="s">
        <v>209</v>
      </c>
      <c r="J1527" t="s">
        <v>288</v>
      </c>
      <c r="K1527">
        <v>1.8471383336725336E-2</v>
      </c>
      <c r="L1527" t="s">
        <v>159</v>
      </c>
    </row>
    <row r="1528" spans="9:17" x14ac:dyDescent="0.45">
      <c r="I1528" t="s">
        <v>209</v>
      </c>
      <c r="J1528" t="s">
        <v>308</v>
      </c>
      <c r="K1528">
        <v>6.8783471758101337E-3</v>
      </c>
      <c r="L1528" t="s">
        <v>159</v>
      </c>
    </row>
    <row r="1529" spans="9:17" x14ac:dyDescent="0.45">
      <c r="I1529" t="s">
        <v>209</v>
      </c>
      <c r="J1529" t="s">
        <v>162</v>
      </c>
      <c r="K1529">
        <v>0</v>
      </c>
      <c r="L1529" t="s">
        <v>159</v>
      </c>
    </row>
    <row r="1530" spans="9:17" x14ac:dyDescent="0.45">
      <c r="I1530" t="s">
        <v>209</v>
      </c>
      <c r="J1530" t="s">
        <v>163</v>
      </c>
      <c r="K1530">
        <v>0</v>
      </c>
      <c r="L1530" t="s">
        <v>159</v>
      </c>
    </row>
    <row r="1531" spans="9:17" x14ac:dyDescent="0.45">
      <c r="I1531" t="s">
        <v>209</v>
      </c>
      <c r="J1531" t="s">
        <v>164</v>
      </c>
      <c r="K1531">
        <v>4.9998001646982274E-2</v>
      </c>
      <c r="L1531" t="s">
        <v>159</v>
      </c>
    </row>
    <row r="1532" spans="9:17" x14ac:dyDescent="0.45">
      <c r="I1532" t="s">
        <v>209</v>
      </c>
      <c r="J1532" t="s">
        <v>289</v>
      </c>
      <c r="K1532">
        <v>4.6635788066114302E-3</v>
      </c>
      <c r="L1532" t="s">
        <v>159</v>
      </c>
    </row>
    <row r="1533" spans="9:17" x14ac:dyDescent="0.45">
      <c r="I1533" t="s">
        <v>209</v>
      </c>
      <c r="J1533" t="s">
        <v>290</v>
      </c>
      <c r="K1533">
        <v>0</v>
      </c>
      <c r="L1533" t="s">
        <v>159</v>
      </c>
    </row>
    <row r="1534" spans="9:17" x14ac:dyDescent="0.45">
      <c r="I1534" t="s">
        <v>209</v>
      </c>
      <c r="J1534" t="s">
        <v>309</v>
      </c>
      <c r="K1534">
        <v>0</v>
      </c>
      <c r="L1534" t="s">
        <v>159</v>
      </c>
    </row>
    <row r="1535" spans="9:17" x14ac:dyDescent="0.45">
      <c r="I1535" t="s">
        <v>209</v>
      </c>
      <c r="J1535" t="s">
        <v>165</v>
      </c>
      <c r="K1535">
        <v>0</v>
      </c>
      <c r="L1535" t="s">
        <v>159</v>
      </c>
    </row>
    <row r="1536" spans="9:17" x14ac:dyDescent="0.45">
      <c r="I1536" t="s">
        <v>209</v>
      </c>
      <c r="J1536" t="s">
        <v>166</v>
      </c>
      <c r="K1536">
        <v>0</v>
      </c>
      <c r="L1536" t="s">
        <v>159</v>
      </c>
    </row>
    <row r="1537" spans="9:12" x14ac:dyDescent="0.45">
      <c r="I1537" t="s">
        <v>209</v>
      </c>
      <c r="J1537" t="s">
        <v>167</v>
      </c>
      <c r="K1537">
        <v>6.4225923262173967E-2</v>
      </c>
      <c r="L1537" t="s">
        <v>159</v>
      </c>
    </row>
    <row r="1538" spans="9:12" x14ac:dyDescent="0.45">
      <c r="I1538" t="s">
        <v>209</v>
      </c>
      <c r="J1538" t="s">
        <v>291</v>
      </c>
      <c r="K1538">
        <v>6.1358790750335752E-3</v>
      </c>
      <c r="L1538" t="s">
        <v>159</v>
      </c>
    </row>
    <row r="1539" spans="9:12" x14ac:dyDescent="0.45">
      <c r="I1539" t="s">
        <v>209</v>
      </c>
      <c r="J1539" t="s">
        <v>292</v>
      </c>
      <c r="K1539">
        <v>2.7297310829428596E-3</v>
      </c>
      <c r="L1539" t="s">
        <v>159</v>
      </c>
    </row>
    <row r="1540" spans="9:12" x14ac:dyDescent="0.45">
      <c r="I1540" t="s">
        <v>209</v>
      </c>
      <c r="J1540" t="s">
        <v>310</v>
      </c>
      <c r="K1540">
        <v>0</v>
      </c>
      <c r="L1540" t="s">
        <v>159</v>
      </c>
    </row>
    <row r="1541" spans="9:12" x14ac:dyDescent="0.45">
      <c r="I1541" t="s">
        <v>209</v>
      </c>
      <c r="J1541" t="s">
        <v>293</v>
      </c>
      <c r="K1541">
        <v>0</v>
      </c>
      <c r="L1541" t="s">
        <v>159</v>
      </c>
    </row>
    <row r="1542" spans="9:12" x14ac:dyDescent="0.45">
      <c r="I1542" t="s">
        <v>209</v>
      </c>
      <c r="J1542" t="s">
        <v>294</v>
      </c>
      <c r="K1542">
        <v>3.9088071635345824E-5</v>
      </c>
      <c r="L1542" t="s">
        <v>159</v>
      </c>
    </row>
    <row r="1543" spans="9:12" x14ac:dyDescent="0.45">
      <c r="I1543" t="s">
        <v>209</v>
      </c>
      <c r="J1543" t="s">
        <v>295</v>
      </c>
      <c r="K1543">
        <v>1.5768926981049321E-2</v>
      </c>
      <c r="L1543" t="s">
        <v>159</v>
      </c>
    </row>
    <row r="1544" spans="9:12" x14ac:dyDescent="0.45">
      <c r="I1544" t="s">
        <v>209</v>
      </c>
      <c r="J1544" t="s">
        <v>296</v>
      </c>
      <c r="K1544">
        <v>1.4353318936169619E-3</v>
      </c>
      <c r="L1544" t="s">
        <v>159</v>
      </c>
    </row>
    <row r="1545" spans="9:12" x14ac:dyDescent="0.45">
      <c r="I1545" t="s">
        <v>209</v>
      </c>
      <c r="J1545" t="s">
        <v>297</v>
      </c>
      <c r="K1545">
        <v>9.9634224009412372E-4</v>
      </c>
      <c r="L1545" t="s">
        <v>159</v>
      </c>
    </row>
    <row r="1546" spans="9:12" x14ac:dyDescent="0.45">
      <c r="I1546" t="s">
        <v>209</v>
      </c>
      <c r="J1546" t="s">
        <v>311</v>
      </c>
      <c r="K1546">
        <v>0</v>
      </c>
      <c r="L1546" t="s">
        <v>159</v>
      </c>
    </row>
    <row r="1547" spans="9:12" x14ac:dyDescent="0.45">
      <c r="I1547" t="s">
        <v>209</v>
      </c>
      <c r="J1547" t="s">
        <v>298</v>
      </c>
      <c r="K1547">
        <v>3.5349027398481102E-3</v>
      </c>
      <c r="L1547" t="s">
        <v>159</v>
      </c>
    </row>
    <row r="1548" spans="9:12" x14ac:dyDescent="0.45">
      <c r="I1548" t="s">
        <v>209</v>
      </c>
      <c r="J1548" t="s">
        <v>299</v>
      </c>
      <c r="K1548">
        <v>1.5300074409488213E-2</v>
      </c>
      <c r="L1548" t="s">
        <v>159</v>
      </c>
    </row>
    <row r="1549" spans="9:12" x14ac:dyDescent="0.45">
      <c r="I1549" t="s">
        <v>209</v>
      </c>
      <c r="J1549" t="s">
        <v>300</v>
      </c>
      <c r="K1549">
        <v>0.24962682249798962</v>
      </c>
      <c r="L1549" t="s">
        <v>159</v>
      </c>
    </row>
    <row r="1550" spans="9:12" x14ac:dyDescent="0.45">
      <c r="I1550" t="s">
        <v>209</v>
      </c>
      <c r="J1550" t="s">
        <v>301</v>
      </c>
      <c r="K1550">
        <v>2.1081945459930265E-2</v>
      </c>
      <c r="L1550" t="s">
        <v>159</v>
      </c>
    </row>
    <row r="1551" spans="9:12" x14ac:dyDescent="0.45">
      <c r="I1551" t="s">
        <v>209</v>
      </c>
      <c r="J1551" t="s">
        <v>302</v>
      </c>
      <c r="K1551">
        <v>1.3926869417777167E-2</v>
      </c>
      <c r="L1551" t="s">
        <v>159</v>
      </c>
    </row>
    <row r="1552" spans="9:12" x14ac:dyDescent="0.45">
      <c r="I1552" t="s">
        <v>209</v>
      </c>
      <c r="J1552" t="s">
        <v>312</v>
      </c>
      <c r="K1552">
        <v>6.7392005154998222E-4</v>
      </c>
      <c r="L1552" t="s">
        <v>159</v>
      </c>
    </row>
    <row r="1553" spans="9:12" x14ac:dyDescent="0.45">
      <c r="I1553" t="s">
        <v>209</v>
      </c>
      <c r="J1553" t="s">
        <v>313</v>
      </c>
      <c r="K1553">
        <v>1.8123409362595174E-3</v>
      </c>
      <c r="L1553" t="s">
        <v>159</v>
      </c>
    </row>
    <row r="1554" spans="9:12" x14ac:dyDescent="0.45">
      <c r="I1554" t="s">
        <v>209</v>
      </c>
      <c r="J1554" t="s">
        <v>314</v>
      </c>
      <c r="K1554">
        <v>3.6501484131306206E-3</v>
      </c>
      <c r="L1554" t="s">
        <v>159</v>
      </c>
    </row>
    <row r="1555" spans="9:12" x14ac:dyDescent="0.45">
      <c r="I1555" t="s">
        <v>209</v>
      </c>
      <c r="J1555" t="s">
        <v>315</v>
      </c>
      <c r="K1555">
        <v>7.2551401948808658E-2</v>
      </c>
      <c r="L1555" t="s">
        <v>159</v>
      </c>
    </row>
    <row r="1556" spans="9:12" x14ac:dyDescent="0.45">
      <c r="I1556" t="s">
        <v>209</v>
      </c>
      <c r="J1556" t="s">
        <v>316</v>
      </c>
      <c r="K1556">
        <v>6.2214068747342569E-3</v>
      </c>
      <c r="L1556" t="s">
        <v>159</v>
      </c>
    </row>
    <row r="1557" spans="9:12" x14ac:dyDescent="0.45">
      <c r="I1557" t="s">
        <v>209</v>
      </c>
      <c r="J1557" t="s">
        <v>317</v>
      </c>
      <c r="K1557">
        <v>4.490257942920046E-3</v>
      </c>
      <c r="L1557" t="s">
        <v>159</v>
      </c>
    </row>
    <row r="1558" spans="9:12" x14ac:dyDescent="0.45">
      <c r="I1558" t="s">
        <v>209</v>
      </c>
      <c r="J1558" t="s">
        <v>318</v>
      </c>
      <c r="K1558">
        <v>2.5400200554622312E-3</v>
      </c>
      <c r="L1558" t="s">
        <v>159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ECD8A-40B4-43D5-8112-93B3846826F9}">
  <dimension ref="A9:AN259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134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272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278</v>
      </c>
      <c r="AK10" t="s">
        <v>47</v>
      </c>
      <c r="AL10" t="s">
        <v>115</v>
      </c>
      <c r="AM10" t="s">
        <v>279</v>
      </c>
      <c r="AN10" t="s">
        <v>280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321</v>
      </c>
      <c r="F11" t="s">
        <v>305</v>
      </c>
      <c r="G11" t="s">
        <v>322</v>
      </c>
      <c r="I11" t="s">
        <v>157</v>
      </c>
      <c r="J11" t="s">
        <v>158</v>
      </c>
      <c r="K11">
        <v>1.2144033916198926E-2</v>
      </c>
      <c r="L11" t="s">
        <v>159</v>
      </c>
      <c r="N11" t="s">
        <v>210</v>
      </c>
      <c r="O11" t="s">
        <v>158</v>
      </c>
      <c r="P11">
        <v>0.10171069035691183</v>
      </c>
      <c r="Q11" t="s">
        <v>159</v>
      </c>
      <c r="S11" t="s">
        <v>252</v>
      </c>
      <c r="T11" t="s">
        <v>158</v>
      </c>
      <c r="U11">
        <v>0.14449435058643345</v>
      </c>
      <c r="V11" t="s">
        <v>159</v>
      </c>
      <c r="X11">
        <v>0.13744292237442923</v>
      </c>
      <c r="Y11">
        <v>5.4278729416834481E-2</v>
      </c>
      <c r="Z11" t="s">
        <v>158</v>
      </c>
      <c r="AA11" t="s">
        <v>25</v>
      </c>
      <c r="AC11" t="s">
        <v>22</v>
      </c>
      <c r="AD11" t="s">
        <v>158</v>
      </c>
      <c r="AE11">
        <v>0.1012182061335965</v>
      </c>
      <c r="AG11" t="s">
        <v>96</v>
      </c>
      <c r="AH11" t="s">
        <v>158</v>
      </c>
      <c r="AI11">
        <v>0.34256742981394095</v>
      </c>
      <c r="AK11">
        <v>2020</v>
      </c>
      <c r="AL11" t="s">
        <v>148</v>
      </c>
      <c r="AM11">
        <v>0.12519740727008058</v>
      </c>
      <c r="AN11" t="s">
        <v>281</v>
      </c>
    </row>
    <row r="12" spans="1:40" x14ac:dyDescent="0.45">
      <c r="C12" t="s">
        <v>152</v>
      </c>
      <c r="D12" t="s">
        <v>322</v>
      </c>
      <c r="E12" t="s">
        <v>323</v>
      </c>
      <c r="F12" t="s">
        <v>152</v>
      </c>
      <c r="G12" t="s">
        <v>322</v>
      </c>
      <c r="I12" t="s">
        <v>157</v>
      </c>
      <c r="J12" t="s">
        <v>160</v>
      </c>
      <c r="K12">
        <v>3.3488257328594478E-2</v>
      </c>
      <c r="L12" t="s">
        <v>159</v>
      </c>
      <c r="N12" t="s">
        <v>210</v>
      </c>
      <c r="O12" t="s">
        <v>160</v>
      </c>
      <c r="P12">
        <v>1.632292177116124E-2</v>
      </c>
      <c r="Q12" t="s">
        <v>159</v>
      </c>
      <c r="S12" t="s">
        <v>252</v>
      </c>
      <c r="T12" t="s">
        <v>160</v>
      </c>
      <c r="U12">
        <v>1.884009136133017E-2</v>
      </c>
      <c r="V12" t="s">
        <v>159</v>
      </c>
      <c r="X12">
        <v>1.9634703196347032E-2</v>
      </c>
      <c r="Y12">
        <v>3.2783896443991413E-2</v>
      </c>
      <c r="Z12" t="s">
        <v>160</v>
      </c>
      <c r="AA12" t="s">
        <v>25</v>
      </c>
      <c r="AC12" t="s">
        <v>22</v>
      </c>
      <c r="AD12" t="s">
        <v>160</v>
      </c>
      <c r="AE12">
        <v>2.1592867420078855E-2</v>
      </c>
      <c r="AG12" t="s">
        <v>96</v>
      </c>
      <c r="AH12" t="s">
        <v>160</v>
      </c>
      <c r="AI12">
        <v>0.18121507519696411</v>
      </c>
      <c r="AK12">
        <v>2020</v>
      </c>
      <c r="AL12" t="s">
        <v>152</v>
      </c>
      <c r="AM12">
        <v>7.2879330943846993E-2</v>
      </c>
      <c r="AN12" t="s">
        <v>281</v>
      </c>
    </row>
    <row r="13" spans="1:40" x14ac:dyDescent="0.45">
      <c r="C13" t="s">
        <v>154</v>
      </c>
      <c r="E13" t="s">
        <v>324</v>
      </c>
      <c r="G13" t="s">
        <v>322</v>
      </c>
      <c r="I13" t="s">
        <v>157</v>
      </c>
      <c r="J13" t="s">
        <v>161</v>
      </c>
      <c r="K13">
        <v>0.38154535090250319</v>
      </c>
      <c r="L13" t="s">
        <v>159</v>
      </c>
      <c r="N13" t="s">
        <v>210</v>
      </c>
      <c r="O13" t="s">
        <v>161</v>
      </c>
      <c r="P13">
        <v>0.19465463039690284</v>
      </c>
      <c r="Q13" t="s">
        <v>159</v>
      </c>
      <c r="S13" t="s">
        <v>252</v>
      </c>
      <c r="T13" t="s">
        <v>161</v>
      </c>
      <c r="U13">
        <v>0.16224235093411832</v>
      </c>
      <c r="V13" t="s">
        <v>159</v>
      </c>
      <c r="X13">
        <v>0.17671232876712328</v>
      </c>
      <c r="Y13">
        <v>0.24220172538100099</v>
      </c>
      <c r="Z13" t="s">
        <v>161</v>
      </c>
      <c r="AA13" t="s">
        <v>25</v>
      </c>
      <c r="AC13" t="s">
        <v>22</v>
      </c>
      <c r="AD13" t="s">
        <v>161</v>
      </c>
      <c r="AE13">
        <v>0.20517562009007539</v>
      </c>
      <c r="AG13" t="s">
        <v>96</v>
      </c>
      <c r="AH13" t="s">
        <v>161</v>
      </c>
      <c r="AI13">
        <v>0.17511388648499726</v>
      </c>
      <c r="AK13">
        <v>2020</v>
      </c>
      <c r="AL13" t="s">
        <v>154</v>
      </c>
      <c r="AM13">
        <v>8.0645161290322509E-2</v>
      </c>
      <c r="AN13" t="s">
        <v>281</v>
      </c>
    </row>
    <row r="14" spans="1:40" x14ac:dyDescent="0.45">
      <c r="C14" t="s">
        <v>283</v>
      </c>
      <c r="E14" t="s">
        <v>325</v>
      </c>
      <c r="G14" t="s">
        <v>322</v>
      </c>
      <c r="I14" t="s">
        <v>157</v>
      </c>
      <c r="J14" t="s">
        <v>287</v>
      </c>
      <c r="K14">
        <v>2.5924766238327249E-2</v>
      </c>
      <c r="L14" t="s">
        <v>159</v>
      </c>
      <c r="N14" t="s">
        <v>210</v>
      </c>
      <c r="O14" t="s">
        <v>287</v>
      </c>
      <c r="P14">
        <v>2.3008452611532084E-2</v>
      </c>
      <c r="Q14" t="s">
        <v>159</v>
      </c>
      <c r="S14" t="s">
        <v>252</v>
      </c>
      <c r="T14" t="s">
        <v>287</v>
      </c>
      <c r="U14">
        <v>2.0824068388506929E-2</v>
      </c>
      <c r="V14" t="s">
        <v>159</v>
      </c>
      <c r="X14">
        <v>1.9634703196347032E-2</v>
      </c>
      <c r="Y14">
        <v>3.8200366291259565E-2</v>
      </c>
      <c r="Z14" t="s">
        <v>287</v>
      </c>
      <c r="AA14" t="s">
        <v>25</v>
      </c>
      <c r="AC14" t="s">
        <v>22</v>
      </c>
      <c r="AD14" t="s">
        <v>287</v>
      </c>
      <c r="AE14">
        <v>2.3519594686122372E-2</v>
      </c>
      <c r="AG14" t="s">
        <v>96</v>
      </c>
      <c r="AH14" t="s">
        <v>287</v>
      </c>
      <c r="AI14">
        <v>0.19023837153022982</v>
      </c>
      <c r="AK14">
        <v>2020</v>
      </c>
      <c r="AL14" t="s">
        <v>283</v>
      </c>
      <c r="AM14">
        <v>8.9605734767025005E-2</v>
      </c>
      <c r="AN14" t="s">
        <v>281</v>
      </c>
    </row>
    <row r="15" spans="1:40" x14ac:dyDescent="0.45">
      <c r="C15" t="s">
        <v>285</v>
      </c>
      <c r="E15" t="s">
        <v>326</v>
      </c>
      <c r="G15" t="s">
        <v>322</v>
      </c>
      <c r="I15" t="s">
        <v>157</v>
      </c>
      <c r="J15" t="s">
        <v>288</v>
      </c>
      <c r="K15">
        <v>9.9655950017744285E-3</v>
      </c>
      <c r="L15" t="s">
        <v>159</v>
      </c>
      <c r="N15" t="s">
        <v>210</v>
      </c>
      <c r="O15" t="s">
        <v>288</v>
      </c>
      <c r="P15">
        <v>2.2459190847282016E-2</v>
      </c>
      <c r="Q15" t="s">
        <v>159</v>
      </c>
      <c r="S15" t="s">
        <v>252</v>
      </c>
      <c r="T15" t="s">
        <v>288</v>
      </c>
      <c r="U15">
        <v>2.1196411632751277E-2</v>
      </c>
      <c r="V15" t="s">
        <v>159</v>
      </c>
      <c r="X15">
        <v>1.9634703196347032E-2</v>
      </c>
      <c r="Y15">
        <v>2.9648045479783537E-2</v>
      </c>
      <c r="Z15" t="s">
        <v>288</v>
      </c>
      <c r="AA15" t="s">
        <v>25</v>
      </c>
      <c r="AC15" t="s">
        <v>22</v>
      </c>
      <c r="AD15" t="s">
        <v>288</v>
      </c>
      <c r="AE15">
        <v>2.3622140886225447E-2</v>
      </c>
      <c r="AG15" t="s">
        <v>96</v>
      </c>
      <c r="AH15" t="s">
        <v>288</v>
      </c>
      <c r="AI15">
        <v>0.18149986904884519</v>
      </c>
      <c r="AK15">
        <v>2020</v>
      </c>
      <c r="AL15" t="s">
        <v>285</v>
      </c>
      <c r="AM15">
        <v>0.10896057347670247</v>
      </c>
      <c r="AN15" t="s">
        <v>281</v>
      </c>
    </row>
    <row r="16" spans="1:40" x14ac:dyDescent="0.45">
      <c r="C16" t="s">
        <v>306</v>
      </c>
      <c r="E16" t="s">
        <v>327</v>
      </c>
      <c r="G16" t="s">
        <v>322</v>
      </c>
      <c r="I16" t="s">
        <v>157</v>
      </c>
      <c r="J16" t="s">
        <v>308</v>
      </c>
      <c r="K16">
        <v>0</v>
      </c>
      <c r="L16" t="s">
        <v>159</v>
      </c>
      <c r="N16" t="s">
        <v>210</v>
      </c>
      <c r="O16" t="s">
        <v>308</v>
      </c>
      <c r="P16">
        <v>8.330194625813174E-2</v>
      </c>
      <c r="Q16" t="s">
        <v>159</v>
      </c>
      <c r="S16" t="s">
        <v>252</v>
      </c>
      <c r="T16" t="s">
        <v>308</v>
      </c>
      <c r="U16">
        <v>0.10723572043552911</v>
      </c>
      <c r="V16" t="s">
        <v>159</v>
      </c>
      <c r="X16">
        <v>9.8173515981735154E-2</v>
      </c>
      <c r="Y16">
        <v>7.4120113699458839E-2</v>
      </c>
      <c r="Z16" t="s">
        <v>308</v>
      </c>
      <c r="AA16" t="s">
        <v>25</v>
      </c>
      <c r="AC16" t="s">
        <v>22</v>
      </c>
      <c r="AD16" t="s">
        <v>308</v>
      </c>
      <c r="AE16">
        <v>9.4177559096817604E-2</v>
      </c>
      <c r="AG16" t="s">
        <v>96</v>
      </c>
      <c r="AH16" t="s">
        <v>308</v>
      </c>
      <c r="AI16">
        <v>0.2574676103357334</v>
      </c>
      <c r="AK16">
        <v>2020</v>
      </c>
      <c r="AL16" t="s">
        <v>306</v>
      </c>
      <c r="AM16">
        <v>0.1075268817204301</v>
      </c>
      <c r="AN16" t="s">
        <v>281</v>
      </c>
    </row>
    <row r="17" spans="5:40" x14ac:dyDescent="0.45">
      <c r="E17" t="s">
        <v>328</v>
      </c>
      <c r="G17" t="s">
        <v>322</v>
      </c>
      <c r="I17" t="s">
        <v>157</v>
      </c>
      <c r="J17" t="s">
        <v>162</v>
      </c>
      <c r="K17">
        <v>0</v>
      </c>
      <c r="L17" t="s">
        <v>159</v>
      </c>
      <c r="N17" t="s">
        <v>210</v>
      </c>
      <c r="O17" t="s">
        <v>162</v>
      </c>
      <c r="P17">
        <v>2.1962824095446695E-2</v>
      </c>
      <c r="Q17" t="s">
        <v>159</v>
      </c>
      <c r="S17" t="s">
        <v>252</v>
      </c>
      <c r="T17" t="s">
        <v>162</v>
      </c>
      <c r="U17">
        <v>2.1078152903484797E-2</v>
      </c>
      <c r="V17" t="s">
        <v>159</v>
      </c>
      <c r="X17">
        <v>2.3173515981735161E-2</v>
      </c>
      <c r="Y17">
        <v>9.151646238884887E-3</v>
      </c>
      <c r="Z17" t="s">
        <v>162</v>
      </c>
      <c r="AA17" t="s">
        <v>25</v>
      </c>
      <c r="AC17" t="s">
        <v>22</v>
      </c>
      <c r="AD17" t="s">
        <v>162</v>
      </c>
      <c r="AE17">
        <v>1.8479312345862229E-2</v>
      </c>
      <c r="AG17" t="s">
        <v>96</v>
      </c>
      <c r="AH17" t="s">
        <v>162</v>
      </c>
      <c r="AI17">
        <v>0.27258673246716114</v>
      </c>
      <c r="AK17">
        <v>2021</v>
      </c>
      <c r="AL17" t="s">
        <v>148</v>
      </c>
      <c r="AM17">
        <v>0.30278204471752856</v>
      </c>
      <c r="AN17" t="s">
        <v>281</v>
      </c>
    </row>
    <row r="18" spans="5:40" x14ac:dyDescent="0.45">
      <c r="E18" t="s">
        <v>329</v>
      </c>
      <c r="G18" t="s">
        <v>322</v>
      </c>
      <c r="I18" t="s">
        <v>157</v>
      </c>
      <c r="J18" t="s">
        <v>163</v>
      </c>
      <c r="K18">
        <v>3.3819392032530668E-3</v>
      </c>
      <c r="L18" t="s">
        <v>159</v>
      </c>
      <c r="N18" t="s">
        <v>210</v>
      </c>
      <c r="O18" t="s">
        <v>163</v>
      </c>
      <c r="P18">
        <v>3.0523597462209988E-3</v>
      </c>
      <c r="Q18" t="s">
        <v>159</v>
      </c>
      <c r="S18" t="s">
        <v>252</v>
      </c>
      <c r="T18" t="s">
        <v>163</v>
      </c>
      <c r="U18">
        <v>2.7377893105096631E-3</v>
      </c>
      <c r="V18" t="s">
        <v>159</v>
      </c>
      <c r="X18">
        <v>3.3105022831050228E-3</v>
      </c>
      <c r="Y18">
        <v>5.5275174236962274E-3</v>
      </c>
      <c r="Z18" t="s">
        <v>163</v>
      </c>
      <c r="AA18" t="s">
        <v>25</v>
      </c>
      <c r="AC18" t="s">
        <v>22</v>
      </c>
      <c r="AD18" t="s">
        <v>163</v>
      </c>
      <c r="AE18">
        <v>4.1630633089424322E-3</v>
      </c>
      <c r="AG18" t="s">
        <v>96</v>
      </c>
      <c r="AH18" t="s">
        <v>163</v>
      </c>
      <c r="AI18">
        <v>7.9449015915598276E-2</v>
      </c>
      <c r="AK18">
        <v>2021</v>
      </c>
      <c r="AL18" t="s">
        <v>152</v>
      </c>
      <c r="AM18">
        <v>6.3620071684587748E-2</v>
      </c>
      <c r="AN18" t="s">
        <v>281</v>
      </c>
    </row>
    <row r="19" spans="5:40" x14ac:dyDescent="0.45">
      <c r="E19" t="s">
        <v>330</v>
      </c>
      <c r="G19" t="s">
        <v>322</v>
      </c>
      <c r="I19" t="s">
        <v>157</v>
      </c>
      <c r="J19" t="s">
        <v>164</v>
      </c>
      <c r="K19">
        <v>4.7253695010368101E-2</v>
      </c>
      <c r="L19" t="s">
        <v>159</v>
      </c>
      <c r="N19" t="s">
        <v>210</v>
      </c>
      <c r="O19" t="s">
        <v>164</v>
      </c>
      <c r="P19">
        <v>3.8248342233248432E-2</v>
      </c>
      <c r="Q19" t="s">
        <v>159</v>
      </c>
      <c r="S19" t="s">
        <v>252</v>
      </c>
      <c r="T19" t="s">
        <v>164</v>
      </c>
      <c r="U19">
        <v>2.5203563058095152E-2</v>
      </c>
      <c r="V19" t="s">
        <v>159</v>
      </c>
      <c r="X19">
        <v>2.9794520547945205E-2</v>
      </c>
      <c r="Y19">
        <v>4.0836337418889694E-2</v>
      </c>
      <c r="Z19" t="s">
        <v>164</v>
      </c>
      <c r="AA19" t="s">
        <v>25</v>
      </c>
      <c r="AC19" t="s">
        <v>22</v>
      </c>
      <c r="AD19" t="s">
        <v>164</v>
      </c>
      <c r="AE19">
        <v>3.6284594841451086E-2</v>
      </c>
      <c r="AG19" t="s">
        <v>96</v>
      </c>
      <c r="AH19" t="s">
        <v>164</v>
      </c>
      <c r="AI19">
        <v>0.10416956440087444</v>
      </c>
      <c r="AK19">
        <v>2021</v>
      </c>
      <c r="AL19" t="s">
        <v>154</v>
      </c>
      <c r="AM19">
        <v>7.1684587813619999E-2</v>
      </c>
      <c r="AN19" t="s">
        <v>281</v>
      </c>
    </row>
    <row r="20" spans="5:40" x14ac:dyDescent="0.45">
      <c r="E20" t="s">
        <v>331</v>
      </c>
      <c r="G20" t="s">
        <v>322</v>
      </c>
      <c r="I20" t="s">
        <v>157</v>
      </c>
      <c r="J20" t="s">
        <v>289</v>
      </c>
      <c r="K20">
        <v>2.6615483727744885E-3</v>
      </c>
      <c r="L20" t="s">
        <v>159</v>
      </c>
      <c r="N20" t="s">
        <v>210</v>
      </c>
      <c r="O20" t="s">
        <v>289</v>
      </c>
      <c r="P20">
        <v>3.7537082540406398E-3</v>
      </c>
      <c r="Q20" t="s">
        <v>159</v>
      </c>
      <c r="S20" t="s">
        <v>252</v>
      </c>
      <c r="T20" t="s">
        <v>289</v>
      </c>
      <c r="U20">
        <v>2.9131263041323636E-3</v>
      </c>
      <c r="V20" t="s">
        <v>159</v>
      </c>
      <c r="X20">
        <v>3.3105022831050228E-3</v>
      </c>
      <c r="Y20">
        <v>6.4407594328286487E-3</v>
      </c>
      <c r="Z20" t="s">
        <v>289</v>
      </c>
      <c r="AA20" t="s">
        <v>25</v>
      </c>
      <c r="AC20" t="s">
        <v>22</v>
      </c>
      <c r="AD20" t="s">
        <v>289</v>
      </c>
      <c r="AE20">
        <v>4.6536089747458475E-3</v>
      </c>
      <c r="AG20" t="s">
        <v>96</v>
      </c>
      <c r="AH20" t="s">
        <v>289</v>
      </c>
      <c r="AI20">
        <v>6.1841620836389444E-2</v>
      </c>
      <c r="AK20">
        <v>2021</v>
      </c>
      <c r="AL20" t="s">
        <v>283</v>
      </c>
      <c r="AM20">
        <v>7.1684587813619999E-2</v>
      </c>
      <c r="AN20" t="s">
        <v>281</v>
      </c>
    </row>
    <row r="21" spans="5:40" x14ac:dyDescent="0.45">
      <c r="E21" t="s">
        <v>332</v>
      </c>
      <c r="G21" t="s">
        <v>322</v>
      </c>
      <c r="I21" t="s">
        <v>157</v>
      </c>
      <c r="J21" t="s">
        <v>290</v>
      </c>
      <c r="K21">
        <v>0</v>
      </c>
      <c r="L21" t="s">
        <v>159</v>
      </c>
      <c r="N21" t="s">
        <v>210</v>
      </c>
      <c r="O21" t="s">
        <v>290</v>
      </c>
      <c r="P21">
        <v>3.5207257975832925E-3</v>
      </c>
      <c r="Q21" t="s">
        <v>159</v>
      </c>
      <c r="S21" t="s">
        <v>252</v>
      </c>
      <c r="T21" t="s">
        <v>290</v>
      </c>
      <c r="U21">
        <v>2.9981025224388377E-3</v>
      </c>
      <c r="V21" t="s">
        <v>159</v>
      </c>
      <c r="X21">
        <v>3.3105022831050228E-3</v>
      </c>
      <c r="Y21">
        <v>4.9987983657774574E-3</v>
      </c>
      <c r="Z21" t="s">
        <v>290</v>
      </c>
      <c r="AA21" t="s">
        <v>25</v>
      </c>
      <c r="AC21" t="s">
        <v>22</v>
      </c>
      <c r="AD21" t="s">
        <v>290</v>
      </c>
      <c r="AE21">
        <v>4.6015454303184791E-3</v>
      </c>
      <c r="AG21" t="s">
        <v>96</v>
      </c>
      <c r="AH21" t="s">
        <v>290</v>
      </c>
      <c r="AI21">
        <v>7.1719529629371781E-2</v>
      </c>
      <c r="AK21">
        <v>2021</v>
      </c>
      <c r="AL21" t="s">
        <v>285</v>
      </c>
      <c r="AM21">
        <v>0.20573476702508958</v>
      </c>
      <c r="AN21" t="s">
        <v>281</v>
      </c>
    </row>
    <row r="22" spans="5:40" x14ac:dyDescent="0.45">
      <c r="E22" t="s">
        <v>333</v>
      </c>
      <c r="G22" t="s">
        <v>322</v>
      </c>
      <c r="I22" t="s">
        <v>157</v>
      </c>
      <c r="J22" t="s">
        <v>309</v>
      </c>
      <c r="K22">
        <v>0</v>
      </c>
      <c r="L22" t="s">
        <v>159</v>
      </c>
      <c r="N22" t="s">
        <v>210</v>
      </c>
      <c r="O22" t="s">
        <v>309</v>
      </c>
      <c r="P22">
        <v>1.5225265413302E-2</v>
      </c>
      <c r="Q22" t="s">
        <v>159</v>
      </c>
      <c r="S22" t="s">
        <v>252</v>
      </c>
      <c r="T22" t="s">
        <v>309</v>
      </c>
      <c r="U22">
        <v>1.6010950352849121E-2</v>
      </c>
      <c r="V22" t="s">
        <v>159</v>
      </c>
      <c r="X22">
        <v>1.6552511415525113E-2</v>
      </c>
      <c r="Y22">
        <v>1.2496995914443643E-2</v>
      </c>
      <c r="Z22" t="s">
        <v>309</v>
      </c>
      <c r="AA22" t="s">
        <v>25</v>
      </c>
      <c r="AC22" t="s">
        <v>22</v>
      </c>
      <c r="AD22" t="s">
        <v>309</v>
      </c>
      <c r="AE22">
        <v>1.7345383273014072E-2</v>
      </c>
      <c r="AG22" t="s">
        <v>96</v>
      </c>
      <c r="AH22" t="s">
        <v>309</v>
      </c>
      <c r="AI22">
        <v>0.19328644964837238</v>
      </c>
      <c r="AK22">
        <v>2021</v>
      </c>
      <c r="AL22" t="s">
        <v>306</v>
      </c>
      <c r="AM22">
        <v>0.60931899641577059</v>
      </c>
      <c r="AN22" t="s">
        <v>281</v>
      </c>
    </row>
    <row r="23" spans="5:40" x14ac:dyDescent="0.45">
      <c r="E23" t="s">
        <v>334</v>
      </c>
      <c r="G23" t="s">
        <v>322</v>
      </c>
      <c r="I23" t="s">
        <v>157</v>
      </c>
      <c r="J23" t="s">
        <v>346</v>
      </c>
      <c r="K23">
        <v>0</v>
      </c>
      <c r="L23" t="s">
        <v>159</v>
      </c>
      <c r="N23" t="s">
        <v>210</v>
      </c>
      <c r="O23" t="s">
        <v>346</v>
      </c>
      <c r="P23">
        <v>1.2212841400342936E-5</v>
      </c>
      <c r="Q23" t="s">
        <v>159</v>
      </c>
      <c r="S23" t="s">
        <v>252</v>
      </c>
      <c r="T23" t="s">
        <v>346</v>
      </c>
      <c r="U23">
        <v>5.9352950666410445E-5</v>
      </c>
      <c r="V23" t="s">
        <v>159</v>
      </c>
      <c r="X23">
        <v>1.1415525114155251E-4</v>
      </c>
      <c r="Y23">
        <v>2.1546544680075254E-5</v>
      </c>
      <c r="Z23" t="s">
        <v>346</v>
      </c>
      <c r="AA23" t="s">
        <v>25</v>
      </c>
      <c r="AC23" t="s">
        <v>22</v>
      </c>
      <c r="AD23" t="s">
        <v>346</v>
      </c>
      <c r="AE23">
        <v>7.4782946915671569E-5</v>
      </c>
      <c r="AG23" t="s">
        <v>96</v>
      </c>
      <c r="AH23" t="s">
        <v>346</v>
      </c>
      <c r="AI23">
        <v>0</v>
      </c>
      <c r="AK23">
        <v>2022</v>
      </c>
      <c r="AL23" t="s">
        <v>148</v>
      </c>
      <c r="AM23">
        <v>0.64720230983671845</v>
      </c>
      <c r="AN23" t="s">
        <v>281</v>
      </c>
    </row>
    <row r="24" spans="5:40" x14ac:dyDescent="0.45">
      <c r="E24" t="s">
        <v>335</v>
      </c>
      <c r="G24" t="s">
        <v>322</v>
      </c>
      <c r="I24" t="s">
        <v>157</v>
      </c>
      <c r="J24" t="s">
        <v>347</v>
      </c>
      <c r="K24">
        <v>0</v>
      </c>
      <c r="L24" t="s">
        <v>159</v>
      </c>
      <c r="N24" t="s">
        <v>210</v>
      </c>
      <c r="O24" t="s">
        <v>347</v>
      </c>
      <c r="P24">
        <v>2.4164004112886594E-5</v>
      </c>
      <c r="Q24" t="s">
        <v>159</v>
      </c>
      <c r="S24" t="s">
        <v>252</v>
      </c>
      <c r="T24" t="s">
        <v>347</v>
      </c>
      <c r="U24">
        <v>4.8495257022845616E-5</v>
      </c>
      <c r="V24" t="s">
        <v>159</v>
      </c>
      <c r="X24">
        <v>1.1415525114155251E-4</v>
      </c>
      <c r="Y24">
        <v>1.4916838624667481E-5</v>
      </c>
      <c r="Z24" t="s">
        <v>347</v>
      </c>
      <c r="AA24" t="s">
        <v>25</v>
      </c>
      <c r="AC24" t="s">
        <v>22</v>
      </c>
      <c r="AD24" t="s">
        <v>347</v>
      </c>
      <c r="AE24">
        <v>7.3954302625767629E-5</v>
      </c>
      <c r="AG24" t="s">
        <v>96</v>
      </c>
      <c r="AH24" t="s">
        <v>347</v>
      </c>
      <c r="AI24">
        <v>0</v>
      </c>
      <c r="AK24">
        <v>2022</v>
      </c>
      <c r="AL24" t="s">
        <v>152</v>
      </c>
      <c r="AM24">
        <v>0.20161290322580638</v>
      </c>
      <c r="AN24" t="s">
        <v>281</v>
      </c>
    </row>
    <row r="25" spans="5:40" x14ac:dyDescent="0.45">
      <c r="E25" t="s">
        <v>336</v>
      </c>
      <c r="G25" t="s">
        <v>322</v>
      </c>
      <c r="I25" t="s">
        <v>157</v>
      </c>
      <c r="J25" t="s">
        <v>348</v>
      </c>
      <c r="K25">
        <v>0</v>
      </c>
      <c r="L25" t="s">
        <v>159</v>
      </c>
      <c r="N25" t="s">
        <v>210</v>
      </c>
      <c r="O25" t="s">
        <v>348</v>
      </c>
      <c r="P25">
        <v>3.5997670561784587E-5</v>
      </c>
      <c r="Q25" t="s">
        <v>159</v>
      </c>
      <c r="S25" t="s">
        <v>252</v>
      </c>
      <c r="T25" t="s">
        <v>348</v>
      </c>
      <c r="U25">
        <v>3.9027150487935851E-5</v>
      </c>
      <c r="V25" t="s">
        <v>159</v>
      </c>
      <c r="X25">
        <v>1.1415525114155251E-4</v>
      </c>
      <c r="Y25">
        <v>1.6574265138519424E-5</v>
      </c>
      <c r="Z25" t="s">
        <v>348</v>
      </c>
      <c r="AA25" t="s">
        <v>25</v>
      </c>
      <c r="AC25" t="s">
        <v>22</v>
      </c>
      <c r="AD25" t="s">
        <v>348</v>
      </c>
      <c r="AE25">
        <v>7.3954302625767629E-5</v>
      </c>
      <c r="AG25" t="s">
        <v>96</v>
      </c>
      <c r="AH25" t="s">
        <v>348</v>
      </c>
      <c r="AI25">
        <v>0</v>
      </c>
      <c r="AK25">
        <v>2022</v>
      </c>
      <c r="AL25" t="s">
        <v>154</v>
      </c>
      <c r="AM25">
        <v>0.12544802867383509</v>
      </c>
      <c r="AN25" t="s">
        <v>281</v>
      </c>
    </row>
    <row r="26" spans="5:40" x14ac:dyDescent="0.45">
      <c r="E26" t="s">
        <v>337</v>
      </c>
      <c r="G26" t="s">
        <v>322</v>
      </c>
      <c r="I26" t="s">
        <v>157</v>
      </c>
      <c r="J26" t="s">
        <v>349</v>
      </c>
      <c r="K26">
        <v>0</v>
      </c>
      <c r="L26" t="s">
        <v>159</v>
      </c>
      <c r="N26" t="s">
        <v>210</v>
      </c>
      <c r="O26" t="s">
        <v>349</v>
      </c>
      <c r="P26">
        <v>3.9985635128079406E-5</v>
      </c>
      <c r="Q26" t="s">
        <v>159</v>
      </c>
      <c r="S26" t="s">
        <v>252</v>
      </c>
      <c r="T26" t="s">
        <v>349</v>
      </c>
      <c r="U26">
        <v>3.4616291772290338E-5</v>
      </c>
      <c r="V26" t="s">
        <v>159</v>
      </c>
      <c r="X26">
        <v>1.1415525114155251E-4</v>
      </c>
      <c r="Y26">
        <v>1.4585353321897093E-5</v>
      </c>
      <c r="Z26" t="s">
        <v>349</v>
      </c>
      <c r="AA26" t="s">
        <v>25</v>
      </c>
      <c r="AC26" t="s">
        <v>22</v>
      </c>
      <c r="AD26" t="s">
        <v>349</v>
      </c>
      <c r="AE26">
        <v>7.8679338151177303E-5</v>
      </c>
      <c r="AG26" t="s">
        <v>96</v>
      </c>
      <c r="AH26" t="s">
        <v>349</v>
      </c>
      <c r="AI26">
        <v>0</v>
      </c>
      <c r="AK26">
        <v>2022</v>
      </c>
      <c r="AL26" t="s">
        <v>283</v>
      </c>
      <c r="AM26">
        <v>0.12544802867383509</v>
      </c>
      <c r="AN26" t="s">
        <v>281</v>
      </c>
    </row>
    <row r="27" spans="5:40" x14ac:dyDescent="0.45">
      <c r="E27" t="s">
        <v>338</v>
      </c>
      <c r="G27" t="s">
        <v>322</v>
      </c>
      <c r="I27" t="s">
        <v>157</v>
      </c>
      <c r="J27" t="s">
        <v>350</v>
      </c>
      <c r="K27">
        <v>0</v>
      </c>
      <c r="L27" t="s">
        <v>159</v>
      </c>
      <c r="N27" t="s">
        <v>210</v>
      </c>
      <c r="O27" t="s">
        <v>350</v>
      </c>
      <c r="P27">
        <v>3.6644508510243994E-5</v>
      </c>
      <c r="Q27" t="s">
        <v>159</v>
      </c>
      <c r="S27" t="s">
        <v>252</v>
      </c>
      <c r="T27" t="s">
        <v>350</v>
      </c>
      <c r="U27">
        <v>2.9659688238076605E-5</v>
      </c>
      <c r="V27" t="s">
        <v>159</v>
      </c>
      <c r="X27">
        <v>1.1415525114155251E-4</v>
      </c>
      <c r="Y27">
        <v>2.1215059377304864E-5</v>
      </c>
      <c r="Z27" t="s">
        <v>350</v>
      </c>
      <c r="AA27" t="s">
        <v>25</v>
      </c>
      <c r="AC27" t="s">
        <v>22</v>
      </c>
      <c r="AD27" t="s">
        <v>350</v>
      </c>
      <c r="AE27">
        <v>1.0045328917312115E-4</v>
      </c>
      <c r="AG27" t="s">
        <v>96</v>
      </c>
      <c r="AH27" t="s">
        <v>350</v>
      </c>
      <c r="AI27">
        <v>0</v>
      </c>
      <c r="AK27">
        <v>2022</v>
      </c>
      <c r="AL27" t="s">
        <v>285</v>
      </c>
      <c r="AM27">
        <v>0.34528076463560337</v>
      </c>
      <c r="AN27" t="s">
        <v>281</v>
      </c>
    </row>
    <row r="28" spans="5:40" x14ac:dyDescent="0.45">
      <c r="E28" t="s">
        <v>339</v>
      </c>
      <c r="G28" t="s">
        <v>322</v>
      </c>
      <c r="I28" t="s">
        <v>157</v>
      </c>
      <c r="J28" t="s">
        <v>351</v>
      </c>
      <c r="K28">
        <v>0</v>
      </c>
      <c r="L28" t="s">
        <v>159</v>
      </c>
      <c r="N28" t="s">
        <v>210</v>
      </c>
      <c r="O28" t="s">
        <v>351</v>
      </c>
      <c r="P28">
        <v>3.2058883316759591E-5</v>
      </c>
      <c r="Q28" t="s">
        <v>159</v>
      </c>
      <c r="S28" t="s">
        <v>252</v>
      </c>
      <c r="T28" t="s">
        <v>351</v>
      </c>
      <c r="U28">
        <v>2.1489398589724574E-5</v>
      </c>
      <c r="V28" t="s">
        <v>159</v>
      </c>
      <c r="X28">
        <v>1.1415525114155251E-4</v>
      </c>
      <c r="Y28">
        <v>5.7678442682047593E-5</v>
      </c>
      <c r="Z28" t="s">
        <v>351</v>
      </c>
      <c r="AA28" t="s">
        <v>25</v>
      </c>
      <c r="AC28" t="s">
        <v>22</v>
      </c>
      <c r="AD28" t="s">
        <v>351</v>
      </c>
      <c r="AE28">
        <v>1.1989410698164751E-4</v>
      </c>
      <c r="AG28" t="s">
        <v>96</v>
      </c>
      <c r="AH28" t="s">
        <v>351</v>
      </c>
      <c r="AI28">
        <v>0</v>
      </c>
      <c r="AK28">
        <v>2022</v>
      </c>
      <c r="AL28" t="s">
        <v>306</v>
      </c>
      <c r="AM28">
        <v>0.73476702508960567</v>
      </c>
      <c r="AN28" t="s">
        <v>281</v>
      </c>
    </row>
    <row r="29" spans="5:40" x14ac:dyDescent="0.45">
      <c r="E29" t="s">
        <v>340</v>
      </c>
      <c r="G29" t="s">
        <v>322</v>
      </c>
      <c r="I29" t="s">
        <v>157</v>
      </c>
      <c r="J29" t="s">
        <v>352</v>
      </c>
      <c r="K29">
        <v>0</v>
      </c>
      <c r="L29" t="s">
        <v>159</v>
      </c>
      <c r="N29" t="s">
        <v>210</v>
      </c>
      <c r="O29" t="s">
        <v>352</v>
      </c>
      <c r="P29">
        <v>2.6123799151961444E-5</v>
      </c>
      <c r="Q29" t="s">
        <v>159</v>
      </c>
      <c r="S29" t="s">
        <v>252</v>
      </c>
      <c r="T29" t="s">
        <v>352</v>
      </c>
      <c r="U29">
        <v>1.3575356178352492E-5</v>
      </c>
      <c r="V29" t="s">
        <v>159</v>
      </c>
      <c r="X29">
        <v>1.1415525114155251E-4</v>
      </c>
      <c r="Y29">
        <v>1.6905750441289813E-4</v>
      </c>
      <c r="Z29" t="s">
        <v>352</v>
      </c>
      <c r="AA29" t="s">
        <v>25</v>
      </c>
      <c r="AC29" t="s">
        <v>22</v>
      </c>
      <c r="AD29" t="s">
        <v>352</v>
      </c>
      <c r="AE29">
        <v>1.4286107070465872E-4</v>
      </c>
      <c r="AG29" t="s">
        <v>96</v>
      </c>
      <c r="AH29" t="s">
        <v>352</v>
      </c>
      <c r="AI29">
        <v>0</v>
      </c>
      <c r="AK29">
        <v>2025</v>
      </c>
      <c r="AL29" t="s">
        <v>148</v>
      </c>
      <c r="AM29">
        <v>0.31746666666666667</v>
      </c>
      <c r="AN29" t="s">
        <v>281</v>
      </c>
    </row>
    <row r="30" spans="5:40" x14ac:dyDescent="0.45">
      <c r="E30" t="s">
        <v>341</v>
      </c>
      <c r="G30" t="s">
        <v>322</v>
      </c>
      <c r="I30" t="s">
        <v>157</v>
      </c>
      <c r="J30" t="s">
        <v>353</v>
      </c>
      <c r="K30">
        <v>1.1865007553254227E-4</v>
      </c>
      <c r="L30" t="s">
        <v>159</v>
      </c>
      <c r="N30" t="s">
        <v>210</v>
      </c>
      <c r="O30" t="s">
        <v>353</v>
      </c>
      <c r="P30">
        <v>2.5140759141360918E-5</v>
      </c>
      <c r="Q30" t="s">
        <v>159</v>
      </c>
      <c r="S30" t="s">
        <v>252</v>
      </c>
      <c r="T30" t="s">
        <v>353</v>
      </c>
      <c r="U30">
        <v>7.4359247814341656E-6</v>
      </c>
      <c r="V30" t="s">
        <v>159</v>
      </c>
      <c r="X30">
        <v>1.1415525114155251E-4</v>
      </c>
      <c r="Y30">
        <v>1.9060404909297337E-4</v>
      </c>
      <c r="Z30" t="s">
        <v>353</v>
      </c>
      <c r="AA30" t="s">
        <v>25</v>
      </c>
      <c r="AC30" t="s">
        <v>22</v>
      </c>
      <c r="AD30" t="s">
        <v>353</v>
      </c>
      <c r="AE30">
        <v>1.5921651083801089E-4</v>
      </c>
      <c r="AG30" t="s">
        <v>96</v>
      </c>
      <c r="AH30" t="s">
        <v>353</v>
      </c>
      <c r="AI30">
        <v>0</v>
      </c>
      <c r="AK30">
        <v>2025</v>
      </c>
      <c r="AL30" t="s">
        <v>152</v>
      </c>
      <c r="AM30">
        <v>0.11524999999999999</v>
      </c>
      <c r="AN30" t="s">
        <v>281</v>
      </c>
    </row>
    <row r="31" spans="5:40" x14ac:dyDescent="0.45">
      <c r="E31" t="s">
        <v>342</v>
      </c>
      <c r="G31" t="s">
        <v>322</v>
      </c>
      <c r="I31" t="s">
        <v>157</v>
      </c>
      <c r="J31" t="s">
        <v>354</v>
      </c>
      <c r="K31">
        <v>1.6887171747241567E-4</v>
      </c>
      <c r="L31" t="s">
        <v>159</v>
      </c>
      <c r="N31" t="s">
        <v>210</v>
      </c>
      <c r="O31" t="s">
        <v>354</v>
      </c>
      <c r="P31">
        <v>2.4980156571578929E-5</v>
      </c>
      <c r="Q31" t="s">
        <v>159</v>
      </c>
      <c r="S31" t="s">
        <v>252</v>
      </c>
      <c r="T31" t="s">
        <v>354</v>
      </c>
      <c r="U31">
        <v>4.5365614401397077E-6</v>
      </c>
      <c r="V31" t="s">
        <v>159</v>
      </c>
      <c r="X31">
        <v>1.1415525114155251E-4</v>
      </c>
      <c r="Y31">
        <v>1.4585353321897094E-4</v>
      </c>
      <c r="Z31" t="s">
        <v>354</v>
      </c>
      <c r="AA31" t="s">
        <v>25</v>
      </c>
      <c r="AC31" t="s">
        <v>22</v>
      </c>
      <c r="AD31" t="s">
        <v>354</v>
      </c>
      <c r="AE31">
        <v>1.5644848629514031E-4</v>
      </c>
      <c r="AG31" t="s">
        <v>96</v>
      </c>
      <c r="AH31" t="s">
        <v>354</v>
      </c>
      <c r="AI31">
        <v>0</v>
      </c>
      <c r="AK31">
        <v>2025</v>
      </c>
      <c r="AL31" t="s">
        <v>154</v>
      </c>
      <c r="AM31">
        <v>9.7500000000000003E-2</v>
      </c>
      <c r="AN31" t="s">
        <v>281</v>
      </c>
    </row>
    <row r="32" spans="5:40" x14ac:dyDescent="0.45">
      <c r="E32" t="s">
        <v>343</v>
      </c>
      <c r="G32" t="s">
        <v>322</v>
      </c>
      <c r="I32" t="s">
        <v>157</v>
      </c>
      <c r="J32" t="s">
        <v>355</v>
      </c>
      <c r="K32">
        <v>1.7422535120753305E-4</v>
      </c>
      <c r="L32" t="s">
        <v>159</v>
      </c>
      <c r="N32" t="s">
        <v>210</v>
      </c>
      <c r="O32" t="s">
        <v>355</v>
      </c>
      <c r="P32">
        <v>2.253025218822845E-5</v>
      </c>
      <c r="Q32" t="s">
        <v>159</v>
      </c>
      <c r="S32" t="s">
        <v>252</v>
      </c>
      <c r="T32" t="s">
        <v>355</v>
      </c>
      <c r="U32">
        <v>4.212018661401211E-6</v>
      </c>
      <c r="V32" t="s">
        <v>159</v>
      </c>
      <c r="X32">
        <v>1.1415525114155251E-4</v>
      </c>
      <c r="Y32">
        <v>1.4452759200788939E-4</v>
      </c>
      <c r="Z32" t="s">
        <v>355</v>
      </c>
      <c r="AA32" t="s">
        <v>25</v>
      </c>
      <c r="AC32" t="s">
        <v>22</v>
      </c>
      <c r="AD32" t="s">
        <v>355</v>
      </c>
      <c r="AE32">
        <v>1.4437143653802975E-4</v>
      </c>
      <c r="AG32" t="s">
        <v>96</v>
      </c>
      <c r="AH32" t="s">
        <v>355</v>
      </c>
      <c r="AI32">
        <v>0</v>
      </c>
      <c r="AK32">
        <v>2025</v>
      </c>
      <c r="AL32" t="s">
        <v>283</v>
      </c>
      <c r="AM32">
        <v>0.1051</v>
      </c>
      <c r="AN32" t="s">
        <v>281</v>
      </c>
    </row>
    <row r="33" spans="5:40" x14ac:dyDescent="0.45">
      <c r="E33" t="s">
        <v>344</v>
      </c>
      <c r="G33" t="s">
        <v>322</v>
      </c>
      <c r="I33" t="s">
        <v>157</v>
      </c>
      <c r="J33" t="s">
        <v>356</v>
      </c>
      <c r="K33">
        <v>1.7664016663530168E-4</v>
      </c>
      <c r="L33" t="s">
        <v>159</v>
      </c>
      <c r="N33" t="s">
        <v>210</v>
      </c>
      <c r="O33" t="s">
        <v>356</v>
      </c>
      <c r="P33">
        <v>5.7034376407578349E-6</v>
      </c>
      <c r="Q33" t="s">
        <v>159</v>
      </c>
      <c r="S33" t="s">
        <v>252</v>
      </c>
      <c r="T33" t="s">
        <v>356</v>
      </c>
      <c r="U33">
        <v>4.627317736273848E-6</v>
      </c>
      <c r="V33" t="s">
        <v>159</v>
      </c>
      <c r="X33">
        <v>1.1415525114155251E-4</v>
      </c>
      <c r="Y33">
        <v>1.408812536774151E-4</v>
      </c>
      <c r="Z33" t="s">
        <v>356</v>
      </c>
      <c r="AA33" t="s">
        <v>25</v>
      </c>
      <c r="AC33" t="s">
        <v>22</v>
      </c>
      <c r="AD33" t="s">
        <v>356</v>
      </c>
      <c r="AE33">
        <v>1.4274940941736675E-4</v>
      </c>
      <c r="AG33" t="s">
        <v>96</v>
      </c>
      <c r="AH33" t="s">
        <v>356</v>
      </c>
      <c r="AI33">
        <v>0</v>
      </c>
      <c r="AK33">
        <v>2025</v>
      </c>
      <c r="AL33" t="s">
        <v>285</v>
      </c>
      <c r="AM33">
        <v>0.16147999999999998</v>
      </c>
      <c r="AN33" t="s">
        <v>281</v>
      </c>
    </row>
    <row r="34" spans="5:40" x14ac:dyDescent="0.45">
      <c r="E34" t="s">
        <v>345</v>
      </c>
      <c r="G34" t="s">
        <v>322</v>
      </c>
      <c r="I34" t="s">
        <v>157</v>
      </c>
      <c r="J34" t="s">
        <v>357</v>
      </c>
      <c r="K34">
        <v>1.9212365324954077E-4</v>
      </c>
      <c r="L34" t="s">
        <v>159</v>
      </c>
      <c r="N34" t="s">
        <v>210</v>
      </c>
      <c r="O34" t="s">
        <v>357</v>
      </c>
      <c r="P34">
        <v>6.6069555934007912E-6</v>
      </c>
      <c r="Q34" t="s">
        <v>159</v>
      </c>
      <c r="S34" t="s">
        <v>252</v>
      </c>
      <c r="T34" t="s">
        <v>357</v>
      </c>
      <c r="U34">
        <v>6.4663249384127793E-6</v>
      </c>
      <c r="V34" t="s">
        <v>159</v>
      </c>
      <c r="X34">
        <v>1.1415525114155251E-4</v>
      </c>
      <c r="Y34">
        <v>1.4054976837464471E-4</v>
      </c>
      <c r="Z34" t="s">
        <v>357</v>
      </c>
      <c r="AA34" t="s">
        <v>25</v>
      </c>
      <c r="AC34" t="s">
        <v>22</v>
      </c>
      <c r="AD34" t="s">
        <v>357</v>
      </c>
      <c r="AE34">
        <v>1.4311965473838765E-4</v>
      </c>
      <c r="AG34" t="s">
        <v>96</v>
      </c>
      <c r="AH34" t="s">
        <v>357</v>
      </c>
      <c r="AI34">
        <v>0</v>
      </c>
      <c r="AK34">
        <v>2025</v>
      </c>
      <c r="AL34" t="s">
        <v>306</v>
      </c>
      <c r="AM34">
        <v>0.29599999999999999</v>
      </c>
      <c r="AN34" t="s">
        <v>281</v>
      </c>
    </row>
    <row r="35" spans="5:40" x14ac:dyDescent="0.45">
      <c r="E35" t="s">
        <v>150</v>
      </c>
      <c r="G35" t="s">
        <v>149</v>
      </c>
      <c r="I35" t="s">
        <v>157</v>
      </c>
      <c r="J35" t="s">
        <v>358</v>
      </c>
      <c r="K35">
        <v>2.2764983457238114E-4</v>
      </c>
      <c r="L35" t="s">
        <v>159</v>
      </c>
      <c r="N35" t="s">
        <v>210</v>
      </c>
      <c r="O35" t="s">
        <v>358</v>
      </c>
      <c r="P35">
        <v>1.7222112360081433E-5</v>
      </c>
      <c r="Q35" t="s">
        <v>159</v>
      </c>
      <c r="S35" t="s">
        <v>252</v>
      </c>
      <c r="T35" t="s">
        <v>358</v>
      </c>
      <c r="U35">
        <v>5.6401219898496423E-6</v>
      </c>
      <c r="V35" t="s">
        <v>159</v>
      </c>
      <c r="X35">
        <v>1.1415525114155251E-4</v>
      </c>
      <c r="Y35">
        <v>1.4253868019126702E-4</v>
      </c>
      <c r="Z35" t="s">
        <v>358</v>
      </c>
      <c r="AA35" t="s">
        <v>25</v>
      </c>
      <c r="AC35" t="s">
        <v>22</v>
      </c>
      <c r="AD35" t="s">
        <v>358</v>
      </c>
      <c r="AE35">
        <v>1.4311965473838765E-4</v>
      </c>
      <c r="AG35" t="s">
        <v>96</v>
      </c>
      <c r="AH35" t="s">
        <v>358</v>
      </c>
      <c r="AI35">
        <v>0</v>
      </c>
      <c r="AK35">
        <v>2026</v>
      </c>
      <c r="AL35" t="s">
        <v>148</v>
      </c>
      <c r="AM35">
        <v>0.30671666666666669</v>
      </c>
      <c r="AN35" t="s">
        <v>281</v>
      </c>
    </row>
    <row r="36" spans="5:40" x14ac:dyDescent="0.45">
      <c r="E36" t="s">
        <v>153</v>
      </c>
      <c r="G36" t="s">
        <v>149</v>
      </c>
      <c r="I36" t="s">
        <v>157</v>
      </c>
      <c r="J36" t="s">
        <v>359</v>
      </c>
      <c r="K36">
        <v>1.8957624546424865E-4</v>
      </c>
      <c r="L36" t="s">
        <v>159</v>
      </c>
      <c r="N36" t="s">
        <v>210</v>
      </c>
      <c r="O36" t="s">
        <v>359</v>
      </c>
      <c r="P36">
        <v>1.9698476563522054E-5</v>
      </c>
      <c r="Q36" t="s">
        <v>159</v>
      </c>
      <c r="S36" t="s">
        <v>252</v>
      </c>
      <c r="T36" t="s">
        <v>359</v>
      </c>
      <c r="U36">
        <v>4.2423226378863292E-6</v>
      </c>
      <c r="V36" t="s">
        <v>159</v>
      </c>
      <c r="X36">
        <v>1.1415525114155251E-4</v>
      </c>
      <c r="Y36">
        <v>1.4883690094390442E-4</v>
      </c>
      <c r="Z36" t="s">
        <v>359</v>
      </c>
      <c r="AA36" t="s">
        <v>25</v>
      </c>
      <c r="AC36" t="s">
        <v>22</v>
      </c>
      <c r="AD36" t="s">
        <v>359</v>
      </c>
      <c r="AE36">
        <v>1.4288457834408865E-4</v>
      </c>
      <c r="AG36" t="s">
        <v>96</v>
      </c>
      <c r="AH36" t="s">
        <v>359</v>
      </c>
      <c r="AI36">
        <v>0</v>
      </c>
      <c r="AK36">
        <v>2026</v>
      </c>
      <c r="AL36" t="s">
        <v>152</v>
      </c>
      <c r="AM36">
        <v>0.1206</v>
      </c>
      <c r="AN36" t="s">
        <v>281</v>
      </c>
    </row>
    <row r="37" spans="5:40" x14ac:dyDescent="0.45">
      <c r="E37" t="s">
        <v>155</v>
      </c>
      <c r="G37" t="s">
        <v>149</v>
      </c>
      <c r="I37" t="s">
        <v>157</v>
      </c>
      <c r="J37" t="s">
        <v>360</v>
      </c>
      <c r="K37">
        <v>1.5758115591993236E-4</v>
      </c>
      <c r="L37" t="s">
        <v>159</v>
      </c>
      <c r="N37" t="s">
        <v>210</v>
      </c>
      <c r="O37" t="s">
        <v>360</v>
      </c>
      <c r="P37">
        <v>2.0573604679079948E-5</v>
      </c>
      <c r="Q37" t="s">
        <v>159</v>
      </c>
      <c r="S37" t="s">
        <v>252</v>
      </c>
      <c r="T37" t="s">
        <v>360</v>
      </c>
      <c r="U37">
        <v>4.0653456545595945E-6</v>
      </c>
      <c r="V37" t="s">
        <v>159</v>
      </c>
      <c r="X37">
        <v>1.1415525114155251E-4</v>
      </c>
      <c r="Y37">
        <v>1.5049432745775637E-4</v>
      </c>
      <c r="Z37" t="s">
        <v>360</v>
      </c>
      <c r="AA37" t="s">
        <v>25</v>
      </c>
      <c r="AC37" t="s">
        <v>22</v>
      </c>
      <c r="AD37" t="s">
        <v>360</v>
      </c>
      <c r="AE37">
        <v>1.4288457834408868E-4</v>
      </c>
      <c r="AG37" t="s">
        <v>96</v>
      </c>
      <c r="AH37" t="s">
        <v>360</v>
      </c>
      <c r="AI37">
        <v>0</v>
      </c>
      <c r="AK37">
        <v>2026</v>
      </c>
      <c r="AL37" t="s">
        <v>154</v>
      </c>
      <c r="AM37">
        <v>9.5500000000000002E-2</v>
      </c>
      <c r="AN37" t="s">
        <v>281</v>
      </c>
    </row>
    <row r="38" spans="5:40" x14ac:dyDescent="0.45">
      <c r="E38" t="s">
        <v>284</v>
      </c>
      <c r="G38" t="s">
        <v>149</v>
      </c>
      <c r="I38" t="s">
        <v>157</v>
      </c>
      <c r="J38" t="s">
        <v>361</v>
      </c>
      <c r="K38">
        <v>1.5250920501521276E-4</v>
      </c>
      <c r="L38" t="s">
        <v>159</v>
      </c>
      <c r="N38" t="s">
        <v>210</v>
      </c>
      <c r="O38" t="s">
        <v>361</v>
      </c>
      <c r="P38">
        <v>1.9104308865280989E-5</v>
      </c>
      <c r="Q38" t="s">
        <v>159</v>
      </c>
      <c r="S38" t="s">
        <v>252</v>
      </c>
      <c r="T38" t="s">
        <v>361</v>
      </c>
      <c r="U38">
        <v>6.605950224617037E-6</v>
      </c>
      <c r="V38" t="s">
        <v>159</v>
      </c>
      <c r="X38">
        <v>1.1415525114155251E-4</v>
      </c>
      <c r="Y38">
        <v>1.7237235744060203E-4</v>
      </c>
      <c r="Z38" t="s">
        <v>361</v>
      </c>
      <c r="AA38" t="s">
        <v>25</v>
      </c>
      <c r="AC38" t="s">
        <v>22</v>
      </c>
      <c r="AD38" t="s">
        <v>361</v>
      </c>
      <c r="AE38">
        <v>1.4689263086688643E-4</v>
      </c>
      <c r="AG38" t="s">
        <v>96</v>
      </c>
      <c r="AH38" t="s">
        <v>361</v>
      </c>
      <c r="AI38">
        <v>0</v>
      </c>
      <c r="AK38">
        <v>2026</v>
      </c>
      <c r="AL38" t="s">
        <v>283</v>
      </c>
      <c r="AM38">
        <v>0.1013</v>
      </c>
      <c r="AN38" t="s">
        <v>281</v>
      </c>
    </row>
    <row r="39" spans="5:40" x14ac:dyDescent="0.45">
      <c r="E39" t="s">
        <v>286</v>
      </c>
      <c r="G39" t="s">
        <v>149</v>
      </c>
      <c r="I39" t="s">
        <v>157</v>
      </c>
      <c r="J39" t="s">
        <v>362</v>
      </c>
      <c r="K39">
        <v>1.2760832525159701E-4</v>
      </c>
      <c r="L39" t="s">
        <v>159</v>
      </c>
      <c r="N39" t="s">
        <v>210</v>
      </c>
      <c r="O39" t="s">
        <v>362</v>
      </c>
      <c r="P39">
        <v>3.4155552784442238E-5</v>
      </c>
      <c r="Q39" t="s">
        <v>159</v>
      </c>
      <c r="S39" t="s">
        <v>252</v>
      </c>
      <c r="T39" t="s">
        <v>362</v>
      </c>
      <c r="U39">
        <v>7.8959657365602281E-6</v>
      </c>
      <c r="V39" t="s">
        <v>159</v>
      </c>
      <c r="X39">
        <v>1.1415525114155251E-4</v>
      </c>
      <c r="Y39">
        <v>2.2209515285616027E-4</v>
      </c>
      <c r="Z39" t="s">
        <v>362</v>
      </c>
      <c r="AA39" t="s">
        <v>25</v>
      </c>
      <c r="AC39" t="s">
        <v>22</v>
      </c>
      <c r="AD39" t="s">
        <v>362</v>
      </c>
      <c r="AE39">
        <v>1.4904945678457965E-4</v>
      </c>
      <c r="AG39" t="s">
        <v>96</v>
      </c>
      <c r="AH39" t="s">
        <v>362</v>
      </c>
      <c r="AI39">
        <v>0</v>
      </c>
      <c r="AK39">
        <v>2026</v>
      </c>
      <c r="AL39" t="s">
        <v>285</v>
      </c>
      <c r="AM39">
        <v>0.15834000000000001</v>
      </c>
      <c r="AN39" t="s">
        <v>281</v>
      </c>
    </row>
    <row r="40" spans="5:40" x14ac:dyDescent="0.45">
      <c r="E40" t="s">
        <v>307</v>
      </c>
      <c r="G40" t="s">
        <v>149</v>
      </c>
      <c r="I40" t="s">
        <v>157</v>
      </c>
      <c r="J40" t="s">
        <v>363</v>
      </c>
      <c r="K40">
        <v>8.6574381665743526E-5</v>
      </c>
      <c r="L40" t="s">
        <v>159</v>
      </c>
      <c r="N40" t="s">
        <v>210</v>
      </c>
      <c r="O40" t="s">
        <v>363</v>
      </c>
      <c r="P40">
        <v>8.1035151028636509E-5</v>
      </c>
      <c r="Q40" t="s">
        <v>159</v>
      </c>
      <c r="S40" t="s">
        <v>252</v>
      </c>
      <c r="T40" t="s">
        <v>363</v>
      </c>
      <c r="U40">
        <v>6.8145463548955882E-6</v>
      </c>
      <c r="V40" t="s">
        <v>159</v>
      </c>
      <c r="X40">
        <v>1.1415525114155251E-4</v>
      </c>
      <c r="Y40">
        <v>2.2209515285616027E-4</v>
      </c>
      <c r="Z40" t="s">
        <v>363</v>
      </c>
      <c r="AA40" t="s">
        <v>25</v>
      </c>
      <c r="AC40" t="s">
        <v>22</v>
      </c>
      <c r="AD40" t="s">
        <v>363</v>
      </c>
      <c r="AE40">
        <v>1.5790008302993657E-4</v>
      </c>
      <c r="AG40" t="s">
        <v>96</v>
      </c>
      <c r="AH40" t="s">
        <v>363</v>
      </c>
      <c r="AI40">
        <v>0</v>
      </c>
      <c r="AK40">
        <v>2026</v>
      </c>
      <c r="AL40" t="s">
        <v>306</v>
      </c>
      <c r="AM40">
        <v>0.27510000000000001</v>
      </c>
      <c r="AN40" t="s">
        <v>281</v>
      </c>
    </row>
    <row r="41" spans="5:40" x14ac:dyDescent="0.45">
      <c r="I41" t="s">
        <v>157</v>
      </c>
      <c r="J41" t="s">
        <v>364</v>
      </c>
      <c r="K41">
        <v>0</v>
      </c>
      <c r="L41" t="s">
        <v>159</v>
      </c>
      <c r="N41" t="s">
        <v>210</v>
      </c>
      <c r="O41" t="s">
        <v>364</v>
      </c>
      <c r="P41">
        <v>9.1319557475260966E-5</v>
      </c>
      <c r="Q41" t="s">
        <v>159</v>
      </c>
      <c r="S41" t="s">
        <v>252</v>
      </c>
      <c r="T41" t="s">
        <v>364</v>
      </c>
      <c r="U41">
        <v>4.851643478841167E-6</v>
      </c>
      <c r="V41" t="s">
        <v>159</v>
      </c>
      <c r="X41">
        <v>1.1415525114155251E-4</v>
      </c>
      <c r="Y41">
        <v>1.7237235744060203E-4</v>
      </c>
      <c r="Z41" t="s">
        <v>364</v>
      </c>
      <c r="AA41" t="s">
        <v>25</v>
      </c>
      <c r="AC41" t="s">
        <v>22</v>
      </c>
      <c r="AD41" t="s">
        <v>364</v>
      </c>
      <c r="AE41">
        <v>1.592400184774408E-4</v>
      </c>
      <c r="AG41" t="s">
        <v>96</v>
      </c>
      <c r="AH41" t="s">
        <v>364</v>
      </c>
      <c r="AI41">
        <v>0</v>
      </c>
      <c r="AK41">
        <v>2027</v>
      </c>
      <c r="AL41" t="s">
        <v>148</v>
      </c>
      <c r="AM41">
        <v>0.31264999999999998</v>
      </c>
      <c r="AN41" t="s">
        <v>281</v>
      </c>
    </row>
    <row r="42" spans="5:40" x14ac:dyDescent="0.45">
      <c r="I42" t="s">
        <v>157</v>
      </c>
      <c r="J42" t="s">
        <v>365</v>
      </c>
      <c r="K42">
        <v>0</v>
      </c>
      <c r="L42" t="s">
        <v>159</v>
      </c>
      <c r="N42" t="s">
        <v>210</v>
      </c>
      <c r="O42" t="s">
        <v>365</v>
      </c>
      <c r="P42">
        <v>4.8164232304989293E-5</v>
      </c>
      <c r="Q42" t="s">
        <v>159</v>
      </c>
      <c r="S42" t="s">
        <v>252</v>
      </c>
      <c r="T42" t="s">
        <v>365</v>
      </c>
      <c r="U42">
        <v>3.4230751636957411E-6</v>
      </c>
      <c r="V42" t="s">
        <v>159</v>
      </c>
      <c r="X42">
        <v>1.1415525114155251E-4</v>
      </c>
      <c r="Y42">
        <v>1.5579809230208258E-4</v>
      </c>
      <c r="Z42" t="s">
        <v>365</v>
      </c>
      <c r="AA42" t="s">
        <v>25</v>
      </c>
      <c r="AC42" t="s">
        <v>22</v>
      </c>
      <c r="AD42" t="s">
        <v>365</v>
      </c>
      <c r="AE42">
        <v>1.5157652802329379E-4</v>
      </c>
      <c r="AG42" t="s">
        <v>96</v>
      </c>
      <c r="AH42" t="s">
        <v>365</v>
      </c>
      <c r="AI42">
        <v>0</v>
      </c>
      <c r="AK42">
        <v>2027</v>
      </c>
      <c r="AL42" t="s">
        <v>152</v>
      </c>
      <c r="AM42">
        <v>0.11085</v>
      </c>
      <c r="AN42" t="s">
        <v>281</v>
      </c>
    </row>
    <row r="43" spans="5:40" x14ac:dyDescent="0.45">
      <c r="I43" t="s">
        <v>157</v>
      </c>
      <c r="J43" t="s">
        <v>366</v>
      </c>
      <c r="K43">
        <v>0</v>
      </c>
      <c r="L43" t="s">
        <v>159</v>
      </c>
      <c r="N43" t="s">
        <v>210</v>
      </c>
      <c r="O43" t="s">
        <v>366</v>
      </c>
      <c r="P43">
        <v>2.2522368881733081E-5</v>
      </c>
      <c r="Q43" t="s">
        <v>159</v>
      </c>
      <c r="S43" t="s">
        <v>252</v>
      </c>
      <c r="T43" t="s">
        <v>366</v>
      </c>
      <c r="U43">
        <v>3.5142212600025134E-6</v>
      </c>
      <c r="V43" t="s">
        <v>159</v>
      </c>
      <c r="X43">
        <v>1.1415525114155251E-4</v>
      </c>
      <c r="Y43">
        <v>1.093901499142282E-4</v>
      </c>
      <c r="Z43" t="s">
        <v>366</v>
      </c>
      <c r="AA43" t="s">
        <v>25</v>
      </c>
      <c r="AC43" t="s">
        <v>22</v>
      </c>
      <c r="AD43" t="s">
        <v>366</v>
      </c>
      <c r="AE43">
        <v>1.3988147740691908E-4</v>
      </c>
      <c r="AG43" t="s">
        <v>96</v>
      </c>
      <c r="AH43" t="s">
        <v>366</v>
      </c>
      <c r="AI43">
        <v>0</v>
      </c>
      <c r="AK43">
        <v>2027</v>
      </c>
      <c r="AL43" t="s">
        <v>154</v>
      </c>
      <c r="AM43">
        <v>9.5799999999999996E-2</v>
      </c>
      <c r="AN43" t="s">
        <v>281</v>
      </c>
    </row>
    <row r="44" spans="5:40" x14ac:dyDescent="0.45">
      <c r="I44" t="s">
        <v>157</v>
      </c>
      <c r="J44" t="s">
        <v>367</v>
      </c>
      <c r="K44">
        <v>0</v>
      </c>
      <c r="L44" t="s">
        <v>159</v>
      </c>
      <c r="N44" t="s">
        <v>210</v>
      </c>
      <c r="O44" t="s">
        <v>367</v>
      </c>
      <c r="P44">
        <v>1.1025893952071129E-5</v>
      </c>
      <c r="Q44" t="s">
        <v>159</v>
      </c>
      <c r="S44" t="s">
        <v>252</v>
      </c>
      <c r="T44" t="s">
        <v>367</v>
      </c>
      <c r="U44">
        <v>4.7243812700659441E-6</v>
      </c>
      <c r="V44" t="s">
        <v>159</v>
      </c>
      <c r="X44">
        <v>1.1415525114155251E-4</v>
      </c>
      <c r="Y44">
        <v>7.9556472664893237E-5</v>
      </c>
      <c r="Z44" t="s">
        <v>367</v>
      </c>
      <c r="AA44" t="s">
        <v>25</v>
      </c>
      <c r="AC44" t="s">
        <v>22</v>
      </c>
      <c r="AD44" t="s">
        <v>367</v>
      </c>
      <c r="AE44">
        <v>1.2355542182285428E-4</v>
      </c>
      <c r="AG44" t="s">
        <v>96</v>
      </c>
      <c r="AH44" t="s">
        <v>367</v>
      </c>
      <c r="AI44">
        <v>0</v>
      </c>
      <c r="AK44">
        <v>2027</v>
      </c>
      <c r="AL44" t="s">
        <v>283</v>
      </c>
      <c r="AM44">
        <v>9.9099999999999994E-2</v>
      </c>
      <c r="AN44" t="s">
        <v>281</v>
      </c>
    </row>
    <row r="45" spans="5:40" x14ac:dyDescent="0.45">
      <c r="I45" t="s">
        <v>157</v>
      </c>
      <c r="J45" t="s">
        <v>368</v>
      </c>
      <c r="K45">
        <v>0</v>
      </c>
      <c r="L45" t="s">
        <v>159</v>
      </c>
      <c r="N45" t="s">
        <v>210</v>
      </c>
      <c r="O45" t="s">
        <v>368</v>
      </c>
      <c r="P45">
        <v>6.2068331293221552E-6</v>
      </c>
      <c r="Q45" t="s">
        <v>159</v>
      </c>
      <c r="S45" t="s">
        <v>252</v>
      </c>
      <c r="T45" t="s">
        <v>368</v>
      </c>
      <c r="U45">
        <v>4.3786427519990886E-6</v>
      </c>
      <c r="V45" t="s">
        <v>159</v>
      </c>
      <c r="X45">
        <v>1.1415525114155251E-4</v>
      </c>
      <c r="Y45">
        <v>5.6352501470966035E-5</v>
      </c>
      <c r="Z45" t="s">
        <v>368</v>
      </c>
      <c r="AA45" t="s">
        <v>25</v>
      </c>
      <c r="AC45" t="s">
        <v>22</v>
      </c>
      <c r="AD45" t="s">
        <v>368</v>
      </c>
      <c r="AE45">
        <v>9.7744033728825307E-5</v>
      </c>
      <c r="AG45" t="s">
        <v>96</v>
      </c>
      <c r="AH45" t="s">
        <v>368</v>
      </c>
      <c r="AI45">
        <v>0</v>
      </c>
      <c r="AK45">
        <v>2027</v>
      </c>
      <c r="AL45" t="s">
        <v>285</v>
      </c>
      <c r="AM45">
        <v>0.16108</v>
      </c>
      <c r="AN45" t="s">
        <v>281</v>
      </c>
    </row>
    <row r="46" spans="5:40" x14ac:dyDescent="0.45">
      <c r="I46" t="s">
        <v>157</v>
      </c>
      <c r="J46" t="s">
        <v>369</v>
      </c>
      <c r="K46">
        <v>0</v>
      </c>
      <c r="L46" t="s">
        <v>159</v>
      </c>
      <c r="N46" t="s">
        <v>210</v>
      </c>
      <c r="O46" t="s">
        <v>369</v>
      </c>
      <c r="P46">
        <v>2.1638936655537829E-6</v>
      </c>
      <c r="Q46" t="s">
        <v>159</v>
      </c>
      <c r="S46" t="s">
        <v>252</v>
      </c>
      <c r="T46" t="s">
        <v>369</v>
      </c>
      <c r="U46">
        <v>3.946465651888598E-6</v>
      </c>
      <c r="V46" t="s">
        <v>159</v>
      </c>
      <c r="X46">
        <v>1.1415525114155251E-4</v>
      </c>
      <c r="Y46">
        <v>2.9833677249334962E-5</v>
      </c>
      <c r="Z46" t="s">
        <v>369</v>
      </c>
      <c r="AA46" t="s">
        <v>25</v>
      </c>
      <c r="AC46" t="s">
        <v>22</v>
      </c>
      <c r="AD46" t="s">
        <v>369</v>
      </c>
      <c r="AE46">
        <v>8.4997016247962651E-5</v>
      </c>
      <c r="AG46" t="s">
        <v>96</v>
      </c>
      <c r="AH46" t="s">
        <v>369</v>
      </c>
      <c r="AI46">
        <v>0</v>
      </c>
      <c r="AK46">
        <v>2027</v>
      </c>
      <c r="AL46" t="s">
        <v>306</v>
      </c>
      <c r="AM46">
        <v>0.29189999999999999</v>
      </c>
      <c r="AN46" t="s">
        <v>281</v>
      </c>
    </row>
    <row r="47" spans="5:40" x14ac:dyDescent="0.45">
      <c r="I47" t="s">
        <v>157</v>
      </c>
      <c r="J47" t="s">
        <v>165</v>
      </c>
      <c r="K47">
        <v>0</v>
      </c>
      <c r="L47" t="s">
        <v>159</v>
      </c>
      <c r="N47" t="s">
        <v>210</v>
      </c>
      <c r="O47" t="s">
        <v>165</v>
      </c>
      <c r="P47">
        <v>3.8709182052173149E-2</v>
      </c>
      <c r="Q47" t="s">
        <v>159</v>
      </c>
      <c r="S47" t="s">
        <v>252</v>
      </c>
      <c r="T47" t="s">
        <v>165</v>
      </c>
      <c r="U47">
        <v>2.4735179124504913E-2</v>
      </c>
      <c r="V47" t="s">
        <v>159</v>
      </c>
      <c r="X47">
        <v>2.4771689497716895E-2</v>
      </c>
      <c r="Y47">
        <v>9.7827942553597048E-3</v>
      </c>
      <c r="Z47" t="s">
        <v>165</v>
      </c>
      <c r="AA47" t="s">
        <v>25</v>
      </c>
      <c r="AC47" t="s">
        <v>22</v>
      </c>
      <c r="AD47" t="s">
        <v>165</v>
      </c>
      <c r="AE47">
        <v>1.9868368849186947E-2</v>
      </c>
      <c r="AG47" t="s">
        <v>96</v>
      </c>
      <c r="AH47" t="s">
        <v>165</v>
      </c>
      <c r="AI47">
        <v>0.28762997520818501</v>
      </c>
      <c r="AK47">
        <v>2028</v>
      </c>
      <c r="AL47" t="s">
        <v>148</v>
      </c>
      <c r="AM47">
        <v>0.26011666666666666</v>
      </c>
      <c r="AN47" t="s">
        <v>281</v>
      </c>
    </row>
    <row r="48" spans="5:40" x14ac:dyDescent="0.45">
      <c r="I48" t="s">
        <v>157</v>
      </c>
      <c r="J48" t="s">
        <v>166</v>
      </c>
      <c r="K48">
        <v>4.3964299837989298E-3</v>
      </c>
      <c r="L48" t="s">
        <v>159</v>
      </c>
      <c r="N48" t="s">
        <v>210</v>
      </c>
      <c r="O48" t="s">
        <v>166</v>
      </c>
      <c r="P48">
        <v>6.4271136940718451E-3</v>
      </c>
      <c r="Q48" t="s">
        <v>159</v>
      </c>
      <c r="S48" t="s">
        <v>252</v>
      </c>
      <c r="T48" t="s">
        <v>166</v>
      </c>
      <c r="U48">
        <v>3.5708273260968834E-3</v>
      </c>
      <c r="V48" t="s">
        <v>159</v>
      </c>
      <c r="X48">
        <v>3.5388127853881279E-3</v>
      </c>
      <c r="Y48">
        <v>5.9087255218821738E-3</v>
      </c>
      <c r="Z48" t="s">
        <v>166</v>
      </c>
      <c r="AA48" t="s">
        <v>25</v>
      </c>
      <c r="AC48" t="s">
        <v>22</v>
      </c>
      <c r="AD48" t="s">
        <v>166</v>
      </c>
      <c r="AE48">
        <v>4.5044003736932382E-3</v>
      </c>
      <c r="AG48" t="s">
        <v>96</v>
      </c>
      <c r="AH48" t="s">
        <v>166</v>
      </c>
      <c r="AI48">
        <v>7.9490680016605308E-2</v>
      </c>
      <c r="AK48">
        <v>2028</v>
      </c>
      <c r="AL48" t="s">
        <v>152</v>
      </c>
      <c r="AM48">
        <v>9.7799999999999998E-2</v>
      </c>
      <c r="AN48" t="s">
        <v>281</v>
      </c>
    </row>
    <row r="49" spans="9:40" x14ac:dyDescent="0.45">
      <c r="I49" t="s">
        <v>157</v>
      </c>
      <c r="J49" t="s">
        <v>167</v>
      </c>
      <c r="K49">
        <v>6.165422446698942E-2</v>
      </c>
      <c r="L49" t="s">
        <v>159</v>
      </c>
      <c r="N49" t="s">
        <v>210</v>
      </c>
      <c r="O49" t="s">
        <v>167</v>
      </c>
      <c r="P49">
        <v>6.8786089220085667E-2</v>
      </c>
      <c r="Q49" t="s">
        <v>159</v>
      </c>
      <c r="S49" t="s">
        <v>252</v>
      </c>
      <c r="T49" t="s">
        <v>167</v>
      </c>
      <c r="U49">
        <v>2.8186811749447368E-2</v>
      </c>
      <c r="V49" t="s">
        <v>159</v>
      </c>
      <c r="X49">
        <v>3.1849315068493152E-2</v>
      </c>
      <c r="Y49">
        <v>4.365263655122692E-2</v>
      </c>
      <c r="Z49" t="s">
        <v>167</v>
      </c>
      <c r="AA49" t="s">
        <v>25</v>
      </c>
      <c r="AC49" t="s">
        <v>22</v>
      </c>
      <c r="AD49" t="s">
        <v>167</v>
      </c>
      <c r="AE49">
        <v>3.9054731564829859E-2</v>
      </c>
      <c r="AG49" t="s">
        <v>96</v>
      </c>
      <c r="AH49" t="s">
        <v>167</v>
      </c>
      <c r="AI49">
        <v>0.15214676873187183</v>
      </c>
      <c r="AK49">
        <v>2028</v>
      </c>
      <c r="AL49" t="s">
        <v>154</v>
      </c>
      <c r="AM49">
        <v>7.8E-2</v>
      </c>
      <c r="AN49" t="s">
        <v>281</v>
      </c>
    </row>
    <row r="50" spans="9:40" x14ac:dyDescent="0.45">
      <c r="I50" t="s">
        <v>157</v>
      </c>
      <c r="J50" t="s">
        <v>291</v>
      </c>
      <c r="K50">
        <v>3.9669284532207047E-3</v>
      </c>
      <c r="L50" t="s">
        <v>159</v>
      </c>
      <c r="N50" t="s">
        <v>210</v>
      </c>
      <c r="O50" t="s">
        <v>291</v>
      </c>
      <c r="P50">
        <v>5.6054464280996374E-3</v>
      </c>
      <c r="Q50" t="s">
        <v>159</v>
      </c>
      <c r="S50" t="s">
        <v>252</v>
      </c>
      <c r="T50" t="s">
        <v>291</v>
      </c>
      <c r="U50">
        <v>3.0721437437134227E-3</v>
      </c>
      <c r="V50" t="s">
        <v>159</v>
      </c>
      <c r="X50">
        <v>3.5388127853881279E-3</v>
      </c>
      <c r="Y50">
        <v>6.8849497385409693E-3</v>
      </c>
      <c r="Z50" t="s">
        <v>291</v>
      </c>
      <c r="AA50" t="s">
        <v>25</v>
      </c>
      <c r="AC50" t="s">
        <v>22</v>
      </c>
      <c r="AD50" t="s">
        <v>291</v>
      </c>
      <c r="AE50">
        <v>5.0187886627884272E-3</v>
      </c>
      <c r="AG50" t="s">
        <v>96</v>
      </c>
      <c r="AH50" t="s">
        <v>291</v>
      </c>
      <c r="AI50">
        <v>8.5214025863671328E-2</v>
      </c>
      <c r="AK50">
        <v>2028</v>
      </c>
      <c r="AL50" t="s">
        <v>283</v>
      </c>
      <c r="AM50">
        <v>8.1299999999999997E-2</v>
      </c>
      <c r="AN50" t="s">
        <v>281</v>
      </c>
    </row>
    <row r="51" spans="9:40" x14ac:dyDescent="0.45">
      <c r="I51" t="s">
        <v>157</v>
      </c>
      <c r="J51" t="s">
        <v>292</v>
      </c>
      <c r="K51">
        <v>0</v>
      </c>
      <c r="L51" t="s">
        <v>159</v>
      </c>
      <c r="N51" t="s">
        <v>210</v>
      </c>
      <c r="O51" t="s">
        <v>292</v>
      </c>
      <c r="P51">
        <v>4.6692013730693146E-3</v>
      </c>
      <c r="Q51" t="s">
        <v>159</v>
      </c>
      <c r="S51" t="s">
        <v>252</v>
      </c>
      <c r="T51" t="s">
        <v>292</v>
      </c>
      <c r="U51">
        <v>3.0725532923284726E-3</v>
      </c>
      <c r="V51" t="s">
        <v>159</v>
      </c>
      <c r="X51">
        <v>3.5388127853881279E-3</v>
      </c>
      <c r="Y51">
        <v>5.3435430806586613E-3</v>
      </c>
      <c r="Z51" t="s">
        <v>292</v>
      </c>
      <c r="AA51" t="s">
        <v>25</v>
      </c>
      <c r="AC51" t="s">
        <v>22</v>
      </c>
      <c r="AD51" t="s">
        <v>292</v>
      </c>
      <c r="AE51">
        <v>4.953302256246587E-3</v>
      </c>
      <c r="AG51" t="s">
        <v>96</v>
      </c>
      <c r="AH51" t="s">
        <v>292</v>
      </c>
      <c r="AI51">
        <v>8.5423052306120129E-2</v>
      </c>
      <c r="AK51">
        <v>2028</v>
      </c>
      <c r="AL51" t="s">
        <v>285</v>
      </c>
      <c r="AM51">
        <v>0.14871999999999999</v>
      </c>
      <c r="AN51" t="s">
        <v>281</v>
      </c>
    </row>
    <row r="52" spans="9:40" x14ac:dyDescent="0.45">
      <c r="I52" t="s">
        <v>157</v>
      </c>
      <c r="J52" t="s">
        <v>310</v>
      </c>
      <c r="K52">
        <v>0</v>
      </c>
      <c r="L52" t="s">
        <v>159</v>
      </c>
      <c r="N52" t="s">
        <v>210</v>
      </c>
      <c r="O52" t="s">
        <v>310</v>
      </c>
      <c r="P52">
        <v>2.0093652542073747E-2</v>
      </c>
      <c r="Q52" t="s">
        <v>159</v>
      </c>
      <c r="S52" t="s">
        <v>252</v>
      </c>
      <c r="T52" t="s">
        <v>310</v>
      </c>
      <c r="U52">
        <v>1.5762011655508255E-2</v>
      </c>
      <c r="V52" t="s">
        <v>159</v>
      </c>
      <c r="X52">
        <v>1.7694063926940638E-2</v>
      </c>
      <c r="Y52">
        <v>1.3358857701646654E-2</v>
      </c>
      <c r="Z52" t="s">
        <v>310</v>
      </c>
      <c r="AA52" t="s">
        <v>25</v>
      </c>
      <c r="AC52" t="s">
        <v>22</v>
      </c>
      <c r="AD52" t="s">
        <v>310</v>
      </c>
      <c r="AE52">
        <v>1.8403222487043746E-2</v>
      </c>
      <c r="AG52" t="s">
        <v>96</v>
      </c>
      <c r="AH52" t="s">
        <v>310</v>
      </c>
      <c r="AI52">
        <v>0.20681980140534106</v>
      </c>
      <c r="AK52">
        <v>2028</v>
      </c>
      <c r="AL52" t="s">
        <v>306</v>
      </c>
      <c r="AM52">
        <v>0.28339999999999999</v>
      </c>
      <c r="AN52" t="s">
        <v>281</v>
      </c>
    </row>
    <row r="53" spans="9:40" x14ac:dyDescent="0.45">
      <c r="I53" t="s">
        <v>157</v>
      </c>
      <c r="J53" t="s">
        <v>293</v>
      </c>
      <c r="K53">
        <v>0</v>
      </c>
      <c r="L53" t="s">
        <v>159</v>
      </c>
      <c r="N53" t="s">
        <v>210</v>
      </c>
      <c r="O53" t="s">
        <v>293</v>
      </c>
      <c r="P53">
        <v>8.1771757410565079E-3</v>
      </c>
      <c r="Q53" t="s">
        <v>159</v>
      </c>
      <c r="S53" t="s">
        <v>252</v>
      </c>
      <c r="T53" t="s">
        <v>293</v>
      </c>
      <c r="U53">
        <v>3.1547799907673856E-3</v>
      </c>
      <c r="V53" t="s">
        <v>159</v>
      </c>
      <c r="X53">
        <v>5.5936073059360729E-3</v>
      </c>
      <c r="Y53">
        <v>2.2090180576618689E-3</v>
      </c>
      <c r="Z53" t="s">
        <v>293</v>
      </c>
      <c r="AA53" t="s">
        <v>25</v>
      </c>
      <c r="AC53" t="s">
        <v>22</v>
      </c>
      <c r="AD53" t="s">
        <v>293</v>
      </c>
      <c r="AE53">
        <v>4.3872536714012278E-3</v>
      </c>
      <c r="AG53" t="s">
        <v>96</v>
      </c>
      <c r="AH53" t="s">
        <v>293</v>
      </c>
      <c r="AI53">
        <v>0.24227028784070814</v>
      </c>
      <c r="AK53">
        <v>2029</v>
      </c>
      <c r="AL53" t="s">
        <v>148</v>
      </c>
      <c r="AM53">
        <v>0.36823333333333336</v>
      </c>
      <c r="AN53" t="s">
        <v>281</v>
      </c>
    </row>
    <row r="54" spans="9:40" x14ac:dyDescent="0.45">
      <c r="I54" t="s">
        <v>157</v>
      </c>
      <c r="J54" t="s">
        <v>294</v>
      </c>
      <c r="K54">
        <v>1.1332973668603155E-3</v>
      </c>
      <c r="L54" t="s">
        <v>159</v>
      </c>
      <c r="N54" t="s">
        <v>210</v>
      </c>
      <c r="O54" t="s">
        <v>294</v>
      </c>
      <c r="P54">
        <v>1.594181142220183E-3</v>
      </c>
      <c r="Q54" t="s">
        <v>159</v>
      </c>
      <c r="S54" t="s">
        <v>252</v>
      </c>
      <c r="T54" t="s">
        <v>294</v>
      </c>
      <c r="U54">
        <v>4.0559208371572823E-4</v>
      </c>
      <c r="V54" t="s">
        <v>159</v>
      </c>
      <c r="X54">
        <v>7.9908675799086762E-4</v>
      </c>
      <c r="Y54">
        <v>1.3342283436508136E-3</v>
      </c>
      <c r="Z54" t="s">
        <v>294</v>
      </c>
      <c r="AA54" t="s">
        <v>25</v>
      </c>
      <c r="AC54" t="s">
        <v>22</v>
      </c>
      <c r="AD54" t="s">
        <v>294</v>
      </c>
      <c r="AE54">
        <v>9.7246898199590212E-4</v>
      </c>
      <c r="AG54" t="s">
        <v>96</v>
      </c>
      <c r="AH54" t="s">
        <v>294</v>
      </c>
      <c r="AI54">
        <v>7.9341283869957202E-2</v>
      </c>
      <c r="AK54">
        <v>2029</v>
      </c>
      <c r="AL54" t="s">
        <v>152</v>
      </c>
      <c r="AM54">
        <v>0.14224999999999999</v>
      </c>
      <c r="AN54" t="s">
        <v>281</v>
      </c>
    </row>
    <row r="55" spans="9:40" x14ac:dyDescent="0.45">
      <c r="I55" t="s">
        <v>157</v>
      </c>
      <c r="J55" t="s">
        <v>295</v>
      </c>
      <c r="K55">
        <v>1.5158952185182989E-2</v>
      </c>
      <c r="L55" t="s">
        <v>159</v>
      </c>
      <c r="N55" t="s">
        <v>210</v>
      </c>
      <c r="O55" t="s">
        <v>295</v>
      </c>
      <c r="P55">
        <v>1.6159362140203228E-2</v>
      </c>
      <c r="Q55" t="s">
        <v>159</v>
      </c>
      <c r="S55" t="s">
        <v>252</v>
      </c>
      <c r="T55" t="s">
        <v>295</v>
      </c>
      <c r="U55">
        <v>3.8217159678022553E-3</v>
      </c>
      <c r="V55" t="s">
        <v>159</v>
      </c>
      <c r="X55">
        <v>7.1917808219178082E-3</v>
      </c>
      <c r="Y55">
        <v>9.8570469631802712E-3</v>
      </c>
      <c r="Z55" t="s">
        <v>295</v>
      </c>
      <c r="AA55" t="s">
        <v>25</v>
      </c>
      <c r="AC55" t="s">
        <v>22</v>
      </c>
      <c r="AD55" t="s">
        <v>295</v>
      </c>
      <c r="AE55">
        <v>8.5745030838730828E-3</v>
      </c>
      <c r="AG55" t="s">
        <v>96</v>
      </c>
      <c r="AH55" t="s">
        <v>295</v>
      </c>
      <c r="AI55">
        <v>0.15350688711464944</v>
      </c>
      <c r="AK55">
        <v>2029</v>
      </c>
      <c r="AL55" t="s">
        <v>154</v>
      </c>
      <c r="AM55">
        <v>0.10744999999999999</v>
      </c>
      <c r="AN55" t="s">
        <v>281</v>
      </c>
    </row>
    <row r="56" spans="9:40" x14ac:dyDescent="0.45">
      <c r="I56" t="s">
        <v>157</v>
      </c>
      <c r="J56" t="s">
        <v>296</v>
      </c>
      <c r="K56">
        <v>9.7001450480800968E-4</v>
      </c>
      <c r="L56" t="s">
        <v>159</v>
      </c>
      <c r="N56" t="s">
        <v>210</v>
      </c>
      <c r="O56" t="s">
        <v>296</v>
      </c>
      <c r="P56">
        <v>1.1352435683927723E-3</v>
      </c>
      <c r="Q56" t="s">
        <v>159</v>
      </c>
      <c r="S56" t="s">
        <v>252</v>
      </c>
      <c r="T56" t="s">
        <v>296</v>
      </c>
      <c r="U56">
        <v>6.297621016459644E-4</v>
      </c>
      <c r="V56" t="s">
        <v>159</v>
      </c>
      <c r="X56">
        <v>7.9908675799086762E-4</v>
      </c>
      <c r="Y56">
        <v>1.5546660699931219E-3</v>
      </c>
      <c r="Z56" t="s">
        <v>296</v>
      </c>
      <c r="AA56" t="s">
        <v>25</v>
      </c>
      <c r="AC56" t="s">
        <v>22</v>
      </c>
      <c r="AD56" t="s">
        <v>296</v>
      </c>
      <c r="AE56">
        <v>1.0504026836158742E-3</v>
      </c>
      <c r="AG56" t="s">
        <v>96</v>
      </c>
      <c r="AH56" t="s">
        <v>296</v>
      </c>
      <c r="AI56">
        <v>0.1068865911098027</v>
      </c>
      <c r="AK56">
        <v>2029</v>
      </c>
      <c r="AL56" t="s">
        <v>283</v>
      </c>
      <c r="AM56">
        <v>0.1021</v>
      </c>
      <c r="AN56" t="s">
        <v>281</v>
      </c>
    </row>
    <row r="57" spans="9:40" x14ac:dyDescent="0.45">
      <c r="I57" t="s">
        <v>157</v>
      </c>
      <c r="J57" t="s">
        <v>297</v>
      </c>
      <c r="K57">
        <v>0</v>
      </c>
      <c r="L57" t="s">
        <v>159</v>
      </c>
      <c r="N57" t="s">
        <v>210</v>
      </c>
      <c r="O57" t="s">
        <v>297</v>
      </c>
      <c r="P57">
        <v>7.976843006722434E-4</v>
      </c>
      <c r="Q57" t="s">
        <v>159</v>
      </c>
      <c r="S57" t="s">
        <v>252</v>
      </c>
      <c r="T57" t="s">
        <v>297</v>
      </c>
      <c r="U57">
        <v>6.8756519677693145E-4</v>
      </c>
      <c r="V57" t="s">
        <v>159</v>
      </c>
      <c r="X57">
        <v>7.9908675799086762E-4</v>
      </c>
      <c r="Y57">
        <v>1.2066065020842141E-3</v>
      </c>
      <c r="Z57" t="s">
        <v>297</v>
      </c>
      <c r="AA57" t="s">
        <v>25</v>
      </c>
      <c r="AC57" t="s">
        <v>22</v>
      </c>
      <c r="AD57" t="s">
        <v>297</v>
      </c>
      <c r="AE57">
        <v>1.0384314182361985E-3</v>
      </c>
      <c r="AG57" t="s">
        <v>96</v>
      </c>
      <c r="AH57" t="s">
        <v>297</v>
      </c>
      <c r="AI57">
        <v>9.9782457764406418E-2</v>
      </c>
      <c r="AK57">
        <v>2029</v>
      </c>
      <c r="AL57" t="s">
        <v>285</v>
      </c>
      <c r="AM57">
        <v>0.18934000000000001</v>
      </c>
      <c r="AN57" t="s">
        <v>281</v>
      </c>
    </row>
    <row r="58" spans="9:40" x14ac:dyDescent="0.45">
      <c r="I58" t="s">
        <v>157</v>
      </c>
      <c r="J58" t="s">
        <v>311</v>
      </c>
      <c r="K58">
        <v>0</v>
      </c>
      <c r="L58" t="s">
        <v>159</v>
      </c>
      <c r="N58" t="s">
        <v>210</v>
      </c>
      <c r="O58" t="s">
        <v>311</v>
      </c>
      <c r="P58">
        <v>2.4673681086572349E-3</v>
      </c>
      <c r="Q58" t="s">
        <v>159</v>
      </c>
      <c r="S58" t="s">
        <v>252</v>
      </c>
      <c r="T58" t="s">
        <v>311</v>
      </c>
      <c r="U58">
        <v>3.3166105643069378E-3</v>
      </c>
      <c r="V58" t="s">
        <v>159</v>
      </c>
      <c r="X58">
        <v>3.9954337899543377E-3</v>
      </c>
      <c r="Y58">
        <v>3.0165162552105353E-3</v>
      </c>
      <c r="Z58" t="s">
        <v>311</v>
      </c>
      <c r="AA58" t="s">
        <v>25</v>
      </c>
      <c r="AC58" t="s">
        <v>22</v>
      </c>
      <c r="AD58" t="s">
        <v>311</v>
      </c>
      <c r="AE58">
        <v>4.0540641127317246E-3</v>
      </c>
      <c r="AG58" t="s">
        <v>96</v>
      </c>
      <c r="AH58" t="s">
        <v>311</v>
      </c>
      <c r="AI58">
        <v>0.19774027139172357</v>
      </c>
      <c r="AK58">
        <v>2029</v>
      </c>
      <c r="AL58" t="s">
        <v>306</v>
      </c>
      <c r="AM58">
        <v>0.36059999999999998</v>
      </c>
      <c r="AN58" t="s">
        <v>281</v>
      </c>
    </row>
    <row r="59" spans="9:40" x14ac:dyDescent="0.45">
      <c r="I59" t="s">
        <v>157</v>
      </c>
      <c r="J59" t="s">
        <v>298</v>
      </c>
      <c r="K59">
        <v>1.4456441884576126E-2</v>
      </c>
      <c r="L59" t="s">
        <v>159</v>
      </c>
      <c r="N59" t="s">
        <v>210</v>
      </c>
      <c r="O59" t="s">
        <v>298</v>
      </c>
      <c r="P59">
        <v>4.6908657659508426E-2</v>
      </c>
      <c r="Q59" t="s">
        <v>159</v>
      </c>
      <c r="S59" t="s">
        <v>252</v>
      </c>
      <c r="T59" t="s">
        <v>298</v>
      </c>
      <c r="U59">
        <v>7.6872718677272328E-2</v>
      </c>
      <c r="V59" t="s">
        <v>159</v>
      </c>
      <c r="X59">
        <v>7.6712328767123292E-2</v>
      </c>
      <c r="Y59">
        <v>3.0295104790791345E-2</v>
      </c>
      <c r="Z59" t="s">
        <v>298</v>
      </c>
      <c r="AA59" t="s">
        <v>25</v>
      </c>
      <c r="AC59" t="s">
        <v>22</v>
      </c>
      <c r="AD59" t="s">
        <v>298</v>
      </c>
      <c r="AE59">
        <v>5.343147999696838E-2</v>
      </c>
      <c r="AG59" t="s">
        <v>96</v>
      </c>
      <c r="AH59" t="s">
        <v>298</v>
      </c>
      <c r="AI59">
        <v>0.26188120821444683</v>
      </c>
      <c r="AK59">
        <v>2030</v>
      </c>
      <c r="AL59" t="s">
        <v>148</v>
      </c>
      <c r="AM59">
        <v>0.26701666666666662</v>
      </c>
      <c r="AN59" t="s">
        <v>281</v>
      </c>
    </row>
    <row r="60" spans="9:40" x14ac:dyDescent="0.45">
      <c r="I60" t="s">
        <v>157</v>
      </c>
      <c r="J60" t="s">
        <v>299</v>
      </c>
      <c r="K60">
        <v>2.2807903637388084E-2</v>
      </c>
      <c r="L60" t="s">
        <v>159</v>
      </c>
      <c r="N60" t="s">
        <v>210</v>
      </c>
      <c r="O60" t="s">
        <v>299</v>
      </c>
      <c r="P60">
        <v>7.3727549502621047E-3</v>
      </c>
      <c r="Q60" t="s">
        <v>159</v>
      </c>
      <c r="S60" t="s">
        <v>252</v>
      </c>
      <c r="T60" t="s">
        <v>299</v>
      </c>
      <c r="U60">
        <v>1.0274972723295691E-2</v>
      </c>
      <c r="V60" t="s">
        <v>159</v>
      </c>
      <c r="X60">
        <v>1.0958904109589041E-2</v>
      </c>
      <c r="Y60">
        <v>1.8297988712925439E-2</v>
      </c>
      <c r="Z60" t="s">
        <v>299</v>
      </c>
      <c r="AA60" t="s">
        <v>25</v>
      </c>
      <c r="AC60" t="s">
        <v>22</v>
      </c>
      <c r="AD60" t="s">
        <v>299</v>
      </c>
      <c r="AE60">
        <v>1.1533944728281028E-2</v>
      </c>
      <c r="AG60" t="s">
        <v>96</v>
      </c>
      <c r="AH60" t="s">
        <v>299</v>
      </c>
      <c r="AI60">
        <v>9.7218006473386742E-2</v>
      </c>
      <c r="AK60">
        <v>2030</v>
      </c>
      <c r="AL60" t="s">
        <v>152</v>
      </c>
      <c r="AM60">
        <v>0.10249999999999999</v>
      </c>
      <c r="AN60" t="s">
        <v>281</v>
      </c>
    </row>
    <row r="61" spans="9:40" x14ac:dyDescent="0.45">
      <c r="I61" t="s">
        <v>157</v>
      </c>
      <c r="J61" t="s">
        <v>300</v>
      </c>
      <c r="K61">
        <v>0.2480713374687846</v>
      </c>
      <c r="L61" t="s">
        <v>159</v>
      </c>
      <c r="N61" t="s">
        <v>210</v>
      </c>
      <c r="O61" t="s">
        <v>300</v>
      </c>
      <c r="P61">
        <v>0.12734476857211544</v>
      </c>
      <c r="Q61" t="s">
        <v>159</v>
      </c>
      <c r="S61" t="s">
        <v>252</v>
      </c>
      <c r="T61" t="s">
        <v>300</v>
      </c>
      <c r="U61">
        <v>9.3418598279345344E-2</v>
      </c>
      <c r="V61" t="s">
        <v>159</v>
      </c>
      <c r="X61">
        <v>9.8630136986301367E-2</v>
      </c>
      <c r="Y61">
        <v>0.13518235835218659</v>
      </c>
      <c r="Z61" t="s">
        <v>300</v>
      </c>
      <c r="AA61" t="s">
        <v>25</v>
      </c>
      <c r="AC61" t="s">
        <v>22</v>
      </c>
      <c r="AD61" t="s">
        <v>300</v>
      </c>
      <c r="AE61">
        <v>0.11126518765172894</v>
      </c>
      <c r="AG61" t="s">
        <v>96</v>
      </c>
      <c r="AH61" t="s">
        <v>300</v>
      </c>
      <c r="AI61">
        <v>0.1287083638694051</v>
      </c>
      <c r="AK61">
        <v>2030</v>
      </c>
      <c r="AL61" t="s">
        <v>154</v>
      </c>
      <c r="AM61">
        <v>7.569999999999999E-2</v>
      </c>
      <c r="AN61" t="s">
        <v>281</v>
      </c>
    </row>
    <row r="62" spans="9:40" x14ac:dyDescent="0.45">
      <c r="I62" t="s">
        <v>157</v>
      </c>
      <c r="J62" t="s">
        <v>301</v>
      </c>
      <c r="K62">
        <v>1.6034079735705212E-2</v>
      </c>
      <c r="L62" t="s">
        <v>159</v>
      </c>
      <c r="N62" t="s">
        <v>210</v>
      </c>
      <c r="O62" t="s">
        <v>301</v>
      </c>
      <c r="P62">
        <v>1.8035207781945603E-2</v>
      </c>
      <c r="Q62" t="s">
        <v>159</v>
      </c>
      <c r="S62" t="s">
        <v>252</v>
      </c>
      <c r="T62" t="s">
        <v>301</v>
      </c>
      <c r="U62">
        <v>1.1949962027359012E-2</v>
      </c>
      <c r="V62" t="s">
        <v>159</v>
      </c>
      <c r="X62">
        <v>1.0958904109589041E-2</v>
      </c>
      <c r="Y62">
        <v>2.1321134674191389E-2</v>
      </c>
      <c r="Z62" t="s">
        <v>301</v>
      </c>
      <c r="AA62" t="s">
        <v>25</v>
      </c>
      <c r="AC62" t="s">
        <v>22</v>
      </c>
      <c r="AD62" t="s">
        <v>301</v>
      </c>
      <c r="AE62">
        <v>1.2597618397205093E-2</v>
      </c>
      <c r="AG62" t="s">
        <v>96</v>
      </c>
      <c r="AH62" t="s">
        <v>301</v>
      </c>
      <c r="AI62">
        <v>0.13526831619691237</v>
      </c>
      <c r="AK62">
        <v>2030</v>
      </c>
      <c r="AL62" t="s">
        <v>283</v>
      </c>
      <c r="AM62">
        <v>7.6999999999999999E-2</v>
      </c>
      <c r="AN62" t="s">
        <v>281</v>
      </c>
    </row>
    <row r="63" spans="9:40" x14ac:dyDescent="0.45">
      <c r="I63" t="s">
        <v>157</v>
      </c>
      <c r="J63" t="s">
        <v>302</v>
      </c>
      <c r="K63">
        <v>2.7110060881124528E-3</v>
      </c>
      <c r="L63" t="s">
        <v>159</v>
      </c>
      <c r="N63" t="s">
        <v>210</v>
      </c>
      <c r="O63" t="s">
        <v>302</v>
      </c>
      <c r="P63">
        <v>1.6599072498262105E-2</v>
      </c>
      <c r="Q63" t="s">
        <v>159</v>
      </c>
      <c r="S63" t="s">
        <v>252</v>
      </c>
      <c r="T63" t="s">
        <v>302</v>
      </c>
      <c r="U63">
        <v>1.2101883826930924E-2</v>
      </c>
      <c r="V63" t="s">
        <v>159</v>
      </c>
      <c r="X63">
        <v>1.0958904109589041E-2</v>
      </c>
      <c r="Y63">
        <v>1.6547746314297788E-2</v>
      </c>
      <c r="Z63" t="s">
        <v>302</v>
      </c>
      <c r="AA63" t="s">
        <v>25</v>
      </c>
      <c r="AC63" t="s">
        <v>22</v>
      </c>
      <c r="AD63" t="s">
        <v>302</v>
      </c>
      <c r="AE63">
        <v>1.2675023176937894E-2</v>
      </c>
      <c r="AG63" t="s">
        <v>96</v>
      </c>
      <c r="AH63" t="s">
        <v>302</v>
      </c>
      <c r="AI63">
        <v>0.11674854858713379</v>
      </c>
      <c r="AK63">
        <v>2030</v>
      </c>
      <c r="AL63" t="s">
        <v>285</v>
      </c>
      <c r="AM63">
        <v>0.14948</v>
      </c>
      <c r="AN63" t="s">
        <v>281</v>
      </c>
    </row>
    <row r="64" spans="9:40" x14ac:dyDescent="0.45">
      <c r="I64" t="s">
        <v>157</v>
      </c>
      <c r="J64" t="s">
        <v>312</v>
      </c>
      <c r="K64">
        <v>0</v>
      </c>
      <c r="L64" t="s">
        <v>159</v>
      </c>
      <c r="N64" t="s">
        <v>210</v>
      </c>
      <c r="O64" t="s">
        <v>312</v>
      </c>
      <c r="P64">
        <v>4.456402599963414E-2</v>
      </c>
      <c r="Q64" t="s">
        <v>159</v>
      </c>
      <c r="S64" t="s">
        <v>252</v>
      </c>
      <c r="T64" t="s">
        <v>312</v>
      </c>
      <c r="U64">
        <v>5.7900574827535967E-2</v>
      </c>
      <c r="V64" t="s">
        <v>159</v>
      </c>
      <c r="X64">
        <v>5.4794520547945202E-2</v>
      </c>
      <c r="Y64">
        <v>4.1369365785744475E-2</v>
      </c>
      <c r="Z64" t="s">
        <v>312</v>
      </c>
      <c r="AA64" t="s">
        <v>25</v>
      </c>
      <c r="AC64" t="s">
        <v>22</v>
      </c>
      <c r="AD64" t="s">
        <v>312</v>
      </c>
      <c r="AE64">
        <v>5.1099808573536999E-2</v>
      </c>
      <c r="AG64" t="s">
        <v>96</v>
      </c>
      <c r="AH64" t="s">
        <v>312</v>
      </c>
      <c r="AI64">
        <v>0.21779603011635862</v>
      </c>
      <c r="AK64">
        <v>2030</v>
      </c>
      <c r="AL64" t="s">
        <v>306</v>
      </c>
      <c r="AM64">
        <v>0.27779999999999999</v>
      </c>
      <c r="AN64" t="s">
        <v>281</v>
      </c>
    </row>
    <row r="65" spans="9:40" x14ac:dyDescent="0.45">
      <c r="I65" t="s">
        <v>157</v>
      </c>
      <c r="J65" t="s">
        <v>313</v>
      </c>
      <c r="K65">
        <v>5.2653233641909965E-3</v>
      </c>
      <c r="L65" t="s">
        <v>159</v>
      </c>
      <c r="N65" t="s">
        <v>210</v>
      </c>
      <c r="O65" t="s">
        <v>313</v>
      </c>
      <c r="P65">
        <v>3.5830771600039979E-3</v>
      </c>
      <c r="Q65" t="s">
        <v>159</v>
      </c>
      <c r="S65" t="s">
        <v>252</v>
      </c>
      <c r="T65" t="s">
        <v>313</v>
      </c>
      <c r="U65">
        <v>2.874195239319241E-2</v>
      </c>
      <c r="V65" t="s">
        <v>159</v>
      </c>
      <c r="X65">
        <v>2.3173515981735161E-2</v>
      </c>
      <c r="Y65">
        <v>9.151646238884887E-3</v>
      </c>
      <c r="Z65" t="s">
        <v>313</v>
      </c>
      <c r="AA65" t="s">
        <v>25</v>
      </c>
      <c r="AC65" t="s">
        <v>22</v>
      </c>
      <c r="AD65" t="s">
        <v>313</v>
      </c>
      <c r="AE65">
        <v>1.669309114777583E-2</v>
      </c>
      <c r="AG65" t="s">
        <v>96</v>
      </c>
      <c r="AH65" t="s">
        <v>313</v>
      </c>
      <c r="AI65">
        <v>0.18651642444106487</v>
      </c>
      <c r="AK65">
        <v>2031</v>
      </c>
      <c r="AL65" t="s">
        <v>148</v>
      </c>
      <c r="AM65">
        <v>0.27793333333333331</v>
      </c>
      <c r="AN65" t="s">
        <v>281</v>
      </c>
    </row>
    <row r="66" spans="9:40" x14ac:dyDescent="0.45">
      <c r="I66" t="s">
        <v>157</v>
      </c>
      <c r="J66" t="s">
        <v>314</v>
      </c>
      <c r="K66">
        <v>6.4312540617603433E-3</v>
      </c>
      <c r="L66" t="s">
        <v>159</v>
      </c>
      <c r="N66" t="s">
        <v>210</v>
      </c>
      <c r="O66" t="s">
        <v>314</v>
      </c>
      <c r="P66">
        <v>4.2030648901021471E-4</v>
      </c>
      <c r="Q66" t="s">
        <v>159</v>
      </c>
      <c r="S66" t="s">
        <v>252</v>
      </c>
      <c r="T66" t="s">
        <v>314</v>
      </c>
      <c r="U66">
        <v>3.937914115563667E-3</v>
      </c>
      <c r="V66" t="s">
        <v>159</v>
      </c>
      <c r="X66">
        <v>3.3105022831050228E-3</v>
      </c>
      <c r="Y66">
        <v>5.5275174236962274E-3</v>
      </c>
      <c r="Z66" t="s">
        <v>314</v>
      </c>
      <c r="AA66" t="s">
        <v>25</v>
      </c>
      <c r="AC66" t="s">
        <v>22</v>
      </c>
      <c r="AD66" t="s">
        <v>314</v>
      </c>
      <c r="AE66">
        <v>3.5022418656291631E-3</v>
      </c>
      <c r="AG66" t="s">
        <v>96</v>
      </c>
      <c r="AH66" t="s">
        <v>314</v>
      </c>
      <c r="AI66">
        <v>5.6453587440236985E-2</v>
      </c>
      <c r="AK66">
        <v>2031</v>
      </c>
      <c r="AL66" t="s">
        <v>152</v>
      </c>
      <c r="AM66">
        <v>0.10115</v>
      </c>
      <c r="AN66" t="s">
        <v>281</v>
      </c>
    </row>
    <row r="67" spans="9:40" x14ac:dyDescent="0.45">
      <c r="I67" t="s">
        <v>157</v>
      </c>
      <c r="J67" t="s">
        <v>315</v>
      </c>
      <c r="K67">
        <v>7.0657989787924411E-2</v>
      </c>
      <c r="L67" t="s">
        <v>159</v>
      </c>
      <c r="N67" t="s">
        <v>210</v>
      </c>
      <c r="O67" t="s">
        <v>315</v>
      </c>
      <c r="P67">
        <v>1.5466429345293284E-2</v>
      </c>
      <c r="Q67" t="s">
        <v>159</v>
      </c>
      <c r="S67" t="s">
        <v>252</v>
      </c>
      <c r="T67" t="s">
        <v>315</v>
      </c>
      <c r="U67">
        <v>3.504266777504806E-2</v>
      </c>
      <c r="V67" t="s">
        <v>159</v>
      </c>
      <c r="X67">
        <v>2.9794520547945205E-2</v>
      </c>
      <c r="Y67">
        <v>4.0836337418889694E-2</v>
      </c>
      <c r="Z67" t="s">
        <v>315</v>
      </c>
      <c r="AA67" t="s">
        <v>25</v>
      </c>
      <c r="AC67" t="s">
        <v>22</v>
      </c>
      <c r="AD67" t="s">
        <v>315</v>
      </c>
      <c r="AE67">
        <v>3.422313806450096E-2</v>
      </c>
      <c r="AG67" t="s">
        <v>96</v>
      </c>
      <c r="AH67" t="s">
        <v>315</v>
      </c>
      <c r="AI67">
        <v>0.11183566983460613</v>
      </c>
      <c r="AK67">
        <v>2031</v>
      </c>
      <c r="AL67" t="s">
        <v>154</v>
      </c>
      <c r="AM67">
        <v>7.6950000000000005E-2</v>
      </c>
      <c r="AN67" t="s">
        <v>281</v>
      </c>
    </row>
    <row r="68" spans="9:40" x14ac:dyDescent="0.45">
      <c r="I68" t="s">
        <v>157</v>
      </c>
      <c r="J68" t="s">
        <v>316</v>
      </c>
      <c r="K68">
        <v>5.03506992590307E-3</v>
      </c>
      <c r="L68" t="s">
        <v>159</v>
      </c>
      <c r="N68" t="s">
        <v>210</v>
      </c>
      <c r="O68" t="s">
        <v>316</v>
      </c>
      <c r="P68">
        <v>4.0422506989602515E-3</v>
      </c>
      <c r="Q68" t="s">
        <v>159</v>
      </c>
      <c r="S68" t="s">
        <v>252</v>
      </c>
      <c r="T68" t="s">
        <v>316</v>
      </c>
      <c r="U68">
        <v>4.6067498494471639E-3</v>
      </c>
      <c r="V68" t="s">
        <v>159</v>
      </c>
      <c r="X68">
        <v>3.3105022831050228E-3</v>
      </c>
      <c r="Y68">
        <v>6.4407594328286487E-3</v>
      </c>
      <c r="Z68" t="s">
        <v>316</v>
      </c>
      <c r="AA68" t="s">
        <v>25</v>
      </c>
      <c r="AC68" t="s">
        <v>22</v>
      </c>
      <c r="AD68" t="s">
        <v>316</v>
      </c>
      <c r="AE68">
        <v>3.7912859231493423E-3</v>
      </c>
      <c r="AG68" t="s">
        <v>96</v>
      </c>
      <c r="AH68" t="s">
        <v>316</v>
      </c>
      <c r="AI68">
        <v>3.5323255357385674E-2</v>
      </c>
      <c r="AK68">
        <v>2031</v>
      </c>
      <c r="AL68" t="s">
        <v>283</v>
      </c>
      <c r="AM68">
        <v>7.9100000000000004E-2</v>
      </c>
      <c r="AN68" t="s">
        <v>281</v>
      </c>
    </row>
    <row r="69" spans="9:40" x14ac:dyDescent="0.45">
      <c r="I69" t="s">
        <v>157</v>
      </c>
      <c r="J69" t="s">
        <v>317</v>
      </c>
      <c r="K69">
        <v>3.1125509990158635E-3</v>
      </c>
      <c r="L69" t="s">
        <v>159</v>
      </c>
      <c r="N69" t="s">
        <v>210</v>
      </c>
      <c r="O69" t="s">
        <v>317</v>
      </c>
      <c r="P69">
        <v>3.8008437915563473E-3</v>
      </c>
      <c r="Q69" t="s">
        <v>159</v>
      </c>
      <c r="S69" t="s">
        <v>252</v>
      </c>
      <c r="T69" t="s">
        <v>317</v>
      </c>
      <c r="U69">
        <v>4.7240641402747892E-3</v>
      </c>
      <c r="V69" t="s">
        <v>159</v>
      </c>
      <c r="X69">
        <v>3.3105022831050228E-3</v>
      </c>
      <c r="Y69">
        <v>4.9987983657774574E-3</v>
      </c>
      <c r="Z69" t="s">
        <v>317</v>
      </c>
      <c r="AA69" t="s">
        <v>25</v>
      </c>
      <c r="AC69" t="s">
        <v>22</v>
      </c>
      <c r="AD69" t="s">
        <v>317</v>
      </c>
      <c r="AE69">
        <v>3.8224041608446711E-3</v>
      </c>
      <c r="AG69" t="s">
        <v>96</v>
      </c>
      <c r="AH69" t="s">
        <v>317</v>
      </c>
      <c r="AI69">
        <v>3.4404290583164077E-2</v>
      </c>
      <c r="AK69">
        <v>2031</v>
      </c>
      <c r="AL69" t="s">
        <v>285</v>
      </c>
      <c r="AM69">
        <v>0.14069999999999999</v>
      </c>
      <c r="AN69" t="s">
        <v>281</v>
      </c>
    </row>
    <row r="70" spans="9:40" x14ac:dyDescent="0.45">
      <c r="I70" t="s">
        <v>157</v>
      </c>
      <c r="J70" t="s">
        <v>318</v>
      </c>
      <c r="K70">
        <v>0</v>
      </c>
      <c r="L70" t="s">
        <v>159</v>
      </c>
      <c r="N70" t="s">
        <v>210</v>
      </c>
      <c r="O70" t="s">
        <v>318</v>
      </c>
      <c r="P70">
        <v>9.3545060719017626E-3</v>
      </c>
      <c r="Q70" t="s">
        <v>159</v>
      </c>
      <c r="S70" t="s">
        <v>252</v>
      </c>
      <c r="T70" t="s">
        <v>318</v>
      </c>
      <c r="U70">
        <v>2.3904113855251107E-2</v>
      </c>
      <c r="V70" t="s">
        <v>159</v>
      </c>
      <c r="X70">
        <v>1.6552511415525113E-2</v>
      </c>
      <c r="Y70">
        <v>1.2496995914443643E-2</v>
      </c>
      <c r="Z70" t="s">
        <v>318</v>
      </c>
      <c r="AA70" t="s">
        <v>25</v>
      </c>
      <c r="AC70" t="s">
        <v>22</v>
      </c>
      <c r="AD70" t="s">
        <v>318</v>
      </c>
      <c r="AE70">
        <v>1.5601131347728524E-2</v>
      </c>
      <c r="AG70" t="s">
        <v>96</v>
      </c>
      <c r="AH70" t="s">
        <v>318</v>
      </c>
      <c r="AI70">
        <v>0.12923681474822235</v>
      </c>
      <c r="AK70">
        <v>2031</v>
      </c>
      <c r="AL70" t="s">
        <v>306</v>
      </c>
      <c r="AM70">
        <v>0.26429999999999998</v>
      </c>
      <c r="AN70" t="s">
        <v>281</v>
      </c>
    </row>
    <row r="71" spans="9:40" x14ac:dyDescent="0.45">
      <c r="I71" t="s">
        <v>168</v>
      </c>
      <c r="J71" t="s">
        <v>158</v>
      </c>
      <c r="K71">
        <v>1.1038188482767521E-2</v>
      </c>
      <c r="L71" t="s">
        <v>159</v>
      </c>
      <c r="N71" t="s">
        <v>211</v>
      </c>
      <c r="O71" t="s">
        <v>158</v>
      </c>
      <c r="P71">
        <v>9.9312322061314323E-2</v>
      </c>
      <c r="Q71" t="s">
        <v>159</v>
      </c>
      <c r="S71" t="s">
        <v>253</v>
      </c>
      <c r="T71" t="s">
        <v>158</v>
      </c>
      <c r="U71">
        <v>0.14406437260083843</v>
      </c>
      <c r="V71" t="s">
        <v>159</v>
      </c>
      <c r="AC71" t="s">
        <v>19</v>
      </c>
      <c r="AD71" t="s">
        <v>158</v>
      </c>
      <c r="AE71">
        <v>0.13573818333269982</v>
      </c>
      <c r="AK71">
        <v>2032</v>
      </c>
      <c r="AL71" t="s">
        <v>148</v>
      </c>
      <c r="AM71">
        <v>0.27374999999999999</v>
      </c>
      <c r="AN71" t="s">
        <v>281</v>
      </c>
    </row>
    <row r="72" spans="9:40" x14ac:dyDescent="0.45">
      <c r="I72" t="s">
        <v>168</v>
      </c>
      <c r="J72" t="s">
        <v>160</v>
      </c>
      <c r="K72">
        <v>3.3262239881269084E-2</v>
      </c>
      <c r="L72" t="s">
        <v>159</v>
      </c>
      <c r="N72" t="s">
        <v>211</v>
      </c>
      <c r="O72" t="s">
        <v>160</v>
      </c>
      <c r="P72">
        <v>1.4597265227862012E-2</v>
      </c>
      <c r="Q72" t="s">
        <v>159</v>
      </c>
      <c r="S72" t="s">
        <v>253</v>
      </c>
      <c r="T72" t="s">
        <v>160</v>
      </c>
      <c r="U72">
        <v>1.8134904106446661E-2</v>
      </c>
      <c r="V72" t="s">
        <v>159</v>
      </c>
      <c r="AC72" t="s">
        <v>19</v>
      </c>
      <c r="AD72" t="s">
        <v>160</v>
      </c>
      <c r="AE72">
        <v>1.9732971880100592E-2</v>
      </c>
      <c r="AK72">
        <v>2032</v>
      </c>
      <c r="AL72" t="s">
        <v>152</v>
      </c>
      <c r="AM72">
        <v>0.1003</v>
      </c>
      <c r="AN72" t="s">
        <v>281</v>
      </c>
    </row>
    <row r="73" spans="9:40" x14ac:dyDescent="0.45">
      <c r="I73" t="s">
        <v>168</v>
      </c>
      <c r="J73" t="s">
        <v>161</v>
      </c>
      <c r="K73">
        <v>0.37453754636170189</v>
      </c>
      <c r="L73" t="s">
        <v>159</v>
      </c>
      <c r="N73" t="s">
        <v>211</v>
      </c>
      <c r="O73" t="s">
        <v>161</v>
      </c>
      <c r="P73">
        <v>0.19570418457600958</v>
      </c>
      <c r="Q73" t="s">
        <v>159</v>
      </c>
      <c r="S73" t="s">
        <v>253</v>
      </c>
      <c r="T73" t="s">
        <v>161</v>
      </c>
      <c r="U73">
        <v>0.16172345543284128</v>
      </c>
      <c r="V73" t="s">
        <v>159</v>
      </c>
      <c r="AC73" t="s">
        <v>19</v>
      </c>
      <c r="AD73" t="s">
        <v>161</v>
      </c>
      <c r="AE73">
        <v>0.17811616576970474</v>
      </c>
      <c r="AK73">
        <v>2032</v>
      </c>
      <c r="AL73" t="s">
        <v>154</v>
      </c>
      <c r="AM73">
        <v>7.7699999999999991E-2</v>
      </c>
      <c r="AN73" t="s">
        <v>281</v>
      </c>
    </row>
    <row r="74" spans="9:40" x14ac:dyDescent="0.45">
      <c r="I74" t="s">
        <v>168</v>
      </c>
      <c r="J74" t="s">
        <v>287</v>
      </c>
      <c r="K74">
        <v>2.7885936038220337E-2</v>
      </c>
      <c r="L74" t="s">
        <v>159</v>
      </c>
      <c r="N74" t="s">
        <v>211</v>
      </c>
      <c r="O74" t="s">
        <v>287</v>
      </c>
      <c r="P74">
        <v>2.2808847380707147E-2</v>
      </c>
      <c r="Q74" t="s">
        <v>159</v>
      </c>
      <c r="S74" t="s">
        <v>253</v>
      </c>
      <c r="T74" t="s">
        <v>287</v>
      </c>
      <c r="U74">
        <v>2.2604543772491596E-2</v>
      </c>
      <c r="V74" t="s">
        <v>159</v>
      </c>
      <c r="AC74" t="s">
        <v>19</v>
      </c>
      <c r="AD74" t="s">
        <v>287</v>
      </c>
      <c r="AE74">
        <v>1.9825296206167537E-2</v>
      </c>
      <c r="AK74">
        <v>2032</v>
      </c>
      <c r="AL74" t="s">
        <v>283</v>
      </c>
      <c r="AM74">
        <v>7.5700000000000003E-2</v>
      </c>
      <c r="AN74" t="s">
        <v>281</v>
      </c>
    </row>
    <row r="75" spans="9:40" x14ac:dyDescent="0.45">
      <c r="I75" t="s">
        <v>168</v>
      </c>
      <c r="J75" t="s">
        <v>288</v>
      </c>
      <c r="K75">
        <v>1.2149619814640506E-2</v>
      </c>
      <c r="L75" t="s">
        <v>159</v>
      </c>
      <c r="N75" t="s">
        <v>211</v>
      </c>
      <c r="O75" t="s">
        <v>288</v>
      </c>
      <c r="P75">
        <v>2.3330971128320714E-2</v>
      </c>
      <c r="Q75" t="s">
        <v>159</v>
      </c>
      <c r="S75" t="s">
        <v>253</v>
      </c>
      <c r="T75" t="s">
        <v>288</v>
      </c>
      <c r="U75">
        <v>2.3316179652172291E-2</v>
      </c>
      <c r="V75" t="s">
        <v>159</v>
      </c>
      <c r="AC75" t="s">
        <v>19</v>
      </c>
      <c r="AD75" t="s">
        <v>288</v>
      </c>
      <c r="AE75">
        <v>1.9830209983525703E-2</v>
      </c>
      <c r="AK75">
        <v>2032</v>
      </c>
      <c r="AL75" t="s">
        <v>285</v>
      </c>
      <c r="AM75">
        <v>0.13971999999999998</v>
      </c>
      <c r="AN75" t="s">
        <v>281</v>
      </c>
    </row>
    <row r="76" spans="9:40" x14ac:dyDescent="0.45">
      <c r="I76" t="s">
        <v>168</v>
      </c>
      <c r="J76" t="s">
        <v>308</v>
      </c>
      <c r="K76">
        <v>0</v>
      </c>
      <c r="L76" t="s">
        <v>159</v>
      </c>
      <c r="N76" t="s">
        <v>211</v>
      </c>
      <c r="O76" t="s">
        <v>308</v>
      </c>
      <c r="P76">
        <v>9.695345943829721E-2</v>
      </c>
      <c r="Q76" t="s">
        <v>159</v>
      </c>
      <c r="S76" t="s">
        <v>253</v>
      </c>
      <c r="T76" t="s">
        <v>308</v>
      </c>
      <c r="U76">
        <v>0.11532383753848326</v>
      </c>
      <c r="V76" t="s">
        <v>159</v>
      </c>
      <c r="AC76" t="s">
        <v>19</v>
      </c>
      <c r="AD76" t="s">
        <v>308</v>
      </c>
      <c r="AE76">
        <v>9.8004228801534699E-2</v>
      </c>
      <c r="AK76">
        <v>2032</v>
      </c>
      <c r="AL76" t="s">
        <v>306</v>
      </c>
      <c r="AM76">
        <v>0.26200000000000001</v>
      </c>
      <c r="AN76" t="s">
        <v>281</v>
      </c>
    </row>
    <row r="77" spans="9:40" x14ac:dyDescent="0.45">
      <c r="I77" t="s">
        <v>168</v>
      </c>
      <c r="J77" t="s">
        <v>162</v>
      </c>
      <c r="K77">
        <v>0</v>
      </c>
      <c r="L77" t="s">
        <v>159</v>
      </c>
      <c r="N77" t="s">
        <v>211</v>
      </c>
      <c r="O77" t="s">
        <v>162</v>
      </c>
      <c r="P77">
        <v>2.0857618066984367E-2</v>
      </c>
      <c r="Q77" t="s">
        <v>159</v>
      </c>
      <c r="S77" t="s">
        <v>253</v>
      </c>
      <c r="T77" t="s">
        <v>162</v>
      </c>
      <c r="U77">
        <v>1.942101073806158E-2</v>
      </c>
      <c r="V77" t="s">
        <v>159</v>
      </c>
      <c r="AC77" t="s">
        <v>19</v>
      </c>
      <c r="AD77" t="s">
        <v>162</v>
      </c>
      <c r="AE77">
        <v>2.2856226989434885E-2</v>
      </c>
      <c r="AK77">
        <v>2033</v>
      </c>
      <c r="AL77" t="s">
        <v>148</v>
      </c>
      <c r="AM77">
        <v>0.26978333333333332</v>
      </c>
      <c r="AN77" t="s">
        <v>281</v>
      </c>
    </row>
    <row r="78" spans="9:40" x14ac:dyDescent="0.45">
      <c r="I78" t="s">
        <v>168</v>
      </c>
      <c r="J78" t="s">
        <v>163</v>
      </c>
      <c r="K78">
        <v>3.5635209983616036E-3</v>
      </c>
      <c r="L78" t="s">
        <v>159</v>
      </c>
      <c r="N78" t="s">
        <v>211</v>
      </c>
      <c r="O78" t="s">
        <v>163</v>
      </c>
      <c r="P78">
        <v>3.2913323785634272E-3</v>
      </c>
      <c r="Q78" t="s">
        <v>159</v>
      </c>
      <c r="S78" t="s">
        <v>253</v>
      </c>
      <c r="T78" t="s">
        <v>163</v>
      </c>
      <c r="U78">
        <v>2.6972428651617425E-3</v>
      </c>
      <c r="V78" t="s">
        <v>159</v>
      </c>
      <c r="AC78" t="s">
        <v>19</v>
      </c>
      <c r="AD78" t="s">
        <v>163</v>
      </c>
      <c r="AE78">
        <v>3.3381616718657866E-3</v>
      </c>
      <c r="AK78">
        <v>2033</v>
      </c>
      <c r="AL78" t="s">
        <v>152</v>
      </c>
      <c r="AM78">
        <v>9.7200000000000009E-2</v>
      </c>
      <c r="AN78" t="s">
        <v>281</v>
      </c>
    </row>
    <row r="79" spans="9:40" x14ac:dyDescent="0.45">
      <c r="I79" t="s">
        <v>168</v>
      </c>
      <c r="J79" t="s">
        <v>164</v>
      </c>
      <c r="K79">
        <v>4.5174777402247013E-2</v>
      </c>
      <c r="L79" t="s">
        <v>159</v>
      </c>
      <c r="N79" t="s">
        <v>211</v>
      </c>
      <c r="O79" t="s">
        <v>164</v>
      </c>
      <c r="P79">
        <v>3.9025749358794236E-2</v>
      </c>
      <c r="Q79" t="s">
        <v>159</v>
      </c>
      <c r="S79" t="s">
        <v>253</v>
      </c>
      <c r="T79" t="s">
        <v>164</v>
      </c>
      <c r="U79">
        <v>2.4603556850170214E-2</v>
      </c>
      <c r="V79" t="s">
        <v>159</v>
      </c>
      <c r="AC79" t="s">
        <v>19</v>
      </c>
      <c r="AD79" t="s">
        <v>164</v>
      </c>
      <c r="AE79">
        <v>2.9986769616568022E-2</v>
      </c>
      <c r="AK79">
        <v>2033</v>
      </c>
      <c r="AL79" t="s">
        <v>154</v>
      </c>
      <c r="AM79">
        <v>8.6800000000000002E-2</v>
      </c>
      <c r="AN79" t="s">
        <v>281</v>
      </c>
    </row>
    <row r="80" spans="9:40" x14ac:dyDescent="0.45">
      <c r="I80" t="s">
        <v>168</v>
      </c>
      <c r="J80" t="s">
        <v>289</v>
      </c>
      <c r="K80">
        <v>2.9953383273213013E-3</v>
      </c>
      <c r="L80" t="s">
        <v>159</v>
      </c>
      <c r="N80" t="s">
        <v>211</v>
      </c>
      <c r="O80" t="s">
        <v>289</v>
      </c>
      <c r="P80">
        <v>3.7239487689515603E-3</v>
      </c>
      <c r="Q80" t="s">
        <v>159</v>
      </c>
      <c r="S80" t="s">
        <v>253</v>
      </c>
      <c r="T80" t="s">
        <v>289</v>
      </c>
      <c r="U80">
        <v>2.9312381983165182E-3</v>
      </c>
      <c r="V80" t="s">
        <v>159</v>
      </c>
      <c r="AC80" t="s">
        <v>19</v>
      </c>
      <c r="AD80" t="s">
        <v>289</v>
      </c>
      <c r="AE80">
        <v>3.3616674885937358E-3</v>
      </c>
      <c r="AK80">
        <v>2033</v>
      </c>
      <c r="AL80" t="s">
        <v>283</v>
      </c>
      <c r="AM80">
        <v>8.8400000000000006E-2</v>
      </c>
      <c r="AN80" t="s">
        <v>281</v>
      </c>
    </row>
    <row r="81" spans="9:40" x14ac:dyDescent="0.45">
      <c r="I81" t="s">
        <v>168</v>
      </c>
      <c r="J81" t="s">
        <v>290</v>
      </c>
      <c r="K81">
        <v>0</v>
      </c>
      <c r="L81" t="s">
        <v>159</v>
      </c>
      <c r="N81" t="s">
        <v>211</v>
      </c>
      <c r="O81" t="s">
        <v>290</v>
      </c>
      <c r="P81">
        <v>3.5180751016816838E-3</v>
      </c>
      <c r="Q81" t="s">
        <v>159</v>
      </c>
      <c r="S81" t="s">
        <v>253</v>
      </c>
      <c r="T81" t="s">
        <v>290</v>
      </c>
      <c r="U81">
        <v>2.9941492507715196E-3</v>
      </c>
      <c r="V81" t="s">
        <v>159</v>
      </c>
      <c r="AC81" t="s">
        <v>19</v>
      </c>
      <c r="AD81" t="s">
        <v>290</v>
      </c>
      <c r="AE81">
        <v>3.3591727236435393E-3</v>
      </c>
      <c r="AK81">
        <v>2033</v>
      </c>
      <c r="AL81" t="s">
        <v>285</v>
      </c>
      <c r="AM81">
        <v>0.14872000000000002</v>
      </c>
      <c r="AN81" t="s">
        <v>281</v>
      </c>
    </row>
    <row r="82" spans="9:40" x14ac:dyDescent="0.45">
      <c r="I82" t="s">
        <v>168</v>
      </c>
      <c r="J82" t="s">
        <v>309</v>
      </c>
      <c r="K82">
        <v>0</v>
      </c>
      <c r="L82" t="s">
        <v>159</v>
      </c>
      <c r="N82" t="s">
        <v>211</v>
      </c>
      <c r="O82" t="s">
        <v>309</v>
      </c>
      <c r="P82">
        <v>1.5140074075007181E-2</v>
      </c>
      <c r="Q82" t="s">
        <v>159</v>
      </c>
      <c r="S82" t="s">
        <v>253</v>
      </c>
      <c r="T82" t="s">
        <v>309</v>
      </c>
      <c r="U82">
        <v>1.527612448378329E-2</v>
      </c>
      <c r="V82" t="s">
        <v>159</v>
      </c>
      <c r="AC82" t="s">
        <v>19</v>
      </c>
      <c r="AD82" t="s">
        <v>309</v>
      </c>
      <c r="AE82">
        <v>1.652453716129651E-2</v>
      </c>
      <c r="AK82">
        <v>2033</v>
      </c>
      <c r="AL82" t="s">
        <v>306</v>
      </c>
      <c r="AM82">
        <v>0.28260000000000002</v>
      </c>
      <c r="AN82" t="s">
        <v>281</v>
      </c>
    </row>
    <row r="83" spans="9:40" x14ac:dyDescent="0.45">
      <c r="I83" t="s">
        <v>168</v>
      </c>
      <c r="J83" t="s">
        <v>346</v>
      </c>
      <c r="K83">
        <v>0</v>
      </c>
      <c r="L83" t="s">
        <v>159</v>
      </c>
      <c r="N83" t="s">
        <v>211</v>
      </c>
      <c r="O83" t="s">
        <v>346</v>
      </c>
      <c r="P83">
        <v>1.3801320547924833E-5</v>
      </c>
      <c r="Q83" t="s">
        <v>159</v>
      </c>
      <c r="S83" t="s">
        <v>253</v>
      </c>
      <c r="T83" t="s">
        <v>346</v>
      </c>
      <c r="U83">
        <v>1.102134374019484E-5</v>
      </c>
      <c r="V83" t="s">
        <v>159</v>
      </c>
      <c r="AC83" t="s">
        <v>19</v>
      </c>
      <c r="AD83" t="s">
        <v>346</v>
      </c>
      <c r="AE83">
        <v>1.1181329529002723E-4</v>
      </c>
      <c r="AK83">
        <v>2034</v>
      </c>
      <c r="AL83" t="s">
        <v>148</v>
      </c>
      <c r="AM83">
        <v>0.26903333333333335</v>
      </c>
      <c r="AN83" t="s">
        <v>281</v>
      </c>
    </row>
    <row r="84" spans="9:40" x14ac:dyDescent="0.45">
      <c r="I84" t="s">
        <v>168</v>
      </c>
      <c r="J84" t="s">
        <v>347</v>
      </c>
      <c r="K84">
        <v>0</v>
      </c>
      <c r="L84" t="s">
        <v>159</v>
      </c>
      <c r="N84" t="s">
        <v>211</v>
      </c>
      <c r="O84" t="s">
        <v>347</v>
      </c>
      <c r="P84">
        <v>2.1114955354901788E-5</v>
      </c>
      <c r="Q84" t="s">
        <v>159</v>
      </c>
      <c r="S84" t="s">
        <v>253</v>
      </c>
      <c r="T84" t="s">
        <v>347</v>
      </c>
      <c r="U84">
        <v>7.4626251044150274E-6</v>
      </c>
      <c r="V84" t="s">
        <v>159</v>
      </c>
      <c r="AC84" t="s">
        <v>19</v>
      </c>
      <c r="AD84" t="s">
        <v>347</v>
      </c>
      <c r="AE84">
        <v>1.1177358856714907E-4</v>
      </c>
      <c r="AK84">
        <v>2034</v>
      </c>
      <c r="AL84" t="s">
        <v>152</v>
      </c>
      <c r="AM84">
        <v>9.715E-2</v>
      </c>
      <c r="AN84" t="s">
        <v>281</v>
      </c>
    </row>
    <row r="85" spans="9:40" x14ac:dyDescent="0.45">
      <c r="I85" t="s">
        <v>168</v>
      </c>
      <c r="J85" t="s">
        <v>348</v>
      </c>
      <c r="K85">
        <v>0</v>
      </c>
      <c r="L85" t="s">
        <v>159</v>
      </c>
      <c r="N85" t="s">
        <v>211</v>
      </c>
      <c r="O85" t="s">
        <v>348</v>
      </c>
      <c r="P85">
        <v>2.7799429789570371E-5</v>
      </c>
      <c r="Q85" t="s">
        <v>159</v>
      </c>
      <c r="S85" t="s">
        <v>253</v>
      </c>
      <c r="T85" t="s">
        <v>348</v>
      </c>
      <c r="U85">
        <v>6.4642021834465929E-6</v>
      </c>
      <c r="V85" t="s">
        <v>159</v>
      </c>
      <c r="AC85" t="s">
        <v>19</v>
      </c>
      <c r="AD85" t="s">
        <v>348</v>
      </c>
      <c r="AE85">
        <v>1.1177358856714907E-4</v>
      </c>
      <c r="AK85">
        <v>2034</v>
      </c>
      <c r="AL85" t="s">
        <v>154</v>
      </c>
      <c r="AM85">
        <v>7.9949999999999993E-2</v>
      </c>
      <c r="AN85" t="s">
        <v>281</v>
      </c>
    </row>
    <row r="86" spans="9:40" x14ac:dyDescent="0.45">
      <c r="I86" t="s">
        <v>168</v>
      </c>
      <c r="J86" t="s">
        <v>349</v>
      </c>
      <c r="K86">
        <v>0</v>
      </c>
      <c r="L86" t="s">
        <v>159</v>
      </c>
      <c r="N86" t="s">
        <v>211</v>
      </c>
      <c r="O86" t="s">
        <v>349</v>
      </c>
      <c r="P86">
        <v>3.0931427187099279E-5</v>
      </c>
      <c r="Q86" t="s">
        <v>159</v>
      </c>
      <c r="S86" t="s">
        <v>253</v>
      </c>
      <c r="T86" t="s">
        <v>349</v>
      </c>
      <c r="U86">
        <v>8.0311267556995609E-6</v>
      </c>
      <c r="V86" t="s">
        <v>159</v>
      </c>
      <c r="AC86" t="s">
        <v>19</v>
      </c>
      <c r="AD86" t="s">
        <v>349</v>
      </c>
      <c r="AE86">
        <v>1.1200000136994373E-4</v>
      </c>
      <c r="AK86">
        <v>2034</v>
      </c>
      <c r="AL86" t="s">
        <v>283</v>
      </c>
      <c r="AM86">
        <v>8.0600000000000005E-2</v>
      </c>
      <c r="AN86" t="s">
        <v>281</v>
      </c>
    </row>
    <row r="87" spans="9:40" x14ac:dyDescent="0.45">
      <c r="I87" t="s">
        <v>168</v>
      </c>
      <c r="J87" t="s">
        <v>350</v>
      </c>
      <c r="K87">
        <v>0</v>
      </c>
      <c r="L87" t="s">
        <v>159</v>
      </c>
      <c r="N87" t="s">
        <v>211</v>
      </c>
      <c r="O87" t="s">
        <v>350</v>
      </c>
      <c r="P87">
        <v>3.3416094520568991E-5</v>
      </c>
      <c r="Q87" t="s">
        <v>159</v>
      </c>
      <c r="S87" t="s">
        <v>253</v>
      </c>
      <c r="T87" t="s">
        <v>350</v>
      </c>
      <c r="U87">
        <v>6.7319659104129771E-6</v>
      </c>
      <c r="V87" t="s">
        <v>159</v>
      </c>
      <c r="AC87" t="s">
        <v>19</v>
      </c>
      <c r="AD87" t="s">
        <v>350</v>
      </c>
      <c r="AE87">
        <v>1.1304335887535946E-4</v>
      </c>
      <c r="AK87">
        <v>2034</v>
      </c>
      <c r="AL87" t="s">
        <v>285</v>
      </c>
      <c r="AM87">
        <v>0.14486000000000002</v>
      </c>
      <c r="AN87" t="s">
        <v>281</v>
      </c>
    </row>
    <row r="88" spans="9:40" x14ac:dyDescent="0.45">
      <c r="I88" t="s">
        <v>168</v>
      </c>
      <c r="J88" t="s">
        <v>351</v>
      </c>
      <c r="K88">
        <v>0</v>
      </c>
      <c r="L88" t="s">
        <v>159</v>
      </c>
      <c r="N88" t="s">
        <v>211</v>
      </c>
      <c r="O88" t="s">
        <v>351</v>
      </c>
      <c r="P88">
        <v>3.4658943961088209E-5</v>
      </c>
      <c r="Q88" t="s">
        <v>159</v>
      </c>
      <c r="S88" t="s">
        <v>253</v>
      </c>
      <c r="T88" t="s">
        <v>351</v>
      </c>
      <c r="U88">
        <v>3.8265096657460737E-6</v>
      </c>
      <c r="V88" t="s">
        <v>159</v>
      </c>
      <c r="AC88" t="s">
        <v>19</v>
      </c>
      <c r="AD88" t="s">
        <v>351</v>
      </c>
      <c r="AE88">
        <v>1.1397491801919624E-4</v>
      </c>
      <c r="AK88">
        <v>2034</v>
      </c>
      <c r="AL88" t="s">
        <v>306</v>
      </c>
      <c r="AM88">
        <v>0.28010000000000002</v>
      </c>
      <c r="AN88" t="s">
        <v>281</v>
      </c>
    </row>
    <row r="89" spans="9:40" x14ac:dyDescent="0.45">
      <c r="I89" t="s">
        <v>168</v>
      </c>
      <c r="J89" t="s">
        <v>352</v>
      </c>
      <c r="K89">
        <v>0</v>
      </c>
      <c r="L89" t="s">
        <v>159</v>
      </c>
      <c r="N89" t="s">
        <v>211</v>
      </c>
      <c r="O89" t="s">
        <v>352</v>
      </c>
      <c r="P89">
        <v>3.2642489046374608E-5</v>
      </c>
      <c r="Q89" t="s">
        <v>159</v>
      </c>
      <c r="S89" t="s">
        <v>253</v>
      </c>
      <c r="T89" t="s">
        <v>352</v>
      </c>
      <c r="U89">
        <v>1.8462632311721604E-6</v>
      </c>
      <c r="V89" t="s">
        <v>159</v>
      </c>
      <c r="AC89" t="s">
        <v>19</v>
      </c>
      <c r="AD89" t="s">
        <v>352</v>
      </c>
      <c r="AE89">
        <v>1.1507544194123799E-4</v>
      </c>
      <c r="AK89">
        <v>2035</v>
      </c>
      <c r="AL89" t="s">
        <v>148</v>
      </c>
      <c r="AM89">
        <v>0.32013333333333333</v>
      </c>
      <c r="AN89" t="s">
        <v>281</v>
      </c>
    </row>
    <row r="90" spans="9:40" x14ac:dyDescent="0.45">
      <c r="I90" t="s">
        <v>168</v>
      </c>
      <c r="J90" t="s">
        <v>353</v>
      </c>
      <c r="K90">
        <v>1.2082611624175542E-4</v>
      </c>
      <c r="L90" t="s">
        <v>159</v>
      </c>
      <c r="N90" t="s">
        <v>211</v>
      </c>
      <c r="O90" t="s">
        <v>353</v>
      </c>
      <c r="P90">
        <v>2.8196048683145147E-5</v>
      </c>
      <c r="Q90" t="s">
        <v>159</v>
      </c>
      <c r="S90" t="s">
        <v>253</v>
      </c>
      <c r="T90" t="s">
        <v>353</v>
      </c>
      <c r="U90">
        <v>3.8403807538253818E-7</v>
      </c>
      <c r="V90" t="s">
        <v>159</v>
      </c>
      <c r="AC90" t="s">
        <v>19</v>
      </c>
      <c r="AD90" t="s">
        <v>353</v>
      </c>
      <c r="AE90">
        <v>1.1585915690414539E-4</v>
      </c>
      <c r="AK90">
        <v>2035</v>
      </c>
      <c r="AL90" t="s">
        <v>152</v>
      </c>
      <c r="AM90">
        <v>0.11874999999999999</v>
      </c>
      <c r="AN90" t="s">
        <v>281</v>
      </c>
    </row>
    <row r="91" spans="9:40" x14ac:dyDescent="0.45">
      <c r="I91" t="s">
        <v>168</v>
      </c>
      <c r="J91" t="s">
        <v>354</v>
      </c>
      <c r="K91">
        <v>1.6227793721589317E-4</v>
      </c>
      <c r="L91" t="s">
        <v>159</v>
      </c>
      <c r="N91" t="s">
        <v>211</v>
      </c>
      <c r="O91" t="s">
        <v>354</v>
      </c>
      <c r="P91">
        <v>2.4011387660682537E-5</v>
      </c>
      <c r="Q91" t="s">
        <v>159</v>
      </c>
      <c r="S91" t="s">
        <v>253</v>
      </c>
      <c r="T91" t="s">
        <v>354</v>
      </c>
      <c r="U91">
        <v>2.6871297761194888E-7</v>
      </c>
      <c r="V91" t="s">
        <v>159</v>
      </c>
      <c r="AC91" t="s">
        <v>19</v>
      </c>
      <c r="AD91" t="s">
        <v>354</v>
      </c>
      <c r="AE91">
        <v>1.1572651955325449E-4</v>
      </c>
      <c r="AK91">
        <v>2035</v>
      </c>
      <c r="AL91" t="s">
        <v>154</v>
      </c>
      <c r="AM91">
        <v>9.1600000000000001E-2</v>
      </c>
      <c r="AN91" t="s">
        <v>281</v>
      </c>
    </row>
    <row r="92" spans="9:40" x14ac:dyDescent="0.45">
      <c r="I92" t="s">
        <v>168</v>
      </c>
      <c r="J92" t="s">
        <v>355</v>
      </c>
      <c r="K92">
        <v>1.674400790275644E-4</v>
      </c>
      <c r="L92" t="s">
        <v>159</v>
      </c>
      <c r="N92" t="s">
        <v>211</v>
      </c>
      <c r="O92" t="s">
        <v>355</v>
      </c>
      <c r="P92">
        <v>1.7119470555231702E-5</v>
      </c>
      <c r="Q92" t="s">
        <v>159</v>
      </c>
      <c r="S92" t="s">
        <v>253</v>
      </c>
      <c r="T92" t="s">
        <v>355</v>
      </c>
      <c r="U92">
        <v>2.530946269437477E-7</v>
      </c>
      <c r="V92" t="s">
        <v>159</v>
      </c>
      <c r="AC92" t="s">
        <v>19</v>
      </c>
      <c r="AD92" t="s">
        <v>355</v>
      </c>
      <c r="AE92">
        <v>1.1514781518790245E-4</v>
      </c>
      <c r="AK92">
        <v>2035</v>
      </c>
      <c r="AL92" t="s">
        <v>283</v>
      </c>
      <c r="AM92">
        <v>9.9400000000000002E-2</v>
      </c>
      <c r="AN92" t="s">
        <v>281</v>
      </c>
    </row>
    <row r="93" spans="9:40" x14ac:dyDescent="0.45">
      <c r="I93" t="s">
        <v>168</v>
      </c>
      <c r="J93" t="s">
        <v>356</v>
      </c>
      <c r="K93">
        <v>1.6461786442905247E-4</v>
      </c>
      <c r="L93" t="s">
        <v>159</v>
      </c>
      <c r="N93" t="s">
        <v>211</v>
      </c>
      <c r="O93" t="s">
        <v>356</v>
      </c>
      <c r="P93">
        <v>1.2776775880854454E-5</v>
      </c>
      <c r="Q93" t="s">
        <v>159</v>
      </c>
      <c r="S93" t="s">
        <v>253</v>
      </c>
      <c r="T93" t="s">
        <v>356</v>
      </c>
      <c r="U93">
        <v>2.5061744204533351E-7</v>
      </c>
      <c r="V93" t="s">
        <v>159</v>
      </c>
      <c r="AC93" t="s">
        <v>19</v>
      </c>
      <c r="AD93" t="s">
        <v>356</v>
      </c>
      <c r="AE93">
        <v>1.1507009138992816E-4</v>
      </c>
      <c r="AK93">
        <v>2035</v>
      </c>
      <c r="AL93" t="s">
        <v>285</v>
      </c>
      <c r="AM93">
        <v>0.17097999999999999</v>
      </c>
      <c r="AN93" t="s">
        <v>281</v>
      </c>
    </row>
    <row r="94" spans="9:40" x14ac:dyDescent="0.45">
      <c r="I94" t="s">
        <v>168</v>
      </c>
      <c r="J94" t="s">
        <v>357</v>
      </c>
      <c r="K94">
        <v>1.8135901655079917E-4</v>
      </c>
      <c r="L94" t="s">
        <v>159</v>
      </c>
      <c r="N94" t="s">
        <v>211</v>
      </c>
      <c r="O94" t="s">
        <v>357</v>
      </c>
      <c r="P94">
        <v>2.3882311407805446E-5</v>
      </c>
      <c r="Q94" t="s">
        <v>159</v>
      </c>
      <c r="S94" t="s">
        <v>253</v>
      </c>
      <c r="T94" t="s">
        <v>357</v>
      </c>
      <c r="U94">
        <v>3.9257509665206193E-7</v>
      </c>
      <c r="V94" t="s">
        <v>159</v>
      </c>
      <c r="AC94" t="s">
        <v>19</v>
      </c>
      <c r="AD94" t="s">
        <v>357</v>
      </c>
      <c r="AE94">
        <v>1.1508783269163968E-4</v>
      </c>
      <c r="AK94">
        <v>2035</v>
      </c>
      <c r="AL94" t="s">
        <v>306</v>
      </c>
      <c r="AM94">
        <v>0.29139999999999999</v>
      </c>
      <c r="AN94" t="s">
        <v>281</v>
      </c>
    </row>
    <row r="95" spans="9:40" x14ac:dyDescent="0.45">
      <c r="I95" t="s">
        <v>168</v>
      </c>
      <c r="J95" t="s">
        <v>358</v>
      </c>
      <c r="K95">
        <v>2.2057060615271148E-4</v>
      </c>
      <c r="L95" t="s">
        <v>159</v>
      </c>
      <c r="N95" t="s">
        <v>211</v>
      </c>
      <c r="O95" t="s">
        <v>358</v>
      </c>
      <c r="P95">
        <v>2.5018277425340218E-5</v>
      </c>
      <c r="Q95" t="s">
        <v>159</v>
      </c>
      <c r="S95" t="s">
        <v>253</v>
      </c>
      <c r="T95" t="s">
        <v>358</v>
      </c>
      <c r="U95">
        <v>1.4456596884646333E-7</v>
      </c>
      <c r="V95" t="s">
        <v>159</v>
      </c>
      <c r="AC95" t="s">
        <v>19</v>
      </c>
      <c r="AD95" t="s">
        <v>358</v>
      </c>
      <c r="AE95">
        <v>1.1508783269163968E-4</v>
      </c>
      <c r="AK95">
        <v>2036</v>
      </c>
      <c r="AL95" t="s">
        <v>148</v>
      </c>
      <c r="AM95">
        <v>0.3082333333333333</v>
      </c>
      <c r="AN95" t="s">
        <v>281</v>
      </c>
    </row>
    <row r="96" spans="9:40" x14ac:dyDescent="0.45">
      <c r="I96" t="s">
        <v>168</v>
      </c>
      <c r="J96" t="s">
        <v>359</v>
      </c>
      <c r="K96">
        <v>1.8397741272702288E-4</v>
      </c>
      <c r="L96" t="s">
        <v>159</v>
      </c>
      <c r="N96" t="s">
        <v>211</v>
      </c>
      <c r="O96" t="s">
        <v>359</v>
      </c>
      <c r="P96">
        <v>1.5961619489986837E-5</v>
      </c>
      <c r="Q96" t="s">
        <v>159</v>
      </c>
      <c r="S96" t="s">
        <v>253</v>
      </c>
      <c r="T96" t="s">
        <v>359</v>
      </c>
      <c r="U96">
        <v>9.2099393582009116E-8</v>
      </c>
      <c r="V96" t="s">
        <v>159</v>
      </c>
      <c r="AC96" t="s">
        <v>19</v>
      </c>
      <c r="AD96" t="s">
        <v>359</v>
      </c>
      <c r="AE96">
        <v>1.1507656837309267E-4</v>
      </c>
      <c r="AK96">
        <v>2036</v>
      </c>
      <c r="AL96" t="s">
        <v>152</v>
      </c>
      <c r="AM96">
        <v>0.1222</v>
      </c>
      <c r="AN96" t="s">
        <v>281</v>
      </c>
    </row>
    <row r="97" spans="9:40" x14ac:dyDescent="0.45">
      <c r="I97" t="s">
        <v>168</v>
      </c>
      <c r="J97" t="s">
        <v>360</v>
      </c>
      <c r="K97">
        <v>1.605524110327098E-4</v>
      </c>
      <c r="L97" t="s">
        <v>159</v>
      </c>
      <c r="N97" t="s">
        <v>211</v>
      </c>
      <c r="O97" t="s">
        <v>360</v>
      </c>
      <c r="P97">
        <v>8.4931193583385186E-6</v>
      </c>
      <c r="Q97" t="s">
        <v>159</v>
      </c>
      <c r="S97" t="s">
        <v>253</v>
      </c>
      <c r="T97" t="s">
        <v>360</v>
      </c>
      <c r="U97">
        <v>1.4840892245052134E-7</v>
      </c>
      <c r="V97" t="s">
        <v>159</v>
      </c>
      <c r="AC97" t="s">
        <v>19</v>
      </c>
      <c r="AD97" t="s">
        <v>360</v>
      </c>
      <c r="AE97">
        <v>1.1507656837309267E-4</v>
      </c>
      <c r="AK97">
        <v>2036</v>
      </c>
      <c r="AL97" t="s">
        <v>154</v>
      </c>
      <c r="AM97">
        <v>9.6700000000000008E-2</v>
      </c>
      <c r="AN97" t="s">
        <v>281</v>
      </c>
    </row>
    <row r="98" spans="9:40" x14ac:dyDescent="0.45">
      <c r="I98" t="s">
        <v>168</v>
      </c>
      <c r="J98" t="s">
        <v>361</v>
      </c>
      <c r="K98">
        <v>1.5971293966433021E-4</v>
      </c>
      <c r="L98" t="s">
        <v>159</v>
      </c>
      <c r="N98" t="s">
        <v>211</v>
      </c>
      <c r="O98" t="s">
        <v>361</v>
      </c>
      <c r="P98">
        <v>2.5769544094016403E-6</v>
      </c>
      <c r="Q98" t="s">
        <v>159</v>
      </c>
      <c r="S98" t="s">
        <v>253</v>
      </c>
      <c r="T98" t="s">
        <v>361</v>
      </c>
      <c r="U98">
        <v>2.2748930248945745E-6</v>
      </c>
      <c r="V98" t="s">
        <v>159</v>
      </c>
      <c r="AC98" t="s">
        <v>19</v>
      </c>
      <c r="AD98" t="s">
        <v>361</v>
      </c>
      <c r="AE98">
        <v>1.1526862500431901E-4</v>
      </c>
      <c r="AK98">
        <v>2036</v>
      </c>
      <c r="AL98" t="s">
        <v>283</v>
      </c>
      <c r="AM98">
        <v>9.2999999999999999E-2</v>
      </c>
      <c r="AN98" t="s">
        <v>281</v>
      </c>
    </row>
    <row r="99" spans="9:40" x14ac:dyDescent="0.45">
      <c r="I99" t="s">
        <v>168</v>
      </c>
      <c r="J99" t="s">
        <v>362</v>
      </c>
      <c r="K99">
        <v>1.5000951480697295E-4</v>
      </c>
      <c r="L99" t="s">
        <v>159</v>
      </c>
      <c r="N99" t="s">
        <v>211</v>
      </c>
      <c r="O99" t="s">
        <v>362</v>
      </c>
      <c r="P99">
        <v>3.207959124848799E-6</v>
      </c>
      <c r="Q99" t="s">
        <v>159</v>
      </c>
      <c r="S99" t="s">
        <v>253</v>
      </c>
      <c r="T99" t="s">
        <v>362</v>
      </c>
      <c r="U99">
        <v>1.0807028835182787E-5</v>
      </c>
      <c r="V99" t="s">
        <v>159</v>
      </c>
      <c r="AC99" t="s">
        <v>19</v>
      </c>
      <c r="AD99" t="s">
        <v>362</v>
      </c>
      <c r="AE99">
        <v>1.1537197512698771E-4</v>
      </c>
      <c r="AK99">
        <v>2036</v>
      </c>
      <c r="AL99" t="s">
        <v>285</v>
      </c>
      <c r="AM99">
        <v>0.16763999999999998</v>
      </c>
      <c r="AN99" t="s">
        <v>281</v>
      </c>
    </row>
    <row r="100" spans="9:40" x14ac:dyDescent="0.45">
      <c r="I100" t="s">
        <v>168</v>
      </c>
      <c r="J100" t="s">
        <v>363</v>
      </c>
      <c r="K100">
        <v>1.1757723498144199E-4</v>
      </c>
      <c r="L100" t="s">
        <v>159</v>
      </c>
      <c r="N100" t="s">
        <v>211</v>
      </c>
      <c r="O100" t="s">
        <v>363</v>
      </c>
      <c r="P100">
        <v>5.0803010988336979E-6</v>
      </c>
      <c r="Q100" t="s">
        <v>159</v>
      </c>
      <c r="S100" t="s">
        <v>253</v>
      </c>
      <c r="T100" t="s">
        <v>363</v>
      </c>
      <c r="U100">
        <v>2.4532735369399209E-5</v>
      </c>
      <c r="V100" t="s">
        <v>159</v>
      </c>
      <c r="AC100" t="s">
        <v>19</v>
      </c>
      <c r="AD100" t="s">
        <v>363</v>
      </c>
      <c r="AE100">
        <v>1.1579607672028221E-4</v>
      </c>
      <c r="AK100">
        <v>2036</v>
      </c>
      <c r="AL100" t="s">
        <v>306</v>
      </c>
      <c r="AM100">
        <v>0.30549999999999999</v>
      </c>
      <c r="AN100" t="s">
        <v>281</v>
      </c>
    </row>
    <row r="101" spans="9:40" x14ac:dyDescent="0.45">
      <c r="I101" t="s">
        <v>168</v>
      </c>
      <c r="J101" t="s">
        <v>364</v>
      </c>
      <c r="K101">
        <v>0</v>
      </c>
      <c r="L101" t="s">
        <v>159</v>
      </c>
      <c r="N101" t="s">
        <v>211</v>
      </c>
      <c r="O101" t="s">
        <v>364</v>
      </c>
      <c r="P101">
        <v>8.4415748430718853E-6</v>
      </c>
      <c r="Q101" t="s">
        <v>159</v>
      </c>
      <c r="S101" t="s">
        <v>253</v>
      </c>
      <c r="T101" t="s">
        <v>364</v>
      </c>
      <c r="U101">
        <v>3.6269415233251755E-5</v>
      </c>
      <c r="V101" t="s">
        <v>159</v>
      </c>
      <c r="AC101" t="s">
        <v>19</v>
      </c>
      <c r="AD101" t="s">
        <v>364</v>
      </c>
      <c r="AE101">
        <v>1.1586028333600009E-4</v>
      </c>
      <c r="AK101">
        <v>2037</v>
      </c>
      <c r="AL101" t="s">
        <v>148</v>
      </c>
      <c r="AM101">
        <v>0.32333333333333331</v>
      </c>
      <c r="AN101" t="s">
        <v>281</v>
      </c>
    </row>
    <row r="102" spans="9:40" x14ac:dyDescent="0.45">
      <c r="I102" t="s">
        <v>168</v>
      </c>
      <c r="J102" t="s">
        <v>365</v>
      </c>
      <c r="K102">
        <v>0</v>
      </c>
      <c r="L102" t="s">
        <v>159</v>
      </c>
      <c r="N102" t="s">
        <v>211</v>
      </c>
      <c r="O102" t="s">
        <v>365</v>
      </c>
      <c r="P102">
        <v>7.8311694672043941E-6</v>
      </c>
      <c r="Q102" t="s">
        <v>159</v>
      </c>
      <c r="S102" t="s">
        <v>253</v>
      </c>
      <c r="T102" t="s">
        <v>365</v>
      </c>
      <c r="U102">
        <v>4.1368552251061336E-5</v>
      </c>
      <c r="V102" t="s">
        <v>159</v>
      </c>
      <c r="AC102" t="s">
        <v>19</v>
      </c>
      <c r="AD102" t="s">
        <v>365</v>
      </c>
      <c r="AE102">
        <v>1.1549306655136795E-4</v>
      </c>
      <c r="AK102">
        <v>2037</v>
      </c>
      <c r="AL102" t="s">
        <v>152</v>
      </c>
      <c r="AM102">
        <v>0.1106</v>
      </c>
      <c r="AN102" t="s">
        <v>281</v>
      </c>
    </row>
    <row r="103" spans="9:40" x14ac:dyDescent="0.45">
      <c r="I103" t="s">
        <v>168</v>
      </c>
      <c r="J103" t="s">
        <v>366</v>
      </c>
      <c r="K103">
        <v>0</v>
      </c>
      <c r="L103" t="s">
        <v>159</v>
      </c>
      <c r="N103" t="s">
        <v>211</v>
      </c>
      <c r="O103" t="s">
        <v>366</v>
      </c>
      <c r="P103">
        <v>6.2839961458753317E-6</v>
      </c>
      <c r="Q103" t="s">
        <v>159</v>
      </c>
      <c r="S103" t="s">
        <v>253</v>
      </c>
      <c r="T103" t="s">
        <v>366</v>
      </c>
      <c r="U103">
        <v>3.8479311820098234E-5</v>
      </c>
      <c r="V103" t="s">
        <v>159</v>
      </c>
      <c r="AC103" t="s">
        <v>19</v>
      </c>
      <c r="AD103" t="s">
        <v>366</v>
      </c>
      <c r="AE103">
        <v>1.1493266670365477E-4</v>
      </c>
      <c r="AK103">
        <v>2037</v>
      </c>
      <c r="AL103" t="s">
        <v>154</v>
      </c>
      <c r="AM103">
        <v>9.4799999999999995E-2</v>
      </c>
      <c r="AN103" t="s">
        <v>281</v>
      </c>
    </row>
    <row r="104" spans="9:40" x14ac:dyDescent="0.45">
      <c r="I104" t="s">
        <v>168</v>
      </c>
      <c r="J104" t="s">
        <v>367</v>
      </c>
      <c r="K104">
        <v>0</v>
      </c>
      <c r="L104" t="s">
        <v>159</v>
      </c>
      <c r="N104" t="s">
        <v>211</v>
      </c>
      <c r="O104" t="s">
        <v>367</v>
      </c>
      <c r="P104">
        <v>4.6111114917576084E-6</v>
      </c>
      <c r="Q104" t="s">
        <v>159</v>
      </c>
      <c r="S104" t="s">
        <v>253</v>
      </c>
      <c r="T104" t="s">
        <v>367</v>
      </c>
      <c r="U104">
        <v>3.9682983078584654E-5</v>
      </c>
      <c r="V104" t="s">
        <v>159</v>
      </c>
      <c r="AC104" t="s">
        <v>19</v>
      </c>
      <c r="AD104" t="s">
        <v>367</v>
      </c>
      <c r="AE104">
        <v>1.1415035978056574E-4</v>
      </c>
      <c r="AK104">
        <v>2037</v>
      </c>
      <c r="AL104" t="s">
        <v>283</v>
      </c>
      <c r="AM104">
        <v>0.1012</v>
      </c>
      <c r="AN104" t="s">
        <v>281</v>
      </c>
    </row>
    <row r="105" spans="9:40" x14ac:dyDescent="0.45">
      <c r="I105" t="s">
        <v>168</v>
      </c>
      <c r="J105" t="s">
        <v>368</v>
      </c>
      <c r="K105">
        <v>0</v>
      </c>
      <c r="L105" t="s">
        <v>159</v>
      </c>
      <c r="N105" t="s">
        <v>211</v>
      </c>
      <c r="O105" t="s">
        <v>368</v>
      </c>
      <c r="P105">
        <v>3.4715644565045696E-6</v>
      </c>
      <c r="Q105" t="s">
        <v>159</v>
      </c>
      <c r="S105" t="s">
        <v>253</v>
      </c>
      <c r="T105" t="s">
        <v>368</v>
      </c>
      <c r="U105">
        <v>4.1649489665940947E-5</v>
      </c>
      <c r="V105" t="s">
        <v>159</v>
      </c>
      <c r="AC105" t="s">
        <v>19</v>
      </c>
      <c r="AD105" t="s">
        <v>368</v>
      </c>
      <c r="AE105">
        <v>1.129135376041053E-4</v>
      </c>
      <c r="AK105">
        <v>2037</v>
      </c>
      <c r="AL105" t="s">
        <v>285</v>
      </c>
      <c r="AM105">
        <v>0.16955999999999999</v>
      </c>
      <c r="AN105" t="s">
        <v>281</v>
      </c>
    </row>
    <row r="106" spans="9:40" x14ac:dyDescent="0.45">
      <c r="I106" t="s">
        <v>168</v>
      </c>
      <c r="J106" t="s">
        <v>369</v>
      </c>
      <c r="K106">
        <v>0</v>
      </c>
      <c r="L106" t="s">
        <v>159</v>
      </c>
      <c r="N106" t="s">
        <v>211</v>
      </c>
      <c r="O106" t="s">
        <v>369</v>
      </c>
      <c r="P106">
        <v>1.6592709302656011E-6</v>
      </c>
      <c r="Q106" t="s">
        <v>159</v>
      </c>
      <c r="S106" t="s">
        <v>253</v>
      </c>
      <c r="T106" t="s">
        <v>369</v>
      </c>
      <c r="U106">
        <v>3.7872922888795075E-5</v>
      </c>
      <c r="V106" t="s">
        <v>159</v>
      </c>
      <c r="AC106" t="s">
        <v>19</v>
      </c>
      <c r="AD106" t="s">
        <v>369</v>
      </c>
      <c r="AE106">
        <v>1.1230272993089432E-4</v>
      </c>
      <c r="AK106">
        <v>2037</v>
      </c>
      <c r="AL106" t="s">
        <v>306</v>
      </c>
      <c r="AM106">
        <v>0.32590000000000002</v>
      </c>
      <c r="AN106" t="s">
        <v>281</v>
      </c>
    </row>
    <row r="107" spans="9:40" x14ac:dyDescent="0.45">
      <c r="I107" t="s">
        <v>168</v>
      </c>
      <c r="J107" t="s">
        <v>165</v>
      </c>
      <c r="K107">
        <v>0</v>
      </c>
      <c r="L107" t="s">
        <v>159</v>
      </c>
      <c r="N107" t="s">
        <v>211</v>
      </c>
      <c r="O107" t="s">
        <v>165</v>
      </c>
      <c r="P107">
        <v>3.0293619439851698E-2</v>
      </c>
      <c r="Q107" t="s">
        <v>159</v>
      </c>
      <c r="S107" t="s">
        <v>253</v>
      </c>
      <c r="T107" t="s">
        <v>165</v>
      </c>
      <c r="U107">
        <v>2.2224772427201896E-2</v>
      </c>
      <c r="V107" t="s">
        <v>159</v>
      </c>
      <c r="AC107" t="s">
        <v>19</v>
      </c>
      <c r="AD107" t="s">
        <v>165</v>
      </c>
      <c r="AE107">
        <v>2.4460553010991867E-2</v>
      </c>
      <c r="AK107">
        <v>2038</v>
      </c>
      <c r="AL107" t="s">
        <v>148</v>
      </c>
      <c r="AM107">
        <v>0.29701666666666665</v>
      </c>
      <c r="AN107" t="s">
        <v>281</v>
      </c>
    </row>
    <row r="108" spans="9:40" x14ac:dyDescent="0.45">
      <c r="I108" t="s">
        <v>168</v>
      </c>
      <c r="J108" t="s">
        <v>166</v>
      </c>
      <c r="K108">
        <v>4.2595881953971047E-3</v>
      </c>
      <c r="L108" t="s">
        <v>159</v>
      </c>
      <c r="N108" t="s">
        <v>211</v>
      </c>
      <c r="O108" t="s">
        <v>166</v>
      </c>
      <c r="P108">
        <v>4.365428023006275E-3</v>
      </c>
      <c r="Q108" t="s">
        <v>159</v>
      </c>
      <c r="S108" t="s">
        <v>253</v>
      </c>
      <c r="T108" t="s">
        <v>166</v>
      </c>
      <c r="U108">
        <v>3.1391823232907417E-3</v>
      </c>
      <c r="V108" t="s">
        <v>159</v>
      </c>
      <c r="AC108" t="s">
        <v>19</v>
      </c>
      <c r="AD108" t="s">
        <v>166</v>
      </c>
      <c r="AE108">
        <v>3.5741985620723776E-3</v>
      </c>
      <c r="AK108">
        <v>2038</v>
      </c>
      <c r="AL108" t="s">
        <v>152</v>
      </c>
      <c r="AM108">
        <v>0.108</v>
      </c>
      <c r="AN108" t="s">
        <v>281</v>
      </c>
    </row>
    <row r="109" spans="9:40" x14ac:dyDescent="0.45">
      <c r="I109" t="s">
        <v>168</v>
      </c>
      <c r="J109" t="s">
        <v>167</v>
      </c>
      <c r="K109">
        <v>5.8883925052115441E-2</v>
      </c>
      <c r="L109" t="s">
        <v>159</v>
      </c>
      <c r="N109" t="s">
        <v>211</v>
      </c>
      <c r="O109" t="s">
        <v>167</v>
      </c>
      <c r="P109">
        <v>5.4039200936253626E-2</v>
      </c>
      <c r="Q109" t="s">
        <v>159</v>
      </c>
      <c r="S109" t="s">
        <v>253</v>
      </c>
      <c r="T109" t="s">
        <v>167</v>
      </c>
      <c r="U109">
        <v>2.5575799592295966E-2</v>
      </c>
      <c r="V109" t="s">
        <v>159</v>
      </c>
      <c r="AC109" t="s">
        <v>19</v>
      </c>
      <c r="AD109" t="s">
        <v>167</v>
      </c>
      <c r="AE109">
        <v>3.2096635427333355E-2</v>
      </c>
      <c r="AK109">
        <v>2038</v>
      </c>
      <c r="AL109" t="s">
        <v>154</v>
      </c>
      <c r="AM109">
        <v>8.9200000000000002E-2</v>
      </c>
      <c r="AN109" t="s">
        <v>281</v>
      </c>
    </row>
    <row r="110" spans="9:40" x14ac:dyDescent="0.45">
      <c r="I110" t="s">
        <v>168</v>
      </c>
      <c r="J110" t="s">
        <v>291</v>
      </c>
      <c r="K110">
        <v>4.2616380733390266E-3</v>
      </c>
      <c r="L110" t="s">
        <v>159</v>
      </c>
      <c r="N110" t="s">
        <v>211</v>
      </c>
      <c r="O110" t="s">
        <v>291</v>
      </c>
      <c r="P110">
        <v>5.2665379994110296E-3</v>
      </c>
      <c r="Q110" t="s">
        <v>159</v>
      </c>
      <c r="S110" t="s">
        <v>253</v>
      </c>
      <c r="T110" t="s">
        <v>291</v>
      </c>
      <c r="U110">
        <v>2.7865861373810395E-3</v>
      </c>
      <c r="V110" t="s">
        <v>159</v>
      </c>
      <c r="AC110" t="s">
        <v>19</v>
      </c>
      <c r="AD110" t="s">
        <v>291</v>
      </c>
      <c r="AE110">
        <v>3.5988468623089562E-3</v>
      </c>
      <c r="AK110">
        <v>2038</v>
      </c>
      <c r="AL110" t="s">
        <v>283</v>
      </c>
      <c r="AM110">
        <v>9.1399999999999995E-2</v>
      </c>
      <c r="AN110" t="s">
        <v>281</v>
      </c>
    </row>
    <row r="111" spans="9:40" x14ac:dyDescent="0.45">
      <c r="I111" t="s">
        <v>168</v>
      </c>
      <c r="J111" t="s">
        <v>292</v>
      </c>
      <c r="K111">
        <v>0</v>
      </c>
      <c r="L111" t="s">
        <v>159</v>
      </c>
      <c r="N111" t="s">
        <v>211</v>
      </c>
      <c r="O111" t="s">
        <v>292</v>
      </c>
      <c r="P111">
        <v>4.6976240684421782E-3</v>
      </c>
      <c r="Q111" t="s">
        <v>159</v>
      </c>
      <c r="S111" t="s">
        <v>253</v>
      </c>
      <c r="T111" t="s">
        <v>292</v>
      </c>
      <c r="U111">
        <v>2.7954122233652332E-3</v>
      </c>
      <c r="V111" t="s">
        <v>159</v>
      </c>
      <c r="AC111" t="s">
        <v>19</v>
      </c>
      <c r="AD111" t="s">
        <v>292</v>
      </c>
      <c r="AE111">
        <v>3.5957089047697261E-3</v>
      </c>
      <c r="AK111">
        <v>2038</v>
      </c>
      <c r="AL111" t="s">
        <v>285</v>
      </c>
      <c r="AM111">
        <v>0.16019999999999998</v>
      </c>
      <c r="AN111" t="s">
        <v>281</v>
      </c>
    </row>
    <row r="112" spans="9:40" x14ac:dyDescent="0.45">
      <c r="I112" t="s">
        <v>168</v>
      </c>
      <c r="J112" t="s">
        <v>310</v>
      </c>
      <c r="K112">
        <v>0</v>
      </c>
      <c r="L112" t="s">
        <v>159</v>
      </c>
      <c r="N112" t="s">
        <v>211</v>
      </c>
      <c r="O112" t="s">
        <v>310</v>
      </c>
      <c r="P112">
        <v>2.1678085609561547E-2</v>
      </c>
      <c r="Q112" t="s">
        <v>159</v>
      </c>
      <c r="S112" t="s">
        <v>253</v>
      </c>
      <c r="T112" t="s">
        <v>310</v>
      </c>
      <c r="U112">
        <v>1.4277406977608572E-2</v>
      </c>
      <c r="V112" t="s">
        <v>159</v>
      </c>
      <c r="AC112" t="s">
        <v>19</v>
      </c>
      <c r="AD112" t="s">
        <v>310</v>
      </c>
      <c r="AE112">
        <v>1.7673630403491965E-2</v>
      </c>
      <c r="AK112">
        <v>2038</v>
      </c>
      <c r="AL112" t="s">
        <v>306</v>
      </c>
      <c r="AM112">
        <v>0.27379999999999999</v>
      </c>
      <c r="AN112" t="s">
        <v>281</v>
      </c>
    </row>
    <row r="113" spans="9:40" x14ac:dyDescent="0.45">
      <c r="I113" t="s">
        <v>168</v>
      </c>
      <c r="J113" t="s">
        <v>293</v>
      </c>
      <c r="K113">
        <v>0</v>
      </c>
      <c r="L113" t="s">
        <v>159</v>
      </c>
      <c r="N113" t="s">
        <v>211</v>
      </c>
      <c r="O113" t="s">
        <v>293</v>
      </c>
      <c r="P113">
        <v>7.6003664367818588E-3</v>
      </c>
      <c r="Q113" t="s">
        <v>159</v>
      </c>
      <c r="S113" t="s">
        <v>253</v>
      </c>
      <c r="T113" t="s">
        <v>293</v>
      </c>
      <c r="U113">
        <v>5.0292886265656906E-3</v>
      </c>
      <c r="V113" t="s">
        <v>159</v>
      </c>
      <c r="AC113" t="s">
        <v>19</v>
      </c>
      <c r="AD113" t="s">
        <v>293</v>
      </c>
      <c r="AE113">
        <v>5.5210323351610443E-3</v>
      </c>
      <c r="AK113">
        <v>2039</v>
      </c>
      <c r="AL113" t="s">
        <v>148</v>
      </c>
      <c r="AM113">
        <v>0.30710000000000004</v>
      </c>
      <c r="AN113" t="s">
        <v>281</v>
      </c>
    </row>
    <row r="114" spans="9:40" x14ac:dyDescent="0.45">
      <c r="I114" t="s">
        <v>168</v>
      </c>
      <c r="J114" t="s">
        <v>294</v>
      </c>
      <c r="K114">
        <v>1.1229721481778232E-3</v>
      </c>
      <c r="L114" t="s">
        <v>159</v>
      </c>
      <c r="N114" t="s">
        <v>211</v>
      </c>
      <c r="O114" t="s">
        <v>294</v>
      </c>
      <c r="P114">
        <v>1.1802078655179862E-3</v>
      </c>
      <c r="Q114" t="s">
        <v>159</v>
      </c>
      <c r="S114" t="s">
        <v>253</v>
      </c>
      <c r="T114" t="s">
        <v>294</v>
      </c>
      <c r="U114">
        <v>6.2570104434928053E-4</v>
      </c>
      <c r="V114" t="s">
        <v>159</v>
      </c>
      <c r="AC114" t="s">
        <v>19</v>
      </c>
      <c r="AD114" t="s">
        <v>294</v>
      </c>
      <c r="AE114">
        <v>8.0528493601298584E-4</v>
      </c>
      <c r="AK114">
        <v>2039</v>
      </c>
      <c r="AL114" t="s">
        <v>152</v>
      </c>
      <c r="AM114">
        <v>0.1091</v>
      </c>
      <c r="AN114" t="s">
        <v>281</v>
      </c>
    </row>
    <row r="115" spans="9:40" x14ac:dyDescent="0.45">
      <c r="I115" t="s">
        <v>168</v>
      </c>
      <c r="J115" t="s">
        <v>295</v>
      </c>
      <c r="K115">
        <v>1.4679073702834783E-2</v>
      </c>
      <c r="L115" t="s">
        <v>159</v>
      </c>
      <c r="N115" t="s">
        <v>211</v>
      </c>
      <c r="O115" t="s">
        <v>295</v>
      </c>
      <c r="P115">
        <v>1.225258921612536E-2</v>
      </c>
      <c r="Q115" t="s">
        <v>159</v>
      </c>
      <c r="S115" t="s">
        <v>253</v>
      </c>
      <c r="T115" t="s">
        <v>295</v>
      </c>
      <c r="U115">
        <v>5.3646334061301613E-3</v>
      </c>
      <c r="V115" t="s">
        <v>159</v>
      </c>
      <c r="AC115" t="s">
        <v>19</v>
      </c>
      <c r="AD115" t="s">
        <v>295</v>
      </c>
      <c r="AE115">
        <v>7.2390485992953422E-3</v>
      </c>
      <c r="AK115">
        <v>2039</v>
      </c>
      <c r="AL115" t="s">
        <v>154</v>
      </c>
      <c r="AM115">
        <v>9.0650000000000008E-2</v>
      </c>
      <c r="AN115" t="s">
        <v>281</v>
      </c>
    </row>
    <row r="116" spans="9:40" x14ac:dyDescent="0.45">
      <c r="I116" t="s">
        <v>168</v>
      </c>
      <c r="J116" t="s">
        <v>296</v>
      </c>
      <c r="K116">
        <v>1.0154635581712348E-3</v>
      </c>
      <c r="L116" t="s">
        <v>159</v>
      </c>
      <c r="N116" t="s">
        <v>211</v>
      </c>
      <c r="O116" t="s">
        <v>296</v>
      </c>
      <c r="P116">
        <v>1.1746246979917698E-3</v>
      </c>
      <c r="Q116" t="s">
        <v>159</v>
      </c>
      <c r="S116" t="s">
        <v>253</v>
      </c>
      <c r="T116" t="s">
        <v>296</v>
      </c>
      <c r="U116">
        <v>6.7814455160965638E-4</v>
      </c>
      <c r="V116" t="s">
        <v>159</v>
      </c>
      <c r="AC116" t="s">
        <v>19</v>
      </c>
      <c r="AD116" t="s">
        <v>296</v>
      </c>
      <c r="AE116">
        <v>8.0901933921927952E-4</v>
      </c>
      <c r="AK116">
        <v>2039</v>
      </c>
      <c r="AL116" t="s">
        <v>283</v>
      </c>
      <c r="AM116">
        <v>9.1700000000000004E-2</v>
      </c>
      <c r="AN116" t="s">
        <v>281</v>
      </c>
    </row>
    <row r="117" spans="9:40" x14ac:dyDescent="0.45">
      <c r="I117" t="s">
        <v>168</v>
      </c>
      <c r="J117" t="s">
        <v>297</v>
      </c>
      <c r="K117">
        <v>0</v>
      </c>
      <c r="L117" t="s">
        <v>159</v>
      </c>
      <c r="N117" t="s">
        <v>211</v>
      </c>
      <c r="O117" t="s">
        <v>297</v>
      </c>
      <c r="P117">
        <v>9.3703306265806188E-4</v>
      </c>
      <c r="Q117" t="s">
        <v>159</v>
      </c>
      <c r="S117" t="s">
        <v>253</v>
      </c>
      <c r="T117" t="s">
        <v>297</v>
      </c>
      <c r="U117">
        <v>7.2734963636812981E-4</v>
      </c>
      <c r="V117" t="s">
        <v>159</v>
      </c>
      <c r="AC117" t="s">
        <v>19</v>
      </c>
      <c r="AD117" t="s">
        <v>297</v>
      </c>
      <c r="AE117">
        <v>8.0844570379727369E-4</v>
      </c>
      <c r="AK117">
        <v>2039</v>
      </c>
      <c r="AL117" t="s">
        <v>285</v>
      </c>
      <c r="AM117">
        <v>0.16633999999999999</v>
      </c>
      <c r="AN117" t="s">
        <v>281</v>
      </c>
    </row>
    <row r="118" spans="9:40" x14ac:dyDescent="0.45">
      <c r="I118" t="s">
        <v>168</v>
      </c>
      <c r="J118" t="s">
        <v>311</v>
      </c>
      <c r="K118">
        <v>0</v>
      </c>
      <c r="L118" t="s">
        <v>159</v>
      </c>
      <c r="N118" t="s">
        <v>211</v>
      </c>
      <c r="O118" t="s">
        <v>311</v>
      </c>
      <c r="P118">
        <v>3.6499250709056521E-3</v>
      </c>
      <c r="Q118" t="s">
        <v>159</v>
      </c>
      <c r="S118" t="s">
        <v>253</v>
      </c>
      <c r="T118" t="s">
        <v>311</v>
      </c>
      <c r="U118">
        <v>4.0960593985649909E-3</v>
      </c>
      <c r="V118" t="s">
        <v>159</v>
      </c>
      <c r="AC118" t="s">
        <v>19</v>
      </c>
      <c r="AD118" t="s">
        <v>311</v>
      </c>
      <c r="AE118">
        <v>3.9876937287808938E-3</v>
      </c>
      <c r="AK118">
        <v>2039</v>
      </c>
      <c r="AL118" t="s">
        <v>306</v>
      </c>
      <c r="AM118">
        <v>0.28670000000000001</v>
      </c>
      <c r="AN118" t="s">
        <v>281</v>
      </c>
    </row>
    <row r="119" spans="9:40" x14ac:dyDescent="0.45">
      <c r="I119" t="s">
        <v>168</v>
      </c>
      <c r="J119" t="s">
        <v>298</v>
      </c>
      <c r="K119">
        <v>1.4031866663667755E-2</v>
      </c>
      <c r="L119" t="s">
        <v>159</v>
      </c>
      <c r="N119" t="s">
        <v>211</v>
      </c>
      <c r="O119" t="s">
        <v>298</v>
      </c>
      <c r="P119">
        <v>5.0273115786095536E-2</v>
      </c>
      <c r="Q119" t="s">
        <v>159</v>
      </c>
      <c r="S119" t="s">
        <v>253</v>
      </c>
      <c r="T119" t="s">
        <v>298</v>
      </c>
      <c r="U119">
        <v>7.6324752259490272E-2</v>
      </c>
      <c r="V119" t="s">
        <v>159</v>
      </c>
      <c r="AC119" t="s">
        <v>19</v>
      </c>
      <c r="AD119" t="s">
        <v>298</v>
      </c>
      <c r="AE119">
        <v>7.572542143663534E-2</v>
      </c>
      <c r="AK119">
        <v>2040</v>
      </c>
      <c r="AL119" t="s">
        <v>148</v>
      </c>
      <c r="AM119">
        <v>0.31546666666666662</v>
      </c>
      <c r="AN119" t="s">
        <v>281</v>
      </c>
    </row>
    <row r="120" spans="9:40" x14ac:dyDescent="0.45">
      <c r="I120" t="s">
        <v>168</v>
      </c>
      <c r="J120" t="s">
        <v>299</v>
      </c>
      <c r="K120">
        <v>2.3071378456337801E-2</v>
      </c>
      <c r="L120" t="s">
        <v>159</v>
      </c>
      <c r="N120" t="s">
        <v>211</v>
      </c>
      <c r="O120" t="s">
        <v>299</v>
      </c>
      <c r="P120">
        <v>7.6791225013326803E-3</v>
      </c>
      <c r="Q120" t="s">
        <v>159</v>
      </c>
      <c r="S120" t="s">
        <v>253</v>
      </c>
      <c r="T120" t="s">
        <v>299</v>
      </c>
      <c r="U120">
        <v>9.7466101854465151E-3</v>
      </c>
      <c r="V120" t="s">
        <v>159</v>
      </c>
      <c r="AC120" t="s">
        <v>19</v>
      </c>
      <c r="AD120" t="s">
        <v>299</v>
      </c>
      <c r="AE120">
        <v>1.1004838335113256E-2</v>
      </c>
      <c r="AK120">
        <v>2040</v>
      </c>
      <c r="AL120" t="s">
        <v>152</v>
      </c>
      <c r="AM120">
        <v>0.11165</v>
      </c>
      <c r="AN120" t="s">
        <v>281</v>
      </c>
    </row>
    <row r="121" spans="9:40" x14ac:dyDescent="0.45">
      <c r="I121" t="s">
        <v>168</v>
      </c>
      <c r="J121" t="s">
        <v>300</v>
      </c>
      <c r="K121">
        <v>0.24683770532092442</v>
      </c>
      <c r="L121" t="s">
        <v>159</v>
      </c>
      <c r="N121" t="s">
        <v>211</v>
      </c>
      <c r="O121" t="s">
        <v>300</v>
      </c>
      <c r="P121">
        <v>0.12876455619987889</v>
      </c>
      <c r="Q121" t="s">
        <v>159</v>
      </c>
      <c r="S121" t="s">
        <v>253</v>
      </c>
      <c r="T121" t="s">
        <v>300</v>
      </c>
      <c r="U121">
        <v>9.2595598055633388E-2</v>
      </c>
      <c r="V121" t="s">
        <v>159</v>
      </c>
      <c r="AC121" t="s">
        <v>19</v>
      </c>
      <c r="AD121" t="s">
        <v>300</v>
      </c>
      <c r="AE121">
        <v>9.940099591807916E-2</v>
      </c>
      <c r="AK121">
        <v>2040</v>
      </c>
      <c r="AL121" t="s">
        <v>154</v>
      </c>
      <c r="AM121">
        <v>0.1</v>
      </c>
      <c r="AN121" t="s">
        <v>281</v>
      </c>
    </row>
    <row r="122" spans="9:40" x14ac:dyDescent="0.45">
      <c r="I122" t="s">
        <v>168</v>
      </c>
      <c r="J122" t="s">
        <v>301</v>
      </c>
      <c r="K122">
        <v>1.8132325164088949E-2</v>
      </c>
      <c r="L122" t="s">
        <v>159</v>
      </c>
      <c r="N122" t="s">
        <v>211</v>
      </c>
      <c r="O122" t="s">
        <v>301</v>
      </c>
      <c r="P122">
        <v>1.5350382385824661E-2</v>
      </c>
      <c r="Q122" t="s">
        <v>159</v>
      </c>
      <c r="S122" t="s">
        <v>253</v>
      </c>
      <c r="T122" t="s">
        <v>301</v>
      </c>
      <c r="U122">
        <v>1.2632585294664799E-2</v>
      </c>
      <c r="V122" t="s">
        <v>159</v>
      </c>
      <c r="AC122" t="s">
        <v>19</v>
      </c>
      <c r="AD122" t="s">
        <v>301</v>
      </c>
      <c r="AE122">
        <v>1.1055807123674715E-2</v>
      </c>
      <c r="AK122">
        <v>2040</v>
      </c>
      <c r="AL122" t="s">
        <v>283</v>
      </c>
      <c r="AM122">
        <v>0.10630000000000001</v>
      </c>
      <c r="AN122" t="s">
        <v>281</v>
      </c>
    </row>
    <row r="123" spans="9:40" x14ac:dyDescent="0.45">
      <c r="I123" t="s">
        <v>168</v>
      </c>
      <c r="J123" t="s">
        <v>302</v>
      </c>
      <c r="K123">
        <v>5.1737334888058229E-3</v>
      </c>
      <c r="L123" t="s">
        <v>159</v>
      </c>
      <c r="N123" t="s">
        <v>211</v>
      </c>
      <c r="O123" t="s">
        <v>302</v>
      </c>
      <c r="P123">
        <v>1.4347899893075973E-2</v>
      </c>
      <c r="Q123" t="s">
        <v>159</v>
      </c>
      <c r="S123" t="s">
        <v>253</v>
      </c>
      <c r="T123" t="s">
        <v>302</v>
      </c>
      <c r="U123">
        <v>1.2789553764112229E-2</v>
      </c>
      <c r="V123" t="s">
        <v>159</v>
      </c>
      <c r="AC123" t="s">
        <v>19</v>
      </c>
      <c r="AD123" t="s">
        <v>302</v>
      </c>
      <c r="AE123">
        <v>1.1059516182164277E-2</v>
      </c>
      <c r="AK123">
        <v>2040</v>
      </c>
      <c r="AL123" t="s">
        <v>285</v>
      </c>
      <c r="AM123">
        <v>0.16641999999999998</v>
      </c>
      <c r="AN123" t="s">
        <v>281</v>
      </c>
    </row>
    <row r="124" spans="9:40" x14ac:dyDescent="0.45">
      <c r="I124" t="s">
        <v>168</v>
      </c>
      <c r="J124" t="s">
        <v>312</v>
      </c>
      <c r="K124">
        <v>0</v>
      </c>
      <c r="L124" t="s">
        <v>159</v>
      </c>
      <c r="N124" t="s">
        <v>211</v>
      </c>
      <c r="O124" t="s">
        <v>312</v>
      </c>
      <c r="P124">
        <v>5.1625291275496837E-2</v>
      </c>
      <c r="Q124" t="s">
        <v>159</v>
      </c>
      <c r="S124" t="s">
        <v>253</v>
      </c>
      <c r="T124" t="s">
        <v>312</v>
      </c>
      <c r="U124">
        <v>6.059769814807487E-2</v>
      </c>
      <c r="V124" t="s">
        <v>159</v>
      </c>
      <c r="AC124" t="s">
        <v>19</v>
      </c>
      <c r="AD124" t="s">
        <v>312</v>
      </c>
      <c r="AE124">
        <v>5.4709376500814762E-2</v>
      </c>
      <c r="AK124">
        <v>2040</v>
      </c>
      <c r="AL124" t="s">
        <v>306</v>
      </c>
      <c r="AM124">
        <v>0.28649999999999998</v>
      </c>
      <c r="AN124" t="s">
        <v>281</v>
      </c>
    </row>
    <row r="125" spans="9:40" x14ac:dyDescent="0.45">
      <c r="I125" t="s">
        <v>168</v>
      </c>
      <c r="J125" t="s">
        <v>313</v>
      </c>
      <c r="K125">
        <v>5.5261611052759814E-3</v>
      </c>
      <c r="L125" t="s">
        <v>159</v>
      </c>
      <c r="N125" t="s">
        <v>211</v>
      </c>
      <c r="O125" t="s">
        <v>313</v>
      </c>
      <c r="P125">
        <v>6.3178111877700022E-3</v>
      </c>
      <c r="Q125" t="s">
        <v>159</v>
      </c>
      <c r="S125" t="s">
        <v>253</v>
      </c>
      <c r="T125" t="s">
        <v>313</v>
      </c>
      <c r="U125">
        <v>2.6031718916532255E-2</v>
      </c>
      <c r="V125" t="s">
        <v>159</v>
      </c>
      <c r="AC125" t="s">
        <v>19</v>
      </c>
      <c r="AD125" t="s">
        <v>313</v>
      </c>
      <c r="AE125">
        <v>2.2889756758270048E-2</v>
      </c>
      <c r="AK125">
        <v>2041</v>
      </c>
      <c r="AL125" t="s">
        <v>148</v>
      </c>
      <c r="AM125">
        <v>0.30156666666666671</v>
      </c>
      <c r="AN125" t="s">
        <v>281</v>
      </c>
    </row>
    <row r="126" spans="9:40" x14ac:dyDescent="0.45">
      <c r="I126" t="s">
        <v>168</v>
      </c>
      <c r="J126" t="s">
        <v>314</v>
      </c>
      <c r="K126">
        <v>7.1298418367161031E-3</v>
      </c>
      <c r="L126" t="s">
        <v>159</v>
      </c>
      <c r="N126" t="s">
        <v>211</v>
      </c>
      <c r="O126" t="s">
        <v>314</v>
      </c>
      <c r="P126">
        <v>8.5403444106526736E-4</v>
      </c>
      <c r="Q126" t="s">
        <v>159</v>
      </c>
      <c r="S126" t="s">
        <v>253</v>
      </c>
      <c r="T126" t="s">
        <v>314</v>
      </c>
      <c r="U126">
        <v>3.2995792695714619E-3</v>
      </c>
      <c r="V126" t="s">
        <v>159</v>
      </c>
      <c r="AC126" t="s">
        <v>19</v>
      </c>
      <c r="AD126" t="s">
        <v>314</v>
      </c>
      <c r="AE126">
        <v>3.3235139709872469E-3</v>
      </c>
      <c r="AK126">
        <v>2041</v>
      </c>
      <c r="AL126" t="s">
        <v>152</v>
      </c>
      <c r="AM126">
        <v>0.11019999999999999</v>
      </c>
      <c r="AN126" t="s">
        <v>281</v>
      </c>
    </row>
    <row r="127" spans="9:40" x14ac:dyDescent="0.45">
      <c r="I127" t="s">
        <v>168</v>
      </c>
      <c r="J127" t="s">
        <v>315</v>
      </c>
      <c r="K127">
        <v>7.4219314445225754E-2</v>
      </c>
      <c r="L127" t="s">
        <v>159</v>
      </c>
      <c r="N127" t="s">
        <v>211</v>
      </c>
      <c r="O127" t="s">
        <v>315</v>
      </c>
      <c r="P127">
        <v>1.6000899441763056E-2</v>
      </c>
      <c r="Q127" t="s">
        <v>159</v>
      </c>
      <c r="S127" t="s">
        <v>253</v>
      </c>
      <c r="T127" t="s">
        <v>315</v>
      </c>
      <c r="U127">
        <v>3.2174034847095884E-2</v>
      </c>
      <c r="V127" t="s">
        <v>159</v>
      </c>
      <c r="AC127" t="s">
        <v>19</v>
      </c>
      <c r="AD127" t="s">
        <v>315</v>
      </c>
      <c r="AE127">
        <v>3.0041145408010284E-2</v>
      </c>
      <c r="AK127">
        <v>2041</v>
      </c>
      <c r="AL127" t="s">
        <v>154</v>
      </c>
      <c r="AM127">
        <v>9.5250000000000001E-2</v>
      </c>
      <c r="AN127" t="s">
        <v>281</v>
      </c>
    </row>
    <row r="128" spans="9:40" x14ac:dyDescent="0.45">
      <c r="I128" t="s">
        <v>168</v>
      </c>
      <c r="J128" t="s">
        <v>316</v>
      </c>
      <c r="K128">
        <v>5.6409835367214863E-3</v>
      </c>
      <c r="L128" t="s">
        <v>159</v>
      </c>
      <c r="N128" t="s">
        <v>211</v>
      </c>
      <c r="O128" t="s">
        <v>316</v>
      </c>
      <c r="P128">
        <v>3.7003943105048303E-3</v>
      </c>
      <c r="Q128" t="s">
        <v>159</v>
      </c>
      <c r="S128" t="s">
        <v>253</v>
      </c>
      <c r="T128" t="s">
        <v>316</v>
      </c>
      <c r="U128">
        <v>4.7323984321598674E-3</v>
      </c>
      <c r="V128" t="s">
        <v>159</v>
      </c>
      <c r="AC128" t="s">
        <v>19</v>
      </c>
      <c r="AD128" t="s">
        <v>316</v>
      </c>
      <c r="AE128">
        <v>3.3373642954646725E-3</v>
      </c>
      <c r="AK128">
        <v>2041</v>
      </c>
      <c r="AL128" t="s">
        <v>283</v>
      </c>
      <c r="AM128">
        <v>0.10680000000000001</v>
      </c>
      <c r="AN128" t="s">
        <v>281</v>
      </c>
    </row>
    <row r="129" spans="9:40" x14ac:dyDescent="0.45">
      <c r="I129" t="s">
        <v>168</v>
      </c>
      <c r="J129" t="s">
        <v>317</v>
      </c>
      <c r="K129">
        <v>3.617940812839292E-3</v>
      </c>
      <c r="L129" t="s">
        <v>159</v>
      </c>
      <c r="N129" t="s">
        <v>211</v>
      </c>
      <c r="O129" t="s">
        <v>317</v>
      </c>
      <c r="P129">
        <v>4.185655921797803E-3</v>
      </c>
      <c r="Q129" t="s">
        <v>159</v>
      </c>
      <c r="S129" t="s">
        <v>253</v>
      </c>
      <c r="T129" t="s">
        <v>317</v>
      </c>
      <c r="U129">
        <v>4.8261004706539644E-3</v>
      </c>
      <c r="V129" t="s">
        <v>159</v>
      </c>
      <c r="AC129" t="s">
        <v>19</v>
      </c>
      <c r="AD129" t="s">
        <v>317</v>
      </c>
      <c r="AE129">
        <v>3.3388554096323315E-3</v>
      </c>
      <c r="AK129">
        <v>2041</v>
      </c>
      <c r="AL129" t="s">
        <v>285</v>
      </c>
      <c r="AM129">
        <v>0.17704</v>
      </c>
      <c r="AN129" t="s">
        <v>281</v>
      </c>
    </row>
    <row r="130" spans="9:40" x14ac:dyDescent="0.45">
      <c r="I130" t="s">
        <v>168</v>
      </c>
      <c r="J130" t="s">
        <v>318</v>
      </c>
      <c r="K130">
        <v>0</v>
      </c>
      <c r="L130" t="s">
        <v>159</v>
      </c>
      <c r="N130" t="s">
        <v>211</v>
      </c>
      <c r="O130" t="s">
        <v>318</v>
      </c>
      <c r="P130">
        <v>1.5108759093554802E-2</v>
      </c>
      <c r="Q130" t="s">
        <v>159</v>
      </c>
      <c r="S130" t="s">
        <v>253</v>
      </c>
      <c r="T130" t="s">
        <v>318</v>
      </c>
      <c r="U130">
        <v>2.3518163041031593E-2</v>
      </c>
      <c r="V130" t="s">
        <v>159</v>
      </c>
      <c r="AC130" t="s">
        <v>19</v>
      </c>
      <c r="AD130" t="s">
        <v>318</v>
      </c>
      <c r="AE130">
        <v>1.6526043324230383E-2</v>
      </c>
      <c r="AK130">
        <v>2041</v>
      </c>
      <c r="AL130" t="s">
        <v>306</v>
      </c>
      <c r="AM130">
        <v>0.33239999999999997</v>
      </c>
      <c r="AN130" t="s">
        <v>281</v>
      </c>
    </row>
    <row r="131" spans="9:40" x14ac:dyDescent="0.45">
      <c r="I131" t="s">
        <v>169</v>
      </c>
      <c r="J131" t="s">
        <v>158</v>
      </c>
      <c r="K131">
        <v>1.2274543387240214E-2</v>
      </c>
      <c r="L131" t="s">
        <v>159</v>
      </c>
      <c r="N131" t="s">
        <v>212</v>
      </c>
      <c r="O131" t="s">
        <v>158</v>
      </c>
      <c r="P131">
        <v>0.10200027101023464</v>
      </c>
      <c r="Q131" t="s">
        <v>159</v>
      </c>
      <c r="S131" t="s">
        <v>254</v>
      </c>
      <c r="T131" t="s">
        <v>158</v>
      </c>
      <c r="U131">
        <v>0.11284185138361646</v>
      </c>
      <c r="V131" t="s">
        <v>159</v>
      </c>
      <c r="AK131">
        <v>2042</v>
      </c>
      <c r="AL131" t="s">
        <v>148</v>
      </c>
      <c r="AM131">
        <v>0.30063333333333336</v>
      </c>
      <c r="AN131" t="s">
        <v>281</v>
      </c>
    </row>
    <row r="132" spans="9:40" x14ac:dyDescent="0.45">
      <c r="I132" t="s">
        <v>169</v>
      </c>
      <c r="J132" t="s">
        <v>160</v>
      </c>
      <c r="K132">
        <v>3.2187354504649504E-2</v>
      </c>
      <c r="L132" t="s">
        <v>159</v>
      </c>
      <c r="N132" t="s">
        <v>212</v>
      </c>
      <c r="O132" t="s">
        <v>160</v>
      </c>
      <c r="P132">
        <v>1.1367088563752407E-2</v>
      </c>
      <c r="Q132" t="s">
        <v>159</v>
      </c>
      <c r="S132" t="s">
        <v>254</v>
      </c>
      <c r="T132" t="s">
        <v>160</v>
      </c>
      <c r="U132">
        <v>1.3997571082418019E-2</v>
      </c>
      <c r="V132" t="s">
        <v>159</v>
      </c>
      <c r="AK132">
        <v>2042</v>
      </c>
      <c r="AL132" t="s">
        <v>152</v>
      </c>
      <c r="AM132">
        <v>0.10969999999999999</v>
      </c>
      <c r="AN132" t="s">
        <v>281</v>
      </c>
    </row>
    <row r="133" spans="9:40" x14ac:dyDescent="0.45">
      <c r="I133" t="s">
        <v>169</v>
      </c>
      <c r="J133" t="s">
        <v>161</v>
      </c>
      <c r="K133">
        <v>0.37416184585819889</v>
      </c>
      <c r="L133" t="s">
        <v>159</v>
      </c>
      <c r="N133" t="s">
        <v>212</v>
      </c>
      <c r="O133" t="s">
        <v>161</v>
      </c>
      <c r="P133">
        <v>0.1690536870165289</v>
      </c>
      <c r="Q133" t="s">
        <v>159</v>
      </c>
      <c r="S133" t="s">
        <v>254</v>
      </c>
      <c r="T133" t="s">
        <v>161</v>
      </c>
      <c r="U133">
        <v>0.17275583479680431</v>
      </c>
      <c r="V133" t="s">
        <v>159</v>
      </c>
      <c r="AK133">
        <v>2042</v>
      </c>
      <c r="AL133" t="s">
        <v>154</v>
      </c>
      <c r="AM133">
        <v>9.06E-2</v>
      </c>
      <c r="AN133" t="s">
        <v>281</v>
      </c>
    </row>
    <row r="134" spans="9:40" x14ac:dyDescent="0.45">
      <c r="I134" t="s">
        <v>169</v>
      </c>
      <c r="J134" t="s">
        <v>287</v>
      </c>
      <c r="K134">
        <v>2.730430071011072E-2</v>
      </c>
      <c r="L134" t="s">
        <v>159</v>
      </c>
      <c r="N134" t="s">
        <v>212</v>
      </c>
      <c r="O134" t="s">
        <v>287</v>
      </c>
      <c r="P134">
        <v>2.8908002287528385E-2</v>
      </c>
      <c r="Q134" t="s">
        <v>159</v>
      </c>
      <c r="S134" t="s">
        <v>254</v>
      </c>
      <c r="T134" t="s">
        <v>287</v>
      </c>
      <c r="U134">
        <v>2.9852623427993247E-2</v>
      </c>
      <c r="V134" t="s">
        <v>159</v>
      </c>
      <c r="AK134">
        <v>2042</v>
      </c>
      <c r="AL134" t="s">
        <v>283</v>
      </c>
      <c r="AM134">
        <v>9.6100000000000005E-2</v>
      </c>
      <c r="AN134" t="s">
        <v>281</v>
      </c>
    </row>
    <row r="135" spans="9:40" x14ac:dyDescent="0.45">
      <c r="I135" t="s">
        <v>169</v>
      </c>
      <c r="J135" t="s">
        <v>288</v>
      </c>
      <c r="K135">
        <v>1.3910195530566105E-2</v>
      </c>
      <c r="L135" t="s">
        <v>159</v>
      </c>
      <c r="N135" t="s">
        <v>212</v>
      </c>
      <c r="O135" t="s">
        <v>288</v>
      </c>
      <c r="P135">
        <v>2.8793028407152366E-2</v>
      </c>
      <c r="Q135" t="s">
        <v>159</v>
      </c>
      <c r="S135" t="s">
        <v>254</v>
      </c>
      <c r="T135" t="s">
        <v>288</v>
      </c>
      <c r="U135">
        <v>2.9334471437816041E-2</v>
      </c>
      <c r="V135" t="s">
        <v>159</v>
      </c>
      <c r="AK135">
        <v>2042</v>
      </c>
      <c r="AL135" t="s">
        <v>285</v>
      </c>
      <c r="AM135">
        <v>0.16719999999999999</v>
      </c>
      <c r="AN135" t="s">
        <v>281</v>
      </c>
    </row>
    <row r="136" spans="9:40" x14ac:dyDescent="0.45">
      <c r="I136" t="s">
        <v>169</v>
      </c>
      <c r="J136" t="s">
        <v>308</v>
      </c>
      <c r="K136">
        <v>2.8903344152138879E-5</v>
      </c>
      <c r="L136" t="s">
        <v>159</v>
      </c>
      <c r="N136" t="s">
        <v>212</v>
      </c>
      <c r="O136" t="s">
        <v>308</v>
      </c>
      <c r="P136">
        <v>0.11849166692445284</v>
      </c>
      <c r="Q136" t="s">
        <v>159</v>
      </c>
      <c r="S136" t="s">
        <v>254</v>
      </c>
      <c r="T136" t="s">
        <v>308</v>
      </c>
      <c r="U136">
        <v>0.1194940542884996</v>
      </c>
      <c r="V136" t="s">
        <v>159</v>
      </c>
      <c r="AK136">
        <v>2042</v>
      </c>
      <c r="AL136" t="s">
        <v>306</v>
      </c>
      <c r="AM136">
        <v>0.30380000000000001</v>
      </c>
      <c r="AN136" t="s">
        <v>281</v>
      </c>
    </row>
    <row r="137" spans="9:40" x14ac:dyDescent="0.45">
      <c r="I137" t="s">
        <v>169</v>
      </c>
      <c r="J137" t="s">
        <v>162</v>
      </c>
      <c r="K137">
        <v>0</v>
      </c>
      <c r="L137" t="s">
        <v>159</v>
      </c>
      <c r="N137" t="s">
        <v>212</v>
      </c>
      <c r="O137" t="s">
        <v>162</v>
      </c>
      <c r="P137">
        <v>1.8492928112225301E-2</v>
      </c>
      <c r="Q137" t="s">
        <v>159</v>
      </c>
      <c r="S137" t="s">
        <v>254</v>
      </c>
      <c r="T137" t="s">
        <v>162</v>
      </c>
      <c r="U137">
        <v>1.8083904701484622E-2</v>
      </c>
      <c r="V137" t="s">
        <v>159</v>
      </c>
      <c r="AK137">
        <v>2043</v>
      </c>
      <c r="AL137" t="s">
        <v>148</v>
      </c>
      <c r="AM137">
        <v>0.31211666666666665</v>
      </c>
      <c r="AN137" t="s">
        <v>281</v>
      </c>
    </row>
    <row r="138" spans="9:40" x14ac:dyDescent="0.45">
      <c r="I138" t="s">
        <v>169</v>
      </c>
      <c r="J138" t="s">
        <v>163</v>
      </c>
      <c r="K138">
        <v>6.5215278070975078E-4</v>
      </c>
      <c r="L138" t="s">
        <v>159</v>
      </c>
      <c r="N138" t="s">
        <v>212</v>
      </c>
      <c r="O138" t="s">
        <v>163</v>
      </c>
      <c r="P138">
        <v>2.466756824217385E-3</v>
      </c>
      <c r="Q138" t="s">
        <v>159</v>
      </c>
      <c r="S138" t="s">
        <v>254</v>
      </c>
      <c r="T138" t="s">
        <v>163</v>
      </c>
      <c r="U138">
        <v>2.6058278742844203E-3</v>
      </c>
      <c r="V138" t="s">
        <v>159</v>
      </c>
      <c r="AK138">
        <v>2043</v>
      </c>
      <c r="AL138" t="s">
        <v>152</v>
      </c>
      <c r="AM138">
        <v>0.10925000000000001</v>
      </c>
      <c r="AN138" t="s">
        <v>281</v>
      </c>
    </row>
    <row r="139" spans="9:40" x14ac:dyDescent="0.45">
      <c r="I139" t="s">
        <v>169</v>
      </c>
      <c r="J139" t="s">
        <v>164</v>
      </c>
      <c r="K139">
        <v>4.0582716565898583E-2</v>
      </c>
      <c r="L139" t="s">
        <v>159</v>
      </c>
      <c r="N139" t="s">
        <v>212</v>
      </c>
      <c r="O139" t="s">
        <v>164</v>
      </c>
      <c r="P139">
        <v>2.9863872222702155E-2</v>
      </c>
      <c r="Q139" t="s">
        <v>159</v>
      </c>
      <c r="S139" t="s">
        <v>254</v>
      </c>
      <c r="T139" t="s">
        <v>164</v>
      </c>
      <c r="U139">
        <v>2.3619525793766753E-2</v>
      </c>
      <c r="V139" t="s">
        <v>159</v>
      </c>
      <c r="AK139">
        <v>2043</v>
      </c>
      <c r="AL139" t="s">
        <v>154</v>
      </c>
      <c r="AM139">
        <v>9.0249999999999997E-2</v>
      </c>
      <c r="AN139" t="s">
        <v>281</v>
      </c>
    </row>
    <row r="140" spans="9:40" x14ac:dyDescent="0.45">
      <c r="I140" t="s">
        <v>169</v>
      </c>
      <c r="J140" t="s">
        <v>289</v>
      </c>
      <c r="K140">
        <v>1.9035703471113078E-3</v>
      </c>
      <c r="L140" t="s">
        <v>159</v>
      </c>
      <c r="N140" t="s">
        <v>212</v>
      </c>
      <c r="O140" t="s">
        <v>289</v>
      </c>
      <c r="P140">
        <v>3.3466191677217626E-3</v>
      </c>
      <c r="Q140" t="s">
        <v>159</v>
      </c>
      <c r="S140" t="s">
        <v>254</v>
      </c>
      <c r="T140" t="s">
        <v>289</v>
      </c>
      <c r="U140">
        <v>3.1587911167484661E-3</v>
      </c>
      <c r="V140" t="s">
        <v>159</v>
      </c>
      <c r="AK140">
        <v>2043</v>
      </c>
      <c r="AL140" t="s">
        <v>283</v>
      </c>
      <c r="AM140">
        <v>9.0700000000000003E-2</v>
      </c>
      <c r="AN140" t="s">
        <v>281</v>
      </c>
    </row>
    <row r="141" spans="9:40" x14ac:dyDescent="0.45">
      <c r="I141" t="s">
        <v>169</v>
      </c>
      <c r="J141" t="s">
        <v>290</v>
      </c>
      <c r="K141">
        <v>0</v>
      </c>
      <c r="L141" t="s">
        <v>159</v>
      </c>
      <c r="N141" t="s">
        <v>212</v>
      </c>
      <c r="O141" t="s">
        <v>290</v>
      </c>
      <c r="P141">
        <v>3.293155936099957E-3</v>
      </c>
      <c r="Q141" t="s">
        <v>159</v>
      </c>
      <c r="S141" t="s">
        <v>254</v>
      </c>
      <c r="T141" t="s">
        <v>290</v>
      </c>
      <c r="U141">
        <v>3.1647447875977194E-3</v>
      </c>
      <c r="V141" t="s">
        <v>159</v>
      </c>
      <c r="AK141">
        <v>2043</v>
      </c>
      <c r="AL141" t="s">
        <v>285</v>
      </c>
      <c r="AM141">
        <v>0.15770000000000001</v>
      </c>
      <c r="AN141" t="s">
        <v>281</v>
      </c>
    </row>
    <row r="142" spans="9:40" x14ac:dyDescent="0.45">
      <c r="I142" t="s">
        <v>169</v>
      </c>
      <c r="J142" t="s">
        <v>309</v>
      </c>
      <c r="K142">
        <v>0</v>
      </c>
      <c r="L142" t="s">
        <v>159</v>
      </c>
      <c r="N142" t="s">
        <v>212</v>
      </c>
      <c r="O142" t="s">
        <v>309</v>
      </c>
      <c r="P142">
        <v>1.5721820744661844E-2</v>
      </c>
      <c r="Q142" t="s">
        <v>159</v>
      </c>
      <c r="S142" t="s">
        <v>254</v>
      </c>
      <c r="T142" t="s">
        <v>309</v>
      </c>
      <c r="U142">
        <v>1.4333486958165317E-2</v>
      </c>
      <c r="V142" t="s">
        <v>159</v>
      </c>
      <c r="AK142">
        <v>2043</v>
      </c>
      <c r="AL142" t="s">
        <v>306</v>
      </c>
      <c r="AM142">
        <v>0.2742</v>
      </c>
      <c r="AN142" t="s">
        <v>281</v>
      </c>
    </row>
    <row r="143" spans="9:40" x14ac:dyDescent="0.45">
      <c r="I143" t="s">
        <v>169</v>
      </c>
      <c r="J143" t="s">
        <v>346</v>
      </c>
      <c r="K143">
        <v>0</v>
      </c>
      <c r="L143" t="s">
        <v>159</v>
      </c>
      <c r="N143" t="s">
        <v>212</v>
      </c>
      <c r="O143" t="s">
        <v>346</v>
      </c>
      <c r="P143">
        <v>1.0574296840214332E-6</v>
      </c>
      <c r="Q143" t="s">
        <v>159</v>
      </c>
      <c r="S143" t="s">
        <v>254</v>
      </c>
      <c r="T143" t="s">
        <v>346</v>
      </c>
      <c r="U143">
        <v>9.3544560417386458E-6</v>
      </c>
      <c r="V143" t="s">
        <v>159</v>
      </c>
      <c r="AK143">
        <v>2044</v>
      </c>
      <c r="AL143" t="s">
        <v>148</v>
      </c>
      <c r="AM143">
        <v>0.29396666666666665</v>
      </c>
      <c r="AN143" t="s">
        <v>281</v>
      </c>
    </row>
    <row r="144" spans="9:40" x14ac:dyDescent="0.45">
      <c r="I144" t="s">
        <v>169</v>
      </c>
      <c r="J144" t="s">
        <v>347</v>
      </c>
      <c r="K144">
        <v>0</v>
      </c>
      <c r="L144" t="s">
        <v>159</v>
      </c>
      <c r="N144" t="s">
        <v>212</v>
      </c>
      <c r="O144" t="s">
        <v>347</v>
      </c>
      <c r="P144">
        <v>7.9741420274022764E-7</v>
      </c>
      <c r="Q144" t="s">
        <v>159</v>
      </c>
      <c r="S144" t="s">
        <v>254</v>
      </c>
      <c r="T144" t="s">
        <v>347</v>
      </c>
      <c r="U144">
        <v>8.3086272837636514E-6</v>
      </c>
      <c r="V144" t="s">
        <v>159</v>
      </c>
      <c r="AK144">
        <v>2044</v>
      </c>
      <c r="AL144" t="s">
        <v>152</v>
      </c>
      <c r="AM144">
        <v>0.11430000000000001</v>
      </c>
      <c r="AN144" t="s">
        <v>281</v>
      </c>
    </row>
    <row r="145" spans="9:40" x14ac:dyDescent="0.45">
      <c r="I145" t="s">
        <v>169</v>
      </c>
      <c r="J145" t="s">
        <v>348</v>
      </c>
      <c r="K145">
        <v>0</v>
      </c>
      <c r="L145" t="s">
        <v>159</v>
      </c>
      <c r="N145" t="s">
        <v>212</v>
      </c>
      <c r="O145" t="s">
        <v>348</v>
      </c>
      <c r="P145">
        <v>4.3216954895973919E-7</v>
      </c>
      <c r="Q145" t="s">
        <v>159</v>
      </c>
      <c r="S145" t="s">
        <v>254</v>
      </c>
      <c r="T145" t="s">
        <v>348</v>
      </c>
      <c r="U145">
        <v>6.5615847607414001E-6</v>
      </c>
      <c r="V145" t="s">
        <v>159</v>
      </c>
      <c r="AK145">
        <v>2044</v>
      </c>
      <c r="AL145" t="s">
        <v>154</v>
      </c>
      <c r="AM145">
        <v>9.0299999999999991E-2</v>
      </c>
      <c r="AN145" t="s">
        <v>281</v>
      </c>
    </row>
    <row r="146" spans="9:40" x14ac:dyDescent="0.45">
      <c r="I146" t="s">
        <v>169</v>
      </c>
      <c r="J146" t="s">
        <v>349</v>
      </c>
      <c r="K146">
        <v>0</v>
      </c>
      <c r="L146" t="s">
        <v>159</v>
      </c>
      <c r="N146" t="s">
        <v>212</v>
      </c>
      <c r="O146" t="s">
        <v>349</v>
      </c>
      <c r="P146">
        <v>1.4376893407648313E-7</v>
      </c>
      <c r="Q146" t="s">
        <v>159</v>
      </c>
      <c r="S146" t="s">
        <v>254</v>
      </c>
      <c r="T146" t="s">
        <v>349</v>
      </c>
      <c r="U146">
        <v>9.2668087956198712E-6</v>
      </c>
      <c r="V146" t="s">
        <v>159</v>
      </c>
      <c r="AK146">
        <v>2044</v>
      </c>
      <c r="AL146" t="s">
        <v>283</v>
      </c>
      <c r="AM146">
        <v>9.3799999999999994E-2</v>
      </c>
      <c r="AN146" t="s">
        <v>281</v>
      </c>
    </row>
    <row r="147" spans="9:40" x14ac:dyDescent="0.45">
      <c r="I147" t="s">
        <v>169</v>
      </c>
      <c r="J147" t="s">
        <v>350</v>
      </c>
      <c r="K147">
        <v>0</v>
      </c>
      <c r="L147" t="s">
        <v>159</v>
      </c>
      <c r="N147" t="s">
        <v>212</v>
      </c>
      <c r="O147" t="s">
        <v>350</v>
      </c>
      <c r="P147">
        <v>4.0263923898731669E-7</v>
      </c>
      <c r="Q147" t="s">
        <v>159</v>
      </c>
      <c r="S147" t="s">
        <v>254</v>
      </c>
      <c r="T147" t="s">
        <v>350</v>
      </c>
      <c r="U147">
        <v>6.9922441667032864E-6</v>
      </c>
      <c r="V147" t="s">
        <v>159</v>
      </c>
      <c r="AK147">
        <v>2044</v>
      </c>
      <c r="AL147" t="s">
        <v>285</v>
      </c>
      <c r="AM147">
        <v>0.17416000000000001</v>
      </c>
      <c r="AN147" t="s">
        <v>281</v>
      </c>
    </row>
    <row r="148" spans="9:40" x14ac:dyDescent="0.45">
      <c r="I148" t="s">
        <v>169</v>
      </c>
      <c r="J148" t="s">
        <v>351</v>
      </c>
      <c r="K148">
        <v>0</v>
      </c>
      <c r="L148" t="s">
        <v>159</v>
      </c>
      <c r="N148" t="s">
        <v>212</v>
      </c>
      <c r="O148" t="s">
        <v>351</v>
      </c>
      <c r="P148">
        <v>2.2048351825740363E-7</v>
      </c>
      <c r="Q148" t="s">
        <v>159</v>
      </c>
      <c r="S148" t="s">
        <v>254</v>
      </c>
      <c r="T148" t="s">
        <v>351</v>
      </c>
      <c r="U148">
        <v>6.4937455920274985E-6</v>
      </c>
      <c r="V148" t="s">
        <v>159</v>
      </c>
      <c r="AK148">
        <v>2044</v>
      </c>
      <c r="AL148" t="s">
        <v>306</v>
      </c>
      <c r="AM148">
        <v>0.32740000000000002</v>
      </c>
      <c r="AN148" t="s">
        <v>281</v>
      </c>
    </row>
    <row r="149" spans="9:40" x14ac:dyDescent="0.45">
      <c r="I149" t="s">
        <v>169</v>
      </c>
      <c r="J149" t="s">
        <v>352</v>
      </c>
      <c r="K149">
        <v>0</v>
      </c>
      <c r="L149" t="s">
        <v>159</v>
      </c>
      <c r="N149" t="s">
        <v>212</v>
      </c>
      <c r="O149" t="s">
        <v>352</v>
      </c>
      <c r="P149">
        <v>9.4651430382161403E-8</v>
      </c>
      <c r="Q149" t="s">
        <v>159</v>
      </c>
      <c r="S149" t="s">
        <v>254</v>
      </c>
      <c r="T149" t="s">
        <v>352</v>
      </c>
      <c r="U149">
        <v>8.0275920788293692E-6</v>
      </c>
      <c r="V149" t="s">
        <v>159</v>
      </c>
      <c r="AK149">
        <v>2045</v>
      </c>
      <c r="AL149" t="s">
        <v>148</v>
      </c>
      <c r="AM149">
        <v>0.30726666666666669</v>
      </c>
      <c r="AN149" t="s">
        <v>281</v>
      </c>
    </row>
    <row r="150" spans="9:40" x14ac:dyDescent="0.45">
      <c r="I150" t="s">
        <v>169</v>
      </c>
      <c r="J150" t="s">
        <v>353</v>
      </c>
      <c r="K150">
        <v>8.4952526694470148E-6</v>
      </c>
      <c r="L150" t="s">
        <v>159</v>
      </c>
      <c r="N150" t="s">
        <v>212</v>
      </c>
      <c r="O150" t="s">
        <v>353</v>
      </c>
      <c r="P150">
        <v>1.9249969866916384E-8</v>
      </c>
      <c r="Q150" t="s">
        <v>159</v>
      </c>
      <c r="S150" t="s">
        <v>254</v>
      </c>
      <c r="T150" t="s">
        <v>353</v>
      </c>
      <c r="U150">
        <v>8.7058775038528522E-6</v>
      </c>
      <c r="V150" t="s">
        <v>159</v>
      </c>
      <c r="AK150">
        <v>2045</v>
      </c>
      <c r="AL150" t="s">
        <v>152</v>
      </c>
      <c r="AM150">
        <v>0.11635000000000001</v>
      </c>
      <c r="AN150" t="s">
        <v>281</v>
      </c>
    </row>
    <row r="151" spans="9:40" x14ac:dyDescent="0.45">
      <c r="I151" t="s">
        <v>169</v>
      </c>
      <c r="J151" t="s">
        <v>354</v>
      </c>
      <c r="K151">
        <v>1.7045346248019093E-4</v>
      </c>
      <c r="L151" t="s">
        <v>159</v>
      </c>
      <c r="N151" t="s">
        <v>212</v>
      </c>
      <c r="O151" t="s">
        <v>354</v>
      </c>
      <c r="P151">
        <v>3.0590389580445917E-8</v>
      </c>
      <c r="Q151" t="s">
        <v>159</v>
      </c>
      <c r="S151" t="s">
        <v>254</v>
      </c>
      <c r="T151" t="s">
        <v>354</v>
      </c>
      <c r="U151">
        <v>9.6743456432058912E-6</v>
      </c>
      <c r="V151" t="s">
        <v>159</v>
      </c>
      <c r="AK151">
        <v>2045</v>
      </c>
      <c r="AL151" t="s">
        <v>154</v>
      </c>
      <c r="AM151">
        <v>9.3100000000000002E-2</v>
      </c>
      <c r="AN151" t="s">
        <v>281</v>
      </c>
    </row>
    <row r="152" spans="9:40" x14ac:dyDescent="0.45">
      <c r="I152" t="s">
        <v>169</v>
      </c>
      <c r="J152" t="s">
        <v>355</v>
      </c>
      <c r="K152">
        <v>1.7173474200612591E-4</v>
      </c>
      <c r="L152" t="s">
        <v>159</v>
      </c>
      <c r="N152" t="s">
        <v>212</v>
      </c>
      <c r="O152" t="s">
        <v>355</v>
      </c>
      <c r="P152">
        <v>7.5716045885076498E-8</v>
      </c>
      <c r="Q152" t="s">
        <v>159</v>
      </c>
      <c r="S152" t="s">
        <v>254</v>
      </c>
      <c r="T152" t="s">
        <v>355</v>
      </c>
      <c r="U152">
        <v>7.5053438063372231E-6</v>
      </c>
      <c r="V152" t="s">
        <v>159</v>
      </c>
      <c r="AK152">
        <v>2045</v>
      </c>
      <c r="AL152" t="s">
        <v>283</v>
      </c>
      <c r="AM152">
        <v>9.5899999999999999E-2</v>
      </c>
      <c r="AN152" t="s">
        <v>281</v>
      </c>
    </row>
    <row r="153" spans="9:40" x14ac:dyDescent="0.45">
      <c r="I153" t="s">
        <v>169</v>
      </c>
      <c r="J153" t="s">
        <v>356</v>
      </c>
      <c r="K153">
        <v>1.6022100475511036E-4</v>
      </c>
      <c r="L153" t="s">
        <v>159</v>
      </c>
      <c r="N153" t="s">
        <v>212</v>
      </c>
      <c r="O153" t="s">
        <v>356</v>
      </c>
      <c r="P153">
        <v>1.463070782243405E-8</v>
      </c>
      <c r="Q153" t="s">
        <v>159</v>
      </c>
      <c r="S153" t="s">
        <v>254</v>
      </c>
      <c r="T153" t="s">
        <v>356</v>
      </c>
      <c r="U153">
        <v>7.3105951533308481E-6</v>
      </c>
      <c r="V153" t="s">
        <v>159</v>
      </c>
      <c r="AK153">
        <v>2045</v>
      </c>
      <c r="AL153" t="s">
        <v>285</v>
      </c>
      <c r="AM153">
        <v>0.16531999999999999</v>
      </c>
      <c r="AN153" t="s">
        <v>281</v>
      </c>
    </row>
    <row r="154" spans="9:40" x14ac:dyDescent="0.45">
      <c r="I154" t="s">
        <v>169</v>
      </c>
      <c r="J154" t="s">
        <v>357</v>
      </c>
      <c r="K154">
        <v>1.7538501352447959E-4</v>
      </c>
      <c r="L154" t="s">
        <v>159</v>
      </c>
      <c r="N154" t="s">
        <v>212</v>
      </c>
      <c r="O154" t="s">
        <v>357</v>
      </c>
      <c r="P154">
        <v>1.0483972307283386E-8</v>
      </c>
      <c r="Q154" t="s">
        <v>159</v>
      </c>
      <c r="S154" t="s">
        <v>254</v>
      </c>
      <c r="T154" t="s">
        <v>357</v>
      </c>
      <c r="U154">
        <v>1.322819836842688E-5</v>
      </c>
      <c r="V154" t="s">
        <v>159</v>
      </c>
      <c r="AK154">
        <v>2045</v>
      </c>
      <c r="AL154" t="s">
        <v>306</v>
      </c>
      <c r="AM154">
        <v>0.28199999999999997</v>
      </c>
      <c r="AN154" t="s">
        <v>281</v>
      </c>
    </row>
    <row r="155" spans="9:40" x14ac:dyDescent="0.45">
      <c r="I155" t="s">
        <v>169</v>
      </c>
      <c r="J155" t="s">
        <v>358</v>
      </c>
      <c r="K155">
        <v>2.2159913441907307E-4</v>
      </c>
      <c r="L155" t="s">
        <v>159</v>
      </c>
      <c r="N155" t="s">
        <v>212</v>
      </c>
      <c r="O155" t="s">
        <v>358</v>
      </c>
      <c r="P155">
        <v>5.5286491557026957E-9</v>
      </c>
      <c r="Q155" t="s">
        <v>159</v>
      </c>
      <c r="S155" t="s">
        <v>254</v>
      </c>
      <c r="T155" t="s">
        <v>358</v>
      </c>
      <c r="U155">
        <v>1.5467317391343215E-5</v>
      </c>
      <c r="V155" t="s">
        <v>159</v>
      </c>
      <c r="AK155">
        <v>2046</v>
      </c>
      <c r="AL155" t="s">
        <v>148</v>
      </c>
      <c r="AM155">
        <v>0.31569999999999998</v>
      </c>
      <c r="AN155" t="s">
        <v>281</v>
      </c>
    </row>
    <row r="156" spans="9:40" x14ac:dyDescent="0.45">
      <c r="I156" t="s">
        <v>169</v>
      </c>
      <c r="J156" t="s">
        <v>359</v>
      </c>
      <c r="K156">
        <v>1.7744971051949856E-4</v>
      </c>
      <c r="L156" t="s">
        <v>159</v>
      </c>
      <c r="N156" t="s">
        <v>212</v>
      </c>
      <c r="O156" t="s">
        <v>359</v>
      </c>
      <c r="P156">
        <v>2.9140371839082235E-9</v>
      </c>
      <c r="Q156" t="s">
        <v>159</v>
      </c>
      <c r="S156" t="s">
        <v>254</v>
      </c>
      <c r="T156" t="s">
        <v>359</v>
      </c>
      <c r="U156">
        <v>1.6113370828618311E-5</v>
      </c>
      <c r="V156" t="s">
        <v>159</v>
      </c>
      <c r="AK156">
        <v>2046</v>
      </c>
      <c r="AL156" t="s">
        <v>152</v>
      </c>
      <c r="AM156">
        <v>0.1091</v>
      </c>
      <c r="AN156" t="s">
        <v>281</v>
      </c>
    </row>
    <row r="157" spans="9:40" x14ac:dyDescent="0.45">
      <c r="I157" t="s">
        <v>169</v>
      </c>
      <c r="J157" t="s">
        <v>360</v>
      </c>
      <c r="K157">
        <v>1.5621539869036164E-4</v>
      </c>
      <c r="L157" t="s">
        <v>159</v>
      </c>
      <c r="N157" t="s">
        <v>212</v>
      </c>
      <c r="O157" t="s">
        <v>360</v>
      </c>
      <c r="P157">
        <v>5.232524796893239E-9</v>
      </c>
      <c r="Q157" t="s">
        <v>159</v>
      </c>
      <c r="S157" t="s">
        <v>254</v>
      </c>
      <c r="T157" t="s">
        <v>360</v>
      </c>
      <c r="U157">
        <v>2.2401591836700837E-5</v>
      </c>
      <c r="V157" t="s">
        <v>159</v>
      </c>
      <c r="AK157">
        <v>2046</v>
      </c>
      <c r="AL157" t="s">
        <v>154</v>
      </c>
      <c r="AM157">
        <v>8.8900000000000007E-2</v>
      </c>
      <c r="AN157" t="s">
        <v>281</v>
      </c>
    </row>
    <row r="158" spans="9:40" x14ac:dyDescent="0.45">
      <c r="I158" t="s">
        <v>169</v>
      </c>
      <c r="J158" t="s">
        <v>361</v>
      </c>
      <c r="K158">
        <v>1.6411950170717917E-4</v>
      </c>
      <c r="L158" t="s">
        <v>159</v>
      </c>
      <c r="N158" t="s">
        <v>212</v>
      </c>
      <c r="O158" t="s">
        <v>361</v>
      </c>
      <c r="P158">
        <v>4.095629842779116E-8</v>
      </c>
      <c r="Q158" t="s">
        <v>159</v>
      </c>
      <c r="S158" t="s">
        <v>254</v>
      </c>
      <c r="T158" t="s">
        <v>361</v>
      </c>
      <c r="U158">
        <v>3.1535730543628021E-5</v>
      </c>
      <c r="V158" t="s">
        <v>159</v>
      </c>
      <c r="AK158">
        <v>2046</v>
      </c>
      <c r="AL158" t="s">
        <v>283</v>
      </c>
      <c r="AM158">
        <v>9.4500000000000001E-2</v>
      </c>
      <c r="AN158" t="s">
        <v>281</v>
      </c>
    </row>
    <row r="159" spans="9:40" x14ac:dyDescent="0.45">
      <c r="I159" t="s">
        <v>169</v>
      </c>
      <c r="J159" t="s">
        <v>362</v>
      </c>
      <c r="K159">
        <v>1.6470616138419998E-4</v>
      </c>
      <c r="L159" t="s">
        <v>159</v>
      </c>
      <c r="N159" t="s">
        <v>212</v>
      </c>
      <c r="O159" t="s">
        <v>362</v>
      </c>
      <c r="P159">
        <v>2.0748609045362746E-6</v>
      </c>
      <c r="Q159" t="s">
        <v>159</v>
      </c>
      <c r="S159" t="s">
        <v>254</v>
      </c>
      <c r="T159" t="s">
        <v>362</v>
      </c>
      <c r="U159">
        <v>5.5914523673044321E-5</v>
      </c>
      <c r="V159" t="s">
        <v>159</v>
      </c>
      <c r="AK159">
        <v>2046</v>
      </c>
      <c r="AL159" t="s">
        <v>285</v>
      </c>
      <c r="AM159">
        <v>0.16907999999999998</v>
      </c>
      <c r="AN159" t="s">
        <v>281</v>
      </c>
    </row>
    <row r="160" spans="9:40" x14ac:dyDescent="0.45">
      <c r="I160" t="s">
        <v>169</v>
      </c>
      <c r="J160" t="s">
        <v>363</v>
      </c>
      <c r="K160">
        <v>9.5911709820689501E-5</v>
      </c>
      <c r="L160" t="s">
        <v>159</v>
      </c>
      <c r="N160" t="s">
        <v>212</v>
      </c>
      <c r="O160" t="s">
        <v>363</v>
      </c>
      <c r="P160">
        <v>4.2901858059625209E-6</v>
      </c>
      <c r="Q160" t="s">
        <v>159</v>
      </c>
      <c r="S160" t="s">
        <v>254</v>
      </c>
      <c r="T160" t="s">
        <v>363</v>
      </c>
      <c r="U160">
        <v>9.5860556420941095E-5</v>
      </c>
      <c r="V160" t="s">
        <v>159</v>
      </c>
      <c r="AK160">
        <v>2046</v>
      </c>
      <c r="AL160" t="s">
        <v>306</v>
      </c>
      <c r="AM160">
        <v>0.31030000000000002</v>
      </c>
      <c r="AN160" t="s">
        <v>281</v>
      </c>
    </row>
    <row r="161" spans="9:40" x14ac:dyDescent="0.45">
      <c r="I161" t="s">
        <v>169</v>
      </c>
      <c r="J161" t="s">
        <v>364</v>
      </c>
      <c r="K161">
        <v>0</v>
      </c>
      <c r="L161" t="s">
        <v>159</v>
      </c>
      <c r="N161" t="s">
        <v>212</v>
      </c>
      <c r="O161" t="s">
        <v>364</v>
      </c>
      <c r="P161">
        <v>3.9736747555100203E-6</v>
      </c>
      <c r="Q161" t="s">
        <v>159</v>
      </c>
      <c r="S161" t="s">
        <v>254</v>
      </c>
      <c r="T161" t="s">
        <v>364</v>
      </c>
      <c r="U161">
        <v>1.335392564270505E-4</v>
      </c>
      <c r="V161" t="s">
        <v>159</v>
      </c>
      <c r="AK161">
        <v>2047</v>
      </c>
      <c r="AL161" t="s">
        <v>148</v>
      </c>
      <c r="AM161">
        <v>0.34925</v>
      </c>
      <c r="AN161" t="s">
        <v>281</v>
      </c>
    </row>
    <row r="162" spans="9:40" x14ac:dyDescent="0.45">
      <c r="I162" t="s">
        <v>169</v>
      </c>
      <c r="J162" t="s">
        <v>365</v>
      </c>
      <c r="K162">
        <v>0</v>
      </c>
      <c r="L162" t="s">
        <v>159</v>
      </c>
      <c r="N162" t="s">
        <v>212</v>
      </c>
      <c r="O162" t="s">
        <v>365</v>
      </c>
      <c r="P162">
        <v>8.3137112758903198E-6</v>
      </c>
      <c r="Q162" t="s">
        <v>159</v>
      </c>
      <c r="S162" t="s">
        <v>254</v>
      </c>
      <c r="T162" t="s">
        <v>365</v>
      </c>
      <c r="U162">
        <v>1.6464902314701268E-4</v>
      </c>
      <c r="V162" t="s">
        <v>159</v>
      </c>
      <c r="AK162">
        <v>2047</v>
      </c>
      <c r="AL162" t="s">
        <v>152</v>
      </c>
      <c r="AM162">
        <v>0.13155</v>
      </c>
      <c r="AN162" t="s">
        <v>281</v>
      </c>
    </row>
    <row r="163" spans="9:40" x14ac:dyDescent="0.45">
      <c r="I163" t="s">
        <v>169</v>
      </c>
      <c r="J163" t="s">
        <v>366</v>
      </c>
      <c r="K163">
        <v>0</v>
      </c>
      <c r="L163" t="s">
        <v>159</v>
      </c>
      <c r="N163" t="s">
        <v>212</v>
      </c>
      <c r="O163" t="s">
        <v>366</v>
      </c>
      <c r="P163">
        <v>8.0843752495235328E-6</v>
      </c>
      <c r="Q163" t="s">
        <v>159</v>
      </c>
      <c r="S163" t="s">
        <v>254</v>
      </c>
      <c r="T163" t="s">
        <v>366</v>
      </c>
      <c r="U163">
        <v>1.7150751674769904E-4</v>
      </c>
      <c r="V163" t="s">
        <v>159</v>
      </c>
      <c r="AK163">
        <v>2047</v>
      </c>
      <c r="AL163" t="s">
        <v>154</v>
      </c>
      <c r="AM163">
        <v>0.105</v>
      </c>
      <c r="AN163" t="s">
        <v>281</v>
      </c>
    </row>
    <row r="164" spans="9:40" x14ac:dyDescent="0.45">
      <c r="I164" t="s">
        <v>169</v>
      </c>
      <c r="J164" t="s">
        <v>367</v>
      </c>
      <c r="K164">
        <v>0</v>
      </c>
      <c r="L164" t="s">
        <v>159</v>
      </c>
      <c r="N164" t="s">
        <v>212</v>
      </c>
      <c r="O164" t="s">
        <v>367</v>
      </c>
      <c r="P164">
        <v>6.8186517310041708E-6</v>
      </c>
      <c r="Q164" t="s">
        <v>159</v>
      </c>
      <c r="S164" t="s">
        <v>254</v>
      </c>
      <c r="T164" t="s">
        <v>367</v>
      </c>
      <c r="U164">
        <v>1.5728910911631024E-4</v>
      </c>
      <c r="V164" t="s">
        <v>159</v>
      </c>
      <c r="AK164">
        <v>2047</v>
      </c>
      <c r="AL164" t="s">
        <v>283</v>
      </c>
      <c r="AM164">
        <v>0.11119999999999999</v>
      </c>
      <c r="AN164" t="s">
        <v>281</v>
      </c>
    </row>
    <row r="165" spans="9:40" x14ac:dyDescent="0.45">
      <c r="I165" t="s">
        <v>169</v>
      </c>
      <c r="J165" t="s">
        <v>368</v>
      </c>
      <c r="K165">
        <v>0</v>
      </c>
      <c r="L165" t="s">
        <v>159</v>
      </c>
      <c r="N165" t="s">
        <v>212</v>
      </c>
      <c r="O165" t="s">
        <v>368</v>
      </c>
      <c r="P165">
        <v>7.6948978960429223E-6</v>
      </c>
      <c r="Q165" t="s">
        <v>159</v>
      </c>
      <c r="S165" t="s">
        <v>254</v>
      </c>
      <c r="T165" t="s">
        <v>368</v>
      </c>
      <c r="U165">
        <v>1.2765812182677678E-4</v>
      </c>
      <c r="V165" t="s">
        <v>159</v>
      </c>
      <c r="AK165">
        <v>2047</v>
      </c>
      <c r="AL165" t="s">
        <v>285</v>
      </c>
      <c r="AM165">
        <v>0.19047999999999998</v>
      </c>
      <c r="AN165" t="s">
        <v>281</v>
      </c>
    </row>
    <row r="166" spans="9:40" x14ac:dyDescent="0.45">
      <c r="I166" t="s">
        <v>169</v>
      </c>
      <c r="J166" t="s">
        <v>369</v>
      </c>
      <c r="K166">
        <v>0</v>
      </c>
      <c r="L166" t="s">
        <v>159</v>
      </c>
      <c r="N166" t="s">
        <v>212</v>
      </c>
      <c r="O166" t="s">
        <v>369</v>
      </c>
      <c r="P166">
        <v>3.8693602283506038E-6</v>
      </c>
      <c r="Q166" t="s">
        <v>159</v>
      </c>
      <c r="S166" t="s">
        <v>254</v>
      </c>
      <c r="T166" t="s">
        <v>369</v>
      </c>
      <c r="U166">
        <v>9.2101549668497084E-5</v>
      </c>
      <c r="V166" t="s">
        <v>159</v>
      </c>
      <c r="AK166">
        <v>2047</v>
      </c>
      <c r="AL166" t="s">
        <v>306</v>
      </c>
      <c r="AM166">
        <v>0.32140000000000002</v>
      </c>
      <c r="AN166" t="s">
        <v>281</v>
      </c>
    </row>
    <row r="167" spans="9:40" x14ac:dyDescent="0.45">
      <c r="I167" t="s">
        <v>169</v>
      </c>
      <c r="J167" t="s">
        <v>165</v>
      </c>
      <c r="K167">
        <v>0</v>
      </c>
      <c r="L167" t="s">
        <v>159</v>
      </c>
      <c r="N167" t="s">
        <v>212</v>
      </c>
      <c r="O167" t="s">
        <v>165</v>
      </c>
      <c r="P167">
        <v>2.2145889971582497E-2</v>
      </c>
      <c r="Q167" t="s">
        <v>159</v>
      </c>
      <c r="S167" t="s">
        <v>254</v>
      </c>
      <c r="T167" t="s">
        <v>165</v>
      </c>
      <c r="U167">
        <v>2.4195213825526429E-2</v>
      </c>
      <c r="V167" t="s">
        <v>159</v>
      </c>
      <c r="AK167">
        <v>2048</v>
      </c>
      <c r="AL167" t="s">
        <v>148</v>
      </c>
      <c r="AM167">
        <v>0.3632333333333333</v>
      </c>
      <c r="AN167" t="s">
        <v>281</v>
      </c>
    </row>
    <row r="168" spans="9:40" x14ac:dyDescent="0.45">
      <c r="I168" t="s">
        <v>169</v>
      </c>
      <c r="J168" t="s">
        <v>166</v>
      </c>
      <c r="K168">
        <v>4.0739084379353974E-3</v>
      </c>
      <c r="L168" t="s">
        <v>159</v>
      </c>
      <c r="N168" t="s">
        <v>212</v>
      </c>
      <c r="O168" t="s">
        <v>166</v>
      </c>
      <c r="P168">
        <v>3.3592142916700238E-3</v>
      </c>
      <c r="Q168" t="s">
        <v>159</v>
      </c>
      <c r="S168" t="s">
        <v>254</v>
      </c>
      <c r="T168" t="s">
        <v>166</v>
      </c>
      <c r="U168">
        <v>3.5720786943302988E-3</v>
      </c>
      <c r="V168" t="s">
        <v>159</v>
      </c>
      <c r="AK168">
        <v>2048</v>
      </c>
      <c r="AL168" t="s">
        <v>152</v>
      </c>
      <c r="AM168">
        <v>0.14095000000000002</v>
      </c>
      <c r="AN168" t="s">
        <v>281</v>
      </c>
    </row>
    <row r="169" spans="9:40" x14ac:dyDescent="0.45">
      <c r="I169" t="s">
        <v>169</v>
      </c>
      <c r="J169" t="s">
        <v>167</v>
      </c>
      <c r="K169">
        <v>5.4509826316002902E-2</v>
      </c>
      <c r="L169" t="s">
        <v>159</v>
      </c>
      <c r="N169" t="s">
        <v>212</v>
      </c>
      <c r="O169" t="s">
        <v>167</v>
      </c>
      <c r="P169">
        <v>4.6824656352078615E-2</v>
      </c>
      <c r="Q169" t="s">
        <v>159</v>
      </c>
      <c r="S169" t="s">
        <v>254</v>
      </c>
      <c r="T169" t="s">
        <v>167</v>
      </c>
      <c r="U169">
        <v>2.8766020824480161E-2</v>
      </c>
      <c r="V169" t="s">
        <v>159</v>
      </c>
      <c r="AK169">
        <v>2048</v>
      </c>
      <c r="AL169" t="s">
        <v>154</v>
      </c>
      <c r="AM169">
        <v>0.1115</v>
      </c>
      <c r="AN169" t="s">
        <v>281</v>
      </c>
    </row>
    <row r="170" spans="9:40" x14ac:dyDescent="0.45">
      <c r="I170" t="s">
        <v>169</v>
      </c>
      <c r="J170" t="s">
        <v>291</v>
      </c>
      <c r="K170">
        <v>4.1998380439493953E-3</v>
      </c>
      <c r="L170" t="s">
        <v>159</v>
      </c>
      <c r="N170" t="s">
        <v>212</v>
      </c>
      <c r="O170" t="s">
        <v>291</v>
      </c>
      <c r="P170">
        <v>4.4814926027668947E-3</v>
      </c>
      <c r="Q170" t="s">
        <v>159</v>
      </c>
      <c r="S170" t="s">
        <v>254</v>
      </c>
      <c r="T170" t="s">
        <v>291</v>
      </c>
      <c r="U170">
        <v>3.0863927248456231E-3</v>
      </c>
      <c r="V170" t="s">
        <v>159</v>
      </c>
      <c r="AK170">
        <v>2048</v>
      </c>
      <c r="AL170" t="s">
        <v>283</v>
      </c>
      <c r="AM170">
        <v>0.1157</v>
      </c>
      <c r="AN170" t="s">
        <v>281</v>
      </c>
    </row>
    <row r="171" spans="9:40" x14ac:dyDescent="0.45">
      <c r="I171" t="s">
        <v>169</v>
      </c>
      <c r="J171" t="s">
        <v>292</v>
      </c>
      <c r="K171">
        <v>0</v>
      </c>
      <c r="L171" t="s">
        <v>159</v>
      </c>
      <c r="N171" t="s">
        <v>212</v>
      </c>
      <c r="O171" t="s">
        <v>292</v>
      </c>
      <c r="P171">
        <v>3.6973595768427284E-3</v>
      </c>
      <c r="Q171" t="s">
        <v>159</v>
      </c>
      <c r="S171" t="s">
        <v>254</v>
      </c>
      <c r="T171" t="s">
        <v>292</v>
      </c>
      <c r="U171">
        <v>3.1026741073115287E-3</v>
      </c>
      <c r="V171" t="s">
        <v>159</v>
      </c>
      <c r="AK171">
        <v>2048</v>
      </c>
      <c r="AL171" t="s">
        <v>285</v>
      </c>
      <c r="AM171">
        <v>0.20015999999999998</v>
      </c>
      <c r="AN171" t="s">
        <v>281</v>
      </c>
    </row>
    <row r="172" spans="9:40" x14ac:dyDescent="0.45">
      <c r="I172" t="s">
        <v>169</v>
      </c>
      <c r="J172" t="s">
        <v>310</v>
      </c>
      <c r="K172">
        <v>0</v>
      </c>
      <c r="L172" t="s">
        <v>159</v>
      </c>
      <c r="N172" t="s">
        <v>212</v>
      </c>
      <c r="O172" t="s">
        <v>310</v>
      </c>
      <c r="P172">
        <v>1.5837367972337715E-2</v>
      </c>
      <c r="Q172" t="s">
        <v>159</v>
      </c>
      <c r="S172" t="s">
        <v>254</v>
      </c>
      <c r="T172" t="s">
        <v>310</v>
      </c>
      <c r="U172">
        <v>1.5286887382219715E-2</v>
      </c>
      <c r="V172" t="s">
        <v>159</v>
      </c>
      <c r="AK172">
        <v>2048</v>
      </c>
      <c r="AL172" t="s">
        <v>306</v>
      </c>
      <c r="AM172">
        <v>0.37119999999999997</v>
      </c>
      <c r="AN172" t="s">
        <v>281</v>
      </c>
    </row>
    <row r="173" spans="9:40" x14ac:dyDescent="0.45">
      <c r="I173" t="s">
        <v>169</v>
      </c>
      <c r="J173" t="s">
        <v>293</v>
      </c>
      <c r="K173">
        <v>0</v>
      </c>
      <c r="L173" t="s">
        <v>159</v>
      </c>
      <c r="N173" t="s">
        <v>212</v>
      </c>
      <c r="O173" t="s">
        <v>293</v>
      </c>
      <c r="P173">
        <v>2.3557282877126142E-3</v>
      </c>
      <c r="Q173" t="s">
        <v>159</v>
      </c>
      <c r="S173" t="s">
        <v>254</v>
      </c>
      <c r="T173" t="s">
        <v>293</v>
      </c>
      <c r="U173">
        <v>4.2473455399021452E-3</v>
      </c>
      <c r="V173" t="s">
        <v>159</v>
      </c>
      <c r="AK173">
        <v>2049</v>
      </c>
      <c r="AL173" t="s">
        <v>148</v>
      </c>
      <c r="AM173">
        <v>0.36641666666666667</v>
      </c>
      <c r="AN173" t="s">
        <v>281</v>
      </c>
    </row>
    <row r="174" spans="9:40" x14ac:dyDescent="0.45">
      <c r="I174" t="s">
        <v>169</v>
      </c>
      <c r="J174" t="s">
        <v>294</v>
      </c>
      <c r="K174">
        <v>1.1758248239984474E-3</v>
      </c>
      <c r="L174" t="s">
        <v>159</v>
      </c>
      <c r="N174" t="s">
        <v>212</v>
      </c>
      <c r="O174" t="s">
        <v>294</v>
      </c>
      <c r="P174">
        <v>4.5728645087477941E-4</v>
      </c>
      <c r="Q174" t="s">
        <v>159</v>
      </c>
      <c r="S174" t="s">
        <v>254</v>
      </c>
      <c r="T174" t="s">
        <v>294</v>
      </c>
      <c r="U174">
        <v>5.4672565008420746E-4</v>
      </c>
      <c r="V174" t="s">
        <v>159</v>
      </c>
      <c r="AK174">
        <v>2049</v>
      </c>
      <c r="AL174" t="s">
        <v>152</v>
      </c>
      <c r="AM174">
        <v>0.12470000000000001</v>
      </c>
      <c r="AN174" t="s">
        <v>281</v>
      </c>
    </row>
    <row r="175" spans="9:40" x14ac:dyDescent="0.45">
      <c r="I175" t="s">
        <v>169</v>
      </c>
      <c r="J175" t="s">
        <v>295</v>
      </c>
      <c r="K175">
        <v>1.4776064731457586E-2</v>
      </c>
      <c r="L175" t="s">
        <v>159</v>
      </c>
      <c r="N175" t="s">
        <v>212</v>
      </c>
      <c r="O175" t="s">
        <v>295</v>
      </c>
      <c r="P175">
        <v>8.1337161613308194E-3</v>
      </c>
      <c r="Q175" t="s">
        <v>159</v>
      </c>
      <c r="S175" t="s">
        <v>254</v>
      </c>
      <c r="T175" t="s">
        <v>295</v>
      </c>
      <c r="U175">
        <v>6.742681112112717E-3</v>
      </c>
      <c r="V175" t="s">
        <v>159</v>
      </c>
      <c r="AK175">
        <v>2049</v>
      </c>
      <c r="AL175" t="s">
        <v>154</v>
      </c>
      <c r="AM175">
        <v>0.10255</v>
      </c>
      <c r="AN175" t="s">
        <v>281</v>
      </c>
    </row>
    <row r="176" spans="9:40" x14ac:dyDescent="0.45">
      <c r="I176" t="s">
        <v>169</v>
      </c>
      <c r="J176" t="s">
        <v>296</v>
      </c>
      <c r="K176">
        <v>1.1508294356015105E-3</v>
      </c>
      <c r="L176" t="s">
        <v>159</v>
      </c>
      <c r="N176" t="s">
        <v>212</v>
      </c>
      <c r="O176" t="s">
        <v>296</v>
      </c>
      <c r="P176">
        <v>8.4435933835133082E-4</v>
      </c>
      <c r="Q176" t="s">
        <v>159</v>
      </c>
      <c r="S176" t="s">
        <v>254</v>
      </c>
      <c r="T176" t="s">
        <v>296</v>
      </c>
      <c r="U176">
        <v>1.2651679226469447E-3</v>
      </c>
      <c r="V176" t="s">
        <v>159</v>
      </c>
      <c r="AK176">
        <v>2049</v>
      </c>
      <c r="AL176" t="s">
        <v>283</v>
      </c>
      <c r="AM176">
        <v>0.1043</v>
      </c>
      <c r="AN176" t="s">
        <v>281</v>
      </c>
    </row>
    <row r="177" spans="9:40" x14ac:dyDescent="0.45">
      <c r="I177" t="s">
        <v>169</v>
      </c>
      <c r="J177" t="s">
        <v>297</v>
      </c>
      <c r="K177">
        <v>0</v>
      </c>
      <c r="L177" t="s">
        <v>159</v>
      </c>
      <c r="N177" t="s">
        <v>212</v>
      </c>
      <c r="O177" t="s">
        <v>297</v>
      </c>
      <c r="P177">
        <v>7.1781842999902581E-4</v>
      </c>
      <c r="Q177" t="s">
        <v>159</v>
      </c>
      <c r="S177" t="s">
        <v>254</v>
      </c>
      <c r="T177" t="s">
        <v>297</v>
      </c>
      <c r="U177">
        <v>1.2652543127313906E-3</v>
      </c>
      <c r="V177" t="s">
        <v>159</v>
      </c>
      <c r="AK177">
        <v>2049</v>
      </c>
      <c r="AL177" t="s">
        <v>285</v>
      </c>
      <c r="AM177">
        <v>0.19075999999999999</v>
      </c>
      <c r="AN177" t="s">
        <v>281</v>
      </c>
    </row>
    <row r="178" spans="9:40" x14ac:dyDescent="0.45">
      <c r="I178" t="s">
        <v>169</v>
      </c>
      <c r="J178" t="s">
        <v>311</v>
      </c>
      <c r="K178">
        <v>0</v>
      </c>
      <c r="L178" t="s">
        <v>159</v>
      </c>
      <c r="N178" t="s">
        <v>212</v>
      </c>
      <c r="O178" t="s">
        <v>311</v>
      </c>
      <c r="P178">
        <v>2.9986135609203855E-3</v>
      </c>
      <c r="Q178" t="s">
        <v>159</v>
      </c>
      <c r="S178" t="s">
        <v>254</v>
      </c>
      <c r="T178" t="s">
        <v>311</v>
      </c>
      <c r="U178">
        <v>4.7277590619252546E-3</v>
      </c>
      <c r="V178" t="s">
        <v>159</v>
      </c>
      <c r="AK178">
        <v>2049</v>
      </c>
      <c r="AL178" t="s">
        <v>306</v>
      </c>
      <c r="AM178">
        <v>0.32019999999999998</v>
      </c>
      <c r="AN178" t="s">
        <v>281</v>
      </c>
    </row>
    <row r="179" spans="9:40" x14ac:dyDescent="0.45">
      <c r="I179" t="s">
        <v>169</v>
      </c>
      <c r="J179" t="s">
        <v>298</v>
      </c>
      <c r="K179">
        <v>1.6251807211798166E-2</v>
      </c>
      <c r="L179" t="s">
        <v>159</v>
      </c>
      <c r="N179" t="s">
        <v>212</v>
      </c>
      <c r="O179" t="s">
        <v>298</v>
      </c>
      <c r="P179">
        <v>6.1549701673392479E-2</v>
      </c>
      <c r="Q179" t="s">
        <v>159</v>
      </c>
      <c r="S179" t="s">
        <v>254</v>
      </c>
      <c r="T179" t="s">
        <v>298</v>
      </c>
      <c r="U179">
        <v>6.3813070985265286E-2</v>
      </c>
      <c r="V179" t="s">
        <v>159</v>
      </c>
      <c r="AK179">
        <v>2050</v>
      </c>
      <c r="AL179" t="s">
        <v>148</v>
      </c>
      <c r="AM179">
        <v>0.36295000000000005</v>
      </c>
      <c r="AN179" t="s">
        <v>281</v>
      </c>
    </row>
    <row r="180" spans="9:40" x14ac:dyDescent="0.45">
      <c r="I180" t="s">
        <v>169</v>
      </c>
      <c r="J180" t="s">
        <v>299</v>
      </c>
      <c r="K180">
        <v>2.2914394567301623E-2</v>
      </c>
      <c r="L180" t="s">
        <v>159</v>
      </c>
      <c r="N180" t="s">
        <v>212</v>
      </c>
      <c r="O180" t="s">
        <v>299</v>
      </c>
      <c r="P180">
        <v>7.5096540721573558E-3</v>
      </c>
      <c r="Q180" t="s">
        <v>159</v>
      </c>
      <c r="S180" t="s">
        <v>254</v>
      </c>
      <c r="T180" t="s">
        <v>299</v>
      </c>
      <c r="U180">
        <v>7.5948545641446067E-3</v>
      </c>
      <c r="V180" t="s">
        <v>159</v>
      </c>
      <c r="AK180">
        <v>2050</v>
      </c>
      <c r="AL180" t="s">
        <v>152</v>
      </c>
      <c r="AM180">
        <v>0.12475</v>
      </c>
      <c r="AN180" t="s">
        <v>281</v>
      </c>
    </row>
    <row r="181" spans="9:40" x14ac:dyDescent="0.45">
      <c r="I181" t="s">
        <v>169</v>
      </c>
      <c r="J181" t="s">
        <v>300</v>
      </c>
      <c r="K181">
        <v>0.24455884233107844</v>
      </c>
      <c r="L181" t="s">
        <v>159</v>
      </c>
      <c r="N181" t="s">
        <v>212</v>
      </c>
      <c r="O181" t="s">
        <v>300</v>
      </c>
      <c r="P181">
        <v>0.10796622805326363</v>
      </c>
      <c r="Q181" t="s">
        <v>159</v>
      </c>
      <c r="S181" t="s">
        <v>254</v>
      </c>
      <c r="T181" t="s">
        <v>300</v>
      </c>
      <c r="U181">
        <v>0.10331819190267637</v>
      </c>
      <c r="V181" t="s">
        <v>159</v>
      </c>
      <c r="AK181">
        <v>2050</v>
      </c>
      <c r="AL181" t="s">
        <v>154</v>
      </c>
      <c r="AM181">
        <v>0.1132</v>
      </c>
      <c r="AN181" t="s">
        <v>281</v>
      </c>
    </row>
    <row r="182" spans="9:40" x14ac:dyDescent="0.45">
      <c r="I182" t="s">
        <v>169</v>
      </c>
      <c r="J182" t="s">
        <v>301</v>
      </c>
      <c r="K182">
        <v>1.8904054634813032E-2</v>
      </c>
      <c r="L182" t="s">
        <v>159</v>
      </c>
      <c r="N182" t="s">
        <v>212</v>
      </c>
      <c r="O182" t="s">
        <v>301</v>
      </c>
      <c r="P182">
        <v>1.5659634401100849E-2</v>
      </c>
      <c r="Q182" t="s">
        <v>159</v>
      </c>
      <c r="S182" t="s">
        <v>254</v>
      </c>
      <c r="T182" t="s">
        <v>301</v>
      </c>
      <c r="U182">
        <v>1.7548263775306959E-2</v>
      </c>
      <c r="V182" t="s">
        <v>159</v>
      </c>
      <c r="AK182">
        <v>2050</v>
      </c>
      <c r="AL182" t="s">
        <v>283</v>
      </c>
      <c r="AM182">
        <v>0.1227</v>
      </c>
      <c r="AN182" t="s">
        <v>281</v>
      </c>
    </row>
    <row r="183" spans="9:40" x14ac:dyDescent="0.45">
      <c r="I183" t="s">
        <v>169</v>
      </c>
      <c r="J183" t="s">
        <v>302</v>
      </c>
      <c r="K183">
        <v>6.3373598767495704E-3</v>
      </c>
      <c r="L183" t="s">
        <v>159</v>
      </c>
      <c r="N183" t="s">
        <v>212</v>
      </c>
      <c r="O183" t="s">
        <v>302</v>
      </c>
      <c r="P183">
        <v>1.4846172936794031E-2</v>
      </c>
      <c r="Q183" t="s">
        <v>159</v>
      </c>
      <c r="S183" t="s">
        <v>254</v>
      </c>
      <c r="T183" t="s">
        <v>302</v>
      </c>
      <c r="U183">
        <v>1.6894945366399163E-2</v>
      </c>
      <c r="V183" t="s">
        <v>159</v>
      </c>
      <c r="AK183">
        <v>2050</v>
      </c>
      <c r="AL183" t="s">
        <v>285</v>
      </c>
      <c r="AM183">
        <v>0.19012000000000001</v>
      </c>
      <c r="AN183" t="s">
        <v>281</v>
      </c>
    </row>
    <row r="184" spans="9:40" x14ac:dyDescent="0.45">
      <c r="I184" t="s">
        <v>169</v>
      </c>
      <c r="J184" t="s">
        <v>312</v>
      </c>
      <c r="K184">
        <v>0</v>
      </c>
      <c r="L184" t="s">
        <v>159</v>
      </c>
      <c r="N184" t="s">
        <v>212</v>
      </c>
      <c r="O184" t="s">
        <v>312</v>
      </c>
      <c r="P184">
        <v>6.2442050371147605E-2</v>
      </c>
      <c r="Q184" t="s">
        <v>159</v>
      </c>
      <c r="S184" t="s">
        <v>254</v>
      </c>
      <c r="T184" t="s">
        <v>312</v>
      </c>
      <c r="U184">
        <v>6.4834627171555068E-2</v>
      </c>
      <c r="V184" t="s">
        <v>159</v>
      </c>
      <c r="AK184">
        <v>2050</v>
      </c>
      <c r="AL184" t="s">
        <v>306</v>
      </c>
      <c r="AM184">
        <v>0.33960000000000001</v>
      </c>
      <c r="AN184" t="s">
        <v>281</v>
      </c>
    </row>
    <row r="185" spans="9:40" x14ac:dyDescent="0.45">
      <c r="I185" t="s">
        <v>169</v>
      </c>
      <c r="J185" t="s">
        <v>313</v>
      </c>
      <c r="K185">
        <v>7.9661731130327273E-3</v>
      </c>
      <c r="L185" t="s">
        <v>159</v>
      </c>
      <c r="N185" t="s">
        <v>212</v>
      </c>
      <c r="O185" t="s">
        <v>313</v>
      </c>
      <c r="P185">
        <v>1.7715844917362673E-2</v>
      </c>
      <c r="Q185" t="s">
        <v>159</v>
      </c>
      <c r="S185" t="s">
        <v>254</v>
      </c>
      <c r="T185" t="s">
        <v>313</v>
      </c>
      <c r="U185">
        <v>1.7589892556114102E-2</v>
      </c>
      <c r="V185" t="s">
        <v>159</v>
      </c>
    </row>
    <row r="186" spans="9:40" x14ac:dyDescent="0.45">
      <c r="I186" t="s">
        <v>169</v>
      </c>
      <c r="J186" t="s">
        <v>314</v>
      </c>
      <c r="K186">
        <v>7.9448791853703182E-3</v>
      </c>
      <c r="L186" t="s">
        <v>159</v>
      </c>
      <c r="N186" t="s">
        <v>212</v>
      </c>
      <c r="O186" t="s">
        <v>314</v>
      </c>
      <c r="P186">
        <v>1.547715143248887E-3</v>
      </c>
      <c r="Q186" t="s">
        <v>159</v>
      </c>
      <c r="S186" t="s">
        <v>254</v>
      </c>
      <c r="T186" t="s">
        <v>314</v>
      </c>
      <c r="U186">
        <v>1.5986602995618541E-3</v>
      </c>
      <c r="V186" t="s">
        <v>159</v>
      </c>
    </row>
    <row r="187" spans="9:40" x14ac:dyDescent="0.45">
      <c r="I187" t="s">
        <v>169</v>
      </c>
      <c r="J187" t="s">
        <v>315</v>
      </c>
      <c r="K187">
        <v>7.9944166485165544E-2</v>
      </c>
      <c r="L187" t="s">
        <v>159</v>
      </c>
      <c r="N187" t="s">
        <v>212</v>
      </c>
      <c r="O187" t="s">
        <v>315</v>
      </c>
      <c r="P187">
        <v>2.6424757210984334E-2</v>
      </c>
      <c r="Q187" t="s">
        <v>159</v>
      </c>
      <c r="S187" t="s">
        <v>254</v>
      </c>
      <c r="T187" t="s">
        <v>315</v>
      </c>
      <c r="U187">
        <v>3.1567649480099422E-2</v>
      </c>
      <c r="V187" t="s">
        <v>159</v>
      </c>
    </row>
    <row r="188" spans="9:40" x14ac:dyDescent="0.45">
      <c r="I188" t="s">
        <v>169</v>
      </c>
      <c r="J188" t="s">
        <v>316</v>
      </c>
      <c r="K188">
        <v>6.317329808876988E-3</v>
      </c>
      <c r="L188" t="s">
        <v>159</v>
      </c>
      <c r="N188" t="s">
        <v>212</v>
      </c>
      <c r="O188" t="s">
        <v>316</v>
      </c>
      <c r="P188">
        <v>6.634642039851397E-3</v>
      </c>
      <c r="Q188" t="s">
        <v>159</v>
      </c>
      <c r="S188" t="s">
        <v>254</v>
      </c>
      <c r="T188" t="s">
        <v>316</v>
      </c>
      <c r="U188">
        <v>6.0031183074093384E-3</v>
      </c>
      <c r="V188" t="s">
        <v>159</v>
      </c>
    </row>
    <row r="189" spans="9:40" x14ac:dyDescent="0.45">
      <c r="I189" t="s">
        <v>169</v>
      </c>
      <c r="J189" t="s">
        <v>317</v>
      </c>
      <c r="K189">
        <v>4.3016117254700073E-3</v>
      </c>
      <c r="L189" t="s">
        <v>159</v>
      </c>
      <c r="N189" t="s">
        <v>212</v>
      </c>
      <c r="O189" t="s">
        <v>317</v>
      </c>
      <c r="P189">
        <v>6.8309607925618986E-3</v>
      </c>
      <c r="Q189" t="s">
        <v>159</v>
      </c>
      <c r="S189" t="s">
        <v>254</v>
      </c>
      <c r="T189" t="s">
        <v>317</v>
      </c>
      <c r="U189">
        <v>5.5760671360623008E-3</v>
      </c>
      <c r="V189" t="s">
        <v>159</v>
      </c>
    </row>
    <row r="190" spans="9:40" x14ac:dyDescent="0.45">
      <c r="I190" t="s">
        <v>169</v>
      </c>
      <c r="J190" t="s">
        <v>318</v>
      </c>
      <c r="K190">
        <v>1.2151507827096974E-6</v>
      </c>
      <c r="L190" t="s">
        <v>159</v>
      </c>
      <c r="N190" t="s">
        <v>212</v>
      </c>
      <c r="O190" t="s">
        <v>318</v>
      </c>
      <c r="P190">
        <v>2.7171764597388879E-2</v>
      </c>
      <c r="Q190" t="s">
        <v>159</v>
      </c>
      <c r="S190" t="s">
        <v>254</v>
      </c>
      <c r="T190" t="s">
        <v>318</v>
      </c>
      <c r="U190">
        <v>2.2428302561271797E-2</v>
      </c>
      <c r="V190" t="s">
        <v>159</v>
      </c>
    </row>
    <row r="191" spans="9:40" x14ac:dyDescent="0.45">
      <c r="I191" t="s">
        <v>170</v>
      </c>
      <c r="J191" t="s">
        <v>158</v>
      </c>
      <c r="K191">
        <v>1.4192260781463552E-2</v>
      </c>
      <c r="L191" t="s">
        <v>159</v>
      </c>
      <c r="N191" t="s">
        <v>213</v>
      </c>
      <c r="O191" t="s">
        <v>158</v>
      </c>
      <c r="P191">
        <v>7.9733273902406199E-2</v>
      </c>
      <c r="Q191" t="s">
        <v>159</v>
      </c>
      <c r="S191" t="s">
        <v>255</v>
      </c>
      <c r="T191" t="s">
        <v>158</v>
      </c>
      <c r="U191">
        <v>0.14246177840428118</v>
      </c>
      <c r="V191" t="s">
        <v>159</v>
      </c>
    </row>
    <row r="192" spans="9:40" x14ac:dyDescent="0.45">
      <c r="I192" t="s">
        <v>170</v>
      </c>
      <c r="J192" t="s">
        <v>160</v>
      </c>
      <c r="K192">
        <v>3.3757024074305052E-2</v>
      </c>
      <c r="L192" t="s">
        <v>159</v>
      </c>
      <c r="N192" t="s">
        <v>213</v>
      </c>
      <c r="O192" t="s">
        <v>160</v>
      </c>
      <c r="P192">
        <v>1.1088995512151653E-2</v>
      </c>
      <c r="Q192" t="s">
        <v>159</v>
      </c>
      <c r="S192" t="s">
        <v>255</v>
      </c>
      <c r="T192" t="s">
        <v>160</v>
      </c>
      <c r="U192">
        <v>1.9137035169698394E-2</v>
      </c>
      <c r="V192" t="s">
        <v>159</v>
      </c>
    </row>
    <row r="193" spans="9:22" x14ac:dyDescent="0.45">
      <c r="I193" t="s">
        <v>170</v>
      </c>
      <c r="J193" t="s">
        <v>161</v>
      </c>
      <c r="K193">
        <v>0.37142769856926033</v>
      </c>
      <c r="L193" t="s">
        <v>159</v>
      </c>
      <c r="N193" t="s">
        <v>213</v>
      </c>
      <c r="O193" t="s">
        <v>161</v>
      </c>
      <c r="P193">
        <v>0.19396693384361077</v>
      </c>
      <c r="Q193" t="s">
        <v>159</v>
      </c>
      <c r="S193" t="s">
        <v>255</v>
      </c>
      <c r="T193" t="s">
        <v>161</v>
      </c>
      <c r="U193">
        <v>0.17196076587879686</v>
      </c>
      <c r="V193" t="s">
        <v>159</v>
      </c>
    </row>
    <row r="194" spans="9:22" x14ac:dyDescent="0.45">
      <c r="I194" t="s">
        <v>170</v>
      </c>
      <c r="J194" t="s">
        <v>287</v>
      </c>
      <c r="K194">
        <v>2.3852728436348242E-2</v>
      </c>
      <c r="L194" t="s">
        <v>159</v>
      </c>
      <c r="N194" t="s">
        <v>213</v>
      </c>
      <c r="O194" t="s">
        <v>287</v>
      </c>
      <c r="P194">
        <v>3.2247587225483404E-2</v>
      </c>
      <c r="Q194" t="s">
        <v>159</v>
      </c>
      <c r="S194" t="s">
        <v>255</v>
      </c>
      <c r="T194" t="s">
        <v>287</v>
      </c>
      <c r="U194">
        <v>2.245812885949474E-2</v>
      </c>
      <c r="V194" t="s">
        <v>159</v>
      </c>
    </row>
    <row r="195" spans="9:22" x14ac:dyDescent="0.45">
      <c r="I195" t="s">
        <v>170</v>
      </c>
      <c r="J195" t="s">
        <v>288</v>
      </c>
      <c r="K195">
        <v>1.1586638346400061E-2</v>
      </c>
      <c r="L195" t="s">
        <v>159</v>
      </c>
      <c r="N195" t="s">
        <v>213</v>
      </c>
      <c r="O195" t="s">
        <v>288</v>
      </c>
      <c r="P195">
        <v>2.7490428548628223E-2</v>
      </c>
      <c r="Q195" t="s">
        <v>159</v>
      </c>
      <c r="S195" t="s">
        <v>255</v>
      </c>
      <c r="T195" t="s">
        <v>288</v>
      </c>
      <c r="U195">
        <v>2.2899123050910908E-2</v>
      </c>
      <c r="V195" t="s">
        <v>159</v>
      </c>
    </row>
    <row r="196" spans="9:22" x14ac:dyDescent="0.45">
      <c r="I196" t="s">
        <v>170</v>
      </c>
      <c r="J196" t="s">
        <v>308</v>
      </c>
      <c r="K196">
        <v>0</v>
      </c>
      <c r="L196" t="s">
        <v>159</v>
      </c>
      <c r="N196" t="s">
        <v>213</v>
      </c>
      <c r="O196" t="s">
        <v>308</v>
      </c>
      <c r="P196">
        <v>7.9359483906592337E-2</v>
      </c>
      <c r="Q196" t="s">
        <v>159</v>
      </c>
      <c r="S196" t="s">
        <v>255</v>
      </c>
      <c r="T196" t="s">
        <v>308</v>
      </c>
      <c r="U196">
        <v>0.11258628976521355</v>
      </c>
      <c r="V196" t="s">
        <v>159</v>
      </c>
    </row>
    <row r="197" spans="9:22" x14ac:dyDescent="0.45">
      <c r="I197" t="s">
        <v>170</v>
      </c>
      <c r="J197" t="s">
        <v>162</v>
      </c>
      <c r="K197">
        <v>0</v>
      </c>
      <c r="L197" t="s">
        <v>159</v>
      </c>
      <c r="N197" t="s">
        <v>213</v>
      </c>
      <c r="O197" t="s">
        <v>162</v>
      </c>
      <c r="P197">
        <v>1.8913166292755759E-2</v>
      </c>
      <c r="Q197" t="s">
        <v>159</v>
      </c>
      <c r="S197" t="s">
        <v>255</v>
      </c>
      <c r="T197" t="s">
        <v>162</v>
      </c>
      <c r="U197">
        <v>1.7879185068491378E-2</v>
      </c>
      <c r="V197" t="s">
        <v>159</v>
      </c>
    </row>
    <row r="198" spans="9:22" x14ac:dyDescent="0.45">
      <c r="I198" t="s">
        <v>170</v>
      </c>
      <c r="J198" t="s">
        <v>163</v>
      </c>
      <c r="K198">
        <v>3.4378664299685004E-3</v>
      </c>
      <c r="L198" t="s">
        <v>159</v>
      </c>
      <c r="N198" t="s">
        <v>213</v>
      </c>
      <c r="O198" t="s">
        <v>163</v>
      </c>
      <c r="P198">
        <v>2.6201577011194209E-3</v>
      </c>
      <c r="Q198" t="s">
        <v>159</v>
      </c>
      <c r="S198" t="s">
        <v>255</v>
      </c>
      <c r="T198" t="s">
        <v>163</v>
      </c>
      <c r="U198">
        <v>2.5676701367629536E-3</v>
      </c>
      <c r="V198" t="s">
        <v>159</v>
      </c>
    </row>
    <row r="199" spans="9:22" x14ac:dyDescent="0.45">
      <c r="I199" t="s">
        <v>170</v>
      </c>
      <c r="J199" t="s">
        <v>164</v>
      </c>
      <c r="K199">
        <v>4.1407832917894211E-2</v>
      </c>
      <c r="L199" t="s">
        <v>159</v>
      </c>
      <c r="N199" t="s">
        <v>213</v>
      </c>
      <c r="O199" t="s">
        <v>164</v>
      </c>
      <c r="P199">
        <v>3.5557598966352244E-2</v>
      </c>
      <c r="Q199" t="s">
        <v>159</v>
      </c>
      <c r="S199" t="s">
        <v>255</v>
      </c>
      <c r="T199" t="s">
        <v>164</v>
      </c>
      <c r="U199">
        <v>2.3068048555690814E-2</v>
      </c>
      <c r="V199" t="s">
        <v>159</v>
      </c>
    </row>
    <row r="200" spans="9:22" x14ac:dyDescent="0.45">
      <c r="I200" t="s">
        <v>170</v>
      </c>
      <c r="J200" t="s">
        <v>289</v>
      </c>
      <c r="K200">
        <v>4.0630620168486423E-4</v>
      </c>
      <c r="L200" t="s">
        <v>159</v>
      </c>
      <c r="N200" t="s">
        <v>213</v>
      </c>
      <c r="O200" t="s">
        <v>289</v>
      </c>
      <c r="P200">
        <v>3.7622128100466856E-3</v>
      </c>
      <c r="Q200" t="s">
        <v>159</v>
      </c>
      <c r="S200" t="s">
        <v>255</v>
      </c>
      <c r="T200" t="s">
        <v>289</v>
      </c>
      <c r="U200">
        <v>2.7621635338059419E-3</v>
      </c>
      <c r="V200" t="s">
        <v>159</v>
      </c>
    </row>
    <row r="201" spans="9:22" x14ac:dyDescent="0.45">
      <c r="I201" t="s">
        <v>170</v>
      </c>
      <c r="J201" t="s">
        <v>290</v>
      </c>
      <c r="K201">
        <v>0</v>
      </c>
      <c r="L201" t="s">
        <v>159</v>
      </c>
      <c r="N201" t="s">
        <v>213</v>
      </c>
      <c r="O201" t="s">
        <v>290</v>
      </c>
      <c r="P201">
        <v>3.386089768669651E-3</v>
      </c>
      <c r="Q201" t="s">
        <v>159</v>
      </c>
      <c r="S201" t="s">
        <v>255</v>
      </c>
      <c r="T201" t="s">
        <v>290</v>
      </c>
      <c r="U201">
        <v>2.8156738363777673E-3</v>
      </c>
      <c r="V201" t="s">
        <v>159</v>
      </c>
    </row>
    <row r="202" spans="9:22" x14ac:dyDescent="0.45">
      <c r="I202" t="s">
        <v>170</v>
      </c>
      <c r="J202" t="s">
        <v>309</v>
      </c>
      <c r="K202">
        <v>0</v>
      </c>
      <c r="L202" t="s">
        <v>159</v>
      </c>
      <c r="N202" t="s">
        <v>213</v>
      </c>
      <c r="O202" t="s">
        <v>309</v>
      </c>
      <c r="P202">
        <v>1.4633608922502022E-2</v>
      </c>
      <c r="Q202" t="s">
        <v>159</v>
      </c>
      <c r="S202" t="s">
        <v>255</v>
      </c>
      <c r="T202" t="s">
        <v>309</v>
      </c>
      <c r="U202">
        <v>1.3588002546671604E-2</v>
      </c>
      <c r="V202" t="s">
        <v>159</v>
      </c>
    </row>
    <row r="203" spans="9:22" x14ac:dyDescent="0.45">
      <c r="I203" t="s">
        <v>170</v>
      </c>
      <c r="J203" t="s">
        <v>346</v>
      </c>
      <c r="K203">
        <v>0</v>
      </c>
      <c r="L203" t="s">
        <v>159</v>
      </c>
      <c r="N203" t="s">
        <v>213</v>
      </c>
      <c r="O203" t="s">
        <v>346</v>
      </c>
      <c r="P203">
        <v>3.4791345060230472E-6</v>
      </c>
      <c r="Q203" t="s">
        <v>159</v>
      </c>
      <c r="S203" t="s">
        <v>255</v>
      </c>
      <c r="T203" t="s">
        <v>346</v>
      </c>
      <c r="U203">
        <v>5.5845891073199221E-6</v>
      </c>
      <c r="V203" t="s">
        <v>159</v>
      </c>
    </row>
    <row r="204" spans="9:22" x14ac:dyDescent="0.45">
      <c r="I204" t="s">
        <v>170</v>
      </c>
      <c r="J204" t="s">
        <v>347</v>
      </c>
      <c r="K204">
        <v>0</v>
      </c>
      <c r="L204" t="s">
        <v>159</v>
      </c>
      <c r="N204" t="s">
        <v>213</v>
      </c>
      <c r="O204" t="s">
        <v>347</v>
      </c>
      <c r="P204">
        <v>4.5069470749130925E-6</v>
      </c>
      <c r="Q204" t="s">
        <v>159</v>
      </c>
      <c r="S204" t="s">
        <v>255</v>
      </c>
      <c r="T204" t="s">
        <v>347</v>
      </c>
      <c r="U204">
        <v>3.47652622005014E-6</v>
      </c>
      <c r="V204" t="s">
        <v>159</v>
      </c>
    </row>
    <row r="205" spans="9:22" x14ac:dyDescent="0.45">
      <c r="I205" t="s">
        <v>170</v>
      </c>
      <c r="J205" t="s">
        <v>348</v>
      </c>
      <c r="K205">
        <v>0</v>
      </c>
      <c r="L205" t="s">
        <v>159</v>
      </c>
      <c r="N205" t="s">
        <v>213</v>
      </c>
      <c r="O205" t="s">
        <v>348</v>
      </c>
      <c r="P205">
        <v>6.3928383867284358E-6</v>
      </c>
      <c r="Q205" t="s">
        <v>159</v>
      </c>
      <c r="S205" t="s">
        <v>255</v>
      </c>
      <c r="T205" t="s">
        <v>348</v>
      </c>
      <c r="U205">
        <v>3.2663304660254899E-6</v>
      </c>
      <c r="V205" t="s">
        <v>159</v>
      </c>
    </row>
    <row r="206" spans="9:22" x14ac:dyDescent="0.45">
      <c r="I206" t="s">
        <v>170</v>
      </c>
      <c r="J206" t="s">
        <v>349</v>
      </c>
      <c r="K206">
        <v>0</v>
      </c>
      <c r="L206" t="s">
        <v>159</v>
      </c>
      <c r="N206" t="s">
        <v>213</v>
      </c>
      <c r="O206" t="s">
        <v>349</v>
      </c>
      <c r="P206">
        <v>7.9799051308913525E-6</v>
      </c>
      <c r="Q206" t="s">
        <v>159</v>
      </c>
      <c r="S206" t="s">
        <v>255</v>
      </c>
      <c r="T206" t="s">
        <v>349</v>
      </c>
      <c r="U206">
        <v>4.9860524689690704E-6</v>
      </c>
      <c r="V206" t="s">
        <v>159</v>
      </c>
    </row>
    <row r="207" spans="9:22" x14ac:dyDescent="0.45">
      <c r="I207" t="s">
        <v>170</v>
      </c>
      <c r="J207" t="s">
        <v>350</v>
      </c>
      <c r="K207">
        <v>0</v>
      </c>
      <c r="L207" t="s">
        <v>159</v>
      </c>
      <c r="N207" t="s">
        <v>213</v>
      </c>
      <c r="O207" t="s">
        <v>350</v>
      </c>
      <c r="P207">
        <v>1.0976574859220399E-5</v>
      </c>
      <c r="Q207" t="s">
        <v>159</v>
      </c>
      <c r="S207" t="s">
        <v>255</v>
      </c>
      <c r="T207" t="s">
        <v>350</v>
      </c>
      <c r="U207">
        <v>7.230678163357839E-6</v>
      </c>
      <c r="V207" t="s">
        <v>159</v>
      </c>
    </row>
    <row r="208" spans="9:22" x14ac:dyDescent="0.45">
      <c r="I208" t="s">
        <v>170</v>
      </c>
      <c r="J208" t="s">
        <v>351</v>
      </c>
      <c r="K208">
        <v>0</v>
      </c>
      <c r="L208" t="s">
        <v>159</v>
      </c>
      <c r="N208" t="s">
        <v>213</v>
      </c>
      <c r="O208" t="s">
        <v>351</v>
      </c>
      <c r="P208">
        <v>1.2713944649269715E-5</v>
      </c>
      <c r="Q208" t="s">
        <v>159</v>
      </c>
      <c r="S208" t="s">
        <v>255</v>
      </c>
      <c r="T208" t="s">
        <v>351</v>
      </c>
      <c r="U208">
        <v>7.239816528430172E-6</v>
      </c>
      <c r="V208" t="s">
        <v>159</v>
      </c>
    </row>
    <row r="209" spans="9:22" x14ac:dyDescent="0.45">
      <c r="I209" t="s">
        <v>170</v>
      </c>
      <c r="J209" t="s">
        <v>352</v>
      </c>
      <c r="K209">
        <v>0</v>
      </c>
      <c r="L209" t="s">
        <v>159</v>
      </c>
      <c r="N209" t="s">
        <v>213</v>
      </c>
      <c r="O209" t="s">
        <v>352</v>
      </c>
      <c r="P209">
        <v>1.2048816936915783E-5</v>
      </c>
      <c r="Q209" t="s">
        <v>159</v>
      </c>
      <c r="S209" t="s">
        <v>255</v>
      </c>
      <c r="T209" t="s">
        <v>352</v>
      </c>
      <c r="U209">
        <v>8.9813831816470425E-6</v>
      </c>
      <c r="V209" t="s">
        <v>159</v>
      </c>
    </row>
    <row r="210" spans="9:22" x14ac:dyDescent="0.45">
      <c r="I210" t="s">
        <v>170</v>
      </c>
      <c r="J210" t="s">
        <v>353</v>
      </c>
      <c r="K210">
        <v>1.4349012738538034E-4</v>
      </c>
      <c r="L210" t="s">
        <v>159</v>
      </c>
      <c r="N210" t="s">
        <v>213</v>
      </c>
      <c r="O210" t="s">
        <v>353</v>
      </c>
      <c r="P210">
        <v>1.0955967578997302E-5</v>
      </c>
      <c r="Q210" t="s">
        <v>159</v>
      </c>
      <c r="S210" t="s">
        <v>255</v>
      </c>
      <c r="T210" t="s">
        <v>353</v>
      </c>
      <c r="U210">
        <v>1.2105994508685761E-5</v>
      </c>
      <c r="V210" t="s">
        <v>159</v>
      </c>
    </row>
    <row r="211" spans="9:22" x14ac:dyDescent="0.45">
      <c r="I211" t="s">
        <v>170</v>
      </c>
      <c r="J211" t="s">
        <v>354</v>
      </c>
      <c r="K211">
        <v>1.716623077719151E-4</v>
      </c>
      <c r="L211" t="s">
        <v>159</v>
      </c>
      <c r="N211" t="s">
        <v>213</v>
      </c>
      <c r="O211" t="s">
        <v>354</v>
      </c>
      <c r="P211">
        <v>9.5723360859647012E-6</v>
      </c>
      <c r="Q211" t="s">
        <v>159</v>
      </c>
      <c r="S211" t="s">
        <v>255</v>
      </c>
      <c r="T211" t="s">
        <v>354</v>
      </c>
      <c r="U211">
        <v>1.4865785190036019E-5</v>
      </c>
      <c r="V211" t="s">
        <v>159</v>
      </c>
    </row>
    <row r="212" spans="9:22" x14ac:dyDescent="0.45">
      <c r="I212" t="s">
        <v>170</v>
      </c>
      <c r="J212" t="s">
        <v>355</v>
      </c>
      <c r="K212">
        <v>1.683109634739291E-4</v>
      </c>
      <c r="L212" t="s">
        <v>159</v>
      </c>
      <c r="N212" t="s">
        <v>213</v>
      </c>
      <c r="O212" t="s">
        <v>355</v>
      </c>
      <c r="P212">
        <v>6.6686181419896145E-6</v>
      </c>
      <c r="Q212" t="s">
        <v>159</v>
      </c>
      <c r="S212" t="s">
        <v>255</v>
      </c>
      <c r="T212" t="s">
        <v>355</v>
      </c>
      <c r="U212">
        <v>1.6190081318912547E-5</v>
      </c>
      <c r="V212" t="s">
        <v>159</v>
      </c>
    </row>
    <row r="213" spans="9:22" x14ac:dyDescent="0.45">
      <c r="I213" t="s">
        <v>170</v>
      </c>
      <c r="J213" t="s">
        <v>356</v>
      </c>
      <c r="K213">
        <v>1.6051889338410729E-4</v>
      </c>
      <c r="L213" t="s">
        <v>159</v>
      </c>
      <c r="N213" t="s">
        <v>213</v>
      </c>
      <c r="O213" t="s">
        <v>356</v>
      </c>
      <c r="P213">
        <v>3.3778436533977467E-6</v>
      </c>
      <c r="Q213" t="s">
        <v>159</v>
      </c>
      <c r="S213" t="s">
        <v>255</v>
      </c>
      <c r="T213" t="s">
        <v>356</v>
      </c>
      <c r="U213">
        <v>1.7775436843976176E-5</v>
      </c>
      <c r="V213" t="s">
        <v>159</v>
      </c>
    </row>
    <row r="214" spans="9:22" x14ac:dyDescent="0.45">
      <c r="I214" t="s">
        <v>170</v>
      </c>
      <c r="J214" t="s">
        <v>357</v>
      </c>
      <c r="K214">
        <v>1.8069972064813187E-4</v>
      </c>
      <c r="L214" t="s">
        <v>159</v>
      </c>
      <c r="N214" t="s">
        <v>213</v>
      </c>
      <c r="O214" t="s">
        <v>357</v>
      </c>
      <c r="P214">
        <v>2.1488612654381137E-6</v>
      </c>
      <c r="Q214" t="s">
        <v>159</v>
      </c>
      <c r="S214" t="s">
        <v>255</v>
      </c>
      <c r="T214" t="s">
        <v>357</v>
      </c>
      <c r="U214">
        <v>1.9419453444512947E-5</v>
      </c>
      <c r="V214" t="s">
        <v>159</v>
      </c>
    </row>
    <row r="215" spans="9:22" x14ac:dyDescent="0.45">
      <c r="I215" t="s">
        <v>170</v>
      </c>
      <c r="J215" t="s">
        <v>358</v>
      </c>
      <c r="K215">
        <v>2.2058445658084658E-4</v>
      </c>
      <c r="L215" t="s">
        <v>159</v>
      </c>
      <c r="N215" t="s">
        <v>213</v>
      </c>
      <c r="O215" t="s">
        <v>358</v>
      </c>
      <c r="P215">
        <v>1.3261571228208357E-6</v>
      </c>
      <c r="Q215" t="s">
        <v>159</v>
      </c>
      <c r="S215" t="s">
        <v>255</v>
      </c>
      <c r="T215" t="s">
        <v>358</v>
      </c>
      <c r="U215">
        <v>1.7581874423570149E-5</v>
      </c>
      <c r="V215" t="s">
        <v>159</v>
      </c>
    </row>
    <row r="216" spans="9:22" x14ac:dyDescent="0.45">
      <c r="I216" t="s">
        <v>170</v>
      </c>
      <c r="J216" t="s">
        <v>359</v>
      </c>
      <c r="K216">
        <v>1.7396810682293454E-4</v>
      </c>
      <c r="L216" t="s">
        <v>159</v>
      </c>
      <c r="N216" t="s">
        <v>213</v>
      </c>
      <c r="O216" t="s">
        <v>359</v>
      </c>
      <c r="P216">
        <v>6.7076292975348683E-7</v>
      </c>
      <c r="Q216" t="s">
        <v>159</v>
      </c>
      <c r="S216" t="s">
        <v>255</v>
      </c>
      <c r="T216" t="s">
        <v>359</v>
      </c>
      <c r="U216">
        <v>1.5337419268955836E-5</v>
      </c>
      <c r="V216" t="s">
        <v>159</v>
      </c>
    </row>
    <row r="217" spans="9:22" x14ac:dyDescent="0.45">
      <c r="I217" t="s">
        <v>170</v>
      </c>
      <c r="J217" t="s">
        <v>360</v>
      </c>
      <c r="K217">
        <v>1.5667633356498679E-4</v>
      </c>
      <c r="L217" t="s">
        <v>159</v>
      </c>
      <c r="N217" t="s">
        <v>213</v>
      </c>
      <c r="O217" t="s">
        <v>360</v>
      </c>
      <c r="P217">
        <v>4.7221397334911906E-7</v>
      </c>
      <c r="Q217" t="s">
        <v>159</v>
      </c>
      <c r="S217" t="s">
        <v>255</v>
      </c>
      <c r="T217" t="s">
        <v>360</v>
      </c>
      <c r="U217">
        <v>1.587195558966718E-5</v>
      </c>
      <c r="V217" t="s">
        <v>159</v>
      </c>
    </row>
    <row r="218" spans="9:22" x14ac:dyDescent="0.45">
      <c r="I218" t="s">
        <v>170</v>
      </c>
      <c r="J218" t="s">
        <v>361</v>
      </c>
      <c r="K218">
        <v>1.6605156188365114E-4</v>
      </c>
      <c r="L218" t="s">
        <v>159</v>
      </c>
      <c r="N218" t="s">
        <v>213</v>
      </c>
      <c r="O218" t="s">
        <v>361</v>
      </c>
      <c r="P218">
        <v>1.3286169634728914E-6</v>
      </c>
      <c r="Q218" t="s">
        <v>159</v>
      </c>
      <c r="S218" t="s">
        <v>255</v>
      </c>
      <c r="T218" t="s">
        <v>361</v>
      </c>
      <c r="U218">
        <v>1.8778818346868753E-5</v>
      </c>
      <c r="V218" t="s">
        <v>159</v>
      </c>
    </row>
    <row r="219" spans="9:22" x14ac:dyDescent="0.45">
      <c r="I219" t="s">
        <v>170</v>
      </c>
      <c r="J219" t="s">
        <v>362</v>
      </c>
      <c r="K219">
        <v>1.6110720688114323E-4</v>
      </c>
      <c r="L219" t="s">
        <v>159</v>
      </c>
      <c r="N219" t="s">
        <v>213</v>
      </c>
      <c r="O219" t="s">
        <v>362</v>
      </c>
      <c r="P219">
        <v>1.3252846714909886E-5</v>
      </c>
      <c r="Q219" t="s">
        <v>159</v>
      </c>
      <c r="S219" t="s">
        <v>255</v>
      </c>
      <c r="T219" t="s">
        <v>362</v>
      </c>
      <c r="U219">
        <v>2.7087547636833014E-5</v>
      </c>
      <c r="V219" t="s">
        <v>159</v>
      </c>
    </row>
    <row r="220" spans="9:22" x14ac:dyDescent="0.45">
      <c r="I220" t="s">
        <v>170</v>
      </c>
      <c r="J220" t="s">
        <v>363</v>
      </c>
      <c r="K220">
        <v>0</v>
      </c>
      <c r="L220" t="s">
        <v>159</v>
      </c>
      <c r="N220" t="s">
        <v>213</v>
      </c>
      <c r="O220" t="s">
        <v>363</v>
      </c>
      <c r="P220">
        <v>1.5323319303860098E-5</v>
      </c>
      <c r="Q220" t="s">
        <v>159</v>
      </c>
      <c r="S220" t="s">
        <v>255</v>
      </c>
      <c r="T220" t="s">
        <v>363</v>
      </c>
      <c r="U220">
        <v>4.6007403102509145E-5</v>
      </c>
      <c r="V220" t="s">
        <v>159</v>
      </c>
    </row>
    <row r="221" spans="9:22" x14ac:dyDescent="0.45">
      <c r="I221" t="s">
        <v>170</v>
      </c>
      <c r="J221" t="s">
        <v>364</v>
      </c>
      <c r="K221">
        <v>0</v>
      </c>
      <c r="L221" t="s">
        <v>159</v>
      </c>
      <c r="N221" t="s">
        <v>213</v>
      </c>
      <c r="O221" t="s">
        <v>364</v>
      </c>
      <c r="P221">
        <v>7.5883585162239402E-6</v>
      </c>
      <c r="Q221" t="s">
        <v>159</v>
      </c>
      <c r="S221" t="s">
        <v>255</v>
      </c>
      <c r="T221" t="s">
        <v>364</v>
      </c>
      <c r="U221">
        <v>7.7108112197877556E-5</v>
      </c>
      <c r="V221" t="s">
        <v>159</v>
      </c>
    </row>
    <row r="222" spans="9:22" x14ac:dyDescent="0.45">
      <c r="I222" t="s">
        <v>170</v>
      </c>
      <c r="J222" t="s">
        <v>365</v>
      </c>
      <c r="K222">
        <v>0</v>
      </c>
      <c r="L222" t="s">
        <v>159</v>
      </c>
      <c r="N222" t="s">
        <v>213</v>
      </c>
      <c r="O222" t="s">
        <v>365</v>
      </c>
      <c r="P222">
        <v>5.695956203201142E-7</v>
      </c>
      <c r="Q222" t="s">
        <v>159</v>
      </c>
      <c r="S222" t="s">
        <v>255</v>
      </c>
      <c r="T222" t="s">
        <v>365</v>
      </c>
      <c r="U222">
        <v>1.1014503149485711E-4</v>
      </c>
      <c r="V222" t="s">
        <v>159</v>
      </c>
    </row>
    <row r="223" spans="9:22" x14ac:dyDescent="0.45">
      <c r="I223" t="s">
        <v>170</v>
      </c>
      <c r="J223" t="s">
        <v>366</v>
      </c>
      <c r="K223">
        <v>0</v>
      </c>
      <c r="L223" t="s">
        <v>159</v>
      </c>
      <c r="N223" t="s">
        <v>213</v>
      </c>
      <c r="O223" t="s">
        <v>366</v>
      </c>
      <c r="P223">
        <v>3.0840504350470634E-7</v>
      </c>
      <c r="Q223" t="s">
        <v>159</v>
      </c>
      <c r="S223" t="s">
        <v>255</v>
      </c>
      <c r="T223" t="s">
        <v>366</v>
      </c>
      <c r="U223">
        <v>1.2087461571909971E-4</v>
      </c>
      <c r="V223" t="s">
        <v>159</v>
      </c>
    </row>
    <row r="224" spans="9:22" x14ac:dyDescent="0.45">
      <c r="I224" t="s">
        <v>170</v>
      </c>
      <c r="J224" t="s">
        <v>367</v>
      </c>
      <c r="K224">
        <v>0</v>
      </c>
      <c r="L224" t="s">
        <v>159</v>
      </c>
      <c r="N224" t="s">
        <v>213</v>
      </c>
      <c r="O224" t="s">
        <v>367</v>
      </c>
      <c r="P224">
        <v>2.1556768803566831E-7</v>
      </c>
      <c r="Q224" t="s">
        <v>159</v>
      </c>
      <c r="S224" t="s">
        <v>255</v>
      </c>
      <c r="T224" t="s">
        <v>367</v>
      </c>
      <c r="U224">
        <v>1.1552141842532837E-4</v>
      </c>
      <c r="V224" t="s">
        <v>159</v>
      </c>
    </row>
    <row r="225" spans="9:22" x14ac:dyDescent="0.45">
      <c r="I225" t="s">
        <v>170</v>
      </c>
      <c r="J225" t="s">
        <v>368</v>
      </c>
      <c r="K225">
        <v>0</v>
      </c>
      <c r="L225" t="s">
        <v>159</v>
      </c>
      <c r="N225" t="s">
        <v>213</v>
      </c>
      <c r="O225" t="s">
        <v>368</v>
      </c>
      <c r="P225">
        <v>1.1447690022499028E-7</v>
      </c>
      <c r="Q225" t="s">
        <v>159</v>
      </c>
      <c r="S225" t="s">
        <v>255</v>
      </c>
      <c r="T225" t="s">
        <v>368</v>
      </c>
      <c r="U225">
        <v>1.0641508146049594E-4</v>
      </c>
      <c r="V225" t="s">
        <v>159</v>
      </c>
    </row>
    <row r="226" spans="9:22" x14ac:dyDescent="0.45">
      <c r="I226" t="s">
        <v>170</v>
      </c>
      <c r="J226" t="s">
        <v>369</v>
      </c>
      <c r="K226">
        <v>0</v>
      </c>
      <c r="L226" t="s">
        <v>159</v>
      </c>
      <c r="N226" t="s">
        <v>213</v>
      </c>
      <c r="O226" t="s">
        <v>369</v>
      </c>
      <c r="P226">
        <v>1.1809496209356333E-7</v>
      </c>
      <c r="Q226" t="s">
        <v>159</v>
      </c>
      <c r="S226" t="s">
        <v>255</v>
      </c>
      <c r="T226" t="s">
        <v>369</v>
      </c>
      <c r="U226">
        <v>8.7102503288296977E-5</v>
      </c>
      <c r="V226" t="s">
        <v>159</v>
      </c>
    </row>
    <row r="227" spans="9:22" x14ac:dyDescent="0.45">
      <c r="I227" t="s">
        <v>170</v>
      </c>
      <c r="J227" t="s">
        <v>165</v>
      </c>
      <c r="K227">
        <v>0</v>
      </c>
      <c r="L227" t="s">
        <v>159</v>
      </c>
      <c r="N227" t="s">
        <v>213</v>
      </c>
      <c r="O227" t="s">
        <v>165</v>
      </c>
      <c r="P227">
        <v>2.6935497119162283E-2</v>
      </c>
      <c r="Q227" t="s">
        <v>159</v>
      </c>
      <c r="S227" t="s">
        <v>255</v>
      </c>
      <c r="T227" t="s">
        <v>165</v>
      </c>
      <c r="U227">
        <v>2.09317203522363E-2</v>
      </c>
      <c r="V227" t="s">
        <v>159</v>
      </c>
    </row>
    <row r="228" spans="9:22" x14ac:dyDescent="0.45">
      <c r="I228" t="s">
        <v>170</v>
      </c>
      <c r="J228" t="s">
        <v>166</v>
      </c>
      <c r="K228">
        <v>4.4461970249988908E-3</v>
      </c>
      <c r="L228" t="s">
        <v>159</v>
      </c>
      <c r="N228" t="s">
        <v>213</v>
      </c>
      <c r="O228" t="s">
        <v>166</v>
      </c>
      <c r="P228">
        <v>3.8981707225308271E-3</v>
      </c>
      <c r="Q228" t="s">
        <v>159</v>
      </c>
      <c r="S228" t="s">
        <v>255</v>
      </c>
      <c r="T228" t="s">
        <v>166</v>
      </c>
      <c r="U228">
        <v>2.8394911392597513E-3</v>
      </c>
      <c r="V228" t="s">
        <v>159</v>
      </c>
    </row>
    <row r="229" spans="9:22" x14ac:dyDescent="0.45">
      <c r="I229" t="s">
        <v>170</v>
      </c>
      <c r="J229" t="s">
        <v>167</v>
      </c>
      <c r="K229">
        <v>5.6992199198817206E-2</v>
      </c>
      <c r="L229" t="s">
        <v>159</v>
      </c>
      <c r="N229" t="s">
        <v>213</v>
      </c>
      <c r="O229" t="s">
        <v>167</v>
      </c>
      <c r="P229">
        <v>5.6646489023586384E-2</v>
      </c>
      <c r="Q229" t="s">
        <v>159</v>
      </c>
      <c r="S229" t="s">
        <v>255</v>
      </c>
      <c r="T229" t="s">
        <v>167</v>
      </c>
      <c r="U229">
        <v>2.3274885261804167E-2</v>
      </c>
      <c r="V229" t="s">
        <v>159</v>
      </c>
    </row>
    <row r="230" spans="9:22" x14ac:dyDescent="0.45">
      <c r="I230" t="s">
        <v>170</v>
      </c>
      <c r="J230" t="s">
        <v>291</v>
      </c>
      <c r="K230">
        <v>4.2896018506918578E-3</v>
      </c>
      <c r="L230" t="s">
        <v>159</v>
      </c>
      <c r="N230" t="s">
        <v>213</v>
      </c>
      <c r="O230" t="s">
        <v>291</v>
      </c>
      <c r="P230">
        <v>5.5297443883648295E-3</v>
      </c>
      <c r="Q230" t="s">
        <v>159</v>
      </c>
      <c r="S230" t="s">
        <v>255</v>
      </c>
      <c r="T230" t="s">
        <v>291</v>
      </c>
      <c r="U230">
        <v>2.816578471571169E-3</v>
      </c>
      <c r="V230" t="s">
        <v>159</v>
      </c>
    </row>
    <row r="231" spans="9:22" x14ac:dyDescent="0.45">
      <c r="I231" t="s">
        <v>170</v>
      </c>
      <c r="J231" t="s">
        <v>292</v>
      </c>
      <c r="K231">
        <v>0</v>
      </c>
      <c r="L231" t="s">
        <v>159</v>
      </c>
      <c r="N231" t="s">
        <v>213</v>
      </c>
      <c r="O231" t="s">
        <v>292</v>
      </c>
      <c r="P231">
        <v>4.7979258672583023E-3</v>
      </c>
      <c r="Q231" t="s">
        <v>159</v>
      </c>
      <c r="S231" t="s">
        <v>255</v>
      </c>
      <c r="T231" t="s">
        <v>292</v>
      </c>
      <c r="U231">
        <v>2.8771353601558807E-3</v>
      </c>
      <c r="V231" t="s">
        <v>159</v>
      </c>
    </row>
    <row r="232" spans="9:22" x14ac:dyDescent="0.45">
      <c r="I232" t="s">
        <v>170</v>
      </c>
      <c r="J232" t="s">
        <v>310</v>
      </c>
      <c r="K232">
        <v>0</v>
      </c>
      <c r="L232" t="s">
        <v>159</v>
      </c>
      <c r="N232" t="s">
        <v>213</v>
      </c>
      <c r="O232" t="s">
        <v>310</v>
      </c>
      <c r="P232">
        <v>2.0609465613689846E-2</v>
      </c>
      <c r="Q232" t="s">
        <v>159</v>
      </c>
      <c r="S232" t="s">
        <v>255</v>
      </c>
      <c r="T232" t="s">
        <v>310</v>
      </c>
      <c r="U232">
        <v>1.4662082771034141E-2</v>
      </c>
      <c r="V232" t="s">
        <v>159</v>
      </c>
    </row>
    <row r="233" spans="9:22" x14ac:dyDescent="0.45">
      <c r="I233" t="s">
        <v>170</v>
      </c>
      <c r="J233" t="s">
        <v>293</v>
      </c>
      <c r="K233">
        <v>0</v>
      </c>
      <c r="L233" t="s">
        <v>159</v>
      </c>
      <c r="N233" t="s">
        <v>213</v>
      </c>
      <c r="O233" t="s">
        <v>293</v>
      </c>
      <c r="P233">
        <v>2.8057808525996019E-3</v>
      </c>
      <c r="Q233" t="s">
        <v>159</v>
      </c>
      <c r="S233" t="s">
        <v>255</v>
      </c>
      <c r="T233" t="s">
        <v>293</v>
      </c>
      <c r="U233">
        <v>5.787768894530484E-3</v>
      </c>
      <c r="V233" t="s">
        <v>159</v>
      </c>
    </row>
    <row r="234" spans="9:22" x14ac:dyDescent="0.45">
      <c r="I234" t="s">
        <v>170</v>
      </c>
      <c r="J234" t="s">
        <v>294</v>
      </c>
      <c r="K234">
        <v>1.2602813002888351E-3</v>
      </c>
      <c r="L234" t="s">
        <v>159</v>
      </c>
      <c r="N234" t="s">
        <v>213</v>
      </c>
      <c r="O234" t="s">
        <v>294</v>
      </c>
      <c r="P234">
        <v>5.2633430712123181E-4</v>
      </c>
      <c r="Q234" t="s">
        <v>159</v>
      </c>
      <c r="S234" t="s">
        <v>255</v>
      </c>
      <c r="T234" t="s">
        <v>294</v>
      </c>
      <c r="U234">
        <v>8.1438654295170514E-4</v>
      </c>
      <c r="V234" t="s">
        <v>159</v>
      </c>
    </row>
    <row r="235" spans="9:22" x14ac:dyDescent="0.45">
      <c r="I235" t="s">
        <v>170</v>
      </c>
      <c r="J235" t="s">
        <v>295</v>
      </c>
      <c r="K235">
        <v>1.4777612728543145E-2</v>
      </c>
      <c r="L235" t="s">
        <v>159</v>
      </c>
      <c r="N235" t="s">
        <v>213</v>
      </c>
      <c r="O235" t="s">
        <v>295</v>
      </c>
      <c r="P235">
        <v>8.0420185469320532E-3</v>
      </c>
      <c r="Q235" t="s">
        <v>159</v>
      </c>
      <c r="S235" t="s">
        <v>255</v>
      </c>
      <c r="T235" t="s">
        <v>295</v>
      </c>
      <c r="U235">
        <v>7.3571870439555799E-3</v>
      </c>
      <c r="V235" t="s">
        <v>159</v>
      </c>
    </row>
    <row r="236" spans="9:22" x14ac:dyDescent="0.45">
      <c r="I236" t="s">
        <v>170</v>
      </c>
      <c r="J236" t="s">
        <v>296</v>
      </c>
      <c r="K236">
        <v>1.0228070774493507E-3</v>
      </c>
      <c r="L236" t="s">
        <v>159</v>
      </c>
      <c r="N236" t="s">
        <v>213</v>
      </c>
      <c r="O236" t="s">
        <v>296</v>
      </c>
      <c r="P236">
        <v>6.8184868963544649E-4</v>
      </c>
      <c r="Q236" t="s">
        <v>159</v>
      </c>
      <c r="S236" t="s">
        <v>255</v>
      </c>
      <c r="T236" t="s">
        <v>296</v>
      </c>
      <c r="U236">
        <v>9.1053998416564549E-4</v>
      </c>
      <c r="V236" t="s">
        <v>159</v>
      </c>
    </row>
    <row r="237" spans="9:22" x14ac:dyDescent="0.45">
      <c r="I237" t="s">
        <v>170</v>
      </c>
      <c r="J237" t="s">
        <v>297</v>
      </c>
      <c r="K237">
        <v>0</v>
      </c>
      <c r="L237" t="s">
        <v>159</v>
      </c>
      <c r="N237" t="s">
        <v>213</v>
      </c>
      <c r="O237" t="s">
        <v>297</v>
      </c>
      <c r="P237">
        <v>5.9694333789405861E-4</v>
      </c>
      <c r="Q237" t="s">
        <v>159</v>
      </c>
      <c r="S237" t="s">
        <v>255</v>
      </c>
      <c r="T237" t="s">
        <v>297</v>
      </c>
      <c r="U237">
        <v>9.021696272016375E-4</v>
      </c>
      <c r="V237" t="s">
        <v>159</v>
      </c>
    </row>
    <row r="238" spans="9:22" x14ac:dyDescent="0.45">
      <c r="I238" t="s">
        <v>170</v>
      </c>
      <c r="J238" t="s">
        <v>311</v>
      </c>
      <c r="K238">
        <v>0</v>
      </c>
      <c r="L238" t="s">
        <v>159</v>
      </c>
      <c r="N238" t="s">
        <v>213</v>
      </c>
      <c r="O238" t="s">
        <v>311</v>
      </c>
      <c r="P238">
        <v>2.2860564102729995E-3</v>
      </c>
      <c r="Q238" t="s">
        <v>159</v>
      </c>
      <c r="S238" t="s">
        <v>255</v>
      </c>
      <c r="T238" t="s">
        <v>311</v>
      </c>
      <c r="U238">
        <v>4.4509350707672242E-3</v>
      </c>
      <c r="V238" t="s">
        <v>159</v>
      </c>
    </row>
    <row r="239" spans="9:22" x14ac:dyDescent="0.45">
      <c r="I239" t="s">
        <v>170</v>
      </c>
      <c r="J239" t="s">
        <v>298</v>
      </c>
      <c r="K239">
        <v>1.8266559892750191E-2</v>
      </c>
      <c r="L239" t="s">
        <v>159</v>
      </c>
      <c r="N239" t="s">
        <v>213</v>
      </c>
      <c r="O239" t="s">
        <v>298</v>
      </c>
      <c r="P239">
        <v>5.3163457653105338E-2</v>
      </c>
      <c r="Q239" t="s">
        <v>159</v>
      </c>
      <c r="S239" t="s">
        <v>255</v>
      </c>
      <c r="T239" t="s">
        <v>298</v>
      </c>
      <c r="U239">
        <v>8.0041677252010085E-2</v>
      </c>
      <c r="V239" t="s">
        <v>159</v>
      </c>
    </row>
    <row r="240" spans="9:22" x14ac:dyDescent="0.45">
      <c r="I240" t="s">
        <v>170</v>
      </c>
      <c r="J240" t="s">
        <v>299</v>
      </c>
      <c r="K240">
        <v>2.2856897197042106E-2</v>
      </c>
      <c r="L240" t="s">
        <v>159</v>
      </c>
      <c r="N240" t="s">
        <v>213</v>
      </c>
      <c r="O240" t="s">
        <v>299</v>
      </c>
      <c r="P240">
        <v>7.9086543953339958E-3</v>
      </c>
      <c r="Q240" t="s">
        <v>159</v>
      </c>
      <c r="S240" t="s">
        <v>255</v>
      </c>
      <c r="T240" t="s">
        <v>299</v>
      </c>
      <c r="U240">
        <v>1.0833631399787368E-2</v>
      </c>
      <c r="V240" t="s">
        <v>159</v>
      </c>
    </row>
    <row r="241" spans="9:22" x14ac:dyDescent="0.45">
      <c r="I241" t="s">
        <v>170</v>
      </c>
      <c r="J241" t="s">
        <v>300</v>
      </c>
      <c r="K241">
        <v>0.24700032347932555</v>
      </c>
      <c r="L241" t="s">
        <v>159</v>
      </c>
      <c r="N241" t="s">
        <v>213</v>
      </c>
      <c r="O241" t="s">
        <v>300</v>
      </c>
      <c r="P241">
        <v>0.14086912408709754</v>
      </c>
      <c r="Q241" t="s">
        <v>159</v>
      </c>
      <c r="S241" t="s">
        <v>255</v>
      </c>
      <c r="T241" t="s">
        <v>300</v>
      </c>
      <c r="U241">
        <v>9.8342468698228838E-2</v>
      </c>
      <c r="V241" t="s">
        <v>159</v>
      </c>
    </row>
    <row r="242" spans="9:22" x14ac:dyDescent="0.45">
      <c r="I242" t="s">
        <v>170</v>
      </c>
      <c r="J242" t="s">
        <v>301</v>
      </c>
      <c r="K242">
        <v>1.8238582136786422E-2</v>
      </c>
      <c r="L242" t="s">
        <v>159</v>
      </c>
      <c r="N242" t="s">
        <v>213</v>
      </c>
      <c r="O242" t="s">
        <v>301</v>
      </c>
      <c r="P242">
        <v>1.878200290695831E-2</v>
      </c>
      <c r="Q242" t="s">
        <v>159</v>
      </c>
      <c r="S242" t="s">
        <v>255</v>
      </c>
      <c r="T242" t="s">
        <v>301</v>
      </c>
      <c r="U242">
        <v>1.2661903764003484E-2</v>
      </c>
      <c r="V242" t="s">
        <v>159</v>
      </c>
    </row>
    <row r="243" spans="9:22" x14ac:dyDescent="0.45">
      <c r="I243" t="s">
        <v>170</v>
      </c>
      <c r="J243" t="s">
        <v>302</v>
      </c>
      <c r="K243">
        <v>4.8361617496905113E-3</v>
      </c>
      <c r="L243" t="s">
        <v>159</v>
      </c>
      <c r="N243" t="s">
        <v>213</v>
      </c>
      <c r="O243" t="s">
        <v>302</v>
      </c>
      <c r="P243">
        <v>1.5261206952724054E-2</v>
      </c>
      <c r="Q243" t="s">
        <v>159</v>
      </c>
      <c r="S243" t="s">
        <v>255</v>
      </c>
      <c r="T243" t="s">
        <v>302</v>
      </c>
      <c r="U243">
        <v>1.2768232985131677E-2</v>
      </c>
      <c r="V243" t="s">
        <v>159</v>
      </c>
    </row>
    <row r="244" spans="9:22" x14ac:dyDescent="0.45">
      <c r="I244" t="s">
        <v>170</v>
      </c>
      <c r="J244" t="s">
        <v>312</v>
      </c>
      <c r="K244">
        <v>0</v>
      </c>
      <c r="L244" t="s">
        <v>159</v>
      </c>
      <c r="N244" t="s">
        <v>213</v>
      </c>
      <c r="O244" t="s">
        <v>312</v>
      </c>
      <c r="P244">
        <v>4.6586035976481047E-2</v>
      </c>
      <c r="Q244" t="s">
        <v>159</v>
      </c>
      <c r="S244" t="s">
        <v>255</v>
      </c>
      <c r="T244" t="s">
        <v>312</v>
      </c>
      <c r="U244">
        <v>6.0415777175486865E-2</v>
      </c>
      <c r="V244" t="s">
        <v>159</v>
      </c>
    </row>
    <row r="245" spans="9:22" x14ac:dyDescent="0.45">
      <c r="I245" t="s">
        <v>170</v>
      </c>
      <c r="J245" t="s">
        <v>313</v>
      </c>
      <c r="K245">
        <v>8.9445474520382894E-3</v>
      </c>
      <c r="L245" t="s">
        <v>159</v>
      </c>
      <c r="N245" t="s">
        <v>213</v>
      </c>
      <c r="O245" t="s">
        <v>313</v>
      </c>
      <c r="P245">
        <v>9.6924174510085483E-3</v>
      </c>
      <c r="Q245" t="s">
        <v>159</v>
      </c>
      <c r="S245" t="s">
        <v>255</v>
      </c>
      <c r="T245" t="s">
        <v>313</v>
      </c>
      <c r="U245">
        <v>2.2565439824021809E-2</v>
      </c>
      <c r="V245" t="s">
        <v>159</v>
      </c>
    </row>
    <row r="246" spans="9:22" x14ac:dyDescent="0.45">
      <c r="I246" t="s">
        <v>170</v>
      </c>
      <c r="J246" t="s">
        <v>314</v>
      </c>
      <c r="K246">
        <v>7.6803160760053925E-3</v>
      </c>
      <c r="L246" t="s">
        <v>159</v>
      </c>
      <c r="N246" t="s">
        <v>213</v>
      </c>
      <c r="O246" t="s">
        <v>314</v>
      </c>
      <c r="P246">
        <v>1.517446275365398E-3</v>
      </c>
      <c r="Q246" t="s">
        <v>159</v>
      </c>
      <c r="S246" t="s">
        <v>255</v>
      </c>
      <c r="T246" t="s">
        <v>314</v>
      </c>
      <c r="U246">
        <v>2.8918234324456895E-3</v>
      </c>
      <c r="V246" t="s">
        <v>159</v>
      </c>
    </row>
    <row r="247" spans="9:22" x14ac:dyDescent="0.45">
      <c r="I247" t="s">
        <v>170</v>
      </c>
      <c r="J247" t="s">
        <v>315</v>
      </c>
      <c r="K247">
        <v>7.8055240797235956E-2</v>
      </c>
      <c r="L247" t="s">
        <v>159</v>
      </c>
      <c r="N247" t="s">
        <v>213</v>
      </c>
      <c r="O247" t="s">
        <v>315</v>
      </c>
      <c r="P247">
        <v>3.9509446945111319E-2</v>
      </c>
      <c r="Q247" t="s">
        <v>159</v>
      </c>
      <c r="S247" t="s">
        <v>255</v>
      </c>
      <c r="T247" t="s">
        <v>315</v>
      </c>
      <c r="U247">
        <v>2.8351776253143595E-2</v>
      </c>
      <c r="V247" t="s">
        <v>159</v>
      </c>
    </row>
    <row r="248" spans="9:22" x14ac:dyDescent="0.45">
      <c r="I248" t="s">
        <v>170</v>
      </c>
      <c r="J248" t="s">
        <v>316</v>
      </c>
      <c r="K248">
        <v>5.777689884293195E-3</v>
      </c>
      <c r="L248" t="s">
        <v>159</v>
      </c>
      <c r="N248" t="s">
        <v>213</v>
      </c>
      <c r="O248" t="s">
        <v>316</v>
      </c>
      <c r="P248">
        <v>8.4899861912662768E-3</v>
      </c>
      <c r="Q248" t="s">
        <v>159</v>
      </c>
      <c r="S248" t="s">
        <v>255</v>
      </c>
      <c r="T248" t="s">
        <v>316</v>
      </c>
      <c r="U248">
        <v>4.105805702803755E-3</v>
      </c>
      <c r="V248" t="s">
        <v>159</v>
      </c>
    </row>
    <row r="249" spans="9:22" x14ac:dyDescent="0.45">
      <c r="I249" t="s">
        <v>170</v>
      </c>
      <c r="J249" t="s">
        <v>317</v>
      </c>
      <c r="K249">
        <v>3.783556718321849E-3</v>
      </c>
      <c r="L249" t="s">
        <v>159</v>
      </c>
      <c r="N249" t="s">
        <v>213</v>
      </c>
      <c r="O249" t="s">
        <v>317</v>
      </c>
      <c r="P249">
        <v>6.8846949935501209E-3</v>
      </c>
      <c r="Q249" t="s">
        <v>159</v>
      </c>
      <c r="S249" t="s">
        <v>255</v>
      </c>
      <c r="T249" t="s">
        <v>317</v>
      </c>
      <c r="U249">
        <v>4.1916369377721302E-3</v>
      </c>
      <c r="V249" t="s">
        <v>159</v>
      </c>
    </row>
    <row r="250" spans="9:22" x14ac:dyDescent="0.45">
      <c r="I250" t="s">
        <v>170</v>
      </c>
      <c r="J250" t="s">
        <v>318</v>
      </c>
      <c r="K250">
        <v>0</v>
      </c>
      <c r="L250" t="s">
        <v>159</v>
      </c>
      <c r="N250" t="s">
        <v>213</v>
      </c>
      <c r="O250" t="s">
        <v>318</v>
      </c>
      <c r="P250">
        <v>1.5087603688624154E-2</v>
      </c>
      <c r="Q250" t="s">
        <v>159</v>
      </c>
      <c r="S250" t="s">
        <v>255</v>
      </c>
      <c r="T250" t="s">
        <v>318</v>
      </c>
      <c r="U250">
        <v>2.0142127340934648E-2</v>
      </c>
      <c r="V250" t="s">
        <v>159</v>
      </c>
    </row>
    <row r="251" spans="9:22" x14ac:dyDescent="0.45">
      <c r="I251" t="s">
        <v>171</v>
      </c>
      <c r="J251" t="s">
        <v>158</v>
      </c>
      <c r="K251">
        <v>1.3685207236426699E-2</v>
      </c>
      <c r="L251" t="s">
        <v>159</v>
      </c>
      <c r="N251" t="s">
        <v>214</v>
      </c>
      <c r="O251" t="s">
        <v>158</v>
      </c>
      <c r="P251">
        <v>8.6362116324702712E-2</v>
      </c>
      <c r="Q251" t="s">
        <v>159</v>
      </c>
      <c r="S251" t="s">
        <v>256</v>
      </c>
      <c r="T251" t="s">
        <v>158</v>
      </c>
      <c r="U251">
        <v>0.11440204034807704</v>
      </c>
      <c r="V251" t="s">
        <v>159</v>
      </c>
    </row>
    <row r="252" spans="9:22" x14ac:dyDescent="0.45">
      <c r="I252" t="s">
        <v>171</v>
      </c>
      <c r="J252" t="s">
        <v>160</v>
      </c>
      <c r="K252">
        <v>3.4004598863872651E-2</v>
      </c>
      <c r="L252" t="s">
        <v>159</v>
      </c>
      <c r="N252" t="s">
        <v>214</v>
      </c>
      <c r="O252" t="s">
        <v>160</v>
      </c>
      <c r="P252">
        <v>1.3751099312941982E-2</v>
      </c>
      <c r="Q252" t="s">
        <v>159</v>
      </c>
      <c r="S252" t="s">
        <v>256</v>
      </c>
      <c r="T252" t="s">
        <v>160</v>
      </c>
      <c r="U252">
        <v>1.478850138591495E-2</v>
      </c>
      <c r="V252" t="s">
        <v>159</v>
      </c>
    </row>
    <row r="253" spans="9:22" x14ac:dyDescent="0.45">
      <c r="I253" t="s">
        <v>171</v>
      </c>
      <c r="J253" t="s">
        <v>161</v>
      </c>
      <c r="K253">
        <v>0.3748467071027064</v>
      </c>
      <c r="L253" t="s">
        <v>159</v>
      </c>
      <c r="N253" t="s">
        <v>214</v>
      </c>
      <c r="O253" t="s">
        <v>161</v>
      </c>
      <c r="P253">
        <v>0.18167473667578188</v>
      </c>
      <c r="Q253" t="s">
        <v>159</v>
      </c>
      <c r="S253" t="s">
        <v>256</v>
      </c>
      <c r="T253" t="s">
        <v>161</v>
      </c>
      <c r="U253">
        <v>0.18238041072873568</v>
      </c>
      <c r="V253" t="s">
        <v>159</v>
      </c>
    </row>
    <row r="254" spans="9:22" x14ac:dyDescent="0.45">
      <c r="I254" t="s">
        <v>171</v>
      </c>
      <c r="J254" t="s">
        <v>287</v>
      </c>
      <c r="K254">
        <v>2.2789673196609826E-2</v>
      </c>
      <c r="L254" t="s">
        <v>159</v>
      </c>
      <c r="N254" t="s">
        <v>214</v>
      </c>
      <c r="O254" t="s">
        <v>287</v>
      </c>
      <c r="P254">
        <v>3.0287674188487077E-2</v>
      </c>
      <c r="Q254" t="s">
        <v>159</v>
      </c>
      <c r="S254" t="s">
        <v>256</v>
      </c>
      <c r="T254" t="s">
        <v>287</v>
      </c>
      <c r="U254">
        <v>2.9157313976083916E-2</v>
      </c>
      <c r="V254" t="s">
        <v>159</v>
      </c>
    </row>
    <row r="255" spans="9:22" x14ac:dyDescent="0.45">
      <c r="I255" t="s">
        <v>171</v>
      </c>
      <c r="J255" t="s">
        <v>288</v>
      </c>
      <c r="K255">
        <v>1.0059923917482044E-2</v>
      </c>
      <c r="L255" t="s">
        <v>159</v>
      </c>
      <c r="N255" t="s">
        <v>214</v>
      </c>
      <c r="O255" t="s">
        <v>288</v>
      </c>
      <c r="P255">
        <v>3.1870461421931021E-2</v>
      </c>
      <c r="Q255" t="s">
        <v>159</v>
      </c>
      <c r="S255" t="s">
        <v>256</v>
      </c>
      <c r="T255" t="s">
        <v>288</v>
      </c>
      <c r="U255">
        <v>2.7888171210161128E-2</v>
      </c>
      <c r="V255" t="s">
        <v>159</v>
      </c>
    </row>
    <row r="256" spans="9:22" x14ac:dyDescent="0.45">
      <c r="I256" t="s">
        <v>171</v>
      </c>
      <c r="J256" t="s">
        <v>308</v>
      </c>
      <c r="K256">
        <v>0</v>
      </c>
      <c r="L256" t="s">
        <v>159</v>
      </c>
      <c r="N256" t="s">
        <v>214</v>
      </c>
      <c r="O256" t="s">
        <v>308</v>
      </c>
      <c r="P256">
        <v>9.9619715288700242E-2</v>
      </c>
      <c r="Q256" t="s">
        <v>159</v>
      </c>
      <c r="S256" t="s">
        <v>256</v>
      </c>
      <c r="T256" t="s">
        <v>308</v>
      </c>
      <c r="U256">
        <v>0.11230362490480351</v>
      </c>
      <c r="V256" t="s">
        <v>159</v>
      </c>
    </row>
    <row r="257" spans="9:22" x14ac:dyDescent="0.45">
      <c r="I257" t="s">
        <v>171</v>
      </c>
      <c r="J257" t="s">
        <v>162</v>
      </c>
      <c r="K257">
        <v>0</v>
      </c>
      <c r="L257" t="s">
        <v>159</v>
      </c>
      <c r="N257" t="s">
        <v>214</v>
      </c>
      <c r="O257" t="s">
        <v>162</v>
      </c>
      <c r="P257">
        <v>2.1769940843937931E-2</v>
      </c>
      <c r="Q257" t="s">
        <v>159</v>
      </c>
      <c r="S257" t="s">
        <v>256</v>
      </c>
      <c r="T257" t="s">
        <v>162</v>
      </c>
      <c r="U257">
        <v>1.5907226917755257E-2</v>
      </c>
      <c r="V257" t="s">
        <v>159</v>
      </c>
    </row>
    <row r="258" spans="9:22" x14ac:dyDescent="0.45">
      <c r="I258" t="s">
        <v>171</v>
      </c>
      <c r="J258" t="s">
        <v>163</v>
      </c>
      <c r="K258">
        <v>3.5769464429563302E-3</v>
      </c>
      <c r="L258" t="s">
        <v>159</v>
      </c>
      <c r="N258" t="s">
        <v>214</v>
      </c>
      <c r="O258" t="s">
        <v>163</v>
      </c>
      <c r="P258">
        <v>3.3631876613444919E-3</v>
      </c>
      <c r="Q258" t="s">
        <v>159</v>
      </c>
      <c r="S258" t="s">
        <v>256</v>
      </c>
      <c r="T258" t="s">
        <v>163</v>
      </c>
      <c r="U258">
        <v>2.2092924882849418E-3</v>
      </c>
      <c r="V258" t="s">
        <v>159</v>
      </c>
    </row>
    <row r="259" spans="9:22" x14ac:dyDescent="0.45">
      <c r="I259" t="s">
        <v>171</v>
      </c>
      <c r="J259" t="s">
        <v>164</v>
      </c>
      <c r="K259">
        <v>4.4736054809479543E-2</v>
      </c>
      <c r="L259" t="s">
        <v>159</v>
      </c>
      <c r="N259" t="s">
        <v>214</v>
      </c>
      <c r="O259" t="s">
        <v>164</v>
      </c>
      <c r="P259">
        <v>4.0428216098786204E-2</v>
      </c>
      <c r="Q259" t="s">
        <v>159</v>
      </c>
      <c r="S259" t="s">
        <v>256</v>
      </c>
      <c r="T259" t="s">
        <v>164</v>
      </c>
      <c r="U259">
        <v>1.9380637414607039E-2</v>
      </c>
      <c r="V259" t="s">
        <v>159</v>
      </c>
    </row>
    <row r="260" spans="9:22" x14ac:dyDescent="0.45">
      <c r="I260" t="s">
        <v>171</v>
      </c>
      <c r="J260" t="s">
        <v>289</v>
      </c>
      <c r="K260">
        <v>1.1902463822709222E-3</v>
      </c>
      <c r="L260" t="s">
        <v>159</v>
      </c>
      <c r="N260" t="s">
        <v>214</v>
      </c>
      <c r="O260" t="s">
        <v>289</v>
      </c>
      <c r="P260">
        <v>3.9812974151122883E-3</v>
      </c>
      <c r="Q260" t="s">
        <v>159</v>
      </c>
      <c r="S260" t="s">
        <v>256</v>
      </c>
      <c r="T260" t="s">
        <v>289</v>
      </c>
      <c r="U260">
        <v>2.6812968025133454E-3</v>
      </c>
      <c r="V260" t="s">
        <v>159</v>
      </c>
    </row>
    <row r="261" spans="9:22" x14ac:dyDescent="0.45">
      <c r="I261" t="s">
        <v>171</v>
      </c>
      <c r="J261" t="s">
        <v>290</v>
      </c>
      <c r="K261">
        <v>0</v>
      </c>
      <c r="L261" t="s">
        <v>159</v>
      </c>
      <c r="N261" t="s">
        <v>214</v>
      </c>
      <c r="O261" t="s">
        <v>290</v>
      </c>
      <c r="P261">
        <v>3.8136129101979574E-3</v>
      </c>
      <c r="Q261" t="s">
        <v>159</v>
      </c>
      <c r="S261" t="s">
        <v>256</v>
      </c>
      <c r="T261" t="s">
        <v>290</v>
      </c>
      <c r="U261">
        <v>2.5838180698389075E-3</v>
      </c>
      <c r="V261" t="s">
        <v>159</v>
      </c>
    </row>
    <row r="262" spans="9:22" x14ac:dyDescent="0.45">
      <c r="I262" t="s">
        <v>171</v>
      </c>
      <c r="J262" t="s">
        <v>309</v>
      </c>
      <c r="K262">
        <v>0</v>
      </c>
      <c r="L262" t="s">
        <v>159</v>
      </c>
      <c r="N262" t="s">
        <v>214</v>
      </c>
      <c r="O262" t="s">
        <v>309</v>
      </c>
      <c r="P262">
        <v>1.7382349770942978E-2</v>
      </c>
      <c r="Q262" t="s">
        <v>159</v>
      </c>
      <c r="S262" t="s">
        <v>256</v>
      </c>
      <c r="T262" t="s">
        <v>309</v>
      </c>
      <c r="U262">
        <v>1.172034319864698E-2</v>
      </c>
      <c r="V262" t="s">
        <v>159</v>
      </c>
    </row>
    <row r="263" spans="9:22" x14ac:dyDescent="0.45">
      <c r="I263" t="s">
        <v>171</v>
      </c>
      <c r="J263" t="s">
        <v>346</v>
      </c>
      <c r="K263">
        <v>0</v>
      </c>
      <c r="L263" t="s">
        <v>159</v>
      </c>
      <c r="N263" t="s">
        <v>214</v>
      </c>
      <c r="O263" t="s">
        <v>346</v>
      </c>
      <c r="P263">
        <v>2.2643758994930992E-5</v>
      </c>
      <c r="Q263" t="s">
        <v>159</v>
      </c>
      <c r="S263" t="s">
        <v>256</v>
      </c>
      <c r="T263" t="s">
        <v>346</v>
      </c>
      <c r="U263">
        <v>6.2581230438192497E-5</v>
      </c>
      <c r="V263" t="s">
        <v>159</v>
      </c>
    </row>
    <row r="264" spans="9:22" x14ac:dyDescent="0.45">
      <c r="I264" t="s">
        <v>171</v>
      </c>
      <c r="J264" t="s">
        <v>347</v>
      </c>
      <c r="K264">
        <v>0</v>
      </c>
      <c r="L264" t="s">
        <v>159</v>
      </c>
      <c r="N264" t="s">
        <v>214</v>
      </c>
      <c r="O264" t="s">
        <v>347</v>
      </c>
      <c r="P264">
        <v>1.4541642255236107E-5</v>
      </c>
      <c r="Q264" t="s">
        <v>159</v>
      </c>
      <c r="S264" t="s">
        <v>256</v>
      </c>
      <c r="T264" t="s">
        <v>347</v>
      </c>
      <c r="U264">
        <v>5.7998391415141824E-5</v>
      </c>
      <c r="V264" t="s">
        <v>159</v>
      </c>
    </row>
    <row r="265" spans="9:22" x14ac:dyDescent="0.45">
      <c r="I265" t="s">
        <v>171</v>
      </c>
      <c r="J265" t="s">
        <v>348</v>
      </c>
      <c r="K265">
        <v>0</v>
      </c>
      <c r="L265" t="s">
        <v>159</v>
      </c>
      <c r="N265" t="s">
        <v>214</v>
      </c>
      <c r="O265" t="s">
        <v>348</v>
      </c>
      <c r="P265">
        <v>1.1261421791660939E-5</v>
      </c>
      <c r="Q265" t="s">
        <v>159</v>
      </c>
      <c r="S265" t="s">
        <v>256</v>
      </c>
      <c r="T265" t="s">
        <v>348</v>
      </c>
      <c r="U265">
        <v>4.5394460093398851E-5</v>
      </c>
      <c r="V265" t="s">
        <v>159</v>
      </c>
    </row>
    <row r="266" spans="9:22" x14ac:dyDescent="0.45">
      <c r="I266" t="s">
        <v>171</v>
      </c>
      <c r="J266" t="s">
        <v>349</v>
      </c>
      <c r="K266">
        <v>0</v>
      </c>
      <c r="L266" t="s">
        <v>159</v>
      </c>
      <c r="N266" t="s">
        <v>214</v>
      </c>
      <c r="O266" t="s">
        <v>349</v>
      </c>
      <c r="P266">
        <v>9.3188560869274638E-6</v>
      </c>
      <c r="Q266" t="s">
        <v>159</v>
      </c>
      <c r="S266" t="s">
        <v>256</v>
      </c>
      <c r="T266" t="s">
        <v>349</v>
      </c>
      <c r="U266">
        <v>3.246838318145653E-5</v>
      </c>
      <c r="V266" t="s">
        <v>159</v>
      </c>
    </row>
    <row r="267" spans="9:22" x14ac:dyDescent="0.45">
      <c r="I267" t="s">
        <v>171</v>
      </c>
      <c r="J267" t="s">
        <v>350</v>
      </c>
      <c r="K267">
        <v>0</v>
      </c>
      <c r="L267" t="s">
        <v>159</v>
      </c>
      <c r="N267" t="s">
        <v>214</v>
      </c>
      <c r="O267" t="s">
        <v>350</v>
      </c>
      <c r="P267">
        <v>1.648160916983722E-5</v>
      </c>
      <c r="Q267" t="s">
        <v>159</v>
      </c>
      <c r="S267" t="s">
        <v>256</v>
      </c>
      <c r="T267" t="s">
        <v>350</v>
      </c>
      <c r="U267">
        <v>2.0074952897639898E-5</v>
      </c>
      <c r="V267" t="s">
        <v>159</v>
      </c>
    </row>
    <row r="268" spans="9:22" x14ac:dyDescent="0.45">
      <c r="I268" t="s">
        <v>171</v>
      </c>
      <c r="J268" t="s">
        <v>351</v>
      </c>
      <c r="K268">
        <v>0</v>
      </c>
      <c r="L268" t="s">
        <v>159</v>
      </c>
      <c r="N268" t="s">
        <v>214</v>
      </c>
      <c r="O268" t="s">
        <v>351</v>
      </c>
      <c r="P268">
        <v>2.5311141705294324E-5</v>
      </c>
      <c r="Q268" t="s">
        <v>159</v>
      </c>
      <c r="S268" t="s">
        <v>256</v>
      </c>
      <c r="T268" t="s">
        <v>351</v>
      </c>
      <c r="U268">
        <v>2.2828561551138061E-5</v>
      </c>
      <c r="V268" t="s">
        <v>159</v>
      </c>
    </row>
    <row r="269" spans="9:22" x14ac:dyDescent="0.45">
      <c r="I269" t="s">
        <v>171</v>
      </c>
      <c r="J269" t="s">
        <v>352</v>
      </c>
      <c r="K269">
        <v>0</v>
      </c>
      <c r="L269" t="s">
        <v>159</v>
      </c>
      <c r="N269" t="s">
        <v>214</v>
      </c>
      <c r="O269" t="s">
        <v>352</v>
      </c>
      <c r="P269">
        <v>3.3703709246404505E-5</v>
      </c>
      <c r="Q269" t="s">
        <v>159</v>
      </c>
      <c r="S269" t="s">
        <v>256</v>
      </c>
      <c r="T269" t="s">
        <v>352</v>
      </c>
      <c r="U269">
        <v>3.7648863837267732E-5</v>
      </c>
      <c r="V269" t="s">
        <v>159</v>
      </c>
    </row>
    <row r="270" spans="9:22" x14ac:dyDescent="0.45">
      <c r="I270" t="s">
        <v>171</v>
      </c>
      <c r="J270" t="s">
        <v>353</v>
      </c>
      <c r="K270">
        <v>1.2580777069937378E-4</v>
      </c>
      <c r="L270" t="s">
        <v>159</v>
      </c>
      <c r="N270" t="s">
        <v>214</v>
      </c>
      <c r="O270" t="s">
        <v>353</v>
      </c>
      <c r="P270">
        <v>3.8542266131301741E-5</v>
      </c>
      <c r="Q270" t="s">
        <v>159</v>
      </c>
      <c r="S270" t="s">
        <v>256</v>
      </c>
      <c r="T270" t="s">
        <v>353</v>
      </c>
      <c r="U270">
        <v>4.2474065245201935E-5</v>
      </c>
      <c r="V270" t="s">
        <v>159</v>
      </c>
    </row>
    <row r="271" spans="9:22" x14ac:dyDescent="0.45">
      <c r="I271" t="s">
        <v>171</v>
      </c>
      <c r="J271" t="s">
        <v>354</v>
      </c>
      <c r="K271">
        <v>1.6843229913349384E-4</v>
      </c>
      <c r="L271" t="s">
        <v>159</v>
      </c>
      <c r="N271" t="s">
        <v>214</v>
      </c>
      <c r="O271" t="s">
        <v>354</v>
      </c>
      <c r="P271">
        <v>3.7582049298003492E-5</v>
      </c>
      <c r="Q271" t="s">
        <v>159</v>
      </c>
      <c r="S271" t="s">
        <v>256</v>
      </c>
      <c r="T271" t="s">
        <v>354</v>
      </c>
      <c r="U271">
        <v>4.1514268919264782E-5</v>
      </c>
      <c r="V271" t="s">
        <v>159</v>
      </c>
    </row>
    <row r="272" spans="9:22" x14ac:dyDescent="0.45">
      <c r="I272" t="s">
        <v>171</v>
      </c>
      <c r="J272" t="s">
        <v>355</v>
      </c>
      <c r="K272">
        <v>1.6905999983473597E-4</v>
      </c>
      <c r="L272" t="s">
        <v>159</v>
      </c>
      <c r="N272" t="s">
        <v>214</v>
      </c>
      <c r="O272" t="s">
        <v>355</v>
      </c>
      <c r="P272">
        <v>2.1827034007344544E-5</v>
      </c>
      <c r="Q272" t="s">
        <v>159</v>
      </c>
      <c r="S272" t="s">
        <v>256</v>
      </c>
      <c r="T272" t="s">
        <v>355</v>
      </c>
      <c r="U272">
        <v>3.3839442796945953E-5</v>
      </c>
      <c r="V272" t="s">
        <v>159</v>
      </c>
    </row>
    <row r="273" spans="9:22" x14ac:dyDescent="0.45">
      <c r="I273" t="s">
        <v>171</v>
      </c>
      <c r="J273" t="s">
        <v>356</v>
      </c>
      <c r="K273">
        <v>1.6672164978646638E-4</v>
      </c>
      <c r="L273" t="s">
        <v>159</v>
      </c>
      <c r="N273" t="s">
        <v>214</v>
      </c>
      <c r="O273" t="s">
        <v>356</v>
      </c>
      <c r="P273">
        <v>1.3795535529680467E-5</v>
      </c>
      <c r="Q273" t="s">
        <v>159</v>
      </c>
      <c r="S273" t="s">
        <v>256</v>
      </c>
      <c r="T273" t="s">
        <v>356</v>
      </c>
      <c r="U273">
        <v>3.2989407735026588E-5</v>
      </c>
      <c r="V273" t="s">
        <v>159</v>
      </c>
    </row>
    <row r="274" spans="9:22" x14ac:dyDescent="0.45">
      <c r="I274" t="s">
        <v>171</v>
      </c>
      <c r="J274" t="s">
        <v>357</v>
      </c>
      <c r="K274">
        <v>1.8818645311634787E-4</v>
      </c>
      <c r="L274" t="s">
        <v>159</v>
      </c>
      <c r="N274" t="s">
        <v>214</v>
      </c>
      <c r="O274" t="s">
        <v>357</v>
      </c>
      <c r="P274">
        <v>2.0811566749726483E-5</v>
      </c>
      <c r="Q274" t="s">
        <v>159</v>
      </c>
      <c r="S274" t="s">
        <v>256</v>
      </c>
      <c r="T274" t="s">
        <v>357</v>
      </c>
      <c r="U274">
        <v>5.1168240139243921E-5</v>
      </c>
      <c r="V274" t="s">
        <v>159</v>
      </c>
    </row>
    <row r="275" spans="9:22" x14ac:dyDescent="0.45">
      <c r="I275" t="s">
        <v>171</v>
      </c>
      <c r="J275" t="s">
        <v>358</v>
      </c>
      <c r="K275">
        <v>2.2330009849403103E-4</v>
      </c>
      <c r="L275" t="s">
        <v>159</v>
      </c>
      <c r="N275" t="s">
        <v>214</v>
      </c>
      <c r="O275" t="s">
        <v>358</v>
      </c>
      <c r="P275">
        <v>2.1229260482470835E-5</v>
      </c>
      <c r="Q275" t="s">
        <v>159</v>
      </c>
      <c r="S275" t="s">
        <v>256</v>
      </c>
      <c r="T275" t="s">
        <v>358</v>
      </c>
      <c r="U275">
        <v>7.5730812964930084E-5</v>
      </c>
      <c r="V275" t="s">
        <v>159</v>
      </c>
    </row>
    <row r="276" spans="9:22" x14ac:dyDescent="0.45">
      <c r="I276" t="s">
        <v>171</v>
      </c>
      <c r="J276" t="s">
        <v>359</v>
      </c>
      <c r="K276">
        <v>1.8085020372301684E-4</v>
      </c>
      <c r="L276" t="s">
        <v>159</v>
      </c>
      <c r="N276" t="s">
        <v>214</v>
      </c>
      <c r="O276" t="s">
        <v>359</v>
      </c>
      <c r="P276">
        <v>1.6302665065026279E-5</v>
      </c>
      <c r="Q276" t="s">
        <v>159</v>
      </c>
      <c r="S276" t="s">
        <v>256</v>
      </c>
      <c r="T276" t="s">
        <v>359</v>
      </c>
      <c r="U276">
        <v>9.3709179917465875E-5</v>
      </c>
      <c r="V276" t="s">
        <v>159</v>
      </c>
    </row>
    <row r="277" spans="9:22" x14ac:dyDescent="0.45">
      <c r="I277" t="s">
        <v>171</v>
      </c>
      <c r="J277" t="s">
        <v>360</v>
      </c>
      <c r="K277">
        <v>1.6008442088342434E-4</v>
      </c>
      <c r="L277" t="s">
        <v>159</v>
      </c>
      <c r="N277" t="s">
        <v>214</v>
      </c>
      <c r="O277" t="s">
        <v>360</v>
      </c>
      <c r="P277">
        <v>1.1340113335720667E-5</v>
      </c>
      <c r="Q277" t="s">
        <v>159</v>
      </c>
      <c r="S277" t="s">
        <v>256</v>
      </c>
      <c r="T277" t="s">
        <v>360</v>
      </c>
      <c r="U277">
        <v>1.1609062519591389E-4</v>
      </c>
      <c r="V277" t="s">
        <v>159</v>
      </c>
    </row>
    <row r="278" spans="9:22" x14ac:dyDescent="0.45">
      <c r="I278" t="s">
        <v>171</v>
      </c>
      <c r="J278" t="s">
        <v>361</v>
      </c>
      <c r="K278">
        <v>1.640821318137759E-4</v>
      </c>
      <c r="L278" t="s">
        <v>159</v>
      </c>
      <c r="N278" t="s">
        <v>214</v>
      </c>
      <c r="O278" t="s">
        <v>361</v>
      </c>
      <c r="P278">
        <v>9.4241076585442735E-6</v>
      </c>
      <c r="Q278" t="s">
        <v>159</v>
      </c>
      <c r="S278" t="s">
        <v>256</v>
      </c>
      <c r="T278" t="s">
        <v>361</v>
      </c>
      <c r="U278">
        <v>1.3945218629536049E-4</v>
      </c>
      <c r="V278" t="s">
        <v>159</v>
      </c>
    </row>
    <row r="279" spans="9:22" x14ac:dyDescent="0.45">
      <c r="I279" t="s">
        <v>171</v>
      </c>
      <c r="J279" t="s">
        <v>362</v>
      </c>
      <c r="K279">
        <v>1.5322546650707402E-4</v>
      </c>
      <c r="L279" t="s">
        <v>159</v>
      </c>
      <c r="N279" t="s">
        <v>214</v>
      </c>
      <c r="O279" t="s">
        <v>362</v>
      </c>
      <c r="P279">
        <v>2.2678104881707562E-5</v>
      </c>
      <c r="Q279" t="s">
        <v>159</v>
      </c>
      <c r="S279" t="s">
        <v>256</v>
      </c>
      <c r="T279" t="s">
        <v>362</v>
      </c>
      <c r="U279">
        <v>1.5892626870507063E-4</v>
      </c>
      <c r="V279" t="s">
        <v>159</v>
      </c>
    </row>
    <row r="280" spans="9:22" x14ac:dyDescent="0.45">
      <c r="I280" t="s">
        <v>171</v>
      </c>
      <c r="J280" t="s">
        <v>363</v>
      </c>
      <c r="K280">
        <v>2.5476951146385301E-5</v>
      </c>
      <c r="L280" t="s">
        <v>159</v>
      </c>
      <c r="N280" t="s">
        <v>214</v>
      </c>
      <c r="O280" t="s">
        <v>363</v>
      </c>
      <c r="P280">
        <v>4.8075727315616658E-5</v>
      </c>
      <c r="Q280" t="s">
        <v>159</v>
      </c>
      <c r="S280" t="s">
        <v>256</v>
      </c>
      <c r="T280" t="s">
        <v>363</v>
      </c>
      <c r="U280">
        <v>1.6475126718483367E-4</v>
      </c>
      <c r="V280" t="s">
        <v>159</v>
      </c>
    </row>
    <row r="281" spans="9:22" x14ac:dyDescent="0.45">
      <c r="I281" t="s">
        <v>171</v>
      </c>
      <c r="J281" t="s">
        <v>364</v>
      </c>
      <c r="K281">
        <v>0</v>
      </c>
      <c r="L281" t="s">
        <v>159</v>
      </c>
      <c r="N281" t="s">
        <v>214</v>
      </c>
      <c r="O281" t="s">
        <v>364</v>
      </c>
      <c r="P281">
        <v>4.8513337656942528E-5</v>
      </c>
      <c r="Q281" t="s">
        <v>159</v>
      </c>
      <c r="S281" t="s">
        <v>256</v>
      </c>
      <c r="T281" t="s">
        <v>364</v>
      </c>
      <c r="U281">
        <v>1.6205043023385723E-4</v>
      </c>
      <c r="V281" t="s">
        <v>159</v>
      </c>
    </row>
    <row r="282" spans="9:22" x14ac:dyDescent="0.45">
      <c r="I282" t="s">
        <v>171</v>
      </c>
      <c r="J282" t="s">
        <v>365</v>
      </c>
      <c r="K282">
        <v>0</v>
      </c>
      <c r="L282" t="s">
        <v>159</v>
      </c>
      <c r="N282" t="s">
        <v>214</v>
      </c>
      <c r="O282" t="s">
        <v>365</v>
      </c>
      <c r="P282">
        <v>3.4267324588326299E-5</v>
      </c>
      <c r="Q282" t="s">
        <v>159</v>
      </c>
      <c r="S282" t="s">
        <v>256</v>
      </c>
      <c r="T282" t="s">
        <v>365</v>
      </c>
      <c r="U282">
        <v>1.6201287787119729E-4</v>
      </c>
      <c r="V282" t="s">
        <v>159</v>
      </c>
    </row>
    <row r="283" spans="9:22" x14ac:dyDescent="0.45">
      <c r="I283" t="s">
        <v>171</v>
      </c>
      <c r="J283" t="s">
        <v>366</v>
      </c>
      <c r="K283">
        <v>0</v>
      </c>
      <c r="L283" t="s">
        <v>159</v>
      </c>
      <c r="N283" t="s">
        <v>214</v>
      </c>
      <c r="O283" t="s">
        <v>366</v>
      </c>
      <c r="P283">
        <v>2.5181610766475418E-5</v>
      </c>
      <c r="Q283" t="s">
        <v>159</v>
      </c>
      <c r="S283" t="s">
        <v>256</v>
      </c>
      <c r="T283" t="s">
        <v>366</v>
      </c>
      <c r="U283">
        <v>1.6772268138881243E-4</v>
      </c>
      <c r="V283" t="s">
        <v>159</v>
      </c>
    </row>
    <row r="284" spans="9:22" x14ac:dyDescent="0.45">
      <c r="I284" t="s">
        <v>171</v>
      </c>
      <c r="J284" t="s">
        <v>367</v>
      </c>
      <c r="K284">
        <v>0</v>
      </c>
      <c r="L284" t="s">
        <v>159</v>
      </c>
      <c r="N284" t="s">
        <v>214</v>
      </c>
      <c r="O284" t="s">
        <v>367</v>
      </c>
      <c r="P284">
        <v>2.1074777152305168E-5</v>
      </c>
      <c r="Q284" t="s">
        <v>159</v>
      </c>
      <c r="S284" t="s">
        <v>256</v>
      </c>
      <c r="T284" t="s">
        <v>367</v>
      </c>
      <c r="U284">
        <v>1.8475913212923247E-4</v>
      </c>
      <c r="V284" t="s">
        <v>159</v>
      </c>
    </row>
    <row r="285" spans="9:22" x14ac:dyDescent="0.45">
      <c r="I285" t="s">
        <v>171</v>
      </c>
      <c r="J285" t="s">
        <v>368</v>
      </c>
      <c r="K285">
        <v>0</v>
      </c>
      <c r="L285" t="s">
        <v>159</v>
      </c>
      <c r="N285" t="s">
        <v>214</v>
      </c>
      <c r="O285" t="s">
        <v>368</v>
      </c>
      <c r="P285">
        <v>1.7824592742159593E-5</v>
      </c>
      <c r="Q285" t="s">
        <v>159</v>
      </c>
      <c r="S285" t="s">
        <v>256</v>
      </c>
      <c r="T285" t="s">
        <v>368</v>
      </c>
      <c r="U285">
        <v>1.9195943388920436E-4</v>
      </c>
      <c r="V285" t="s">
        <v>159</v>
      </c>
    </row>
    <row r="286" spans="9:22" x14ac:dyDescent="0.45">
      <c r="I286" t="s">
        <v>171</v>
      </c>
      <c r="J286" t="s">
        <v>369</v>
      </c>
      <c r="K286">
        <v>0</v>
      </c>
      <c r="L286" t="s">
        <v>159</v>
      </c>
      <c r="N286" t="s">
        <v>214</v>
      </c>
      <c r="O286" t="s">
        <v>369</v>
      </c>
      <c r="P286">
        <v>1.3843511927272287E-5</v>
      </c>
      <c r="Q286" t="s">
        <v>159</v>
      </c>
      <c r="S286" t="s">
        <v>256</v>
      </c>
      <c r="T286" t="s">
        <v>369</v>
      </c>
      <c r="U286">
        <v>1.7740314983283271E-4</v>
      </c>
      <c r="V286" t="s">
        <v>159</v>
      </c>
    </row>
    <row r="287" spans="9:22" x14ac:dyDescent="0.45">
      <c r="I287" t="s">
        <v>171</v>
      </c>
      <c r="J287" t="s">
        <v>165</v>
      </c>
      <c r="K287">
        <v>0</v>
      </c>
      <c r="L287" t="s">
        <v>159</v>
      </c>
      <c r="N287" t="s">
        <v>214</v>
      </c>
      <c r="O287" t="s">
        <v>165</v>
      </c>
      <c r="P287">
        <v>3.3680602055758069E-2</v>
      </c>
      <c r="Q287" t="s">
        <v>159</v>
      </c>
      <c r="S287" t="s">
        <v>256</v>
      </c>
      <c r="T287" t="s">
        <v>165</v>
      </c>
      <c r="U287">
        <v>2.2118690589617605E-2</v>
      </c>
      <c r="V287" t="s">
        <v>159</v>
      </c>
    </row>
    <row r="288" spans="9:22" x14ac:dyDescent="0.45">
      <c r="I288" t="s">
        <v>171</v>
      </c>
      <c r="J288" t="s">
        <v>166</v>
      </c>
      <c r="K288">
        <v>4.535883829365454E-3</v>
      </c>
      <c r="L288" t="s">
        <v>159</v>
      </c>
      <c r="N288" t="s">
        <v>214</v>
      </c>
      <c r="O288" t="s">
        <v>166</v>
      </c>
      <c r="P288">
        <v>5.2360333410625681E-3</v>
      </c>
      <c r="Q288" t="s">
        <v>159</v>
      </c>
      <c r="S288" t="s">
        <v>256</v>
      </c>
      <c r="T288" t="s">
        <v>166</v>
      </c>
      <c r="U288">
        <v>3.4067185055163046E-3</v>
      </c>
      <c r="V288" t="s">
        <v>159</v>
      </c>
    </row>
    <row r="289" spans="9:22" x14ac:dyDescent="0.45">
      <c r="I289" t="s">
        <v>171</v>
      </c>
      <c r="J289" t="s">
        <v>167</v>
      </c>
      <c r="K289">
        <v>5.9727492393923769E-2</v>
      </c>
      <c r="L289" t="s">
        <v>159</v>
      </c>
      <c r="N289" t="s">
        <v>214</v>
      </c>
      <c r="O289" t="s">
        <v>167</v>
      </c>
      <c r="P289">
        <v>5.708321628045579E-2</v>
      </c>
      <c r="Q289" t="s">
        <v>159</v>
      </c>
      <c r="S289" t="s">
        <v>256</v>
      </c>
      <c r="T289" t="s">
        <v>167</v>
      </c>
      <c r="U289">
        <v>2.8878210144300333E-2</v>
      </c>
      <c r="V289" t="s">
        <v>159</v>
      </c>
    </row>
    <row r="290" spans="9:22" x14ac:dyDescent="0.45">
      <c r="I290" t="s">
        <v>171</v>
      </c>
      <c r="J290" t="s">
        <v>291</v>
      </c>
      <c r="K290">
        <v>4.271555600000353E-3</v>
      </c>
      <c r="L290" t="s">
        <v>159</v>
      </c>
      <c r="N290" t="s">
        <v>214</v>
      </c>
      <c r="O290" t="s">
        <v>291</v>
      </c>
      <c r="P290">
        <v>5.0375694411131751E-3</v>
      </c>
      <c r="Q290" t="s">
        <v>159</v>
      </c>
      <c r="S290" t="s">
        <v>256</v>
      </c>
      <c r="T290" t="s">
        <v>291</v>
      </c>
      <c r="U290">
        <v>3.498539509690517E-3</v>
      </c>
      <c r="V290" t="s">
        <v>159</v>
      </c>
    </row>
    <row r="291" spans="9:22" x14ac:dyDescent="0.45">
      <c r="I291" t="s">
        <v>171</v>
      </c>
      <c r="J291" t="s">
        <v>292</v>
      </c>
      <c r="K291">
        <v>0</v>
      </c>
      <c r="L291" t="s">
        <v>159</v>
      </c>
      <c r="N291" t="s">
        <v>214</v>
      </c>
      <c r="O291" t="s">
        <v>292</v>
      </c>
      <c r="P291">
        <v>4.6642067754563612E-3</v>
      </c>
      <c r="Q291" t="s">
        <v>159</v>
      </c>
      <c r="S291" t="s">
        <v>256</v>
      </c>
      <c r="T291" t="s">
        <v>292</v>
      </c>
      <c r="U291">
        <v>3.5488082517445467E-3</v>
      </c>
      <c r="V291" t="s">
        <v>159</v>
      </c>
    </row>
    <row r="292" spans="9:22" x14ac:dyDescent="0.45">
      <c r="I292" t="s">
        <v>171</v>
      </c>
      <c r="J292" t="s">
        <v>310</v>
      </c>
      <c r="K292">
        <v>0</v>
      </c>
      <c r="L292" t="s">
        <v>159</v>
      </c>
      <c r="N292" t="s">
        <v>214</v>
      </c>
      <c r="O292" t="s">
        <v>310</v>
      </c>
      <c r="P292">
        <v>2.2849473153729739E-2</v>
      </c>
      <c r="Q292" t="s">
        <v>159</v>
      </c>
      <c r="S292" t="s">
        <v>256</v>
      </c>
      <c r="T292" t="s">
        <v>310</v>
      </c>
      <c r="U292">
        <v>1.6430672558941407E-2</v>
      </c>
      <c r="V292" t="s">
        <v>159</v>
      </c>
    </row>
    <row r="293" spans="9:22" x14ac:dyDescent="0.45">
      <c r="I293" t="s">
        <v>171</v>
      </c>
      <c r="J293" t="s">
        <v>293</v>
      </c>
      <c r="K293">
        <v>0</v>
      </c>
      <c r="L293" t="s">
        <v>159</v>
      </c>
      <c r="N293" t="s">
        <v>214</v>
      </c>
      <c r="O293" t="s">
        <v>293</v>
      </c>
      <c r="P293">
        <v>4.0999130480117094E-3</v>
      </c>
      <c r="Q293" t="s">
        <v>159</v>
      </c>
      <c r="S293" t="s">
        <v>256</v>
      </c>
      <c r="T293" t="s">
        <v>293</v>
      </c>
      <c r="U293">
        <v>4.6141145457371099E-3</v>
      </c>
      <c r="V293" t="s">
        <v>159</v>
      </c>
    </row>
    <row r="294" spans="9:22" x14ac:dyDescent="0.45">
      <c r="I294" t="s">
        <v>171</v>
      </c>
      <c r="J294" t="s">
        <v>294</v>
      </c>
      <c r="K294">
        <v>1.2079812986022826E-3</v>
      </c>
      <c r="L294" t="s">
        <v>159</v>
      </c>
      <c r="N294" t="s">
        <v>214</v>
      </c>
      <c r="O294" t="s">
        <v>294</v>
      </c>
      <c r="P294">
        <v>8.5161041426362789E-4</v>
      </c>
      <c r="Q294" t="s">
        <v>159</v>
      </c>
      <c r="S294" t="s">
        <v>256</v>
      </c>
      <c r="T294" t="s">
        <v>294</v>
      </c>
      <c r="U294">
        <v>5.9402371427393552E-4</v>
      </c>
      <c r="V294" t="s">
        <v>159</v>
      </c>
    </row>
    <row r="295" spans="9:22" x14ac:dyDescent="0.45">
      <c r="I295" t="s">
        <v>171</v>
      </c>
      <c r="J295" t="s">
        <v>295</v>
      </c>
      <c r="K295">
        <v>1.48258954495043E-2</v>
      </c>
      <c r="L295" t="s">
        <v>159</v>
      </c>
      <c r="N295" t="s">
        <v>214</v>
      </c>
      <c r="O295" t="s">
        <v>295</v>
      </c>
      <c r="P295">
        <v>1.0687878177399036E-2</v>
      </c>
      <c r="Q295" t="s">
        <v>159</v>
      </c>
      <c r="S295" t="s">
        <v>256</v>
      </c>
      <c r="T295" t="s">
        <v>295</v>
      </c>
      <c r="U295">
        <v>6.5701924596082472E-3</v>
      </c>
      <c r="V295" t="s">
        <v>159</v>
      </c>
    </row>
    <row r="296" spans="9:22" x14ac:dyDescent="0.45">
      <c r="I296" t="s">
        <v>171</v>
      </c>
      <c r="J296" t="s">
        <v>296</v>
      </c>
      <c r="K296">
        <v>9.6410790436010912E-4</v>
      </c>
      <c r="L296" t="s">
        <v>159</v>
      </c>
      <c r="N296" t="s">
        <v>214</v>
      </c>
      <c r="O296" t="s">
        <v>296</v>
      </c>
      <c r="P296">
        <v>9.0509902386101812E-4</v>
      </c>
      <c r="Q296" t="s">
        <v>159</v>
      </c>
      <c r="S296" t="s">
        <v>256</v>
      </c>
      <c r="T296" t="s">
        <v>296</v>
      </c>
      <c r="U296">
        <v>1.0330407240596601E-3</v>
      </c>
      <c r="V296" t="s">
        <v>159</v>
      </c>
    </row>
    <row r="297" spans="9:22" x14ac:dyDescent="0.45">
      <c r="I297" t="s">
        <v>171</v>
      </c>
      <c r="J297" t="s">
        <v>297</v>
      </c>
      <c r="K297">
        <v>0</v>
      </c>
      <c r="L297" t="s">
        <v>159</v>
      </c>
      <c r="N297" t="s">
        <v>214</v>
      </c>
      <c r="O297" t="s">
        <v>297</v>
      </c>
      <c r="P297">
        <v>7.6239543267813293E-4</v>
      </c>
      <c r="Q297" t="s">
        <v>159</v>
      </c>
      <c r="S297" t="s">
        <v>256</v>
      </c>
      <c r="T297" t="s">
        <v>297</v>
      </c>
      <c r="U297">
        <v>1.0076050675791816E-3</v>
      </c>
      <c r="V297" t="s">
        <v>159</v>
      </c>
    </row>
    <row r="298" spans="9:22" x14ac:dyDescent="0.45">
      <c r="I298" t="s">
        <v>171</v>
      </c>
      <c r="J298" t="s">
        <v>311</v>
      </c>
      <c r="K298">
        <v>0</v>
      </c>
      <c r="L298" t="s">
        <v>159</v>
      </c>
      <c r="N298" t="s">
        <v>214</v>
      </c>
      <c r="O298" t="s">
        <v>311</v>
      </c>
      <c r="P298">
        <v>1.9262862139689471E-3</v>
      </c>
      <c r="Q298" t="s">
        <v>159</v>
      </c>
      <c r="S298" t="s">
        <v>256</v>
      </c>
      <c r="T298" t="s">
        <v>311</v>
      </c>
      <c r="U298">
        <v>3.8755029682251215E-3</v>
      </c>
      <c r="V298" t="s">
        <v>159</v>
      </c>
    </row>
    <row r="299" spans="9:22" x14ac:dyDescent="0.45">
      <c r="I299" t="s">
        <v>171</v>
      </c>
      <c r="J299" t="s">
        <v>298</v>
      </c>
      <c r="K299">
        <v>1.7929477752985028E-2</v>
      </c>
      <c r="L299" t="s">
        <v>159</v>
      </c>
      <c r="N299" t="s">
        <v>214</v>
      </c>
      <c r="O299" t="s">
        <v>298</v>
      </c>
      <c r="P299">
        <v>4.3450501101010841E-2</v>
      </c>
      <c r="Q299" t="s">
        <v>159</v>
      </c>
      <c r="S299" t="s">
        <v>256</v>
      </c>
      <c r="T299" t="s">
        <v>298</v>
      </c>
      <c r="U299">
        <v>6.2194909070848389E-2</v>
      </c>
      <c r="V299" t="s">
        <v>159</v>
      </c>
    </row>
    <row r="300" spans="9:22" x14ac:dyDescent="0.45">
      <c r="I300" t="s">
        <v>171</v>
      </c>
      <c r="J300" t="s">
        <v>299</v>
      </c>
      <c r="K300">
        <v>2.3699575099950541E-2</v>
      </c>
      <c r="L300" t="s">
        <v>159</v>
      </c>
      <c r="N300" t="s">
        <v>214</v>
      </c>
      <c r="O300" t="s">
        <v>299</v>
      </c>
      <c r="P300">
        <v>6.9305132763774193E-3</v>
      </c>
      <c r="Q300" t="s">
        <v>159</v>
      </c>
      <c r="S300" t="s">
        <v>256</v>
      </c>
      <c r="T300" t="s">
        <v>299</v>
      </c>
      <c r="U300">
        <v>7.1967843160804538E-3</v>
      </c>
      <c r="V300" t="s">
        <v>159</v>
      </c>
    </row>
    <row r="301" spans="9:22" x14ac:dyDescent="0.45">
      <c r="I301" t="s">
        <v>171</v>
      </c>
      <c r="J301" t="s">
        <v>300</v>
      </c>
      <c r="K301">
        <v>0.24702952103030512</v>
      </c>
      <c r="L301" t="s">
        <v>159</v>
      </c>
      <c r="N301" t="s">
        <v>214</v>
      </c>
      <c r="O301" t="s">
        <v>300</v>
      </c>
      <c r="P301">
        <v>0.11228187525047539</v>
      </c>
      <c r="Q301" t="s">
        <v>159</v>
      </c>
      <c r="S301" t="s">
        <v>256</v>
      </c>
      <c r="T301" t="s">
        <v>300</v>
      </c>
      <c r="U301">
        <v>0.11131734810598452</v>
      </c>
      <c r="V301" t="s">
        <v>159</v>
      </c>
    </row>
    <row r="302" spans="9:22" x14ac:dyDescent="0.45">
      <c r="I302" t="s">
        <v>171</v>
      </c>
      <c r="J302" t="s">
        <v>301</v>
      </c>
      <c r="K302">
        <v>1.6690080286077186E-2</v>
      </c>
      <c r="L302" t="s">
        <v>159</v>
      </c>
      <c r="N302" t="s">
        <v>214</v>
      </c>
      <c r="O302" t="s">
        <v>301</v>
      </c>
      <c r="P302">
        <v>1.8985697768932445E-2</v>
      </c>
      <c r="Q302" t="s">
        <v>159</v>
      </c>
      <c r="S302" t="s">
        <v>256</v>
      </c>
      <c r="T302" t="s">
        <v>301</v>
      </c>
      <c r="U302">
        <v>1.8242254873451203E-2</v>
      </c>
      <c r="V302" t="s">
        <v>159</v>
      </c>
    </row>
    <row r="303" spans="9:22" x14ac:dyDescent="0.45">
      <c r="I303" t="s">
        <v>171</v>
      </c>
      <c r="J303" t="s">
        <v>302</v>
      </c>
      <c r="K303">
        <v>3.4936026024146557E-3</v>
      </c>
      <c r="L303" t="s">
        <v>159</v>
      </c>
      <c r="N303" t="s">
        <v>214</v>
      </c>
      <c r="O303" t="s">
        <v>302</v>
      </c>
      <c r="P303">
        <v>1.9254510531053502E-2</v>
      </c>
      <c r="Q303" t="s">
        <v>159</v>
      </c>
      <c r="S303" t="s">
        <v>256</v>
      </c>
      <c r="T303" t="s">
        <v>302</v>
      </c>
      <c r="U303">
        <v>1.732714483333541E-2</v>
      </c>
      <c r="V303" t="s">
        <v>159</v>
      </c>
    </row>
    <row r="304" spans="9:22" x14ac:dyDescent="0.45">
      <c r="I304" t="s">
        <v>171</v>
      </c>
      <c r="J304" t="s">
        <v>312</v>
      </c>
      <c r="K304">
        <v>0</v>
      </c>
      <c r="L304" t="s">
        <v>159</v>
      </c>
      <c r="N304" t="s">
        <v>214</v>
      </c>
      <c r="O304" t="s">
        <v>312</v>
      </c>
      <c r="P304">
        <v>5.2749253790092911E-2</v>
      </c>
      <c r="Q304" t="s">
        <v>159</v>
      </c>
      <c r="S304" t="s">
        <v>256</v>
      </c>
      <c r="T304" t="s">
        <v>312</v>
      </c>
      <c r="U304">
        <v>6.7871360553197785E-2</v>
      </c>
      <c r="V304" t="s">
        <v>159</v>
      </c>
    </row>
    <row r="305" spans="9:22" x14ac:dyDescent="0.45">
      <c r="I305" t="s">
        <v>171</v>
      </c>
      <c r="J305" t="s">
        <v>313</v>
      </c>
      <c r="K305">
        <v>7.9388229623661589E-3</v>
      </c>
      <c r="L305" t="s">
        <v>159</v>
      </c>
      <c r="N305" t="s">
        <v>214</v>
      </c>
      <c r="O305" t="s">
        <v>313</v>
      </c>
      <c r="P305">
        <v>6.2667685637575838E-3</v>
      </c>
      <c r="Q305" t="s">
        <v>159</v>
      </c>
      <c r="S305" t="s">
        <v>256</v>
      </c>
      <c r="T305" t="s">
        <v>313</v>
      </c>
      <c r="U305">
        <v>1.6202540671928722E-2</v>
      </c>
      <c r="V305" t="s">
        <v>159</v>
      </c>
    </row>
    <row r="306" spans="9:22" x14ac:dyDescent="0.45">
      <c r="I306" t="s">
        <v>171</v>
      </c>
      <c r="J306" t="s">
        <v>314</v>
      </c>
      <c r="K306">
        <v>7.1936875351173973E-3</v>
      </c>
      <c r="L306" t="s">
        <v>159</v>
      </c>
      <c r="N306" t="s">
        <v>214</v>
      </c>
      <c r="O306" t="s">
        <v>314</v>
      </c>
      <c r="P306">
        <v>9.5700618344859122E-4</v>
      </c>
      <c r="Q306" t="s">
        <v>159</v>
      </c>
      <c r="S306" t="s">
        <v>256</v>
      </c>
      <c r="T306" t="s">
        <v>314</v>
      </c>
      <c r="U306">
        <v>1.876528763343409E-3</v>
      </c>
      <c r="V306" t="s">
        <v>159</v>
      </c>
    </row>
    <row r="307" spans="9:22" x14ac:dyDescent="0.45">
      <c r="I307" t="s">
        <v>171</v>
      </c>
      <c r="J307" t="s">
        <v>315</v>
      </c>
      <c r="K307">
        <v>7.512725188465072E-2</v>
      </c>
      <c r="L307" t="s">
        <v>159</v>
      </c>
      <c r="N307" t="s">
        <v>214</v>
      </c>
      <c r="O307" t="s">
        <v>315</v>
      </c>
      <c r="P307">
        <v>2.5130844041723378E-2</v>
      </c>
      <c r="Q307" t="s">
        <v>159</v>
      </c>
      <c r="S307" t="s">
        <v>256</v>
      </c>
      <c r="T307" t="s">
        <v>315</v>
      </c>
      <c r="U307">
        <v>3.4203843827117837E-2</v>
      </c>
      <c r="V307" t="s">
        <v>159</v>
      </c>
    </row>
    <row r="308" spans="9:22" x14ac:dyDescent="0.45">
      <c r="I308" t="s">
        <v>171</v>
      </c>
      <c r="J308" t="s">
        <v>316</v>
      </c>
      <c r="K308">
        <v>5.3238623767143676E-3</v>
      </c>
      <c r="L308" t="s">
        <v>159</v>
      </c>
      <c r="N308" t="s">
        <v>214</v>
      </c>
      <c r="O308" t="s">
        <v>316</v>
      </c>
      <c r="P308">
        <v>6.8551375691365841E-3</v>
      </c>
      <c r="Q308" t="s">
        <v>159</v>
      </c>
      <c r="S308" t="s">
        <v>256</v>
      </c>
      <c r="T308" t="s">
        <v>316</v>
      </c>
      <c r="U308">
        <v>5.6296526440932785E-3</v>
      </c>
      <c r="V308" t="s">
        <v>159</v>
      </c>
    </row>
    <row r="309" spans="9:22" x14ac:dyDescent="0.45">
      <c r="I309" t="s">
        <v>171</v>
      </c>
      <c r="J309" t="s">
        <v>317</v>
      </c>
      <c r="K309">
        <v>3.4266165967221838E-3</v>
      </c>
      <c r="L309" t="s">
        <v>159</v>
      </c>
      <c r="N309" t="s">
        <v>214</v>
      </c>
      <c r="O309" t="s">
        <v>317</v>
      </c>
      <c r="P309">
        <v>6.7227404213770674E-3</v>
      </c>
      <c r="Q309" t="s">
        <v>159</v>
      </c>
      <c r="S309" t="s">
        <v>256</v>
      </c>
      <c r="T309" t="s">
        <v>317</v>
      </c>
      <c r="U309">
        <v>5.1478192529636349E-3</v>
      </c>
      <c r="V309" t="s">
        <v>159</v>
      </c>
    </row>
    <row r="310" spans="9:22" x14ac:dyDescent="0.45">
      <c r="I310" t="s">
        <v>171</v>
      </c>
      <c r="J310" t="s">
        <v>318</v>
      </c>
      <c r="K310">
        <v>0</v>
      </c>
      <c r="L310" t="s">
        <v>159</v>
      </c>
      <c r="N310" t="s">
        <v>214</v>
      </c>
      <c r="O310" t="s">
        <v>318</v>
      </c>
      <c r="P310">
        <v>1.7770884507444514E-2</v>
      </c>
      <c r="Q310" t="s">
        <v>159</v>
      </c>
      <c r="S310" t="s">
        <v>256</v>
      </c>
      <c r="T310" t="s">
        <v>318</v>
      </c>
      <c r="U310">
        <v>1.9535468289079112E-2</v>
      </c>
      <c r="V310" t="s">
        <v>159</v>
      </c>
    </row>
    <row r="311" spans="9:22" x14ac:dyDescent="0.45">
      <c r="I311" t="s">
        <v>172</v>
      </c>
      <c r="J311" t="s">
        <v>158</v>
      </c>
      <c r="K311">
        <v>7.3612169931421998E-3</v>
      </c>
      <c r="L311" t="s">
        <v>159</v>
      </c>
      <c r="N311" t="s">
        <v>215</v>
      </c>
      <c r="O311" t="s">
        <v>158</v>
      </c>
      <c r="P311">
        <v>0.10475060644834068</v>
      </c>
      <c r="Q311" t="s">
        <v>159</v>
      </c>
      <c r="S311" t="s">
        <v>257</v>
      </c>
      <c r="T311" t="s">
        <v>158</v>
      </c>
      <c r="U311">
        <v>0.13783968439225144</v>
      </c>
      <c r="V311" t="s">
        <v>159</v>
      </c>
    </row>
    <row r="312" spans="9:22" x14ac:dyDescent="0.45">
      <c r="I312" t="s">
        <v>172</v>
      </c>
      <c r="J312" t="s">
        <v>160</v>
      </c>
      <c r="K312">
        <v>2.736326790198414E-2</v>
      </c>
      <c r="L312" t="s">
        <v>159</v>
      </c>
      <c r="N312" t="s">
        <v>215</v>
      </c>
      <c r="O312" t="s">
        <v>160</v>
      </c>
      <c r="P312">
        <v>1.3204483314492425E-2</v>
      </c>
      <c r="Q312" t="s">
        <v>159</v>
      </c>
      <c r="S312" t="s">
        <v>257</v>
      </c>
      <c r="T312" t="s">
        <v>160</v>
      </c>
      <c r="U312">
        <v>1.7775821464596827E-2</v>
      </c>
      <c r="V312" t="s">
        <v>159</v>
      </c>
    </row>
    <row r="313" spans="9:22" x14ac:dyDescent="0.45">
      <c r="I313" t="s">
        <v>172</v>
      </c>
      <c r="J313" t="s">
        <v>161</v>
      </c>
      <c r="K313">
        <v>0.37677478473431869</v>
      </c>
      <c r="L313" t="s">
        <v>159</v>
      </c>
      <c r="N313" t="s">
        <v>215</v>
      </c>
      <c r="O313" t="s">
        <v>161</v>
      </c>
      <c r="P313">
        <v>0.1666056292687764</v>
      </c>
      <c r="Q313" t="s">
        <v>159</v>
      </c>
      <c r="S313" t="s">
        <v>257</v>
      </c>
      <c r="T313" t="s">
        <v>161</v>
      </c>
      <c r="U313">
        <v>0.17300099598433083</v>
      </c>
      <c r="V313" t="s">
        <v>159</v>
      </c>
    </row>
    <row r="314" spans="9:22" x14ac:dyDescent="0.45">
      <c r="I314" t="s">
        <v>172</v>
      </c>
      <c r="J314" t="s">
        <v>287</v>
      </c>
      <c r="K314">
        <v>3.3287596222213389E-2</v>
      </c>
      <c r="L314" t="s">
        <v>159</v>
      </c>
      <c r="N314" t="s">
        <v>215</v>
      </c>
      <c r="O314" t="s">
        <v>287</v>
      </c>
      <c r="P314">
        <v>2.4393899937345483E-2</v>
      </c>
      <c r="Q314" t="s">
        <v>159</v>
      </c>
      <c r="S314" t="s">
        <v>257</v>
      </c>
      <c r="T314" t="s">
        <v>287</v>
      </c>
      <c r="U314">
        <v>2.3918788009363146E-2</v>
      </c>
      <c r="V314" t="s">
        <v>159</v>
      </c>
    </row>
    <row r="315" spans="9:22" x14ac:dyDescent="0.45">
      <c r="I315" t="s">
        <v>172</v>
      </c>
      <c r="J315" t="s">
        <v>288</v>
      </c>
      <c r="K315">
        <v>1.7007007710566166E-2</v>
      </c>
      <c r="L315" t="s">
        <v>159</v>
      </c>
      <c r="N315" t="s">
        <v>215</v>
      </c>
      <c r="O315" t="s">
        <v>288</v>
      </c>
      <c r="P315">
        <v>2.6315865491717255E-2</v>
      </c>
      <c r="Q315" t="s">
        <v>159</v>
      </c>
      <c r="S315" t="s">
        <v>257</v>
      </c>
      <c r="T315" t="s">
        <v>288</v>
      </c>
      <c r="U315">
        <v>2.3891310820383076E-2</v>
      </c>
      <c r="V315" t="s">
        <v>159</v>
      </c>
    </row>
    <row r="316" spans="9:22" x14ac:dyDescent="0.45">
      <c r="I316" t="s">
        <v>172</v>
      </c>
      <c r="J316" t="s">
        <v>308</v>
      </c>
      <c r="K316">
        <v>4.8112783091086384E-3</v>
      </c>
      <c r="L316" t="s">
        <v>159</v>
      </c>
      <c r="N316" t="s">
        <v>215</v>
      </c>
      <c r="O316" t="s">
        <v>308</v>
      </c>
      <c r="P316">
        <v>0.1195037522001214</v>
      </c>
      <c r="Q316" t="s">
        <v>159</v>
      </c>
      <c r="S316" t="s">
        <v>257</v>
      </c>
      <c r="T316" t="s">
        <v>308</v>
      </c>
      <c r="U316">
        <v>0.11156478161986477</v>
      </c>
      <c r="V316" t="s">
        <v>159</v>
      </c>
    </row>
    <row r="317" spans="9:22" x14ac:dyDescent="0.45">
      <c r="I317" t="s">
        <v>172</v>
      </c>
      <c r="J317" t="s">
        <v>162</v>
      </c>
      <c r="K317">
        <v>0</v>
      </c>
      <c r="L317" t="s">
        <v>159</v>
      </c>
      <c r="N317" t="s">
        <v>215</v>
      </c>
      <c r="O317" t="s">
        <v>162</v>
      </c>
      <c r="P317">
        <v>2.2409179392987779E-2</v>
      </c>
      <c r="Q317" t="s">
        <v>159</v>
      </c>
      <c r="S317" t="s">
        <v>257</v>
      </c>
      <c r="T317" t="s">
        <v>162</v>
      </c>
      <c r="U317">
        <v>1.6730607387219404E-2</v>
      </c>
      <c r="V317" t="s">
        <v>159</v>
      </c>
    </row>
    <row r="318" spans="9:22" x14ac:dyDescent="0.45">
      <c r="I318" t="s">
        <v>172</v>
      </c>
      <c r="J318" t="s">
        <v>163</v>
      </c>
      <c r="K318">
        <v>0</v>
      </c>
      <c r="L318" t="s">
        <v>159</v>
      </c>
      <c r="N318" t="s">
        <v>215</v>
      </c>
      <c r="O318" t="s">
        <v>163</v>
      </c>
      <c r="P318">
        <v>3.1346258913015897E-3</v>
      </c>
      <c r="Q318" t="s">
        <v>159</v>
      </c>
      <c r="S318" t="s">
        <v>257</v>
      </c>
      <c r="T318" t="s">
        <v>163</v>
      </c>
      <c r="U318">
        <v>2.3250251048146427E-3</v>
      </c>
      <c r="V318" t="s">
        <v>159</v>
      </c>
    </row>
    <row r="319" spans="9:22" x14ac:dyDescent="0.45">
      <c r="I319" t="s">
        <v>172</v>
      </c>
      <c r="J319" t="s">
        <v>164</v>
      </c>
      <c r="K319">
        <v>4.1291609772445122E-2</v>
      </c>
      <c r="L319" t="s">
        <v>159</v>
      </c>
      <c r="N319" t="s">
        <v>215</v>
      </c>
      <c r="O319" t="s">
        <v>164</v>
      </c>
      <c r="P319">
        <v>3.5084577363518804E-2</v>
      </c>
      <c r="Q319" t="s">
        <v>159</v>
      </c>
      <c r="S319" t="s">
        <v>257</v>
      </c>
      <c r="T319" t="s">
        <v>164</v>
      </c>
      <c r="U319">
        <v>2.0687796534608911E-2</v>
      </c>
      <c r="V319" t="s">
        <v>159</v>
      </c>
    </row>
    <row r="320" spans="9:22" x14ac:dyDescent="0.45">
      <c r="I320" t="s">
        <v>172</v>
      </c>
      <c r="J320" t="s">
        <v>289</v>
      </c>
      <c r="K320">
        <v>3.19630113593438E-3</v>
      </c>
      <c r="L320" t="s">
        <v>159</v>
      </c>
      <c r="N320" t="s">
        <v>215</v>
      </c>
      <c r="O320" t="s">
        <v>289</v>
      </c>
      <c r="P320">
        <v>3.894639006146229E-3</v>
      </c>
      <c r="Q320" t="s">
        <v>159</v>
      </c>
      <c r="S320" t="s">
        <v>257</v>
      </c>
      <c r="T320" t="s">
        <v>289</v>
      </c>
      <c r="U320">
        <v>2.7536018755606392E-3</v>
      </c>
      <c r="V320" t="s">
        <v>159</v>
      </c>
    </row>
    <row r="321" spans="9:22" x14ac:dyDescent="0.45">
      <c r="I321" t="s">
        <v>172</v>
      </c>
      <c r="J321" t="s">
        <v>290</v>
      </c>
      <c r="K321">
        <v>0</v>
      </c>
      <c r="L321" t="s">
        <v>159</v>
      </c>
      <c r="N321" t="s">
        <v>215</v>
      </c>
      <c r="O321" t="s">
        <v>290</v>
      </c>
      <c r="P321">
        <v>3.7597272533224009E-3</v>
      </c>
      <c r="Q321" t="s">
        <v>159</v>
      </c>
      <c r="S321" t="s">
        <v>257</v>
      </c>
      <c r="T321" t="s">
        <v>290</v>
      </c>
      <c r="U321">
        <v>2.749054302202202E-3</v>
      </c>
      <c r="V321" t="s">
        <v>159</v>
      </c>
    </row>
    <row r="322" spans="9:22" x14ac:dyDescent="0.45">
      <c r="I322" t="s">
        <v>172</v>
      </c>
      <c r="J322" t="s">
        <v>309</v>
      </c>
      <c r="K322">
        <v>0</v>
      </c>
      <c r="L322" t="s">
        <v>159</v>
      </c>
      <c r="N322" t="s">
        <v>215</v>
      </c>
      <c r="O322" t="s">
        <v>309</v>
      </c>
      <c r="P322">
        <v>1.7799220963371411E-2</v>
      </c>
      <c r="Q322" t="s">
        <v>159</v>
      </c>
      <c r="S322" t="s">
        <v>257</v>
      </c>
      <c r="T322" t="s">
        <v>309</v>
      </c>
      <c r="U322">
        <v>1.2529459386051092E-2</v>
      </c>
      <c r="V322" t="s">
        <v>159</v>
      </c>
    </row>
    <row r="323" spans="9:22" x14ac:dyDescent="0.45">
      <c r="I323" t="s">
        <v>172</v>
      </c>
      <c r="J323" t="s">
        <v>346</v>
      </c>
      <c r="K323">
        <v>0</v>
      </c>
      <c r="L323" t="s">
        <v>159</v>
      </c>
      <c r="N323" t="s">
        <v>215</v>
      </c>
      <c r="O323" t="s">
        <v>346</v>
      </c>
      <c r="P323">
        <v>2.0654310133655237E-5</v>
      </c>
      <c r="Q323" t="s">
        <v>159</v>
      </c>
      <c r="S323" t="s">
        <v>257</v>
      </c>
      <c r="T323" t="s">
        <v>346</v>
      </c>
      <c r="U323">
        <v>6.110962923772856E-5</v>
      </c>
      <c r="V323" t="s">
        <v>159</v>
      </c>
    </row>
    <row r="324" spans="9:22" x14ac:dyDescent="0.45">
      <c r="I324" t="s">
        <v>172</v>
      </c>
      <c r="J324" t="s">
        <v>347</v>
      </c>
      <c r="K324">
        <v>0</v>
      </c>
      <c r="L324" t="s">
        <v>159</v>
      </c>
      <c r="N324" t="s">
        <v>215</v>
      </c>
      <c r="O324" t="s">
        <v>347</v>
      </c>
      <c r="P324">
        <v>1.4145145235534918E-5</v>
      </c>
      <c r="Q324" t="s">
        <v>159</v>
      </c>
      <c r="S324" t="s">
        <v>257</v>
      </c>
      <c r="T324" t="s">
        <v>347</v>
      </c>
      <c r="U324">
        <v>5.3176283323736E-5</v>
      </c>
      <c r="V324" t="s">
        <v>159</v>
      </c>
    </row>
    <row r="325" spans="9:22" x14ac:dyDescent="0.45">
      <c r="I325" t="s">
        <v>172</v>
      </c>
      <c r="J325" t="s">
        <v>348</v>
      </c>
      <c r="K325">
        <v>0</v>
      </c>
      <c r="L325" t="s">
        <v>159</v>
      </c>
      <c r="N325" t="s">
        <v>215</v>
      </c>
      <c r="O325" t="s">
        <v>348</v>
      </c>
      <c r="P325">
        <v>1.0443867297457874E-5</v>
      </c>
      <c r="Q325" t="s">
        <v>159</v>
      </c>
      <c r="S325" t="s">
        <v>257</v>
      </c>
      <c r="T325" t="s">
        <v>348</v>
      </c>
      <c r="U325">
        <v>4.4649948017893258E-5</v>
      </c>
      <c r="V325" t="s">
        <v>159</v>
      </c>
    </row>
    <row r="326" spans="9:22" x14ac:dyDescent="0.45">
      <c r="I326" t="s">
        <v>172</v>
      </c>
      <c r="J326" t="s">
        <v>349</v>
      </c>
      <c r="K326">
        <v>0</v>
      </c>
      <c r="L326" t="s">
        <v>159</v>
      </c>
      <c r="N326" t="s">
        <v>215</v>
      </c>
      <c r="O326" t="s">
        <v>349</v>
      </c>
      <c r="P326">
        <v>9.2893360938783246E-6</v>
      </c>
      <c r="Q326" t="s">
        <v>159</v>
      </c>
      <c r="S326" t="s">
        <v>257</v>
      </c>
      <c r="T326" t="s">
        <v>349</v>
      </c>
      <c r="U326">
        <v>3.9611339388953563E-5</v>
      </c>
      <c r="V326" t="s">
        <v>159</v>
      </c>
    </row>
    <row r="327" spans="9:22" x14ac:dyDescent="0.45">
      <c r="I327" t="s">
        <v>172</v>
      </c>
      <c r="J327" t="s">
        <v>350</v>
      </c>
      <c r="K327">
        <v>0</v>
      </c>
      <c r="L327" t="s">
        <v>159</v>
      </c>
      <c r="N327" t="s">
        <v>215</v>
      </c>
      <c r="O327" t="s">
        <v>350</v>
      </c>
      <c r="P327">
        <v>1.0852470457817106E-5</v>
      </c>
      <c r="Q327" t="s">
        <v>159</v>
      </c>
      <c r="S327" t="s">
        <v>257</v>
      </c>
      <c r="T327" t="s">
        <v>350</v>
      </c>
      <c r="U327">
        <v>3.78673352129848E-5</v>
      </c>
      <c r="V327" t="s">
        <v>159</v>
      </c>
    </row>
    <row r="328" spans="9:22" x14ac:dyDescent="0.45">
      <c r="I328" t="s">
        <v>172</v>
      </c>
      <c r="J328" t="s">
        <v>351</v>
      </c>
      <c r="K328">
        <v>0</v>
      </c>
      <c r="L328" t="s">
        <v>159</v>
      </c>
      <c r="N328" t="s">
        <v>215</v>
      </c>
      <c r="O328" t="s">
        <v>351</v>
      </c>
      <c r="P328">
        <v>1.1310489752495959E-5</v>
      </c>
      <c r="Q328" t="s">
        <v>159</v>
      </c>
      <c r="S328" t="s">
        <v>257</v>
      </c>
      <c r="T328" t="s">
        <v>351</v>
      </c>
      <c r="U328">
        <v>4.4814627261006667E-5</v>
      </c>
      <c r="V328" t="s">
        <v>159</v>
      </c>
    </row>
    <row r="329" spans="9:22" x14ac:dyDescent="0.45">
      <c r="I329" t="s">
        <v>172</v>
      </c>
      <c r="J329" t="s">
        <v>352</v>
      </c>
      <c r="K329">
        <v>0</v>
      </c>
      <c r="L329" t="s">
        <v>159</v>
      </c>
      <c r="N329" t="s">
        <v>215</v>
      </c>
      <c r="O329" t="s">
        <v>352</v>
      </c>
      <c r="P329">
        <v>1.1036285074159094E-5</v>
      </c>
      <c r="Q329" t="s">
        <v>159</v>
      </c>
      <c r="S329" t="s">
        <v>257</v>
      </c>
      <c r="T329" t="s">
        <v>352</v>
      </c>
      <c r="U329">
        <v>5.2824860673545184E-5</v>
      </c>
      <c r="V329" t="s">
        <v>159</v>
      </c>
    </row>
    <row r="330" spans="9:22" x14ac:dyDescent="0.45">
      <c r="I330" t="s">
        <v>172</v>
      </c>
      <c r="J330" t="s">
        <v>353</v>
      </c>
      <c r="K330">
        <v>0</v>
      </c>
      <c r="L330" t="s">
        <v>159</v>
      </c>
      <c r="N330" t="s">
        <v>215</v>
      </c>
      <c r="O330" t="s">
        <v>353</v>
      </c>
      <c r="P330">
        <v>1.0571646085275758E-5</v>
      </c>
      <c r="Q330" t="s">
        <v>159</v>
      </c>
      <c r="S330" t="s">
        <v>257</v>
      </c>
      <c r="T330" t="s">
        <v>353</v>
      </c>
      <c r="U330">
        <v>5.9634674582447748E-5</v>
      </c>
      <c r="V330" t="s">
        <v>159</v>
      </c>
    </row>
    <row r="331" spans="9:22" x14ac:dyDescent="0.45">
      <c r="I331" t="s">
        <v>172</v>
      </c>
      <c r="J331" t="s">
        <v>354</v>
      </c>
      <c r="K331">
        <v>1.5652520742989053E-4</v>
      </c>
      <c r="L331" t="s">
        <v>159</v>
      </c>
      <c r="N331" t="s">
        <v>215</v>
      </c>
      <c r="O331" t="s">
        <v>354</v>
      </c>
      <c r="P331">
        <v>8.3586117834818491E-6</v>
      </c>
      <c r="Q331" t="s">
        <v>159</v>
      </c>
      <c r="S331" t="s">
        <v>257</v>
      </c>
      <c r="T331" t="s">
        <v>354</v>
      </c>
      <c r="U331">
        <v>6.610383245254143E-5</v>
      </c>
      <c r="V331" t="s">
        <v>159</v>
      </c>
    </row>
    <row r="332" spans="9:22" x14ac:dyDescent="0.45">
      <c r="I332" t="s">
        <v>172</v>
      </c>
      <c r="J332" t="s">
        <v>355</v>
      </c>
      <c r="K332">
        <v>1.7306481946220931E-4</v>
      </c>
      <c r="L332" t="s">
        <v>159</v>
      </c>
      <c r="N332" t="s">
        <v>215</v>
      </c>
      <c r="O332" t="s">
        <v>355</v>
      </c>
      <c r="P332">
        <v>3.6844117799215518E-6</v>
      </c>
      <c r="Q332" t="s">
        <v>159</v>
      </c>
      <c r="S332" t="s">
        <v>257</v>
      </c>
      <c r="T332" t="s">
        <v>355</v>
      </c>
      <c r="U332">
        <v>6.6953466118255031E-5</v>
      </c>
      <c r="V332" t="s">
        <v>159</v>
      </c>
    </row>
    <row r="333" spans="9:22" x14ac:dyDescent="0.45">
      <c r="I333" t="s">
        <v>172</v>
      </c>
      <c r="J333" t="s">
        <v>356</v>
      </c>
      <c r="K333">
        <v>1.6268555132295303E-4</v>
      </c>
      <c r="L333" t="s">
        <v>159</v>
      </c>
      <c r="N333" t="s">
        <v>215</v>
      </c>
      <c r="O333" t="s">
        <v>356</v>
      </c>
      <c r="P333">
        <v>9.7608667623674487E-7</v>
      </c>
      <c r="Q333" t="s">
        <v>159</v>
      </c>
      <c r="S333" t="s">
        <v>257</v>
      </c>
      <c r="T333" t="s">
        <v>356</v>
      </c>
      <c r="U333">
        <v>7.1585092209554689E-5</v>
      </c>
      <c r="V333" t="s">
        <v>159</v>
      </c>
    </row>
    <row r="334" spans="9:22" x14ac:dyDescent="0.45">
      <c r="I334" t="s">
        <v>172</v>
      </c>
      <c r="J334" t="s">
        <v>357</v>
      </c>
      <c r="K334">
        <v>1.7098134560718006E-4</v>
      </c>
      <c r="L334" t="s">
        <v>159</v>
      </c>
      <c r="N334" t="s">
        <v>215</v>
      </c>
      <c r="O334" t="s">
        <v>357</v>
      </c>
      <c r="P334">
        <v>5.0815702863853222E-7</v>
      </c>
      <c r="Q334" t="s">
        <v>159</v>
      </c>
      <c r="S334" t="s">
        <v>257</v>
      </c>
      <c r="T334" t="s">
        <v>357</v>
      </c>
      <c r="U334">
        <v>7.941810000670881E-5</v>
      </c>
      <c r="V334" t="s">
        <v>159</v>
      </c>
    </row>
    <row r="335" spans="9:22" x14ac:dyDescent="0.45">
      <c r="I335" t="s">
        <v>172</v>
      </c>
      <c r="J335" t="s">
        <v>358</v>
      </c>
      <c r="K335">
        <v>2.0945839995834825E-4</v>
      </c>
      <c r="L335" t="s">
        <v>159</v>
      </c>
      <c r="N335" t="s">
        <v>215</v>
      </c>
      <c r="O335" t="s">
        <v>358</v>
      </c>
      <c r="P335">
        <v>1.5928205682110696E-7</v>
      </c>
      <c r="Q335" t="s">
        <v>159</v>
      </c>
      <c r="S335" t="s">
        <v>257</v>
      </c>
      <c r="T335" t="s">
        <v>358</v>
      </c>
      <c r="U335">
        <v>8.6790113762182672E-5</v>
      </c>
      <c r="V335" t="s">
        <v>159</v>
      </c>
    </row>
    <row r="336" spans="9:22" x14ac:dyDescent="0.45">
      <c r="I336" t="s">
        <v>172</v>
      </c>
      <c r="J336" t="s">
        <v>359</v>
      </c>
      <c r="K336">
        <v>1.8955129369179548E-4</v>
      </c>
      <c r="L336" t="s">
        <v>159</v>
      </c>
      <c r="N336" t="s">
        <v>215</v>
      </c>
      <c r="O336" t="s">
        <v>359</v>
      </c>
      <c r="P336">
        <v>2.3728955746387165E-8</v>
      </c>
      <c r="Q336" t="s">
        <v>159</v>
      </c>
      <c r="S336" t="s">
        <v>257</v>
      </c>
      <c r="T336" t="s">
        <v>359</v>
      </c>
      <c r="U336">
        <v>9.2780652932909836E-5</v>
      </c>
      <c r="V336" t="s">
        <v>159</v>
      </c>
    </row>
    <row r="337" spans="9:22" x14ac:dyDescent="0.45">
      <c r="I337" t="s">
        <v>172</v>
      </c>
      <c r="J337" t="s">
        <v>360</v>
      </c>
      <c r="K337">
        <v>1.6090632582839971E-4</v>
      </c>
      <c r="L337" t="s">
        <v>159</v>
      </c>
      <c r="N337" t="s">
        <v>215</v>
      </c>
      <c r="O337" t="s">
        <v>360</v>
      </c>
      <c r="P337">
        <v>1.6038145976104067E-8</v>
      </c>
      <c r="Q337" t="s">
        <v>159</v>
      </c>
      <c r="S337" t="s">
        <v>257</v>
      </c>
      <c r="T337" t="s">
        <v>360</v>
      </c>
      <c r="U337">
        <v>1.0306709933108807E-4</v>
      </c>
      <c r="V337" t="s">
        <v>159</v>
      </c>
    </row>
    <row r="338" spans="9:22" x14ac:dyDescent="0.45">
      <c r="I338" t="s">
        <v>172</v>
      </c>
      <c r="J338" t="s">
        <v>361</v>
      </c>
      <c r="K338">
        <v>1.5345662736646019E-4</v>
      </c>
      <c r="L338" t="s">
        <v>159</v>
      </c>
      <c r="N338" t="s">
        <v>215</v>
      </c>
      <c r="O338" t="s">
        <v>361</v>
      </c>
      <c r="P338">
        <v>3.8627123225242222E-8</v>
      </c>
      <c r="Q338" t="s">
        <v>159</v>
      </c>
      <c r="S338" t="s">
        <v>257</v>
      </c>
      <c r="T338" t="s">
        <v>361</v>
      </c>
      <c r="U338">
        <v>1.1324696688027534E-4</v>
      </c>
      <c r="V338" t="s">
        <v>159</v>
      </c>
    </row>
    <row r="339" spans="9:22" x14ac:dyDescent="0.45">
      <c r="I339" t="s">
        <v>172</v>
      </c>
      <c r="J339" t="s">
        <v>362</v>
      </c>
      <c r="K339">
        <v>1.4859776150718293E-4</v>
      </c>
      <c r="L339" t="s">
        <v>159</v>
      </c>
      <c r="N339" t="s">
        <v>215</v>
      </c>
      <c r="O339" t="s">
        <v>362</v>
      </c>
      <c r="P339">
        <v>3.1498065178002376E-7</v>
      </c>
      <c r="Q339" t="s">
        <v>159</v>
      </c>
      <c r="S339" t="s">
        <v>257</v>
      </c>
      <c r="T339" t="s">
        <v>362</v>
      </c>
      <c r="U339">
        <v>1.2352053206714843E-4</v>
      </c>
      <c r="V339" t="s">
        <v>159</v>
      </c>
    </row>
    <row r="340" spans="9:22" x14ac:dyDescent="0.45">
      <c r="I340" t="s">
        <v>172</v>
      </c>
      <c r="J340" t="s">
        <v>363</v>
      </c>
      <c r="K340">
        <v>1.0591001526663153E-4</v>
      </c>
      <c r="L340" t="s">
        <v>159</v>
      </c>
      <c r="N340" t="s">
        <v>215</v>
      </c>
      <c r="O340" t="s">
        <v>363</v>
      </c>
      <c r="P340">
        <v>8.8519825262313421E-7</v>
      </c>
      <c r="Q340" t="s">
        <v>159</v>
      </c>
      <c r="S340" t="s">
        <v>257</v>
      </c>
      <c r="T340" t="s">
        <v>363</v>
      </c>
      <c r="U340">
        <v>1.3392530586736064E-4</v>
      </c>
      <c r="V340" t="s">
        <v>159</v>
      </c>
    </row>
    <row r="341" spans="9:22" x14ac:dyDescent="0.45">
      <c r="I341" t="s">
        <v>172</v>
      </c>
      <c r="J341" t="s">
        <v>364</v>
      </c>
      <c r="K341">
        <v>0</v>
      </c>
      <c r="L341" t="s">
        <v>159</v>
      </c>
      <c r="N341" t="s">
        <v>215</v>
      </c>
      <c r="O341" t="s">
        <v>364</v>
      </c>
      <c r="P341">
        <v>9.815027774565072E-7</v>
      </c>
      <c r="Q341" t="s">
        <v>159</v>
      </c>
      <c r="S341" t="s">
        <v>257</v>
      </c>
      <c r="T341" t="s">
        <v>364</v>
      </c>
      <c r="U341">
        <v>1.4972798444477109E-4</v>
      </c>
      <c r="V341" t="s">
        <v>159</v>
      </c>
    </row>
    <row r="342" spans="9:22" x14ac:dyDescent="0.45">
      <c r="I342" t="s">
        <v>172</v>
      </c>
      <c r="J342" t="s">
        <v>365</v>
      </c>
      <c r="K342">
        <v>0</v>
      </c>
      <c r="L342" t="s">
        <v>159</v>
      </c>
      <c r="N342" t="s">
        <v>215</v>
      </c>
      <c r="O342" t="s">
        <v>365</v>
      </c>
      <c r="P342">
        <v>1.1674200141017774E-6</v>
      </c>
      <c r="Q342" t="s">
        <v>159</v>
      </c>
      <c r="S342" t="s">
        <v>257</v>
      </c>
      <c r="T342" t="s">
        <v>365</v>
      </c>
      <c r="U342">
        <v>1.782466593479016E-4</v>
      </c>
      <c r="V342" t="s">
        <v>159</v>
      </c>
    </row>
    <row r="343" spans="9:22" x14ac:dyDescent="0.45">
      <c r="I343" t="s">
        <v>172</v>
      </c>
      <c r="J343" t="s">
        <v>366</v>
      </c>
      <c r="K343">
        <v>0</v>
      </c>
      <c r="L343" t="s">
        <v>159</v>
      </c>
      <c r="N343" t="s">
        <v>215</v>
      </c>
      <c r="O343" t="s">
        <v>366</v>
      </c>
      <c r="P343">
        <v>5.3953300446290272E-7</v>
      </c>
      <c r="Q343" t="s">
        <v>159</v>
      </c>
      <c r="S343" t="s">
        <v>257</v>
      </c>
      <c r="T343" t="s">
        <v>366</v>
      </c>
      <c r="U343">
        <v>1.9958810832025516E-4</v>
      </c>
      <c r="V343" t="s">
        <v>159</v>
      </c>
    </row>
    <row r="344" spans="9:22" x14ac:dyDescent="0.45">
      <c r="I344" t="s">
        <v>172</v>
      </c>
      <c r="J344" t="s">
        <v>367</v>
      </c>
      <c r="K344">
        <v>0</v>
      </c>
      <c r="L344" t="s">
        <v>159</v>
      </c>
      <c r="N344" t="s">
        <v>215</v>
      </c>
      <c r="O344" t="s">
        <v>367</v>
      </c>
      <c r="P344">
        <v>3.4031208343991725E-7</v>
      </c>
      <c r="Q344" t="s">
        <v>159</v>
      </c>
      <c r="S344" t="s">
        <v>257</v>
      </c>
      <c r="T344" t="s">
        <v>367</v>
      </c>
      <c r="U344">
        <v>2.071863288085518E-4</v>
      </c>
      <c r="V344" t="s">
        <v>159</v>
      </c>
    </row>
    <row r="345" spans="9:22" x14ac:dyDescent="0.45">
      <c r="I345" t="s">
        <v>172</v>
      </c>
      <c r="J345" t="s">
        <v>368</v>
      </c>
      <c r="K345">
        <v>0</v>
      </c>
      <c r="L345" t="s">
        <v>159</v>
      </c>
      <c r="N345" t="s">
        <v>215</v>
      </c>
      <c r="O345" t="s">
        <v>368</v>
      </c>
      <c r="P345">
        <v>8.7904164966051361E-7</v>
      </c>
      <c r="Q345" t="s">
        <v>159</v>
      </c>
      <c r="S345" t="s">
        <v>257</v>
      </c>
      <c r="T345" t="s">
        <v>368</v>
      </c>
      <c r="U345">
        <v>2.052195842966598E-4</v>
      </c>
      <c r="V345" t="s">
        <v>159</v>
      </c>
    </row>
    <row r="346" spans="9:22" x14ac:dyDescent="0.45">
      <c r="I346" t="s">
        <v>172</v>
      </c>
      <c r="J346" t="s">
        <v>369</v>
      </c>
      <c r="K346">
        <v>0</v>
      </c>
      <c r="L346" t="s">
        <v>159</v>
      </c>
      <c r="N346" t="s">
        <v>215</v>
      </c>
      <c r="O346" t="s">
        <v>369</v>
      </c>
      <c r="P346">
        <v>1.6059068591345302E-6</v>
      </c>
      <c r="Q346" t="s">
        <v>159</v>
      </c>
      <c r="S346" t="s">
        <v>257</v>
      </c>
      <c r="T346" t="s">
        <v>369</v>
      </c>
      <c r="U346">
        <v>1.8911670529478343E-4</v>
      </c>
      <c r="V346" t="s">
        <v>159</v>
      </c>
    </row>
    <row r="347" spans="9:22" x14ac:dyDescent="0.45">
      <c r="I347" t="s">
        <v>172</v>
      </c>
      <c r="J347" t="s">
        <v>165</v>
      </c>
      <c r="K347">
        <v>0</v>
      </c>
      <c r="L347" t="s">
        <v>159</v>
      </c>
      <c r="N347" t="s">
        <v>215</v>
      </c>
      <c r="O347" t="s">
        <v>165</v>
      </c>
      <c r="P347">
        <v>2.7770390578834771E-2</v>
      </c>
      <c r="Q347" t="s">
        <v>159</v>
      </c>
      <c r="S347" t="s">
        <v>257</v>
      </c>
      <c r="T347" t="s">
        <v>165</v>
      </c>
      <c r="U347">
        <v>2.0250124920527381E-2</v>
      </c>
      <c r="V347" t="s">
        <v>159</v>
      </c>
    </row>
    <row r="348" spans="9:22" x14ac:dyDescent="0.45">
      <c r="I348" t="s">
        <v>172</v>
      </c>
      <c r="J348" t="s">
        <v>166</v>
      </c>
      <c r="K348">
        <v>1.6522641348016352E-3</v>
      </c>
      <c r="L348" t="s">
        <v>159</v>
      </c>
      <c r="N348" t="s">
        <v>215</v>
      </c>
      <c r="O348" t="s">
        <v>166</v>
      </c>
      <c r="P348">
        <v>3.9805670276088648E-3</v>
      </c>
      <c r="Q348" t="s">
        <v>159</v>
      </c>
      <c r="S348" t="s">
        <v>257</v>
      </c>
      <c r="T348" t="s">
        <v>166</v>
      </c>
      <c r="U348">
        <v>2.7566664458202853E-3</v>
      </c>
      <c r="V348" t="s">
        <v>159</v>
      </c>
    </row>
    <row r="349" spans="9:22" x14ac:dyDescent="0.45">
      <c r="I349" t="s">
        <v>172</v>
      </c>
      <c r="J349" t="s">
        <v>167</v>
      </c>
      <c r="K349">
        <v>5.1833591851376683E-2</v>
      </c>
      <c r="L349" t="s">
        <v>159</v>
      </c>
      <c r="N349" t="s">
        <v>215</v>
      </c>
      <c r="O349" t="s">
        <v>167</v>
      </c>
      <c r="P349">
        <v>4.7749609488440758E-2</v>
      </c>
      <c r="Q349" t="s">
        <v>159</v>
      </c>
      <c r="S349" t="s">
        <v>257</v>
      </c>
      <c r="T349" t="s">
        <v>167</v>
      </c>
      <c r="U349">
        <v>2.3169845338420089E-2</v>
      </c>
      <c r="V349" t="s">
        <v>159</v>
      </c>
    </row>
    <row r="350" spans="9:22" x14ac:dyDescent="0.45">
      <c r="I350" t="s">
        <v>172</v>
      </c>
      <c r="J350" t="s">
        <v>291</v>
      </c>
      <c r="K350">
        <v>3.9139215537106215E-3</v>
      </c>
      <c r="L350" t="s">
        <v>159</v>
      </c>
      <c r="N350" t="s">
        <v>215</v>
      </c>
      <c r="O350" t="s">
        <v>291</v>
      </c>
      <c r="P350">
        <v>5.1397130975808485E-3</v>
      </c>
      <c r="Q350" t="s">
        <v>159</v>
      </c>
      <c r="S350" t="s">
        <v>257</v>
      </c>
      <c r="T350" t="s">
        <v>291</v>
      </c>
      <c r="U350">
        <v>3.1079402999174867E-3</v>
      </c>
      <c r="V350" t="s">
        <v>159</v>
      </c>
    </row>
    <row r="351" spans="9:22" x14ac:dyDescent="0.45">
      <c r="I351" t="s">
        <v>172</v>
      </c>
      <c r="J351" t="s">
        <v>292</v>
      </c>
      <c r="K351">
        <v>0</v>
      </c>
      <c r="L351" t="s">
        <v>159</v>
      </c>
      <c r="N351" t="s">
        <v>215</v>
      </c>
      <c r="O351" t="s">
        <v>292</v>
      </c>
      <c r="P351">
        <v>4.8167805917314266E-3</v>
      </c>
      <c r="Q351" t="s">
        <v>159</v>
      </c>
      <c r="S351" t="s">
        <v>257</v>
      </c>
      <c r="T351" t="s">
        <v>292</v>
      </c>
      <c r="U351">
        <v>3.1985925544293159E-3</v>
      </c>
      <c r="V351" t="s">
        <v>159</v>
      </c>
    </row>
    <row r="352" spans="9:22" x14ac:dyDescent="0.45">
      <c r="I352" t="s">
        <v>172</v>
      </c>
      <c r="J352" t="s">
        <v>310</v>
      </c>
      <c r="K352">
        <v>0</v>
      </c>
      <c r="L352" t="s">
        <v>159</v>
      </c>
      <c r="N352" t="s">
        <v>215</v>
      </c>
      <c r="O352" t="s">
        <v>310</v>
      </c>
      <c r="P352">
        <v>2.1493509181117004E-2</v>
      </c>
      <c r="Q352" t="s">
        <v>159</v>
      </c>
      <c r="S352" t="s">
        <v>257</v>
      </c>
      <c r="T352" t="s">
        <v>310</v>
      </c>
      <c r="U352">
        <v>1.5396816912799363E-2</v>
      </c>
      <c r="V352" t="s">
        <v>159</v>
      </c>
    </row>
    <row r="353" spans="9:22" x14ac:dyDescent="0.45">
      <c r="I353" t="s">
        <v>172</v>
      </c>
      <c r="J353" t="s">
        <v>293</v>
      </c>
      <c r="K353">
        <v>0</v>
      </c>
      <c r="L353" t="s">
        <v>159</v>
      </c>
      <c r="N353" t="s">
        <v>215</v>
      </c>
      <c r="O353" t="s">
        <v>293</v>
      </c>
      <c r="P353">
        <v>3.7562800158589074E-3</v>
      </c>
      <c r="Q353" t="s">
        <v>159</v>
      </c>
      <c r="S353" t="s">
        <v>257</v>
      </c>
      <c r="T353" t="s">
        <v>293</v>
      </c>
      <c r="U353">
        <v>5.466700565709237E-3</v>
      </c>
      <c r="V353" t="s">
        <v>159</v>
      </c>
    </row>
    <row r="354" spans="9:22" x14ac:dyDescent="0.45">
      <c r="I354" t="s">
        <v>172</v>
      </c>
      <c r="J354" t="s">
        <v>294</v>
      </c>
      <c r="K354">
        <v>1.0314024814259031E-3</v>
      </c>
      <c r="L354" t="s">
        <v>159</v>
      </c>
      <c r="N354" t="s">
        <v>215</v>
      </c>
      <c r="O354" t="s">
        <v>294</v>
      </c>
      <c r="P354">
        <v>6.5943369099880468E-4</v>
      </c>
      <c r="Q354" t="s">
        <v>159</v>
      </c>
      <c r="S354" t="s">
        <v>257</v>
      </c>
      <c r="T354" t="s">
        <v>294</v>
      </c>
      <c r="U354">
        <v>8.2895482724703348E-4</v>
      </c>
      <c r="V354" t="s">
        <v>159</v>
      </c>
    </row>
    <row r="355" spans="9:22" x14ac:dyDescent="0.45">
      <c r="I355" t="s">
        <v>172</v>
      </c>
      <c r="J355" t="s">
        <v>295</v>
      </c>
      <c r="K355">
        <v>1.4749866613780367E-2</v>
      </c>
      <c r="L355" t="s">
        <v>159</v>
      </c>
      <c r="N355" t="s">
        <v>215</v>
      </c>
      <c r="O355" t="s">
        <v>295</v>
      </c>
      <c r="P355">
        <v>8.7564107321632199E-3</v>
      </c>
      <c r="Q355" t="s">
        <v>159</v>
      </c>
      <c r="S355" t="s">
        <v>257</v>
      </c>
      <c r="T355" t="s">
        <v>295</v>
      </c>
      <c r="U355">
        <v>7.5201607987382627E-3</v>
      </c>
      <c r="V355" t="s">
        <v>159</v>
      </c>
    </row>
    <row r="356" spans="9:22" x14ac:dyDescent="0.45">
      <c r="I356" t="s">
        <v>172</v>
      </c>
      <c r="J356" t="s">
        <v>296</v>
      </c>
      <c r="K356">
        <v>1.2516334730091892E-3</v>
      </c>
      <c r="L356" t="s">
        <v>159</v>
      </c>
      <c r="N356" t="s">
        <v>215</v>
      </c>
      <c r="O356" t="s">
        <v>296</v>
      </c>
      <c r="P356">
        <v>9.5934605151771102E-4</v>
      </c>
      <c r="Q356" t="s">
        <v>159</v>
      </c>
      <c r="S356" t="s">
        <v>257</v>
      </c>
      <c r="T356" t="s">
        <v>296</v>
      </c>
      <c r="U356">
        <v>9.6233726960158375E-4</v>
      </c>
      <c r="V356" t="s">
        <v>159</v>
      </c>
    </row>
    <row r="357" spans="9:22" x14ac:dyDescent="0.45">
      <c r="I357" t="s">
        <v>172</v>
      </c>
      <c r="J357" t="s">
        <v>297</v>
      </c>
      <c r="K357">
        <v>0</v>
      </c>
      <c r="L357" t="s">
        <v>159</v>
      </c>
      <c r="N357" t="s">
        <v>215</v>
      </c>
      <c r="O357" t="s">
        <v>297</v>
      </c>
      <c r="P357">
        <v>8.8994851782616552E-4</v>
      </c>
      <c r="Q357" t="s">
        <v>159</v>
      </c>
      <c r="S357" t="s">
        <v>257</v>
      </c>
      <c r="T357" t="s">
        <v>297</v>
      </c>
      <c r="U357">
        <v>9.3895191488394068E-4</v>
      </c>
      <c r="V357" t="s">
        <v>159</v>
      </c>
    </row>
    <row r="358" spans="9:22" x14ac:dyDescent="0.45">
      <c r="I358" t="s">
        <v>172</v>
      </c>
      <c r="J358" t="s">
        <v>311</v>
      </c>
      <c r="K358">
        <v>0</v>
      </c>
      <c r="L358" t="s">
        <v>159</v>
      </c>
      <c r="N358" t="s">
        <v>215</v>
      </c>
      <c r="O358" t="s">
        <v>311</v>
      </c>
      <c r="P358">
        <v>3.2858518106443036E-3</v>
      </c>
      <c r="Q358" t="s">
        <v>159</v>
      </c>
      <c r="S358" t="s">
        <v>257</v>
      </c>
      <c r="T358" t="s">
        <v>311</v>
      </c>
      <c r="U358">
        <v>3.9127978709670094E-3</v>
      </c>
      <c r="V358" t="s">
        <v>159</v>
      </c>
    </row>
    <row r="359" spans="9:22" x14ac:dyDescent="0.45">
      <c r="I359" t="s">
        <v>172</v>
      </c>
      <c r="J359" t="s">
        <v>298</v>
      </c>
      <c r="K359">
        <v>1.0492320991466211E-2</v>
      </c>
      <c r="L359" t="s">
        <v>159</v>
      </c>
      <c r="N359" t="s">
        <v>215</v>
      </c>
      <c r="O359" t="s">
        <v>298</v>
      </c>
      <c r="P359">
        <v>5.7167773935195662E-2</v>
      </c>
      <c r="Q359" t="s">
        <v>159</v>
      </c>
      <c r="S359" t="s">
        <v>257</v>
      </c>
      <c r="T359" t="s">
        <v>298</v>
      </c>
      <c r="U359">
        <v>7.8392673334626739E-2</v>
      </c>
      <c r="V359" t="s">
        <v>159</v>
      </c>
    </row>
    <row r="360" spans="9:22" x14ac:dyDescent="0.45">
      <c r="I360" t="s">
        <v>172</v>
      </c>
      <c r="J360" t="s">
        <v>299</v>
      </c>
      <c r="K360">
        <v>2.0750915834556637E-2</v>
      </c>
      <c r="L360" t="s">
        <v>159</v>
      </c>
      <c r="N360" t="s">
        <v>215</v>
      </c>
      <c r="O360" t="s">
        <v>299</v>
      </c>
      <c r="P360">
        <v>7.5274959543675385E-3</v>
      </c>
      <c r="Q360" t="s">
        <v>159</v>
      </c>
      <c r="S360" t="s">
        <v>257</v>
      </c>
      <c r="T360" t="s">
        <v>299</v>
      </c>
      <c r="U360">
        <v>1.0241598687035919E-2</v>
      </c>
      <c r="V360" t="s">
        <v>159</v>
      </c>
    </row>
    <row r="361" spans="9:22" x14ac:dyDescent="0.45">
      <c r="I361" t="s">
        <v>172</v>
      </c>
      <c r="J361" t="s">
        <v>300</v>
      </c>
      <c r="K361">
        <v>0.24239728892561455</v>
      </c>
      <c r="L361" t="s">
        <v>159</v>
      </c>
      <c r="N361" t="s">
        <v>215</v>
      </c>
      <c r="O361" t="s">
        <v>300</v>
      </c>
      <c r="P361">
        <v>0.10457155971906329</v>
      </c>
      <c r="Q361" t="s">
        <v>159</v>
      </c>
      <c r="S361" t="s">
        <v>257</v>
      </c>
      <c r="T361" t="s">
        <v>300</v>
      </c>
      <c r="U361">
        <v>0.10308535092460148</v>
      </c>
      <c r="V361" t="s">
        <v>159</v>
      </c>
    </row>
    <row r="362" spans="9:22" x14ac:dyDescent="0.45">
      <c r="I362" t="s">
        <v>172</v>
      </c>
      <c r="J362" t="s">
        <v>301</v>
      </c>
      <c r="K362">
        <v>2.093982404070132E-2</v>
      </c>
      <c r="L362" t="s">
        <v>159</v>
      </c>
      <c r="N362" t="s">
        <v>215</v>
      </c>
      <c r="O362" t="s">
        <v>301</v>
      </c>
      <c r="P362">
        <v>1.5166360899581368E-2</v>
      </c>
      <c r="Q362" t="s">
        <v>159</v>
      </c>
      <c r="S362" t="s">
        <v>257</v>
      </c>
      <c r="T362" t="s">
        <v>301</v>
      </c>
      <c r="U362">
        <v>1.410732329650829E-2</v>
      </c>
      <c r="V362" t="s">
        <v>159</v>
      </c>
    </row>
    <row r="363" spans="9:22" x14ac:dyDescent="0.45">
      <c r="I363" t="s">
        <v>172</v>
      </c>
      <c r="J363" t="s">
        <v>302</v>
      </c>
      <c r="K363">
        <v>1.1123841382767318E-2</v>
      </c>
      <c r="L363" t="s">
        <v>159</v>
      </c>
      <c r="N363" t="s">
        <v>215</v>
      </c>
      <c r="O363" t="s">
        <v>302</v>
      </c>
      <c r="P363">
        <v>1.5519435707096818E-2</v>
      </c>
      <c r="Q363" t="s">
        <v>159</v>
      </c>
      <c r="S363" t="s">
        <v>257</v>
      </c>
      <c r="T363" t="s">
        <v>302</v>
      </c>
      <c r="U363">
        <v>1.3953628527373186E-2</v>
      </c>
      <c r="V363" t="s">
        <v>159</v>
      </c>
    </row>
    <row r="364" spans="9:22" x14ac:dyDescent="0.45">
      <c r="I364" t="s">
        <v>172</v>
      </c>
      <c r="J364" t="s">
        <v>312</v>
      </c>
      <c r="K364">
        <v>0</v>
      </c>
      <c r="L364" t="s">
        <v>159</v>
      </c>
      <c r="N364" t="s">
        <v>215</v>
      </c>
      <c r="O364" t="s">
        <v>312</v>
      </c>
      <c r="P364">
        <v>6.3358105274425758E-2</v>
      </c>
      <c r="Q364" t="s">
        <v>159</v>
      </c>
      <c r="S364" t="s">
        <v>257</v>
      </c>
      <c r="T364" t="s">
        <v>312</v>
      </c>
      <c r="U364">
        <v>6.262784310889323E-2</v>
      </c>
      <c r="V364" t="s">
        <v>159</v>
      </c>
    </row>
    <row r="365" spans="9:22" x14ac:dyDescent="0.45">
      <c r="I365" t="s">
        <v>172</v>
      </c>
      <c r="J365" t="s">
        <v>313</v>
      </c>
      <c r="K365">
        <v>5.2030218499125123E-3</v>
      </c>
      <c r="L365" t="s">
        <v>159</v>
      </c>
      <c r="N365" t="s">
        <v>215</v>
      </c>
      <c r="O365" t="s">
        <v>313</v>
      </c>
      <c r="P365">
        <v>1.1921280945424557E-2</v>
      </c>
      <c r="Q365" t="s">
        <v>159</v>
      </c>
      <c r="S365" t="s">
        <v>257</v>
      </c>
      <c r="T365" t="s">
        <v>313</v>
      </c>
      <c r="U365">
        <v>2.1026489131624467E-2</v>
      </c>
      <c r="V365" t="s">
        <v>159</v>
      </c>
    </row>
    <row r="366" spans="9:22" x14ac:dyDescent="0.45">
      <c r="I366" t="s">
        <v>172</v>
      </c>
      <c r="J366" t="s">
        <v>314</v>
      </c>
      <c r="K366">
        <v>7.7694814497884556E-3</v>
      </c>
      <c r="L366" t="s">
        <v>159</v>
      </c>
      <c r="N366" t="s">
        <v>215</v>
      </c>
      <c r="O366" t="s">
        <v>314</v>
      </c>
      <c r="P366">
        <v>1.1894596780738114E-3</v>
      </c>
      <c r="Q366" t="s">
        <v>159</v>
      </c>
      <c r="S366" t="s">
        <v>257</v>
      </c>
      <c r="T366" t="s">
        <v>314</v>
      </c>
      <c r="U366">
        <v>2.6991350791569536E-3</v>
      </c>
      <c r="V366" t="s">
        <v>159</v>
      </c>
    </row>
    <row r="367" spans="9:22" x14ac:dyDescent="0.45">
      <c r="I367" t="s">
        <v>172</v>
      </c>
      <c r="J367" t="s">
        <v>315</v>
      </c>
      <c r="K367">
        <v>8.0544010464158586E-2</v>
      </c>
      <c r="L367" t="s">
        <v>159</v>
      </c>
      <c r="N367" t="s">
        <v>215</v>
      </c>
      <c r="O367" t="s">
        <v>315</v>
      </c>
      <c r="P367">
        <v>1.815893786658607E-2</v>
      </c>
      <c r="Q367" t="s">
        <v>159</v>
      </c>
      <c r="S367" t="s">
        <v>257</v>
      </c>
      <c r="T367" t="s">
        <v>315</v>
      </c>
      <c r="U367">
        <v>3.0044102284173098E-2</v>
      </c>
      <c r="V367" t="s">
        <v>159</v>
      </c>
    </row>
    <row r="368" spans="9:22" x14ac:dyDescent="0.45">
      <c r="I368" t="s">
        <v>172</v>
      </c>
      <c r="J368" t="s">
        <v>316</v>
      </c>
      <c r="K368">
        <v>6.8765839082076882E-3</v>
      </c>
      <c r="L368" t="s">
        <v>159</v>
      </c>
      <c r="N368" t="s">
        <v>215</v>
      </c>
      <c r="O368" t="s">
        <v>316</v>
      </c>
      <c r="P368">
        <v>4.7744376498719196E-3</v>
      </c>
      <c r="Q368" t="s">
        <v>159</v>
      </c>
      <c r="S368" t="s">
        <v>257</v>
      </c>
      <c r="T368" t="s">
        <v>316</v>
      </c>
      <c r="U368">
        <v>4.2837402560222549E-3</v>
      </c>
      <c r="V368" t="s">
        <v>159</v>
      </c>
    </row>
    <row r="369" spans="9:22" x14ac:dyDescent="0.45">
      <c r="I369" t="s">
        <v>172</v>
      </c>
      <c r="J369" t="s">
        <v>317</v>
      </c>
      <c r="K369">
        <v>5.0663864167644138E-3</v>
      </c>
      <c r="L369" t="s">
        <v>159</v>
      </c>
      <c r="N369" t="s">
        <v>215</v>
      </c>
      <c r="O369" t="s">
        <v>317</v>
      </c>
      <c r="P369">
        <v>5.8343720231402978E-3</v>
      </c>
      <c r="Q369" t="s">
        <v>159</v>
      </c>
      <c r="S369" t="s">
        <v>257</v>
      </c>
      <c r="T369" t="s">
        <v>317</v>
      </c>
      <c r="U369">
        <v>4.2765181742471115E-3</v>
      </c>
      <c r="V369" t="s">
        <v>159</v>
      </c>
    </row>
    <row r="370" spans="9:22" x14ac:dyDescent="0.45">
      <c r="I370" t="s">
        <v>172</v>
      </c>
      <c r="J370" t="s">
        <v>318</v>
      </c>
      <c r="K370">
        <v>1.6794445008047677E-3</v>
      </c>
      <c r="L370" t="s">
        <v>159</v>
      </c>
      <c r="N370" t="s">
        <v>215</v>
      </c>
      <c r="O370" t="s">
        <v>318</v>
      </c>
      <c r="P370">
        <v>2.4577950642434537E-2</v>
      </c>
      <c r="Q370" t="s">
        <v>159</v>
      </c>
      <c r="S370" t="s">
        <v>257</v>
      </c>
      <c r="T370" t="s">
        <v>318</v>
      </c>
      <c r="U370">
        <v>1.9524615365589137E-2</v>
      </c>
      <c r="V370" t="s">
        <v>159</v>
      </c>
    </row>
    <row r="371" spans="9:22" x14ac:dyDescent="0.45">
      <c r="I371" t="s">
        <v>173</v>
      </c>
      <c r="J371" t="s">
        <v>158</v>
      </c>
      <c r="K371">
        <v>9.8169743692247367E-3</v>
      </c>
      <c r="L371" t="s">
        <v>159</v>
      </c>
      <c r="N371" t="s">
        <v>216</v>
      </c>
      <c r="O371" t="s">
        <v>158</v>
      </c>
      <c r="P371">
        <v>7.0120405513549505E-2</v>
      </c>
      <c r="Q371" t="s">
        <v>159</v>
      </c>
      <c r="S371" t="s">
        <v>258</v>
      </c>
      <c r="T371" t="s">
        <v>158</v>
      </c>
      <c r="U371">
        <v>0.11987503161247724</v>
      </c>
      <c r="V371" t="s">
        <v>159</v>
      </c>
    </row>
    <row r="372" spans="9:22" x14ac:dyDescent="0.45">
      <c r="I372" t="s">
        <v>173</v>
      </c>
      <c r="J372" t="s">
        <v>160</v>
      </c>
      <c r="K372">
        <v>2.9536387177250715E-2</v>
      </c>
      <c r="L372" t="s">
        <v>159</v>
      </c>
      <c r="N372" t="s">
        <v>216</v>
      </c>
      <c r="O372" t="s">
        <v>160</v>
      </c>
      <c r="P372">
        <v>1.0284566497653047E-2</v>
      </c>
      <c r="Q372" t="s">
        <v>159</v>
      </c>
      <c r="S372" t="s">
        <v>258</v>
      </c>
      <c r="T372" t="s">
        <v>160</v>
      </c>
      <c r="U372">
        <v>1.6961202095763933E-2</v>
      </c>
      <c r="V372" t="s">
        <v>159</v>
      </c>
    </row>
    <row r="373" spans="9:22" x14ac:dyDescent="0.45">
      <c r="I373" t="s">
        <v>173</v>
      </c>
      <c r="J373" t="s">
        <v>161</v>
      </c>
      <c r="K373">
        <v>0.37682727320210951</v>
      </c>
      <c r="L373" t="s">
        <v>159</v>
      </c>
      <c r="N373" t="s">
        <v>216</v>
      </c>
      <c r="O373" t="s">
        <v>161</v>
      </c>
      <c r="P373">
        <v>0.1827199999924089</v>
      </c>
      <c r="Q373" t="s">
        <v>159</v>
      </c>
      <c r="S373" t="s">
        <v>258</v>
      </c>
      <c r="T373" t="s">
        <v>161</v>
      </c>
      <c r="U373">
        <v>0.16801555388785086</v>
      </c>
      <c r="V373" t="s">
        <v>159</v>
      </c>
    </row>
    <row r="374" spans="9:22" x14ac:dyDescent="0.45">
      <c r="I374" t="s">
        <v>173</v>
      </c>
      <c r="J374" t="s">
        <v>287</v>
      </c>
      <c r="K374">
        <v>3.2220725618908791E-2</v>
      </c>
      <c r="L374" t="s">
        <v>159</v>
      </c>
      <c r="N374" t="s">
        <v>216</v>
      </c>
      <c r="O374" t="s">
        <v>287</v>
      </c>
      <c r="P374">
        <v>1.7795233809089445E-2</v>
      </c>
      <c r="Q374" t="s">
        <v>159</v>
      </c>
      <c r="S374" t="s">
        <v>258</v>
      </c>
      <c r="T374" t="s">
        <v>287</v>
      </c>
      <c r="U374">
        <v>2.1221994738582065E-2</v>
      </c>
      <c r="V374" t="s">
        <v>159</v>
      </c>
    </row>
    <row r="375" spans="9:22" x14ac:dyDescent="0.45">
      <c r="I375" t="s">
        <v>173</v>
      </c>
      <c r="J375" t="s">
        <v>288</v>
      </c>
      <c r="K375">
        <v>1.6856423572495734E-2</v>
      </c>
      <c r="L375" t="s">
        <v>159</v>
      </c>
      <c r="N375" t="s">
        <v>216</v>
      </c>
      <c r="O375" t="s">
        <v>288</v>
      </c>
      <c r="P375">
        <v>1.3747520799176948E-2</v>
      </c>
      <c r="Q375" t="s">
        <v>159</v>
      </c>
      <c r="S375" t="s">
        <v>258</v>
      </c>
      <c r="T375" t="s">
        <v>288</v>
      </c>
      <c r="U375">
        <v>2.0851021218454953E-2</v>
      </c>
      <c r="V375" t="s">
        <v>159</v>
      </c>
    </row>
    <row r="376" spans="9:22" x14ac:dyDescent="0.45">
      <c r="I376" t="s">
        <v>173</v>
      </c>
      <c r="J376" t="s">
        <v>308</v>
      </c>
      <c r="K376">
        <v>4.0158622202361854E-3</v>
      </c>
      <c r="L376" t="s">
        <v>159</v>
      </c>
      <c r="N376" t="s">
        <v>216</v>
      </c>
      <c r="O376" t="s">
        <v>308</v>
      </c>
      <c r="P376">
        <v>5.3432769494075938E-2</v>
      </c>
      <c r="Q376" t="s">
        <v>159</v>
      </c>
      <c r="S376" t="s">
        <v>258</v>
      </c>
      <c r="T376" t="s">
        <v>308</v>
      </c>
      <c r="U376">
        <v>9.481475727402848E-2</v>
      </c>
      <c r="V376" t="s">
        <v>159</v>
      </c>
    </row>
    <row r="377" spans="9:22" x14ac:dyDescent="0.45">
      <c r="I377" t="s">
        <v>173</v>
      </c>
      <c r="J377" t="s">
        <v>162</v>
      </c>
      <c r="K377">
        <v>0</v>
      </c>
      <c r="L377" t="s">
        <v>159</v>
      </c>
      <c r="N377" t="s">
        <v>216</v>
      </c>
      <c r="O377" t="s">
        <v>162</v>
      </c>
      <c r="P377">
        <v>1.6524877042656583E-2</v>
      </c>
      <c r="Q377" t="s">
        <v>159</v>
      </c>
      <c r="S377" t="s">
        <v>258</v>
      </c>
      <c r="T377" t="s">
        <v>162</v>
      </c>
      <c r="U377">
        <v>2.5187452471655068E-2</v>
      </c>
      <c r="V377" t="s">
        <v>159</v>
      </c>
    </row>
    <row r="378" spans="9:22" x14ac:dyDescent="0.45">
      <c r="I378" t="s">
        <v>173</v>
      </c>
      <c r="J378" t="s">
        <v>163</v>
      </c>
      <c r="K378">
        <v>0</v>
      </c>
      <c r="L378" t="s">
        <v>159</v>
      </c>
      <c r="N378" t="s">
        <v>216</v>
      </c>
      <c r="O378" t="s">
        <v>163</v>
      </c>
      <c r="P378">
        <v>1.9103379736856313E-3</v>
      </c>
      <c r="Q378" t="s">
        <v>159</v>
      </c>
      <c r="S378" t="s">
        <v>258</v>
      </c>
      <c r="T378" t="s">
        <v>163</v>
      </c>
      <c r="U378">
        <v>3.5254866841245196E-3</v>
      </c>
      <c r="V378" t="s">
        <v>159</v>
      </c>
    </row>
    <row r="379" spans="9:22" x14ac:dyDescent="0.45">
      <c r="I379" t="s">
        <v>173</v>
      </c>
      <c r="J379" t="s">
        <v>164</v>
      </c>
      <c r="K379">
        <v>3.759668229598323E-2</v>
      </c>
      <c r="L379" t="s">
        <v>159</v>
      </c>
      <c r="N379" t="s">
        <v>216</v>
      </c>
      <c r="O379" t="s">
        <v>164</v>
      </c>
      <c r="P379">
        <v>4.20728834817388E-2</v>
      </c>
      <c r="Q379" t="s">
        <v>159</v>
      </c>
      <c r="S379" t="s">
        <v>258</v>
      </c>
      <c r="T379" t="s">
        <v>164</v>
      </c>
      <c r="U379">
        <v>2.7932581386707084E-2</v>
      </c>
      <c r="V379" t="s">
        <v>159</v>
      </c>
    </row>
    <row r="380" spans="9:22" x14ac:dyDescent="0.45">
      <c r="I380" t="s">
        <v>173</v>
      </c>
      <c r="J380" t="s">
        <v>289</v>
      </c>
      <c r="K380">
        <v>3.0676911337956946E-3</v>
      </c>
      <c r="L380" t="s">
        <v>159</v>
      </c>
      <c r="N380" t="s">
        <v>216</v>
      </c>
      <c r="O380" t="s">
        <v>289</v>
      </c>
      <c r="P380">
        <v>3.363058514564918E-3</v>
      </c>
      <c r="Q380" t="s">
        <v>159</v>
      </c>
      <c r="S380" t="s">
        <v>258</v>
      </c>
      <c r="T380" t="s">
        <v>289</v>
      </c>
      <c r="U380">
        <v>3.4505300761104177E-3</v>
      </c>
      <c r="V380" t="s">
        <v>159</v>
      </c>
    </row>
    <row r="381" spans="9:22" x14ac:dyDescent="0.45">
      <c r="I381" t="s">
        <v>173</v>
      </c>
      <c r="J381" t="s">
        <v>290</v>
      </c>
      <c r="K381">
        <v>0</v>
      </c>
      <c r="L381" t="s">
        <v>159</v>
      </c>
      <c r="N381" t="s">
        <v>216</v>
      </c>
      <c r="O381" t="s">
        <v>290</v>
      </c>
      <c r="P381">
        <v>2.3866162717139389E-3</v>
      </c>
      <c r="Q381" t="s">
        <v>159</v>
      </c>
      <c r="S381" t="s">
        <v>258</v>
      </c>
      <c r="T381" t="s">
        <v>290</v>
      </c>
      <c r="U381">
        <v>3.4720722669349018E-3</v>
      </c>
      <c r="V381" t="s">
        <v>159</v>
      </c>
    </row>
    <row r="382" spans="9:22" x14ac:dyDescent="0.45">
      <c r="I382" t="s">
        <v>173</v>
      </c>
      <c r="J382" t="s">
        <v>309</v>
      </c>
      <c r="K382">
        <v>0</v>
      </c>
      <c r="L382" t="s">
        <v>159</v>
      </c>
      <c r="N382" t="s">
        <v>216</v>
      </c>
      <c r="O382" t="s">
        <v>309</v>
      </c>
      <c r="P382">
        <v>9.7481571092907244E-3</v>
      </c>
      <c r="Q382" t="s">
        <v>159</v>
      </c>
      <c r="S382" t="s">
        <v>258</v>
      </c>
      <c r="T382" t="s">
        <v>309</v>
      </c>
      <c r="U382">
        <v>1.6426434759775552E-2</v>
      </c>
      <c r="V382" t="s">
        <v>159</v>
      </c>
    </row>
    <row r="383" spans="9:22" x14ac:dyDescent="0.45">
      <c r="I383" t="s">
        <v>173</v>
      </c>
      <c r="J383" t="s">
        <v>346</v>
      </c>
      <c r="K383">
        <v>0</v>
      </c>
      <c r="L383" t="s">
        <v>159</v>
      </c>
      <c r="N383" t="s">
        <v>216</v>
      </c>
      <c r="O383" t="s">
        <v>346</v>
      </c>
      <c r="P383">
        <v>6.5367887056969351E-6</v>
      </c>
      <c r="Q383" t="s">
        <v>159</v>
      </c>
      <c r="S383" t="s">
        <v>258</v>
      </c>
      <c r="T383" t="s">
        <v>346</v>
      </c>
      <c r="U383">
        <v>4.8156754692848667E-6</v>
      </c>
      <c r="V383" t="s">
        <v>159</v>
      </c>
    </row>
    <row r="384" spans="9:22" x14ac:dyDescent="0.45">
      <c r="I384" t="s">
        <v>173</v>
      </c>
      <c r="J384" t="s">
        <v>347</v>
      </c>
      <c r="K384">
        <v>0</v>
      </c>
      <c r="L384" t="s">
        <v>159</v>
      </c>
      <c r="N384" t="s">
        <v>216</v>
      </c>
      <c r="O384" t="s">
        <v>347</v>
      </c>
      <c r="P384">
        <v>2.5410611760839417E-6</v>
      </c>
      <c r="Q384" t="s">
        <v>159</v>
      </c>
      <c r="S384" t="s">
        <v>258</v>
      </c>
      <c r="T384" t="s">
        <v>347</v>
      </c>
      <c r="U384">
        <v>4.9424255730059172E-6</v>
      </c>
      <c r="V384" t="s">
        <v>159</v>
      </c>
    </row>
    <row r="385" spans="9:22" x14ac:dyDescent="0.45">
      <c r="I385" t="s">
        <v>173</v>
      </c>
      <c r="J385" t="s">
        <v>348</v>
      </c>
      <c r="K385">
        <v>0</v>
      </c>
      <c r="L385" t="s">
        <v>159</v>
      </c>
      <c r="N385" t="s">
        <v>216</v>
      </c>
      <c r="O385" t="s">
        <v>348</v>
      </c>
      <c r="P385">
        <v>2.4370985204155451E-6</v>
      </c>
      <c r="Q385" t="s">
        <v>159</v>
      </c>
      <c r="S385" t="s">
        <v>258</v>
      </c>
      <c r="T385" t="s">
        <v>348</v>
      </c>
      <c r="U385">
        <v>6.7526149361456002E-6</v>
      </c>
      <c r="V385" t="s">
        <v>159</v>
      </c>
    </row>
    <row r="386" spans="9:22" x14ac:dyDescent="0.45">
      <c r="I386" t="s">
        <v>173</v>
      </c>
      <c r="J386" t="s">
        <v>349</v>
      </c>
      <c r="K386">
        <v>0</v>
      </c>
      <c r="L386" t="s">
        <v>159</v>
      </c>
      <c r="N386" t="s">
        <v>216</v>
      </c>
      <c r="O386" t="s">
        <v>349</v>
      </c>
      <c r="P386">
        <v>3.0516348870084243E-6</v>
      </c>
      <c r="Q386" t="s">
        <v>159</v>
      </c>
      <c r="S386" t="s">
        <v>258</v>
      </c>
      <c r="T386" t="s">
        <v>349</v>
      </c>
      <c r="U386">
        <v>8.8868374296960285E-6</v>
      </c>
      <c r="V386" t="s">
        <v>159</v>
      </c>
    </row>
    <row r="387" spans="9:22" x14ac:dyDescent="0.45">
      <c r="I387" t="s">
        <v>173</v>
      </c>
      <c r="J387" t="s">
        <v>350</v>
      </c>
      <c r="K387">
        <v>0</v>
      </c>
      <c r="L387" t="s">
        <v>159</v>
      </c>
      <c r="N387" t="s">
        <v>216</v>
      </c>
      <c r="O387" t="s">
        <v>350</v>
      </c>
      <c r="P387">
        <v>5.9985798791630395E-6</v>
      </c>
      <c r="Q387" t="s">
        <v>159</v>
      </c>
      <c r="S387" t="s">
        <v>258</v>
      </c>
      <c r="T387" t="s">
        <v>350</v>
      </c>
      <c r="U387">
        <v>1.3327630976819298E-5</v>
      </c>
      <c r="V387" t="s">
        <v>159</v>
      </c>
    </row>
    <row r="388" spans="9:22" x14ac:dyDescent="0.45">
      <c r="I388" t="s">
        <v>173</v>
      </c>
      <c r="J388" t="s">
        <v>351</v>
      </c>
      <c r="K388">
        <v>0</v>
      </c>
      <c r="L388" t="s">
        <v>159</v>
      </c>
      <c r="N388" t="s">
        <v>216</v>
      </c>
      <c r="O388" t="s">
        <v>351</v>
      </c>
      <c r="P388">
        <v>1.1437126744257424E-5</v>
      </c>
      <c r="Q388" t="s">
        <v>159</v>
      </c>
      <c r="S388" t="s">
        <v>258</v>
      </c>
      <c r="T388" t="s">
        <v>351</v>
      </c>
      <c r="U388">
        <v>1.9320042729691643E-5</v>
      </c>
      <c r="V388" t="s">
        <v>159</v>
      </c>
    </row>
    <row r="389" spans="9:22" x14ac:dyDescent="0.45">
      <c r="I389" t="s">
        <v>173</v>
      </c>
      <c r="J389" t="s">
        <v>352</v>
      </c>
      <c r="K389">
        <v>0</v>
      </c>
      <c r="L389" t="s">
        <v>159</v>
      </c>
      <c r="N389" t="s">
        <v>216</v>
      </c>
      <c r="O389" t="s">
        <v>352</v>
      </c>
      <c r="P389">
        <v>1.8044058010363103E-5</v>
      </c>
      <c r="Q389" t="s">
        <v>159</v>
      </c>
      <c r="S389" t="s">
        <v>258</v>
      </c>
      <c r="T389" t="s">
        <v>352</v>
      </c>
      <c r="U389">
        <v>2.4811394039541309E-5</v>
      </c>
      <c r="V389" t="s">
        <v>159</v>
      </c>
    </row>
    <row r="390" spans="9:22" x14ac:dyDescent="0.45">
      <c r="I390" t="s">
        <v>173</v>
      </c>
      <c r="J390" t="s">
        <v>353</v>
      </c>
      <c r="K390">
        <v>0</v>
      </c>
      <c r="L390" t="s">
        <v>159</v>
      </c>
      <c r="N390" t="s">
        <v>216</v>
      </c>
      <c r="O390" t="s">
        <v>353</v>
      </c>
      <c r="P390">
        <v>2.6166794761011898E-5</v>
      </c>
      <c r="Q390" t="s">
        <v>159</v>
      </c>
      <c r="S390" t="s">
        <v>258</v>
      </c>
      <c r="T390" t="s">
        <v>353</v>
      </c>
      <c r="U390">
        <v>3.3056935040500414E-5</v>
      </c>
      <c r="V390" t="s">
        <v>159</v>
      </c>
    </row>
    <row r="391" spans="9:22" x14ac:dyDescent="0.45">
      <c r="I391" t="s">
        <v>173</v>
      </c>
      <c r="J391" t="s">
        <v>354</v>
      </c>
      <c r="K391">
        <v>1.6431075485641501E-4</v>
      </c>
      <c r="L391" t="s">
        <v>159</v>
      </c>
      <c r="N391" t="s">
        <v>216</v>
      </c>
      <c r="O391" t="s">
        <v>354</v>
      </c>
      <c r="P391">
        <v>2.8194821494285396E-5</v>
      </c>
      <c r="Q391" t="s">
        <v>159</v>
      </c>
      <c r="S391" t="s">
        <v>258</v>
      </c>
      <c r="T391" t="s">
        <v>354</v>
      </c>
      <c r="U391">
        <v>3.9038263640831315E-5</v>
      </c>
      <c r="V391" t="s">
        <v>159</v>
      </c>
    </row>
    <row r="392" spans="9:22" x14ac:dyDescent="0.45">
      <c r="I392" t="s">
        <v>173</v>
      </c>
      <c r="J392" t="s">
        <v>355</v>
      </c>
      <c r="K392">
        <v>1.7342558474068605E-4</v>
      </c>
      <c r="L392" t="s">
        <v>159</v>
      </c>
      <c r="N392" t="s">
        <v>216</v>
      </c>
      <c r="O392" t="s">
        <v>355</v>
      </c>
      <c r="P392">
        <v>2.522655695269534E-5</v>
      </c>
      <c r="Q392" t="s">
        <v>159</v>
      </c>
      <c r="S392" t="s">
        <v>258</v>
      </c>
      <c r="T392" t="s">
        <v>355</v>
      </c>
      <c r="U392">
        <v>4.0023409103217834E-5</v>
      </c>
      <c r="V392" t="s">
        <v>159</v>
      </c>
    </row>
    <row r="393" spans="9:22" x14ac:dyDescent="0.45">
      <c r="I393" t="s">
        <v>173</v>
      </c>
      <c r="J393" t="s">
        <v>356</v>
      </c>
      <c r="K393">
        <v>1.5894309939348353E-4</v>
      </c>
      <c r="L393" t="s">
        <v>159</v>
      </c>
      <c r="N393" t="s">
        <v>216</v>
      </c>
      <c r="O393" t="s">
        <v>356</v>
      </c>
      <c r="P393">
        <v>7.2791428830279226E-6</v>
      </c>
      <c r="Q393" t="s">
        <v>159</v>
      </c>
      <c r="S393" t="s">
        <v>258</v>
      </c>
      <c r="T393" t="s">
        <v>356</v>
      </c>
      <c r="U393">
        <v>3.4187211704465173E-5</v>
      </c>
      <c r="V393" t="s">
        <v>159</v>
      </c>
    </row>
    <row r="394" spans="9:22" x14ac:dyDescent="0.45">
      <c r="I394" t="s">
        <v>173</v>
      </c>
      <c r="J394" t="s">
        <v>357</v>
      </c>
      <c r="K394">
        <v>1.6845140614947182E-4</v>
      </c>
      <c r="L394" t="s">
        <v>159</v>
      </c>
      <c r="N394" t="s">
        <v>216</v>
      </c>
      <c r="O394" t="s">
        <v>357</v>
      </c>
      <c r="P394">
        <v>4.3625075588315511E-5</v>
      </c>
      <c r="Q394" t="s">
        <v>159</v>
      </c>
      <c r="S394" t="s">
        <v>258</v>
      </c>
      <c r="T394" t="s">
        <v>357</v>
      </c>
      <c r="U394">
        <v>3.1553265116099912E-5</v>
      </c>
      <c r="V394" t="s">
        <v>159</v>
      </c>
    </row>
    <row r="395" spans="9:22" x14ac:dyDescent="0.45">
      <c r="I395" t="s">
        <v>173</v>
      </c>
      <c r="J395" t="s">
        <v>358</v>
      </c>
      <c r="K395">
        <v>2.132970168650679E-4</v>
      </c>
      <c r="L395" t="s">
        <v>159</v>
      </c>
      <c r="N395" t="s">
        <v>216</v>
      </c>
      <c r="O395" t="s">
        <v>358</v>
      </c>
      <c r="P395">
        <v>6.8110535248043773E-5</v>
      </c>
      <c r="Q395" t="s">
        <v>159</v>
      </c>
      <c r="S395" t="s">
        <v>258</v>
      </c>
      <c r="T395" t="s">
        <v>358</v>
      </c>
      <c r="U395">
        <v>2.6683340308011241E-5</v>
      </c>
      <c r="V395" t="s">
        <v>159</v>
      </c>
    </row>
    <row r="396" spans="9:22" x14ac:dyDescent="0.45">
      <c r="I396" t="s">
        <v>173</v>
      </c>
      <c r="J396" t="s">
        <v>359</v>
      </c>
      <c r="K396">
        <v>1.8181517827761548E-4</v>
      </c>
      <c r="L396" t="s">
        <v>159</v>
      </c>
      <c r="N396" t="s">
        <v>216</v>
      </c>
      <c r="O396" t="s">
        <v>359</v>
      </c>
      <c r="P396">
        <v>4.8944253147904532E-5</v>
      </c>
      <c r="Q396" t="s">
        <v>159</v>
      </c>
      <c r="S396" t="s">
        <v>258</v>
      </c>
      <c r="T396" t="s">
        <v>359</v>
      </c>
      <c r="U396">
        <v>2.3946435587659621E-5</v>
      </c>
      <c r="V396" t="s">
        <v>159</v>
      </c>
    </row>
    <row r="397" spans="9:22" x14ac:dyDescent="0.45">
      <c r="I397" t="s">
        <v>173</v>
      </c>
      <c r="J397" t="s">
        <v>360</v>
      </c>
      <c r="K397">
        <v>1.5541049649121181E-4</v>
      </c>
      <c r="L397" t="s">
        <v>159</v>
      </c>
      <c r="N397" t="s">
        <v>216</v>
      </c>
      <c r="O397" t="s">
        <v>360</v>
      </c>
      <c r="P397">
        <v>3.1580704878019024E-5</v>
      </c>
      <c r="Q397" t="s">
        <v>159</v>
      </c>
      <c r="S397" t="s">
        <v>258</v>
      </c>
      <c r="T397" t="s">
        <v>360</v>
      </c>
      <c r="U397">
        <v>2.3162730588069273E-5</v>
      </c>
      <c r="V397" t="s">
        <v>159</v>
      </c>
    </row>
    <row r="398" spans="9:22" x14ac:dyDescent="0.45">
      <c r="I398" t="s">
        <v>173</v>
      </c>
      <c r="J398" t="s">
        <v>361</v>
      </c>
      <c r="K398">
        <v>1.5745534636026607E-4</v>
      </c>
      <c r="L398" t="s">
        <v>159</v>
      </c>
      <c r="N398" t="s">
        <v>216</v>
      </c>
      <c r="O398" t="s">
        <v>361</v>
      </c>
      <c r="P398">
        <v>1.3896585858958201E-5</v>
      </c>
      <c r="Q398" t="s">
        <v>159</v>
      </c>
      <c r="S398" t="s">
        <v>258</v>
      </c>
      <c r="T398" t="s">
        <v>361</v>
      </c>
      <c r="U398">
        <v>2.1692241688088666E-5</v>
      </c>
      <c r="V398" t="s">
        <v>159</v>
      </c>
    </row>
    <row r="399" spans="9:22" x14ac:dyDescent="0.45">
      <c r="I399" t="s">
        <v>173</v>
      </c>
      <c r="J399" t="s">
        <v>362</v>
      </c>
      <c r="K399">
        <v>1.44314875851817E-4</v>
      </c>
      <c r="L399" t="s">
        <v>159</v>
      </c>
      <c r="N399" t="s">
        <v>216</v>
      </c>
      <c r="O399" t="s">
        <v>362</v>
      </c>
      <c r="P399">
        <v>8.1903049884271435E-6</v>
      </c>
      <c r="Q399" t="s">
        <v>159</v>
      </c>
      <c r="S399" t="s">
        <v>258</v>
      </c>
      <c r="T399" t="s">
        <v>362</v>
      </c>
      <c r="U399">
        <v>1.9793555079427126E-5</v>
      </c>
      <c r="V399" t="s">
        <v>159</v>
      </c>
    </row>
    <row r="400" spans="9:22" x14ac:dyDescent="0.45">
      <c r="I400" t="s">
        <v>173</v>
      </c>
      <c r="J400" t="s">
        <v>363</v>
      </c>
      <c r="K400">
        <v>9.2651992318960798E-5</v>
      </c>
      <c r="L400" t="s">
        <v>159</v>
      </c>
      <c r="N400" t="s">
        <v>216</v>
      </c>
      <c r="O400" t="s">
        <v>363</v>
      </c>
      <c r="P400">
        <v>2.6481296319810533E-5</v>
      </c>
      <c r="Q400" t="s">
        <v>159</v>
      </c>
      <c r="S400" t="s">
        <v>258</v>
      </c>
      <c r="T400" t="s">
        <v>363</v>
      </c>
      <c r="U400">
        <v>2.3082014681001135E-5</v>
      </c>
      <c r="V400" t="s">
        <v>159</v>
      </c>
    </row>
    <row r="401" spans="9:22" x14ac:dyDescent="0.45">
      <c r="I401" t="s">
        <v>173</v>
      </c>
      <c r="J401" t="s">
        <v>364</v>
      </c>
      <c r="K401">
        <v>0</v>
      </c>
      <c r="L401" t="s">
        <v>159</v>
      </c>
      <c r="N401" t="s">
        <v>216</v>
      </c>
      <c r="O401" t="s">
        <v>364</v>
      </c>
      <c r="P401">
        <v>2.4334208696328778E-5</v>
      </c>
      <c r="Q401" t="s">
        <v>159</v>
      </c>
      <c r="S401" t="s">
        <v>258</v>
      </c>
      <c r="T401" t="s">
        <v>364</v>
      </c>
      <c r="U401">
        <v>2.4649490824072243E-5</v>
      </c>
      <c r="V401" t="s">
        <v>159</v>
      </c>
    </row>
    <row r="402" spans="9:22" x14ac:dyDescent="0.45">
      <c r="I402" t="s">
        <v>173</v>
      </c>
      <c r="J402" t="s">
        <v>365</v>
      </c>
      <c r="K402">
        <v>0</v>
      </c>
      <c r="L402" t="s">
        <v>159</v>
      </c>
      <c r="N402" t="s">
        <v>216</v>
      </c>
      <c r="O402" t="s">
        <v>365</v>
      </c>
      <c r="P402">
        <v>1.237294206482112E-5</v>
      </c>
      <c r="Q402" t="s">
        <v>159</v>
      </c>
      <c r="S402" t="s">
        <v>258</v>
      </c>
      <c r="T402" t="s">
        <v>365</v>
      </c>
      <c r="U402">
        <v>2.2828128948478948E-5</v>
      </c>
      <c r="V402" t="s">
        <v>159</v>
      </c>
    </row>
    <row r="403" spans="9:22" x14ac:dyDescent="0.45">
      <c r="I403" t="s">
        <v>173</v>
      </c>
      <c r="J403" t="s">
        <v>366</v>
      </c>
      <c r="K403">
        <v>0</v>
      </c>
      <c r="L403" t="s">
        <v>159</v>
      </c>
      <c r="N403" t="s">
        <v>216</v>
      </c>
      <c r="O403" t="s">
        <v>366</v>
      </c>
      <c r="P403">
        <v>1.1926572243133864E-6</v>
      </c>
      <c r="Q403" t="s">
        <v>159</v>
      </c>
      <c r="S403" t="s">
        <v>258</v>
      </c>
      <c r="T403" t="s">
        <v>366</v>
      </c>
      <c r="U403">
        <v>2.1411492974264971E-5</v>
      </c>
      <c r="V403" t="s">
        <v>159</v>
      </c>
    </row>
    <row r="404" spans="9:22" x14ac:dyDescent="0.45">
      <c r="I404" t="s">
        <v>173</v>
      </c>
      <c r="J404" t="s">
        <v>367</v>
      </c>
      <c r="K404">
        <v>0</v>
      </c>
      <c r="L404" t="s">
        <v>159</v>
      </c>
      <c r="N404" t="s">
        <v>216</v>
      </c>
      <c r="O404" t="s">
        <v>367</v>
      </c>
      <c r="P404">
        <v>2.0775248748244568E-7</v>
      </c>
      <c r="Q404" t="s">
        <v>159</v>
      </c>
      <c r="S404" t="s">
        <v>258</v>
      </c>
      <c r="T404" t="s">
        <v>367</v>
      </c>
      <c r="U404">
        <v>2.2020212116246472E-5</v>
      </c>
      <c r="V404" t="s">
        <v>159</v>
      </c>
    </row>
    <row r="405" spans="9:22" x14ac:dyDescent="0.45">
      <c r="I405" t="s">
        <v>173</v>
      </c>
      <c r="J405" t="s">
        <v>368</v>
      </c>
      <c r="K405">
        <v>0</v>
      </c>
      <c r="L405" t="s">
        <v>159</v>
      </c>
      <c r="N405" t="s">
        <v>216</v>
      </c>
      <c r="O405" t="s">
        <v>368</v>
      </c>
      <c r="P405">
        <v>3.5226640801661864E-7</v>
      </c>
      <c r="Q405" t="s">
        <v>159</v>
      </c>
      <c r="S405" t="s">
        <v>258</v>
      </c>
      <c r="T405" t="s">
        <v>368</v>
      </c>
      <c r="U405">
        <v>2.612319286709709E-5</v>
      </c>
      <c r="V405" t="s">
        <v>159</v>
      </c>
    </row>
    <row r="406" spans="9:22" x14ac:dyDescent="0.45">
      <c r="I406" t="s">
        <v>173</v>
      </c>
      <c r="J406" t="s">
        <v>369</v>
      </c>
      <c r="K406">
        <v>0</v>
      </c>
      <c r="L406" t="s">
        <v>159</v>
      </c>
      <c r="N406" t="s">
        <v>216</v>
      </c>
      <c r="O406" t="s">
        <v>369</v>
      </c>
      <c r="P406">
        <v>5.8334754028495349E-7</v>
      </c>
      <c r="Q406" t="s">
        <v>159</v>
      </c>
      <c r="S406" t="s">
        <v>258</v>
      </c>
      <c r="T406" t="s">
        <v>369</v>
      </c>
      <c r="U406">
        <v>3.2222790040906208E-5</v>
      </c>
      <c r="V406" t="s">
        <v>159</v>
      </c>
    </row>
    <row r="407" spans="9:22" x14ac:dyDescent="0.45">
      <c r="I407" t="s">
        <v>173</v>
      </c>
      <c r="J407" t="s">
        <v>165</v>
      </c>
      <c r="K407">
        <v>0</v>
      </c>
      <c r="L407" t="s">
        <v>159</v>
      </c>
      <c r="N407" t="s">
        <v>216</v>
      </c>
      <c r="O407" t="s">
        <v>165</v>
      </c>
      <c r="P407">
        <v>3.4747133042182542E-2</v>
      </c>
      <c r="Q407" t="s">
        <v>159</v>
      </c>
      <c r="S407" t="s">
        <v>258</v>
      </c>
      <c r="T407" t="s">
        <v>165</v>
      </c>
      <c r="U407">
        <v>2.8561280978713344E-2</v>
      </c>
      <c r="V407" t="s">
        <v>159</v>
      </c>
    </row>
    <row r="408" spans="9:22" x14ac:dyDescent="0.45">
      <c r="I408" t="s">
        <v>173</v>
      </c>
      <c r="J408" t="s">
        <v>166</v>
      </c>
      <c r="K408">
        <v>2.0874693249185983E-3</v>
      </c>
      <c r="L408" t="s">
        <v>159</v>
      </c>
      <c r="N408" t="s">
        <v>216</v>
      </c>
      <c r="O408" t="s">
        <v>166</v>
      </c>
      <c r="P408">
        <v>4.7766965463098788E-3</v>
      </c>
      <c r="Q408" t="s">
        <v>159</v>
      </c>
      <c r="S408" t="s">
        <v>258</v>
      </c>
      <c r="T408" t="s">
        <v>166</v>
      </c>
      <c r="U408">
        <v>4.069378087700604E-3</v>
      </c>
      <c r="V408" t="s">
        <v>159</v>
      </c>
    </row>
    <row r="409" spans="9:22" x14ac:dyDescent="0.45">
      <c r="I409" t="s">
        <v>173</v>
      </c>
      <c r="J409" t="s">
        <v>167</v>
      </c>
      <c r="K409">
        <v>4.9673879442454966E-2</v>
      </c>
      <c r="L409" t="s">
        <v>159</v>
      </c>
      <c r="N409" t="s">
        <v>216</v>
      </c>
      <c r="O409" t="s">
        <v>167</v>
      </c>
      <c r="P409">
        <v>7.0437381348014264E-2</v>
      </c>
      <c r="Q409" t="s">
        <v>159</v>
      </c>
      <c r="S409" t="s">
        <v>258</v>
      </c>
      <c r="T409" t="s">
        <v>167</v>
      </c>
      <c r="U409">
        <v>3.3631906887895073E-2</v>
      </c>
      <c r="V409" t="s">
        <v>159</v>
      </c>
    </row>
    <row r="410" spans="9:22" x14ac:dyDescent="0.45">
      <c r="I410" t="s">
        <v>173</v>
      </c>
      <c r="J410" t="s">
        <v>291</v>
      </c>
      <c r="K410">
        <v>3.7875725806290469E-3</v>
      </c>
      <c r="L410" t="s">
        <v>159</v>
      </c>
      <c r="N410" t="s">
        <v>216</v>
      </c>
      <c r="O410" t="s">
        <v>291</v>
      </c>
      <c r="P410">
        <v>6.1340326583096301E-3</v>
      </c>
      <c r="Q410" t="s">
        <v>159</v>
      </c>
      <c r="S410" t="s">
        <v>258</v>
      </c>
      <c r="T410" t="s">
        <v>291</v>
      </c>
      <c r="U410">
        <v>4.2304573020510005E-3</v>
      </c>
      <c r="V410" t="s">
        <v>159</v>
      </c>
    </row>
    <row r="411" spans="9:22" x14ac:dyDescent="0.45">
      <c r="I411" t="s">
        <v>173</v>
      </c>
      <c r="J411" t="s">
        <v>292</v>
      </c>
      <c r="K411">
        <v>0</v>
      </c>
      <c r="L411" t="s">
        <v>159</v>
      </c>
      <c r="N411" t="s">
        <v>216</v>
      </c>
      <c r="O411" t="s">
        <v>292</v>
      </c>
      <c r="P411">
        <v>5.2051947560139023E-3</v>
      </c>
      <c r="Q411" t="s">
        <v>159</v>
      </c>
      <c r="S411" t="s">
        <v>258</v>
      </c>
      <c r="T411" t="s">
        <v>292</v>
      </c>
      <c r="U411">
        <v>4.2989646197932364E-3</v>
      </c>
      <c r="V411" t="s">
        <v>159</v>
      </c>
    </row>
    <row r="412" spans="9:22" x14ac:dyDescent="0.45">
      <c r="I412" t="s">
        <v>173</v>
      </c>
      <c r="J412" t="s">
        <v>310</v>
      </c>
      <c r="K412">
        <v>0</v>
      </c>
      <c r="L412" t="s">
        <v>159</v>
      </c>
      <c r="N412" t="s">
        <v>216</v>
      </c>
      <c r="O412" t="s">
        <v>310</v>
      </c>
      <c r="P412">
        <v>1.9937016462905521E-2</v>
      </c>
      <c r="Q412" t="s">
        <v>159</v>
      </c>
      <c r="S412" t="s">
        <v>258</v>
      </c>
      <c r="T412" t="s">
        <v>310</v>
      </c>
      <c r="U412">
        <v>2.1604865332691708E-2</v>
      </c>
      <c r="V412" t="s">
        <v>159</v>
      </c>
    </row>
    <row r="413" spans="9:22" x14ac:dyDescent="0.45">
      <c r="I413" t="s">
        <v>173</v>
      </c>
      <c r="J413" t="s">
        <v>293</v>
      </c>
      <c r="K413">
        <v>0</v>
      </c>
      <c r="L413" t="s">
        <v>159</v>
      </c>
      <c r="N413" t="s">
        <v>216</v>
      </c>
      <c r="O413" t="s">
        <v>293</v>
      </c>
      <c r="P413">
        <v>5.6306921871789326E-3</v>
      </c>
      <c r="Q413" t="s">
        <v>159</v>
      </c>
      <c r="S413" t="s">
        <v>258</v>
      </c>
      <c r="T413" t="s">
        <v>293</v>
      </c>
      <c r="U413">
        <v>4.5809225901062975E-3</v>
      </c>
      <c r="V413" t="s">
        <v>159</v>
      </c>
    </row>
    <row r="414" spans="9:22" x14ac:dyDescent="0.45">
      <c r="I414" t="s">
        <v>173</v>
      </c>
      <c r="J414" t="s">
        <v>294</v>
      </c>
      <c r="K414">
        <v>1.1103941313845894E-3</v>
      </c>
      <c r="L414" t="s">
        <v>159</v>
      </c>
      <c r="N414" t="s">
        <v>216</v>
      </c>
      <c r="O414" t="s">
        <v>294</v>
      </c>
      <c r="P414">
        <v>7.2377733794563447E-4</v>
      </c>
      <c r="Q414" t="s">
        <v>159</v>
      </c>
      <c r="S414" t="s">
        <v>258</v>
      </c>
      <c r="T414" t="s">
        <v>294</v>
      </c>
      <c r="U414">
        <v>6.662707839142902E-4</v>
      </c>
      <c r="V414" t="s">
        <v>159</v>
      </c>
    </row>
    <row r="415" spans="9:22" x14ac:dyDescent="0.45">
      <c r="I415" t="s">
        <v>173</v>
      </c>
      <c r="J415" t="s">
        <v>295</v>
      </c>
      <c r="K415">
        <v>1.4874132746894796E-2</v>
      </c>
      <c r="L415" t="s">
        <v>159</v>
      </c>
      <c r="N415" t="s">
        <v>216</v>
      </c>
      <c r="O415" t="s">
        <v>295</v>
      </c>
      <c r="P415">
        <v>1.3579843988431825E-2</v>
      </c>
      <c r="Q415" t="s">
        <v>159</v>
      </c>
      <c r="S415" t="s">
        <v>258</v>
      </c>
      <c r="T415" t="s">
        <v>295</v>
      </c>
      <c r="U415">
        <v>6.4386318814729539E-3</v>
      </c>
      <c r="V415" t="s">
        <v>159</v>
      </c>
    </row>
    <row r="416" spans="9:22" x14ac:dyDescent="0.45">
      <c r="I416" t="s">
        <v>173</v>
      </c>
      <c r="J416" t="s">
        <v>296</v>
      </c>
      <c r="K416">
        <v>1.2504892608398636E-3</v>
      </c>
      <c r="L416" t="s">
        <v>159</v>
      </c>
      <c r="N416" t="s">
        <v>216</v>
      </c>
      <c r="O416" t="s">
        <v>296</v>
      </c>
      <c r="P416">
        <v>9.6980426966541988E-4</v>
      </c>
      <c r="Q416" t="s">
        <v>159</v>
      </c>
      <c r="S416" t="s">
        <v>258</v>
      </c>
      <c r="T416" t="s">
        <v>296</v>
      </c>
      <c r="U416">
        <v>8.0345903448303369E-4</v>
      </c>
      <c r="V416" t="s">
        <v>159</v>
      </c>
    </row>
    <row r="417" spans="9:22" x14ac:dyDescent="0.45">
      <c r="I417" t="s">
        <v>173</v>
      </c>
      <c r="J417" t="s">
        <v>297</v>
      </c>
      <c r="K417">
        <v>0</v>
      </c>
      <c r="L417" t="s">
        <v>159</v>
      </c>
      <c r="N417" t="s">
        <v>216</v>
      </c>
      <c r="O417" t="s">
        <v>297</v>
      </c>
      <c r="P417">
        <v>7.9475262266609937E-4</v>
      </c>
      <c r="Q417" t="s">
        <v>159</v>
      </c>
      <c r="S417" t="s">
        <v>258</v>
      </c>
      <c r="T417" t="s">
        <v>297</v>
      </c>
      <c r="U417">
        <v>7.7391899332664377E-4</v>
      </c>
      <c r="V417" t="s">
        <v>159</v>
      </c>
    </row>
    <row r="418" spans="9:22" x14ac:dyDescent="0.45">
      <c r="I418" t="s">
        <v>173</v>
      </c>
      <c r="J418" t="s">
        <v>311</v>
      </c>
      <c r="K418">
        <v>0</v>
      </c>
      <c r="L418" t="s">
        <v>159</v>
      </c>
      <c r="N418" t="s">
        <v>216</v>
      </c>
      <c r="O418" t="s">
        <v>311</v>
      </c>
      <c r="P418">
        <v>2.8703335344809847E-3</v>
      </c>
      <c r="Q418" t="s">
        <v>159</v>
      </c>
      <c r="S418" t="s">
        <v>258</v>
      </c>
      <c r="T418" t="s">
        <v>311</v>
      </c>
      <c r="U418">
        <v>3.3136590637477957E-3</v>
      </c>
      <c r="V418" t="s">
        <v>159</v>
      </c>
    </row>
    <row r="419" spans="9:22" x14ac:dyDescent="0.45">
      <c r="I419" t="s">
        <v>173</v>
      </c>
      <c r="J419" t="s">
        <v>298</v>
      </c>
      <c r="K419">
        <v>1.2279890203794278E-2</v>
      </c>
      <c r="L419" t="s">
        <v>159</v>
      </c>
      <c r="N419" t="s">
        <v>216</v>
      </c>
      <c r="O419" t="s">
        <v>298</v>
      </c>
      <c r="P419">
        <v>5.9011037230662609E-2</v>
      </c>
      <c r="Q419" t="s">
        <v>159</v>
      </c>
      <c r="S419" t="s">
        <v>258</v>
      </c>
      <c r="T419" t="s">
        <v>298</v>
      </c>
      <c r="U419">
        <v>8.1432541600526029E-2</v>
      </c>
      <c r="V419" t="s">
        <v>159</v>
      </c>
    </row>
    <row r="420" spans="9:22" x14ac:dyDescent="0.45">
      <c r="I420" t="s">
        <v>173</v>
      </c>
      <c r="J420" t="s">
        <v>299</v>
      </c>
      <c r="K420">
        <v>2.1869429309656786E-2</v>
      </c>
      <c r="L420" t="s">
        <v>159</v>
      </c>
      <c r="N420" t="s">
        <v>216</v>
      </c>
      <c r="O420" t="s">
        <v>299</v>
      </c>
      <c r="P420">
        <v>8.1499883155546383E-3</v>
      </c>
      <c r="Q420" t="s">
        <v>159</v>
      </c>
      <c r="S420" t="s">
        <v>258</v>
      </c>
      <c r="T420" t="s">
        <v>299</v>
      </c>
      <c r="U420">
        <v>1.2161670505271421E-2</v>
      </c>
      <c r="V420" t="s">
        <v>159</v>
      </c>
    </row>
    <row r="421" spans="9:22" x14ac:dyDescent="0.45">
      <c r="I421" t="s">
        <v>173</v>
      </c>
      <c r="J421" t="s">
        <v>300</v>
      </c>
      <c r="K421">
        <v>0.24311154579124322</v>
      </c>
      <c r="L421" t="s">
        <v>159</v>
      </c>
      <c r="N421" t="s">
        <v>216</v>
      </c>
      <c r="O421" t="s">
        <v>300</v>
      </c>
      <c r="P421">
        <v>0.22904861453369718</v>
      </c>
      <c r="Q421" t="s">
        <v>159</v>
      </c>
      <c r="S421" t="s">
        <v>258</v>
      </c>
      <c r="T421" t="s">
        <v>300</v>
      </c>
      <c r="U421">
        <v>0.11961808104170048</v>
      </c>
      <c r="V421" t="s">
        <v>159</v>
      </c>
    </row>
    <row r="422" spans="9:22" x14ac:dyDescent="0.45">
      <c r="I422" t="s">
        <v>173</v>
      </c>
      <c r="J422" t="s">
        <v>301</v>
      </c>
      <c r="K422">
        <v>2.0614197533672683E-2</v>
      </c>
      <c r="L422" t="s">
        <v>159</v>
      </c>
      <c r="N422" t="s">
        <v>216</v>
      </c>
      <c r="O422" t="s">
        <v>301</v>
      </c>
      <c r="P422">
        <v>2.1555676672759067E-2</v>
      </c>
      <c r="Q422" t="s">
        <v>159</v>
      </c>
      <c r="S422" t="s">
        <v>258</v>
      </c>
      <c r="T422" t="s">
        <v>301</v>
      </c>
      <c r="U422">
        <v>1.4255754400058263E-2</v>
      </c>
      <c r="V422" t="s">
        <v>159</v>
      </c>
    </row>
    <row r="423" spans="9:22" x14ac:dyDescent="0.45">
      <c r="I423" t="s">
        <v>173</v>
      </c>
      <c r="J423" t="s">
        <v>302</v>
      </c>
      <c r="K423">
        <v>9.5101958222619624E-3</v>
      </c>
      <c r="L423" t="s">
        <v>159</v>
      </c>
      <c r="N423" t="s">
        <v>216</v>
      </c>
      <c r="O423" t="s">
        <v>302</v>
      </c>
      <c r="P423">
        <v>1.4291543221935625E-2</v>
      </c>
      <c r="Q423" t="s">
        <v>159</v>
      </c>
      <c r="S423" t="s">
        <v>258</v>
      </c>
      <c r="T423" t="s">
        <v>302</v>
      </c>
      <c r="U423">
        <v>1.3723630518882826E-2</v>
      </c>
      <c r="V423" t="s">
        <v>159</v>
      </c>
    </row>
    <row r="424" spans="9:22" x14ac:dyDescent="0.45">
      <c r="I424" t="s">
        <v>173</v>
      </c>
      <c r="J424" t="s">
        <v>312</v>
      </c>
      <c r="K424">
        <v>0</v>
      </c>
      <c r="L424" t="s">
        <v>159</v>
      </c>
      <c r="N424" t="s">
        <v>216</v>
      </c>
      <c r="O424" t="s">
        <v>312</v>
      </c>
      <c r="P424">
        <v>4.1114628907084567E-2</v>
      </c>
      <c r="Q424" t="s">
        <v>159</v>
      </c>
      <c r="S424" t="s">
        <v>258</v>
      </c>
      <c r="T424" t="s">
        <v>312</v>
      </c>
      <c r="U424">
        <v>5.9569086111502044E-2</v>
      </c>
      <c r="V424" t="s">
        <v>159</v>
      </c>
    </row>
    <row r="425" spans="9:22" x14ac:dyDescent="0.45">
      <c r="I425" t="s">
        <v>173</v>
      </c>
      <c r="J425" t="s">
        <v>313</v>
      </c>
      <c r="K425">
        <v>5.7046765252741927E-3</v>
      </c>
      <c r="L425" t="s">
        <v>159</v>
      </c>
      <c r="N425" t="s">
        <v>216</v>
      </c>
      <c r="O425" t="s">
        <v>313</v>
      </c>
      <c r="P425">
        <v>4.0561082689487358E-3</v>
      </c>
      <c r="Q425" t="s">
        <v>159</v>
      </c>
      <c r="S425" t="s">
        <v>258</v>
      </c>
      <c r="T425" t="s">
        <v>313</v>
      </c>
      <c r="U425">
        <v>1.5908627994890349E-2</v>
      </c>
      <c r="V425" t="s">
        <v>159</v>
      </c>
    </row>
    <row r="426" spans="9:22" x14ac:dyDescent="0.45">
      <c r="I426" t="s">
        <v>173</v>
      </c>
      <c r="J426" t="s">
        <v>314</v>
      </c>
      <c r="K426">
        <v>7.9269745901957376E-3</v>
      </c>
      <c r="L426" t="s">
        <v>159</v>
      </c>
      <c r="N426" t="s">
        <v>216</v>
      </c>
      <c r="O426" t="s">
        <v>314</v>
      </c>
      <c r="P426">
        <v>3.3446051887206946E-4</v>
      </c>
      <c r="Q426" t="s">
        <v>159</v>
      </c>
      <c r="S426" t="s">
        <v>258</v>
      </c>
      <c r="T426" t="s">
        <v>314</v>
      </c>
      <c r="U426">
        <v>2.3200912727615996E-3</v>
      </c>
      <c r="V426" t="s">
        <v>159</v>
      </c>
    </row>
    <row r="427" spans="9:22" x14ac:dyDescent="0.45">
      <c r="I427" t="s">
        <v>173</v>
      </c>
      <c r="J427" t="s">
        <v>315</v>
      </c>
      <c r="K427">
        <v>8.1754253402469931E-2</v>
      </c>
      <c r="L427" t="s">
        <v>159</v>
      </c>
      <c r="N427" t="s">
        <v>216</v>
      </c>
      <c r="O427" t="s">
        <v>315</v>
      </c>
      <c r="P427">
        <v>2.341624869814293E-2</v>
      </c>
      <c r="Q427" t="s">
        <v>159</v>
      </c>
      <c r="S427" t="s">
        <v>258</v>
      </c>
      <c r="T427" t="s">
        <v>315</v>
      </c>
      <c r="U427">
        <v>2.6362513249610208E-2</v>
      </c>
      <c r="V427" t="s">
        <v>159</v>
      </c>
    </row>
    <row r="428" spans="9:22" x14ac:dyDescent="0.45">
      <c r="I428" t="s">
        <v>173</v>
      </c>
      <c r="J428" t="s">
        <v>316</v>
      </c>
      <c r="K428">
        <v>6.7137337107612731E-3</v>
      </c>
      <c r="L428" t="s">
        <v>159</v>
      </c>
      <c r="N428" t="s">
        <v>216</v>
      </c>
      <c r="O428" t="s">
        <v>316</v>
      </c>
      <c r="P428">
        <v>2.4727598283025122E-3</v>
      </c>
      <c r="Q428" t="s">
        <v>159</v>
      </c>
      <c r="S428" t="s">
        <v>258</v>
      </c>
      <c r="T428" t="s">
        <v>316</v>
      </c>
      <c r="U428">
        <v>3.0344872256084323E-3</v>
      </c>
      <c r="V428" t="s">
        <v>159</v>
      </c>
    </row>
    <row r="429" spans="9:22" x14ac:dyDescent="0.45">
      <c r="I429" t="s">
        <v>173</v>
      </c>
      <c r="J429" t="s">
        <v>317</v>
      </c>
      <c r="K429">
        <v>4.8489290598971897E-3</v>
      </c>
      <c r="L429" t="s">
        <v>159</v>
      </c>
      <c r="N429" t="s">
        <v>216</v>
      </c>
      <c r="O429" t="s">
        <v>317</v>
      </c>
      <c r="P429">
        <v>1.6211691322559996E-3</v>
      </c>
      <c r="Q429" t="s">
        <v>159</v>
      </c>
      <c r="S429" t="s">
        <v>258</v>
      </c>
      <c r="T429" t="s">
        <v>317</v>
      </c>
      <c r="U429">
        <v>2.8748322252355649E-3</v>
      </c>
      <c r="V429" t="s">
        <v>159</v>
      </c>
    </row>
    <row r="430" spans="9:22" x14ac:dyDescent="0.45">
      <c r="I430" t="s">
        <v>173</v>
      </c>
      <c r="J430" t="s">
        <v>318</v>
      </c>
      <c r="K430">
        <v>1.3341412223444463E-3</v>
      </c>
      <c r="L430" t="s">
        <v>159</v>
      </c>
      <c r="N430" t="s">
        <v>216</v>
      </c>
      <c r="O430" t="s">
        <v>318</v>
      </c>
      <c r="P430">
        <v>4.5978938236136604E-3</v>
      </c>
      <c r="Q430" t="s">
        <v>159</v>
      </c>
      <c r="S430" t="s">
        <v>258</v>
      </c>
      <c r="T430" t="s">
        <v>318</v>
      </c>
      <c r="U430">
        <v>1.3482518494129007E-2</v>
      </c>
      <c r="V430" t="s">
        <v>159</v>
      </c>
    </row>
    <row r="431" spans="9:22" x14ac:dyDescent="0.45">
      <c r="I431" t="s">
        <v>174</v>
      </c>
      <c r="J431" t="s">
        <v>158</v>
      </c>
      <c r="K431">
        <v>6.5306276162040685E-3</v>
      </c>
      <c r="L431" t="s">
        <v>159</v>
      </c>
      <c r="N431" t="s">
        <v>217</v>
      </c>
      <c r="O431" t="s">
        <v>158</v>
      </c>
      <c r="P431">
        <v>9.9845712283687396E-2</v>
      </c>
      <c r="Q431" t="s">
        <v>159</v>
      </c>
      <c r="S431" t="s">
        <v>259</v>
      </c>
      <c r="T431" t="s">
        <v>158</v>
      </c>
      <c r="U431">
        <v>0.12813695878680226</v>
      </c>
      <c r="V431" t="s">
        <v>159</v>
      </c>
    </row>
    <row r="432" spans="9:22" x14ac:dyDescent="0.45">
      <c r="I432" t="s">
        <v>174</v>
      </c>
      <c r="J432" t="s">
        <v>160</v>
      </c>
      <c r="K432">
        <v>2.9974244724570262E-2</v>
      </c>
      <c r="L432" t="s">
        <v>159</v>
      </c>
      <c r="N432" t="s">
        <v>217</v>
      </c>
      <c r="O432" t="s">
        <v>160</v>
      </c>
      <c r="P432">
        <v>1.173864659677692E-2</v>
      </c>
      <c r="Q432" t="s">
        <v>159</v>
      </c>
      <c r="S432" t="s">
        <v>259</v>
      </c>
      <c r="T432" t="s">
        <v>160</v>
      </c>
      <c r="U432">
        <v>1.7047349153192733E-2</v>
      </c>
      <c r="V432" t="s">
        <v>159</v>
      </c>
    </row>
    <row r="433" spans="9:22" x14ac:dyDescent="0.45">
      <c r="I433" t="s">
        <v>174</v>
      </c>
      <c r="J433" t="s">
        <v>161</v>
      </c>
      <c r="K433">
        <v>0.38172918991384519</v>
      </c>
      <c r="L433" t="s">
        <v>159</v>
      </c>
      <c r="N433" t="s">
        <v>217</v>
      </c>
      <c r="O433" t="s">
        <v>161</v>
      </c>
      <c r="P433">
        <v>0.12150661409862172</v>
      </c>
      <c r="Q433" t="s">
        <v>159</v>
      </c>
      <c r="S433" t="s">
        <v>259</v>
      </c>
      <c r="T433" t="s">
        <v>161</v>
      </c>
      <c r="U433">
        <v>0.16462444741566301</v>
      </c>
      <c r="V433" t="s">
        <v>159</v>
      </c>
    </row>
    <row r="434" spans="9:22" x14ac:dyDescent="0.45">
      <c r="I434" t="s">
        <v>174</v>
      </c>
      <c r="J434" t="s">
        <v>287</v>
      </c>
      <c r="K434">
        <v>3.1769461116933101E-2</v>
      </c>
      <c r="L434" t="s">
        <v>159</v>
      </c>
      <c r="N434" t="s">
        <v>217</v>
      </c>
      <c r="O434" t="s">
        <v>287</v>
      </c>
      <c r="P434">
        <v>1.5610204278001421E-2</v>
      </c>
      <c r="Q434" t="s">
        <v>159</v>
      </c>
      <c r="S434" t="s">
        <v>259</v>
      </c>
      <c r="T434" t="s">
        <v>287</v>
      </c>
      <c r="U434">
        <v>2.177050074904802E-2</v>
      </c>
      <c r="V434" t="s">
        <v>159</v>
      </c>
    </row>
    <row r="435" spans="9:22" x14ac:dyDescent="0.45">
      <c r="I435" t="s">
        <v>174</v>
      </c>
      <c r="J435" t="s">
        <v>288</v>
      </c>
      <c r="K435">
        <v>1.4490922680311172E-2</v>
      </c>
      <c r="L435" t="s">
        <v>159</v>
      </c>
      <c r="N435" t="s">
        <v>217</v>
      </c>
      <c r="O435" t="s">
        <v>288</v>
      </c>
      <c r="P435">
        <v>1.6861447795410704E-2</v>
      </c>
      <c r="Q435" t="s">
        <v>159</v>
      </c>
      <c r="S435" t="s">
        <v>259</v>
      </c>
      <c r="T435" t="s">
        <v>288</v>
      </c>
      <c r="U435">
        <v>2.1630695722607542E-2</v>
      </c>
      <c r="V435" t="s">
        <v>159</v>
      </c>
    </row>
    <row r="436" spans="9:22" x14ac:dyDescent="0.45">
      <c r="I436" t="s">
        <v>174</v>
      </c>
      <c r="J436" t="s">
        <v>308</v>
      </c>
      <c r="K436">
        <v>0</v>
      </c>
      <c r="L436" t="s">
        <v>159</v>
      </c>
      <c r="N436" t="s">
        <v>217</v>
      </c>
      <c r="O436" t="s">
        <v>308</v>
      </c>
      <c r="P436">
        <v>9.8928742033585135E-2</v>
      </c>
      <c r="Q436" t="s">
        <v>159</v>
      </c>
      <c r="S436" t="s">
        <v>259</v>
      </c>
      <c r="T436" t="s">
        <v>308</v>
      </c>
      <c r="U436">
        <v>0.10476090398790185</v>
      </c>
      <c r="V436" t="s">
        <v>159</v>
      </c>
    </row>
    <row r="437" spans="9:22" x14ac:dyDescent="0.45">
      <c r="I437" t="s">
        <v>174</v>
      </c>
      <c r="J437" t="s">
        <v>162</v>
      </c>
      <c r="K437">
        <v>0</v>
      </c>
      <c r="L437" t="s">
        <v>159</v>
      </c>
      <c r="N437" t="s">
        <v>217</v>
      </c>
      <c r="O437" t="s">
        <v>162</v>
      </c>
      <c r="P437">
        <v>2.6268340325697061E-2</v>
      </c>
      <c r="Q437" t="s">
        <v>159</v>
      </c>
      <c r="S437" t="s">
        <v>259</v>
      </c>
      <c r="T437" t="s">
        <v>162</v>
      </c>
      <c r="U437">
        <v>1.4746803716564297E-2</v>
      </c>
      <c r="V437" t="s">
        <v>159</v>
      </c>
    </row>
    <row r="438" spans="9:22" x14ac:dyDescent="0.45">
      <c r="I438" t="s">
        <v>174</v>
      </c>
      <c r="J438" t="s">
        <v>163</v>
      </c>
      <c r="K438">
        <v>1.4937542373408296E-4</v>
      </c>
      <c r="L438" t="s">
        <v>159</v>
      </c>
      <c r="N438" t="s">
        <v>217</v>
      </c>
      <c r="O438" t="s">
        <v>163</v>
      </c>
      <c r="P438">
        <v>2.915529725075808E-3</v>
      </c>
      <c r="Q438" t="s">
        <v>159</v>
      </c>
      <c r="S438" t="s">
        <v>259</v>
      </c>
      <c r="T438" t="s">
        <v>163</v>
      </c>
      <c r="U438">
        <v>2.1510380850715046E-3</v>
      </c>
      <c r="V438" t="s">
        <v>159</v>
      </c>
    </row>
    <row r="439" spans="9:22" x14ac:dyDescent="0.45">
      <c r="I439" t="s">
        <v>174</v>
      </c>
      <c r="J439" t="s">
        <v>164</v>
      </c>
      <c r="K439">
        <v>4.6676842028455144E-2</v>
      </c>
      <c r="L439" t="s">
        <v>159</v>
      </c>
      <c r="N439" t="s">
        <v>217</v>
      </c>
      <c r="O439" t="s">
        <v>164</v>
      </c>
      <c r="P439">
        <v>3.005519248416999E-2</v>
      </c>
      <c r="Q439" t="s">
        <v>159</v>
      </c>
      <c r="S439" t="s">
        <v>259</v>
      </c>
      <c r="T439" t="s">
        <v>164</v>
      </c>
      <c r="U439">
        <v>2.4800583022748731E-2</v>
      </c>
      <c r="V439" t="s">
        <v>159</v>
      </c>
    </row>
    <row r="440" spans="9:22" x14ac:dyDescent="0.45">
      <c r="I440" t="s">
        <v>174</v>
      </c>
      <c r="J440" t="s">
        <v>289</v>
      </c>
      <c r="K440">
        <v>3.362281401635624E-3</v>
      </c>
      <c r="L440" t="s">
        <v>159</v>
      </c>
      <c r="N440" t="s">
        <v>217</v>
      </c>
      <c r="O440" t="s">
        <v>289</v>
      </c>
      <c r="P440">
        <v>3.1155822260676303E-3</v>
      </c>
      <c r="Q440" t="s">
        <v>159</v>
      </c>
      <c r="S440" t="s">
        <v>259</v>
      </c>
      <c r="T440" t="s">
        <v>289</v>
      </c>
      <c r="U440">
        <v>3.1798033769094639E-3</v>
      </c>
      <c r="V440" t="s">
        <v>159</v>
      </c>
    </row>
    <row r="441" spans="9:22" x14ac:dyDescent="0.45">
      <c r="I441" t="s">
        <v>174</v>
      </c>
      <c r="J441" t="s">
        <v>290</v>
      </c>
      <c r="K441">
        <v>0</v>
      </c>
      <c r="L441" t="s">
        <v>159</v>
      </c>
      <c r="N441" t="s">
        <v>217</v>
      </c>
      <c r="O441" t="s">
        <v>290</v>
      </c>
      <c r="P441">
        <v>3.2523696960937072E-3</v>
      </c>
      <c r="Q441" t="s">
        <v>159</v>
      </c>
      <c r="S441" t="s">
        <v>259</v>
      </c>
      <c r="T441" t="s">
        <v>290</v>
      </c>
      <c r="U441">
        <v>3.0925346184371557E-3</v>
      </c>
      <c r="V441" t="s">
        <v>159</v>
      </c>
    </row>
    <row r="442" spans="9:22" x14ac:dyDescent="0.45">
      <c r="I442" t="s">
        <v>174</v>
      </c>
      <c r="J442" t="s">
        <v>309</v>
      </c>
      <c r="K442">
        <v>0</v>
      </c>
      <c r="L442" t="s">
        <v>159</v>
      </c>
      <c r="N442" t="s">
        <v>217</v>
      </c>
      <c r="O442" t="s">
        <v>309</v>
      </c>
      <c r="P442">
        <v>1.9579454558731089E-2</v>
      </c>
      <c r="Q442" t="s">
        <v>159</v>
      </c>
      <c r="S442" t="s">
        <v>259</v>
      </c>
      <c r="T442" t="s">
        <v>309</v>
      </c>
      <c r="U442">
        <v>1.4573930695300108E-2</v>
      </c>
      <c r="V442" t="s">
        <v>159</v>
      </c>
    </row>
    <row r="443" spans="9:22" x14ac:dyDescent="0.45">
      <c r="I443" t="s">
        <v>174</v>
      </c>
      <c r="J443" t="s">
        <v>346</v>
      </c>
      <c r="K443">
        <v>0</v>
      </c>
      <c r="L443" t="s">
        <v>159</v>
      </c>
      <c r="N443" t="s">
        <v>217</v>
      </c>
      <c r="O443" t="s">
        <v>346</v>
      </c>
      <c r="P443">
        <v>4.9125220842236569E-5</v>
      </c>
      <c r="Q443" t="s">
        <v>159</v>
      </c>
      <c r="S443" t="s">
        <v>259</v>
      </c>
      <c r="T443" t="s">
        <v>346</v>
      </c>
      <c r="U443">
        <v>1.6817198209074214E-4</v>
      </c>
      <c r="V443" t="s">
        <v>159</v>
      </c>
    </row>
    <row r="444" spans="9:22" x14ac:dyDescent="0.45">
      <c r="I444" t="s">
        <v>174</v>
      </c>
      <c r="J444" t="s">
        <v>347</v>
      </c>
      <c r="K444">
        <v>0</v>
      </c>
      <c r="L444" t="s">
        <v>159</v>
      </c>
      <c r="N444" t="s">
        <v>217</v>
      </c>
      <c r="O444" t="s">
        <v>347</v>
      </c>
      <c r="P444">
        <v>3.8654944825896983E-5</v>
      </c>
      <c r="Q444" t="s">
        <v>159</v>
      </c>
      <c r="S444" t="s">
        <v>259</v>
      </c>
      <c r="T444" t="s">
        <v>347</v>
      </c>
      <c r="U444">
        <v>1.5215065768885535E-4</v>
      </c>
      <c r="V444" t="s">
        <v>159</v>
      </c>
    </row>
    <row r="445" spans="9:22" x14ac:dyDescent="0.45">
      <c r="I445" t="s">
        <v>174</v>
      </c>
      <c r="J445" t="s">
        <v>348</v>
      </c>
      <c r="K445">
        <v>0</v>
      </c>
      <c r="L445" t="s">
        <v>159</v>
      </c>
      <c r="N445" t="s">
        <v>217</v>
      </c>
      <c r="O445" t="s">
        <v>348</v>
      </c>
      <c r="P445">
        <v>2.6001680487719959E-5</v>
      </c>
      <c r="Q445" t="s">
        <v>159</v>
      </c>
      <c r="S445" t="s">
        <v>259</v>
      </c>
      <c r="T445" t="s">
        <v>348</v>
      </c>
      <c r="U445">
        <v>1.3047696173640308E-4</v>
      </c>
      <c r="V445" t="s">
        <v>159</v>
      </c>
    </row>
    <row r="446" spans="9:22" x14ac:dyDescent="0.45">
      <c r="I446" t="s">
        <v>174</v>
      </c>
      <c r="J446" t="s">
        <v>349</v>
      </c>
      <c r="K446">
        <v>0</v>
      </c>
      <c r="L446" t="s">
        <v>159</v>
      </c>
      <c r="N446" t="s">
        <v>217</v>
      </c>
      <c r="O446" t="s">
        <v>349</v>
      </c>
      <c r="P446">
        <v>1.5885550074929923E-5</v>
      </c>
      <c r="Q446" t="s">
        <v>159</v>
      </c>
      <c r="S446" t="s">
        <v>259</v>
      </c>
      <c r="T446" t="s">
        <v>349</v>
      </c>
      <c r="U446">
        <v>1.1017431549958566E-4</v>
      </c>
      <c r="V446" t="s">
        <v>159</v>
      </c>
    </row>
    <row r="447" spans="9:22" x14ac:dyDescent="0.45">
      <c r="I447" t="s">
        <v>174</v>
      </c>
      <c r="J447" t="s">
        <v>350</v>
      </c>
      <c r="K447">
        <v>0</v>
      </c>
      <c r="L447" t="s">
        <v>159</v>
      </c>
      <c r="N447" t="s">
        <v>217</v>
      </c>
      <c r="O447" t="s">
        <v>350</v>
      </c>
      <c r="P447">
        <v>8.9434944055079012E-6</v>
      </c>
      <c r="Q447" t="s">
        <v>159</v>
      </c>
      <c r="S447" t="s">
        <v>259</v>
      </c>
      <c r="T447" t="s">
        <v>350</v>
      </c>
      <c r="U447">
        <v>9.1996428774691891E-5</v>
      </c>
      <c r="V447" t="s">
        <v>159</v>
      </c>
    </row>
    <row r="448" spans="9:22" x14ac:dyDescent="0.45">
      <c r="I448" t="s">
        <v>174</v>
      </c>
      <c r="J448" t="s">
        <v>351</v>
      </c>
      <c r="K448">
        <v>0</v>
      </c>
      <c r="L448" t="s">
        <v>159</v>
      </c>
      <c r="N448" t="s">
        <v>217</v>
      </c>
      <c r="O448" t="s">
        <v>351</v>
      </c>
      <c r="P448">
        <v>2.6371915847238158E-6</v>
      </c>
      <c r="Q448" t="s">
        <v>159</v>
      </c>
      <c r="S448" t="s">
        <v>259</v>
      </c>
      <c r="T448" t="s">
        <v>351</v>
      </c>
      <c r="U448">
        <v>8.3304327935309252E-5</v>
      </c>
      <c r="V448" t="s">
        <v>159</v>
      </c>
    </row>
    <row r="449" spans="9:22" x14ac:dyDescent="0.45">
      <c r="I449" t="s">
        <v>174</v>
      </c>
      <c r="J449" t="s">
        <v>352</v>
      </c>
      <c r="K449">
        <v>0</v>
      </c>
      <c r="L449" t="s">
        <v>159</v>
      </c>
      <c r="N449" t="s">
        <v>217</v>
      </c>
      <c r="O449" t="s">
        <v>352</v>
      </c>
      <c r="P449">
        <v>3.9547761995159862E-7</v>
      </c>
      <c r="Q449" t="s">
        <v>159</v>
      </c>
      <c r="S449" t="s">
        <v>259</v>
      </c>
      <c r="T449" t="s">
        <v>352</v>
      </c>
      <c r="U449">
        <v>8.1321953994492794E-5</v>
      </c>
      <c r="V449" t="s">
        <v>159</v>
      </c>
    </row>
    <row r="450" spans="9:22" x14ac:dyDescent="0.45">
      <c r="I450" t="s">
        <v>174</v>
      </c>
      <c r="J450" t="s">
        <v>353</v>
      </c>
      <c r="K450">
        <v>0</v>
      </c>
      <c r="L450" t="s">
        <v>159</v>
      </c>
      <c r="N450" t="s">
        <v>217</v>
      </c>
      <c r="O450" t="s">
        <v>353</v>
      </c>
      <c r="P450">
        <v>1.3813994091731584E-7</v>
      </c>
      <c r="Q450" t="s">
        <v>159</v>
      </c>
      <c r="S450" t="s">
        <v>259</v>
      </c>
      <c r="T450" t="s">
        <v>353</v>
      </c>
      <c r="U450">
        <v>9.1361351364692788E-5</v>
      </c>
      <c r="V450" t="s">
        <v>159</v>
      </c>
    </row>
    <row r="451" spans="9:22" x14ac:dyDescent="0.45">
      <c r="I451" t="s">
        <v>174</v>
      </c>
      <c r="J451" t="s">
        <v>354</v>
      </c>
      <c r="K451">
        <v>1.5431898091765393E-4</v>
      </c>
      <c r="L451" t="s">
        <v>159</v>
      </c>
      <c r="N451" t="s">
        <v>217</v>
      </c>
      <c r="O451" t="s">
        <v>354</v>
      </c>
      <c r="P451">
        <v>5.598993007167903E-8</v>
      </c>
      <c r="Q451" t="s">
        <v>159</v>
      </c>
      <c r="S451" t="s">
        <v>259</v>
      </c>
      <c r="T451" t="s">
        <v>354</v>
      </c>
      <c r="U451">
        <v>1.0763611439353517E-4</v>
      </c>
      <c r="V451" t="s">
        <v>159</v>
      </c>
    </row>
    <row r="452" spans="9:22" x14ac:dyDescent="0.45">
      <c r="I452" t="s">
        <v>174</v>
      </c>
      <c r="J452" t="s">
        <v>355</v>
      </c>
      <c r="K452">
        <v>1.70924114367176E-4</v>
      </c>
      <c r="L452" t="s">
        <v>159</v>
      </c>
      <c r="N452" t="s">
        <v>217</v>
      </c>
      <c r="O452" t="s">
        <v>355</v>
      </c>
      <c r="P452">
        <v>3.0430596353749996E-8</v>
      </c>
      <c r="Q452" t="s">
        <v>159</v>
      </c>
      <c r="S452" t="s">
        <v>259</v>
      </c>
      <c r="T452" t="s">
        <v>355</v>
      </c>
      <c r="U452">
        <v>1.247888095435515E-4</v>
      </c>
      <c r="V452" t="s">
        <v>159</v>
      </c>
    </row>
    <row r="453" spans="9:22" x14ac:dyDescent="0.45">
      <c r="I453" t="s">
        <v>174</v>
      </c>
      <c r="J453" t="s">
        <v>356</v>
      </c>
      <c r="K453">
        <v>1.7146962954700157E-4</v>
      </c>
      <c r="L453" t="s">
        <v>159</v>
      </c>
      <c r="N453" t="s">
        <v>217</v>
      </c>
      <c r="O453" t="s">
        <v>356</v>
      </c>
      <c r="P453">
        <v>1.0567448004011758E-8</v>
      </c>
      <c r="Q453" t="s">
        <v>159</v>
      </c>
      <c r="S453" t="s">
        <v>259</v>
      </c>
      <c r="T453" t="s">
        <v>356</v>
      </c>
      <c r="U453">
        <v>1.4957313497256002E-4</v>
      </c>
      <c r="V453" t="s">
        <v>159</v>
      </c>
    </row>
    <row r="454" spans="9:22" x14ac:dyDescent="0.45">
      <c r="I454" t="s">
        <v>174</v>
      </c>
      <c r="J454" t="s">
        <v>357</v>
      </c>
      <c r="K454">
        <v>1.8490085852216893E-4</v>
      </c>
      <c r="L454" t="s">
        <v>159</v>
      </c>
      <c r="N454" t="s">
        <v>217</v>
      </c>
      <c r="O454" t="s">
        <v>357</v>
      </c>
      <c r="P454">
        <v>3.9392814986567378E-6</v>
      </c>
      <c r="Q454" t="s">
        <v>159</v>
      </c>
      <c r="S454" t="s">
        <v>259</v>
      </c>
      <c r="T454" t="s">
        <v>357</v>
      </c>
      <c r="U454">
        <v>1.7791101532738863E-4</v>
      </c>
      <c r="V454" t="s">
        <v>159</v>
      </c>
    </row>
    <row r="455" spans="9:22" x14ac:dyDescent="0.45">
      <c r="I455" t="s">
        <v>174</v>
      </c>
      <c r="J455" t="s">
        <v>358</v>
      </c>
      <c r="K455">
        <v>2.187456762228797E-4</v>
      </c>
      <c r="L455" t="s">
        <v>159</v>
      </c>
      <c r="N455" t="s">
        <v>217</v>
      </c>
      <c r="O455" t="s">
        <v>358</v>
      </c>
      <c r="P455">
        <v>2.0278536805655548E-5</v>
      </c>
      <c r="Q455" t="s">
        <v>159</v>
      </c>
      <c r="S455" t="s">
        <v>259</v>
      </c>
      <c r="T455" t="s">
        <v>358</v>
      </c>
      <c r="U455">
        <v>1.8824439069891954E-4</v>
      </c>
      <c r="V455" t="s">
        <v>159</v>
      </c>
    </row>
    <row r="456" spans="9:22" x14ac:dyDescent="0.45">
      <c r="I456" t="s">
        <v>174</v>
      </c>
      <c r="J456" t="s">
        <v>359</v>
      </c>
      <c r="K456">
        <v>1.9784888548316412E-4</v>
      </c>
      <c r="L456" t="s">
        <v>159</v>
      </c>
      <c r="N456" t="s">
        <v>217</v>
      </c>
      <c r="O456" t="s">
        <v>359</v>
      </c>
      <c r="P456">
        <v>3.620704190924789E-5</v>
      </c>
      <c r="Q456" t="s">
        <v>159</v>
      </c>
      <c r="S456" t="s">
        <v>259</v>
      </c>
      <c r="T456" t="s">
        <v>359</v>
      </c>
      <c r="U456">
        <v>2.0713963763368501E-4</v>
      </c>
      <c r="V456" t="s">
        <v>159</v>
      </c>
    </row>
    <row r="457" spans="9:22" x14ac:dyDescent="0.45">
      <c r="I457" t="s">
        <v>174</v>
      </c>
      <c r="J457" t="s">
        <v>360</v>
      </c>
      <c r="K457">
        <v>1.7089029843556051E-4</v>
      </c>
      <c r="L457" t="s">
        <v>159</v>
      </c>
      <c r="N457" t="s">
        <v>217</v>
      </c>
      <c r="O457" t="s">
        <v>360</v>
      </c>
      <c r="P457">
        <v>4.4250606560559475E-5</v>
      </c>
      <c r="Q457" t="s">
        <v>159</v>
      </c>
      <c r="S457" t="s">
        <v>259</v>
      </c>
      <c r="T457" t="s">
        <v>360</v>
      </c>
      <c r="U457">
        <v>2.2243299827994257E-4</v>
      </c>
      <c r="V457" t="s">
        <v>159</v>
      </c>
    </row>
    <row r="458" spans="9:22" x14ac:dyDescent="0.45">
      <c r="I458" t="s">
        <v>174</v>
      </c>
      <c r="J458" t="s">
        <v>361</v>
      </c>
      <c r="K458">
        <v>1.6366800606853752E-4</v>
      </c>
      <c r="L458" t="s">
        <v>159</v>
      </c>
      <c r="N458" t="s">
        <v>217</v>
      </c>
      <c r="O458" t="s">
        <v>361</v>
      </c>
      <c r="P458">
        <v>4.0958222610564276E-5</v>
      </c>
      <c r="Q458" t="s">
        <v>159</v>
      </c>
      <c r="S458" t="s">
        <v>259</v>
      </c>
      <c r="T458" t="s">
        <v>361</v>
      </c>
      <c r="U458">
        <v>2.2383290653298107E-4</v>
      </c>
      <c r="V458" t="s">
        <v>159</v>
      </c>
    </row>
    <row r="459" spans="9:22" x14ac:dyDescent="0.45">
      <c r="I459" t="s">
        <v>174</v>
      </c>
      <c r="J459" t="s">
        <v>362</v>
      </c>
      <c r="K459">
        <v>1.5777331634906055E-4</v>
      </c>
      <c r="L459" t="s">
        <v>159</v>
      </c>
      <c r="N459" t="s">
        <v>217</v>
      </c>
      <c r="O459" t="s">
        <v>362</v>
      </c>
      <c r="P459">
        <v>3.0509798160005701E-5</v>
      </c>
      <c r="Q459" t="s">
        <v>159</v>
      </c>
      <c r="S459" t="s">
        <v>259</v>
      </c>
      <c r="T459" t="s">
        <v>362</v>
      </c>
      <c r="U459">
        <v>2.1567164891172526E-4</v>
      </c>
      <c r="V459" t="s">
        <v>159</v>
      </c>
    </row>
    <row r="460" spans="9:22" x14ac:dyDescent="0.45">
      <c r="I460" t="s">
        <v>174</v>
      </c>
      <c r="J460" t="s">
        <v>363</v>
      </c>
      <c r="K460">
        <v>1.1591095564603077E-4</v>
      </c>
      <c r="L460" t="s">
        <v>159</v>
      </c>
      <c r="N460" t="s">
        <v>217</v>
      </c>
      <c r="O460" t="s">
        <v>363</v>
      </c>
      <c r="P460">
        <v>2.3912058965125613E-5</v>
      </c>
      <c r="Q460" t="s">
        <v>159</v>
      </c>
      <c r="S460" t="s">
        <v>259</v>
      </c>
      <c r="T460" t="s">
        <v>363</v>
      </c>
      <c r="U460">
        <v>2.0752591211041537E-4</v>
      </c>
      <c r="V460" t="s">
        <v>159</v>
      </c>
    </row>
    <row r="461" spans="9:22" x14ac:dyDescent="0.45">
      <c r="I461" t="s">
        <v>174</v>
      </c>
      <c r="J461" t="s">
        <v>364</v>
      </c>
      <c r="K461">
        <v>0</v>
      </c>
      <c r="L461" t="s">
        <v>159</v>
      </c>
      <c r="N461" t="s">
        <v>217</v>
      </c>
      <c r="O461" t="s">
        <v>364</v>
      </c>
      <c r="P461">
        <v>2.7375667630401123E-5</v>
      </c>
      <c r="Q461" t="s">
        <v>159</v>
      </c>
      <c r="S461" t="s">
        <v>259</v>
      </c>
      <c r="T461" t="s">
        <v>364</v>
      </c>
      <c r="U461">
        <v>1.9744466530190221E-4</v>
      </c>
      <c r="V461" t="s">
        <v>159</v>
      </c>
    </row>
    <row r="462" spans="9:22" x14ac:dyDescent="0.45">
      <c r="I462" t="s">
        <v>174</v>
      </c>
      <c r="J462" t="s">
        <v>365</v>
      </c>
      <c r="K462">
        <v>0</v>
      </c>
      <c r="L462" t="s">
        <v>159</v>
      </c>
      <c r="N462" t="s">
        <v>217</v>
      </c>
      <c r="O462" t="s">
        <v>365</v>
      </c>
      <c r="P462">
        <v>2.8109455843725706E-5</v>
      </c>
      <c r="Q462" t="s">
        <v>159</v>
      </c>
      <c r="S462" t="s">
        <v>259</v>
      </c>
      <c r="T462" t="s">
        <v>365</v>
      </c>
      <c r="U462">
        <v>1.8251589252788071E-4</v>
      </c>
      <c r="V462" t="s">
        <v>159</v>
      </c>
    </row>
    <row r="463" spans="9:22" x14ac:dyDescent="0.45">
      <c r="I463" t="s">
        <v>174</v>
      </c>
      <c r="J463" t="s">
        <v>366</v>
      </c>
      <c r="K463">
        <v>0</v>
      </c>
      <c r="L463" t="s">
        <v>159</v>
      </c>
      <c r="N463" t="s">
        <v>217</v>
      </c>
      <c r="O463" t="s">
        <v>366</v>
      </c>
      <c r="P463">
        <v>2.4624673589634432E-5</v>
      </c>
      <c r="Q463" t="s">
        <v>159</v>
      </c>
      <c r="S463" t="s">
        <v>259</v>
      </c>
      <c r="T463" t="s">
        <v>366</v>
      </c>
      <c r="U463">
        <v>1.648129132072234E-4</v>
      </c>
      <c r="V463" t="s">
        <v>159</v>
      </c>
    </row>
    <row r="464" spans="9:22" x14ac:dyDescent="0.45">
      <c r="I464" t="s">
        <v>174</v>
      </c>
      <c r="J464" t="s">
        <v>367</v>
      </c>
      <c r="K464">
        <v>0</v>
      </c>
      <c r="L464" t="s">
        <v>159</v>
      </c>
      <c r="N464" t="s">
        <v>217</v>
      </c>
      <c r="O464" t="s">
        <v>367</v>
      </c>
      <c r="P464">
        <v>2.0768822614851079E-5</v>
      </c>
      <c r="Q464" t="s">
        <v>159</v>
      </c>
      <c r="S464" t="s">
        <v>259</v>
      </c>
      <c r="T464" t="s">
        <v>367</v>
      </c>
      <c r="U464">
        <v>1.5382629408355203E-4</v>
      </c>
      <c r="V464" t="s">
        <v>159</v>
      </c>
    </row>
    <row r="465" spans="9:22" x14ac:dyDescent="0.45">
      <c r="I465" t="s">
        <v>174</v>
      </c>
      <c r="J465" t="s">
        <v>368</v>
      </c>
      <c r="K465">
        <v>0</v>
      </c>
      <c r="L465" t="s">
        <v>159</v>
      </c>
      <c r="N465" t="s">
        <v>217</v>
      </c>
      <c r="O465" t="s">
        <v>368</v>
      </c>
      <c r="P465">
        <v>1.6740234997500706E-5</v>
      </c>
      <c r="Q465" t="s">
        <v>159</v>
      </c>
      <c r="S465" t="s">
        <v>259</v>
      </c>
      <c r="T465" t="s">
        <v>368</v>
      </c>
      <c r="U465">
        <v>1.4914605824322194E-4</v>
      </c>
      <c r="V465" t="s">
        <v>159</v>
      </c>
    </row>
    <row r="466" spans="9:22" x14ac:dyDescent="0.45">
      <c r="I466" t="s">
        <v>174</v>
      </c>
      <c r="J466" t="s">
        <v>369</v>
      </c>
      <c r="K466">
        <v>0</v>
      </c>
      <c r="L466" t="s">
        <v>159</v>
      </c>
      <c r="N466" t="s">
        <v>217</v>
      </c>
      <c r="O466" t="s">
        <v>369</v>
      </c>
      <c r="P466">
        <v>1.1844544232811947E-5</v>
      </c>
      <c r="Q466" t="s">
        <v>159</v>
      </c>
      <c r="S466" t="s">
        <v>259</v>
      </c>
      <c r="T466" t="s">
        <v>369</v>
      </c>
      <c r="U466">
        <v>1.3928711656410874E-4</v>
      </c>
      <c r="V466" t="s">
        <v>159</v>
      </c>
    </row>
    <row r="467" spans="9:22" x14ac:dyDescent="0.45">
      <c r="I467" t="s">
        <v>174</v>
      </c>
      <c r="J467" t="s">
        <v>165</v>
      </c>
      <c r="K467">
        <v>0</v>
      </c>
      <c r="L467" t="s">
        <v>159</v>
      </c>
      <c r="N467" t="s">
        <v>217</v>
      </c>
      <c r="O467" t="s">
        <v>165</v>
      </c>
      <c r="P467">
        <v>3.5904317084061589E-2</v>
      </c>
      <c r="Q467" t="s">
        <v>159</v>
      </c>
      <c r="S467" t="s">
        <v>259</v>
      </c>
      <c r="T467" t="s">
        <v>165</v>
      </c>
      <c r="U467">
        <v>2.1616609554391951E-2</v>
      </c>
      <c r="V467" t="s">
        <v>159</v>
      </c>
    </row>
    <row r="468" spans="9:22" x14ac:dyDescent="0.45">
      <c r="I468" t="s">
        <v>174</v>
      </c>
      <c r="J468" t="s">
        <v>166</v>
      </c>
      <c r="K468">
        <v>3.9224272749167448E-3</v>
      </c>
      <c r="L468" t="s">
        <v>159</v>
      </c>
      <c r="N468" t="s">
        <v>217</v>
      </c>
      <c r="O468" t="s">
        <v>166</v>
      </c>
      <c r="P468">
        <v>4.2696663959745822E-3</v>
      </c>
      <c r="Q468" t="s">
        <v>159</v>
      </c>
      <c r="S468" t="s">
        <v>259</v>
      </c>
      <c r="T468" t="s">
        <v>166</v>
      </c>
      <c r="U468">
        <v>3.1201309694930067E-3</v>
      </c>
      <c r="V468" t="s">
        <v>159</v>
      </c>
    </row>
    <row r="469" spans="9:22" x14ac:dyDescent="0.45">
      <c r="I469" t="s">
        <v>174</v>
      </c>
      <c r="J469" t="s">
        <v>167</v>
      </c>
      <c r="K469">
        <v>5.9378166160056915E-2</v>
      </c>
      <c r="L469" t="s">
        <v>159</v>
      </c>
      <c r="N469" t="s">
        <v>217</v>
      </c>
      <c r="O469" t="s">
        <v>167</v>
      </c>
      <c r="P469">
        <v>4.7585701883363411E-2</v>
      </c>
      <c r="Q469" t="s">
        <v>159</v>
      </c>
      <c r="S469" t="s">
        <v>259</v>
      </c>
      <c r="T469" t="s">
        <v>167</v>
      </c>
      <c r="U469">
        <v>3.2900122329046398E-2</v>
      </c>
      <c r="V469" t="s">
        <v>159</v>
      </c>
    </row>
    <row r="470" spans="9:22" x14ac:dyDescent="0.45">
      <c r="I470" t="s">
        <v>174</v>
      </c>
      <c r="J470" t="s">
        <v>291</v>
      </c>
      <c r="K470">
        <v>4.5643005541641532E-3</v>
      </c>
      <c r="L470" t="s">
        <v>159</v>
      </c>
      <c r="N470" t="s">
        <v>217</v>
      </c>
      <c r="O470" t="s">
        <v>291</v>
      </c>
      <c r="P470">
        <v>4.8050809939706295E-3</v>
      </c>
      <c r="Q470" t="s">
        <v>159</v>
      </c>
      <c r="S470" t="s">
        <v>259</v>
      </c>
      <c r="T470" t="s">
        <v>291</v>
      </c>
      <c r="U470">
        <v>4.4013214012188001E-3</v>
      </c>
      <c r="V470" t="s">
        <v>159</v>
      </c>
    </row>
    <row r="471" spans="9:22" x14ac:dyDescent="0.45">
      <c r="I471" t="s">
        <v>174</v>
      </c>
      <c r="J471" t="s">
        <v>292</v>
      </c>
      <c r="K471">
        <v>0</v>
      </c>
      <c r="L471" t="s">
        <v>159</v>
      </c>
      <c r="N471" t="s">
        <v>217</v>
      </c>
      <c r="O471" t="s">
        <v>292</v>
      </c>
      <c r="P471">
        <v>4.7067329732593879E-3</v>
      </c>
      <c r="Q471" t="s">
        <v>159</v>
      </c>
      <c r="S471" t="s">
        <v>259</v>
      </c>
      <c r="T471" t="s">
        <v>292</v>
      </c>
      <c r="U471">
        <v>4.3446283607077455E-3</v>
      </c>
      <c r="V471" t="s">
        <v>159</v>
      </c>
    </row>
    <row r="472" spans="9:22" x14ac:dyDescent="0.45">
      <c r="I472" t="s">
        <v>174</v>
      </c>
      <c r="J472" t="s">
        <v>310</v>
      </c>
      <c r="K472">
        <v>0</v>
      </c>
      <c r="L472" t="s">
        <v>159</v>
      </c>
      <c r="N472" t="s">
        <v>217</v>
      </c>
      <c r="O472" t="s">
        <v>310</v>
      </c>
      <c r="P472">
        <v>2.6303095566379824E-2</v>
      </c>
      <c r="Q472" t="s">
        <v>159</v>
      </c>
      <c r="S472" t="s">
        <v>259</v>
      </c>
      <c r="T472" t="s">
        <v>310</v>
      </c>
      <c r="U472">
        <v>2.0345697033506409E-2</v>
      </c>
      <c r="V472" t="s">
        <v>159</v>
      </c>
    </row>
    <row r="473" spans="9:22" x14ac:dyDescent="0.45">
      <c r="I473" t="s">
        <v>174</v>
      </c>
      <c r="J473" t="s">
        <v>293</v>
      </c>
      <c r="K473">
        <v>0</v>
      </c>
      <c r="L473" t="s">
        <v>159</v>
      </c>
      <c r="N473" t="s">
        <v>217</v>
      </c>
      <c r="O473" t="s">
        <v>293</v>
      </c>
      <c r="P473">
        <v>7.9380916187198943E-3</v>
      </c>
      <c r="Q473" t="s">
        <v>159</v>
      </c>
      <c r="S473" t="s">
        <v>259</v>
      </c>
      <c r="T473" t="s">
        <v>293</v>
      </c>
      <c r="U473">
        <v>7.3685690041778613E-3</v>
      </c>
      <c r="V473" t="s">
        <v>159</v>
      </c>
    </row>
    <row r="474" spans="9:22" x14ac:dyDescent="0.45">
      <c r="I474" t="s">
        <v>174</v>
      </c>
      <c r="J474" t="s">
        <v>294</v>
      </c>
      <c r="K474">
        <v>1.021782946250794E-3</v>
      </c>
      <c r="L474" t="s">
        <v>159</v>
      </c>
      <c r="N474" t="s">
        <v>217</v>
      </c>
      <c r="O474" t="s">
        <v>294</v>
      </c>
      <c r="P474">
        <v>6.064778750620685E-4</v>
      </c>
      <c r="Q474" t="s">
        <v>159</v>
      </c>
      <c r="S474" t="s">
        <v>259</v>
      </c>
      <c r="T474" t="s">
        <v>294</v>
      </c>
      <c r="U474">
        <v>8.0082259128159722E-4</v>
      </c>
      <c r="V474" t="s">
        <v>159</v>
      </c>
    </row>
    <row r="475" spans="9:22" x14ac:dyDescent="0.45">
      <c r="I475" t="s">
        <v>174</v>
      </c>
      <c r="J475" t="s">
        <v>295</v>
      </c>
      <c r="K475">
        <v>1.4816947288526146E-2</v>
      </c>
      <c r="L475" t="s">
        <v>159</v>
      </c>
      <c r="N475" t="s">
        <v>217</v>
      </c>
      <c r="O475" t="s">
        <v>295</v>
      </c>
      <c r="P475">
        <v>5.7808443706709152E-3</v>
      </c>
      <c r="Q475" t="s">
        <v>159</v>
      </c>
      <c r="S475" t="s">
        <v>259</v>
      </c>
      <c r="T475" t="s">
        <v>295</v>
      </c>
      <c r="U475">
        <v>8.9698333476241551E-3</v>
      </c>
      <c r="V475" t="s">
        <v>159</v>
      </c>
    </row>
    <row r="476" spans="9:22" x14ac:dyDescent="0.45">
      <c r="I476" t="s">
        <v>174</v>
      </c>
      <c r="J476" t="s">
        <v>296</v>
      </c>
      <c r="K476">
        <v>1.1381242662532741E-3</v>
      </c>
      <c r="L476" t="s">
        <v>159</v>
      </c>
      <c r="N476" t="s">
        <v>217</v>
      </c>
      <c r="O476" t="s">
        <v>296</v>
      </c>
      <c r="P476">
        <v>4.5048314178931879E-4</v>
      </c>
      <c r="Q476" t="s">
        <v>159</v>
      </c>
      <c r="S476" t="s">
        <v>259</v>
      </c>
      <c r="T476" t="s">
        <v>296</v>
      </c>
      <c r="U476">
        <v>1.5243342219136745E-3</v>
      </c>
      <c r="V476" t="s">
        <v>159</v>
      </c>
    </row>
    <row r="477" spans="9:22" x14ac:dyDescent="0.45">
      <c r="I477" t="s">
        <v>174</v>
      </c>
      <c r="J477" t="s">
        <v>297</v>
      </c>
      <c r="K477">
        <v>0</v>
      </c>
      <c r="L477" t="s">
        <v>159</v>
      </c>
      <c r="N477" t="s">
        <v>217</v>
      </c>
      <c r="O477" t="s">
        <v>297</v>
      </c>
      <c r="P477">
        <v>4.3333766469508164E-4</v>
      </c>
      <c r="Q477" t="s">
        <v>159</v>
      </c>
      <c r="S477" t="s">
        <v>259</v>
      </c>
      <c r="T477" t="s">
        <v>297</v>
      </c>
      <c r="U477">
        <v>1.4843706063441551E-3</v>
      </c>
      <c r="V477" t="s">
        <v>159</v>
      </c>
    </row>
    <row r="478" spans="9:22" x14ac:dyDescent="0.45">
      <c r="I478" t="s">
        <v>174</v>
      </c>
      <c r="J478" t="s">
        <v>311</v>
      </c>
      <c r="K478">
        <v>0</v>
      </c>
      <c r="L478" t="s">
        <v>159</v>
      </c>
      <c r="N478" t="s">
        <v>217</v>
      </c>
      <c r="O478" t="s">
        <v>311</v>
      </c>
      <c r="P478">
        <v>4.6854787312866865E-3</v>
      </c>
      <c r="Q478" t="s">
        <v>159</v>
      </c>
      <c r="S478" t="s">
        <v>259</v>
      </c>
      <c r="T478" t="s">
        <v>311</v>
      </c>
      <c r="U478">
        <v>7.0041636481365452E-3</v>
      </c>
      <c r="V478" t="s">
        <v>159</v>
      </c>
    </row>
    <row r="479" spans="9:22" x14ac:dyDescent="0.45">
      <c r="I479" t="s">
        <v>174</v>
      </c>
      <c r="J479" t="s">
        <v>298</v>
      </c>
      <c r="K479">
        <v>1.0134167991779372E-2</v>
      </c>
      <c r="L479" t="s">
        <v>159</v>
      </c>
      <c r="N479" t="s">
        <v>217</v>
      </c>
      <c r="O479" t="s">
        <v>298</v>
      </c>
      <c r="P479">
        <v>8.76615294718011E-2</v>
      </c>
      <c r="Q479" t="s">
        <v>159</v>
      </c>
      <c r="S479" t="s">
        <v>259</v>
      </c>
      <c r="T479" t="s">
        <v>298</v>
      </c>
      <c r="U479">
        <v>7.730510387341738E-2</v>
      </c>
      <c r="V479" t="s">
        <v>159</v>
      </c>
    </row>
    <row r="480" spans="9:22" x14ac:dyDescent="0.45">
      <c r="I480" t="s">
        <v>174</v>
      </c>
      <c r="J480" t="s">
        <v>299</v>
      </c>
      <c r="K480">
        <v>2.1335767544576067E-2</v>
      </c>
      <c r="L480" t="s">
        <v>159</v>
      </c>
      <c r="N480" t="s">
        <v>217</v>
      </c>
      <c r="O480" t="s">
        <v>299</v>
      </c>
      <c r="P480">
        <v>9.0167496385156667E-3</v>
      </c>
      <c r="Q480" t="s">
        <v>159</v>
      </c>
      <c r="S480" t="s">
        <v>259</v>
      </c>
      <c r="T480" t="s">
        <v>299</v>
      </c>
      <c r="U480">
        <v>1.0450292365367968E-2</v>
      </c>
      <c r="V480" t="s">
        <v>159</v>
      </c>
    </row>
    <row r="481" spans="9:22" x14ac:dyDescent="0.45">
      <c r="I481" t="s">
        <v>174</v>
      </c>
      <c r="J481" t="s">
        <v>300</v>
      </c>
      <c r="K481">
        <v>0.2467822178165969</v>
      </c>
      <c r="L481" t="s">
        <v>159</v>
      </c>
      <c r="N481" t="s">
        <v>217</v>
      </c>
      <c r="O481" t="s">
        <v>300</v>
      </c>
      <c r="P481">
        <v>0.13761600068388075</v>
      </c>
      <c r="Q481" t="s">
        <v>159</v>
      </c>
      <c r="S481" t="s">
        <v>259</v>
      </c>
      <c r="T481" t="s">
        <v>300</v>
      </c>
      <c r="U481">
        <v>0.1109724404082231</v>
      </c>
      <c r="V481" t="s">
        <v>159</v>
      </c>
    </row>
    <row r="482" spans="9:22" x14ac:dyDescent="0.45">
      <c r="I482" t="s">
        <v>174</v>
      </c>
      <c r="J482" t="s">
        <v>301</v>
      </c>
      <c r="K482">
        <v>1.8953630258187602E-2</v>
      </c>
      <c r="L482" t="s">
        <v>159</v>
      </c>
      <c r="N482" t="s">
        <v>217</v>
      </c>
      <c r="O482" t="s">
        <v>301</v>
      </c>
      <c r="P482">
        <v>1.7099469949246514E-2</v>
      </c>
      <c r="Q482" t="s">
        <v>159</v>
      </c>
      <c r="S482" t="s">
        <v>259</v>
      </c>
      <c r="T482" t="s">
        <v>301</v>
      </c>
      <c r="U482">
        <v>1.4255966738459648E-2</v>
      </c>
      <c r="V482" t="s">
        <v>159</v>
      </c>
    </row>
    <row r="483" spans="9:22" x14ac:dyDescent="0.45">
      <c r="I483" t="s">
        <v>174</v>
      </c>
      <c r="J483" t="s">
        <v>302</v>
      </c>
      <c r="K483">
        <v>8.3955246809818678E-3</v>
      </c>
      <c r="L483" t="s">
        <v>159</v>
      </c>
      <c r="N483" t="s">
        <v>217</v>
      </c>
      <c r="O483" t="s">
        <v>302</v>
      </c>
      <c r="P483">
        <v>1.540434096747483E-2</v>
      </c>
      <c r="Q483" t="s">
        <v>159</v>
      </c>
      <c r="S483" t="s">
        <v>259</v>
      </c>
      <c r="T483" t="s">
        <v>302</v>
      </c>
      <c r="U483">
        <v>1.4043603620644583E-2</v>
      </c>
      <c r="V483" t="s">
        <v>159</v>
      </c>
    </row>
    <row r="484" spans="9:22" x14ac:dyDescent="0.45">
      <c r="I484" t="s">
        <v>174</v>
      </c>
      <c r="J484" t="s">
        <v>312</v>
      </c>
      <c r="K484">
        <v>0</v>
      </c>
      <c r="L484" t="s">
        <v>159</v>
      </c>
      <c r="N484" t="s">
        <v>217</v>
      </c>
      <c r="O484" t="s">
        <v>312</v>
      </c>
      <c r="P484">
        <v>7.857360375166586E-2</v>
      </c>
      <c r="Q484" t="s">
        <v>159</v>
      </c>
      <c r="S484" t="s">
        <v>259</v>
      </c>
      <c r="T484" t="s">
        <v>312</v>
      </c>
      <c r="U484">
        <v>6.6690519081253424E-2</v>
      </c>
      <c r="V484" t="s">
        <v>159</v>
      </c>
    </row>
    <row r="485" spans="9:22" x14ac:dyDescent="0.45">
      <c r="I485" t="s">
        <v>174</v>
      </c>
      <c r="J485" t="s">
        <v>313</v>
      </c>
      <c r="K485">
        <v>4.0853424211043108E-3</v>
      </c>
      <c r="L485" t="s">
        <v>159</v>
      </c>
      <c r="N485" t="s">
        <v>217</v>
      </c>
      <c r="O485" t="s">
        <v>313</v>
      </c>
      <c r="P485">
        <v>1.3944425406302564E-2</v>
      </c>
      <c r="Q485" t="s">
        <v>159</v>
      </c>
      <c r="S485" t="s">
        <v>259</v>
      </c>
      <c r="T485" t="s">
        <v>313</v>
      </c>
      <c r="U485">
        <v>1.9796991121500351E-2</v>
      </c>
      <c r="V485" t="s">
        <v>159</v>
      </c>
    </row>
    <row r="486" spans="9:22" x14ac:dyDescent="0.45">
      <c r="I486" t="s">
        <v>174</v>
      </c>
      <c r="J486" t="s">
        <v>314</v>
      </c>
      <c r="K486">
        <v>6.4952404649274301E-3</v>
      </c>
      <c r="L486" t="s">
        <v>159</v>
      </c>
      <c r="N486" t="s">
        <v>217</v>
      </c>
      <c r="O486" t="s">
        <v>314</v>
      </c>
      <c r="P486">
        <v>1.3741696659551224E-3</v>
      </c>
      <c r="Q486" t="s">
        <v>159</v>
      </c>
      <c r="S486" t="s">
        <v>259</v>
      </c>
      <c r="T486" t="s">
        <v>314</v>
      </c>
      <c r="U486">
        <v>2.6169237782524063E-3</v>
      </c>
      <c r="V486" t="s">
        <v>159</v>
      </c>
    </row>
    <row r="487" spans="9:22" x14ac:dyDescent="0.45">
      <c r="I487" t="s">
        <v>174</v>
      </c>
      <c r="J487" t="s">
        <v>315</v>
      </c>
      <c r="K487">
        <v>7.265592268850872E-2</v>
      </c>
      <c r="L487" t="s">
        <v>159</v>
      </c>
      <c r="N487" t="s">
        <v>217</v>
      </c>
      <c r="O487" t="s">
        <v>315</v>
      </c>
      <c r="P487">
        <v>2.5997045621339206E-2</v>
      </c>
      <c r="Q487" t="s">
        <v>159</v>
      </c>
      <c r="S487" t="s">
        <v>259</v>
      </c>
      <c r="T487" t="s">
        <v>315</v>
      </c>
      <c r="U487">
        <v>2.337548923271526E-2</v>
      </c>
      <c r="V487" t="s">
        <v>159</v>
      </c>
    </row>
    <row r="488" spans="9:22" x14ac:dyDescent="0.45">
      <c r="I488" t="s">
        <v>174</v>
      </c>
      <c r="J488" t="s">
        <v>316</v>
      </c>
      <c r="K488">
        <v>6.0427476995375644E-3</v>
      </c>
      <c r="L488" t="s">
        <v>159</v>
      </c>
      <c r="N488" t="s">
        <v>217</v>
      </c>
      <c r="O488" t="s">
        <v>316</v>
      </c>
      <c r="P488">
        <v>3.1811396845346719E-3</v>
      </c>
      <c r="Q488" t="s">
        <v>159</v>
      </c>
      <c r="S488" t="s">
        <v>259</v>
      </c>
      <c r="T488" t="s">
        <v>316</v>
      </c>
      <c r="U488">
        <v>3.1691826617167092E-3</v>
      </c>
      <c r="V488" t="s">
        <v>159</v>
      </c>
    </row>
    <row r="489" spans="9:22" x14ac:dyDescent="0.45">
      <c r="I489" t="s">
        <v>174</v>
      </c>
      <c r="J489" t="s">
        <v>317</v>
      </c>
      <c r="K489">
        <v>3.8882943163814836E-3</v>
      </c>
      <c r="L489" t="s">
        <v>159</v>
      </c>
      <c r="N489" t="s">
        <v>217</v>
      </c>
      <c r="O489" t="s">
        <v>317</v>
      </c>
      <c r="P489">
        <v>2.5066032097565212E-3</v>
      </c>
      <c r="Q489" t="s">
        <v>159</v>
      </c>
      <c r="S489" t="s">
        <v>259</v>
      </c>
      <c r="T489" t="s">
        <v>317</v>
      </c>
      <c r="U489">
        <v>3.3220991603911776E-3</v>
      </c>
      <c r="V489" t="s">
        <v>159</v>
      </c>
    </row>
    <row r="490" spans="9:22" x14ac:dyDescent="0.45">
      <c r="I490" t="s">
        <v>174</v>
      </c>
      <c r="J490" t="s">
        <v>318</v>
      </c>
      <c r="K490">
        <v>0</v>
      </c>
      <c r="L490" t="s">
        <v>159</v>
      </c>
      <c r="N490" t="s">
        <v>217</v>
      </c>
      <c r="O490" t="s">
        <v>318</v>
      </c>
      <c r="P490">
        <v>1.4006379915199121E-2</v>
      </c>
      <c r="Q490" t="s">
        <v>159</v>
      </c>
      <c r="S490" t="s">
        <v>259</v>
      </c>
      <c r="T490" t="s">
        <v>318</v>
      </c>
      <c r="U490">
        <v>1.5884488072553552E-2</v>
      </c>
      <c r="V490" t="s">
        <v>159</v>
      </c>
    </row>
    <row r="491" spans="9:22" x14ac:dyDescent="0.45">
      <c r="I491" t="s">
        <v>175</v>
      </c>
      <c r="J491" t="s">
        <v>158</v>
      </c>
      <c r="K491">
        <v>8.8758262751635827E-3</v>
      </c>
      <c r="L491" t="s">
        <v>159</v>
      </c>
      <c r="N491" t="s">
        <v>218</v>
      </c>
      <c r="O491" t="s">
        <v>158</v>
      </c>
      <c r="P491">
        <v>0.1182892317299903</v>
      </c>
      <c r="Q491" t="s">
        <v>159</v>
      </c>
      <c r="S491" t="s">
        <v>260</v>
      </c>
      <c r="T491" t="s">
        <v>158</v>
      </c>
      <c r="U491">
        <v>0.12397375953892245</v>
      </c>
      <c r="V491" t="s">
        <v>159</v>
      </c>
    </row>
    <row r="492" spans="9:22" x14ac:dyDescent="0.45">
      <c r="I492" t="s">
        <v>175</v>
      </c>
      <c r="J492" t="s">
        <v>160</v>
      </c>
      <c r="K492">
        <v>3.0417608661641001E-2</v>
      </c>
      <c r="L492" t="s">
        <v>159</v>
      </c>
      <c r="N492" t="s">
        <v>218</v>
      </c>
      <c r="O492" t="s">
        <v>160</v>
      </c>
      <c r="P492">
        <v>1.3733508389290874E-2</v>
      </c>
      <c r="Q492" t="s">
        <v>159</v>
      </c>
      <c r="S492" t="s">
        <v>260</v>
      </c>
      <c r="T492" t="s">
        <v>160</v>
      </c>
      <c r="U492">
        <v>1.6507633622386088E-2</v>
      </c>
      <c r="V492" t="s">
        <v>159</v>
      </c>
    </row>
    <row r="493" spans="9:22" x14ac:dyDescent="0.45">
      <c r="I493" t="s">
        <v>175</v>
      </c>
      <c r="J493" t="s">
        <v>161</v>
      </c>
      <c r="K493">
        <v>0.3772680262278118</v>
      </c>
      <c r="L493" t="s">
        <v>159</v>
      </c>
      <c r="N493" t="s">
        <v>218</v>
      </c>
      <c r="O493" t="s">
        <v>161</v>
      </c>
      <c r="P493">
        <v>0.10145177236632665</v>
      </c>
      <c r="Q493" t="s">
        <v>159</v>
      </c>
      <c r="S493" t="s">
        <v>260</v>
      </c>
      <c r="T493" t="s">
        <v>161</v>
      </c>
      <c r="U493">
        <v>0.16075063432236242</v>
      </c>
      <c r="V493" t="s">
        <v>159</v>
      </c>
    </row>
    <row r="494" spans="9:22" x14ac:dyDescent="0.45">
      <c r="I494" t="s">
        <v>175</v>
      </c>
      <c r="J494" t="s">
        <v>287</v>
      </c>
      <c r="K494">
        <v>3.1597825470689185E-2</v>
      </c>
      <c r="L494" t="s">
        <v>159</v>
      </c>
      <c r="N494" t="s">
        <v>218</v>
      </c>
      <c r="O494" t="s">
        <v>287</v>
      </c>
      <c r="P494">
        <v>1.2450865724150455E-2</v>
      </c>
      <c r="Q494" t="s">
        <v>159</v>
      </c>
      <c r="S494" t="s">
        <v>260</v>
      </c>
      <c r="T494" t="s">
        <v>287</v>
      </c>
      <c r="U494">
        <v>2.0922472808134227E-2</v>
      </c>
      <c r="V494" t="s">
        <v>159</v>
      </c>
    </row>
    <row r="495" spans="9:22" x14ac:dyDescent="0.45">
      <c r="I495" t="s">
        <v>175</v>
      </c>
      <c r="J495" t="s">
        <v>288</v>
      </c>
      <c r="K495">
        <v>1.4920672771253288E-2</v>
      </c>
      <c r="L495" t="s">
        <v>159</v>
      </c>
      <c r="N495" t="s">
        <v>218</v>
      </c>
      <c r="O495" t="s">
        <v>288</v>
      </c>
      <c r="P495">
        <v>1.4915344302335409E-2</v>
      </c>
      <c r="Q495" t="s">
        <v>159</v>
      </c>
      <c r="S495" t="s">
        <v>260</v>
      </c>
      <c r="T495" t="s">
        <v>288</v>
      </c>
      <c r="U495">
        <v>2.0921159135838911E-2</v>
      </c>
      <c r="V495" t="s">
        <v>159</v>
      </c>
    </row>
    <row r="496" spans="9:22" x14ac:dyDescent="0.45">
      <c r="I496" t="s">
        <v>175</v>
      </c>
      <c r="J496" t="s">
        <v>308</v>
      </c>
      <c r="K496">
        <v>6.2573388804143548E-4</v>
      </c>
      <c r="L496" t="s">
        <v>159</v>
      </c>
      <c r="N496" t="s">
        <v>218</v>
      </c>
      <c r="O496" t="s">
        <v>308</v>
      </c>
      <c r="P496">
        <v>0.10975078017843427</v>
      </c>
      <c r="Q496" t="s">
        <v>159</v>
      </c>
      <c r="S496" t="s">
        <v>260</v>
      </c>
      <c r="T496" t="s">
        <v>308</v>
      </c>
      <c r="U496">
        <v>0.1013336740787239</v>
      </c>
      <c r="V496" t="s">
        <v>159</v>
      </c>
    </row>
    <row r="497" spans="9:22" x14ac:dyDescent="0.45">
      <c r="I497" t="s">
        <v>175</v>
      </c>
      <c r="J497" t="s">
        <v>162</v>
      </c>
      <c r="K497">
        <v>0</v>
      </c>
      <c r="L497" t="s">
        <v>159</v>
      </c>
      <c r="N497" t="s">
        <v>218</v>
      </c>
      <c r="O497" t="s">
        <v>162</v>
      </c>
      <c r="P497">
        <v>2.8723419624425338E-2</v>
      </c>
      <c r="Q497" t="s">
        <v>159</v>
      </c>
      <c r="S497" t="s">
        <v>260</v>
      </c>
      <c r="T497" t="s">
        <v>162</v>
      </c>
      <c r="U497">
        <v>1.8129607138950465E-2</v>
      </c>
      <c r="V497" t="s">
        <v>159</v>
      </c>
    </row>
    <row r="498" spans="9:22" x14ac:dyDescent="0.45">
      <c r="I498" t="s">
        <v>175</v>
      </c>
      <c r="J498" t="s">
        <v>163</v>
      </c>
      <c r="K498">
        <v>1.3920432579264951E-4</v>
      </c>
      <c r="L498" t="s">
        <v>159</v>
      </c>
      <c r="N498" t="s">
        <v>218</v>
      </c>
      <c r="O498" t="s">
        <v>163</v>
      </c>
      <c r="P498">
        <v>3.2531494547655931E-3</v>
      </c>
      <c r="Q498" t="s">
        <v>159</v>
      </c>
      <c r="S498" t="s">
        <v>260</v>
      </c>
      <c r="T498" t="s">
        <v>163</v>
      </c>
      <c r="U498">
        <v>3.008447081077335E-3</v>
      </c>
      <c r="V498" t="s">
        <v>159</v>
      </c>
    </row>
    <row r="499" spans="9:22" x14ac:dyDescent="0.45">
      <c r="I499" t="s">
        <v>175</v>
      </c>
      <c r="J499" t="s">
        <v>164</v>
      </c>
      <c r="K499">
        <v>4.385189911272383E-2</v>
      </c>
      <c r="L499" t="s">
        <v>159</v>
      </c>
      <c r="N499" t="s">
        <v>218</v>
      </c>
      <c r="O499" t="s">
        <v>164</v>
      </c>
      <c r="P499">
        <v>2.252080988747069E-2</v>
      </c>
      <c r="Q499" t="s">
        <v>159</v>
      </c>
      <c r="S499" t="s">
        <v>260</v>
      </c>
      <c r="T499" t="s">
        <v>164</v>
      </c>
      <c r="U499">
        <v>2.7116936956190118E-2</v>
      </c>
      <c r="V499" t="s">
        <v>159</v>
      </c>
    </row>
    <row r="500" spans="9:22" x14ac:dyDescent="0.45">
      <c r="I500" t="s">
        <v>175</v>
      </c>
      <c r="J500" t="s">
        <v>289</v>
      </c>
      <c r="K500">
        <v>3.3118606799559993E-3</v>
      </c>
      <c r="L500" t="s">
        <v>159</v>
      </c>
      <c r="N500" t="s">
        <v>218</v>
      </c>
      <c r="O500" t="s">
        <v>289</v>
      </c>
      <c r="P500">
        <v>2.4096516458356112E-3</v>
      </c>
      <c r="Q500" t="s">
        <v>159</v>
      </c>
      <c r="S500" t="s">
        <v>260</v>
      </c>
      <c r="T500" t="s">
        <v>289</v>
      </c>
      <c r="U500">
        <v>3.2661227305559926E-3</v>
      </c>
      <c r="V500" t="s">
        <v>159</v>
      </c>
    </row>
    <row r="501" spans="9:22" x14ac:dyDescent="0.45">
      <c r="I501" t="s">
        <v>175</v>
      </c>
      <c r="J501" t="s">
        <v>290</v>
      </c>
      <c r="K501">
        <v>0</v>
      </c>
      <c r="L501" t="s">
        <v>159</v>
      </c>
      <c r="N501" t="s">
        <v>218</v>
      </c>
      <c r="O501" t="s">
        <v>290</v>
      </c>
      <c r="P501">
        <v>3.2141451298416382E-3</v>
      </c>
      <c r="Q501" t="s">
        <v>159</v>
      </c>
      <c r="S501" t="s">
        <v>260</v>
      </c>
      <c r="T501" t="s">
        <v>290</v>
      </c>
      <c r="U501">
        <v>3.1324160247603958E-3</v>
      </c>
      <c r="V501" t="s">
        <v>159</v>
      </c>
    </row>
    <row r="502" spans="9:22" x14ac:dyDescent="0.45">
      <c r="I502" t="s">
        <v>175</v>
      </c>
      <c r="J502" t="s">
        <v>309</v>
      </c>
      <c r="K502">
        <v>0</v>
      </c>
      <c r="L502" t="s">
        <v>159</v>
      </c>
      <c r="N502" t="s">
        <v>218</v>
      </c>
      <c r="O502" t="s">
        <v>309</v>
      </c>
      <c r="P502">
        <v>2.2897890816741651E-2</v>
      </c>
      <c r="Q502" t="s">
        <v>159</v>
      </c>
      <c r="S502" t="s">
        <v>260</v>
      </c>
      <c r="T502" t="s">
        <v>309</v>
      </c>
      <c r="U502">
        <v>1.3927755533436606E-2</v>
      </c>
      <c r="V502" t="s">
        <v>159</v>
      </c>
    </row>
    <row r="503" spans="9:22" x14ac:dyDescent="0.45">
      <c r="I503" t="s">
        <v>175</v>
      </c>
      <c r="J503" t="s">
        <v>346</v>
      </c>
      <c r="K503">
        <v>0</v>
      </c>
      <c r="L503" t="s">
        <v>159</v>
      </c>
      <c r="N503" t="s">
        <v>218</v>
      </c>
      <c r="O503" t="s">
        <v>346</v>
      </c>
      <c r="P503">
        <v>4.1107490103252413E-5</v>
      </c>
      <c r="Q503" t="s">
        <v>159</v>
      </c>
      <c r="S503" t="s">
        <v>260</v>
      </c>
      <c r="T503" t="s">
        <v>346</v>
      </c>
      <c r="U503">
        <v>5.7909882794837351E-5</v>
      </c>
      <c r="V503" t="s">
        <v>159</v>
      </c>
    </row>
    <row r="504" spans="9:22" x14ac:dyDescent="0.45">
      <c r="I504" t="s">
        <v>175</v>
      </c>
      <c r="J504" t="s">
        <v>347</v>
      </c>
      <c r="K504">
        <v>0</v>
      </c>
      <c r="L504" t="s">
        <v>159</v>
      </c>
      <c r="N504" t="s">
        <v>218</v>
      </c>
      <c r="O504" t="s">
        <v>347</v>
      </c>
      <c r="P504">
        <v>3.4663961935424595E-5</v>
      </c>
      <c r="Q504" t="s">
        <v>159</v>
      </c>
      <c r="S504" t="s">
        <v>260</v>
      </c>
      <c r="T504" t="s">
        <v>347</v>
      </c>
      <c r="U504">
        <v>5.710608878346042E-5</v>
      </c>
      <c r="V504" t="s">
        <v>159</v>
      </c>
    </row>
    <row r="505" spans="9:22" x14ac:dyDescent="0.45">
      <c r="I505" t="s">
        <v>175</v>
      </c>
      <c r="J505" t="s">
        <v>348</v>
      </c>
      <c r="K505">
        <v>0</v>
      </c>
      <c r="L505" t="s">
        <v>159</v>
      </c>
      <c r="N505" t="s">
        <v>218</v>
      </c>
      <c r="O505" t="s">
        <v>348</v>
      </c>
      <c r="P505">
        <v>2.8537035187734885E-5</v>
      </c>
      <c r="Q505" t="s">
        <v>159</v>
      </c>
      <c r="S505" t="s">
        <v>260</v>
      </c>
      <c r="T505" t="s">
        <v>348</v>
      </c>
      <c r="U505">
        <v>5.7432064025150052E-5</v>
      </c>
      <c r="V505" t="s">
        <v>159</v>
      </c>
    </row>
    <row r="506" spans="9:22" x14ac:dyDescent="0.45">
      <c r="I506" t="s">
        <v>175</v>
      </c>
      <c r="J506" t="s">
        <v>349</v>
      </c>
      <c r="K506">
        <v>0</v>
      </c>
      <c r="L506" t="s">
        <v>159</v>
      </c>
      <c r="N506" t="s">
        <v>218</v>
      </c>
      <c r="O506" t="s">
        <v>349</v>
      </c>
      <c r="P506">
        <v>2.5348450683337284E-5</v>
      </c>
      <c r="Q506" t="s">
        <v>159</v>
      </c>
      <c r="S506" t="s">
        <v>260</v>
      </c>
      <c r="T506" t="s">
        <v>349</v>
      </c>
      <c r="U506">
        <v>5.7899902738355506E-5</v>
      </c>
      <c r="V506" t="s">
        <v>159</v>
      </c>
    </row>
    <row r="507" spans="9:22" x14ac:dyDescent="0.45">
      <c r="I507" t="s">
        <v>175</v>
      </c>
      <c r="J507" t="s">
        <v>350</v>
      </c>
      <c r="K507">
        <v>0</v>
      </c>
      <c r="L507" t="s">
        <v>159</v>
      </c>
      <c r="N507" t="s">
        <v>218</v>
      </c>
      <c r="O507" t="s">
        <v>350</v>
      </c>
      <c r="P507">
        <v>2.4806079802532044E-5</v>
      </c>
      <c r="Q507" t="s">
        <v>159</v>
      </c>
      <c r="S507" t="s">
        <v>260</v>
      </c>
      <c r="T507" t="s">
        <v>350</v>
      </c>
      <c r="U507">
        <v>5.6733863338065392E-5</v>
      </c>
      <c r="V507" t="s">
        <v>159</v>
      </c>
    </row>
    <row r="508" spans="9:22" x14ac:dyDescent="0.45">
      <c r="I508" t="s">
        <v>175</v>
      </c>
      <c r="J508" t="s">
        <v>351</v>
      </c>
      <c r="K508">
        <v>0</v>
      </c>
      <c r="L508" t="s">
        <v>159</v>
      </c>
      <c r="N508" t="s">
        <v>218</v>
      </c>
      <c r="O508" t="s">
        <v>351</v>
      </c>
      <c r="P508">
        <v>2.200649182773182E-5</v>
      </c>
      <c r="Q508" t="s">
        <v>159</v>
      </c>
      <c r="S508" t="s">
        <v>260</v>
      </c>
      <c r="T508" t="s">
        <v>351</v>
      </c>
      <c r="U508">
        <v>6.7715169711250828E-5</v>
      </c>
      <c r="V508" t="s">
        <v>159</v>
      </c>
    </row>
    <row r="509" spans="9:22" x14ac:dyDescent="0.45">
      <c r="I509" t="s">
        <v>175</v>
      </c>
      <c r="J509" t="s">
        <v>352</v>
      </c>
      <c r="K509">
        <v>0</v>
      </c>
      <c r="L509" t="s">
        <v>159</v>
      </c>
      <c r="N509" t="s">
        <v>218</v>
      </c>
      <c r="O509" t="s">
        <v>352</v>
      </c>
      <c r="P509">
        <v>2.0352254346501794E-5</v>
      </c>
      <c r="Q509" t="s">
        <v>159</v>
      </c>
      <c r="S509" t="s">
        <v>260</v>
      </c>
      <c r="T509" t="s">
        <v>352</v>
      </c>
      <c r="U509">
        <v>8.384245405284483E-5</v>
      </c>
      <c r="V509" t="s">
        <v>159</v>
      </c>
    </row>
    <row r="510" spans="9:22" x14ac:dyDescent="0.45">
      <c r="I510" t="s">
        <v>175</v>
      </c>
      <c r="J510" t="s">
        <v>353</v>
      </c>
      <c r="K510">
        <v>8.3949205201307153E-9</v>
      </c>
      <c r="L510" t="s">
        <v>159</v>
      </c>
      <c r="N510" t="s">
        <v>218</v>
      </c>
      <c r="O510" t="s">
        <v>353</v>
      </c>
      <c r="P510">
        <v>1.4755103869834717E-5</v>
      </c>
      <c r="Q510" t="s">
        <v>159</v>
      </c>
      <c r="S510" t="s">
        <v>260</v>
      </c>
      <c r="T510" t="s">
        <v>353</v>
      </c>
      <c r="U510">
        <v>1.0140941822566961E-4</v>
      </c>
      <c r="V510" t="s">
        <v>159</v>
      </c>
    </row>
    <row r="511" spans="9:22" x14ac:dyDescent="0.45">
      <c r="I511" t="s">
        <v>175</v>
      </c>
      <c r="J511" t="s">
        <v>354</v>
      </c>
      <c r="K511">
        <v>1.618179215810259E-4</v>
      </c>
      <c r="L511" t="s">
        <v>159</v>
      </c>
      <c r="N511" t="s">
        <v>218</v>
      </c>
      <c r="O511" t="s">
        <v>354</v>
      </c>
      <c r="P511">
        <v>8.4980318127579441E-6</v>
      </c>
      <c r="Q511" t="s">
        <v>159</v>
      </c>
      <c r="S511" t="s">
        <v>260</v>
      </c>
      <c r="T511" t="s">
        <v>354</v>
      </c>
      <c r="U511">
        <v>1.1558401301844432E-4</v>
      </c>
      <c r="V511" t="s">
        <v>159</v>
      </c>
    </row>
    <row r="512" spans="9:22" x14ac:dyDescent="0.45">
      <c r="I512" t="s">
        <v>175</v>
      </c>
      <c r="J512" t="s">
        <v>355</v>
      </c>
      <c r="K512">
        <v>1.7207482022715438E-4</v>
      </c>
      <c r="L512" t="s">
        <v>159</v>
      </c>
      <c r="N512" t="s">
        <v>218</v>
      </c>
      <c r="O512" t="s">
        <v>355</v>
      </c>
      <c r="P512">
        <v>3.6705281017120253E-7</v>
      </c>
      <c r="Q512" t="s">
        <v>159</v>
      </c>
      <c r="S512" t="s">
        <v>260</v>
      </c>
      <c r="T512" t="s">
        <v>355</v>
      </c>
      <c r="U512">
        <v>1.2767132601218864E-4</v>
      </c>
      <c r="V512" t="s">
        <v>159</v>
      </c>
    </row>
    <row r="513" spans="9:22" x14ac:dyDescent="0.45">
      <c r="I513" t="s">
        <v>175</v>
      </c>
      <c r="J513" t="s">
        <v>356</v>
      </c>
      <c r="K513">
        <v>1.6546765133079063E-4</v>
      </c>
      <c r="L513" t="s">
        <v>159</v>
      </c>
      <c r="N513" t="s">
        <v>218</v>
      </c>
      <c r="O513" t="s">
        <v>356</v>
      </c>
      <c r="P513">
        <v>8.5259822741089071E-8</v>
      </c>
      <c r="Q513" t="s">
        <v>159</v>
      </c>
      <c r="S513" t="s">
        <v>260</v>
      </c>
      <c r="T513" t="s">
        <v>356</v>
      </c>
      <c r="U513">
        <v>1.4050536413441684E-4</v>
      </c>
      <c r="V513" t="s">
        <v>159</v>
      </c>
    </row>
    <row r="514" spans="9:22" x14ac:dyDescent="0.45">
      <c r="I514" t="s">
        <v>175</v>
      </c>
      <c r="J514" t="s">
        <v>357</v>
      </c>
      <c r="K514">
        <v>1.7815313493234306E-4</v>
      </c>
      <c r="L514" t="s">
        <v>159</v>
      </c>
      <c r="N514" t="s">
        <v>218</v>
      </c>
      <c r="O514" t="s">
        <v>357</v>
      </c>
      <c r="P514">
        <v>1.8019241392469297E-7</v>
      </c>
      <c r="Q514" t="s">
        <v>159</v>
      </c>
      <c r="S514" t="s">
        <v>260</v>
      </c>
      <c r="T514" t="s">
        <v>357</v>
      </c>
      <c r="U514">
        <v>1.6222064839276055E-4</v>
      </c>
      <c r="V514" t="s">
        <v>159</v>
      </c>
    </row>
    <row r="515" spans="9:22" x14ac:dyDescent="0.45">
      <c r="I515" t="s">
        <v>175</v>
      </c>
      <c r="J515" t="s">
        <v>358</v>
      </c>
      <c r="K515">
        <v>2.1746362165985908E-4</v>
      </c>
      <c r="L515" t="s">
        <v>159</v>
      </c>
      <c r="N515" t="s">
        <v>218</v>
      </c>
      <c r="O515" t="s">
        <v>358</v>
      </c>
      <c r="P515">
        <v>1.1542950475588815E-6</v>
      </c>
      <c r="Q515" t="s">
        <v>159</v>
      </c>
      <c r="S515" t="s">
        <v>260</v>
      </c>
      <c r="T515" t="s">
        <v>358</v>
      </c>
      <c r="U515">
        <v>1.7384764787208061E-4</v>
      </c>
      <c r="V515" t="s">
        <v>159</v>
      </c>
    </row>
    <row r="516" spans="9:22" x14ac:dyDescent="0.45">
      <c r="I516" t="s">
        <v>175</v>
      </c>
      <c r="J516" t="s">
        <v>359</v>
      </c>
      <c r="K516">
        <v>1.8887542480471487E-4</v>
      </c>
      <c r="L516" t="s">
        <v>159</v>
      </c>
      <c r="N516" t="s">
        <v>218</v>
      </c>
      <c r="O516" t="s">
        <v>359</v>
      </c>
      <c r="P516">
        <v>9.2967342694217885E-6</v>
      </c>
      <c r="Q516" t="s">
        <v>159</v>
      </c>
      <c r="S516" t="s">
        <v>260</v>
      </c>
      <c r="T516" t="s">
        <v>359</v>
      </c>
      <c r="U516">
        <v>1.8027832620576257E-4</v>
      </c>
      <c r="V516" t="s">
        <v>159</v>
      </c>
    </row>
    <row r="517" spans="9:22" x14ac:dyDescent="0.45">
      <c r="I517" t="s">
        <v>175</v>
      </c>
      <c r="J517" t="s">
        <v>360</v>
      </c>
      <c r="K517">
        <v>1.631031784249146E-4</v>
      </c>
      <c r="L517" t="s">
        <v>159</v>
      </c>
      <c r="N517" t="s">
        <v>218</v>
      </c>
      <c r="O517" t="s">
        <v>360</v>
      </c>
      <c r="P517">
        <v>1.9556819440531052E-5</v>
      </c>
      <c r="Q517" t="s">
        <v>159</v>
      </c>
      <c r="S517" t="s">
        <v>260</v>
      </c>
      <c r="T517" t="s">
        <v>360</v>
      </c>
      <c r="U517">
        <v>1.8093282261086327E-4</v>
      </c>
      <c r="V517" t="s">
        <v>159</v>
      </c>
    </row>
    <row r="518" spans="9:22" x14ac:dyDescent="0.45">
      <c r="I518" t="s">
        <v>175</v>
      </c>
      <c r="J518" t="s">
        <v>361</v>
      </c>
      <c r="K518">
        <v>1.6250145034855091E-4</v>
      </c>
      <c r="L518" t="s">
        <v>159</v>
      </c>
      <c r="N518" t="s">
        <v>218</v>
      </c>
      <c r="O518" t="s">
        <v>361</v>
      </c>
      <c r="P518">
        <v>2.2776947077524254E-5</v>
      </c>
      <c r="Q518" t="s">
        <v>159</v>
      </c>
      <c r="S518" t="s">
        <v>260</v>
      </c>
      <c r="T518" t="s">
        <v>361</v>
      </c>
      <c r="U518">
        <v>1.8321219347924104E-4</v>
      </c>
      <c r="V518" t="s">
        <v>159</v>
      </c>
    </row>
    <row r="519" spans="9:22" x14ac:dyDescent="0.45">
      <c r="I519" t="s">
        <v>175</v>
      </c>
      <c r="J519" t="s">
        <v>362</v>
      </c>
      <c r="K519">
        <v>1.6134846901425857E-4</v>
      </c>
      <c r="L519" t="s">
        <v>159</v>
      </c>
      <c r="N519" t="s">
        <v>218</v>
      </c>
      <c r="O519" t="s">
        <v>362</v>
      </c>
      <c r="P519">
        <v>1.996515805776235E-5</v>
      </c>
      <c r="Q519" t="s">
        <v>159</v>
      </c>
      <c r="S519" t="s">
        <v>260</v>
      </c>
      <c r="T519" t="s">
        <v>362</v>
      </c>
      <c r="U519">
        <v>1.7923578753044952E-4</v>
      </c>
      <c r="V519" t="s">
        <v>159</v>
      </c>
    </row>
    <row r="520" spans="9:22" x14ac:dyDescent="0.45">
      <c r="I520" t="s">
        <v>175</v>
      </c>
      <c r="J520" t="s">
        <v>363</v>
      </c>
      <c r="K520">
        <v>1.2182828461240614E-4</v>
      </c>
      <c r="L520" t="s">
        <v>159</v>
      </c>
      <c r="N520" t="s">
        <v>218</v>
      </c>
      <c r="O520" t="s">
        <v>363</v>
      </c>
      <c r="P520">
        <v>1.8083886460134585E-5</v>
      </c>
      <c r="Q520" t="s">
        <v>159</v>
      </c>
      <c r="S520" t="s">
        <v>260</v>
      </c>
      <c r="T520" t="s">
        <v>363</v>
      </c>
      <c r="U520">
        <v>1.6775089470871837E-4</v>
      </c>
      <c r="V520" t="s">
        <v>159</v>
      </c>
    </row>
    <row r="521" spans="9:22" x14ac:dyDescent="0.45">
      <c r="I521" t="s">
        <v>175</v>
      </c>
      <c r="J521" t="s">
        <v>364</v>
      </c>
      <c r="K521">
        <v>0</v>
      </c>
      <c r="L521" t="s">
        <v>159</v>
      </c>
      <c r="N521" t="s">
        <v>218</v>
      </c>
      <c r="O521" t="s">
        <v>364</v>
      </c>
      <c r="P521">
        <v>1.9992337253064462E-5</v>
      </c>
      <c r="Q521" t="s">
        <v>159</v>
      </c>
      <c r="S521" t="s">
        <v>260</v>
      </c>
      <c r="T521" t="s">
        <v>364</v>
      </c>
      <c r="U521">
        <v>1.5167117118753732E-4</v>
      </c>
      <c r="V521" t="s">
        <v>159</v>
      </c>
    </row>
    <row r="522" spans="9:22" x14ac:dyDescent="0.45">
      <c r="I522" t="s">
        <v>175</v>
      </c>
      <c r="J522" t="s">
        <v>365</v>
      </c>
      <c r="K522">
        <v>0</v>
      </c>
      <c r="L522" t="s">
        <v>159</v>
      </c>
      <c r="N522" t="s">
        <v>218</v>
      </c>
      <c r="O522" t="s">
        <v>365</v>
      </c>
      <c r="P522">
        <v>2.6696762649924292E-5</v>
      </c>
      <c r="Q522" t="s">
        <v>159</v>
      </c>
      <c r="S522" t="s">
        <v>260</v>
      </c>
      <c r="T522" t="s">
        <v>365</v>
      </c>
      <c r="U522">
        <v>1.3454773429431177E-4</v>
      </c>
      <c r="V522" t="s">
        <v>159</v>
      </c>
    </row>
    <row r="523" spans="9:22" x14ac:dyDescent="0.45">
      <c r="I523" t="s">
        <v>175</v>
      </c>
      <c r="J523" t="s">
        <v>366</v>
      </c>
      <c r="K523">
        <v>0</v>
      </c>
      <c r="L523" t="s">
        <v>159</v>
      </c>
      <c r="N523" t="s">
        <v>218</v>
      </c>
      <c r="O523" t="s">
        <v>366</v>
      </c>
      <c r="P523">
        <v>3.6541950107067838E-5</v>
      </c>
      <c r="Q523" t="s">
        <v>159</v>
      </c>
      <c r="S523" t="s">
        <v>260</v>
      </c>
      <c r="T523" t="s">
        <v>366</v>
      </c>
      <c r="U523">
        <v>1.1884259168588324E-4</v>
      </c>
      <c r="V523" t="s">
        <v>159</v>
      </c>
    </row>
    <row r="524" spans="9:22" x14ac:dyDescent="0.45">
      <c r="I524" t="s">
        <v>175</v>
      </c>
      <c r="J524" t="s">
        <v>367</v>
      </c>
      <c r="K524">
        <v>0</v>
      </c>
      <c r="L524" t="s">
        <v>159</v>
      </c>
      <c r="N524" t="s">
        <v>218</v>
      </c>
      <c r="O524" t="s">
        <v>367</v>
      </c>
      <c r="P524">
        <v>3.2507847083832954E-5</v>
      </c>
      <c r="Q524" t="s">
        <v>159</v>
      </c>
      <c r="S524" t="s">
        <v>260</v>
      </c>
      <c r="T524" t="s">
        <v>367</v>
      </c>
      <c r="U524">
        <v>1.0226809913731038E-4</v>
      </c>
      <c r="V524" t="s">
        <v>159</v>
      </c>
    </row>
    <row r="525" spans="9:22" x14ac:dyDescent="0.45">
      <c r="I525" t="s">
        <v>175</v>
      </c>
      <c r="J525" t="s">
        <v>368</v>
      </c>
      <c r="K525">
        <v>0</v>
      </c>
      <c r="L525" t="s">
        <v>159</v>
      </c>
      <c r="N525" t="s">
        <v>218</v>
      </c>
      <c r="O525" t="s">
        <v>368</v>
      </c>
      <c r="P525">
        <v>2.9636476350072647E-5</v>
      </c>
      <c r="Q525" t="s">
        <v>159</v>
      </c>
      <c r="S525" t="s">
        <v>260</v>
      </c>
      <c r="T525" t="s">
        <v>368</v>
      </c>
      <c r="U525">
        <v>8.7456640284473184E-5</v>
      </c>
      <c r="V525" t="s">
        <v>159</v>
      </c>
    </row>
    <row r="526" spans="9:22" x14ac:dyDescent="0.45">
      <c r="I526" t="s">
        <v>175</v>
      </c>
      <c r="J526" t="s">
        <v>369</v>
      </c>
      <c r="K526">
        <v>0</v>
      </c>
      <c r="L526" t="s">
        <v>159</v>
      </c>
      <c r="N526" t="s">
        <v>218</v>
      </c>
      <c r="O526" t="s">
        <v>369</v>
      </c>
      <c r="P526">
        <v>2.9559296630344822E-5</v>
      </c>
      <c r="Q526" t="s">
        <v>159</v>
      </c>
      <c r="S526" t="s">
        <v>260</v>
      </c>
      <c r="T526" t="s">
        <v>369</v>
      </c>
      <c r="U526">
        <v>7.10265808586163E-5</v>
      </c>
      <c r="V526" t="s">
        <v>159</v>
      </c>
    </row>
    <row r="527" spans="9:22" x14ac:dyDescent="0.45">
      <c r="I527" t="s">
        <v>175</v>
      </c>
      <c r="J527" t="s">
        <v>165</v>
      </c>
      <c r="K527">
        <v>0</v>
      </c>
      <c r="L527" t="s">
        <v>159</v>
      </c>
      <c r="N527" t="s">
        <v>218</v>
      </c>
      <c r="O527" t="s">
        <v>165</v>
      </c>
      <c r="P527">
        <v>3.4802141334910108E-2</v>
      </c>
      <c r="Q527" t="s">
        <v>159</v>
      </c>
      <c r="S527" t="s">
        <v>260</v>
      </c>
      <c r="T527" t="s">
        <v>165</v>
      </c>
      <c r="U527">
        <v>2.5779368973973222E-2</v>
      </c>
      <c r="V527" t="s">
        <v>159</v>
      </c>
    </row>
    <row r="528" spans="9:22" x14ac:dyDescent="0.45">
      <c r="I528" t="s">
        <v>175</v>
      </c>
      <c r="J528" t="s">
        <v>166</v>
      </c>
      <c r="K528">
        <v>3.5487348819195218E-3</v>
      </c>
      <c r="L528" t="s">
        <v>159</v>
      </c>
      <c r="N528" t="s">
        <v>218</v>
      </c>
      <c r="O528" t="s">
        <v>166</v>
      </c>
      <c r="P528">
        <v>3.9141908393757821E-3</v>
      </c>
      <c r="Q528" t="s">
        <v>159</v>
      </c>
      <c r="S528" t="s">
        <v>260</v>
      </c>
      <c r="T528" t="s">
        <v>166</v>
      </c>
      <c r="U528">
        <v>3.7606787933027633E-3</v>
      </c>
      <c r="V528" t="s">
        <v>159</v>
      </c>
    </row>
    <row r="529" spans="9:22" x14ac:dyDescent="0.45">
      <c r="I529" t="s">
        <v>175</v>
      </c>
      <c r="J529" t="s">
        <v>167</v>
      </c>
      <c r="K529">
        <v>5.6358981813759028E-2</v>
      </c>
      <c r="L529" t="s">
        <v>159</v>
      </c>
      <c r="N529" t="s">
        <v>218</v>
      </c>
      <c r="O529" t="s">
        <v>167</v>
      </c>
      <c r="P529">
        <v>3.2138404317608178E-2</v>
      </c>
      <c r="Q529" t="s">
        <v>159</v>
      </c>
      <c r="S529" t="s">
        <v>260</v>
      </c>
      <c r="T529" t="s">
        <v>167</v>
      </c>
      <c r="U529">
        <v>3.5841446064082447E-2</v>
      </c>
      <c r="V529" t="s">
        <v>159</v>
      </c>
    </row>
    <row r="530" spans="9:22" x14ac:dyDescent="0.45">
      <c r="I530" t="s">
        <v>175</v>
      </c>
      <c r="J530" t="s">
        <v>291</v>
      </c>
      <c r="K530">
        <v>4.3460016690217594E-3</v>
      </c>
      <c r="L530" t="s">
        <v>159</v>
      </c>
      <c r="N530" t="s">
        <v>218</v>
      </c>
      <c r="O530" t="s">
        <v>291</v>
      </c>
      <c r="P530">
        <v>3.3386329369244415E-3</v>
      </c>
      <c r="Q530" t="s">
        <v>159</v>
      </c>
      <c r="S530" t="s">
        <v>260</v>
      </c>
      <c r="T530" t="s">
        <v>291</v>
      </c>
      <c r="U530">
        <v>4.5282731821806822E-3</v>
      </c>
      <c r="V530" t="s">
        <v>159</v>
      </c>
    </row>
    <row r="531" spans="9:22" x14ac:dyDescent="0.45">
      <c r="I531" t="s">
        <v>175</v>
      </c>
      <c r="J531" t="s">
        <v>292</v>
      </c>
      <c r="K531">
        <v>0</v>
      </c>
      <c r="L531" t="s">
        <v>159</v>
      </c>
      <c r="N531" t="s">
        <v>218</v>
      </c>
      <c r="O531" t="s">
        <v>292</v>
      </c>
      <c r="P531">
        <v>3.8508181625169485E-3</v>
      </c>
      <c r="Q531" t="s">
        <v>159</v>
      </c>
      <c r="S531" t="s">
        <v>260</v>
      </c>
      <c r="T531" t="s">
        <v>292</v>
      </c>
      <c r="U531">
        <v>4.4860072400086633E-3</v>
      </c>
      <c r="V531" t="s">
        <v>159</v>
      </c>
    </row>
    <row r="532" spans="9:22" x14ac:dyDescent="0.45">
      <c r="I532" t="s">
        <v>175</v>
      </c>
      <c r="J532" t="s">
        <v>310</v>
      </c>
      <c r="K532">
        <v>0</v>
      </c>
      <c r="L532" t="s">
        <v>159</v>
      </c>
      <c r="N532" t="s">
        <v>218</v>
      </c>
      <c r="O532" t="s">
        <v>310</v>
      </c>
      <c r="P532">
        <v>2.5959654256359099E-2</v>
      </c>
      <c r="Q532" t="s">
        <v>159</v>
      </c>
      <c r="S532" t="s">
        <v>260</v>
      </c>
      <c r="T532" t="s">
        <v>310</v>
      </c>
      <c r="U532">
        <v>2.176222614094496E-2</v>
      </c>
      <c r="V532" t="s">
        <v>159</v>
      </c>
    </row>
    <row r="533" spans="9:22" x14ac:dyDescent="0.45">
      <c r="I533" t="s">
        <v>175</v>
      </c>
      <c r="J533" t="s">
        <v>293</v>
      </c>
      <c r="K533">
        <v>0</v>
      </c>
      <c r="L533" t="s">
        <v>159</v>
      </c>
      <c r="N533" t="s">
        <v>218</v>
      </c>
      <c r="O533" t="s">
        <v>293</v>
      </c>
      <c r="P533">
        <v>8.9791982851095582E-3</v>
      </c>
      <c r="Q533" t="s">
        <v>159</v>
      </c>
      <c r="S533" t="s">
        <v>260</v>
      </c>
      <c r="T533" t="s">
        <v>293</v>
      </c>
      <c r="U533">
        <v>6.617461221495962E-3</v>
      </c>
      <c r="V533" t="s">
        <v>159</v>
      </c>
    </row>
    <row r="534" spans="9:22" x14ac:dyDescent="0.45">
      <c r="I534" t="s">
        <v>175</v>
      </c>
      <c r="J534" t="s">
        <v>294</v>
      </c>
      <c r="K534">
        <v>1.0912075925159791E-3</v>
      </c>
      <c r="L534" t="s">
        <v>159</v>
      </c>
      <c r="N534" t="s">
        <v>218</v>
      </c>
      <c r="O534" t="s">
        <v>294</v>
      </c>
      <c r="P534">
        <v>8.5066843656622637E-4</v>
      </c>
      <c r="Q534" t="s">
        <v>159</v>
      </c>
      <c r="S534" t="s">
        <v>260</v>
      </c>
      <c r="T534" t="s">
        <v>294</v>
      </c>
      <c r="U534">
        <v>7.081383208809315E-4</v>
      </c>
      <c r="V534" t="s">
        <v>159</v>
      </c>
    </row>
    <row r="535" spans="9:22" x14ac:dyDescent="0.45">
      <c r="I535" t="s">
        <v>175</v>
      </c>
      <c r="J535" t="s">
        <v>295</v>
      </c>
      <c r="K535">
        <v>1.4694069317564029E-2</v>
      </c>
      <c r="L535" t="s">
        <v>159</v>
      </c>
      <c r="N535" t="s">
        <v>218</v>
      </c>
      <c r="O535" t="s">
        <v>295</v>
      </c>
      <c r="P535">
        <v>4.5570935900571706E-3</v>
      </c>
      <c r="Q535" t="s">
        <v>159</v>
      </c>
      <c r="S535" t="s">
        <v>260</v>
      </c>
      <c r="T535" t="s">
        <v>295</v>
      </c>
      <c r="U535">
        <v>8.6469226109098535E-3</v>
      </c>
      <c r="V535" t="s">
        <v>159</v>
      </c>
    </row>
    <row r="536" spans="9:22" x14ac:dyDescent="0.45">
      <c r="I536" t="s">
        <v>175</v>
      </c>
      <c r="J536" t="s">
        <v>296</v>
      </c>
      <c r="K536">
        <v>1.1392927356840953E-3</v>
      </c>
      <c r="L536" t="s">
        <v>159</v>
      </c>
      <c r="N536" t="s">
        <v>218</v>
      </c>
      <c r="O536" t="s">
        <v>296</v>
      </c>
      <c r="P536">
        <v>5.9611762459892137E-4</v>
      </c>
      <c r="Q536" t="s">
        <v>159</v>
      </c>
      <c r="S536" t="s">
        <v>260</v>
      </c>
      <c r="T536" t="s">
        <v>296</v>
      </c>
      <c r="U536">
        <v>1.3571655855155911E-3</v>
      </c>
      <c r="V536" t="s">
        <v>159</v>
      </c>
    </row>
    <row r="537" spans="9:22" x14ac:dyDescent="0.45">
      <c r="I537" t="s">
        <v>175</v>
      </c>
      <c r="J537" t="s">
        <v>297</v>
      </c>
      <c r="K537">
        <v>0</v>
      </c>
      <c r="L537" t="s">
        <v>159</v>
      </c>
      <c r="N537" t="s">
        <v>218</v>
      </c>
      <c r="O537" t="s">
        <v>297</v>
      </c>
      <c r="P537">
        <v>6.9194166206916453E-4</v>
      </c>
      <c r="Q537" t="s">
        <v>159</v>
      </c>
      <c r="S537" t="s">
        <v>260</v>
      </c>
      <c r="T537" t="s">
        <v>297</v>
      </c>
      <c r="U537">
        <v>1.3254399425701767E-3</v>
      </c>
      <c r="V537" t="s">
        <v>159</v>
      </c>
    </row>
    <row r="538" spans="9:22" x14ac:dyDescent="0.45">
      <c r="I538" t="s">
        <v>175</v>
      </c>
      <c r="J538" t="s">
        <v>311</v>
      </c>
      <c r="K538">
        <v>0</v>
      </c>
      <c r="L538" t="s">
        <v>159</v>
      </c>
      <c r="N538" t="s">
        <v>218</v>
      </c>
      <c r="O538" t="s">
        <v>311</v>
      </c>
      <c r="P538">
        <v>6.2993997226633526E-3</v>
      </c>
      <c r="Q538" t="s">
        <v>159</v>
      </c>
      <c r="S538" t="s">
        <v>260</v>
      </c>
      <c r="T538" t="s">
        <v>311</v>
      </c>
      <c r="U538">
        <v>5.7749469988842943E-3</v>
      </c>
      <c r="V538" t="s">
        <v>159</v>
      </c>
    </row>
    <row r="539" spans="9:22" x14ac:dyDescent="0.45">
      <c r="I539" t="s">
        <v>175</v>
      </c>
      <c r="J539" t="s">
        <v>298</v>
      </c>
      <c r="K539">
        <v>1.1694362850140645E-2</v>
      </c>
      <c r="L539" t="s">
        <v>159</v>
      </c>
      <c r="N539" t="s">
        <v>218</v>
      </c>
      <c r="O539" t="s">
        <v>298</v>
      </c>
      <c r="P539">
        <v>0.11024384840508952</v>
      </c>
      <c r="Q539" t="s">
        <v>159</v>
      </c>
      <c r="S539" t="s">
        <v>260</v>
      </c>
      <c r="T539" t="s">
        <v>298</v>
      </c>
      <c r="U539">
        <v>7.8240337797059245E-2</v>
      </c>
      <c r="V539" t="s">
        <v>159</v>
      </c>
    </row>
    <row r="540" spans="9:22" x14ac:dyDescent="0.45">
      <c r="I540" t="s">
        <v>175</v>
      </c>
      <c r="J540" t="s">
        <v>299</v>
      </c>
      <c r="K540">
        <v>2.1847278591250314E-2</v>
      </c>
      <c r="L540" t="s">
        <v>159</v>
      </c>
      <c r="N540" t="s">
        <v>218</v>
      </c>
      <c r="O540" t="s">
        <v>299</v>
      </c>
      <c r="P540">
        <v>1.1036230127348567E-2</v>
      </c>
      <c r="Q540" t="s">
        <v>159</v>
      </c>
      <c r="S540" t="s">
        <v>260</v>
      </c>
      <c r="T540" t="s">
        <v>299</v>
      </c>
      <c r="U540">
        <v>1.1275609612711962E-2</v>
      </c>
      <c r="V540" t="s">
        <v>159</v>
      </c>
    </row>
    <row r="541" spans="9:22" x14ac:dyDescent="0.45">
      <c r="I541" t="s">
        <v>175</v>
      </c>
      <c r="J541" t="s">
        <v>300</v>
      </c>
      <c r="K541">
        <v>0.24424809847487633</v>
      </c>
      <c r="L541" t="s">
        <v>159</v>
      </c>
      <c r="N541" t="s">
        <v>218</v>
      </c>
      <c r="O541" t="s">
        <v>300</v>
      </c>
      <c r="P541">
        <v>0.11692389269249083</v>
      </c>
      <c r="Q541" t="s">
        <v>159</v>
      </c>
      <c r="S541" t="s">
        <v>260</v>
      </c>
      <c r="T541" t="s">
        <v>300</v>
      </c>
      <c r="U541">
        <v>0.12086056755603716</v>
      </c>
      <c r="V541" t="s">
        <v>159</v>
      </c>
    </row>
    <row r="542" spans="9:22" x14ac:dyDescent="0.45">
      <c r="I542" t="s">
        <v>175</v>
      </c>
      <c r="J542" t="s">
        <v>301</v>
      </c>
      <c r="K542">
        <v>1.9556773047520154E-2</v>
      </c>
      <c r="L542" t="s">
        <v>159</v>
      </c>
      <c r="N542" t="s">
        <v>218</v>
      </c>
      <c r="O542" t="s">
        <v>301</v>
      </c>
      <c r="P542">
        <v>1.4192678070170852E-2</v>
      </c>
      <c r="Q542" t="s">
        <v>159</v>
      </c>
      <c r="S542" t="s">
        <v>260</v>
      </c>
      <c r="T542" t="s">
        <v>301</v>
      </c>
      <c r="U542">
        <v>1.4336330114518367E-2</v>
      </c>
      <c r="V542" t="s">
        <v>159</v>
      </c>
    </row>
    <row r="543" spans="9:22" x14ac:dyDescent="0.45">
      <c r="I543" t="s">
        <v>175</v>
      </c>
      <c r="J543" t="s">
        <v>302</v>
      </c>
      <c r="K543">
        <v>8.1740936319653814E-3</v>
      </c>
      <c r="L543" t="s">
        <v>159</v>
      </c>
      <c r="N543" t="s">
        <v>218</v>
      </c>
      <c r="O543" t="s">
        <v>302</v>
      </c>
      <c r="P543">
        <v>1.4039657673378936E-2</v>
      </c>
      <c r="Q543" t="s">
        <v>159</v>
      </c>
      <c r="S543" t="s">
        <v>260</v>
      </c>
      <c r="T543" t="s">
        <v>302</v>
      </c>
      <c r="U543">
        <v>1.3631831013446026E-2</v>
      </c>
      <c r="V543" t="s">
        <v>159</v>
      </c>
    </row>
    <row r="544" spans="9:22" x14ac:dyDescent="0.45">
      <c r="I544" t="s">
        <v>175</v>
      </c>
      <c r="J544" t="s">
        <v>312</v>
      </c>
      <c r="K544">
        <v>0</v>
      </c>
      <c r="L544" t="s">
        <v>159</v>
      </c>
      <c r="N544" t="s">
        <v>218</v>
      </c>
      <c r="O544" t="s">
        <v>312</v>
      </c>
      <c r="P544">
        <v>9.3713671393604134E-2</v>
      </c>
      <c r="Q544" t="s">
        <v>159</v>
      </c>
      <c r="S544" t="s">
        <v>260</v>
      </c>
      <c r="T544" t="s">
        <v>312</v>
      </c>
      <c r="U544">
        <v>6.1655206960434035E-2</v>
      </c>
      <c r="V544" t="s">
        <v>159</v>
      </c>
    </row>
    <row r="545" spans="9:22" x14ac:dyDescent="0.45">
      <c r="I545" t="s">
        <v>175</v>
      </c>
      <c r="J545" t="s">
        <v>313</v>
      </c>
      <c r="K545">
        <v>5.1736157942845057E-3</v>
      </c>
      <c r="L545" t="s">
        <v>159</v>
      </c>
      <c r="N545" t="s">
        <v>218</v>
      </c>
      <c r="O545" t="s">
        <v>313</v>
      </c>
      <c r="P545">
        <v>1.7961919811400984E-2</v>
      </c>
      <c r="Q545" t="s">
        <v>159</v>
      </c>
      <c r="S545" t="s">
        <v>260</v>
      </c>
      <c r="T545" t="s">
        <v>313</v>
      </c>
      <c r="U545">
        <v>1.7719906031379646E-2</v>
      </c>
      <c r="V545" t="s">
        <v>159</v>
      </c>
    </row>
    <row r="546" spans="9:22" x14ac:dyDescent="0.45">
      <c r="I546" t="s">
        <v>175</v>
      </c>
      <c r="J546" t="s">
        <v>314</v>
      </c>
      <c r="K546">
        <v>7.5208742829494715E-3</v>
      </c>
      <c r="L546" t="s">
        <v>159</v>
      </c>
      <c r="N546" t="s">
        <v>218</v>
      </c>
      <c r="O546" t="s">
        <v>314</v>
      </c>
      <c r="P546">
        <v>1.850717705215421E-3</v>
      </c>
      <c r="Q546" t="s">
        <v>159</v>
      </c>
      <c r="S546" t="s">
        <v>260</v>
      </c>
      <c r="T546" t="s">
        <v>314</v>
      </c>
      <c r="U546">
        <v>2.4602675781679978E-3</v>
      </c>
      <c r="V546" t="s">
        <v>159</v>
      </c>
    </row>
    <row r="547" spans="9:22" x14ac:dyDescent="0.45">
      <c r="I547" t="s">
        <v>175</v>
      </c>
      <c r="J547" t="s">
        <v>315</v>
      </c>
      <c r="K547">
        <v>7.7364597434098389E-2</v>
      </c>
      <c r="L547" t="s">
        <v>159</v>
      </c>
      <c r="N547" t="s">
        <v>218</v>
      </c>
      <c r="O547" t="s">
        <v>315</v>
      </c>
      <c r="P547">
        <v>2.1565994234344164E-2</v>
      </c>
      <c r="Q547" t="s">
        <v>159</v>
      </c>
      <c r="S547" t="s">
        <v>260</v>
      </c>
      <c r="T547" t="s">
        <v>315</v>
      </c>
      <c r="U547">
        <v>2.4008164790990744E-2</v>
      </c>
      <c r="V547" t="s">
        <v>159</v>
      </c>
    </row>
    <row r="548" spans="9:22" x14ac:dyDescent="0.45">
      <c r="I548" t="s">
        <v>175</v>
      </c>
      <c r="J548" t="s">
        <v>316</v>
      </c>
      <c r="K548">
        <v>6.1965225449843123E-3</v>
      </c>
      <c r="L548" t="s">
        <v>159</v>
      </c>
      <c r="N548" t="s">
        <v>218</v>
      </c>
      <c r="O548" t="s">
        <v>316</v>
      </c>
      <c r="P548">
        <v>2.2839281716180836E-3</v>
      </c>
      <c r="Q548" t="s">
        <v>159</v>
      </c>
      <c r="S548" t="s">
        <v>260</v>
      </c>
      <c r="T548" t="s">
        <v>316</v>
      </c>
      <c r="U548">
        <v>3.0641822604834008E-3</v>
      </c>
      <c r="V548" t="s">
        <v>159</v>
      </c>
    </row>
    <row r="549" spans="9:22" x14ac:dyDescent="0.45">
      <c r="I549" t="s">
        <v>175</v>
      </c>
      <c r="J549" t="s">
        <v>317</v>
      </c>
      <c r="K549">
        <v>4.2864542702005523E-3</v>
      </c>
      <c r="L549" t="s">
        <v>159</v>
      </c>
      <c r="N549" t="s">
        <v>218</v>
      </c>
      <c r="O549" t="s">
        <v>317</v>
      </c>
      <c r="P549">
        <v>2.0076991770818873E-3</v>
      </c>
      <c r="Q549" t="s">
        <v>159</v>
      </c>
      <c r="S549" t="s">
        <v>260</v>
      </c>
      <c r="T549" t="s">
        <v>317</v>
      </c>
      <c r="U549">
        <v>2.9966608805354076E-3</v>
      </c>
      <c r="V549" t="s">
        <v>159</v>
      </c>
    </row>
    <row r="550" spans="9:22" x14ac:dyDescent="0.45">
      <c r="I550" t="s">
        <v>175</v>
      </c>
      <c r="J550" t="s">
        <v>318</v>
      </c>
      <c r="K550">
        <v>5.7741302336285159E-5</v>
      </c>
      <c r="L550" t="s">
        <v>159</v>
      </c>
      <c r="N550" t="s">
        <v>218</v>
      </c>
      <c r="O550" t="s">
        <v>318</v>
      </c>
      <c r="P550">
        <v>1.4104456204844793E-2</v>
      </c>
      <c r="Q550" t="s">
        <v>159</v>
      </c>
      <c r="S550" t="s">
        <v>260</v>
      </c>
      <c r="T550" t="s">
        <v>318</v>
      </c>
      <c r="U550">
        <v>1.3355140673064269E-2</v>
      </c>
      <c r="V550" t="s">
        <v>159</v>
      </c>
    </row>
    <row r="551" spans="9:22" x14ac:dyDescent="0.45">
      <c r="I551" t="s">
        <v>176</v>
      </c>
      <c r="J551" t="s">
        <v>158</v>
      </c>
      <c r="K551">
        <v>7.2091570351855835E-3</v>
      </c>
      <c r="L551" t="s">
        <v>159</v>
      </c>
      <c r="N551" t="s">
        <v>219</v>
      </c>
      <c r="O551" t="s">
        <v>158</v>
      </c>
      <c r="P551">
        <v>8.1648343922486322E-2</v>
      </c>
      <c r="Q551" t="s">
        <v>159</v>
      </c>
      <c r="S551" t="s">
        <v>261</v>
      </c>
      <c r="T551" t="s">
        <v>158</v>
      </c>
      <c r="U551">
        <v>0.11959951479754106</v>
      </c>
      <c r="V551" t="s">
        <v>159</v>
      </c>
    </row>
    <row r="552" spans="9:22" x14ac:dyDescent="0.45">
      <c r="I552" t="s">
        <v>176</v>
      </c>
      <c r="J552" t="s">
        <v>160</v>
      </c>
      <c r="K552">
        <v>2.3042756592996892E-2</v>
      </c>
      <c r="L552" t="s">
        <v>159</v>
      </c>
      <c r="N552" t="s">
        <v>219</v>
      </c>
      <c r="O552" t="s">
        <v>160</v>
      </c>
      <c r="P552">
        <v>9.881609686089492E-3</v>
      </c>
      <c r="Q552" t="s">
        <v>159</v>
      </c>
      <c r="S552" t="s">
        <v>261</v>
      </c>
      <c r="T552" t="s">
        <v>160</v>
      </c>
      <c r="U552">
        <v>1.6390402646874982E-2</v>
      </c>
      <c r="V552" t="s">
        <v>159</v>
      </c>
    </row>
    <row r="553" spans="9:22" x14ac:dyDescent="0.45">
      <c r="I553" t="s">
        <v>176</v>
      </c>
      <c r="J553" t="s">
        <v>161</v>
      </c>
      <c r="K553">
        <v>0.37598372706965327</v>
      </c>
      <c r="L553" t="s">
        <v>159</v>
      </c>
      <c r="N553" t="s">
        <v>219</v>
      </c>
      <c r="O553" t="s">
        <v>161</v>
      </c>
      <c r="P553">
        <v>0.14891376187149005</v>
      </c>
      <c r="Q553" t="s">
        <v>159</v>
      </c>
      <c r="S553" t="s">
        <v>261</v>
      </c>
      <c r="T553" t="s">
        <v>161</v>
      </c>
      <c r="U553">
        <v>0.15386071662024606</v>
      </c>
      <c r="V553" t="s">
        <v>159</v>
      </c>
    </row>
    <row r="554" spans="9:22" x14ac:dyDescent="0.45">
      <c r="I554" t="s">
        <v>176</v>
      </c>
      <c r="J554" t="s">
        <v>287</v>
      </c>
      <c r="K554">
        <v>3.6220495788186355E-2</v>
      </c>
      <c r="L554" t="s">
        <v>159</v>
      </c>
      <c r="N554" t="s">
        <v>219</v>
      </c>
      <c r="O554" t="s">
        <v>287</v>
      </c>
      <c r="P554">
        <v>2.9940384510074733E-2</v>
      </c>
      <c r="Q554" t="s">
        <v>159</v>
      </c>
      <c r="S554" t="s">
        <v>261</v>
      </c>
      <c r="T554" t="s">
        <v>287</v>
      </c>
      <c r="U554">
        <v>2.0667388913709527E-2</v>
      </c>
      <c r="V554" t="s">
        <v>159</v>
      </c>
    </row>
    <row r="555" spans="9:22" x14ac:dyDescent="0.45">
      <c r="I555" t="s">
        <v>176</v>
      </c>
      <c r="J555" t="s">
        <v>288</v>
      </c>
      <c r="K555">
        <v>2.0630106632358123E-2</v>
      </c>
      <c r="L555" t="s">
        <v>159</v>
      </c>
      <c r="N555" t="s">
        <v>219</v>
      </c>
      <c r="O555" t="s">
        <v>288</v>
      </c>
      <c r="P555">
        <v>2.9087770718490467E-2</v>
      </c>
      <c r="Q555" t="s">
        <v>159</v>
      </c>
      <c r="S555" t="s">
        <v>261</v>
      </c>
      <c r="T555" t="s">
        <v>288</v>
      </c>
      <c r="U555">
        <v>2.1604395609949305E-2</v>
      </c>
      <c r="V555" t="s">
        <v>159</v>
      </c>
    </row>
    <row r="556" spans="9:22" x14ac:dyDescent="0.45">
      <c r="I556" t="s">
        <v>176</v>
      </c>
      <c r="J556" t="s">
        <v>308</v>
      </c>
      <c r="K556">
        <v>7.8635673959883204E-3</v>
      </c>
      <c r="L556" t="s">
        <v>159</v>
      </c>
      <c r="N556" t="s">
        <v>219</v>
      </c>
      <c r="O556" t="s">
        <v>308</v>
      </c>
      <c r="P556">
        <v>9.6413766978334675E-2</v>
      </c>
      <c r="Q556" t="s">
        <v>159</v>
      </c>
      <c r="S556" t="s">
        <v>261</v>
      </c>
      <c r="T556" t="s">
        <v>308</v>
      </c>
      <c r="U556">
        <v>0.10657203179334694</v>
      </c>
      <c r="V556" t="s">
        <v>159</v>
      </c>
    </row>
    <row r="557" spans="9:22" x14ac:dyDescent="0.45">
      <c r="I557" t="s">
        <v>176</v>
      </c>
      <c r="J557" t="s">
        <v>162</v>
      </c>
      <c r="K557">
        <v>0</v>
      </c>
      <c r="L557" t="s">
        <v>159</v>
      </c>
      <c r="N557" t="s">
        <v>219</v>
      </c>
      <c r="O557" t="s">
        <v>162</v>
      </c>
      <c r="P557">
        <v>1.771639807353409E-2</v>
      </c>
      <c r="Q557" t="s">
        <v>159</v>
      </c>
      <c r="S557" t="s">
        <v>261</v>
      </c>
      <c r="T557" t="s">
        <v>162</v>
      </c>
      <c r="U557">
        <v>1.8044297100223938E-2</v>
      </c>
      <c r="V557" t="s">
        <v>159</v>
      </c>
    </row>
    <row r="558" spans="9:22" x14ac:dyDescent="0.45">
      <c r="I558" t="s">
        <v>176</v>
      </c>
      <c r="J558" t="s">
        <v>163</v>
      </c>
      <c r="K558">
        <v>0</v>
      </c>
      <c r="L558" t="s">
        <v>159</v>
      </c>
      <c r="N558" t="s">
        <v>219</v>
      </c>
      <c r="O558" t="s">
        <v>163</v>
      </c>
      <c r="P558">
        <v>1.8061823598928036E-3</v>
      </c>
      <c r="Q558" t="s">
        <v>159</v>
      </c>
      <c r="S558" t="s">
        <v>261</v>
      </c>
      <c r="T558" t="s">
        <v>163</v>
      </c>
      <c r="U558">
        <v>2.6454922155700784E-3</v>
      </c>
      <c r="V558" t="s">
        <v>159</v>
      </c>
    </row>
    <row r="559" spans="9:22" x14ac:dyDescent="0.45">
      <c r="I559" t="s">
        <v>176</v>
      </c>
      <c r="J559" t="s">
        <v>164</v>
      </c>
      <c r="K559">
        <v>3.4525485080910641E-2</v>
      </c>
      <c r="L559" t="s">
        <v>159</v>
      </c>
      <c r="N559" t="s">
        <v>219</v>
      </c>
      <c r="O559" t="s">
        <v>164</v>
      </c>
      <c r="P559">
        <v>2.0154586039303247E-2</v>
      </c>
      <c r="Q559" t="s">
        <v>159</v>
      </c>
      <c r="S559" t="s">
        <v>261</v>
      </c>
      <c r="T559" t="s">
        <v>164</v>
      </c>
      <c r="U559">
        <v>2.1943921386099619E-2</v>
      </c>
      <c r="V559" t="s">
        <v>159</v>
      </c>
    </row>
    <row r="560" spans="9:22" x14ac:dyDescent="0.45">
      <c r="I560" t="s">
        <v>176</v>
      </c>
      <c r="J560" t="s">
        <v>289</v>
      </c>
      <c r="K560">
        <v>2.9807636885439896E-3</v>
      </c>
      <c r="L560" t="s">
        <v>159</v>
      </c>
      <c r="N560" t="s">
        <v>219</v>
      </c>
      <c r="O560" t="s">
        <v>289</v>
      </c>
      <c r="P560">
        <v>4.0560361656431145E-3</v>
      </c>
      <c r="Q560" t="s">
        <v>159</v>
      </c>
      <c r="S560" t="s">
        <v>261</v>
      </c>
      <c r="T560" t="s">
        <v>289</v>
      </c>
      <c r="U560">
        <v>2.6834853892779911E-3</v>
      </c>
      <c r="V560" t="s">
        <v>159</v>
      </c>
    </row>
    <row r="561" spans="9:22" x14ac:dyDescent="0.45">
      <c r="I561" t="s">
        <v>176</v>
      </c>
      <c r="J561" t="s">
        <v>290</v>
      </c>
      <c r="K561">
        <v>0</v>
      </c>
      <c r="L561" t="s">
        <v>159</v>
      </c>
      <c r="N561" t="s">
        <v>219</v>
      </c>
      <c r="O561" t="s">
        <v>290</v>
      </c>
      <c r="P561">
        <v>3.7101674417682811E-3</v>
      </c>
      <c r="Q561" t="s">
        <v>159</v>
      </c>
      <c r="S561" t="s">
        <v>261</v>
      </c>
      <c r="T561" t="s">
        <v>290</v>
      </c>
      <c r="U561">
        <v>2.7489231564140479E-3</v>
      </c>
      <c r="V561" t="s">
        <v>159</v>
      </c>
    </row>
    <row r="562" spans="9:22" x14ac:dyDescent="0.45">
      <c r="I562" t="s">
        <v>176</v>
      </c>
      <c r="J562" t="s">
        <v>309</v>
      </c>
      <c r="K562">
        <v>0</v>
      </c>
      <c r="L562" t="s">
        <v>159</v>
      </c>
      <c r="N562" t="s">
        <v>219</v>
      </c>
      <c r="O562" t="s">
        <v>309</v>
      </c>
      <c r="P562">
        <v>1.3703072616999851E-2</v>
      </c>
      <c r="Q562" t="s">
        <v>159</v>
      </c>
      <c r="S562" t="s">
        <v>261</v>
      </c>
      <c r="T562" t="s">
        <v>309</v>
      </c>
      <c r="U562">
        <v>1.3414961626678795E-2</v>
      </c>
      <c r="V562" t="s">
        <v>159</v>
      </c>
    </row>
    <row r="563" spans="9:22" x14ac:dyDescent="0.45">
      <c r="I563" t="s">
        <v>176</v>
      </c>
      <c r="J563" t="s">
        <v>346</v>
      </c>
      <c r="K563">
        <v>0</v>
      </c>
      <c r="L563" t="s">
        <v>159</v>
      </c>
      <c r="N563" t="s">
        <v>219</v>
      </c>
      <c r="O563" t="s">
        <v>346</v>
      </c>
      <c r="P563">
        <v>3.9686463662067593E-6</v>
      </c>
      <c r="Q563" t="s">
        <v>159</v>
      </c>
      <c r="S563" t="s">
        <v>261</v>
      </c>
      <c r="T563" t="s">
        <v>346</v>
      </c>
      <c r="U563">
        <v>2.2402805161735614E-5</v>
      </c>
      <c r="V563" t="s">
        <v>159</v>
      </c>
    </row>
    <row r="564" spans="9:22" x14ac:dyDescent="0.45">
      <c r="I564" t="s">
        <v>176</v>
      </c>
      <c r="J564" t="s">
        <v>347</v>
      </c>
      <c r="K564">
        <v>0</v>
      </c>
      <c r="L564" t="s">
        <v>159</v>
      </c>
      <c r="N564" t="s">
        <v>219</v>
      </c>
      <c r="O564" t="s">
        <v>347</v>
      </c>
      <c r="P564">
        <v>1.8146174679321743E-6</v>
      </c>
      <c r="Q564" t="s">
        <v>159</v>
      </c>
      <c r="S564" t="s">
        <v>261</v>
      </c>
      <c r="T564" t="s">
        <v>347</v>
      </c>
      <c r="U564">
        <v>1.9696437550502909E-5</v>
      </c>
      <c r="V564" t="s">
        <v>159</v>
      </c>
    </row>
    <row r="565" spans="9:22" x14ac:dyDescent="0.45">
      <c r="I565" t="s">
        <v>176</v>
      </c>
      <c r="J565" t="s">
        <v>348</v>
      </c>
      <c r="K565">
        <v>0</v>
      </c>
      <c r="L565" t="s">
        <v>159</v>
      </c>
      <c r="N565" t="s">
        <v>219</v>
      </c>
      <c r="O565" t="s">
        <v>348</v>
      </c>
      <c r="P565">
        <v>4.4648866477950096E-7</v>
      </c>
      <c r="Q565" t="s">
        <v>159</v>
      </c>
      <c r="S565" t="s">
        <v>261</v>
      </c>
      <c r="T565" t="s">
        <v>348</v>
      </c>
      <c r="U565">
        <v>1.7919556859885195E-5</v>
      </c>
      <c r="V565" t="s">
        <v>159</v>
      </c>
    </row>
    <row r="566" spans="9:22" x14ac:dyDescent="0.45">
      <c r="I566" t="s">
        <v>176</v>
      </c>
      <c r="J566" t="s">
        <v>349</v>
      </c>
      <c r="K566">
        <v>0</v>
      </c>
      <c r="L566" t="s">
        <v>159</v>
      </c>
      <c r="N566" t="s">
        <v>219</v>
      </c>
      <c r="O566" t="s">
        <v>349</v>
      </c>
      <c r="P566">
        <v>1.3003187352122429E-6</v>
      </c>
      <c r="Q566" t="s">
        <v>159</v>
      </c>
      <c r="S566" t="s">
        <v>261</v>
      </c>
      <c r="T566" t="s">
        <v>349</v>
      </c>
      <c r="U566">
        <v>1.3901987953435598E-5</v>
      </c>
      <c r="V566" t="s">
        <v>159</v>
      </c>
    </row>
    <row r="567" spans="9:22" x14ac:dyDescent="0.45">
      <c r="I567" t="s">
        <v>176</v>
      </c>
      <c r="J567" t="s">
        <v>350</v>
      </c>
      <c r="K567">
        <v>0</v>
      </c>
      <c r="L567" t="s">
        <v>159</v>
      </c>
      <c r="N567" t="s">
        <v>219</v>
      </c>
      <c r="O567" t="s">
        <v>350</v>
      </c>
      <c r="P567">
        <v>2.9669598433346157E-7</v>
      </c>
      <c r="Q567" t="s">
        <v>159</v>
      </c>
      <c r="S567" t="s">
        <v>261</v>
      </c>
      <c r="T567" t="s">
        <v>350</v>
      </c>
      <c r="U567">
        <v>1.0474279790954236E-5</v>
      </c>
      <c r="V567" t="s">
        <v>159</v>
      </c>
    </row>
    <row r="568" spans="9:22" x14ac:dyDescent="0.45">
      <c r="I568" t="s">
        <v>176</v>
      </c>
      <c r="J568" t="s">
        <v>351</v>
      </c>
      <c r="K568">
        <v>0</v>
      </c>
      <c r="L568" t="s">
        <v>159</v>
      </c>
      <c r="N568" t="s">
        <v>219</v>
      </c>
      <c r="O568" t="s">
        <v>351</v>
      </c>
      <c r="P568">
        <v>8.5581736009663124E-8</v>
      </c>
      <c r="Q568" t="s">
        <v>159</v>
      </c>
      <c r="S568" t="s">
        <v>261</v>
      </c>
      <c r="T568" t="s">
        <v>351</v>
      </c>
      <c r="U568">
        <v>7.6965698180490251E-6</v>
      </c>
      <c r="V568" t="s">
        <v>159</v>
      </c>
    </row>
    <row r="569" spans="9:22" x14ac:dyDescent="0.45">
      <c r="I569" t="s">
        <v>176</v>
      </c>
      <c r="J569" t="s">
        <v>352</v>
      </c>
      <c r="K569">
        <v>0</v>
      </c>
      <c r="L569" t="s">
        <v>159</v>
      </c>
      <c r="N569" t="s">
        <v>219</v>
      </c>
      <c r="O569" t="s">
        <v>352</v>
      </c>
      <c r="P569">
        <v>3.3358709412146166E-8</v>
      </c>
      <c r="Q569" t="s">
        <v>159</v>
      </c>
      <c r="S569" t="s">
        <v>261</v>
      </c>
      <c r="T569" t="s">
        <v>352</v>
      </c>
      <c r="U569">
        <v>6.7005300655740941E-6</v>
      </c>
      <c r="V569" t="s">
        <v>159</v>
      </c>
    </row>
    <row r="570" spans="9:22" x14ac:dyDescent="0.45">
      <c r="I570" t="s">
        <v>176</v>
      </c>
      <c r="J570" t="s">
        <v>353</v>
      </c>
      <c r="K570">
        <v>0</v>
      </c>
      <c r="L570" t="s">
        <v>159</v>
      </c>
      <c r="N570" t="s">
        <v>219</v>
      </c>
      <c r="O570" t="s">
        <v>353</v>
      </c>
      <c r="P570">
        <v>2.243808801210649E-8</v>
      </c>
      <c r="Q570" t="s">
        <v>159</v>
      </c>
      <c r="S570" t="s">
        <v>261</v>
      </c>
      <c r="T570" t="s">
        <v>353</v>
      </c>
      <c r="U570">
        <v>7.4269247199518749E-6</v>
      </c>
      <c r="V570" t="s">
        <v>159</v>
      </c>
    </row>
    <row r="571" spans="9:22" x14ac:dyDescent="0.45">
      <c r="I571" t="s">
        <v>176</v>
      </c>
      <c r="J571" t="s">
        <v>354</v>
      </c>
      <c r="K571">
        <v>6.0542382491048326E-5</v>
      </c>
      <c r="L571" t="s">
        <v>159</v>
      </c>
      <c r="N571" t="s">
        <v>219</v>
      </c>
      <c r="O571" t="s">
        <v>354</v>
      </c>
      <c r="P571">
        <v>8.3403773732329513E-8</v>
      </c>
      <c r="Q571" t="s">
        <v>159</v>
      </c>
      <c r="S571" t="s">
        <v>261</v>
      </c>
      <c r="T571" t="s">
        <v>354</v>
      </c>
      <c r="U571">
        <v>9.4201867168310288E-6</v>
      </c>
      <c r="V571" t="s">
        <v>159</v>
      </c>
    </row>
    <row r="572" spans="9:22" x14ac:dyDescent="0.45">
      <c r="I572" t="s">
        <v>176</v>
      </c>
      <c r="J572" t="s">
        <v>355</v>
      </c>
      <c r="K572">
        <v>8.1761040664542702E-5</v>
      </c>
      <c r="L572" t="s">
        <v>159</v>
      </c>
      <c r="N572" t="s">
        <v>219</v>
      </c>
      <c r="O572" t="s">
        <v>355</v>
      </c>
      <c r="P572">
        <v>2.4461112887785953E-7</v>
      </c>
      <c r="Q572" t="s">
        <v>159</v>
      </c>
      <c r="S572" t="s">
        <v>261</v>
      </c>
      <c r="T572" t="s">
        <v>355</v>
      </c>
      <c r="U572">
        <v>1.0358126810086513E-5</v>
      </c>
      <c r="V572" t="s">
        <v>159</v>
      </c>
    </row>
    <row r="573" spans="9:22" x14ac:dyDescent="0.45">
      <c r="I573" t="s">
        <v>176</v>
      </c>
      <c r="J573" t="s">
        <v>356</v>
      </c>
      <c r="K573">
        <v>1.0913738036216757E-4</v>
      </c>
      <c r="L573" t="s">
        <v>159</v>
      </c>
      <c r="N573" t="s">
        <v>219</v>
      </c>
      <c r="O573" t="s">
        <v>356</v>
      </c>
      <c r="P573">
        <v>3.8088862137210708E-8</v>
      </c>
      <c r="Q573" t="s">
        <v>159</v>
      </c>
      <c r="S573" t="s">
        <v>261</v>
      </c>
      <c r="T573" t="s">
        <v>356</v>
      </c>
      <c r="U573">
        <v>1.171747421376233E-5</v>
      </c>
      <c r="V573" t="s">
        <v>159</v>
      </c>
    </row>
    <row r="574" spans="9:22" x14ac:dyDescent="0.45">
      <c r="I574" t="s">
        <v>176</v>
      </c>
      <c r="J574" t="s">
        <v>357</v>
      </c>
      <c r="K574">
        <v>1.2781697006162938E-4</v>
      </c>
      <c r="L574" t="s">
        <v>159</v>
      </c>
      <c r="N574" t="s">
        <v>219</v>
      </c>
      <c r="O574" t="s">
        <v>357</v>
      </c>
      <c r="P574">
        <v>1.2273789578408703E-6</v>
      </c>
      <c r="Q574" t="s">
        <v>159</v>
      </c>
      <c r="S574" t="s">
        <v>261</v>
      </c>
      <c r="T574" t="s">
        <v>357</v>
      </c>
      <c r="U574">
        <v>1.3496178843440856E-5</v>
      </c>
      <c r="V574" t="s">
        <v>159</v>
      </c>
    </row>
    <row r="575" spans="9:22" x14ac:dyDescent="0.45">
      <c r="I575" t="s">
        <v>176</v>
      </c>
      <c r="J575" t="s">
        <v>358</v>
      </c>
      <c r="K575">
        <v>1.7377581458314994E-4</v>
      </c>
      <c r="L575" t="s">
        <v>159</v>
      </c>
      <c r="N575" t="s">
        <v>219</v>
      </c>
      <c r="O575" t="s">
        <v>358</v>
      </c>
      <c r="P575">
        <v>3.0421713842784898E-6</v>
      </c>
      <c r="Q575" t="s">
        <v>159</v>
      </c>
      <c r="S575" t="s">
        <v>261</v>
      </c>
      <c r="T575" t="s">
        <v>358</v>
      </c>
      <c r="U575">
        <v>9.141257628686145E-6</v>
      </c>
      <c r="V575" t="s">
        <v>159</v>
      </c>
    </row>
    <row r="576" spans="9:22" x14ac:dyDescent="0.45">
      <c r="I576" t="s">
        <v>176</v>
      </c>
      <c r="J576" t="s">
        <v>359</v>
      </c>
      <c r="K576">
        <v>1.6292076241383301E-4</v>
      </c>
      <c r="L576" t="s">
        <v>159</v>
      </c>
      <c r="N576" t="s">
        <v>219</v>
      </c>
      <c r="O576" t="s">
        <v>359</v>
      </c>
      <c r="P576">
        <v>8.0485881257237925E-6</v>
      </c>
      <c r="Q576" t="s">
        <v>159</v>
      </c>
      <c r="S576" t="s">
        <v>261</v>
      </c>
      <c r="T576" t="s">
        <v>359</v>
      </c>
      <c r="U576">
        <v>8.9150639541861582E-6</v>
      </c>
      <c r="V576" t="s">
        <v>159</v>
      </c>
    </row>
    <row r="577" spans="9:22" x14ac:dyDescent="0.45">
      <c r="I577" t="s">
        <v>176</v>
      </c>
      <c r="J577" t="s">
        <v>360</v>
      </c>
      <c r="K577">
        <v>1.2447776149900492E-4</v>
      </c>
      <c r="L577" t="s">
        <v>159</v>
      </c>
      <c r="N577" t="s">
        <v>219</v>
      </c>
      <c r="O577" t="s">
        <v>360</v>
      </c>
      <c r="P577">
        <v>1.784568986759142E-5</v>
      </c>
      <c r="Q577" t="s">
        <v>159</v>
      </c>
      <c r="S577" t="s">
        <v>261</v>
      </c>
      <c r="T577" t="s">
        <v>360</v>
      </c>
      <c r="U577">
        <v>9.5724159400837561E-6</v>
      </c>
      <c r="V577" t="s">
        <v>159</v>
      </c>
    </row>
    <row r="578" spans="9:22" x14ac:dyDescent="0.45">
      <c r="I578" t="s">
        <v>176</v>
      </c>
      <c r="J578" t="s">
        <v>361</v>
      </c>
      <c r="K578">
        <v>9.8670607759824809E-5</v>
      </c>
      <c r="L578" t="s">
        <v>159</v>
      </c>
      <c r="N578" t="s">
        <v>219</v>
      </c>
      <c r="O578" t="s">
        <v>361</v>
      </c>
      <c r="P578">
        <v>3.1274837018887163E-5</v>
      </c>
      <c r="Q578" t="s">
        <v>159</v>
      </c>
      <c r="S578" t="s">
        <v>261</v>
      </c>
      <c r="T578" t="s">
        <v>361</v>
      </c>
      <c r="U578">
        <v>1.0365896950197787E-5</v>
      </c>
      <c r="V578" t="s">
        <v>159</v>
      </c>
    </row>
    <row r="579" spans="9:22" x14ac:dyDescent="0.45">
      <c r="I579" t="s">
        <v>176</v>
      </c>
      <c r="J579" t="s">
        <v>362</v>
      </c>
      <c r="K579">
        <v>6.6966777781286068E-5</v>
      </c>
      <c r="L579" t="s">
        <v>159</v>
      </c>
      <c r="N579" t="s">
        <v>219</v>
      </c>
      <c r="O579" t="s">
        <v>362</v>
      </c>
      <c r="P579">
        <v>5.1206208449790859E-5</v>
      </c>
      <c r="Q579" t="s">
        <v>159</v>
      </c>
      <c r="S579" t="s">
        <v>261</v>
      </c>
      <c r="T579" t="s">
        <v>362</v>
      </c>
      <c r="U579">
        <v>1.1294056207295417E-5</v>
      </c>
      <c r="V579" t="s">
        <v>159</v>
      </c>
    </row>
    <row r="580" spans="9:22" x14ac:dyDescent="0.45">
      <c r="I580" t="s">
        <v>176</v>
      </c>
      <c r="J580" t="s">
        <v>363</v>
      </c>
      <c r="K580">
        <v>2.9096376039805364E-5</v>
      </c>
      <c r="L580" t="s">
        <v>159</v>
      </c>
      <c r="N580" t="s">
        <v>219</v>
      </c>
      <c r="O580" t="s">
        <v>363</v>
      </c>
      <c r="P580">
        <v>8.2909910087464105E-5</v>
      </c>
      <c r="Q580" t="s">
        <v>159</v>
      </c>
      <c r="S580" t="s">
        <v>261</v>
      </c>
      <c r="T580" t="s">
        <v>363</v>
      </c>
      <c r="U580">
        <v>1.4302413099268959E-5</v>
      </c>
      <c r="V580" t="s">
        <v>159</v>
      </c>
    </row>
    <row r="581" spans="9:22" x14ac:dyDescent="0.45">
      <c r="I581" t="s">
        <v>176</v>
      </c>
      <c r="J581" t="s">
        <v>364</v>
      </c>
      <c r="K581">
        <v>0</v>
      </c>
      <c r="L581" t="s">
        <v>159</v>
      </c>
      <c r="N581" t="s">
        <v>219</v>
      </c>
      <c r="O581" t="s">
        <v>364</v>
      </c>
      <c r="P581">
        <v>7.5272179205885435E-5</v>
      </c>
      <c r="Q581" t="s">
        <v>159</v>
      </c>
      <c r="S581" t="s">
        <v>261</v>
      </c>
      <c r="T581" t="s">
        <v>364</v>
      </c>
      <c r="U581">
        <v>1.7101905489588438E-5</v>
      </c>
      <c r="V581" t="s">
        <v>159</v>
      </c>
    </row>
    <row r="582" spans="9:22" x14ac:dyDescent="0.45">
      <c r="I582" t="s">
        <v>176</v>
      </c>
      <c r="J582" t="s">
        <v>365</v>
      </c>
      <c r="K582">
        <v>0</v>
      </c>
      <c r="L582" t="s">
        <v>159</v>
      </c>
      <c r="N582" t="s">
        <v>219</v>
      </c>
      <c r="O582" t="s">
        <v>365</v>
      </c>
      <c r="P582">
        <v>6.3084162302108637E-5</v>
      </c>
      <c r="Q582" t="s">
        <v>159</v>
      </c>
      <c r="S582" t="s">
        <v>261</v>
      </c>
      <c r="T582" t="s">
        <v>365</v>
      </c>
      <c r="U582">
        <v>1.7980345838435801E-5</v>
      </c>
      <c r="V582" t="s">
        <v>159</v>
      </c>
    </row>
    <row r="583" spans="9:22" x14ac:dyDescent="0.45">
      <c r="I583" t="s">
        <v>176</v>
      </c>
      <c r="J583" t="s">
        <v>366</v>
      </c>
      <c r="K583">
        <v>0</v>
      </c>
      <c r="L583" t="s">
        <v>159</v>
      </c>
      <c r="N583" t="s">
        <v>219</v>
      </c>
      <c r="O583" t="s">
        <v>366</v>
      </c>
      <c r="P583">
        <v>2.4637167778923775E-5</v>
      </c>
      <c r="Q583" t="s">
        <v>159</v>
      </c>
      <c r="S583" t="s">
        <v>261</v>
      </c>
      <c r="T583" t="s">
        <v>366</v>
      </c>
      <c r="U583">
        <v>1.5194794059689945E-5</v>
      </c>
      <c r="V583" t="s">
        <v>159</v>
      </c>
    </row>
    <row r="584" spans="9:22" x14ac:dyDescent="0.45">
      <c r="I584" t="s">
        <v>176</v>
      </c>
      <c r="J584" t="s">
        <v>367</v>
      </c>
      <c r="K584">
        <v>0</v>
      </c>
      <c r="L584" t="s">
        <v>159</v>
      </c>
      <c r="N584" t="s">
        <v>219</v>
      </c>
      <c r="O584" t="s">
        <v>367</v>
      </c>
      <c r="P584">
        <v>1.4392065975739702E-5</v>
      </c>
      <c r="Q584" t="s">
        <v>159</v>
      </c>
      <c r="S584" t="s">
        <v>261</v>
      </c>
      <c r="T584" t="s">
        <v>367</v>
      </c>
      <c r="U584">
        <v>1.2101654818231893E-5</v>
      </c>
      <c r="V584" t="s">
        <v>159</v>
      </c>
    </row>
    <row r="585" spans="9:22" x14ac:dyDescent="0.45">
      <c r="I585" t="s">
        <v>176</v>
      </c>
      <c r="J585" t="s">
        <v>368</v>
      </c>
      <c r="K585">
        <v>0</v>
      </c>
      <c r="L585" t="s">
        <v>159</v>
      </c>
      <c r="N585" t="s">
        <v>219</v>
      </c>
      <c r="O585" t="s">
        <v>368</v>
      </c>
      <c r="P585">
        <v>1.2324216969219149E-5</v>
      </c>
      <c r="Q585" t="s">
        <v>159</v>
      </c>
      <c r="S585" t="s">
        <v>261</v>
      </c>
      <c r="T585" t="s">
        <v>368</v>
      </c>
      <c r="U585">
        <v>1.0798485612113398E-5</v>
      </c>
      <c r="V585" t="s">
        <v>159</v>
      </c>
    </row>
    <row r="586" spans="9:22" x14ac:dyDescent="0.45">
      <c r="I586" t="s">
        <v>176</v>
      </c>
      <c r="J586" t="s">
        <v>369</v>
      </c>
      <c r="K586">
        <v>0</v>
      </c>
      <c r="L586" t="s">
        <v>159</v>
      </c>
      <c r="N586" t="s">
        <v>219</v>
      </c>
      <c r="O586" t="s">
        <v>369</v>
      </c>
      <c r="P586">
        <v>1.0573294485153875E-5</v>
      </c>
      <c r="Q586" t="s">
        <v>159</v>
      </c>
      <c r="S586" t="s">
        <v>261</v>
      </c>
      <c r="T586" t="s">
        <v>369</v>
      </c>
      <c r="U586">
        <v>7.9484573245691079E-6</v>
      </c>
      <c r="V586" t="s">
        <v>159</v>
      </c>
    </row>
    <row r="587" spans="9:22" x14ac:dyDescent="0.45">
      <c r="I587" t="s">
        <v>176</v>
      </c>
      <c r="J587" t="s">
        <v>165</v>
      </c>
      <c r="K587">
        <v>0</v>
      </c>
      <c r="L587" t="s">
        <v>159</v>
      </c>
      <c r="N587" t="s">
        <v>219</v>
      </c>
      <c r="O587" t="s">
        <v>165</v>
      </c>
      <c r="P587">
        <v>2.5138600125136676E-2</v>
      </c>
      <c r="Q587" t="s">
        <v>159</v>
      </c>
      <c r="S587" t="s">
        <v>261</v>
      </c>
      <c r="T587" t="s">
        <v>165</v>
      </c>
      <c r="U587">
        <v>2.5519609311094954E-2</v>
      </c>
      <c r="V587" t="s">
        <v>159</v>
      </c>
    </row>
    <row r="588" spans="9:22" x14ac:dyDescent="0.45">
      <c r="I588" t="s">
        <v>176</v>
      </c>
      <c r="J588" t="s">
        <v>166</v>
      </c>
      <c r="K588">
        <v>3.807678192107091E-4</v>
      </c>
      <c r="L588" t="s">
        <v>159</v>
      </c>
      <c r="N588" t="s">
        <v>219</v>
      </c>
      <c r="O588" t="s">
        <v>166</v>
      </c>
      <c r="P588">
        <v>3.3015318333315482E-3</v>
      </c>
      <c r="Q588" t="s">
        <v>159</v>
      </c>
      <c r="S588" t="s">
        <v>261</v>
      </c>
      <c r="T588" t="s">
        <v>166</v>
      </c>
      <c r="U588">
        <v>3.4470196524667247E-3</v>
      </c>
      <c r="V588" t="s">
        <v>159</v>
      </c>
    </row>
    <row r="589" spans="9:22" x14ac:dyDescent="0.45">
      <c r="I589" t="s">
        <v>176</v>
      </c>
      <c r="J589" t="s">
        <v>167</v>
      </c>
      <c r="K589">
        <v>4.4908944753247013E-2</v>
      </c>
      <c r="L589" t="s">
        <v>159</v>
      </c>
      <c r="N589" t="s">
        <v>219</v>
      </c>
      <c r="O589" t="s">
        <v>167</v>
      </c>
      <c r="P589">
        <v>2.4937543923102861E-2</v>
      </c>
      <c r="Q589" t="s">
        <v>159</v>
      </c>
      <c r="S589" t="s">
        <v>261</v>
      </c>
      <c r="T589" t="s">
        <v>167</v>
      </c>
      <c r="U589">
        <v>3.1652122247116013E-2</v>
      </c>
      <c r="V589" t="s">
        <v>159</v>
      </c>
    </row>
    <row r="590" spans="9:22" x14ac:dyDescent="0.45">
      <c r="I590" t="s">
        <v>176</v>
      </c>
      <c r="J590" t="s">
        <v>291</v>
      </c>
      <c r="K590">
        <v>3.9314935977115021E-3</v>
      </c>
      <c r="L590" t="s">
        <v>159</v>
      </c>
      <c r="N590" t="s">
        <v>219</v>
      </c>
      <c r="O590" t="s">
        <v>291</v>
      </c>
      <c r="P590">
        <v>4.756085241761107E-3</v>
      </c>
      <c r="Q590" t="s">
        <v>159</v>
      </c>
      <c r="S590" t="s">
        <v>261</v>
      </c>
      <c r="T590" t="s">
        <v>291</v>
      </c>
      <c r="U590">
        <v>4.3345526614392499E-3</v>
      </c>
      <c r="V590" t="s">
        <v>159</v>
      </c>
    </row>
    <row r="591" spans="9:22" x14ac:dyDescent="0.45">
      <c r="I591" t="s">
        <v>176</v>
      </c>
      <c r="J591" t="s">
        <v>292</v>
      </c>
      <c r="K591">
        <v>0</v>
      </c>
      <c r="L591" t="s">
        <v>159</v>
      </c>
      <c r="N591" t="s">
        <v>219</v>
      </c>
      <c r="O591" t="s">
        <v>292</v>
      </c>
      <c r="P591">
        <v>4.7880349550483738E-3</v>
      </c>
      <c r="Q591" t="s">
        <v>159</v>
      </c>
      <c r="S591" t="s">
        <v>261</v>
      </c>
      <c r="T591" t="s">
        <v>292</v>
      </c>
      <c r="U591">
        <v>4.5078296221393137E-3</v>
      </c>
      <c r="V591" t="s">
        <v>159</v>
      </c>
    </row>
    <row r="592" spans="9:22" x14ac:dyDescent="0.45">
      <c r="I592" t="s">
        <v>176</v>
      </c>
      <c r="J592" t="s">
        <v>310</v>
      </c>
      <c r="K592">
        <v>0</v>
      </c>
      <c r="L592" t="s">
        <v>159</v>
      </c>
      <c r="N592" t="s">
        <v>219</v>
      </c>
      <c r="O592" t="s">
        <v>310</v>
      </c>
      <c r="P592">
        <v>1.8843436356865504E-2</v>
      </c>
      <c r="Q592" t="s">
        <v>159</v>
      </c>
      <c r="S592" t="s">
        <v>261</v>
      </c>
      <c r="T592" t="s">
        <v>310</v>
      </c>
      <c r="U592">
        <v>2.2135002306955826E-2</v>
      </c>
      <c r="V592" t="s">
        <v>159</v>
      </c>
    </row>
    <row r="593" spans="9:22" x14ac:dyDescent="0.45">
      <c r="I593" t="s">
        <v>176</v>
      </c>
      <c r="J593" t="s">
        <v>293</v>
      </c>
      <c r="K593">
        <v>0</v>
      </c>
      <c r="L593" t="s">
        <v>159</v>
      </c>
      <c r="N593" t="s">
        <v>219</v>
      </c>
      <c r="O593" t="s">
        <v>293</v>
      </c>
      <c r="P593">
        <v>8.4323255930603691E-3</v>
      </c>
      <c r="Q593" t="s">
        <v>159</v>
      </c>
      <c r="S593" t="s">
        <v>261</v>
      </c>
      <c r="T593" t="s">
        <v>293</v>
      </c>
      <c r="U593">
        <v>7.461645060081362E-3</v>
      </c>
      <c r="V593" t="s">
        <v>159</v>
      </c>
    </row>
    <row r="594" spans="9:22" x14ac:dyDescent="0.45">
      <c r="I594" t="s">
        <v>176</v>
      </c>
      <c r="J594" t="s">
        <v>294</v>
      </c>
      <c r="K594">
        <v>7.4674436664871197E-4</v>
      </c>
      <c r="L594" t="s">
        <v>159</v>
      </c>
      <c r="N594" t="s">
        <v>219</v>
      </c>
      <c r="O594" t="s">
        <v>294</v>
      </c>
      <c r="P594">
        <v>1.3513406180847226E-3</v>
      </c>
      <c r="Q594" t="s">
        <v>159</v>
      </c>
      <c r="S594" t="s">
        <v>261</v>
      </c>
      <c r="T594" t="s">
        <v>294</v>
      </c>
      <c r="U594">
        <v>1.1692335124185937E-3</v>
      </c>
      <c r="V594" t="s">
        <v>159</v>
      </c>
    </row>
    <row r="595" spans="9:22" x14ac:dyDescent="0.45">
      <c r="I595" t="s">
        <v>176</v>
      </c>
      <c r="J595" t="s">
        <v>295</v>
      </c>
      <c r="K595">
        <v>1.1332995749779031E-2</v>
      </c>
      <c r="L595" t="s">
        <v>159</v>
      </c>
      <c r="N595" t="s">
        <v>219</v>
      </c>
      <c r="O595" t="s">
        <v>295</v>
      </c>
      <c r="P595">
        <v>7.5278293250279444E-3</v>
      </c>
      <c r="Q595" t="s">
        <v>159</v>
      </c>
      <c r="S595" t="s">
        <v>261</v>
      </c>
      <c r="T595" t="s">
        <v>295</v>
      </c>
      <c r="U595">
        <v>1.1261898025561946E-2</v>
      </c>
      <c r="V595" t="s">
        <v>159</v>
      </c>
    </row>
    <row r="596" spans="9:22" x14ac:dyDescent="0.45">
      <c r="I596" t="s">
        <v>176</v>
      </c>
      <c r="J596" t="s">
        <v>296</v>
      </c>
      <c r="K596">
        <v>9.611768961647327E-4</v>
      </c>
      <c r="L596" t="s">
        <v>159</v>
      </c>
      <c r="N596" t="s">
        <v>219</v>
      </c>
      <c r="O596" t="s">
        <v>296</v>
      </c>
      <c r="P596">
        <v>1.322661962474291E-3</v>
      </c>
      <c r="Q596" t="s">
        <v>159</v>
      </c>
      <c r="S596" t="s">
        <v>261</v>
      </c>
      <c r="T596" t="s">
        <v>296</v>
      </c>
      <c r="U596">
        <v>1.2849694915434513E-3</v>
      </c>
      <c r="V596" t="s">
        <v>159</v>
      </c>
    </row>
    <row r="597" spans="9:22" x14ac:dyDescent="0.45">
      <c r="I597" t="s">
        <v>176</v>
      </c>
      <c r="J597" t="s">
        <v>297</v>
      </c>
      <c r="K597">
        <v>0</v>
      </c>
      <c r="L597" t="s">
        <v>159</v>
      </c>
      <c r="N597" t="s">
        <v>219</v>
      </c>
      <c r="O597" t="s">
        <v>297</v>
      </c>
      <c r="P597">
        <v>1.5617177360321968E-3</v>
      </c>
      <c r="Q597" t="s">
        <v>159</v>
      </c>
      <c r="S597" t="s">
        <v>261</v>
      </c>
      <c r="T597" t="s">
        <v>297</v>
      </c>
      <c r="U597">
        <v>1.2706375808299306E-3</v>
      </c>
      <c r="V597" t="s">
        <v>159</v>
      </c>
    </row>
    <row r="598" spans="9:22" x14ac:dyDescent="0.45">
      <c r="I598" t="s">
        <v>176</v>
      </c>
      <c r="J598" t="s">
        <v>311</v>
      </c>
      <c r="K598">
        <v>0</v>
      </c>
      <c r="L598" t="s">
        <v>159</v>
      </c>
      <c r="N598" t="s">
        <v>219</v>
      </c>
      <c r="O598" t="s">
        <v>311</v>
      </c>
      <c r="P598">
        <v>6.0945113748982482E-3</v>
      </c>
      <c r="Q598" t="s">
        <v>159</v>
      </c>
      <c r="S598" t="s">
        <v>261</v>
      </c>
      <c r="T598" t="s">
        <v>311</v>
      </c>
      <c r="U598">
        <v>5.7594787350008043E-3</v>
      </c>
      <c r="V598" t="s">
        <v>159</v>
      </c>
    </row>
    <row r="599" spans="9:22" x14ac:dyDescent="0.45">
      <c r="I599" t="s">
        <v>176</v>
      </c>
      <c r="J599" t="s">
        <v>298</v>
      </c>
      <c r="K599">
        <v>9.5605585951548319E-3</v>
      </c>
      <c r="L599" t="s">
        <v>159</v>
      </c>
      <c r="N599" t="s">
        <v>219</v>
      </c>
      <c r="O599" t="s">
        <v>298</v>
      </c>
      <c r="P599">
        <v>6.013306337070512E-2</v>
      </c>
      <c r="Q599" t="s">
        <v>159</v>
      </c>
      <c r="S599" t="s">
        <v>261</v>
      </c>
      <c r="T599" t="s">
        <v>298</v>
      </c>
      <c r="U599">
        <v>9.3100960133145422E-2</v>
      </c>
      <c r="V599" t="s">
        <v>159</v>
      </c>
    </row>
    <row r="600" spans="9:22" x14ac:dyDescent="0.45">
      <c r="I600" t="s">
        <v>176</v>
      </c>
      <c r="J600" t="s">
        <v>299</v>
      </c>
      <c r="K600">
        <v>1.8562819876093321E-2</v>
      </c>
      <c r="L600" t="s">
        <v>159</v>
      </c>
      <c r="N600" t="s">
        <v>219</v>
      </c>
      <c r="O600" t="s">
        <v>299</v>
      </c>
      <c r="P600">
        <v>8.324075391647881E-3</v>
      </c>
      <c r="Q600" t="s">
        <v>159</v>
      </c>
      <c r="S600" t="s">
        <v>261</v>
      </c>
      <c r="T600" t="s">
        <v>299</v>
      </c>
      <c r="U600">
        <v>1.2716980886372886E-2</v>
      </c>
      <c r="V600" t="s">
        <v>159</v>
      </c>
    </row>
    <row r="601" spans="9:22" x14ac:dyDescent="0.45">
      <c r="I601" t="s">
        <v>176</v>
      </c>
      <c r="J601" t="s">
        <v>300</v>
      </c>
      <c r="K601">
        <v>0.24028229689320499</v>
      </c>
      <c r="L601" t="s">
        <v>159</v>
      </c>
      <c r="N601" t="s">
        <v>219</v>
      </c>
      <c r="O601" t="s">
        <v>300</v>
      </c>
      <c r="P601">
        <v>0.15677730617459421</v>
      </c>
      <c r="Q601" t="s">
        <v>159</v>
      </c>
      <c r="S601" t="s">
        <v>261</v>
      </c>
      <c r="T601" t="s">
        <v>300</v>
      </c>
      <c r="U601">
        <v>0.11370324612370672</v>
      </c>
      <c r="V601" t="s">
        <v>159</v>
      </c>
    </row>
    <row r="602" spans="9:22" x14ac:dyDescent="0.45">
      <c r="I602" t="s">
        <v>176</v>
      </c>
      <c r="J602" t="s">
        <v>301</v>
      </c>
      <c r="K602">
        <v>2.1563602755782403E-2</v>
      </c>
      <c r="L602" t="s">
        <v>159</v>
      </c>
      <c r="N602" t="s">
        <v>219</v>
      </c>
      <c r="O602" t="s">
        <v>301</v>
      </c>
      <c r="P602">
        <v>2.79186494754546E-2</v>
      </c>
      <c r="Q602" t="s">
        <v>159</v>
      </c>
      <c r="S602" t="s">
        <v>261</v>
      </c>
      <c r="T602" t="s">
        <v>301</v>
      </c>
      <c r="U602">
        <v>1.4719580405827118E-2</v>
      </c>
      <c r="V602" t="s">
        <v>159</v>
      </c>
    </row>
    <row r="603" spans="9:22" x14ac:dyDescent="0.45">
      <c r="I603" t="s">
        <v>176</v>
      </c>
      <c r="J603" t="s">
        <v>302</v>
      </c>
      <c r="K603">
        <v>1.3148007899466232E-2</v>
      </c>
      <c r="L603" t="s">
        <v>159</v>
      </c>
      <c r="N603" t="s">
        <v>219</v>
      </c>
      <c r="O603" t="s">
        <v>302</v>
      </c>
      <c r="P603">
        <v>2.79974131184948E-2</v>
      </c>
      <c r="Q603" t="s">
        <v>159</v>
      </c>
      <c r="S603" t="s">
        <v>261</v>
      </c>
      <c r="T603" t="s">
        <v>302</v>
      </c>
      <c r="U603">
        <v>1.5080381101105546E-2</v>
      </c>
      <c r="V603" t="s">
        <v>159</v>
      </c>
    </row>
    <row r="604" spans="9:22" x14ac:dyDescent="0.45">
      <c r="I604" t="s">
        <v>176</v>
      </c>
      <c r="J604" t="s">
        <v>312</v>
      </c>
      <c r="K604">
        <v>3.7760507966533784E-4</v>
      </c>
      <c r="L604" t="s">
        <v>159</v>
      </c>
      <c r="N604" t="s">
        <v>219</v>
      </c>
      <c r="O604" t="s">
        <v>312</v>
      </c>
      <c r="P604">
        <v>8.2741343328384676E-2</v>
      </c>
      <c r="Q604" t="s">
        <v>159</v>
      </c>
      <c r="S604" t="s">
        <v>261</v>
      </c>
      <c r="T604" t="s">
        <v>312</v>
      </c>
      <c r="U604">
        <v>7.4558490147105513E-2</v>
      </c>
      <c r="V604" t="s">
        <v>159</v>
      </c>
    </row>
    <row r="605" spans="9:22" x14ac:dyDescent="0.45">
      <c r="I605" t="s">
        <v>176</v>
      </c>
      <c r="J605" t="s">
        <v>313</v>
      </c>
      <c r="K605">
        <v>5.4105498640811128E-3</v>
      </c>
      <c r="L605" t="s">
        <v>159</v>
      </c>
      <c r="N605" t="s">
        <v>219</v>
      </c>
      <c r="O605" t="s">
        <v>313</v>
      </c>
      <c r="P605">
        <v>1.2357654391052885E-2</v>
      </c>
      <c r="Q605" t="s">
        <v>159</v>
      </c>
      <c r="S605" t="s">
        <v>261</v>
      </c>
      <c r="T605" t="s">
        <v>313</v>
      </c>
      <c r="U605">
        <v>1.4648735780218912E-2</v>
      </c>
      <c r="V605" t="s">
        <v>159</v>
      </c>
    </row>
    <row r="606" spans="9:22" x14ac:dyDescent="0.45">
      <c r="I606" t="s">
        <v>176</v>
      </c>
      <c r="J606" t="s">
        <v>314</v>
      </c>
      <c r="K606">
        <v>7.9114052935633557E-3</v>
      </c>
      <c r="L606" t="s">
        <v>159</v>
      </c>
      <c r="N606" t="s">
        <v>219</v>
      </c>
      <c r="O606" t="s">
        <v>314</v>
      </c>
      <c r="P606">
        <v>1.3091886546492057E-3</v>
      </c>
      <c r="Q606" t="s">
        <v>159</v>
      </c>
      <c r="S606" t="s">
        <v>261</v>
      </c>
      <c r="T606" t="s">
        <v>314</v>
      </c>
      <c r="U606">
        <v>2.1370275815687954E-3</v>
      </c>
      <c r="V606" t="s">
        <v>159</v>
      </c>
    </row>
    <row r="607" spans="9:22" x14ac:dyDescent="0.45">
      <c r="I607" t="s">
        <v>176</v>
      </c>
      <c r="J607" t="s">
        <v>315</v>
      </c>
      <c r="K607">
        <v>9.1409217578846902E-2</v>
      </c>
      <c r="L607" t="s">
        <v>159</v>
      </c>
      <c r="N607" t="s">
        <v>219</v>
      </c>
      <c r="O607" t="s">
        <v>315</v>
      </c>
      <c r="P607">
        <v>2.9518510585098051E-2</v>
      </c>
      <c r="Q607" t="s">
        <v>159</v>
      </c>
      <c r="S607" t="s">
        <v>261</v>
      </c>
      <c r="T607" t="s">
        <v>315</v>
      </c>
      <c r="U607">
        <v>2.0223787230382591E-2</v>
      </c>
      <c r="V607" t="s">
        <v>159</v>
      </c>
    </row>
    <row r="608" spans="9:22" x14ac:dyDescent="0.45">
      <c r="I608" t="s">
        <v>176</v>
      </c>
      <c r="J608" t="s">
        <v>316</v>
      </c>
      <c r="K608">
        <v>8.850430735696033E-3</v>
      </c>
      <c r="L608" t="s">
        <v>159</v>
      </c>
      <c r="N608" t="s">
        <v>219</v>
      </c>
      <c r="O608" t="s">
        <v>316</v>
      </c>
      <c r="P608">
        <v>5.924568692675998E-3</v>
      </c>
      <c r="Q608" t="s">
        <v>159</v>
      </c>
      <c r="S608" t="s">
        <v>261</v>
      </c>
      <c r="T608" t="s">
        <v>316</v>
      </c>
      <c r="U608">
        <v>2.6177289156101621E-3</v>
      </c>
      <c r="V608" t="s">
        <v>159</v>
      </c>
    </row>
    <row r="609" spans="9:22" x14ac:dyDescent="0.45">
      <c r="I609" t="s">
        <v>176</v>
      </c>
      <c r="J609" t="s">
        <v>317</v>
      </c>
      <c r="K609">
        <v>7.0246810163009186E-3</v>
      </c>
      <c r="L609" t="s">
        <v>159</v>
      </c>
      <c r="N609" t="s">
        <v>219</v>
      </c>
      <c r="O609" t="s">
        <v>317</v>
      </c>
      <c r="P609">
        <v>5.2941661260739823E-3</v>
      </c>
      <c r="Q609" t="s">
        <v>159</v>
      </c>
      <c r="S609" t="s">
        <v>261</v>
      </c>
      <c r="T609" t="s">
        <v>317</v>
      </c>
      <c r="U609">
        <v>2.76903047674391E-3</v>
      </c>
      <c r="V609" t="s">
        <v>159</v>
      </c>
    </row>
    <row r="610" spans="9:22" x14ac:dyDescent="0.45">
      <c r="I610" t="s">
        <v>176</v>
      </c>
      <c r="J610" t="s">
        <v>318</v>
      </c>
      <c r="K610">
        <v>4.1454760719046692E-3</v>
      </c>
      <c r="L610" t="s">
        <v>159</v>
      </c>
      <c r="N610" t="s">
        <v>219</v>
      </c>
      <c r="O610" t="s">
        <v>318</v>
      </c>
      <c r="P610">
        <v>1.6212189142113458E-2</v>
      </c>
      <c r="Q610" t="s">
        <v>159</v>
      </c>
      <c r="S610" t="s">
        <v>261</v>
      </c>
      <c r="T610" t="s">
        <v>318</v>
      </c>
      <c r="U610">
        <v>1.3448593950202731E-2</v>
      </c>
      <c r="V610" t="s">
        <v>159</v>
      </c>
    </row>
    <row r="611" spans="9:22" x14ac:dyDescent="0.45">
      <c r="I611" t="s">
        <v>177</v>
      </c>
      <c r="J611" t="s">
        <v>158</v>
      </c>
      <c r="K611">
        <v>8.8361490054528445E-3</v>
      </c>
      <c r="L611" t="s">
        <v>159</v>
      </c>
      <c r="N611" t="s">
        <v>220</v>
      </c>
      <c r="O611" t="s">
        <v>158</v>
      </c>
      <c r="P611">
        <v>0.10065905231090326</v>
      </c>
      <c r="Q611" t="s">
        <v>159</v>
      </c>
      <c r="S611" t="s">
        <v>262</v>
      </c>
      <c r="T611" t="s">
        <v>158</v>
      </c>
      <c r="U611">
        <v>0.12578009628135409</v>
      </c>
      <c r="V611" t="s">
        <v>159</v>
      </c>
    </row>
    <row r="612" spans="9:22" x14ac:dyDescent="0.45">
      <c r="I612" t="s">
        <v>177</v>
      </c>
      <c r="J612" t="s">
        <v>160</v>
      </c>
      <c r="K612">
        <v>2.6639582170277887E-2</v>
      </c>
      <c r="L612" t="s">
        <v>159</v>
      </c>
      <c r="N612" t="s">
        <v>220</v>
      </c>
      <c r="O612" t="s">
        <v>160</v>
      </c>
      <c r="P612">
        <v>1.382859916439887E-2</v>
      </c>
      <c r="Q612" t="s">
        <v>159</v>
      </c>
      <c r="S612" t="s">
        <v>262</v>
      </c>
      <c r="T612" t="s">
        <v>160</v>
      </c>
      <c r="U612">
        <v>1.7738962210179701E-2</v>
      </c>
      <c r="V612" t="s">
        <v>159</v>
      </c>
    </row>
    <row r="613" spans="9:22" x14ac:dyDescent="0.45">
      <c r="I613" t="s">
        <v>177</v>
      </c>
      <c r="J613" t="s">
        <v>161</v>
      </c>
      <c r="K613">
        <v>0.37554533548670488</v>
      </c>
      <c r="L613" t="s">
        <v>159</v>
      </c>
      <c r="N613" t="s">
        <v>220</v>
      </c>
      <c r="O613" t="s">
        <v>161</v>
      </c>
      <c r="P613">
        <v>0.11265877668503732</v>
      </c>
      <c r="Q613" t="s">
        <v>159</v>
      </c>
      <c r="S613" t="s">
        <v>262</v>
      </c>
      <c r="T613" t="s">
        <v>161</v>
      </c>
      <c r="U613">
        <v>0.16778768048226672</v>
      </c>
      <c r="V613" t="s">
        <v>159</v>
      </c>
    </row>
    <row r="614" spans="9:22" x14ac:dyDescent="0.45">
      <c r="I614" t="s">
        <v>177</v>
      </c>
      <c r="J614" t="s">
        <v>287</v>
      </c>
      <c r="K614">
        <v>3.4996452598374049E-2</v>
      </c>
      <c r="L614" t="s">
        <v>159</v>
      </c>
      <c r="N614" t="s">
        <v>220</v>
      </c>
      <c r="O614" t="s">
        <v>287</v>
      </c>
      <c r="P614">
        <v>1.8374326843646968E-2</v>
      </c>
      <c r="Q614" t="s">
        <v>159</v>
      </c>
      <c r="S614" t="s">
        <v>262</v>
      </c>
      <c r="T614" t="s">
        <v>287</v>
      </c>
      <c r="U614">
        <v>2.1127564416771286E-2</v>
      </c>
      <c r="V614" t="s">
        <v>159</v>
      </c>
    </row>
    <row r="615" spans="9:22" x14ac:dyDescent="0.45">
      <c r="I615" t="s">
        <v>177</v>
      </c>
      <c r="J615" t="s">
        <v>288</v>
      </c>
      <c r="K615">
        <v>1.9059672661555109E-2</v>
      </c>
      <c r="L615" t="s">
        <v>159</v>
      </c>
      <c r="N615" t="s">
        <v>220</v>
      </c>
      <c r="O615" t="s">
        <v>288</v>
      </c>
      <c r="P615">
        <v>2.1046864341194852E-2</v>
      </c>
      <c r="Q615" t="s">
        <v>159</v>
      </c>
      <c r="S615" t="s">
        <v>262</v>
      </c>
      <c r="T615" t="s">
        <v>288</v>
      </c>
      <c r="U615">
        <v>2.1319641756647557E-2</v>
      </c>
      <c r="V615" t="s">
        <v>159</v>
      </c>
    </row>
    <row r="616" spans="9:22" x14ac:dyDescent="0.45">
      <c r="I616" t="s">
        <v>177</v>
      </c>
      <c r="J616" t="s">
        <v>308</v>
      </c>
      <c r="K616">
        <v>6.5001562217875735E-3</v>
      </c>
      <c r="L616" t="s">
        <v>159</v>
      </c>
      <c r="N616" t="s">
        <v>220</v>
      </c>
      <c r="O616" t="s">
        <v>308</v>
      </c>
      <c r="P616">
        <v>9.2782412841846212E-2</v>
      </c>
      <c r="Q616" t="s">
        <v>159</v>
      </c>
      <c r="S616" t="s">
        <v>262</v>
      </c>
      <c r="T616" t="s">
        <v>308</v>
      </c>
      <c r="U616">
        <v>0.10165065065880304</v>
      </c>
      <c r="V616" t="s">
        <v>159</v>
      </c>
    </row>
    <row r="617" spans="9:22" x14ac:dyDescent="0.45">
      <c r="I617" t="s">
        <v>177</v>
      </c>
      <c r="J617" t="s">
        <v>162</v>
      </c>
      <c r="K617">
        <v>0</v>
      </c>
      <c r="L617" t="s">
        <v>159</v>
      </c>
      <c r="N617" t="s">
        <v>220</v>
      </c>
      <c r="O617" t="s">
        <v>162</v>
      </c>
      <c r="P617">
        <v>2.8997610948141149E-2</v>
      </c>
      <c r="Q617" t="s">
        <v>159</v>
      </c>
      <c r="S617" t="s">
        <v>262</v>
      </c>
      <c r="T617" t="s">
        <v>162</v>
      </c>
      <c r="U617">
        <v>1.8791391849278468E-2</v>
      </c>
      <c r="V617" t="s">
        <v>159</v>
      </c>
    </row>
    <row r="618" spans="9:22" x14ac:dyDescent="0.45">
      <c r="I618" t="s">
        <v>177</v>
      </c>
      <c r="J618" t="s">
        <v>163</v>
      </c>
      <c r="K618">
        <v>0</v>
      </c>
      <c r="L618" t="s">
        <v>159</v>
      </c>
      <c r="N618" t="s">
        <v>220</v>
      </c>
      <c r="O618" t="s">
        <v>163</v>
      </c>
      <c r="P618">
        <v>3.9007463331974428E-3</v>
      </c>
      <c r="Q618" t="s">
        <v>159</v>
      </c>
      <c r="S618" t="s">
        <v>262</v>
      </c>
      <c r="T618" t="s">
        <v>163</v>
      </c>
      <c r="U618">
        <v>2.6440479701654038E-3</v>
      </c>
      <c r="V618" t="s">
        <v>159</v>
      </c>
    </row>
    <row r="619" spans="9:22" x14ac:dyDescent="0.45">
      <c r="I619" t="s">
        <v>177</v>
      </c>
      <c r="J619" t="s">
        <v>164</v>
      </c>
      <c r="K619">
        <v>3.5157136067575201E-2</v>
      </c>
      <c r="L619" t="s">
        <v>159</v>
      </c>
      <c r="N619" t="s">
        <v>220</v>
      </c>
      <c r="O619" t="s">
        <v>164</v>
      </c>
      <c r="P619">
        <v>2.3805690842602579E-2</v>
      </c>
      <c r="Q619" t="s">
        <v>159</v>
      </c>
      <c r="S619" t="s">
        <v>262</v>
      </c>
      <c r="T619" t="s">
        <v>164</v>
      </c>
      <c r="U619">
        <v>2.4883292021222445E-2</v>
      </c>
      <c r="V619" t="s">
        <v>159</v>
      </c>
    </row>
    <row r="620" spans="9:22" x14ac:dyDescent="0.45">
      <c r="I620" t="s">
        <v>177</v>
      </c>
      <c r="J620" t="s">
        <v>289</v>
      </c>
      <c r="K620">
        <v>3.16395360608518E-3</v>
      </c>
      <c r="L620" t="s">
        <v>159</v>
      </c>
      <c r="N620" t="s">
        <v>220</v>
      </c>
      <c r="O620" t="s">
        <v>289</v>
      </c>
      <c r="P620">
        <v>2.9547077627288388E-3</v>
      </c>
      <c r="Q620" t="s">
        <v>159</v>
      </c>
      <c r="S620" t="s">
        <v>262</v>
      </c>
      <c r="T620" t="s">
        <v>289</v>
      </c>
      <c r="U620">
        <v>3.059544993995579E-3</v>
      </c>
      <c r="V620" t="s">
        <v>159</v>
      </c>
    </row>
    <row r="621" spans="9:22" x14ac:dyDescent="0.45">
      <c r="I621" t="s">
        <v>177</v>
      </c>
      <c r="J621" t="s">
        <v>290</v>
      </c>
      <c r="K621">
        <v>0</v>
      </c>
      <c r="L621" t="s">
        <v>159</v>
      </c>
      <c r="N621" t="s">
        <v>220</v>
      </c>
      <c r="O621" t="s">
        <v>290</v>
      </c>
      <c r="P621">
        <v>3.6673144466063449E-3</v>
      </c>
      <c r="Q621" t="s">
        <v>159</v>
      </c>
      <c r="S621" t="s">
        <v>262</v>
      </c>
      <c r="T621" t="s">
        <v>290</v>
      </c>
      <c r="U621">
        <v>3.1318100319306691E-3</v>
      </c>
      <c r="V621" t="s">
        <v>159</v>
      </c>
    </row>
    <row r="622" spans="9:22" x14ac:dyDescent="0.45">
      <c r="I622" t="s">
        <v>177</v>
      </c>
      <c r="J622" t="s">
        <v>309</v>
      </c>
      <c r="K622">
        <v>0</v>
      </c>
      <c r="L622" t="s">
        <v>159</v>
      </c>
      <c r="N622" t="s">
        <v>220</v>
      </c>
      <c r="O622" t="s">
        <v>309</v>
      </c>
      <c r="P622">
        <v>1.7289966782299281E-2</v>
      </c>
      <c r="Q622" t="s">
        <v>159</v>
      </c>
      <c r="S622" t="s">
        <v>262</v>
      </c>
      <c r="T622" t="s">
        <v>309</v>
      </c>
      <c r="U622">
        <v>1.5394211433328418E-2</v>
      </c>
      <c r="V622" t="s">
        <v>159</v>
      </c>
    </row>
    <row r="623" spans="9:22" x14ac:dyDescent="0.45">
      <c r="I623" t="s">
        <v>177</v>
      </c>
      <c r="J623" t="s">
        <v>346</v>
      </c>
      <c r="K623">
        <v>0</v>
      </c>
      <c r="L623" t="s">
        <v>159</v>
      </c>
      <c r="N623" t="s">
        <v>220</v>
      </c>
      <c r="O623" t="s">
        <v>346</v>
      </c>
      <c r="P623">
        <v>6.9577770560933222E-6</v>
      </c>
      <c r="Q623" t="s">
        <v>159</v>
      </c>
      <c r="S623" t="s">
        <v>262</v>
      </c>
      <c r="T623" t="s">
        <v>346</v>
      </c>
      <c r="U623">
        <v>1.142639332482268E-4</v>
      </c>
      <c r="V623" t="s">
        <v>159</v>
      </c>
    </row>
    <row r="624" spans="9:22" x14ac:dyDescent="0.45">
      <c r="I624" t="s">
        <v>177</v>
      </c>
      <c r="J624" t="s">
        <v>347</v>
      </c>
      <c r="K624">
        <v>0</v>
      </c>
      <c r="L624" t="s">
        <v>159</v>
      </c>
      <c r="N624" t="s">
        <v>220</v>
      </c>
      <c r="O624" t="s">
        <v>347</v>
      </c>
      <c r="P624">
        <v>5.4019774990484189E-6</v>
      </c>
      <c r="Q624" t="s">
        <v>159</v>
      </c>
      <c r="S624" t="s">
        <v>262</v>
      </c>
      <c r="T624" t="s">
        <v>347</v>
      </c>
      <c r="U624">
        <v>9.8781966380310859E-5</v>
      </c>
      <c r="V624" t="s">
        <v>159</v>
      </c>
    </row>
    <row r="625" spans="9:22" x14ac:dyDescent="0.45">
      <c r="I625" t="s">
        <v>177</v>
      </c>
      <c r="J625" t="s">
        <v>348</v>
      </c>
      <c r="K625">
        <v>0</v>
      </c>
      <c r="L625" t="s">
        <v>159</v>
      </c>
      <c r="N625" t="s">
        <v>220</v>
      </c>
      <c r="O625" t="s">
        <v>348</v>
      </c>
      <c r="P625">
        <v>4.2392114427317981E-6</v>
      </c>
      <c r="Q625" t="s">
        <v>159</v>
      </c>
      <c r="S625" t="s">
        <v>262</v>
      </c>
      <c r="T625" t="s">
        <v>348</v>
      </c>
      <c r="U625">
        <v>8.0977534194674614E-5</v>
      </c>
      <c r="V625" t="s">
        <v>159</v>
      </c>
    </row>
    <row r="626" spans="9:22" x14ac:dyDescent="0.45">
      <c r="I626" t="s">
        <v>177</v>
      </c>
      <c r="J626" t="s">
        <v>349</v>
      </c>
      <c r="K626">
        <v>0</v>
      </c>
      <c r="L626" t="s">
        <v>159</v>
      </c>
      <c r="N626" t="s">
        <v>220</v>
      </c>
      <c r="O626" t="s">
        <v>349</v>
      </c>
      <c r="P626">
        <v>3.3809914352130392E-6</v>
      </c>
      <c r="Q626" t="s">
        <v>159</v>
      </c>
      <c r="S626" t="s">
        <v>262</v>
      </c>
      <c r="T626" t="s">
        <v>349</v>
      </c>
      <c r="U626">
        <v>6.1350518761420214E-5</v>
      </c>
      <c r="V626" t="s">
        <v>159</v>
      </c>
    </row>
    <row r="627" spans="9:22" x14ac:dyDescent="0.45">
      <c r="I627" t="s">
        <v>177</v>
      </c>
      <c r="J627" t="s">
        <v>350</v>
      </c>
      <c r="K627">
        <v>0</v>
      </c>
      <c r="L627" t="s">
        <v>159</v>
      </c>
      <c r="N627" t="s">
        <v>220</v>
      </c>
      <c r="O627" t="s">
        <v>350</v>
      </c>
      <c r="P627">
        <v>3.5793910736514908E-6</v>
      </c>
      <c r="Q627" t="s">
        <v>159</v>
      </c>
      <c r="S627" t="s">
        <v>262</v>
      </c>
      <c r="T627" t="s">
        <v>350</v>
      </c>
      <c r="U627">
        <v>4.7834256326156762E-5</v>
      </c>
      <c r="V627" t="s">
        <v>159</v>
      </c>
    </row>
    <row r="628" spans="9:22" x14ac:dyDescent="0.45">
      <c r="I628" t="s">
        <v>177</v>
      </c>
      <c r="J628" t="s">
        <v>351</v>
      </c>
      <c r="K628">
        <v>0</v>
      </c>
      <c r="L628" t="s">
        <v>159</v>
      </c>
      <c r="N628" t="s">
        <v>220</v>
      </c>
      <c r="O628" t="s">
        <v>351</v>
      </c>
      <c r="P628">
        <v>4.6348979110572129E-6</v>
      </c>
      <c r="Q628" t="s">
        <v>159</v>
      </c>
      <c r="S628" t="s">
        <v>262</v>
      </c>
      <c r="T628" t="s">
        <v>351</v>
      </c>
      <c r="U628">
        <v>4.1004807367005922E-5</v>
      </c>
      <c r="V628" t="s">
        <v>159</v>
      </c>
    </row>
    <row r="629" spans="9:22" x14ac:dyDescent="0.45">
      <c r="I629" t="s">
        <v>177</v>
      </c>
      <c r="J629" t="s">
        <v>352</v>
      </c>
      <c r="K629">
        <v>0</v>
      </c>
      <c r="L629" t="s">
        <v>159</v>
      </c>
      <c r="N629" t="s">
        <v>220</v>
      </c>
      <c r="O629" t="s">
        <v>352</v>
      </c>
      <c r="P629">
        <v>5.306439363382013E-6</v>
      </c>
      <c r="Q629" t="s">
        <v>159</v>
      </c>
      <c r="S629" t="s">
        <v>262</v>
      </c>
      <c r="T629" t="s">
        <v>352</v>
      </c>
      <c r="U629">
        <v>4.0014053135694914E-5</v>
      </c>
      <c r="V629" t="s">
        <v>159</v>
      </c>
    </row>
    <row r="630" spans="9:22" x14ac:dyDescent="0.45">
      <c r="I630" t="s">
        <v>177</v>
      </c>
      <c r="J630" t="s">
        <v>353</v>
      </c>
      <c r="K630">
        <v>0</v>
      </c>
      <c r="L630" t="s">
        <v>159</v>
      </c>
      <c r="N630" t="s">
        <v>220</v>
      </c>
      <c r="O630" t="s">
        <v>353</v>
      </c>
      <c r="P630">
        <v>6.8163045877094215E-6</v>
      </c>
      <c r="Q630" t="s">
        <v>159</v>
      </c>
      <c r="S630" t="s">
        <v>262</v>
      </c>
      <c r="T630" t="s">
        <v>353</v>
      </c>
      <c r="U630">
        <v>4.3787300187670036E-5</v>
      </c>
      <c r="V630" t="s">
        <v>159</v>
      </c>
    </row>
    <row r="631" spans="9:22" x14ac:dyDescent="0.45">
      <c r="I631" t="s">
        <v>177</v>
      </c>
      <c r="J631" t="s">
        <v>354</v>
      </c>
      <c r="K631">
        <v>1.4687082504617009E-4</v>
      </c>
      <c r="L631" t="s">
        <v>159</v>
      </c>
      <c r="N631" t="s">
        <v>220</v>
      </c>
      <c r="O631" t="s">
        <v>354</v>
      </c>
      <c r="P631">
        <v>5.7120387822564561E-6</v>
      </c>
      <c r="Q631" t="s">
        <v>159</v>
      </c>
      <c r="S631" t="s">
        <v>262</v>
      </c>
      <c r="T631" t="s">
        <v>354</v>
      </c>
      <c r="U631">
        <v>4.7605578868480157E-5</v>
      </c>
      <c r="V631" t="s">
        <v>159</v>
      </c>
    </row>
    <row r="632" spans="9:22" x14ac:dyDescent="0.45">
      <c r="I632" t="s">
        <v>177</v>
      </c>
      <c r="J632" t="s">
        <v>355</v>
      </c>
      <c r="K632">
        <v>1.6532723205834376E-4</v>
      </c>
      <c r="L632" t="s">
        <v>159</v>
      </c>
      <c r="N632" t="s">
        <v>220</v>
      </c>
      <c r="O632" t="s">
        <v>355</v>
      </c>
      <c r="P632">
        <v>6.9070610748952007E-7</v>
      </c>
      <c r="Q632" t="s">
        <v>159</v>
      </c>
      <c r="S632" t="s">
        <v>262</v>
      </c>
      <c r="T632" t="s">
        <v>355</v>
      </c>
      <c r="U632">
        <v>5.2782387842316819E-5</v>
      </c>
      <c r="V632" t="s">
        <v>159</v>
      </c>
    </row>
    <row r="633" spans="9:22" x14ac:dyDescent="0.45">
      <c r="I633" t="s">
        <v>177</v>
      </c>
      <c r="J633" t="s">
        <v>356</v>
      </c>
      <c r="K633">
        <v>1.5139234379178075E-4</v>
      </c>
      <c r="L633" t="s">
        <v>159</v>
      </c>
      <c r="N633" t="s">
        <v>220</v>
      </c>
      <c r="O633" t="s">
        <v>356</v>
      </c>
      <c r="P633">
        <v>1.598343718813847E-8</v>
      </c>
      <c r="Q633" t="s">
        <v>159</v>
      </c>
      <c r="S633" t="s">
        <v>262</v>
      </c>
      <c r="T633" t="s">
        <v>356</v>
      </c>
      <c r="U633">
        <v>6.0768946053739822E-5</v>
      </c>
      <c r="V633" t="s">
        <v>159</v>
      </c>
    </row>
    <row r="634" spans="9:22" x14ac:dyDescent="0.45">
      <c r="I634" t="s">
        <v>177</v>
      </c>
      <c r="J634" t="s">
        <v>357</v>
      </c>
      <c r="K634">
        <v>1.5845223036462246E-4</v>
      </c>
      <c r="L634" t="s">
        <v>159</v>
      </c>
      <c r="N634" t="s">
        <v>220</v>
      </c>
      <c r="O634" t="s">
        <v>357</v>
      </c>
      <c r="P634">
        <v>5.4280622484620312E-8</v>
      </c>
      <c r="Q634" t="s">
        <v>159</v>
      </c>
      <c r="S634" t="s">
        <v>262</v>
      </c>
      <c r="T634" t="s">
        <v>357</v>
      </c>
      <c r="U634">
        <v>6.6950529319742945E-5</v>
      </c>
      <c r="V634" t="s">
        <v>159</v>
      </c>
    </row>
    <row r="635" spans="9:22" x14ac:dyDescent="0.45">
      <c r="I635" t="s">
        <v>177</v>
      </c>
      <c r="J635" t="s">
        <v>358</v>
      </c>
      <c r="K635">
        <v>2.023926388290048E-4</v>
      </c>
      <c r="L635" t="s">
        <v>159</v>
      </c>
      <c r="N635" t="s">
        <v>220</v>
      </c>
      <c r="O635" t="s">
        <v>358</v>
      </c>
      <c r="P635">
        <v>1.5135677335029573E-6</v>
      </c>
      <c r="Q635" t="s">
        <v>159</v>
      </c>
      <c r="S635" t="s">
        <v>262</v>
      </c>
      <c r="T635" t="s">
        <v>358</v>
      </c>
      <c r="U635">
        <v>6.7649008115673324E-5</v>
      </c>
      <c r="V635" t="s">
        <v>159</v>
      </c>
    </row>
    <row r="636" spans="9:22" x14ac:dyDescent="0.45">
      <c r="I636" t="s">
        <v>177</v>
      </c>
      <c r="J636" t="s">
        <v>359</v>
      </c>
      <c r="K636">
        <v>1.7132725014000109E-4</v>
      </c>
      <c r="L636" t="s">
        <v>159</v>
      </c>
      <c r="N636" t="s">
        <v>220</v>
      </c>
      <c r="O636" t="s">
        <v>359</v>
      </c>
      <c r="P636">
        <v>2.7921994001975519E-6</v>
      </c>
      <c r="Q636" t="s">
        <v>159</v>
      </c>
      <c r="S636" t="s">
        <v>262</v>
      </c>
      <c r="T636" t="s">
        <v>359</v>
      </c>
      <c r="U636">
        <v>7.2421162845545185E-5</v>
      </c>
      <c r="V636" t="s">
        <v>159</v>
      </c>
    </row>
    <row r="637" spans="9:22" x14ac:dyDescent="0.45">
      <c r="I637" t="s">
        <v>177</v>
      </c>
      <c r="J637" t="s">
        <v>360</v>
      </c>
      <c r="K637">
        <v>1.3827211057655642E-4</v>
      </c>
      <c r="L637" t="s">
        <v>159</v>
      </c>
      <c r="N637" t="s">
        <v>220</v>
      </c>
      <c r="O637" t="s">
        <v>360</v>
      </c>
      <c r="P637">
        <v>7.8594793034693883E-6</v>
      </c>
      <c r="Q637" t="s">
        <v>159</v>
      </c>
      <c r="S637" t="s">
        <v>262</v>
      </c>
      <c r="T637" t="s">
        <v>360</v>
      </c>
      <c r="U637">
        <v>7.774751440243715E-5</v>
      </c>
      <c r="V637" t="s">
        <v>159</v>
      </c>
    </row>
    <row r="638" spans="9:22" x14ac:dyDescent="0.45">
      <c r="I638" t="s">
        <v>177</v>
      </c>
      <c r="J638" t="s">
        <v>361</v>
      </c>
      <c r="K638">
        <v>1.1544000166476913E-4</v>
      </c>
      <c r="L638" t="s">
        <v>159</v>
      </c>
      <c r="N638" t="s">
        <v>220</v>
      </c>
      <c r="O638" t="s">
        <v>361</v>
      </c>
      <c r="P638">
        <v>1.4932126232299098E-5</v>
      </c>
      <c r="Q638" t="s">
        <v>159</v>
      </c>
      <c r="S638" t="s">
        <v>262</v>
      </c>
      <c r="T638" t="s">
        <v>361</v>
      </c>
      <c r="U638">
        <v>8.2930295351200915E-5</v>
      </c>
      <c r="V638" t="s">
        <v>159</v>
      </c>
    </row>
    <row r="639" spans="9:22" x14ac:dyDescent="0.45">
      <c r="I639" t="s">
        <v>177</v>
      </c>
      <c r="J639" t="s">
        <v>362</v>
      </c>
      <c r="K639">
        <v>8.9099660663041305E-5</v>
      </c>
      <c r="L639" t="s">
        <v>159</v>
      </c>
      <c r="N639" t="s">
        <v>220</v>
      </c>
      <c r="O639" t="s">
        <v>362</v>
      </c>
      <c r="P639">
        <v>2.9294491816094541E-5</v>
      </c>
      <c r="Q639" t="s">
        <v>159</v>
      </c>
      <c r="S639" t="s">
        <v>262</v>
      </c>
      <c r="T639" t="s">
        <v>362</v>
      </c>
      <c r="U639">
        <v>8.9104642519425054E-5</v>
      </c>
      <c r="V639" t="s">
        <v>159</v>
      </c>
    </row>
    <row r="640" spans="9:22" x14ac:dyDescent="0.45">
      <c r="I640" t="s">
        <v>177</v>
      </c>
      <c r="J640" t="s">
        <v>363</v>
      </c>
      <c r="K640">
        <v>4.3548030786312217E-5</v>
      </c>
      <c r="L640" t="s">
        <v>159</v>
      </c>
      <c r="N640" t="s">
        <v>220</v>
      </c>
      <c r="O640" t="s">
        <v>363</v>
      </c>
      <c r="P640">
        <v>8.128286940382458E-5</v>
      </c>
      <c r="Q640" t="s">
        <v>159</v>
      </c>
      <c r="S640" t="s">
        <v>262</v>
      </c>
      <c r="T640" t="s">
        <v>363</v>
      </c>
      <c r="U640">
        <v>9.7245215411260425E-5</v>
      </c>
      <c r="V640" t="s">
        <v>159</v>
      </c>
    </row>
    <row r="641" spans="9:22" x14ac:dyDescent="0.45">
      <c r="I641" t="s">
        <v>177</v>
      </c>
      <c r="J641" t="s">
        <v>364</v>
      </c>
      <c r="K641">
        <v>0</v>
      </c>
      <c r="L641" t="s">
        <v>159</v>
      </c>
      <c r="N641" t="s">
        <v>220</v>
      </c>
      <c r="O641" t="s">
        <v>364</v>
      </c>
      <c r="P641">
        <v>1.143026044697054E-4</v>
      </c>
      <c r="Q641" t="s">
        <v>159</v>
      </c>
      <c r="S641" t="s">
        <v>262</v>
      </c>
      <c r="T641" t="s">
        <v>364</v>
      </c>
      <c r="U641">
        <v>9.3346247527442781E-5</v>
      </c>
      <c r="V641" t="s">
        <v>159</v>
      </c>
    </row>
    <row r="642" spans="9:22" x14ac:dyDescent="0.45">
      <c r="I642" t="s">
        <v>177</v>
      </c>
      <c r="J642" t="s">
        <v>365</v>
      </c>
      <c r="K642">
        <v>0</v>
      </c>
      <c r="L642" t="s">
        <v>159</v>
      </c>
      <c r="N642" t="s">
        <v>220</v>
      </c>
      <c r="O642" t="s">
        <v>365</v>
      </c>
      <c r="P642">
        <v>9.3445126159747278E-5</v>
      </c>
      <c r="Q642" t="s">
        <v>159</v>
      </c>
      <c r="S642" t="s">
        <v>262</v>
      </c>
      <c r="T642" t="s">
        <v>365</v>
      </c>
      <c r="U642">
        <v>8.6109105358110567E-5</v>
      </c>
      <c r="V642" t="s">
        <v>159</v>
      </c>
    </row>
    <row r="643" spans="9:22" x14ac:dyDescent="0.45">
      <c r="I643" t="s">
        <v>177</v>
      </c>
      <c r="J643" t="s">
        <v>366</v>
      </c>
      <c r="K643">
        <v>0</v>
      </c>
      <c r="L643" t="s">
        <v>159</v>
      </c>
      <c r="N643" t="s">
        <v>220</v>
      </c>
      <c r="O643" t="s">
        <v>366</v>
      </c>
      <c r="P643">
        <v>5.0588667122483995E-5</v>
      </c>
      <c r="Q643" t="s">
        <v>159</v>
      </c>
      <c r="S643" t="s">
        <v>262</v>
      </c>
      <c r="T643" t="s">
        <v>366</v>
      </c>
      <c r="U643">
        <v>8.4684503071447148E-5</v>
      </c>
      <c r="V643" t="s">
        <v>159</v>
      </c>
    </row>
    <row r="644" spans="9:22" x14ac:dyDescent="0.45">
      <c r="I644" t="s">
        <v>177</v>
      </c>
      <c r="J644" t="s">
        <v>367</v>
      </c>
      <c r="K644">
        <v>0</v>
      </c>
      <c r="L644" t="s">
        <v>159</v>
      </c>
      <c r="N644" t="s">
        <v>220</v>
      </c>
      <c r="O644" t="s">
        <v>367</v>
      </c>
      <c r="P644">
        <v>2.3510954658327007E-5</v>
      </c>
      <c r="Q644" t="s">
        <v>159</v>
      </c>
      <c r="S644" t="s">
        <v>262</v>
      </c>
      <c r="T644" t="s">
        <v>367</v>
      </c>
      <c r="U644">
        <v>8.1646371818043921E-5</v>
      </c>
      <c r="V644" t="s">
        <v>159</v>
      </c>
    </row>
    <row r="645" spans="9:22" x14ac:dyDescent="0.45">
      <c r="I645" t="s">
        <v>177</v>
      </c>
      <c r="J645" t="s">
        <v>368</v>
      </c>
      <c r="K645">
        <v>0</v>
      </c>
      <c r="L645" t="s">
        <v>159</v>
      </c>
      <c r="N645" t="s">
        <v>220</v>
      </c>
      <c r="O645" t="s">
        <v>368</v>
      </c>
      <c r="P645">
        <v>1.410422660904145E-5</v>
      </c>
      <c r="Q645" t="s">
        <v>159</v>
      </c>
      <c r="S645" t="s">
        <v>262</v>
      </c>
      <c r="T645" t="s">
        <v>368</v>
      </c>
      <c r="U645">
        <v>7.588247803908327E-5</v>
      </c>
      <c r="V645" t="s">
        <v>159</v>
      </c>
    </row>
    <row r="646" spans="9:22" x14ac:dyDescent="0.45">
      <c r="I646" t="s">
        <v>177</v>
      </c>
      <c r="J646" t="s">
        <v>369</v>
      </c>
      <c r="K646">
        <v>0</v>
      </c>
      <c r="L646" t="s">
        <v>159</v>
      </c>
      <c r="N646" t="s">
        <v>220</v>
      </c>
      <c r="O646" t="s">
        <v>369</v>
      </c>
      <c r="P646">
        <v>8.5472326337455239E-6</v>
      </c>
      <c r="Q646" t="s">
        <v>159</v>
      </c>
      <c r="S646" t="s">
        <v>262</v>
      </c>
      <c r="T646" t="s">
        <v>369</v>
      </c>
      <c r="U646">
        <v>6.6583465745691521E-5</v>
      </c>
      <c r="V646" t="s">
        <v>159</v>
      </c>
    </row>
    <row r="647" spans="9:22" x14ac:dyDescent="0.45">
      <c r="I647" t="s">
        <v>177</v>
      </c>
      <c r="J647" t="s">
        <v>165</v>
      </c>
      <c r="K647">
        <v>0</v>
      </c>
      <c r="L647" t="s">
        <v>159</v>
      </c>
      <c r="N647" t="s">
        <v>220</v>
      </c>
      <c r="O647" t="s">
        <v>165</v>
      </c>
      <c r="P647">
        <v>4.6823684157806744E-2</v>
      </c>
      <c r="Q647" t="s">
        <v>159</v>
      </c>
      <c r="S647" t="s">
        <v>262</v>
      </c>
      <c r="T647" t="s">
        <v>165</v>
      </c>
      <c r="U647">
        <v>2.3039015656255941E-2</v>
      </c>
      <c r="V647" t="s">
        <v>159</v>
      </c>
    </row>
    <row r="648" spans="9:22" x14ac:dyDescent="0.45">
      <c r="I648" t="s">
        <v>177</v>
      </c>
      <c r="J648" t="s">
        <v>166</v>
      </c>
      <c r="K648">
        <v>7.482877803137479E-4</v>
      </c>
      <c r="L648" t="s">
        <v>159</v>
      </c>
      <c r="N648" t="s">
        <v>220</v>
      </c>
      <c r="O648" t="s">
        <v>166</v>
      </c>
      <c r="P648">
        <v>6.8508211536480509E-3</v>
      </c>
      <c r="Q648" t="s">
        <v>159</v>
      </c>
      <c r="S648" t="s">
        <v>262</v>
      </c>
      <c r="T648" t="s">
        <v>166</v>
      </c>
      <c r="U648">
        <v>3.3062632356805877E-3</v>
      </c>
      <c r="V648" t="s">
        <v>159</v>
      </c>
    </row>
    <row r="649" spans="9:22" x14ac:dyDescent="0.45">
      <c r="I649" t="s">
        <v>177</v>
      </c>
      <c r="J649" t="s">
        <v>167</v>
      </c>
      <c r="K649">
        <v>4.3916012825219883E-2</v>
      </c>
      <c r="L649" t="s">
        <v>159</v>
      </c>
      <c r="N649" t="s">
        <v>220</v>
      </c>
      <c r="O649" t="s">
        <v>167</v>
      </c>
      <c r="P649">
        <v>4.6275287848380732E-2</v>
      </c>
      <c r="Q649" t="s">
        <v>159</v>
      </c>
      <c r="S649" t="s">
        <v>262</v>
      </c>
      <c r="T649" t="s">
        <v>167</v>
      </c>
      <c r="U649">
        <v>3.209989927494105E-2</v>
      </c>
      <c r="V649" t="s">
        <v>159</v>
      </c>
    </row>
    <row r="650" spans="9:22" x14ac:dyDescent="0.45">
      <c r="I650" t="s">
        <v>177</v>
      </c>
      <c r="J650" t="s">
        <v>291</v>
      </c>
      <c r="K650">
        <v>3.7060758229997149E-3</v>
      </c>
      <c r="L650" t="s">
        <v>159</v>
      </c>
      <c r="N650" t="s">
        <v>220</v>
      </c>
      <c r="O650" t="s">
        <v>291</v>
      </c>
      <c r="P650">
        <v>4.2570545069533627E-3</v>
      </c>
      <c r="Q650" t="s">
        <v>159</v>
      </c>
      <c r="S650" t="s">
        <v>262</v>
      </c>
      <c r="T650" t="s">
        <v>291</v>
      </c>
      <c r="U650">
        <v>3.9573251471391666E-3</v>
      </c>
      <c r="V650" t="s">
        <v>159</v>
      </c>
    </row>
    <row r="651" spans="9:22" x14ac:dyDescent="0.45">
      <c r="I651" t="s">
        <v>177</v>
      </c>
      <c r="J651" t="s">
        <v>292</v>
      </c>
      <c r="K651">
        <v>0</v>
      </c>
      <c r="L651" t="s">
        <v>159</v>
      </c>
      <c r="N651" t="s">
        <v>220</v>
      </c>
      <c r="O651" t="s">
        <v>292</v>
      </c>
      <c r="P651">
        <v>5.0964951425829675E-3</v>
      </c>
      <c r="Q651" t="s">
        <v>159</v>
      </c>
      <c r="S651" t="s">
        <v>262</v>
      </c>
      <c r="T651" t="s">
        <v>292</v>
      </c>
      <c r="U651">
        <v>4.0605255297787119E-3</v>
      </c>
      <c r="V651" t="s">
        <v>159</v>
      </c>
    </row>
    <row r="652" spans="9:22" x14ac:dyDescent="0.45">
      <c r="I652" t="s">
        <v>177</v>
      </c>
      <c r="J652" t="s">
        <v>310</v>
      </c>
      <c r="K652">
        <v>0</v>
      </c>
      <c r="L652" t="s">
        <v>159</v>
      </c>
      <c r="N652" t="s">
        <v>220</v>
      </c>
      <c r="O652" t="s">
        <v>310</v>
      </c>
      <c r="P652">
        <v>2.9684090381489652E-2</v>
      </c>
      <c r="Q652" t="s">
        <v>159</v>
      </c>
      <c r="S652" t="s">
        <v>262</v>
      </c>
      <c r="T652" t="s">
        <v>310</v>
      </c>
      <c r="U652">
        <v>2.0101475632721164E-2</v>
      </c>
      <c r="V652" t="s">
        <v>159</v>
      </c>
    </row>
    <row r="653" spans="9:22" x14ac:dyDescent="0.45">
      <c r="I653" t="s">
        <v>177</v>
      </c>
      <c r="J653" t="s">
        <v>293</v>
      </c>
      <c r="K653">
        <v>0</v>
      </c>
      <c r="L653" t="s">
        <v>159</v>
      </c>
      <c r="N653" t="s">
        <v>220</v>
      </c>
      <c r="O653" t="s">
        <v>293</v>
      </c>
      <c r="P653">
        <v>8.3127394229469548E-3</v>
      </c>
      <c r="Q653" t="s">
        <v>159</v>
      </c>
      <c r="S653" t="s">
        <v>262</v>
      </c>
      <c r="T653" t="s">
        <v>293</v>
      </c>
      <c r="U653">
        <v>8.3711582571377868E-3</v>
      </c>
      <c r="V653" t="s">
        <v>159</v>
      </c>
    </row>
    <row r="654" spans="9:22" x14ac:dyDescent="0.45">
      <c r="I654" t="s">
        <v>177</v>
      </c>
      <c r="J654" t="s">
        <v>294</v>
      </c>
      <c r="K654">
        <v>9.1447861376072414E-4</v>
      </c>
      <c r="L654" t="s">
        <v>159</v>
      </c>
      <c r="N654" t="s">
        <v>220</v>
      </c>
      <c r="O654" t="s">
        <v>294</v>
      </c>
      <c r="P654">
        <v>1.0169222465505152E-3</v>
      </c>
      <c r="Q654" t="s">
        <v>159</v>
      </c>
      <c r="S654" t="s">
        <v>262</v>
      </c>
      <c r="T654" t="s">
        <v>294</v>
      </c>
      <c r="U654">
        <v>1.2730049782991204E-3</v>
      </c>
      <c r="V654" t="s">
        <v>159</v>
      </c>
    </row>
    <row r="655" spans="9:22" x14ac:dyDescent="0.45">
      <c r="I655" t="s">
        <v>177</v>
      </c>
      <c r="J655" t="s">
        <v>295</v>
      </c>
      <c r="K655">
        <v>1.3148300805567354E-2</v>
      </c>
      <c r="L655" t="s">
        <v>159</v>
      </c>
      <c r="N655" t="s">
        <v>220</v>
      </c>
      <c r="O655" t="s">
        <v>295</v>
      </c>
      <c r="P655">
        <v>5.6753703891200399E-3</v>
      </c>
      <c r="Q655" t="s">
        <v>159</v>
      </c>
      <c r="S655" t="s">
        <v>262</v>
      </c>
      <c r="T655" t="s">
        <v>295</v>
      </c>
      <c r="U655">
        <v>1.0805754649536415E-2</v>
      </c>
      <c r="V655" t="s">
        <v>159</v>
      </c>
    </row>
    <row r="656" spans="9:22" x14ac:dyDescent="0.45">
      <c r="I656" t="s">
        <v>177</v>
      </c>
      <c r="J656" t="s">
        <v>296</v>
      </c>
      <c r="K656">
        <v>1.0949886928264992E-3</v>
      </c>
      <c r="L656" t="s">
        <v>159</v>
      </c>
      <c r="N656" t="s">
        <v>220</v>
      </c>
      <c r="O656" t="s">
        <v>296</v>
      </c>
      <c r="P656">
        <v>8.2489396362188394E-4</v>
      </c>
      <c r="Q656" t="s">
        <v>159</v>
      </c>
      <c r="S656" t="s">
        <v>262</v>
      </c>
      <c r="T656" t="s">
        <v>296</v>
      </c>
      <c r="U656">
        <v>1.1920537828476083E-3</v>
      </c>
      <c r="V656" t="s">
        <v>159</v>
      </c>
    </row>
    <row r="657" spans="9:22" x14ac:dyDescent="0.45">
      <c r="I657" t="s">
        <v>177</v>
      </c>
      <c r="J657" t="s">
        <v>297</v>
      </c>
      <c r="K657">
        <v>0</v>
      </c>
      <c r="L657" t="s">
        <v>159</v>
      </c>
      <c r="N657" t="s">
        <v>220</v>
      </c>
      <c r="O657" t="s">
        <v>297</v>
      </c>
      <c r="P657">
        <v>1.1327614401676575E-3</v>
      </c>
      <c r="Q657" t="s">
        <v>159</v>
      </c>
      <c r="S657" t="s">
        <v>262</v>
      </c>
      <c r="T657" t="s">
        <v>297</v>
      </c>
      <c r="U657">
        <v>1.1834596607567475E-3</v>
      </c>
      <c r="V657" t="s">
        <v>159</v>
      </c>
    </row>
    <row r="658" spans="9:22" x14ac:dyDescent="0.45">
      <c r="I658" t="s">
        <v>177</v>
      </c>
      <c r="J658" t="s">
        <v>311</v>
      </c>
      <c r="K658">
        <v>0</v>
      </c>
      <c r="L658" t="s">
        <v>159</v>
      </c>
      <c r="N658" t="s">
        <v>220</v>
      </c>
      <c r="O658" t="s">
        <v>311</v>
      </c>
      <c r="P658">
        <v>5.719767761682041E-3</v>
      </c>
      <c r="Q658" t="s">
        <v>159</v>
      </c>
      <c r="S658" t="s">
        <v>262</v>
      </c>
      <c r="T658" t="s">
        <v>311</v>
      </c>
      <c r="U658">
        <v>5.4141845061659883E-3</v>
      </c>
      <c r="V658" t="s">
        <v>159</v>
      </c>
    </row>
    <row r="659" spans="9:22" x14ac:dyDescent="0.45">
      <c r="I659" t="s">
        <v>177</v>
      </c>
      <c r="J659" t="s">
        <v>298</v>
      </c>
      <c r="K659">
        <v>1.0909131145786018E-2</v>
      </c>
      <c r="L659" t="s">
        <v>159</v>
      </c>
      <c r="N659" t="s">
        <v>220</v>
      </c>
      <c r="O659" t="s">
        <v>298</v>
      </c>
      <c r="P659">
        <v>8.4277441907254655E-2</v>
      </c>
      <c r="Q659" t="s">
        <v>159</v>
      </c>
      <c r="S659" t="s">
        <v>262</v>
      </c>
      <c r="T659" t="s">
        <v>298</v>
      </c>
      <c r="U659">
        <v>8.375277569426666E-2</v>
      </c>
      <c r="V659" t="s">
        <v>159</v>
      </c>
    </row>
    <row r="660" spans="9:22" x14ac:dyDescent="0.45">
      <c r="I660" t="s">
        <v>177</v>
      </c>
      <c r="J660" t="s">
        <v>299</v>
      </c>
      <c r="K660">
        <v>2.0151283834965103E-2</v>
      </c>
      <c r="L660" t="s">
        <v>159</v>
      </c>
      <c r="N660" t="s">
        <v>220</v>
      </c>
      <c r="O660" t="s">
        <v>299</v>
      </c>
      <c r="P660">
        <v>1.0829634071632692E-2</v>
      </c>
      <c r="Q660" t="s">
        <v>159</v>
      </c>
      <c r="S660" t="s">
        <v>262</v>
      </c>
      <c r="T660" t="s">
        <v>299</v>
      </c>
      <c r="U660">
        <v>1.1380132989201371E-2</v>
      </c>
      <c r="V660" t="s">
        <v>159</v>
      </c>
    </row>
    <row r="661" spans="9:22" x14ac:dyDescent="0.45">
      <c r="I661" t="s">
        <v>177</v>
      </c>
      <c r="J661" t="s">
        <v>300</v>
      </c>
      <c r="K661">
        <v>0.24135852799765797</v>
      </c>
      <c r="L661" t="s">
        <v>159</v>
      </c>
      <c r="N661" t="s">
        <v>220</v>
      </c>
      <c r="O661" t="s">
        <v>300</v>
      </c>
      <c r="P661">
        <v>0.12579009191876941</v>
      </c>
      <c r="Q661" t="s">
        <v>159</v>
      </c>
      <c r="S661" t="s">
        <v>262</v>
      </c>
      <c r="T661" t="s">
        <v>300</v>
      </c>
      <c r="U661">
        <v>0.10765203757399831</v>
      </c>
      <c r="V661" t="s">
        <v>159</v>
      </c>
    </row>
    <row r="662" spans="9:22" x14ac:dyDescent="0.45">
      <c r="I662" t="s">
        <v>177</v>
      </c>
      <c r="J662" t="s">
        <v>301</v>
      </c>
      <c r="K662">
        <v>2.093644105813287E-2</v>
      </c>
      <c r="L662" t="s">
        <v>159</v>
      </c>
      <c r="N662" t="s">
        <v>220</v>
      </c>
      <c r="O662" t="s">
        <v>301</v>
      </c>
      <c r="P662">
        <v>1.9373120607473725E-2</v>
      </c>
      <c r="Q662" t="s">
        <v>159</v>
      </c>
      <c r="S662" t="s">
        <v>262</v>
      </c>
      <c r="T662" t="s">
        <v>301</v>
      </c>
      <c r="U662">
        <v>1.3516308162877392E-2</v>
      </c>
      <c r="V662" t="s">
        <v>159</v>
      </c>
    </row>
    <row r="663" spans="9:22" x14ac:dyDescent="0.45">
      <c r="I663" t="s">
        <v>177</v>
      </c>
      <c r="J663" t="s">
        <v>302</v>
      </c>
      <c r="K663">
        <v>1.1716664838053278E-2</v>
      </c>
      <c r="L663" t="s">
        <v>159</v>
      </c>
      <c r="N663" t="s">
        <v>220</v>
      </c>
      <c r="O663" t="s">
        <v>302</v>
      </c>
      <c r="P663">
        <v>2.1739520781010394E-2</v>
      </c>
      <c r="Q663" t="s">
        <v>159</v>
      </c>
      <c r="S663" t="s">
        <v>262</v>
      </c>
      <c r="T663" t="s">
        <v>302</v>
      </c>
      <c r="U663">
        <v>1.3772339774723669E-2</v>
      </c>
      <c r="V663" t="s">
        <v>159</v>
      </c>
    </row>
    <row r="664" spans="9:22" x14ac:dyDescent="0.45">
      <c r="I664" t="s">
        <v>177</v>
      </c>
      <c r="J664" t="s">
        <v>312</v>
      </c>
      <c r="K664">
        <v>3.7389830284446059E-6</v>
      </c>
      <c r="L664" t="s">
        <v>159</v>
      </c>
      <c r="N664" t="s">
        <v>220</v>
      </c>
      <c r="O664" t="s">
        <v>312</v>
      </c>
      <c r="P664">
        <v>8.549561567587792E-2</v>
      </c>
      <c r="Q664" t="s">
        <v>159</v>
      </c>
      <c r="S664" t="s">
        <v>262</v>
      </c>
      <c r="T664" t="s">
        <v>312</v>
      </c>
      <c r="U664">
        <v>6.7268121264058303E-2</v>
      </c>
      <c r="V664" t="s">
        <v>159</v>
      </c>
    </row>
    <row r="665" spans="9:22" x14ac:dyDescent="0.45">
      <c r="I665" t="s">
        <v>177</v>
      </c>
      <c r="J665" t="s">
        <v>313</v>
      </c>
      <c r="K665">
        <v>5.7903560268669427E-3</v>
      </c>
      <c r="L665" t="s">
        <v>159</v>
      </c>
      <c r="N665" t="s">
        <v>220</v>
      </c>
      <c r="O665" t="s">
        <v>313</v>
      </c>
      <c r="P665">
        <v>8.9403545797493052E-3</v>
      </c>
      <c r="Q665" t="s">
        <v>159</v>
      </c>
      <c r="S665" t="s">
        <v>262</v>
      </c>
      <c r="T665" t="s">
        <v>313</v>
      </c>
      <c r="U665">
        <v>1.7429721036419002E-2</v>
      </c>
      <c r="V665" t="s">
        <v>159</v>
      </c>
    </row>
    <row r="666" spans="9:22" x14ac:dyDescent="0.45">
      <c r="I666" t="s">
        <v>177</v>
      </c>
      <c r="J666" t="s">
        <v>314</v>
      </c>
      <c r="K666">
        <v>8.1778600541081957E-3</v>
      </c>
      <c r="L666" t="s">
        <v>159</v>
      </c>
      <c r="N666" t="s">
        <v>220</v>
      </c>
      <c r="O666" t="s">
        <v>314</v>
      </c>
      <c r="P666">
        <v>9.9785521538555745E-4</v>
      </c>
      <c r="Q666" t="s">
        <v>159</v>
      </c>
      <c r="S666" t="s">
        <v>262</v>
      </c>
      <c r="T666" t="s">
        <v>314</v>
      </c>
      <c r="U666">
        <v>2.6165377359557256E-3</v>
      </c>
      <c r="V666" t="s">
        <v>159</v>
      </c>
    </row>
    <row r="667" spans="9:22" x14ac:dyDescent="0.45">
      <c r="I667" t="s">
        <v>177</v>
      </c>
      <c r="J667" t="s">
        <v>315</v>
      </c>
      <c r="K667">
        <v>8.8165197235406764E-2</v>
      </c>
      <c r="L667" t="s">
        <v>159</v>
      </c>
      <c r="N667" t="s">
        <v>220</v>
      </c>
      <c r="O667" t="s">
        <v>315</v>
      </c>
      <c r="P667">
        <v>1.8794593784789263E-2</v>
      </c>
      <c r="Q667" t="s">
        <v>159</v>
      </c>
      <c r="S667" t="s">
        <v>262</v>
      </c>
      <c r="T667" t="s">
        <v>315</v>
      </c>
      <c r="U667">
        <v>2.4391077305334383E-2</v>
      </c>
      <c r="V667" t="s">
        <v>159</v>
      </c>
    </row>
    <row r="668" spans="9:22" x14ac:dyDescent="0.45">
      <c r="I668" t="s">
        <v>177</v>
      </c>
      <c r="J668" t="s">
        <v>316</v>
      </c>
      <c r="K668">
        <v>8.1590411695976056E-3</v>
      </c>
      <c r="L668" t="s">
        <v>159</v>
      </c>
      <c r="N668" t="s">
        <v>220</v>
      </c>
      <c r="O668" t="s">
        <v>316</v>
      </c>
      <c r="P668">
        <v>3.6602113334284403E-3</v>
      </c>
      <c r="Q668" t="s">
        <v>159</v>
      </c>
      <c r="S668" t="s">
        <v>262</v>
      </c>
      <c r="T668" t="s">
        <v>316</v>
      </c>
      <c r="U668">
        <v>2.886533279766409E-3</v>
      </c>
      <c r="V668" t="s">
        <v>159</v>
      </c>
    </row>
    <row r="669" spans="9:22" x14ac:dyDescent="0.45">
      <c r="I669" t="s">
        <v>177</v>
      </c>
      <c r="J669" t="s">
        <v>317</v>
      </c>
      <c r="K669">
        <v>6.3194391247672612E-3</v>
      </c>
      <c r="L669" t="s">
        <v>159</v>
      </c>
      <c r="N669" t="s">
        <v>220</v>
      </c>
      <c r="O669" t="s">
        <v>317</v>
      </c>
      <c r="P669">
        <v>3.9386299900861978E-3</v>
      </c>
      <c r="Q669" t="s">
        <v>159</v>
      </c>
      <c r="S669" t="s">
        <v>262</v>
      </c>
      <c r="T669" t="s">
        <v>317</v>
      </c>
      <c r="U669">
        <v>2.8281853333321475E-3</v>
      </c>
      <c r="V669" t="s">
        <v>159</v>
      </c>
    </row>
    <row r="670" spans="9:22" x14ac:dyDescent="0.45">
      <c r="I670" t="s">
        <v>177</v>
      </c>
      <c r="J670" t="s">
        <v>318</v>
      </c>
      <c r="K670">
        <v>3.5036138492101272E-3</v>
      </c>
      <c r="L670" t="s">
        <v>159</v>
      </c>
      <c r="N670" t="s">
        <v>220</v>
      </c>
      <c r="O670" t="s">
        <v>318</v>
      </c>
      <c r="P670">
        <v>1.4038008872127954E-2</v>
      </c>
      <c r="Q670" t="s">
        <v>159</v>
      </c>
      <c r="S670" t="s">
        <v>262</v>
      </c>
      <c r="T670" t="s">
        <v>318</v>
      </c>
      <c r="U670">
        <v>1.2661743610975716E-2</v>
      </c>
      <c r="V670" t="s">
        <v>159</v>
      </c>
    </row>
    <row r="671" spans="9:22" x14ac:dyDescent="0.45">
      <c r="I671" t="s">
        <v>178</v>
      </c>
      <c r="J671" t="s">
        <v>158</v>
      </c>
      <c r="K671">
        <v>5.8091517262474938E-3</v>
      </c>
      <c r="L671" t="s">
        <v>159</v>
      </c>
      <c r="N671" t="s">
        <v>221</v>
      </c>
      <c r="O671" t="s">
        <v>158</v>
      </c>
      <c r="P671">
        <v>0.11682546236853182</v>
      </c>
      <c r="Q671" t="s">
        <v>159</v>
      </c>
      <c r="S671" t="s">
        <v>263</v>
      </c>
      <c r="T671" t="s">
        <v>158</v>
      </c>
      <c r="U671">
        <v>0.13047048152005428</v>
      </c>
      <c r="V671" t="s">
        <v>159</v>
      </c>
    </row>
    <row r="672" spans="9:22" x14ac:dyDescent="0.45">
      <c r="I672" t="s">
        <v>178</v>
      </c>
      <c r="J672" t="s">
        <v>160</v>
      </c>
      <c r="K672">
        <v>2.1918251737373592E-2</v>
      </c>
      <c r="L672" t="s">
        <v>159</v>
      </c>
      <c r="N672" t="s">
        <v>221</v>
      </c>
      <c r="O672" t="s">
        <v>160</v>
      </c>
      <c r="P672">
        <v>1.6959551158394197E-2</v>
      </c>
      <c r="Q672" t="s">
        <v>159</v>
      </c>
      <c r="S672" t="s">
        <v>263</v>
      </c>
      <c r="T672" t="s">
        <v>160</v>
      </c>
      <c r="U672">
        <v>1.8110638399478671E-2</v>
      </c>
      <c r="V672" t="s">
        <v>159</v>
      </c>
    </row>
    <row r="673" spans="9:22" x14ac:dyDescent="0.45">
      <c r="I673" t="s">
        <v>178</v>
      </c>
      <c r="J673" t="s">
        <v>161</v>
      </c>
      <c r="K673">
        <v>0.37464705967213052</v>
      </c>
      <c r="L673" t="s">
        <v>159</v>
      </c>
      <c r="N673" t="s">
        <v>221</v>
      </c>
      <c r="O673" t="s">
        <v>161</v>
      </c>
      <c r="P673">
        <v>0.17379487190674986</v>
      </c>
      <c r="Q673" t="s">
        <v>159</v>
      </c>
      <c r="S673" t="s">
        <v>263</v>
      </c>
      <c r="T673" t="s">
        <v>161</v>
      </c>
      <c r="U673">
        <v>0.1673836793014816</v>
      </c>
      <c r="V673" t="s">
        <v>159</v>
      </c>
    </row>
    <row r="674" spans="9:22" x14ac:dyDescent="0.45">
      <c r="I674" t="s">
        <v>178</v>
      </c>
      <c r="J674" t="s">
        <v>287</v>
      </c>
      <c r="K674">
        <v>3.5959824521489894E-2</v>
      </c>
      <c r="L674" t="s">
        <v>159</v>
      </c>
      <c r="N674" t="s">
        <v>221</v>
      </c>
      <c r="O674" t="s">
        <v>287</v>
      </c>
      <c r="P674">
        <v>2.3182137153090029E-2</v>
      </c>
      <c r="Q674" t="s">
        <v>159</v>
      </c>
      <c r="S674" t="s">
        <v>263</v>
      </c>
      <c r="T674" t="s">
        <v>287</v>
      </c>
      <c r="U674">
        <v>2.0613298714764829E-2</v>
      </c>
      <c r="V674" t="s">
        <v>159</v>
      </c>
    </row>
    <row r="675" spans="9:22" x14ac:dyDescent="0.45">
      <c r="I675" t="s">
        <v>178</v>
      </c>
      <c r="J675" t="s">
        <v>288</v>
      </c>
      <c r="K675">
        <v>2.0383573884818963E-2</v>
      </c>
      <c r="L675" t="s">
        <v>159</v>
      </c>
      <c r="N675" t="s">
        <v>221</v>
      </c>
      <c r="O675" t="s">
        <v>288</v>
      </c>
      <c r="P675">
        <v>2.2320958198662592E-2</v>
      </c>
      <c r="Q675" t="s">
        <v>159</v>
      </c>
      <c r="S675" t="s">
        <v>263</v>
      </c>
      <c r="T675" t="s">
        <v>288</v>
      </c>
      <c r="U675">
        <v>2.0952120675755626E-2</v>
      </c>
      <c r="V675" t="s">
        <v>159</v>
      </c>
    </row>
    <row r="676" spans="9:22" x14ac:dyDescent="0.45">
      <c r="I676" t="s">
        <v>178</v>
      </c>
      <c r="J676" t="s">
        <v>308</v>
      </c>
      <c r="K676">
        <v>7.2681785271967985E-3</v>
      </c>
      <c r="L676" t="s">
        <v>159</v>
      </c>
      <c r="N676" t="s">
        <v>221</v>
      </c>
      <c r="O676" t="s">
        <v>308</v>
      </c>
      <c r="P676">
        <v>9.0795062788650308E-2</v>
      </c>
      <c r="Q676" t="s">
        <v>159</v>
      </c>
      <c r="S676" t="s">
        <v>263</v>
      </c>
      <c r="T676" t="s">
        <v>308</v>
      </c>
      <c r="U676">
        <v>0.10248199628405893</v>
      </c>
      <c r="V676" t="s">
        <v>159</v>
      </c>
    </row>
    <row r="677" spans="9:22" x14ac:dyDescent="0.45">
      <c r="I677" t="s">
        <v>178</v>
      </c>
      <c r="J677" t="s">
        <v>162</v>
      </c>
      <c r="K677">
        <v>0</v>
      </c>
      <c r="L677" t="s">
        <v>159</v>
      </c>
      <c r="N677" t="s">
        <v>221</v>
      </c>
      <c r="O677" t="s">
        <v>162</v>
      </c>
      <c r="P677">
        <v>2.6282369438486518E-2</v>
      </c>
      <c r="Q677" t="s">
        <v>159</v>
      </c>
      <c r="S677" t="s">
        <v>263</v>
      </c>
      <c r="T677" t="s">
        <v>162</v>
      </c>
      <c r="U677">
        <v>1.843771471104938E-2</v>
      </c>
      <c r="V677" t="s">
        <v>159</v>
      </c>
    </row>
    <row r="678" spans="9:22" x14ac:dyDescent="0.45">
      <c r="I678" t="s">
        <v>178</v>
      </c>
      <c r="J678" t="s">
        <v>163</v>
      </c>
      <c r="K678">
        <v>0</v>
      </c>
      <c r="L678" t="s">
        <v>159</v>
      </c>
      <c r="N678" t="s">
        <v>221</v>
      </c>
      <c r="O678" t="s">
        <v>163</v>
      </c>
      <c r="P678">
        <v>3.7640925362894626E-3</v>
      </c>
      <c r="Q678" t="s">
        <v>159</v>
      </c>
      <c r="S678" t="s">
        <v>263</v>
      </c>
      <c r="T678" t="s">
        <v>163</v>
      </c>
      <c r="U678">
        <v>2.4702075687206334E-3</v>
      </c>
      <c r="V678" t="s">
        <v>159</v>
      </c>
    </row>
    <row r="679" spans="9:22" x14ac:dyDescent="0.45">
      <c r="I679" t="s">
        <v>178</v>
      </c>
      <c r="J679" t="s">
        <v>164</v>
      </c>
      <c r="K679">
        <v>3.7904375312273787E-2</v>
      </c>
      <c r="L679" t="s">
        <v>159</v>
      </c>
      <c r="N679" t="s">
        <v>221</v>
      </c>
      <c r="O679" t="s">
        <v>164</v>
      </c>
      <c r="P679">
        <v>3.055656182033881E-2</v>
      </c>
      <c r="Q679" t="s">
        <v>159</v>
      </c>
      <c r="S679" t="s">
        <v>263</v>
      </c>
      <c r="T679" t="s">
        <v>164</v>
      </c>
      <c r="U679">
        <v>2.425484585614817E-2</v>
      </c>
      <c r="V679" t="s">
        <v>159</v>
      </c>
    </row>
    <row r="680" spans="9:22" x14ac:dyDescent="0.45">
      <c r="I680" t="s">
        <v>178</v>
      </c>
      <c r="J680" t="s">
        <v>289</v>
      </c>
      <c r="K680">
        <v>3.1613080263259183E-3</v>
      </c>
      <c r="L680" t="s">
        <v>159</v>
      </c>
      <c r="N680" t="s">
        <v>221</v>
      </c>
      <c r="O680" t="s">
        <v>289</v>
      </c>
      <c r="P680">
        <v>3.4131940705944223E-3</v>
      </c>
      <c r="Q680" t="s">
        <v>159</v>
      </c>
      <c r="S680" t="s">
        <v>263</v>
      </c>
      <c r="T680" t="s">
        <v>289</v>
      </c>
      <c r="U680">
        <v>3.2268009147774853E-3</v>
      </c>
      <c r="V680" t="s">
        <v>159</v>
      </c>
    </row>
    <row r="681" spans="9:22" x14ac:dyDescent="0.45">
      <c r="I681" t="s">
        <v>178</v>
      </c>
      <c r="J681" t="s">
        <v>290</v>
      </c>
      <c r="K681">
        <v>0</v>
      </c>
      <c r="L681" t="s">
        <v>159</v>
      </c>
      <c r="N681" t="s">
        <v>221</v>
      </c>
      <c r="O681" t="s">
        <v>290</v>
      </c>
      <c r="P681">
        <v>3.3903325723824759E-3</v>
      </c>
      <c r="Q681" t="s">
        <v>159</v>
      </c>
      <c r="S681" t="s">
        <v>263</v>
      </c>
      <c r="T681" t="s">
        <v>290</v>
      </c>
      <c r="U681">
        <v>3.2500416575350338E-3</v>
      </c>
      <c r="V681" t="s">
        <v>159</v>
      </c>
    </row>
    <row r="682" spans="9:22" x14ac:dyDescent="0.45">
      <c r="I682" t="s">
        <v>178</v>
      </c>
      <c r="J682" t="s">
        <v>309</v>
      </c>
      <c r="K682">
        <v>0</v>
      </c>
      <c r="L682" t="s">
        <v>159</v>
      </c>
      <c r="N682" t="s">
        <v>221</v>
      </c>
      <c r="O682" t="s">
        <v>309</v>
      </c>
      <c r="P682">
        <v>1.6191267014957038E-2</v>
      </c>
      <c r="Q682" t="s">
        <v>159</v>
      </c>
      <c r="S682" t="s">
        <v>263</v>
      </c>
      <c r="T682" t="s">
        <v>309</v>
      </c>
      <c r="U682">
        <v>1.507866884812804E-2</v>
      </c>
      <c r="V682" t="s">
        <v>159</v>
      </c>
    </row>
    <row r="683" spans="9:22" x14ac:dyDescent="0.45">
      <c r="I683" t="s">
        <v>178</v>
      </c>
      <c r="J683" t="s">
        <v>346</v>
      </c>
      <c r="K683">
        <v>0</v>
      </c>
      <c r="L683" t="s">
        <v>159</v>
      </c>
      <c r="N683" t="s">
        <v>221</v>
      </c>
      <c r="O683" t="s">
        <v>346</v>
      </c>
      <c r="P683">
        <v>1.8942444113245788E-5</v>
      </c>
      <c r="Q683" t="s">
        <v>159</v>
      </c>
      <c r="S683" t="s">
        <v>263</v>
      </c>
      <c r="T683" t="s">
        <v>346</v>
      </c>
      <c r="U683">
        <v>1.8601445018396785E-4</v>
      </c>
      <c r="V683" t="s">
        <v>159</v>
      </c>
    </row>
    <row r="684" spans="9:22" x14ac:dyDescent="0.45">
      <c r="I684" t="s">
        <v>178</v>
      </c>
      <c r="J684" t="s">
        <v>347</v>
      </c>
      <c r="K684">
        <v>0</v>
      </c>
      <c r="L684" t="s">
        <v>159</v>
      </c>
      <c r="N684" t="s">
        <v>221</v>
      </c>
      <c r="O684" t="s">
        <v>347</v>
      </c>
      <c r="P684">
        <v>1.7139367967429753E-5</v>
      </c>
      <c r="Q684" t="s">
        <v>159</v>
      </c>
      <c r="S684" t="s">
        <v>263</v>
      </c>
      <c r="T684" t="s">
        <v>347</v>
      </c>
      <c r="U684">
        <v>1.6969283238451419E-4</v>
      </c>
      <c r="V684" t="s">
        <v>159</v>
      </c>
    </row>
    <row r="685" spans="9:22" x14ac:dyDescent="0.45">
      <c r="I685" t="s">
        <v>178</v>
      </c>
      <c r="J685" t="s">
        <v>348</v>
      </c>
      <c r="K685">
        <v>0</v>
      </c>
      <c r="L685" t="s">
        <v>159</v>
      </c>
      <c r="N685" t="s">
        <v>221</v>
      </c>
      <c r="O685" t="s">
        <v>348</v>
      </c>
      <c r="P685">
        <v>1.6441155582772604E-5</v>
      </c>
      <c r="Q685" t="s">
        <v>159</v>
      </c>
      <c r="S685" t="s">
        <v>263</v>
      </c>
      <c r="T685" t="s">
        <v>348</v>
      </c>
      <c r="U685">
        <v>1.5017869545764853E-4</v>
      </c>
      <c r="V685" t="s">
        <v>159</v>
      </c>
    </row>
    <row r="686" spans="9:22" x14ac:dyDescent="0.45">
      <c r="I686" t="s">
        <v>178</v>
      </c>
      <c r="J686" t="s">
        <v>349</v>
      </c>
      <c r="K686">
        <v>0</v>
      </c>
      <c r="L686" t="s">
        <v>159</v>
      </c>
      <c r="N686" t="s">
        <v>221</v>
      </c>
      <c r="O686" t="s">
        <v>349</v>
      </c>
      <c r="P686">
        <v>1.7400100895438911E-5</v>
      </c>
      <c r="Q686" t="s">
        <v>159</v>
      </c>
      <c r="S686" t="s">
        <v>263</v>
      </c>
      <c r="T686" t="s">
        <v>349</v>
      </c>
      <c r="U686">
        <v>1.2650500865625969E-4</v>
      </c>
      <c r="V686" t="s">
        <v>159</v>
      </c>
    </row>
    <row r="687" spans="9:22" x14ac:dyDescent="0.45">
      <c r="I687" t="s">
        <v>178</v>
      </c>
      <c r="J687" t="s">
        <v>350</v>
      </c>
      <c r="K687">
        <v>0</v>
      </c>
      <c r="L687" t="s">
        <v>159</v>
      </c>
      <c r="N687" t="s">
        <v>221</v>
      </c>
      <c r="O687" t="s">
        <v>350</v>
      </c>
      <c r="P687">
        <v>1.8476840202526677E-5</v>
      </c>
      <c r="Q687" t="s">
        <v>159</v>
      </c>
      <c r="S687" t="s">
        <v>263</v>
      </c>
      <c r="T687" t="s">
        <v>350</v>
      </c>
      <c r="U687">
        <v>1.1165965666620521E-4</v>
      </c>
      <c r="V687" t="s">
        <v>159</v>
      </c>
    </row>
    <row r="688" spans="9:22" x14ac:dyDescent="0.45">
      <c r="I688" t="s">
        <v>178</v>
      </c>
      <c r="J688" t="s">
        <v>351</v>
      </c>
      <c r="K688">
        <v>0</v>
      </c>
      <c r="L688" t="s">
        <v>159</v>
      </c>
      <c r="N688" t="s">
        <v>221</v>
      </c>
      <c r="O688" t="s">
        <v>351</v>
      </c>
      <c r="P688">
        <v>2.0643822567518818E-5</v>
      </c>
      <c r="Q688" t="s">
        <v>159</v>
      </c>
      <c r="S688" t="s">
        <v>263</v>
      </c>
      <c r="T688" t="s">
        <v>351</v>
      </c>
      <c r="U688">
        <v>1.0614226757833285E-4</v>
      </c>
      <c r="V688" t="s">
        <v>159</v>
      </c>
    </row>
    <row r="689" spans="9:22" x14ac:dyDescent="0.45">
      <c r="I689" t="s">
        <v>178</v>
      </c>
      <c r="J689" t="s">
        <v>352</v>
      </c>
      <c r="K689">
        <v>0</v>
      </c>
      <c r="L689" t="s">
        <v>159</v>
      </c>
      <c r="N689" t="s">
        <v>221</v>
      </c>
      <c r="O689" t="s">
        <v>352</v>
      </c>
      <c r="P689">
        <v>2.3720831562396544E-5</v>
      </c>
      <c r="Q689" t="s">
        <v>159</v>
      </c>
      <c r="S689" t="s">
        <v>263</v>
      </c>
      <c r="T689" t="s">
        <v>352</v>
      </c>
      <c r="U689">
        <v>1.1059313887722496E-4</v>
      </c>
      <c r="V689" t="s">
        <v>159</v>
      </c>
    </row>
    <row r="690" spans="9:22" x14ac:dyDescent="0.45">
      <c r="I690" t="s">
        <v>178</v>
      </c>
      <c r="J690" t="s">
        <v>353</v>
      </c>
      <c r="K690">
        <v>0</v>
      </c>
      <c r="L690" t="s">
        <v>159</v>
      </c>
      <c r="N690" t="s">
        <v>221</v>
      </c>
      <c r="O690" t="s">
        <v>353</v>
      </c>
      <c r="P690">
        <v>3.1014983354269322E-5</v>
      </c>
      <c r="Q690" t="s">
        <v>159</v>
      </c>
      <c r="S690" t="s">
        <v>263</v>
      </c>
      <c r="T690" t="s">
        <v>353</v>
      </c>
      <c r="U690">
        <v>1.2304184874426099E-4</v>
      </c>
      <c r="V690" t="s">
        <v>159</v>
      </c>
    </row>
    <row r="691" spans="9:22" x14ac:dyDescent="0.45">
      <c r="I691" t="s">
        <v>178</v>
      </c>
      <c r="J691" t="s">
        <v>354</v>
      </c>
      <c r="K691">
        <v>1.4298070989979386E-4</v>
      </c>
      <c r="L691" t="s">
        <v>159</v>
      </c>
      <c r="N691" t="s">
        <v>221</v>
      </c>
      <c r="O691" t="s">
        <v>354</v>
      </c>
      <c r="P691">
        <v>3.6616043493052756E-5</v>
      </c>
      <c r="Q691" t="s">
        <v>159</v>
      </c>
      <c r="S691" t="s">
        <v>263</v>
      </c>
      <c r="T691" t="s">
        <v>354</v>
      </c>
      <c r="U691">
        <v>1.3677814959906303E-4</v>
      </c>
      <c r="V691" t="s">
        <v>159</v>
      </c>
    </row>
    <row r="692" spans="9:22" x14ac:dyDescent="0.45">
      <c r="I692" t="s">
        <v>178</v>
      </c>
      <c r="J692" t="s">
        <v>355</v>
      </c>
      <c r="K692">
        <v>1.6772560862951628E-4</v>
      </c>
      <c r="L692" t="s">
        <v>159</v>
      </c>
      <c r="N692" t="s">
        <v>221</v>
      </c>
      <c r="O692" t="s">
        <v>355</v>
      </c>
      <c r="P692">
        <v>3.3111518975889202E-5</v>
      </c>
      <c r="Q692" t="s">
        <v>159</v>
      </c>
      <c r="S692" t="s">
        <v>263</v>
      </c>
      <c r="T692" t="s">
        <v>355</v>
      </c>
      <c r="U692">
        <v>1.4205144188014294E-4</v>
      </c>
      <c r="V692" t="s">
        <v>159</v>
      </c>
    </row>
    <row r="693" spans="9:22" x14ac:dyDescent="0.45">
      <c r="I693" t="s">
        <v>178</v>
      </c>
      <c r="J693" t="s">
        <v>356</v>
      </c>
      <c r="K693">
        <v>1.5420831197131437E-4</v>
      </c>
      <c r="L693" t="s">
        <v>159</v>
      </c>
      <c r="N693" t="s">
        <v>221</v>
      </c>
      <c r="O693" t="s">
        <v>356</v>
      </c>
      <c r="P693">
        <v>1.6207272286817218E-5</v>
      </c>
      <c r="Q693" t="s">
        <v>159</v>
      </c>
      <c r="S693" t="s">
        <v>263</v>
      </c>
      <c r="T693" t="s">
        <v>356</v>
      </c>
      <c r="U693">
        <v>1.4779857796001829E-4</v>
      </c>
      <c r="V693" t="s">
        <v>159</v>
      </c>
    </row>
    <row r="694" spans="9:22" x14ac:dyDescent="0.45">
      <c r="I694" t="s">
        <v>178</v>
      </c>
      <c r="J694" t="s">
        <v>357</v>
      </c>
      <c r="K694">
        <v>1.5920983445443052E-4</v>
      </c>
      <c r="L694" t="s">
        <v>159</v>
      </c>
      <c r="N694" t="s">
        <v>221</v>
      </c>
      <c r="O694" t="s">
        <v>357</v>
      </c>
      <c r="P694">
        <v>1.0471191509828974E-5</v>
      </c>
      <c r="Q694" t="s">
        <v>159</v>
      </c>
      <c r="S694" t="s">
        <v>263</v>
      </c>
      <c r="T694" t="s">
        <v>357</v>
      </c>
      <c r="U694">
        <v>1.5457391911573461E-4</v>
      </c>
      <c r="V694" t="s">
        <v>159</v>
      </c>
    </row>
    <row r="695" spans="9:22" x14ac:dyDescent="0.45">
      <c r="I695" t="s">
        <v>178</v>
      </c>
      <c r="J695" t="s">
        <v>358</v>
      </c>
      <c r="K695">
        <v>1.9926157919973145E-4</v>
      </c>
      <c r="L695" t="s">
        <v>159</v>
      </c>
      <c r="N695" t="s">
        <v>221</v>
      </c>
      <c r="O695" t="s">
        <v>358</v>
      </c>
      <c r="P695">
        <v>2.3390248423408876E-5</v>
      </c>
      <c r="Q695" t="s">
        <v>159</v>
      </c>
      <c r="S695" t="s">
        <v>263</v>
      </c>
      <c r="T695" t="s">
        <v>358</v>
      </c>
      <c r="U695">
        <v>1.5461113863988793E-4</v>
      </c>
      <c r="V695" t="s">
        <v>159</v>
      </c>
    </row>
    <row r="696" spans="9:22" x14ac:dyDescent="0.45">
      <c r="I696" t="s">
        <v>178</v>
      </c>
      <c r="J696" t="s">
        <v>359</v>
      </c>
      <c r="K696">
        <v>1.8518135875508524E-4</v>
      </c>
      <c r="L696" t="s">
        <v>159</v>
      </c>
      <c r="N696" t="s">
        <v>221</v>
      </c>
      <c r="O696" t="s">
        <v>359</v>
      </c>
      <c r="P696">
        <v>3.8608573742294295E-5</v>
      </c>
      <c r="Q696" t="s">
        <v>159</v>
      </c>
      <c r="S696" t="s">
        <v>263</v>
      </c>
      <c r="T696" t="s">
        <v>359</v>
      </c>
      <c r="U696">
        <v>1.6453176720983303E-4</v>
      </c>
      <c r="V696" t="s">
        <v>159</v>
      </c>
    </row>
    <row r="697" spans="9:22" x14ac:dyDescent="0.45">
      <c r="I697" t="s">
        <v>178</v>
      </c>
      <c r="J697" t="s">
        <v>360</v>
      </c>
      <c r="K697">
        <v>1.5131639803521124E-4</v>
      </c>
      <c r="L697" t="s">
        <v>159</v>
      </c>
      <c r="N697" t="s">
        <v>221</v>
      </c>
      <c r="O697" t="s">
        <v>360</v>
      </c>
      <c r="P697">
        <v>4.4981540485999477E-5</v>
      </c>
      <c r="Q697" t="s">
        <v>159</v>
      </c>
      <c r="S697" t="s">
        <v>263</v>
      </c>
      <c r="T697" t="s">
        <v>360</v>
      </c>
      <c r="U697">
        <v>1.7977893202256995E-4</v>
      </c>
      <c r="V697" t="s">
        <v>159</v>
      </c>
    </row>
    <row r="698" spans="9:22" x14ac:dyDescent="0.45">
      <c r="I698" t="s">
        <v>178</v>
      </c>
      <c r="J698" t="s">
        <v>361</v>
      </c>
      <c r="K698">
        <v>1.305145378066398E-4</v>
      </c>
      <c r="L698" t="s">
        <v>159</v>
      </c>
      <c r="N698" t="s">
        <v>221</v>
      </c>
      <c r="O698" t="s">
        <v>361</v>
      </c>
      <c r="P698">
        <v>4.7480424685837854E-5</v>
      </c>
      <c r="Q698" t="s">
        <v>159</v>
      </c>
      <c r="S698" t="s">
        <v>263</v>
      </c>
      <c r="T698" t="s">
        <v>361</v>
      </c>
      <c r="U698">
        <v>1.9143211174895114E-4</v>
      </c>
      <c r="V698" t="s">
        <v>159</v>
      </c>
    </row>
    <row r="699" spans="9:22" x14ac:dyDescent="0.45">
      <c r="I699" t="s">
        <v>178</v>
      </c>
      <c r="J699" t="s">
        <v>362</v>
      </c>
      <c r="K699">
        <v>1.0393213180633431E-4</v>
      </c>
      <c r="L699" t="s">
        <v>159</v>
      </c>
      <c r="N699" t="s">
        <v>221</v>
      </c>
      <c r="O699" t="s">
        <v>362</v>
      </c>
      <c r="P699">
        <v>5.1623769819261414E-5</v>
      </c>
      <c r="Q699" t="s">
        <v>159</v>
      </c>
      <c r="S699" t="s">
        <v>263</v>
      </c>
      <c r="T699" t="s">
        <v>362</v>
      </c>
      <c r="U699">
        <v>1.9552781211028221E-4</v>
      </c>
      <c r="V699" t="s">
        <v>159</v>
      </c>
    </row>
    <row r="700" spans="9:22" x14ac:dyDescent="0.45">
      <c r="I700" t="s">
        <v>178</v>
      </c>
      <c r="J700" t="s">
        <v>363</v>
      </c>
      <c r="K700">
        <v>5.8532726183775921E-5</v>
      </c>
      <c r="L700" t="s">
        <v>159</v>
      </c>
      <c r="N700" t="s">
        <v>221</v>
      </c>
      <c r="O700" t="s">
        <v>363</v>
      </c>
      <c r="P700">
        <v>5.6487661531169826E-5</v>
      </c>
      <c r="Q700" t="s">
        <v>159</v>
      </c>
      <c r="S700" t="s">
        <v>263</v>
      </c>
      <c r="T700" t="s">
        <v>363</v>
      </c>
      <c r="U700">
        <v>1.9818860947749294E-4</v>
      </c>
      <c r="V700" t="s">
        <v>159</v>
      </c>
    </row>
    <row r="701" spans="9:22" x14ac:dyDescent="0.45">
      <c r="I701" t="s">
        <v>178</v>
      </c>
      <c r="J701" t="s">
        <v>364</v>
      </c>
      <c r="K701">
        <v>0</v>
      </c>
      <c r="L701" t="s">
        <v>159</v>
      </c>
      <c r="N701" t="s">
        <v>221</v>
      </c>
      <c r="O701" t="s">
        <v>364</v>
      </c>
      <c r="P701">
        <v>4.3901577245713847E-5</v>
      </c>
      <c r="Q701" t="s">
        <v>159</v>
      </c>
      <c r="S701" t="s">
        <v>263</v>
      </c>
      <c r="T701" t="s">
        <v>364</v>
      </c>
      <c r="U701">
        <v>1.9329702872805844E-4</v>
      </c>
      <c r="V701" t="s">
        <v>159</v>
      </c>
    </row>
    <row r="702" spans="9:22" x14ac:dyDescent="0.45">
      <c r="I702" t="s">
        <v>178</v>
      </c>
      <c r="J702" t="s">
        <v>365</v>
      </c>
      <c r="K702">
        <v>0</v>
      </c>
      <c r="L702" t="s">
        <v>159</v>
      </c>
      <c r="N702" t="s">
        <v>221</v>
      </c>
      <c r="O702" t="s">
        <v>365</v>
      </c>
      <c r="P702">
        <v>2.4989682130437456E-5</v>
      </c>
      <c r="Q702" t="s">
        <v>159</v>
      </c>
      <c r="S702" t="s">
        <v>263</v>
      </c>
      <c r="T702" t="s">
        <v>365</v>
      </c>
      <c r="U702">
        <v>1.9327388952966457E-4</v>
      </c>
      <c r="V702" t="s">
        <v>159</v>
      </c>
    </row>
    <row r="703" spans="9:22" x14ac:dyDescent="0.45">
      <c r="I703" t="s">
        <v>178</v>
      </c>
      <c r="J703" t="s">
        <v>366</v>
      </c>
      <c r="K703">
        <v>0</v>
      </c>
      <c r="L703" t="s">
        <v>159</v>
      </c>
      <c r="N703" t="s">
        <v>221</v>
      </c>
      <c r="O703" t="s">
        <v>366</v>
      </c>
      <c r="P703">
        <v>1.7989356280241935E-5</v>
      </c>
      <c r="Q703" t="s">
        <v>159</v>
      </c>
      <c r="S703" t="s">
        <v>263</v>
      </c>
      <c r="T703" t="s">
        <v>366</v>
      </c>
      <c r="U703">
        <v>1.9021790719240603E-4</v>
      </c>
      <c r="V703" t="s">
        <v>159</v>
      </c>
    </row>
    <row r="704" spans="9:22" x14ac:dyDescent="0.45">
      <c r="I704" t="s">
        <v>178</v>
      </c>
      <c r="J704" t="s">
        <v>367</v>
      </c>
      <c r="K704">
        <v>0</v>
      </c>
      <c r="L704" t="s">
        <v>159</v>
      </c>
      <c r="N704" t="s">
        <v>221</v>
      </c>
      <c r="O704" t="s">
        <v>367</v>
      </c>
      <c r="P704">
        <v>1.6701827546118215E-5</v>
      </c>
      <c r="Q704" t="s">
        <v>159</v>
      </c>
      <c r="S704" t="s">
        <v>263</v>
      </c>
      <c r="T704" t="s">
        <v>367</v>
      </c>
      <c r="U704">
        <v>1.77015807193092E-4</v>
      </c>
      <c r="V704" t="s">
        <v>159</v>
      </c>
    </row>
    <row r="705" spans="9:22" x14ac:dyDescent="0.45">
      <c r="I705" t="s">
        <v>178</v>
      </c>
      <c r="J705" t="s">
        <v>368</v>
      </c>
      <c r="K705">
        <v>0</v>
      </c>
      <c r="L705" t="s">
        <v>159</v>
      </c>
      <c r="N705" t="s">
        <v>221</v>
      </c>
      <c r="O705" t="s">
        <v>368</v>
      </c>
      <c r="P705">
        <v>1.8010182802513129E-5</v>
      </c>
      <c r="Q705" t="s">
        <v>159</v>
      </c>
      <c r="S705" t="s">
        <v>263</v>
      </c>
      <c r="T705" t="s">
        <v>368</v>
      </c>
      <c r="U705">
        <v>1.6585410619912599E-4</v>
      </c>
      <c r="V705" t="s">
        <v>159</v>
      </c>
    </row>
    <row r="706" spans="9:22" x14ac:dyDescent="0.45">
      <c r="I706" t="s">
        <v>178</v>
      </c>
      <c r="J706" t="s">
        <v>369</v>
      </c>
      <c r="K706">
        <v>0</v>
      </c>
      <c r="L706" t="s">
        <v>159</v>
      </c>
      <c r="N706" t="s">
        <v>221</v>
      </c>
      <c r="O706" t="s">
        <v>369</v>
      </c>
      <c r="P706">
        <v>2.137641673225147E-5</v>
      </c>
      <c r="Q706" t="s">
        <v>159</v>
      </c>
      <c r="S706" t="s">
        <v>263</v>
      </c>
      <c r="T706" t="s">
        <v>369</v>
      </c>
      <c r="U706">
        <v>1.566229865016003E-4</v>
      </c>
      <c r="V706" t="s">
        <v>159</v>
      </c>
    </row>
    <row r="707" spans="9:22" x14ac:dyDescent="0.45">
      <c r="I707" t="s">
        <v>178</v>
      </c>
      <c r="J707" t="s">
        <v>165</v>
      </c>
      <c r="K707">
        <v>0</v>
      </c>
      <c r="L707" t="s">
        <v>159</v>
      </c>
      <c r="N707" t="s">
        <v>221</v>
      </c>
      <c r="O707" t="s">
        <v>165</v>
      </c>
      <c r="P707">
        <v>3.0399008711412434E-2</v>
      </c>
      <c r="Q707" t="s">
        <v>159</v>
      </c>
      <c r="S707" t="s">
        <v>263</v>
      </c>
      <c r="T707" t="s">
        <v>165</v>
      </c>
      <c r="U707">
        <v>2.3411739337222192E-2</v>
      </c>
      <c r="V707" t="s">
        <v>159</v>
      </c>
    </row>
    <row r="708" spans="9:22" x14ac:dyDescent="0.45">
      <c r="I708" t="s">
        <v>178</v>
      </c>
      <c r="J708" t="s">
        <v>166</v>
      </c>
      <c r="K708">
        <v>5.3550105386853059E-4</v>
      </c>
      <c r="L708" t="s">
        <v>159</v>
      </c>
      <c r="N708" t="s">
        <v>221</v>
      </c>
      <c r="O708" t="s">
        <v>166</v>
      </c>
      <c r="P708">
        <v>4.615366728348674E-3</v>
      </c>
      <c r="Q708" t="s">
        <v>159</v>
      </c>
      <c r="S708" t="s">
        <v>263</v>
      </c>
      <c r="T708" t="s">
        <v>166</v>
      </c>
      <c r="U708">
        <v>3.4211482716047141E-3</v>
      </c>
      <c r="V708" t="s">
        <v>159</v>
      </c>
    </row>
    <row r="709" spans="9:22" x14ac:dyDescent="0.45">
      <c r="I709" t="s">
        <v>178</v>
      </c>
      <c r="J709" t="s">
        <v>167</v>
      </c>
      <c r="K709">
        <v>4.5540044410237283E-2</v>
      </c>
      <c r="L709" t="s">
        <v>159</v>
      </c>
      <c r="N709" t="s">
        <v>221</v>
      </c>
      <c r="O709" t="s">
        <v>167</v>
      </c>
      <c r="P709">
        <v>3.7988841875196452E-2</v>
      </c>
      <c r="Q709" t="s">
        <v>159</v>
      </c>
      <c r="S709" t="s">
        <v>263</v>
      </c>
      <c r="T709" t="s">
        <v>167</v>
      </c>
      <c r="U709">
        <v>3.1323542580932222E-2</v>
      </c>
      <c r="V709" t="s">
        <v>159</v>
      </c>
    </row>
    <row r="710" spans="9:22" x14ac:dyDescent="0.45">
      <c r="I710" t="s">
        <v>178</v>
      </c>
      <c r="J710" t="s">
        <v>291</v>
      </c>
      <c r="K710">
        <v>3.9886473326531278E-3</v>
      </c>
      <c r="L710" t="s">
        <v>159</v>
      </c>
      <c r="N710" t="s">
        <v>221</v>
      </c>
      <c r="O710" t="s">
        <v>291</v>
      </c>
      <c r="P710">
        <v>4.1933299647160969E-3</v>
      </c>
      <c r="Q710" t="s">
        <v>159</v>
      </c>
      <c r="S710" t="s">
        <v>263</v>
      </c>
      <c r="T710" t="s">
        <v>291</v>
      </c>
      <c r="U710">
        <v>4.1794335538431005E-3</v>
      </c>
      <c r="V710" t="s">
        <v>159</v>
      </c>
    </row>
    <row r="711" spans="9:22" x14ac:dyDescent="0.45">
      <c r="I711" t="s">
        <v>178</v>
      </c>
      <c r="J711" t="s">
        <v>292</v>
      </c>
      <c r="K711">
        <v>0</v>
      </c>
      <c r="L711" t="s">
        <v>159</v>
      </c>
      <c r="N711" t="s">
        <v>221</v>
      </c>
      <c r="O711" t="s">
        <v>292</v>
      </c>
      <c r="P711">
        <v>4.1830485515035546E-3</v>
      </c>
      <c r="Q711" t="s">
        <v>159</v>
      </c>
      <c r="S711" t="s">
        <v>263</v>
      </c>
      <c r="T711" t="s">
        <v>292</v>
      </c>
      <c r="U711">
        <v>4.2308020370429656E-3</v>
      </c>
      <c r="V711" t="s">
        <v>159</v>
      </c>
    </row>
    <row r="712" spans="9:22" x14ac:dyDescent="0.45">
      <c r="I712" t="s">
        <v>178</v>
      </c>
      <c r="J712" t="s">
        <v>310</v>
      </c>
      <c r="K712">
        <v>0</v>
      </c>
      <c r="L712" t="s">
        <v>159</v>
      </c>
      <c r="N712" t="s">
        <v>221</v>
      </c>
      <c r="O712" t="s">
        <v>310</v>
      </c>
      <c r="P712">
        <v>2.0424096149319084E-2</v>
      </c>
      <c r="Q712" t="s">
        <v>159</v>
      </c>
      <c r="S712" t="s">
        <v>263</v>
      </c>
      <c r="T712" t="s">
        <v>310</v>
      </c>
      <c r="U712">
        <v>2.042886931203541E-2</v>
      </c>
      <c r="V712" t="s">
        <v>159</v>
      </c>
    </row>
    <row r="713" spans="9:22" x14ac:dyDescent="0.45">
      <c r="I713" t="s">
        <v>178</v>
      </c>
      <c r="J713" t="s">
        <v>293</v>
      </c>
      <c r="K713">
        <v>0</v>
      </c>
      <c r="L713" t="s">
        <v>159</v>
      </c>
      <c r="N713" t="s">
        <v>221</v>
      </c>
      <c r="O713" t="s">
        <v>293</v>
      </c>
      <c r="P713">
        <v>5.0183149334243338E-3</v>
      </c>
      <c r="Q713" t="s">
        <v>159</v>
      </c>
      <c r="S713" t="s">
        <v>263</v>
      </c>
      <c r="T713" t="s">
        <v>293</v>
      </c>
      <c r="U713">
        <v>8.6490434449391466E-3</v>
      </c>
      <c r="V713" t="s">
        <v>159</v>
      </c>
    </row>
    <row r="714" spans="9:22" x14ac:dyDescent="0.45">
      <c r="I714" t="s">
        <v>178</v>
      </c>
      <c r="J714" t="s">
        <v>294</v>
      </c>
      <c r="K714">
        <v>8.7062278649197272E-4</v>
      </c>
      <c r="L714" t="s">
        <v>159</v>
      </c>
      <c r="N714" t="s">
        <v>221</v>
      </c>
      <c r="O714" t="s">
        <v>294</v>
      </c>
      <c r="P714">
        <v>8.3884104296108055E-4</v>
      </c>
      <c r="Q714" t="s">
        <v>159</v>
      </c>
      <c r="S714" t="s">
        <v>263</v>
      </c>
      <c r="T714" t="s">
        <v>294</v>
      </c>
      <c r="U714">
        <v>1.115005649563329E-3</v>
      </c>
      <c r="V714" t="s">
        <v>159</v>
      </c>
    </row>
    <row r="715" spans="9:22" x14ac:dyDescent="0.45">
      <c r="I715" t="s">
        <v>178</v>
      </c>
      <c r="J715" t="s">
        <v>295</v>
      </c>
      <c r="K715">
        <v>1.3530047242965084E-2</v>
      </c>
      <c r="L715" t="s">
        <v>159</v>
      </c>
      <c r="N715" t="s">
        <v>221</v>
      </c>
      <c r="O715" t="s">
        <v>295</v>
      </c>
      <c r="P715">
        <v>7.7412216211728913E-3</v>
      </c>
      <c r="Q715" t="s">
        <v>159</v>
      </c>
      <c r="S715" t="s">
        <v>263</v>
      </c>
      <c r="T715" t="s">
        <v>295</v>
      </c>
      <c r="U715">
        <v>9.1595858621517125E-3</v>
      </c>
      <c r="V715" t="s">
        <v>159</v>
      </c>
    </row>
    <row r="716" spans="9:22" x14ac:dyDescent="0.45">
      <c r="I716" t="s">
        <v>178</v>
      </c>
      <c r="J716" t="s">
        <v>296</v>
      </c>
      <c r="K716">
        <v>1.1303998423747681E-3</v>
      </c>
      <c r="L716" t="s">
        <v>159</v>
      </c>
      <c r="N716" t="s">
        <v>221</v>
      </c>
      <c r="O716" t="s">
        <v>296</v>
      </c>
      <c r="P716">
        <v>7.2806607757821759E-4</v>
      </c>
      <c r="Q716" t="s">
        <v>159</v>
      </c>
      <c r="S716" t="s">
        <v>263</v>
      </c>
      <c r="T716" t="s">
        <v>296</v>
      </c>
      <c r="U716">
        <v>1.2200883176315279E-3</v>
      </c>
      <c r="V716" t="s">
        <v>159</v>
      </c>
    </row>
    <row r="717" spans="9:22" x14ac:dyDescent="0.45">
      <c r="I717" t="s">
        <v>178</v>
      </c>
      <c r="J717" t="s">
        <v>297</v>
      </c>
      <c r="K717">
        <v>0</v>
      </c>
      <c r="L717" t="s">
        <v>159</v>
      </c>
      <c r="N717" t="s">
        <v>221</v>
      </c>
      <c r="O717" t="s">
        <v>297</v>
      </c>
      <c r="P717">
        <v>7.1907636753036478E-4</v>
      </c>
      <c r="Q717" t="s">
        <v>159</v>
      </c>
      <c r="S717" t="s">
        <v>263</v>
      </c>
      <c r="T717" t="s">
        <v>297</v>
      </c>
      <c r="U717">
        <v>1.2401484778850448E-3</v>
      </c>
      <c r="V717" t="s">
        <v>159</v>
      </c>
    </row>
    <row r="718" spans="9:22" x14ac:dyDescent="0.45">
      <c r="I718" t="s">
        <v>178</v>
      </c>
      <c r="J718" t="s">
        <v>311</v>
      </c>
      <c r="K718">
        <v>0</v>
      </c>
      <c r="L718" t="s">
        <v>159</v>
      </c>
      <c r="N718" t="s">
        <v>221</v>
      </c>
      <c r="O718" t="s">
        <v>311</v>
      </c>
      <c r="P718">
        <v>2.5737741459898279E-3</v>
      </c>
      <c r="Q718" t="s">
        <v>159</v>
      </c>
      <c r="S718" t="s">
        <v>263</v>
      </c>
      <c r="T718" t="s">
        <v>311</v>
      </c>
      <c r="U718">
        <v>6.3922402980102939E-3</v>
      </c>
      <c r="V718" t="s">
        <v>159</v>
      </c>
    </row>
    <row r="719" spans="9:22" x14ac:dyDescent="0.45">
      <c r="I719" t="s">
        <v>178</v>
      </c>
      <c r="J719" t="s">
        <v>298</v>
      </c>
      <c r="K719">
        <v>8.5658844633933699E-3</v>
      </c>
      <c r="L719" t="s">
        <v>159</v>
      </c>
      <c r="N719" t="s">
        <v>221</v>
      </c>
      <c r="O719" t="s">
        <v>298</v>
      </c>
      <c r="P719">
        <v>7.4347844275331323E-2</v>
      </c>
      <c r="Q719" t="s">
        <v>159</v>
      </c>
      <c r="S719" t="s">
        <v>263</v>
      </c>
      <c r="T719" t="s">
        <v>298</v>
      </c>
      <c r="U719">
        <v>7.8978685065209053E-2</v>
      </c>
      <c r="V719" t="s">
        <v>159</v>
      </c>
    </row>
    <row r="720" spans="9:22" x14ac:dyDescent="0.45">
      <c r="I720" t="s">
        <v>178</v>
      </c>
      <c r="J720" t="s">
        <v>299</v>
      </c>
      <c r="K720">
        <v>1.8056911220648075E-2</v>
      </c>
      <c r="L720" t="s">
        <v>159</v>
      </c>
      <c r="N720" t="s">
        <v>221</v>
      </c>
      <c r="O720" t="s">
        <v>299</v>
      </c>
      <c r="P720">
        <v>1.0496893730093961E-2</v>
      </c>
      <c r="Q720" t="s">
        <v>159</v>
      </c>
      <c r="S720" t="s">
        <v>263</v>
      </c>
      <c r="T720" t="s">
        <v>299</v>
      </c>
      <c r="U720">
        <v>1.0665771457235962E-2</v>
      </c>
      <c r="V720" t="s">
        <v>159</v>
      </c>
    </row>
    <row r="721" spans="9:22" x14ac:dyDescent="0.45">
      <c r="I721" t="s">
        <v>178</v>
      </c>
      <c r="J721" t="s">
        <v>300</v>
      </c>
      <c r="K721">
        <v>0.24391572762547548</v>
      </c>
      <c r="L721" t="s">
        <v>159</v>
      </c>
      <c r="N721" t="s">
        <v>221</v>
      </c>
      <c r="O721" t="s">
        <v>300</v>
      </c>
      <c r="P721">
        <v>0.1158301396019086</v>
      </c>
      <c r="Q721" t="s">
        <v>159</v>
      </c>
      <c r="S721" t="s">
        <v>263</v>
      </c>
      <c r="T721" t="s">
        <v>300</v>
      </c>
      <c r="U721">
        <v>0.10307908301581757</v>
      </c>
      <c r="V721" t="s">
        <v>159</v>
      </c>
    </row>
    <row r="722" spans="9:22" x14ac:dyDescent="0.45">
      <c r="I722" t="s">
        <v>178</v>
      </c>
      <c r="J722" t="s">
        <v>301</v>
      </c>
      <c r="K722">
        <v>2.2369282467686082E-2</v>
      </c>
      <c r="L722" t="s">
        <v>159</v>
      </c>
      <c r="N722" t="s">
        <v>221</v>
      </c>
      <c r="O722" t="s">
        <v>301</v>
      </c>
      <c r="P722">
        <v>1.5879740803185674E-2</v>
      </c>
      <c r="Q722" t="s">
        <v>159</v>
      </c>
      <c r="S722" t="s">
        <v>263</v>
      </c>
      <c r="T722" t="s">
        <v>301</v>
      </c>
      <c r="U722">
        <v>1.311277092542678E-2</v>
      </c>
      <c r="V722" t="s">
        <v>159</v>
      </c>
    </row>
    <row r="723" spans="9:22" x14ac:dyDescent="0.45">
      <c r="I723" t="s">
        <v>178</v>
      </c>
      <c r="J723" t="s">
        <v>302</v>
      </c>
      <c r="K723">
        <v>1.3948564653251991E-2</v>
      </c>
      <c r="L723" t="s">
        <v>159</v>
      </c>
      <c r="N723" t="s">
        <v>221</v>
      </c>
      <c r="O723" t="s">
        <v>302</v>
      </c>
      <c r="P723">
        <v>1.4778217827858249E-2</v>
      </c>
      <c r="Q723" t="s">
        <v>159</v>
      </c>
      <c r="S723" t="s">
        <v>263</v>
      </c>
      <c r="T723" t="s">
        <v>302</v>
      </c>
      <c r="U723">
        <v>1.3289430154704567E-2</v>
      </c>
      <c r="V723" t="s">
        <v>159</v>
      </c>
    </row>
    <row r="724" spans="9:22" x14ac:dyDescent="0.45">
      <c r="I724" t="s">
        <v>178</v>
      </c>
      <c r="J724" t="s">
        <v>312</v>
      </c>
      <c r="K724">
        <v>5.3476167750079135E-5</v>
      </c>
      <c r="L724" t="s">
        <v>159</v>
      </c>
      <c r="N724" t="s">
        <v>221</v>
      </c>
      <c r="O724" t="s">
        <v>312</v>
      </c>
      <c r="P724">
        <v>5.6352835256500353E-2</v>
      </c>
      <c r="Q724" t="s">
        <v>159</v>
      </c>
      <c r="S724" t="s">
        <v>263</v>
      </c>
      <c r="T724" t="s">
        <v>312</v>
      </c>
      <c r="U724">
        <v>6.4614185503279978E-2</v>
      </c>
      <c r="V724" t="s">
        <v>159</v>
      </c>
    </row>
    <row r="725" spans="9:22" x14ac:dyDescent="0.45">
      <c r="I725" t="s">
        <v>178</v>
      </c>
      <c r="J725" t="s">
        <v>313</v>
      </c>
      <c r="K725">
        <v>4.4380168604434131E-3</v>
      </c>
      <c r="L725" t="s">
        <v>159</v>
      </c>
      <c r="N725" t="s">
        <v>221</v>
      </c>
      <c r="O725" t="s">
        <v>313</v>
      </c>
      <c r="P725">
        <v>1.3561707072954324E-2</v>
      </c>
      <c r="Q725" t="s">
        <v>159</v>
      </c>
      <c r="S725" t="s">
        <v>263</v>
      </c>
      <c r="T725" t="s">
        <v>313</v>
      </c>
      <c r="U725">
        <v>2.1085385041541567E-2</v>
      </c>
      <c r="V725" t="s">
        <v>159</v>
      </c>
    </row>
    <row r="726" spans="9:22" x14ac:dyDescent="0.45">
      <c r="I726" t="s">
        <v>178</v>
      </c>
      <c r="J726" t="s">
        <v>314</v>
      </c>
      <c r="K726">
        <v>6.8187887658386894E-3</v>
      </c>
      <c r="L726" t="s">
        <v>159</v>
      </c>
      <c r="N726" t="s">
        <v>221</v>
      </c>
      <c r="O726" t="s">
        <v>314</v>
      </c>
      <c r="P726">
        <v>1.9938782194285297E-3</v>
      </c>
      <c r="Q726" t="s">
        <v>159</v>
      </c>
      <c r="S726" t="s">
        <v>263</v>
      </c>
      <c r="T726" t="s">
        <v>314</v>
      </c>
      <c r="U726">
        <v>3.000717696655485E-3</v>
      </c>
      <c r="V726" t="s">
        <v>159</v>
      </c>
    </row>
    <row r="727" spans="9:22" x14ac:dyDescent="0.45">
      <c r="I727" t="s">
        <v>178</v>
      </c>
      <c r="J727" t="s">
        <v>315</v>
      </c>
      <c r="K727">
        <v>8.8355648508494325E-2</v>
      </c>
      <c r="L727" t="s">
        <v>159</v>
      </c>
      <c r="N727" t="s">
        <v>221</v>
      </c>
      <c r="O727" t="s">
        <v>315</v>
      </c>
      <c r="P727">
        <v>2.821020413071915E-2</v>
      </c>
      <c r="Q727" t="s">
        <v>159</v>
      </c>
      <c r="S727" t="s">
        <v>263</v>
      </c>
      <c r="T727" t="s">
        <v>315</v>
      </c>
      <c r="U727">
        <v>2.5326018987620779E-2</v>
      </c>
      <c r="V727" t="s">
        <v>159</v>
      </c>
    </row>
    <row r="728" spans="9:22" x14ac:dyDescent="0.45">
      <c r="I728" t="s">
        <v>178</v>
      </c>
      <c r="J728" t="s">
        <v>316</v>
      </c>
      <c r="K728">
        <v>8.6372124435667615E-3</v>
      </c>
      <c r="L728" t="s">
        <v>159</v>
      </c>
      <c r="N728" t="s">
        <v>221</v>
      </c>
      <c r="O728" t="s">
        <v>316</v>
      </c>
      <c r="P728">
        <v>3.9172500598381402E-3</v>
      </c>
      <c r="Q728" t="s">
        <v>159</v>
      </c>
      <c r="S728" t="s">
        <v>263</v>
      </c>
      <c r="T728" t="s">
        <v>316</v>
      </c>
      <c r="U728">
        <v>3.0151573181358658E-3</v>
      </c>
      <c r="V728" t="s">
        <v>159</v>
      </c>
    </row>
    <row r="729" spans="9:22" x14ac:dyDescent="0.45">
      <c r="I729" t="s">
        <v>178</v>
      </c>
      <c r="J729" t="s">
        <v>317</v>
      </c>
      <c r="K729">
        <v>6.8366085448817613E-3</v>
      </c>
      <c r="L729" t="s">
        <v>159</v>
      </c>
      <c r="N729" t="s">
        <v>221</v>
      </c>
      <c r="O729" t="s">
        <v>317</v>
      </c>
      <c r="P729">
        <v>3.5716923609219291E-3</v>
      </c>
      <c r="Q729" t="s">
        <v>159</v>
      </c>
      <c r="S729" t="s">
        <v>263</v>
      </c>
      <c r="T729" t="s">
        <v>317</v>
      </c>
      <c r="U729">
        <v>3.0767151492388091E-3</v>
      </c>
      <c r="V729" t="s">
        <v>159</v>
      </c>
    </row>
    <row r="730" spans="9:22" x14ac:dyDescent="0.45">
      <c r="I730" t="s">
        <v>178</v>
      </c>
      <c r="J730" t="s">
        <v>318</v>
      </c>
      <c r="K730">
        <v>3.9040290053841934E-3</v>
      </c>
      <c r="L730" t="s">
        <v>159</v>
      </c>
      <c r="N730" t="s">
        <v>221</v>
      </c>
      <c r="O730" t="s">
        <v>318</v>
      </c>
      <c r="P730">
        <v>1.3495022631043848E-2</v>
      </c>
      <c r="Q730" t="s">
        <v>159</v>
      </c>
      <c r="S730" t="s">
        <v>263</v>
      </c>
      <c r="T730" t="s">
        <v>318</v>
      </c>
      <c r="U730">
        <v>1.5428556006659591E-2</v>
      </c>
      <c r="V730" t="s">
        <v>159</v>
      </c>
    </row>
    <row r="731" spans="9:22" x14ac:dyDescent="0.45">
      <c r="I731" t="s">
        <v>179</v>
      </c>
      <c r="J731" t="s">
        <v>158</v>
      </c>
      <c r="K731">
        <v>8.0045574795972099E-3</v>
      </c>
      <c r="L731" t="s">
        <v>159</v>
      </c>
      <c r="N731" t="s">
        <v>222</v>
      </c>
      <c r="O731" t="s">
        <v>158</v>
      </c>
      <c r="P731">
        <v>0.10537664326511269</v>
      </c>
      <c r="Q731" t="s">
        <v>159</v>
      </c>
      <c r="S731" t="s">
        <v>264</v>
      </c>
      <c r="T731" t="s">
        <v>158</v>
      </c>
      <c r="U731">
        <v>0.12719805018006677</v>
      </c>
      <c r="V731" t="s">
        <v>159</v>
      </c>
    </row>
    <row r="732" spans="9:22" x14ac:dyDescent="0.45">
      <c r="I732" t="s">
        <v>179</v>
      </c>
      <c r="J732" t="s">
        <v>160</v>
      </c>
      <c r="K732">
        <v>2.7070001178531179E-2</v>
      </c>
      <c r="L732" t="s">
        <v>159</v>
      </c>
      <c r="N732" t="s">
        <v>222</v>
      </c>
      <c r="O732" t="s">
        <v>160</v>
      </c>
      <c r="P732">
        <v>1.4724595122171063E-2</v>
      </c>
      <c r="Q732" t="s">
        <v>159</v>
      </c>
      <c r="S732" t="s">
        <v>264</v>
      </c>
      <c r="T732" t="s">
        <v>160</v>
      </c>
      <c r="U732">
        <v>1.7869378361027786E-2</v>
      </c>
      <c r="V732" t="s">
        <v>159</v>
      </c>
    </row>
    <row r="733" spans="9:22" x14ac:dyDescent="0.45">
      <c r="I733" t="s">
        <v>179</v>
      </c>
      <c r="J733" t="s">
        <v>161</v>
      </c>
      <c r="K733">
        <v>0.37661123031560007</v>
      </c>
      <c r="L733" t="s">
        <v>159</v>
      </c>
      <c r="N733" t="s">
        <v>222</v>
      </c>
      <c r="O733" t="s">
        <v>161</v>
      </c>
      <c r="P733">
        <v>0.17677166303327982</v>
      </c>
      <c r="Q733" t="s">
        <v>159</v>
      </c>
      <c r="S733" t="s">
        <v>264</v>
      </c>
      <c r="T733" t="s">
        <v>161</v>
      </c>
      <c r="U733">
        <v>0.15733393670096729</v>
      </c>
      <c r="V733" t="s">
        <v>159</v>
      </c>
    </row>
    <row r="734" spans="9:22" x14ac:dyDescent="0.45">
      <c r="I734" t="s">
        <v>179</v>
      </c>
      <c r="J734" t="s">
        <v>287</v>
      </c>
      <c r="K734">
        <v>3.4898819431750078E-2</v>
      </c>
      <c r="L734" t="s">
        <v>159</v>
      </c>
      <c r="N734" t="s">
        <v>222</v>
      </c>
      <c r="O734" t="s">
        <v>287</v>
      </c>
      <c r="P734">
        <v>2.4971665876914059E-2</v>
      </c>
      <c r="Q734" t="s">
        <v>159</v>
      </c>
      <c r="S734" t="s">
        <v>264</v>
      </c>
      <c r="T734" t="s">
        <v>287</v>
      </c>
      <c r="U734">
        <v>1.7910563031279712E-2</v>
      </c>
      <c r="V734" t="s">
        <v>159</v>
      </c>
    </row>
    <row r="735" spans="9:22" x14ac:dyDescent="0.45">
      <c r="I735" t="s">
        <v>179</v>
      </c>
      <c r="J735" t="s">
        <v>288</v>
      </c>
      <c r="K735">
        <v>1.9033208819808328E-2</v>
      </c>
      <c r="L735" t="s">
        <v>159</v>
      </c>
      <c r="N735" t="s">
        <v>222</v>
      </c>
      <c r="O735" t="s">
        <v>288</v>
      </c>
      <c r="P735">
        <v>2.287012443907608E-2</v>
      </c>
      <c r="Q735" t="s">
        <v>159</v>
      </c>
      <c r="S735" t="s">
        <v>264</v>
      </c>
      <c r="T735" t="s">
        <v>288</v>
      </c>
      <c r="U735">
        <v>1.7868941983784806E-2</v>
      </c>
      <c r="V735" t="s">
        <v>159</v>
      </c>
    </row>
    <row r="736" spans="9:22" x14ac:dyDescent="0.45">
      <c r="I736" t="s">
        <v>179</v>
      </c>
      <c r="J736" t="s">
        <v>308</v>
      </c>
      <c r="K736">
        <v>6.1032881669155215E-3</v>
      </c>
      <c r="L736" t="s">
        <v>159</v>
      </c>
      <c r="N736" t="s">
        <v>222</v>
      </c>
      <c r="O736" t="s">
        <v>308</v>
      </c>
      <c r="P736">
        <v>8.9150318170992185E-2</v>
      </c>
      <c r="Q736" t="s">
        <v>159</v>
      </c>
      <c r="S736" t="s">
        <v>264</v>
      </c>
      <c r="T736" t="s">
        <v>308</v>
      </c>
      <c r="U736">
        <v>8.8175355692300755E-2</v>
      </c>
      <c r="V736" t="s">
        <v>159</v>
      </c>
    </row>
    <row r="737" spans="9:22" x14ac:dyDescent="0.45">
      <c r="I737" t="s">
        <v>179</v>
      </c>
      <c r="J737" t="s">
        <v>162</v>
      </c>
      <c r="K737">
        <v>0</v>
      </c>
      <c r="L737" t="s">
        <v>159</v>
      </c>
      <c r="N737" t="s">
        <v>222</v>
      </c>
      <c r="O737" t="s">
        <v>162</v>
      </c>
      <c r="P737">
        <v>2.0935191127828802E-2</v>
      </c>
      <c r="Q737" t="s">
        <v>159</v>
      </c>
      <c r="S737" t="s">
        <v>264</v>
      </c>
      <c r="T737" t="s">
        <v>162</v>
      </c>
      <c r="U737">
        <v>2.5949842783251575E-2</v>
      </c>
      <c r="V737" t="s">
        <v>159</v>
      </c>
    </row>
    <row r="738" spans="9:22" x14ac:dyDescent="0.45">
      <c r="I738" t="s">
        <v>179</v>
      </c>
      <c r="J738" t="s">
        <v>163</v>
      </c>
      <c r="K738">
        <v>0</v>
      </c>
      <c r="L738" t="s">
        <v>159</v>
      </c>
      <c r="N738" t="s">
        <v>222</v>
      </c>
      <c r="O738" t="s">
        <v>163</v>
      </c>
      <c r="P738">
        <v>2.8425792400193564E-3</v>
      </c>
      <c r="Q738" t="s">
        <v>159</v>
      </c>
      <c r="S738" t="s">
        <v>264</v>
      </c>
      <c r="T738" t="s">
        <v>163</v>
      </c>
      <c r="U738">
        <v>3.5978258532396081E-3</v>
      </c>
      <c r="V738" t="s">
        <v>159</v>
      </c>
    </row>
    <row r="739" spans="9:22" x14ac:dyDescent="0.45">
      <c r="I739" t="s">
        <v>179</v>
      </c>
      <c r="J739" t="s">
        <v>164</v>
      </c>
      <c r="K739">
        <v>3.7195245870859789E-2</v>
      </c>
      <c r="L739" t="s">
        <v>159</v>
      </c>
      <c r="N739" t="s">
        <v>222</v>
      </c>
      <c r="O739" t="s">
        <v>164</v>
      </c>
      <c r="P739">
        <v>2.7219607195633912E-2</v>
      </c>
      <c r="Q739" t="s">
        <v>159</v>
      </c>
      <c r="S739" t="s">
        <v>264</v>
      </c>
      <c r="T739" t="s">
        <v>164</v>
      </c>
      <c r="U739">
        <v>3.0520681110584185E-2</v>
      </c>
      <c r="V739" t="s">
        <v>159</v>
      </c>
    </row>
    <row r="740" spans="9:22" x14ac:dyDescent="0.45">
      <c r="I740" t="s">
        <v>179</v>
      </c>
      <c r="J740" t="s">
        <v>289</v>
      </c>
      <c r="K740">
        <v>3.1643779024215363E-3</v>
      </c>
      <c r="L740" t="s">
        <v>159</v>
      </c>
      <c r="N740" t="s">
        <v>222</v>
      </c>
      <c r="O740" t="s">
        <v>289</v>
      </c>
      <c r="P740">
        <v>3.3233574846829074E-3</v>
      </c>
      <c r="Q740" t="s">
        <v>159</v>
      </c>
      <c r="S740" t="s">
        <v>264</v>
      </c>
      <c r="T740" t="s">
        <v>289</v>
      </c>
      <c r="U740">
        <v>3.1322165535846856E-3</v>
      </c>
      <c r="V740" t="s">
        <v>159</v>
      </c>
    </row>
    <row r="741" spans="9:22" x14ac:dyDescent="0.45">
      <c r="I741" t="s">
        <v>179</v>
      </c>
      <c r="J741" t="s">
        <v>290</v>
      </c>
      <c r="K741">
        <v>0</v>
      </c>
      <c r="L741" t="s">
        <v>159</v>
      </c>
      <c r="N741" t="s">
        <v>222</v>
      </c>
      <c r="O741" t="s">
        <v>290</v>
      </c>
      <c r="P741">
        <v>3.2989746608913036E-3</v>
      </c>
      <c r="Q741" t="s">
        <v>159</v>
      </c>
      <c r="S741" t="s">
        <v>264</v>
      </c>
      <c r="T741" t="s">
        <v>290</v>
      </c>
      <c r="U741">
        <v>3.1817430761811576E-3</v>
      </c>
      <c r="V741" t="s">
        <v>159</v>
      </c>
    </row>
    <row r="742" spans="9:22" x14ac:dyDescent="0.45">
      <c r="I742" t="s">
        <v>179</v>
      </c>
      <c r="J742" t="s">
        <v>309</v>
      </c>
      <c r="K742">
        <v>0</v>
      </c>
      <c r="L742" t="s">
        <v>159</v>
      </c>
      <c r="N742" t="s">
        <v>222</v>
      </c>
      <c r="O742" t="s">
        <v>309</v>
      </c>
      <c r="P742">
        <v>1.5926134640833641E-2</v>
      </c>
      <c r="Q742" t="s">
        <v>159</v>
      </c>
      <c r="S742" t="s">
        <v>264</v>
      </c>
      <c r="T742" t="s">
        <v>309</v>
      </c>
      <c r="U742">
        <v>1.6476907276351212E-2</v>
      </c>
      <c r="V742" t="s">
        <v>159</v>
      </c>
    </row>
    <row r="743" spans="9:22" x14ac:dyDescent="0.45">
      <c r="I743" t="s">
        <v>179</v>
      </c>
      <c r="J743" t="s">
        <v>346</v>
      </c>
      <c r="K743">
        <v>0</v>
      </c>
      <c r="L743" t="s">
        <v>159</v>
      </c>
      <c r="N743" t="s">
        <v>222</v>
      </c>
      <c r="O743" t="s">
        <v>346</v>
      </c>
      <c r="P743">
        <v>1.5431082772864573E-5</v>
      </c>
      <c r="Q743" t="s">
        <v>159</v>
      </c>
      <c r="S743" t="s">
        <v>264</v>
      </c>
      <c r="T743" t="s">
        <v>346</v>
      </c>
      <c r="U743">
        <v>4.8348856076716221E-5</v>
      </c>
      <c r="V743" t="s">
        <v>159</v>
      </c>
    </row>
    <row r="744" spans="9:22" x14ac:dyDescent="0.45">
      <c r="I744" t="s">
        <v>179</v>
      </c>
      <c r="J744" t="s">
        <v>347</v>
      </c>
      <c r="K744">
        <v>0</v>
      </c>
      <c r="L744" t="s">
        <v>159</v>
      </c>
      <c r="N744" t="s">
        <v>222</v>
      </c>
      <c r="O744" t="s">
        <v>347</v>
      </c>
      <c r="P744">
        <v>3.9980125722215634E-6</v>
      </c>
      <c r="Q744" t="s">
        <v>159</v>
      </c>
      <c r="S744" t="s">
        <v>264</v>
      </c>
      <c r="T744" t="s">
        <v>347</v>
      </c>
      <c r="U744">
        <v>4.8678668521526024E-5</v>
      </c>
      <c r="V744" t="s">
        <v>159</v>
      </c>
    </row>
    <row r="745" spans="9:22" x14ac:dyDescent="0.45">
      <c r="I745" t="s">
        <v>179</v>
      </c>
      <c r="J745" t="s">
        <v>348</v>
      </c>
      <c r="K745">
        <v>0</v>
      </c>
      <c r="L745" t="s">
        <v>159</v>
      </c>
      <c r="N745" t="s">
        <v>222</v>
      </c>
      <c r="O745" t="s">
        <v>348</v>
      </c>
      <c r="P745">
        <v>2.2645467879278705E-6</v>
      </c>
      <c r="Q745" t="s">
        <v>159</v>
      </c>
      <c r="S745" t="s">
        <v>264</v>
      </c>
      <c r="T745" t="s">
        <v>348</v>
      </c>
      <c r="U745">
        <v>4.1747864562580183E-5</v>
      </c>
      <c r="V745" t="s">
        <v>159</v>
      </c>
    </row>
    <row r="746" spans="9:22" x14ac:dyDescent="0.45">
      <c r="I746" t="s">
        <v>179</v>
      </c>
      <c r="J746" t="s">
        <v>349</v>
      </c>
      <c r="K746">
        <v>0</v>
      </c>
      <c r="L746" t="s">
        <v>159</v>
      </c>
      <c r="N746" t="s">
        <v>222</v>
      </c>
      <c r="O746" t="s">
        <v>349</v>
      </c>
      <c r="P746">
        <v>6.1919634098920366E-6</v>
      </c>
      <c r="Q746" t="s">
        <v>159</v>
      </c>
      <c r="S746" t="s">
        <v>264</v>
      </c>
      <c r="T746" t="s">
        <v>349</v>
      </c>
      <c r="U746">
        <v>3.3658879418257483E-5</v>
      </c>
      <c r="V746" t="s">
        <v>159</v>
      </c>
    </row>
    <row r="747" spans="9:22" x14ac:dyDescent="0.45">
      <c r="I747" t="s">
        <v>179</v>
      </c>
      <c r="J747" t="s">
        <v>350</v>
      </c>
      <c r="K747">
        <v>0</v>
      </c>
      <c r="L747" t="s">
        <v>159</v>
      </c>
      <c r="N747" t="s">
        <v>222</v>
      </c>
      <c r="O747" t="s">
        <v>350</v>
      </c>
      <c r="P747">
        <v>1.6512280949928155E-5</v>
      </c>
      <c r="Q747" t="s">
        <v>159</v>
      </c>
      <c r="S747" t="s">
        <v>264</v>
      </c>
      <c r="T747" t="s">
        <v>350</v>
      </c>
      <c r="U747">
        <v>2.723096006209617E-5</v>
      </c>
      <c r="V747" t="s">
        <v>159</v>
      </c>
    </row>
    <row r="748" spans="9:22" x14ac:dyDescent="0.45">
      <c r="I748" t="s">
        <v>179</v>
      </c>
      <c r="J748" t="s">
        <v>351</v>
      </c>
      <c r="K748">
        <v>0</v>
      </c>
      <c r="L748" t="s">
        <v>159</v>
      </c>
      <c r="N748" t="s">
        <v>222</v>
      </c>
      <c r="O748" t="s">
        <v>351</v>
      </c>
      <c r="P748">
        <v>3.0840284809927706E-5</v>
      </c>
      <c r="Q748" t="s">
        <v>159</v>
      </c>
      <c r="S748" t="s">
        <v>264</v>
      </c>
      <c r="T748" t="s">
        <v>351</v>
      </c>
      <c r="U748">
        <v>2.3938459351452387E-5</v>
      </c>
      <c r="V748" t="s">
        <v>159</v>
      </c>
    </row>
    <row r="749" spans="9:22" x14ac:dyDescent="0.45">
      <c r="I749" t="s">
        <v>179</v>
      </c>
      <c r="J749" t="s">
        <v>352</v>
      </c>
      <c r="K749">
        <v>0</v>
      </c>
      <c r="L749" t="s">
        <v>159</v>
      </c>
      <c r="N749" t="s">
        <v>222</v>
      </c>
      <c r="O749" t="s">
        <v>352</v>
      </c>
      <c r="P749">
        <v>3.8063552199444032E-5</v>
      </c>
      <c r="Q749" t="s">
        <v>159</v>
      </c>
      <c r="S749" t="s">
        <v>264</v>
      </c>
      <c r="T749" t="s">
        <v>352</v>
      </c>
      <c r="U749">
        <v>2.8158077947215401E-5</v>
      </c>
      <c r="V749" t="s">
        <v>159</v>
      </c>
    </row>
    <row r="750" spans="9:22" x14ac:dyDescent="0.45">
      <c r="I750" t="s">
        <v>179</v>
      </c>
      <c r="J750" t="s">
        <v>353</v>
      </c>
      <c r="K750">
        <v>0</v>
      </c>
      <c r="L750" t="s">
        <v>159</v>
      </c>
      <c r="N750" t="s">
        <v>222</v>
      </c>
      <c r="O750" t="s">
        <v>353</v>
      </c>
      <c r="P750">
        <v>4.0909045295278071E-5</v>
      </c>
      <c r="Q750" t="s">
        <v>159</v>
      </c>
      <c r="S750" t="s">
        <v>264</v>
      </c>
      <c r="T750" t="s">
        <v>353</v>
      </c>
      <c r="U750">
        <v>3.575667965658784E-5</v>
      </c>
      <c r="V750" t="s">
        <v>159</v>
      </c>
    </row>
    <row r="751" spans="9:22" x14ac:dyDescent="0.45">
      <c r="I751" t="s">
        <v>179</v>
      </c>
      <c r="J751" t="s">
        <v>354</v>
      </c>
      <c r="K751">
        <v>1.6024719258123928E-4</v>
      </c>
      <c r="L751" t="s">
        <v>159</v>
      </c>
      <c r="N751" t="s">
        <v>222</v>
      </c>
      <c r="O751" t="s">
        <v>354</v>
      </c>
      <c r="P751">
        <v>3.7880074058535268E-5</v>
      </c>
      <c r="Q751" t="s">
        <v>159</v>
      </c>
      <c r="S751" t="s">
        <v>264</v>
      </c>
      <c r="T751" t="s">
        <v>354</v>
      </c>
      <c r="U751">
        <v>4.6574031227005612E-5</v>
      </c>
      <c r="V751" t="s">
        <v>159</v>
      </c>
    </row>
    <row r="752" spans="9:22" x14ac:dyDescent="0.45">
      <c r="I752" t="s">
        <v>179</v>
      </c>
      <c r="J752" t="s">
        <v>355</v>
      </c>
      <c r="K752">
        <v>1.7516440515388565E-4</v>
      </c>
      <c r="L752" t="s">
        <v>159</v>
      </c>
      <c r="N752" t="s">
        <v>222</v>
      </c>
      <c r="O752" t="s">
        <v>355</v>
      </c>
      <c r="P752">
        <v>2.7775417478922401E-5</v>
      </c>
      <c r="Q752" t="s">
        <v>159</v>
      </c>
      <c r="S752" t="s">
        <v>264</v>
      </c>
      <c r="T752" t="s">
        <v>355</v>
      </c>
      <c r="U752">
        <v>4.9585695642795084E-5</v>
      </c>
      <c r="V752" t="s">
        <v>159</v>
      </c>
    </row>
    <row r="753" spans="9:22" x14ac:dyDescent="0.45">
      <c r="I753" t="s">
        <v>179</v>
      </c>
      <c r="J753" t="s">
        <v>356</v>
      </c>
      <c r="K753">
        <v>1.5949048829410451E-4</v>
      </c>
      <c r="L753" t="s">
        <v>159</v>
      </c>
      <c r="N753" t="s">
        <v>222</v>
      </c>
      <c r="O753" t="s">
        <v>356</v>
      </c>
      <c r="P753">
        <v>1.7087058285920589E-5</v>
      </c>
      <c r="Q753" t="s">
        <v>159</v>
      </c>
      <c r="S753" t="s">
        <v>264</v>
      </c>
      <c r="T753" t="s">
        <v>356</v>
      </c>
      <c r="U753">
        <v>4.251231072391306E-5</v>
      </c>
      <c r="V753" t="s">
        <v>159</v>
      </c>
    </row>
    <row r="754" spans="9:22" x14ac:dyDescent="0.45">
      <c r="I754" t="s">
        <v>179</v>
      </c>
      <c r="J754" t="s">
        <v>357</v>
      </c>
      <c r="K754">
        <v>1.6575000360176869E-4</v>
      </c>
      <c r="L754" t="s">
        <v>159</v>
      </c>
      <c r="N754" t="s">
        <v>222</v>
      </c>
      <c r="O754" t="s">
        <v>357</v>
      </c>
      <c r="P754">
        <v>1.011303049076576E-5</v>
      </c>
      <c r="Q754" t="s">
        <v>159</v>
      </c>
      <c r="S754" t="s">
        <v>264</v>
      </c>
      <c r="T754" t="s">
        <v>357</v>
      </c>
      <c r="U754">
        <v>4.5333398150732986E-5</v>
      </c>
      <c r="V754" t="s">
        <v>159</v>
      </c>
    </row>
    <row r="755" spans="9:22" x14ac:dyDescent="0.45">
      <c r="I755" t="s">
        <v>179</v>
      </c>
      <c r="J755" t="s">
        <v>358</v>
      </c>
      <c r="K755">
        <v>2.0864005485324327E-4</v>
      </c>
      <c r="L755" t="s">
        <v>159</v>
      </c>
      <c r="N755" t="s">
        <v>222</v>
      </c>
      <c r="O755" t="s">
        <v>358</v>
      </c>
      <c r="P755">
        <v>6.900564180050953E-6</v>
      </c>
      <c r="Q755" t="s">
        <v>159</v>
      </c>
      <c r="S755" t="s">
        <v>264</v>
      </c>
      <c r="T755" t="s">
        <v>358</v>
      </c>
      <c r="U755">
        <v>4.6368756971470363E-5</v>
      </c>
      <c r="V755" t="s">
        <v>159</v>
      </c>
    </row>
    <row r="756" spans="9:22" x14ac:dyDescent="0.45">
      <c r="I756" t="s">
        <v>179</v>
      </c>
      <c r="J756" t="s">
        <v>359</v>
      </c>
      <c r="K756">
        <v>1.8543653237996613E-4</v>
      </c>
      <c r="L756" t="s">
        <v>159</v>
      </c>
      <c r="N756" t="s">
        <v>222</v>
      </c>
      <c r="O756" t="s">
        <v>359</v>
      </c>
      <c r="P756">
        <v>4.0493638752233313E-6</v>
      </c>
      <c r="Q756" t="s">
        <v>159</v>
      </c>
      <c r="S756" t="s">
        <v>264</v>
      </c>
      <c r="T756" t="s">
        <v>359</v>
      </c>
      <c r="U756">
        <v>4.6844057733361204E-5</v>
      </c>
      <c r="V756" t="s">
        <v>159</v>
      </c>
    </row>
    <row r="757" spans="9:22" x14ac:dyDescent="0.45">
      <c r="I757" t="s">
        <v>179</v>
      </c>
      <c r="J757" t="s">
        <v>360</v>
      </c>
      <c r="K757">
        <v>1.5224838852879132E-4</v>
      </c>
      <c r="L757" t="s">
        <v>159</v>
      </c>
      <c r="N757" t="s">
        <v>222</v>
      </c>
      <c r="O757" t="s">
        <v>360</v>
      </c>
      <c r="P757">
        <v>1.4406290933707148E-6</v>
      </c>
      <c r="Q757" t="s">
        <v>159</v>
      </c>
      <c r="S757" t="s">
        <v>264</v>
      </c>
      <c r="T757" t="s">
        <v>360</v>
      </c>
      <c r="U757">
        <v>3.6351014390055301E-5</v>
      </c>
      <c r="V757" t="s">
        <v>159</v>
      </c>
    </row>
    <row r="758" spans="9:22" x14ac:dyDescent="0.45">
      <c r="I758" t="s">
        <v>179</v>
      </c>
      <c r="J758" t="s">
        <v>361</v>
      </c>
      <c r="K758">
        <v>1.3672534853451386E-4</v>
      </c>
      <c r="L758" t="s">
        <v>159</v>
      </c>
      <c r="N758" t="s">
        <v>222</v>
      </c>
      <c r="O758" t="s">
        <v>361</v>
      </c>
      <c r="P758">
        <v>1.2808818384796431E-6</v>
      </c>
      <c r="Q758" t="s">
        <v>159</v>
      </c>
      <c r="S758" t="s">
        <v>264</v>
      </c>
      <c r="T758" t="s">
        <v>361</v>
      </c>
      <c r="U758">
        <v>3.0212000677336406E-5</v>
      </c>
      <c r="V758" t="s">
        <v>159</v>
      </c>
    </row>
    <row r="759" spans="9:22" x14ac:dyDescent="0.45">
      <c r="I759" t="s">
        <v>179</v>
      </c>
      <c r="J759" t="s">
        <v>362</v>
      </c>
      <c r="K759">
        <v>1.0671584185376594E-4</v>
      </c>
      <c r="L759" t="s">
        <v>159</v>
      </c>
      <c r="N759" t="s">
        <v>222</v>
      </c>
      <c r="O759" t="s">
        <v>362</v>
      </c>
      <c r="P759">
        <v>1.5436809702134689E-5</v>
      </c>
      <c r="Q759" t="s">
        <v>159</v>
      </c>
      <c r="S759" t="s">
        <v>264</v>
      </c>
      <c r="T759" t="s">
        <v>362</v>
      </c>
      <c r="U759">
        <v>2.7660934693296841E-5</v>
      </c>
      <c r="V759" t="s">
        <v>159</v>
      </c>
    </row>
    <row r="760" spans="9:22" x14ac:dyDescent="0.45">
      <c r="I760" t="s">
        <v>179</v>
      </c>
      <c r="J760" t="s">
        <v>363</v>
      </c>
      <c r="K760">
        <v>5.3203871747487929E-5</v>
      </c>
      <c r="L760" t="s">
        <v>159</v>
      </c>
      <c r="N760" t="s">
        <v>222</v>
      </c>
      <c r="O760" t="s">
        <v>363</v>
      </c>
      <c r="P760">
        <v>1.8072144364779705E-5</v>
      </c>
      <c r="Q760" t="s">
        <v>159</v>
      </c>
      <c r="S760" t="s">
        <v>264</v>
      </c>
      <c r="T760" t="s">
        <v>363</v>
      </c>
      <c r="U760">
        <v>2.2661319604762725E-5</v>
      </c>
      <c r="V760" t="s">
        <v>159</v>
      </c>
    </row>
    <row r="761" spans="9:22" x14ac:dyDescent="0.45">
      <c r="I761" t="s">
        <v>179</v>
      </c>
      <c r="J761" t="s">
        <v>364</v>
      </c>
      <c r="K761">
        <v>0</v>
      </c>
      <c r="L761" t="s">
        <v>159</v>
      </c>
      <c r="N761" t="s">
        <v>222</v>
      </c>
      <c r="O761" t="s">
        <v>364</v>
      </c>
      <c r="P761">
        <v>8.9053103638069121E-6</v>
      </c>
      <c r="Q761" t="s">
        <v>159</v>
      </c>
      <c r="S761" t="s">
        <v>264</v>
      </c>
      <c r="T761" t="s">
        <v>364</v>
      </c>
      <c r="U761">
        <v>2.0574746733237785E-5</v>
      </c>
      <c r="V761" t="s">
        <v>159</v>
      </c>
    </row>
    <row r="762" spans="9:22" x14ac:dyDescent="0.45">
      <c r="I762" t="s">
        <v>179</v>
      </c>
      <c r="J762" t="s">
        <v>365</v>
      </c>
      <c r="K762">
        <v>0</v>
      </c>
      <c r="L762" t="s">
        <v>159</v>
      </c>
      <c r="N762" t="s">
        <v>222</v>
      </c>
      <c r="O762" t="s">
        <v>365</v>
      </c>
      <c r="P762">
        <v>5.3008339674812907E-7</v>
      </c>
      <c r="Q762" t="s">
        <v>159</v>
      </c>
      <c r="S762" t="s">
        <v>264</v>
      </c>
      <c r="T762" t="s">
        <v>365</v>
      </c>
      <c r="U762">
        <v>1.9823300283866477E-5</v>
      </c>
      <c r="V762" t="s">
        <v>159</v>
      </c>
    </row>
    <row r="763" spans="9:22" x14ac:dyDescent="0.45">
      <c r="I763" t="s">
        <v>179</v>
      </c>
      <c r="J763" t="s">
        <v>366</v>
      </c>
      <c r="K763">
        <v>0</v>
      </c>
      <c r="L763" t="s">
        <v>159</v>
      </c>
      <c r="N763" t="s">
        <v>222</v>
      </c>
      <c r="O763" t="s">
        <v>366</v>
      </c>
      <c r="P763">
        <v>3.7202458009000994E-8</v>
      </c>
      <c r="Q763" t="s">
        <v>159</v>
      </c>
      <c r="S763" t="s">
        <v>264</v>
      </c>
      <c r="T763" t="s">
        <v>366</v>
      </c>
      <c r="U763">
        <v>1.6423556323380855E-5</v>
      </c>
      <c r="V763" t="s">
        <v>159</v>
      </c>
    </row>
    <row r="764" spans="9:22" x14ac:dyDescent="0.45">
      <c r="I764" t="s">
        <v>179</v>
      </c>
      <c r="J764" t="s">
        <v>367</v>
      </c>
      <c r="K764">
        <v>0</v>
      </c>
      <c r="L764" t="s">
        <v>159</v>
      </c>
      <c r="N764" t="s">
        <v>222</v>
      </c>
      <c r="O764" t="s">
        <v>367</v>
      </c>
      <c r="P764">
        <v>0</v>
      </c>
      <c r="Q764" t="s">
        <v>159</v>
      </c>
      <c r="S764" t="s">
        <v>264</v>
      </c>
      <c r="T764" t="s">
        <v>367</v>
      </c>
      <c r="U764">
        <v>1.2654686747905116E-5</v>
      </c>
      <c r="V764" t="s">
        <v>159</v>
      </c>
    </row>
    <row r="765" spans="9:22" x14ac:dyDescent="0.45">
      <c r="I765" t="s">
        <v>179</v>
      </c>
      <c r="J765" t="s">
        <v>368</v>
      </c>
      <c r="K765">
        <v>0</v>
      </c>
      <c r="L765" t="s">
        <v>159</v>
      </c>
      <c r="N765" t="s">
        <v>222</v>
      </c>
      <c r="O765" t="s">
        <v>368</v>
      </c>
      <c r="P765">
        <v>0</v>
      </c>
      <c r="Q765" t="s">
        <v>159</v>
      </c>
      <c r="S765" t="s">
        <v>264</v>
      </c>
      <c r="T765" t="s">
        <v>368</v>
      </c>
      <c r="U765">
        <v>9.4190590796113889E-6</v>
      </c>
      <c r="V765" t="s">
        <v>159</v>
      </c>
    </row>
    <row r="766" spans="9:22" x14ac:dyDescent="0.45">
      <c r="I766" t="s">
        <v>179</v>
      </c>
      <c r="J766" t="s">
        <v>369</v>
      </c>
      <c r="K766">
        <v>0</v>
      </c>
      <c r="L766" t="s">
        <v>159</v>
      </c>
      <c r="N766" t="s">
        <v>222</v>
      </c>
      <c r="O766" t="s">
        <v>369</v>
      </c>
      <c r="P766">
        <v>3.6244309469288856E-8</v>
      </c>
      <c r="Q766" t="s">
        <v>159</v>
      </c>
      <c r="S766" t="s">
        <v>264</v>
      </c>
      <c r="T766" t="s">
        <v>369</v>
      </c>
      <c r="U766">
        <v>2.9429221522120713E-6</v>
      </c>
      <c r="V766" t="s">
        <v>159</v>
      </c>
    </row>
    <row r="767" spans="9:22" x14ac:dyDescent="0.45">
      <c r="I767" t="s">
        <v>179</v>
      </c>
      <c r="J767" t="s">
        <v>165</v>
      </c>
      <c r="K767">
        <v>0</v>
      </c>
      <c r="L767" t="s">
        <v>159</v>
      </c>
      <c r="N767" t="s">
        <v>222</v>
      </c>
      <c r="O767" t="s">
        <v>165</v>
      </c>
      <c r="P767">
        <v>2.5238322696758665E-2</v>
      </c>
      <c r="Q767" t="s">
        <v>159</v>
      </c>
      <c r="S767" t="s">
        <v>264</v>
      </c>
      <c r="T767" t="s">
        <v>165</v>
      </c>
      <c r="U767">
        <v>3.0647793526300607E-2</v>
      </c>
      <c r="V767" t="s">
        <v>159</v>
      </c>
    </row>
    <row r="768" spans="9:22" x14ac:dyDescent="0.45">
      <c r="I768" t="s">
        <v>179</v>
      </c>
      <c r="J768" t="s">
        <v>166</v>
      </c>
      <c r="K768">
        <v>9.9793328355439101E-4</v>
      </c>
      <c r="L768" t="s">
        <v>159</v>
      </c>
      <c r="N768" t="s">
        <v>222</v>
      </c>
      <c r="O768" t="s">
        <v>166</v>
      </c>
      <c r="P768">
        <v>3.8993815069535993E-3</v>
      </c>
      <c r="Q768" t="s">
        <v>159</v>
      </c>
      <c r="S768" t="s">
        <v>264</v>
      </c>
      <c r="T768" t="s">
        <v>166</v>
      </c>
      <c r="U768">
        <v>4.238450527377465E-3</v>
      </c>
      <c r="V768" t="s">
        <v>159</v>
      </c>
    </row>
    <row r="769" spans="9:22" x14ac:dyDescent="0.45">
      <c r="I769" t="s">
        <v>179</v>
      </c>
      <c r="J769" t="s">
        <v>167</v>
      </c>
      <c r="K769">
        <v>4.5287946829846819E-2</v>
      </c>
      <c r="L769" t="s">
        <v>159</v>
      </c>
      <c r="N769" t="s">
        <v>222</v>
      </c>
      <c r="O769" t="s">
        <v>167</v>
      </c>
      <c r="P769">
        <v>4.2082042100887292E-2</v>
      </c>
      <c r="Q769" t="s">
        <v>159</v>
      </c>
      <c r="S769" t="s">
        <v>264</v>
      </c>
      <c r="T769" t="s">
        <v>167</v>
      </c>
      <c r="U769">
        <v>3.9000670240323262E-2</v>
      </c>
      <c r="V769" t="s">
        <v>159</v>
      </c>
    </row>
    <row r="770" spans="9:22" x14ac:dyDescent="0.45">
      <c r="I770" t="s">
        <v>179</v>
      </c>
      <c r="J770" t="s">
        <v>291</v>
      </c>
      <c r="K770">
        <v>3.7452271699705115E-3</v>
      </c>
      <c r="L770" t="s">
        <v>159</v>
      </c>
      <c r="N770" t="s">
        <v>222</v>
      </c>
      <c r="O770" t="s">
        <v>291</v>
      </c>
      <c r="P770">
        <v>5.037136294520554E-3</v>
      </c>
      <c r="Q770" t="s">
        <v>159</v>
      </c>
      <c r="S770" t="s">
        <v>264</v>
      </c>
      <c r="T770" t="s">
        <v>291</v>
      </c>
      <c r="U770">
        <v>4.3950426795801066E-3</v>
      </c>
      <c r="V770" t="s">
        <v>159</v>
      </c>
    </row>
    <row r="771" spans="9:22" x14ac:dyDescent="0.45">
      <c r="I771" t="s">
        <v>179</v>
      </c>
      <c r="J771" t="s">
        <v>292</v>
      </c>
      <c r="K771">
        <v>0</v>
      </c>
      <c r="L771" t="s">
        <v>159</v>
      </c>
      <c r="N771" t="s">
        <v>222</v>
      </c>
      <c r="O771" t="s">
        <v>292</v>
      </c>
      <c r="P771">
        <v>4.8602448964108584E-3</v>
      </c>
      <c r="Q771" t="s">
        <v>159</v>
      </c>
      <c r="S771" t="s">
        <v>264</v>
      </c>
      <c r="T771" t="s">
        <v>292</v>
      </c>
      <c r="U771">
        <v>4.4376600535362505E-3</v>
      </c>
      <c r="V771" t="s">
        <v>159</v>
      </c>
    </row>
    <row r="772" spans="9:22" x14ac:dyDescent="0.45">
      <c r="I772" t="s">
        <v>179</v>
      </c>
      <c r="J772" t="s">
        <v>310</v>
      </c>
      <c r="K772">
        <v>0</v>
      </c>
      <c r="L772" t="s">
        <v>159</v>
      </c>
      <c r="N772" t="s">
        <v>222</v>
      </c>
      <c r="O772" t="s">
        <v>310</v>
      </c>
      <c r="P772">
        <v>2.1262490734895743E-2</v>
      </c>
      <c r="Q772" t="s">
        <v>159</v>
      </c>
      <c r="S772" t="s">
        <v>264</v>
      </c>
      <c r="T772" t="s">
        <v>310</v>
      </c>
      <c r="U772">
        <v>2.2807271697668937E-2</v>
      </c>
      <c r="V772" t="s">
        <v>159</v>
      </c>
    </row>
    <row r="773" spans="9:22" x14ac:dyDescent="0.45">
      <c r="I773" t="s">
        <v>179</v>
      </c>
      <c r="J773" t="s">
        <v>293</v>
      </c>
      <c r="K773">
        <v>0</v>
      </c>
      <c r="L773" t="s">
        <v>159</v>
      </c>
      <c r="N773" t="s">
        <v>222</v>
      </c>
      <c r="O773" t="s">
        <v>293</v>
      </c>
      <c r="P773">
        <v>2.7051632686806736E-3</v>
      </c>
      <c r="Q773" t="s">
        <v>159</v>
      </c>
      <c r="S773" t="s">
        <v>264</v>
      </c>
      <c r="T773" t="s">
        <v>293</v>
      </c>
      <c r="U773">
        <v>6.0760258773636441E-3</v>
      </c>
      <c r="V773" t="s">
        <v>159</v>
      </c>
    </row>
    <row r="774" spans="9:22" x14ac:dyDescent="0.45">
      <c r="I774" t="s">
        <v>179</v>
      </c>
      <c r="J774" t="s">
        <v>294</v>
      </c>
      <c r="K774">
        <v>8.4295529252034675E-4</v>
      </c>
      <c r="L774" t="s">
        <v>159</v>
      </c>
      <c r="N774" t="s">
        <v>222</v>
      </c>
      <c r="O774" t="s">
        <v>294</v>
      </c>
      <c r="P774">
        <v>5.5935104488143324E-4</v>
      </c>
      <c r="Q774" t="s">
        <v>159</v>
      </c>
      <c r="S774" t="s">
        <v>264</v>
      </c>
      <c r="T774" t="s">
        <v>294</v>
      </c>
      <c r="U774">
        <v>8.1444704239283863E-4</v>
      </c>
      <c r="V774" t="s">
        <v>159</v>
      </c>
    </row>
    <row r="775" spans="9:22" x14ac:dyDescent="0.45">
      <c r="I775" t="s">
        <v>179</v>
      </c>
      <c r="J775" t="s">
        <v>295</v>
      </c>
      <c r="K775">
        <v>1.4214779896730315E-2</v>
      </c>
      <c r="L775" t="s">
        <v>159</v>
      </c>
      <c r="N775" t="s">
        <v>222</v>
      </c>
      <c r="O775" t="s">
        <v>295</v>
      </c>
      <c r="P775">
        <v>5.6487155739942908E-3</v>
      </c>
      <c r="Q775" t="s">
        <v>159</v>
      </c>
      <c r="S775" t="s">
        <v>264</v>
      </c>
      <c r="T775" t="s">
        <v>295</v>
      </c>
      <c r="U775">
        <v>8.3468902679108472E-3</v>
      </c>
      <c r="V775" t="s">
        <v>159</v>
      </c>
    </row>
    <row r="776" spans="9:22" x14ac:dyDescent="0.45">
      <c r="I776" t="s">
        <v>179</v>
      </c>
      <c r="J776" t="s">
        <v>296</v>
      </c>
      <c r="K776">
        <v>1.2350897631867956E-3</v>
      </c>
      <c r="L776" t="s">
        <v>159</v>
      </c>
      <c r="N776" t="s">
        <v>222</v>
      </c>
      <c r="O776" t="s">
        <v>296</v>
      </c>
      <c r="P776">
        <v>6.0624995250205932E-4</v>
      </c>
      <c r="Q776" t="s">
        <v>159</v>
      </c>
      <c r="S776" t="s">
        <v>264</v>
      </c>
      <c r="T776" t="s">
        <v>296</v>
      </c>
      <c r="U776">
        <v>9.995653978278837E-4</v>
      </c>
      <c r="V776" t="s">
        <v>159</v>
      </c>
    </row>
    <row r="777" spans="9:22" x14ac:dyDescent="0.45">
      <c r="I777" t="s">
        <v>179</v>
      </c>
      <c r="J777" t="s">
        <v>297</v>
      </c>
      <c r="K777">
        <v>0</v>
      </c>
      <c r="L777" t="s">
        <v>159</v>
      </c>
      <c r="N777" t="s">
        <v>222</v>
      </c>
      <c r="O777" t="s">
        <v>297</v>
      </c>
      <c r="P777">
        <v>5.7243376901393371E-4</v>
      </c>
      <c r="Q777" t="s">
        <v>159</v>
      </c>
      <c r="S777" t="s">
        <v>264</v>
      </c>
      <c r="T777" t="s">
        <v>297</v>
      </c>
      <c r="U777">
        <v>1.0281176025001035E-3</v>
      </c>
      <c r="V777" t="s">
        <v>159</v>
      </c>
    </row>
    <row r="778" spans="9:22" x14ac:dyDescent="0.45">
      <c r="I778" t="s">
        <v>179</v>
      </c>
      <c r="J778" t="s">
        <v>311</v>
      </c>
      <c r="K778">
        <v>0</v>
      </c>
      <c r="L778" t="s">
        <v>159</v>
      </c>
      <c r="N778" t="s">
        <v>222</v>
      </c>
      <c r="O778" t="s">
        <v>311</v>
      </c>
      <c r="P778">
        <v>1.8423820891501545E-3</v>
      </c>
      <c r="Q778" t="s">
        <v>159</v>
      </c>
      <c r="S778" t="s">
        <v>264</v>
      </c>
      <c r="T778" t="s">
        <v>311</v>
      </c>
      <c r="U778">
        <v>4.9425334464695703E-3</v>
      </c>
      <c r="V778" t="s">
        <v>159</v>
      </c>
    </row>
    <row r="779" spans="9:22" x14ac:dyDescent="0.45">
      <c r="I779" t="s">
        <v>179</v>
      </c>
      <c r="J779" t="s">
        <v>298</v>
      </c>
      <c r="K779">
        <v>1.0779913771764715E-2</v>
      </c>
      <c r="L779" t="s">
        <v>159</v>
      </c>
      <c r="N779" t="s">
        <v>222</v>
      </c>
      <c r="O779" t="s">
        <v>298</v>
      </c>
      <c r="P779">
        <v>7.0075257543047428E-2</v>
      </c>
      <c r="Q779" t="s">
        <v>159</v>
      </c>
      <c r="S779" t="s">
        <v>264</v>
      </c>
      <c r="T779" t="s">
        <v>298</v>
      </c>
      <c r="U779">
        <v>8.783766766111277E-2</v>
      </c>
      <c r="V779" t="s">
        <v>159</v>
      </c>
    </row>
    <row r="780" spans="9:22" x14ac:dyDescent="0.45">
      <c r="I780" t="s">
        <v>179</v>
      </c>
      <c r="J780" t="s">
        <v>299</v>
      </c>
      <c r="K780">
        <v>2.0056013848623731E-2</v>
      </c>
      <c r="L780" t="s">
        <v>159</v>
      </c>
      <c r="N780" t="s">
        <v>222</v>
      </c>
      <c r="O780" t="s">
        <v>299</v>
      </c>
      <c r="P780">
        <v>9.4704593595261143E-3</v>
      </c>
      <c r="Q780" t="s">
        <v>159</v>
      </c>
      <c r="S780" t="s">
        <v>264</v>
      </c>
      <c r="T780" t="s">
        <v>299</v>
      </c>
      <c r="U780">
        <v>1.2359180513031099E-2</v>
      </c>
      <c r="V780" t="s">
        <v>159</v>
      </c>
    </row>
    <row r="781" spans="9:22" x14ac:dyDescent="0.45">
      <c r="I781" t="s">
        <v>179</v>
      </c>
      <c r="J781" t="s">
        <v>300</v>
      </c>
      <c r="K781">
        <v>0.24230336176736847</v>
      </c>
      <c r="L781" t="s">
        <v>159</v>
      </c>
      <c r="N781" t="s">
        <v>222</v>
      </c>
      <c r="O781" t="s">
        <v>300</v>
      </c>
      <c r="P781">
        <v>0.12109778756035185</v>
      </c>
      <c r="Q781" t="s">
        <v>159</v>
      </c>
      <c r="S781" t="s">
        <v>264</v>
      </c>
      <c r="T781" t="s">
        <v>300</v>
      </c>
      <c r="U781">
        <v>0.11092594143936811</v>
      </c>
      <c r="V781" t="s">
        <v>159</v>
      </c>
    </row>
    <row r="782" spans="9:22" x14ac:dyDescent="0.45">
      <c r="I782" t="s">
        <v>179</v>
      </c>
      <c r="J782" t="s">
        <v>301</v>
      </c>
      <c r="K782">
        <v>2.1432040640845394E-2</v>
      </c>
      <c r="L782" t="s">
        <v>159</v>
      </c>
      <c r="N782" t="s">
        <v>222</v>
      </c>
      <c r="O782" t="s">
        <v>301</v>
      </c>
      <c r="P782">
        <v>1.5918126165987125E-2</v>
      </c>
      <c r="Q782" t="s">
        <v>159</v>
      </c>
      <c r="S782" t="s">
        <v>264</v>
      </c>
      <c r="T782" t="s">
        <v>301</v>
      </c>
      <c r="U782">
        <v>1.2972947271711192E-2</v>
      </c>
      <c r="V782" t="s">
        <v>159</v>
      </c>
    </row>
    <row r="783" spans="9:22" x14ac:dyDescent="0.45">
      <c r="I783" t="s">
        <v>179</v>
      </c>
      <c r="J783" t="s">
        <v>302</v>
      </c>
      <c r="K783">
        <v>1.1815469524151587E-2</v>
      </c>
      <c r="L783" t="s">
        <v>159</v>
      </c>
      <c r="N783" t="s">
        <v>222</v>
      </c>
      <c r="O783" t="s">
        <v>302</v>
      </c>
      <c r="P783">
        <v>1.4469191289880064E-2</v>
      </c>
      <c r="Q783" t="s">
        <v>159</v>
      </c>
      <c r="S783" t="s">
        <v>264</v>
      </c>
      <c r="T783" t="s">
        <v>302</v>
      </c>
      <c r="U783">
        <v>1.2846650571182139E-2</v>
      </c>
      <c r="V783" t="s">
        <v>159</v>
      </c>
    </row>
    <row r="784" spans="9:22" x14ac:dyDescent="0.45">
      <c r="I784" t="s">
        <v>179</v>
      </c>
      <c r="J784" t="s">
        <v>312</v>
      </c>
      <c r="K784">
        <v>0</v>
      </c>
      <c r="L784" t="s">
        <v>159</v>
      </c>
      <c r="N784" t="s">
        <v>222</v>
      </c>
      <c r="O784" t="s">
        <v>312</v>
      </c>
      <c r="P784">
        <v>5.8998984890859092E-2</v>
      </c>
      <c r="Q784" t="s">
        <v>159</v>
      </c>
      <c r="S784" t="s">
        <v>264</v>
      </c>
      <c r="T784" t="s">
        <v>312</v>
      </c>
      <c r="U784">
        <v>6.2150415368708238E-2</v>
      </c>
      <c r="V784" t="s">
        <v>159</v>
      </c>
    </row>
    <row r="785" spans="9:22" x14ac:dyDescent="0.45">
      <c r="I785" t="s">
        <v>179</v>
      </c>
      <c r="J785" t="s">
        <v>313</v>
      </c>
      <c r="K785">
        <v>5.3770466704069209E-3</v>
      </c>
      <c r="L785" t="s">
        <v>159</v>
      </c>
      <c r="N785" t="s">
        <v>222</v>
      </c>
      <c r="O785" t="s">
        <v>313</v>
      </c>
      <c r="P785">
        <v>1.7907218451407025E-2</v>
      </c>
      <c r="Q785" t="s">
        <v>159</v>
      </c>
      <c r="S785" t="s">
        <v>264</v>
      </c>
      <c r="T785" t="s">
        <v>313</v>
      </c>
      <c r="U785">
        <v>1.8135015145459572E-2</v>
      </c>
      <c r="V785" t="s">
        <v>159</v>
      </c>
    </row>
    <row r="786" spans="9:22" x14ac:dyDescent="0.45">
      <c r="I786" t="s">
        <v>179</v>
      </c>
      <c r="J786" t="s">
        <v>314</v>
      </c>
      <c r="K786">
        <v>7.7423594926795932E-3</v>
      </c>
      <c r="L786" t="s">
        <v>159</v>
      </c>
      <c r="N786" t="s">
        <v>222</v>
      </c>
      <c r="O786" t="s">
        <v>314</v>
      </c>
      <c r="P786">
        <v>2.6111786668842284E-3</v>
      </c>
      <c r="Q786" t="s">
        <v>159</v>
      </c>
      <c r="S786" t="s">
        <v>264</v>
      </c>
      <c r="T786" t="s">
        <v>314</v>
      </c>
      <c r="U786">
        <v>2.5198587587044459E-3</v>
      </c>
      <c r="V786" t="s">
        <v>159</v>
      </c>
    </row>
    <row r="787" spans="9:22" x14ac:dyDescent="0.45">
      <c r="I787" t="s">
        <v>179</v>
      </c>
      <c r="J787" t="s">
        <v>315</v>
      </c>
      <c r="K787">
        <v>8.4122618898821416E-2</v>
      </c>
      <c r="L787" t="s">
        <v>159</v>
      </c>
      <c r="N787" t="s">
        <v>222</v>
      </c>
      <c r="O787" t="s">
        <v>315</v>
      </c>
      <c r="P787">
        <v>3.9551451990083232E-2</v>
      </c>
      <c r="Q787" t="s">
        <v>159</v>
      </c>
      <c r="S787" t="s">
        <v>264</v>
      </c>
      <c r="T787" t="s">
        <v>315</v>
      </c>
      <c r="U787">
        <v>2.2513918754686203E-2</v>
      </c>
      <c r="V787" t="s">
        <v>159</v>
      </c>
    </row>
    <row r="788" spans="9:22" x14ac:dyDescent="0.45">
      <c r="I788" t="s">
        <v>179</v>
      </c>
      <c r="J788" t="s">
        <v>316</v>
      </c>
      <c r="K788">
        <v>7.4524338916331992E-3</v>
      </c>
      <c r="L788" t="s">
        <v>159</v>
      </c>
      <c r="N788" t="s">
        <v>222</v>
      </c>
      <c r="O788" t="s">
        <v>316</v>
      </c>
      <c r="P788">
        <v>5.4765234666042774E-3</v>
      </c>
      <c r="Q788" t="s">
        <v>159</v>
      </c>
      <c r="S788" t="s">
        <v>264</v>
      </c>
      <c r="T788" t="s">
        <v>316</v>
      </c>
      <c r="U788">
        <v>2.849118948238789E-3</v>
      </c>
      <c r="V788" t="s">
        <v>159</v>
      </c>
    </row>
    <row r="789" spans="9:22" x14ac:dyDescent="0.45">
      <c r="I789" t="s">
        <v>179</v>
      </c>
      <c r="J789" t="s">
        <v>317</v>
      </c>
      <c r="K789">
        <v>6.0751674746186528E-3</v>
      </c>
      <c r="L789" t="s">
        <v>159</v>
      </c>
      <c r="N789" t="s">
        <v>222</v>
      </c>
      <c r="O789" t="s">
        <v>317</v>
      </c>
      <c r="P789">
        <v>4.8712257421163084E-3</v>
      </c>
      <c r="Q789" t="s">
        <v>159</v>
      </c>
      <c r="S789" t="s">
        <v>264</v>
      </c>
      <c r="T789" t="s">
        <v>317</v>
      </c>
      <c r="U789">
        <v>2.9408672714195836E-3</v>
      </c>
      <c r="V789" t="s">
        <v>159</v>
      </c>
    </row>
    <row r="790" spans="9:22" x14ac:dyDescent="0.45">
      <c r="I790" t="s">
        <v>179</v>
      </c>
      <c r="J790" t="s">
        <v>318</v>
      </c>
      <c r="K790">
        <v>2.9352904902604296E-3</v>
      </c>
      <c r="L790" t="s">
        <v>159</v>
      </c>
      <c r="N790" t="s">
        <v>222</v>
      </c>
      <c r="O790" t="s">
        <v>318</v>
      </c>
      <c r="P790">
        <v>1.7524071104476416E-2</v>
      </c>
      <c r="Q790" t="s">
        <v>159</v>
      </c>
      <c r="S790" t="s">
        <v>264</v>
      </c>
      <c r="T790" t="s">
        <v>318</v>
      </c>
      <c r="U790">
        <v>1.4235047097774171E-2</v>
      </c>
      <c r="V790" t="s">
        <v>159</v>
      </c>
    </row>
    <row r="791" spans="9:22" x14ac:dyDescent="0.45">
      <c r="I791" t="s">
        <v>180</v>
      </c>
      <c r="J791" t="s">
        <v>158</v>
      </c>
      <c r="K791">
        <v>5.4395696237115312E-3</v>
      </c>
      <c r="L791" t="s">
        <v>159</v>
      </c>
      <c r="N791" t="s">
        <v>223</v>
      </c>
      <c r="O791" t="s">
        <v>158</v>
      </c>
      <c r="P791">
        <v>0.1064411421057498</v>
      </c>
      <c r="Q791" t="s">
        <v>159</v>
      </c>
      <c r="S791" t="s">
        <v>265</v>
      </c>
      <c r="T791" t="s">
        <v>158</v>
      </c>
      <c r="U791">
        <v>0.12335566162731601</v>
      </c>
      <c r="V791" t="s">
        <v>159</v>
      </c>
    </row>
    <row r="792" spans="9:22" x14ac:dyDescent="0.45">
      <c r="I792" t="s">
        <v>180</v>
      </c>
      <c r="J792" t="s">
        <v>160</v>
      </c>
      <c r="K792">
        <v>2.4069857322992664E-2</v>
      </c>
      <c r="L792" t="s">
        <v>159</v>
      </c>
      <c r="N792" t="s">
        <v>223</v>
      </c>
      <c r="O792" t="s">
        <v>160</v>
      </c>
      <c r="P792">
        <v>1.5849593403506501E-2</v>
      </c>
      <c r="Q792" t="s">
        <v>159</v>
      </c>
      <c r="S792" t="s">
        <v>265</v>
      </c>
      <c r="T792" t="s">
        <v>160</v>
      </c>
      <c r="U792">
        <v>1.6915987881078769E-2</v>
      </c>
      <c r="V792" t="s">
        <v>159</v>
      </c>
    </row>
    <row r="793" spans="9:22" x14ac:dyDescent="0.45">
      <c r="I793" t="s">
        <v>180</v>
      </c>
      <c r="J793" t="s">
        <v>161</v>
      </c>
      <c r="K793">
        <v>0.37658140078801811</v>
      </c>
      <c r="L793" t="s">
        <v>159</v>
      </c>
      <c r="N793" t="s">
        <v>223</v>
      </c>
      <c r="O793" t="s">
        <v>161</v>
      </c>
      <c r="P793">
        <v>0.1859173723632046</v>
      </c>
      <c r="Q793" t="s">
        <v>159</v>
      </c>
      <c r="S793" t="s">
        <v>265</v>
      </c>
      <c r="T793" t="s">
        <v>161</v>
      </c>
      <c r="U793">
        <v>0.15609544332203504</v>
      </c>
      <c r="V793" t="s">
        <v>159</v>
      </c>
    </row>
    <row r="794" spans="9:22" x14ac:dyDescent="0.45">
      <c r="I794" t="s">
        <v>180</v>
      </c>
      <c r="J794" t="s">
        <v>287</v>
      </c>
      <c r="K794">
        <v>3.5534854603356147E-2</v>
      </c>
      <c r="L794" t="s">
        <v>159</v>
      </c>
      <c r="N794" t="s">
        <v>223</v>
      </c>
      <c r="O794" t="s">
        <v>287</v>
      </c>
      <c r="P794">
        <v>2.2810326878751203E-2</v>
      </c>
      <c r="Q794" t="s">
        <v>159</v>
      </c>
      <c r="S794" t="s">
        <v>265</v>
      </c>
      <c r="T794" t="s">
        <v>287</v>
      </c>
      <c r="U794">
        <v>1.9097049557016858E-2</v>
      </c>
      <c r="V794" t="s">
        <v>159</v>
      </c>
    </row>
    <row r="795" spans="9:22" x14ac:dyDescent="0.45">
      <c r="I795" t="s">
        <v>180</v>
      </c>
      <c r="J795" t="s">
        <v>288</v>
      </c>
      <c r="K795">
        <v>2.0024156280375592E-2</v>
      </c>
      <c r="L795" t="s">
        <v>159</v>
      </c>
      <c r="N795" t="s">
        <v>223</v>
      </c>
      <c r="O795" t="s">
        <v>288</v>
      </c>
      <c r="P795">
        <v>2.0960906856800736E-2</v>
      </c>
      <c r="Q795" t="s">
        <v>159</v>
      </c>
      <c r="S795" t="s">
        <v>265</v>
      </c>
      <c r="T795" t="s">
        <v>288</v>
      </c>
      <c r="U795">
        <v>1.9091079460387066E-2</v>
      </c>
      <c r="V795" t="s">
        <v>159</v>
      </c>
    </row>
    <row r="796" spans="9:22" x14ac:dyDescent="0.45">
      <c r="I796" t="s">
        <v>180</v>
      </c>
      <c r="J796" t="s">
        <v>308</v>
      </c>
      <c r="K796">
        <v>6.8037268673095111E-3</v>
      </c>
      <c r="L796" t="s">
        <v>159</v>
      </c>
      <c r="N796" t="s">
        <v>223</v>
      </c>
      <c r="O796" t="s">
        <v>308</v>
      </c>
      <c r="P796">
        <v>8.7064712069963052E-2</v>
      </c>
      <c r="Q796" t="s">
        <v>159</v>
      </c>
      <c r="S796" t="s">
        <v>265</v>
      </c>
      <c r="T796" t="s">
        <v>308</v>
      </c>
      <c r="U796">
        <v>9.2370306459543819E-2</v>
      </c>
      <c r="V796" t="s">
        <v>159</v>
      </c>
    </row>
    <row r="797" spans="9:22" x14ac:dyDescent="0.45">
      <c r="I797" t="s">
        <v>180</v>
      </c>
      <c r="J797" t="s">
        <v>162</v>
      </c>
      <c r="K797">
        <v>0</v>
      </c>
      <c r="L797" t="s">
        <v>159</v>
      </c>
      <c r="N797" t="s">
        <v>223</v>
      </c>
      <c r="O797" t="s">
        <v>162</v>
      </c>
      <c r="P797">
        <v>2.5298285336123796E-2</v>
      </c>
      <c r="Q797" t="s">
        <v>159</v>
      </c>
      <c r="S797" t="s">
        <v>265</v>
      </c>
      <c r="T797" t="s">
        <v>162</v>
      </c>
      <c r="U797">
        <v>2.5920658224249504E-2</v>
      </c>
      <c r="V797" t="s">
        <v>159</v>
      </c>
    </row>
    <row r="798" spans="9:22" x14ac:dyDescent="0.45">
      <c r="I798" t="s">
        <v>180</v>
      </c>
      <c r="J798" t="s">
        <v>163</v>
      </c>
      <c r="K798">
        <v>0</v>
      </c>
      <c r="L798" t="s">
        <v>159</v>
      </c>
      <c r="N798" t="s">
        <v>223</v>
      </c>
      <c r="O798" t="s">
        <v>163</v>
      </c>
      <c r="P798">
        <v>3.4103058783915025E-3</v>
      </c>
      <c r="Q798" t="s">
        <v>159</v>
      </c>
      <c r="S798" t="s">
        <v>265</v>
      </c>
      <c r="T798" t="s">
        <v>163</v>
      </c>
      <c r="U798">
        <v>3.5888834629160078E-3</v>
      </c>
      <c r="V798" t="s">
        <v>159</v>
      </c>
    </row>
    <row r="799" spans="9:22" x14ac:dyDescent="0.45">
      <c r="I799" t="s">
        <v>180</v>
      </c>
      <c r="J799" t="s">
        <v>164</v>
      </c>
      <c r="K799">
        <v>3.9810533379930339E-2</v>
      </c>
      <c r="L799" t="s">
        <v>159</v>
      </c>
      <c r="N799" t="s">
        <v>223</v>
      </c>
      <c r="O799" t="s">
        <v>164</v>
      </c>
      <c r="P799">
        <v>3.2508138355171634E-2</v>
      </c>
      <c r="Q799" t="s">
        <v>159</v>
      </c>
      <c r="S799" t="s">
        <v>265</v>
      </c>
      <c r="T799" t="s">
        <v>164</v>
      </c>
      <c r="U799">
        <v>3.0251108764731374E-2</v>
      </c>
      <c r="V799" t="s">
        <v>159</v>
      </c>
    </row>
    <row r="800" spans="9:22" x14ac:dyDescent="0.45">
      <c r="I800" t="s">
        <v>180</v>
      </c>
      <c r="J800" t="s">
        <v>289</v>
      </c>
      <c r="K800">
        <v>3.3614119584657403E-3</v>
      </c>
      <c r="L800" t="s">
        <v>159</v>
      </c>
      <c r="N800" t="s">
        <v>223</v>
      </c>
      <c r="O800" t="s">
        <v>289</v>
      </c>
      <c r="P800">
        <v>3.2766664001460848E-3</v>
      </c>
      <c r="Q800" t="s">
        <v>159</v>
      </c>
      <c r="S800" t="s">
        <v>265</v>
      </c>
      <c r="T800" t="s">
        <v>289</v>
      </c>
      <c r="U800">
        <v>3.5234836754266621E-3</v>
      </c>
      <c r="V800" t="s">
        <v>159</v>
      </c>
    </row>
    <row r="801" spans="9:22" x14ac:dyDescent="0.45">
      <c r="I801" t="s">
        <v>180</v>
      </c>
      <c r="J801" t="s">
        <v>290</v>
      </c>
      <c r="K801">
        <v>0</v>
      </c>
      <c r="L801" t="s">
        <v>159</v>
      </c>
      <c r="N801" t="s">
        <v>223</v>
      </c>
      <c r="O801" t="s">
        <v>290</v>
      </c>
      <c r="P801">
        <v>3.3436091540521365E-3</v>
      </c>
      <c r="Q801" t="s">
        <v>159</v>
      </c>
      <c r="S801" t="s">
        <v>265</v>
      </c>
      <c r="T801" t="s">
        <v>290</v>
      </c>
      <c r="U801">
        <v>3.5495519566541142E-3</v>
      </c>
      <c r="V801" t="s">
        <v>159</v>
      </c>
    </row>
    <row r="802" spans="9:22" x14ac:dyDescent="0.45">
      <c r="I802" t="s">
        <v>180</v>
      </c>
      <c r="J802" t="s">
        <v>309</v>
      </c>
      <c r="K802">
        <v>0</v>
      </c>
      <c r="L802" t="s">
        <v>159</v>
      </c>
      <c r="N802" t="s">
        <v>223</v>
      </c>
      <c r="O802" t="s">
        <v>309</v>
      </c>
      <c r="P802">
        <v>1.7747940756528906E-2</v>
      </c>
      <c r="Q802" t="s">
        <v>159</v>
      </c>
      <c r="S802" t="s">
        <v>265</v>
      </c>
      <c r="T802" t="s">
        <v>309</v>
      </c>
      <c r="U802">
        <v>1.7635340412370623E-2</v>
      </c>
      <c r="V802" t="s">
        <v>159</v>
      </c>
    </row>
    <row r="803" spans="9:22" x14ac:dyDescent="0.45">
      <c r="I803" t="s">
        <v>180</v>
      </c>
      <c r="J803" t="s">
        <v>346</v>
      </c>
      <c r="K803">
        <v>0</v>
      </c>
      <c r="L803" t="s">
        <v>159</v>
      </c>
      <c r="N803" t="s">
        <v>223</v>
      </c>
      <c r="O803" t="s">
        <v>346</v>
      </c>
      <c r="P803">
        <v>4.3243708810191686E-5</v>
      </c>
      <c r="Q803" t="s">
        <v>159</v>
      </c>
      <c r="S803" t="s">
        <v>265</v>
      </c>
      <c r="T803" t="s">
        <v>346</v>
      </c>
      <c r="U803">
        <v>1.3323110511929783E-4</v>
      </c>
      <c r="V803" t="s">
        <v>159</v>
      </c>
    </row>
    <row r="804" spans="9:22" x14ac:dyDescent="0.45">
      <c r="I804" t="s">
        <v>180</v>
      </c>
      <c r="J804" t="s">
        <v>347</v>
      </c>
      <c r="K804">
        <v>0</v>
      </c>
      <c r="L804" t="s">
        <v>159</v>
      </c>
      <c r="N804" t="s">
        <v>223</v>
      </c>
      <c r="O804" t="s">
        <v>347</v>
      </c>
      <c r="P804">
        <v>3.6130901068303618E-5</v>
      </c>
      <c r="Q804" t="s">
        <v>159</v>
      </c>
      <c r="S804" t="s">
        <v>265</v>
      </c>
      <c r="T804" t="s">
        <v>347</v>
      </c>
      <c r="U804">
        <v>1.3276027109447957E-4</v>
      </c>
      <c r="V804" t="s">
        <v>159</v>
      </c>
    </row>
    <row r="805" spans="9:22" x14ac:dyDescent="0.45">
      <c r="I805" t="s">
        <v>180</v>
      </c>
      <c r="J805" t="s">
        <v>348</v>
      </c>
      <c r="K805">
        <v>0</v>
      </c>
      <c r="L805" t="s">
        <v>159</v>
      </c>
      <c r="N805" t="s">
        <v>223</v>
      </c>
      <c r="O805" t="s">
        <v>348</v>
      </c>
      <c r="P805">
        <v>2.511991363128204E-5</v>
      </c>
      <c r="Q805" t="s">
        <v>159</v>
      </c>
      <c r="S805" t="s">
        <v>265</v>
      </c>
      <c r="T805" t="s">
        <v>348</v>
      </c>
      <c r="U805">
        <v>1.2686959309694988E-4</v>
      </c>
      <c r="V805" t="s">
        <v>159</v>
      </c>
    </row>
    <row r="806" spans="9:22" x14ac:dyDescent="0.45">
      <c r="I806" t="s">
        <v>180</v>
      </c>
      <c r="J806" t="s">
        <v>349</v>
      </c>
      <c r="K806">
        <v>0</v>
      </c>
      <c r="L806" t="s">
        <v>159</v>
      </c>
      <c r="N806" t="s">
        <v>223</v>
      </c>
      <c r="O806" t="s">
        <v>349</v>
      </c>
      <c r="P806">
        <v>1.7669305912092149E-5</v>
      </c>
      <c r="Q806" t="s">
        <v>159</v>
      </c>
      <c r="S806" t="s">
        <v>265</v>
      </c>
      <c r="T806" t="s">
        <v>349</v>
      </c>
      <c r="U806">
        <v>1.1932302323696992E-4</v>
      </c>
      <c r="V806" t="s">
        <v>159</v>
      </c>
    </row>
    <row r="807" spans="9:22" x14ac:dyDescent="0.45">
      <c r="I807" t="s">
        <v>180</v>
      </c>
      <c r="J807" t="s">
        <v>350</v>
      </c>
      <c r="K807">
        <v>0</v>
      </c>
      <c r="L807" t="s">
        <v>159</v>
      </c>
      <c r="N807" t="s">
        <v>223</v>
      </c>
      <c r="O807" t="s">
        <v>350</v>
      </c>
      <c r="P807">
        <v>1.7610553229545758E-5</v>
      </c>
      <c r="Q807" t="s">
        <v>159</v>
      </c>
      <c r="S807" t="s">
        <v>265</v>
      </c>
      <c r="T807" t="s">
        <v>350</v>
      </c>
      <c r="U807">
        <v>1.0990532272542371E-4</v>
      </c>
      <c r="V807" t="s">
        <v>159</v>
      </c>
    </row>
    <row r="808" spans="9:22" x14ac:dyDescent="0.45">
      <c r="I808" t="s">
        <v>180</v>
      </c>
      <c r="J808" t="s">
        <v>351</v>
      </c>
      <c r="K808">
        <v>0</v>
      </c>
      <c r="L808" t="s">
        <v>159</v>
      </c>
      <c r="N808" t="s">
        <v>223</v>
      </c>
      <c r="O808" t="s">
        <v>351</v>
      </c>
      <c r="P808">
        <v>2.3173127848009892E-5</v>
      </c>
      <c r="Q808" t="s">
        <v>159</v>
      </c>
      <c r="S808" t="s">
        <v>265</v>
      </c>
      <c r="T808" t="s">
        <v>351</v>
      </c>
      <c r="U808">
        <v>9.90531975805529E-5</v>
      </c>
      <c r="V808" t="s">
        <v>159</v>
      </c>
    </row>
    <row r="809" spans="9:22" x14ac:dyDescent="0.45">
      <c r="I809" t="s">
        <v>180</v>
      </c>
      <c r="J809" t="s">
        <v>352</v>
      </c>
      <c r="K809">
        <v>0</v>
      </c>
      <c r="L809" t="s">
        <v>159</v>
      </c>
      <c r="N809" t="s">
        <v>223</v>
      </c>
      <c r="O809" t="s">
        <v>352</v>
      </c>
      <c r="P809">
        <v>3.1178752003561959E-5</v>
      </c>
      <c r="Q809" t="s">
        <v>159</v>
      </c>
      <c r="S809" t="s">
        <v>265</v>
      </c>
      <c r="T809" t="s">
        <v>352</v>
      </c>
      <c r="U809">
        <v>9.4405287866381287E-5</v>
      </c>
      <c r="V809" t="s">
        <v>159</v>
      </c>
    </row>
    <row r="810" spans="9:22" x14ac:dyDescent="0.45">
      <c r="I810" t="s">
        <v>180</v>
      </c>
      <c r="J810" t="s">
        <v>353</v>
      </c>
      <c r="K810">
        <v>0</v>
      </c>
      <c r="L810" t="s">
        <v>159</v>
      </c>
      <c r="N810" t="s">
        <v>223</v>
      </c>
      <c r="O810" t="s">
        <v>353</v>
      </c>
      <c r="P810">
        <v>3.930492900539935E-5</v>
      </c>
      <c r="Q810" t="s">
        <v>159</v>
      </c>
      <c r="S810" t="s">
        <v>265</v>
      </c>
      <c r="T810" t="s">
        <v>353</v>
      </c>
      <c r="U810">
        <v>9.2320272638603422E-5</v>
      </c>
      <c r="V810" t="s">
        <v>159</v>
      </c>
    </row>
    <row r="811" spans="9:22" x14ac:dyDescent="0.45">
      <c r="I811" t="s">
        <v>180</v>
      </c>
      <c r="J811" t="s">
        <v>354</v>
      </c>
      <c r="K811">
        <v>1.4944136130451283E-4</v>
      </c>
      <c r="L811" t="s">
        <v>159</v>
      </c>
      <c r="N811" t="s">
        <v>223</v>
      </c>
      <c r="O811" t="s">
        <v>354</v>
      </c>
      <c r="P811">
        <v>4.7828363960331E-5</v>
      </c>
      <c r="Q811" t="s">
        <v>159</v>
      </c>
      <c r="S811" t="s">
        <v>265</v>
      </c>
      <c r="T811" t="s">
        <v>354</v>
      </c>
      <c r="U811">
        <v>8.059650870770744E-5</v>
      </c>
      <c r="V811" t="s">
        <v>159</v>
      </c>
    </row>
    <row r="812" spans="9:22" x14ac:dyDescent="0.45">
      <c r="I812" t="s">
        <v>180</v>
      </c>
      <c r="J812" t="s">
        <v>355</v>
      </c>
      <c r="K812">
        <v>1.7291938892078921E-4</v>
      </c>
      <c r="L812" t="s">
        <v>159</v>
      </c>
      <c r="N812" t="s">
        <v>223</v>
      </c>
      <c r="O812" t="s">
        <v>355</v>
      </c>
      <c r="P812">
        <v>5.1942751343585043E-5</v>
      </c>
      <c r="Q812" t="s">
        <v>159</v>
      </c>
      <c r="S812" t="s">
        <v>265</v>
      </c>
      <c r="T812" t="s">
        <v>355</v>
      </c>
      <c r="U812">
        <v>6.1927044106195941E-5</v>
      </c>
      <c r="V812" t="s">
        <v>159</v>
      </c>
    </row>
    <row r="813" spans="9:22" x14ac:dyDescent="0.45">
      <c r="I813" t="s">
        <v>180</v>
      </c>
      <c r="J813" t="s">
        <v>356</v>
      </c>
      <c r="K813">
        <v>1.6288153702299828E-4</v>
      </c>
      <c r="L813" t="s">
        <v>159</v>
      </c>
      <c r="N813" t="s">
        <v>223</v>
      </c>
      <c r="O813" t="s">
        <v>356</v>
      </c>
      <c r="P813">
        <v>5.0481887277406089E-5</v>
      </c>
      <c r="Q813" t="s">
        <v>159</v>
      </c>
      <c r="S813" t="s">
        <v>265</v>
      </c>
      <c r="T813" t="s">
        <v>356</v>
      </c>
      <c r="U813">
        <v>5.7050346530217096E-5</v>
      </c>
      <c r="V813" t="s">
        <v>159</v>
      </c>
    </row>
    <row r="814" spans="9:22" x14ac:dyDescent="0.45">
      <c r="I814" t="s">
        <v>180</v>
      </c>
      <c r="J814" t="s">
        <v>357</v>
      </c>
      <c r="K814">
        <v>1.6957261079040029E-4</v>
      </c>
      <c r="L814" t="s">
        <v>159</v>
      </c>
      <c r="N814" t="s">
        <v>223</v>
      </c>
      <c r="O814" t="s">
        <v>357</v>
      </c>
      <c r="P814">
        <v>7.9025119436612235E-5</v>
      </c>
      <c r="Q814" t="s">
        <v>159</v>
      </c>
      <c r="S814" t="s">
        <v>265</v>
      </c>
      <c r="T814" t="s">
        <v>357</v>
      </c>
      <c r="U814">
        <v>6.3697088378405014E-5</v>
      </c>
      <c r="V814" t="s">
        <v>159</v>
      </c>
    </row>
    <row r="815" spans="9:22" x14ac:dyDescent="0.45">
      <c r="I815" t="s">
        <v>180</v>
      </c>
      <c r="J815" t="s">
        <v>358</v>
      </c>
      <c r="K815">
        <v>2.0612114193446516E-4</v>
      </c>
      <c r="L815" t="s">
        <v>159</v>
      </c>
      <c r="N815" t="s">
        <v>223</v>
      </c>
      <c r="O815" t="s">
        <v>358</v>
      </c>
      <c r="P815">
        <v>8.7064106874423935E-5</v>
      </c>
      <c r="Q815" t="s">
        <v>159</v>
      </c>
      <c r="S815" t="s">
        <v>265</v>
      </c>
      <c r="T815" t="s">
        <v>358</v>
      </c>
      <c r="U815">
        <v>6.2073657765045068E-5</v>
      </c>
      <c r="V815" t="s">
        <v>159</v>
      </c>
    </row>
    <row r="816" spans="9:22" x14ac:dyDescent="0.45">
      <c r="I816" t="s">
        <v>180</v>
      </c>
      <c r="J816" t="s">
        <v>359</v>
      </c>
      <c r="K816">
        <v>1.9539060521679883E-4</v>
      </c>
      <c r="L816" t="s">
        <v>159</v>
      </c>
      <c r="N816" t="s">
        <v>223</v>
      </c>
      <c r="O816" t="s">
        <v>359</v>
      </c>
      <c r="P816">
        <v>9.0208716659926865E-5</v>
      </c>
      <c r="Q816" t="s">
        <v>159</v>
      </c>
      <c r="S816" t="s">
        <v>265</v>
      </c>
      <c r="T816" t="s">
        <v>359</v>
      </c>
      <c r="U816">
        <v>5.7516682060699521E-5</v>
      </c>
      <c r="V816" t="s">
        <v>159</v>
      </c>
    </row>
    <row r="817" spans="9:22" x14ac:dyDescent="0.45">
      <c r="I817" t="s">
        <v>180</v>
      </c>
      <c r="J817" t="s">
        <v>360</v>
      </c>
      <c r="K817">
        <v>1.6190431178831469E-4</v>
      </c>
      <c r="L817" t="s">
        <v>159</v>
      </c>
      <c r="N817" t="s">
        <v>223</v>
      </c>
      <c r="O817" t="s">
        <v>360</v>
      </c>
      <c r="P817">
        <v>7.9779705662759532E-5</v>
      </c>
      <c r="Q817" t="s">
        <v>159</v>
      </c>
      <c r="S817" t="s">
        <v>265</v>
      </c>
      <c r="T817" t="s">
        <v>360</v>
      </c>
      <c r="U817">
        <v>5.3958039365758301E-5</v>
      </c>
      <c r="V817" t="s">
        <v>159</v>
      </c>
    </row>
    <row r="818" spans="9:22" x14ac:dyDescent="0.45">
      <c r="I818" t="s">
        <v>180</v>
      </c>
      <c r="J818" t="s">
        <v>361</v>
      </c>
      <c r="K818">
        <v>1.5193087862546846E-4</v>
      </c>
      <c r="L818" t="s">
        <v>159</v>
      </c>
      <c r="N818" t="s">
        <v>223</v>
      </c>
      <c r="O818" t="s">
        <v>361</v>
      </c>
      <c r="P818">
        <v>5.3612360691465107E-5</v>
      </c>
      <c r="Q818" t="s">
        <v>159</v>
      </c>
      <c r="S818" t="s">
        <v>265</v>
      </c>
      <c r="T818" t="s">
        <v>361</v>
      </c>
      <c r="U818">
        <v>5.0446850179128593E-5</v>
      </c>
      <c r="V818" t="s">
        <v>159</v>
      </c>
    </row>
    <row r="819" spans="9:22" x14ac:dyDescent="0.45">
      <c r="I819" t="s">
        <v>180</v>
      </c>
      <c r="J819" t="s">
        <v>362</v>
      </c>
      <c r="K819">
        <v>1.4517944838332369E-4</v>
      </c>
      <c r="L819" t="s">
        <v>159</v>
      </c>
      <c r="N819" t="s">
        <v>223</v>
      </c>
      <c r="O819" t="s">
        <v>362</v>
      </c>
      <c r="P819">
        <v>2.9773041398479914E-5</v>
      </c>
      <c r="Q819" t="s">
        <v>159</v>
      </c>
      <c r="S819" t="s">
        <v>265</v>
      </c>
      <c r="T819" t="s">
        <v>362</v>
      </c>
      <c r="U819">
        <v>4.4211489242161866E-5</v>
      </c>
      <c r="V819" t="s">
        <v>159</v>
      </c>
    </row>
    <row r="820" spans="9:22" x14ac:dyDescent="0.45">
      <c r="I820" t="s">
        <v>180</v>
      </c>
      <c r="J820" t="s">
        <v>363</v>
      </c>
      <c r="K820">
        <v>9.0919702516718831E-5</v>
      </c>
      <c r="L820" t="s">
        <v>159</v>
      </c>
      <c r="N820" t="s">
        <v>223</v>
      </c>
      <c r="O820" t="s">
        <v>363</v>
      </c>
      <c r="P820">
        <v>2.0008575217286657E-5</v>
      </c>
      <c r="Q820" t="s">
        <v>159</v>
      </c>
      <c r="S820" t="s">
        <v>265</v>
      </c>
      <c r="T820" t="s">
        <v>363</v>
      </c>
      <c r="U820">
        <v>4.1372446035254863E-5</v>
      </c>
      <c r="V820" t="s">
        <v>159</v>
      </c>
    </row>
    <row r="821" spans="9:22" x14ac:dyDescent="0.45">
      <c r="I821" t="s">
        <v>180</v>
      </c>
      <c r="J821" t="s">
        <v>364</v>
      </c>
      <c r="K821">
        <v>0</v>
      </c>
      <c r="L821" t="s">
        <v>159</v>
      </c>
      <c r="N821" t="s">
        <v>223</v>
      </c>
      <c r="O821" t="s">
        <v>364</v>
      </c>
      <c r="P821">
        <v>1.594863739025541E-5</v>
      </c>
      <c r="Q821" t="s">
        <v>159</v>
      </c>
      <c r="S821" t="s">
        <v>265</v>
      </c>
      <c r="T821" t="s">
        <v>364</v>
      </c>
      <c r="U821">
        <v>4.1817019910431949E-5</v>
      </c>
      <c r="V821" t="s">
        <v>159</v>
      </c>
    </row>
    <row r="822" spans="9:22" x14ac:dyDescent="0.45">
      <c r="I822" t="s">
        <v>180</v>
      </c>
      <c r="J822" t="s">
        <v>365</v>
      </c>
      <c r="K822">
        <v>0</v>
      </c>
      <c r="L822" t="s">
        <v>159</v>
      </c>
      <c r="N822" t="s">
        <v>223</v>
      </c>
      <c r="O822" t="s">
        <v>365</v>
      </c>
      <c r="P822">
        <v>1.1459329170512328E-5</v>
      </c>
      <c r="Q822" t="s">
        <v>159</v>
      </c>
      <c r="S822" t="s">
        <v>265</v>
      </c>
      <c r="T822" t="s">
        <v>365</v>
      </c>
      <c r="U822">
        <v>3.7817576261951054E-5</v>
      </c>
      <c r="V822" t="s">
        <v>159</v>
      </c>
    </row>
    <row r="823" spans="9:22" x14ac:dyDescent="0.45">
      <c r="I823" t="s">
        <v>180</v>
      </c>
      <c r="J823" t="s">
        <v>366</v>
      </c>
      <c r="K823">
        <v>0</v>
      </c>
      <c r="L823" t="s">
        <v>159</v>
      </c>
      <c r="N823" t="s">
        <v>223</v>
      </c>
      <c r="O823" t="s">
        <v>366</v>
      </c>
      <c r="P823">
        <v>8.7738031184918257E-6</v>
      </c>
      <c r="Q823" t="s">
        <v>159</v>
      </c>
      <c r="S823" t="s">
        <v>265</v>
      </c>
      <c r="T823" t="s">
        <v>366</v>
      </c>
      <c r="U823">
        <v>3.2295474210114768E-5</v>
      </c>
      <c r="V823" t="s">
        <v>159</v>
      </c>
    </row>
    <row r="824" spans="9:22" x14ac:dyDescent="0.45">
      <c r="I824" t="s">
        <v>180</v>
      </c>
      <c r="J824" t="s">
        <v>367</v>
      </c>
      <c r="K824">
        <v>0</v>
      </c>
      <c r="L824" t="s">
        <v>159</v>
      </c>
      <c r="N824" t="s">
        <v>223</v>
      </c>
      <c r="O824" t="s">
        <v>367</v>
      </c>
      <c r="P824">
        <v>8.4596944537748231E-6</v>
      </c>
      <c r="Q824" t="s">
        <v>159</v>
      </c>
      <c r="S824" t="s">
        <v>265</v>
      </c>
      <c r="T824" t="s">
        <v>367</v>
      </c>
      <c r="U824">
        <v>2.7688793840993551E-5</v>
      </c>
      <c r="V824" t="s">
        <v>159</v>
      </c>
    </row>
    <row r="825" spans="9:22" x14ac:dyDescent="0.45">
      <c r="I825" t="s">
        <v>180</v>
      </c>
      <c r="J825" t="s">
        <v>368</v>
      </c>
      <c r="K825">
        <v>0</v>
      </c>
      <c r="L825" t="s">
        <v>159</v>
      </c>
      <c r="N825" t="s">
        <v>223</v>
      </c>
      <c r="O825" t="s">
        <v>368</v>
      </c>
      <c r="P825">
        <v>8.4440922210075748E-6</v>
      </c>
      <c r="Q825" t="s">
        <v>159</v>
      </c>
      <c r="S825" t="s">
        <v>265</v>
      </c>
      <c r="T825" t="s">
        <v>368</v>
      </c>
      <c r="U825">
        <v>2.5107936389579163E-5</v>
      </c>
      <c r="V825" t="s">
        <v>159</v>
      </c>
    </row>
    <row r="826" spans="9:22" x14ac:dyDescent="0.45">
      <c r="I826" t="s">
        <v>180</v>
      </c>
      <c r="J826" t="s">
        <v>369</v>
      </c>
      <c r="K826">
        <v>0</v>
      </c>
      <c r="L826" t="s">
        <v>159</v>
      </c>
      <c r="N826" t="s">
        <v>223</v>
      </c>
      <c r="O826" t="s">
        <v>369</v>
      </c>
      <c r="P826">
        <v>9.8288951756974385E-6</v>
      </c>
      <c r="Q826" t="s">
        <v>159</v>
      </c>
      <c r="S826" t="s">
        <v>265</v>
      </c>
      <c r="T826" t="s">
        <v>369</v>
      </c>
      <c r="U826">
        <v>1.2333816825615354E-5</v>
      </c>
      <c r="V826" t="s">
        <v>159</v>
      </c>
    </row>
    <row r="827" spans="9:22" x14ac:dyDescent="0.45">
      <c r="I827" t="s">
        <v>180</v>
      </c>
      <c r="J827" t="s">
        <v>165</v>
      </c>
      <c r="K827">
        <v>0</v>
      </c>
      <c r="L827" t="s">
        <v>159</v>
      </c>
      <c r="N827" t="s">
        <v>223</v>
      </c>
      <c r="O827" t="s">
        <v>165</v>
      </c>
      <c r="P827">
        <v>2.9509787276424431E-2</v>
      </c>
      <c r="Q827" t="s">
        <v>159</v>
      </c>
      <c r="S827" t="s">
        <v>265</v>
      </c>
      <c r="T827" t="s">
        <v>165</v>
      </c>
      <c r="U827">
        <v>3.0178254072819738E-2</v>
      </c>
      <c r="V827" t="s">
        <v>159</v>
      </c>
    </row>
    <row r="828" spans="9:22" x14ac:dyDescent="0.45">
      <c r="I828" t="s">
        <v>180</v>
      </c>
      <c r="J828" t="s">
        <v>166</v>
      </c>
      <c r="K828">
        <v>7.606360416414188E-4</v>
      </c>
      <c r="L828" t="s">
        <v>159</v>
      </c>
      <c r="N828" t="s">
        <v>223</v>
      </c>
      <c r="O828" t="s">
        <v>166</v>
      </c>
      <c r="P828">
        <v>4.1271703000601255E-3</v>
      </c>
      <c r="Q828" t="s">
        <v>159</v>
      </c>
      <c r="S828" t="s">
        <v>265</v>
      </c>
      <c r="T828" t="s">
        <v>166</v>
      </c>
      <c r="U828">
        <v>4.321609715041295E-3</v>
      </c>
      <c r="V828" t="s">
        <v>159</v>
      </c>
    </row>
    <row r="829" spans="9:22" x14ac:dyDescent="0.45">
      <c r="I829" t="s">
        <v>180</v>
      </c>
      <c r="J829" t="s">
        <v>167</v>
      </c>
      <c r="K829">
        <v>4.768259821623666E-2</v>
      </c>
      <c r="L829" t="s">
        <v>159</v>
      </c>
      <c r="N829" t="s">
        <v>223</v>
      </c>
      <c r="O829" t="s">
        <v>167</v>
      </c>
      <c r="P829">
        <v>3.9657774637849495E-2</v>
      </c>
      <c r="Q829" t="s">
        <v>159</v>
      </c>
      <c r="S829" t="s">
        <v>265</v>
      </c>
      <c r="T829" t="s">
        <v>167</v>
      </c>
      <c r="U829">
        <v>4.0180415492041655E-2</v>
      </c>
      <c r="V829" t="s">
        <v>159</v>
      </c>
    </row>
    <row r="830" spans="9:22" x14ac:dyDescent="0.45">
      <c r="I830" t="s">
        <v>180</v>
      </c>
      <c r="J830" t="s">
        <v>291</v>
      </c>
      <c r="K830">
        <v>3.9038683963197509E-3</v>
      </c>
      <c r="L830" t="s">
        <v>159</v>
      </c>
      <c r="N830" t="s">
        <v>223</v>
      </c>
      <c r="O830" t="s">
        <v>291</v>
      </c>
      <c r="P830">
        <v>4.4246187266819385E-3</v>
      </c>
      <c r="Q830" t="s">
        <v>159</v>
      </c>
      <c r="S830" t="s">
        <v>265</v>
      </c>
      <c r="T830" t="s">
        <v>291</v>
      </c>
      <c r="U830">
        <v>4.4978860203002896E-3</v>
      </c>
      <c r="V830" t="s">
        <v>159</v>
      </c>
    </row>
    <row r="831" spans="9:22" x14ac:dyDescent="0.45">
      <c r="I831" t="s">
        <v>180</v>
      </c>
      <c r="J831" t="s">
        <v>292</v>
      </c>
      <c r="K831">
        <v>0</v>
      </c>
      <c r="L831" t="s">
        <v>159</v>
      </c>
      <c r="N831" t="s">
        <v>223</v>
      </c>
      <c r="O831" t="s">
        <v>292</v>
      </c>
      <c r="P831">
        <v>4.3430442051470113E-3</v>
      </c>
      <c r="Q831" t="s">
        <v>159</v>
      </c>
      <c r="S831" t="s">
        <v>265</v>
      </c>
      <c r="T831" t="s">
        <v>292</v>
      </c>
      <c r="U831">
        <v>4.493600164184733E-3</v>
      </c>
      <c r="V831" t="s">
        <v>159</v>
      </c>
    </row>
    <row r="832" spans="9:22" x14ac:dyDescent="0.45">
      <c r="I832" t="s">
        <v>180</v>
      </c>
      <c r="J832" t="s">
        <v>310</v>
      </c>
      <c r="K832">
        <v>0</v>
      </c>
      <c r="L832" t="s">
        <v>159</v>
      </c>
      <c r="N832" t="s">
        <v>223</v>
      </c>
      <c r="O832" t="s">
        <v>310</v>
      </c>
      <c r="P832">
        <v>2.26789192913971E-2</v>
      </c>
      <c r="Q832" t="s">
        <v>159</v>
      </c>
      <c r="S832" t="s">
        <v>265</v>
      </c>
      <c r="T832" t="s">
        <v>310</v>
      </c>
      <c r="U832">
        <v>2.22473345852441E-2</v>
      </c>
      <c r="V832" t="s">
        <v>159</v>
      </c>
    </row>
    <row r="833" spans="9:22" x14ac:dyDescent="0.45">
      <c r="I833" t="s">
        <v>180</v>
      </c>
      <c r="J833" t="s">
        <v>293</v>
      </c>
      <c r="K833">
        <v>0</v>
      </c>
      <c r="L833" t="s">
        <v>159</v>
      </c>
      <c r="N833" t="s">
        <v>223</v>
      </c>
      <c r="O833" t="s">
        <v>293</v>
      </c>
      <c r="P833">
        <v>3.3461984339092053E-3</v>
      </c>
      <c r="Q833" t="s">
        <v>159</v>
      </c>
      <c r="S833" t="s">
        <v>265</v>
      </c>
      <c r="T833" t="s">
        <v>293</v>
      </c>
      <c r="U833">
        <v>5.04971141770795E-3</v>
      </c>
      <c r="V833" t="s">
        <v>159</v>
      </c>
    </row>
    <row r="834" spans="9:22" x14ac:dyDescent="0.45">
      <c r="I834" t="s">
        <v>180</v>
      </c>
      <c r="J834" t="s">
        <v>294</v>
      </c>
      <c r="K834">
        <v>9.5531208961882499E-4</v>
      </c>
      <c r="L834" t="s">
        <v>159</v>
      </c>
      <c r="N834" t="s">
        <v>223</v>
      </c>
      <c r="O834" t="s">
        <v>294</v>
      </c>
      <c r="P834">
        <v>5.4842921370223334E-4</v>
      </c>
      <c r="Q834" t="s">
        <v>159</v>
      </c>
      <c r="S834" t="s">
        <v>265</v>
      </c>
      <c r="T834" t="s">
        <v>294</v>
      </c>
      <c r="U834">
        <v>7.0802274493349552E-4</v>
      </c>
      <c r="V834" t="s">
        <v>159</v>
      </c>
    </row>
    <row r="835" spans="9:22" x14ac:dyDescent="0.45">
      <c r="I835" t="s">
        <v>180</v>
      </c>
      <c r="J835" t="s">
        <v>295</v>
      </c>
      <c r="K835">
        <v>1.4708367920104434E-2</v>
      </c>
      <c r="L835" t="s">
        <v>159</v>
      </c>
      <c r="N835" t="s">
        <v>223</v>
      </c>
      <c r="O835" t="s">
        <v>295</v>
      </c>
      <c r="P835">
        <v>6.7377672760606166E-3</v>
      </c>
      <c r="Q835" t="s">
        <v>159</v>
      </c>
      <c r="S835" t="s">
        <v>265</v>
      </c>
      <c r="T835" t="s">
        <v>295</v>
      </c>
      <c r="U835">
        <v>7.8554310303839553E-3</v>
      </c>
      <c r="V835" t="s">
        <v>159</v>
      </c>
    </row>
    <row r="836" spans="9:22" x14ac:dyDescent="0.45">
      <c r="I836" t="s">
        <v>180</v>
      </c>
      <c r="J836" t="s">
        <v>296</v>
      </c>
      <c r="K836">
        <v>1.2740303225192199E-3</v>
      </c>
      <c r="L836" t="s">
        <v>159</v>
      </c>
      <c r="N836" t="s">
        <v>223</v>
      </c>
      <c r="O836" t="s">
        <v>296</v>
      </c>
      <c r="P836">
        <v>5.8444907830852331E-4</v>
      </c>
      <c r="Q836" t="s">
        <v>159</v>
      </c>
      <c r="S836" t="s">
        <v>265</v>
      </c>
      <c r="T836" t="s">
        <v>296</v>
      </c>
      <c r="U836">
        <v>9.8852429596584749E-4</v>
      </c>
      <c r="V836" t="s">
        <v>159</v>
      </c>
    </row>
    <row r="837" spans="9:22" x14ac:dyDescent="0.45">
      <c r="I837" t="s">
        <v>180</v>
      </c>
      <c r="J837" t="s">
        <v>297</v>
      </c>
      <c r="K837">
        <v>2.1608056074377336E-7</v>
      </c>
      <c r="L837" t="s">
        <v>159</v>
      </c>
      <c r="N837" t="s">
        <v>223</v>
      </c>
      <c r="O837" t="s">
        <v>297</v>
      </c>
      <c r="P837">
        <v>4.4170895095908157E-4</v>
      </c>
      <c r="Q837" t="s">
        <v>159</v>
      </c>
      <c r="S837" t="s">
        <v>265</v>
      </c>
      <c r="T837" t="s">
        <v>297</v>
      </c>
      <c r="U837">
        <v>9.5129471780360181E-4</v>
      </c>
      <c r="V837" t="s">
        <v>159</v>
      </c>
    </row>
    <row r="838" spans="9:22" x14ac:dyDescent="0.45">
      <c r="I838" t="s">
        <v>180</v>
      </c>
      <c r="J838" t="s">
        <v>311</v>
      </c>
      <c r="K838">
        <v>0</v>
      </c>
      <c r="L838" t="s">
        <v>159</v>
      </c>
      <c r="N838" t="s">
        <v>223</v>
      </c>
      <c r="O838" t="s">
        <v>311</v>
      </c>
      <c r="P838">
        <v>1.4514028776802456E-3</v>
      </c>
      <c r="Q838" t="s">
        <v>159</v>
      </c>
      <c r="S838" t="s">
        <v>265</v>
      </c>
      <c r="T838" t="s">
        <v>311</v>
      </c>
      <c r="U838">
        <v>4.4988556059295604E-3</v>
      </c>
      <c r="V838" t="s">
        <v>159</v>
      </c>
    </row>
    <row r="839" spans="9:22" x14ac:dyDescent="0.45">
      <c r="I839" t="s">
        <v>180</v>
      </c>
      <c r="J839" t="s">
        <v>298</v>
      </c>
      <c r="K839">
        <v>8.5334397245529024E-3</v>
      </c>
      <c r="L839" t="s">
        <v>159</v>
      </c>
      <c r="N839" t="s">
        <v>223</v>
      </c>
      <c r="O839" t="s">
        <v>298</v>
      </c>
      <c r="P839">
        <v>6.8914385446369811E-2</v>
      </c>
      <c r="Q839" t="s">
        <v>159</v>
      </c>
      <c r="S839" t="s">
        <v>265</v>
      </c>
      <c r="T839" t="s">
        <v>298</v>
      </c>
      <c r="U839">
        <v>8.3170090541866928E-2</v>
      </c>
      <c r="V839" t="s">
        <v>159</v>
      </c>
    </row>
    <row r="840" spans="9:22" x14ac:dyDescent="0.45">
      <c r="I840" t="s">
        <v>180</v>
      </c>
      <c r="J840" t="s">
        <v>299</v>
      </c>
      <c r="K840">
        <v>1.8771589902444607E-2</v>
      </c>
      <c r="L840" t="s">
        <v>159</v>
      </c>
      <c r="N840" t="s">
        <v>223</v>
      </c>
      <c r="O840" t="s">
        <v>299</v>
      </c>
      <c r="P840">
        <v>9.7776254952636373E-3</v>
      </c>
      <c r="Q840" t="s">
        <v>159</v>
      </c>
      <c r="S840" t="s">
        <v>265</v>
      </c>
      <c r="T840" t="s">
        <v>299</v>
      </c>
      <c r="U840">
        <v>1.1741983241869281E-2</v>
      </c>
      <c r="V840" t="s">
        <v>159</v>
      </c>
    </row>
    <row r="841" spans="9:22" x14ac:dyDescent="0.45">
      <c r="I841" t="s">
        <v>180</v>
      </c>
      <c r="J841" t="s">
        <v>300</v>
      </c>
      <c r="K841">
        <v>0.24033264972733709</v>
      </c>
      <c r="L841" t="s">
        <v>159</v>
      </c>
      <c r="N841" t="s">
        <v>223</v>
      </c>
      <c r="O841" t="s">
        <v>300</v>
      </c>
      <c r="P841">
        <v>0.11921244029213061</v>
      </c>
      <c r="Q841" t="s">
        <v>159</v>
      </c>
      <c r="S841" t="s">
        <v>265</v>
      </c>
      <c r="T841" t="s">
        <v>300</v>
      </c>
      <c r="U841">
        <v>0.10972737341116656</v>
      </c>
      <c r="V841" t="s">
        <v>159</v>
      </c>
    </row>
    <row r="842" spans="9:22" x14ac:dyDescent="0.45">
      <c r="I842" t="s">
        <v>180</v>
      </c>
      <c r="J842" t="s">
        <v>301</v>
      </c>
      <c r="K842">
        <v>2.1954114927220787E-2</v>
      </c>
      <c r="L842" t="s">
        <v>159</v>
      </c>
      <c r="N842" t="s">
        <v>223</v>
      </c>
      <c r="O842" t="s">
        <v>301</v>
      </c>
      <c r="P842">
        <v>1.423150056907896E-2</v>
      </c>
      <c r="Q842" t="s">
        <v>159</v>
      </c>
      <c r="S842" t="s">
        <v>265</v>
      </c>
      <c r="T842" t="s">
        <v>301</v>
      </c>
      <c r="U842">
        <v>1.311929137750344E-2</v>
      </c>
      <c r="V842" t="s">
        <v>159</v>
      </c>
    </row>
    <row r="843" spans="9:22" x14ac:dyDescent="0.45">
      <c r="I843" t="s">
        <v>180</v>
      </c>
      <c r="J843" t="s">
        <v>302</v>
      </c>
      <c r="K843">
        <v>1.4049938588106986E-2</v>
      </c>
      <c r="L843" t="s">
        <v>159</v>
      </c>
      <c r="N843" t="s">
        <v>223</v>
      </c>
      <c r="O843" t="s">
        <v>302</v>
      </c>
      <c r="P843">
        <v>1.3206926714368928E-2</v>
      </c>
      <c r="Q843" t="s">
        <v>159</v>
      </c>
      <c r="S843" t="s">
        <v>265</v>
      </c>
      <c r="T843" t="s">
        <v>302</v>
      </c>
      <c r="U843">
        <v>1.3058797978298092E-2</v>
      </c>
      <c r="V843" t="s">
        <v>159</v>
      </c>
    </row>
    <row r="844" spans="9:22" x14ac:dyDescent="0.45">
      <c r="I844" t="s">
        <v>180</v>
      </c>
      <c r="J844" t="s">
        <v>312</v>
      </c>
      <c r="K844">
        <v>3.2292965065901619E-7</v>
      </c>
      <c r="L844" t="s">
        <v>159</v>
      </c>
      <c r="N844" t="s">
        <v>223</v>
      </c>
      <c r="O844" t="s">
        <v>312</v>
      </c>
      <c r="P844">
        <v>5.610649550757197E-2</v>
      </c>
      <c r="Q844" t="s">
        <v>159</v>
      </c>
      <c r="S844" t="s">
        <v>265</v>
      </c>
      <c r="T844" t="s">
        <v>312</v>
      </c>
      <c r="U844">
        <v>6.1858853674252312E-2</v>
      </c>
      <c r="V844" t="s">
        <v>159</v>
      </c>
    </row>
    <row r="845" spans="9:22" x14ac:dyDescent="0.45">
      <c r="I845" t="s">
        <v>180</v>
      </c>
      <c r="J845" t="s">
        <v>313</v>
      </c>
      <c r="K845">
        <v>4.7943396436458613E-3</v>
      </c>
      <c r="L845" t="s">
        <v>159</v>
      </c>
      <c r="N845" t="s">
        <v>223</v>
      </c>
      <c r="O845" t="s">
        <v>313</v>
      </c>
      <c r="P845">
        <v>1.5311056361190865E-2</v>
      </c>
      <c r="Q845" t="s">
        <v>159</v>
      </c>
      <c r="S845" t="s">
        <v>265</v>
      </c>
      <c r="T845" t="s">
        <v>313</v>
      </c>
      <c r="U845">
        <v>1.9159342530818885E-2</v>
      </c>
      <c r="V845" t="s">
        <v>159</v>
      </c>
    </row>
    <row r="846" spans="9:22" x14ac:dyDescent="0.45">
      <c r="I846" t="s">
        <v>180</v>
      </c>
      <c r="J846" t="s">
        <v>314</v>
      </c>
      <c r="K846">
        <v>7.4263520449844569E-3</v>
      </c>
      <c r="L846" t="s">
        <v>159</v>
      </c>
      <c r="N846" t="s">
        <v>223</v>
      </c>
      <c r="O846" t="s">
        <v>314</v>
      </c>
      <c r="P846">
        <v>2.2789780620762739E-3</v>
      </c>
      <c r="Q846" t="s">
        <v>159</v>
      </c>
      <c r="S846" t="s">
        <v>265</v>
      </c>
      <c r="T846" t="s">
        <v>314</v>
      </c>
      <c r="U846">
        <v>2.7371894124698895E-3</v>
      </c>
      <c r="V846" t="s">
        <v>159</v>
      </c>
    </row>
    <row r="847" spans="9:22" x14ac:dyDescent="0.45">
      <c r="I847" t="s">
        <v>180</v>
      </c>
      <c r="J847" t="s">
        <v>315</v>
      </c>
      <c r="K847">
        <v>8.4062072030189838E-2</v>
      </c>
      <c r="L847" t="s">
        <v>159</v>
      </c>
      <c r="N847" t="s">
        <v>223</v>
      </c>
      <c r="O847" t="s">
        <v>315</v>
      </c>
      <c r="P847">
        <v>3.4377538116859778E-2</v>
      </c>
      <c r="Q847" t="s">
        <v>159</v>
      </c>
      <c r="S847" t="s">
        <v>265</v>
      </c>
      <c r="T847" t="s">
        <v>315</v>
      </c>
      <c r="U847">
        <v>2.5054205990140507E-2</v>
      </c>
      <c r="V847" t="s">
        <v>159</v>
      </c>
    </row>
    <row r="848" spans="9:22" x14ac:dyDescent="0.45">
      <c r="I848" t="s">
        <v>180</v>
      </c>
      <c r="J848" t="s">
        <v>316</v>
      </c>
      <c r="K848">
        <v>7.9025370577061813E-3</v>
      </c>
      <c r="L848" t="s">
        <v>159</v>
      </c>
      <c r="N848" t="s">
        <v>223</v>
      </c>
      <c r="O848" t="s">
        <v>316</v>
      </c>
      <c r="P848">
        <v>4.4571311619363198E-3</v>
      </c>
      <c r="Q848" t="s">
        <v>159</v>
      </c>
      <c r="S848" t="s">
        <v>265</v>
      </c>
      <c r="T848" t="s">
        <v>316</v>
      </c>
      <c r="U848">
        <v>3.2093943005587541E-3</v>
      </c>
      <c r="V848" t="s">
        <v>159</v>
      </c>
    </row>
    <row r="849" spans="9:22" x14ac:dyDescent="0.45">
      <c r="I849" t="s">
        <v>180</v>
      </c>
      <c r="J849" t="s">
        <v>317</v>
      </c>
      <c r="K849">
        <v>6.3069668667423929E-3</v>
      </c>
      <c r="L849" t="s">
        <v>159</v>
      </c>
      <c r="N849" t="s">
        <v>223</v>
      </c>
      <c r="O849" t="s">
        <v>317</v>
      </c>
      <c r="P849">
        <v>3.9692262119030231E-3</v>
      </c>
      <c r="Q849" t="s">
        <v>159</v>
      </c>
      <c r="S849" t="s">
        <v>265</v>
      </c>
      <c r="T849" t="s">
        <v>317</v>
      </c>
      <c r="U849">
        <v>3.2103063268094584E-3</v>
      </c>
      <c r="V849" t="s">
        <v>159</v>
      </c>
    </row>
    <row r="850" spans="9:22" x14ac:dyDescent="0.45">
      <c r="I850" t="s">
        <v>180</v>
      </c>
      <c r="J850" t="s">
        <v>318</v>
      </c>
      <c r="K850">
        <v>3.348875679749651E-3</v>
      </c>
      <c r="L850" t="s">
        <v>159</v>
      </c>
      <c r="N850" t="s">
        <v>223</v>
      </c>
      <c r="O850" t="s">
        <v>318</v>
      </c>
      <c r="P850">
        <v>1.4790355963120798E-2</v>
      </c>
      <c r="Q850" t="s">
        <v>159</v>
      </c>
      <c r="S850" t="s">
        <v>265</v>
      </c>
      <c r="T850" t="s">
        <v>318</v>
      </c>
      <c r="U850">
        <v>1.4929897704992956E-2</v>
      </c>
      <c r="V850" t="s">
        <v>159</v>
      </c>
    </row>
    <row r="851" spans="9:22" x14ac:dyDescent="0.45">
      <c r="I851" t="s">
        <v>181</v>
      </c>
      <c r="J851" t="s">
        <v>158</v>
      </c>
      <c r="K851">
        <v>1.3598993078403381E-2</v>
      </c>
      <c r="L851" t="s">
        <v>159</v>
      </c>
      <c r="N851" t="s">
        <v>224</v>
      </c>
      <c r="O851" t="s">
        <v>158</v>
      </c>
      <c r="P851">
        <v>9.9962701258671849E-2</v>
      </c>
      <c r="Q851" t="s">
        <v>159</v>
      </c>
      <c r="S851" t="s">
        <v>266</v>
      </c>
      <c r="T851" t="s">
        <v>158</v>
      </c>
      <c r="U851">
        <v>0.11174924479647989</v>
      </c>
      <c r="V851" t="s">
        <v>159</v>
      </c>
    </row>
    <row r="852" spans="9:22" x14ac:dyDescent="0.45">
      <c r="I852" t="s">
        <v>181</v>
      </c>
      <c r="J852" t="s">
        <v>160</v>
      </c>
      <c r="K852">
        <v>2.9345539834860407E-2</v>
      </c>
      <c r="L852" t="s">
        <v>159</v>
      </c>
      <c r="N852" t="s">
        <v>224</v>
      </c>
      <c r="O852" t="s">
        <v>160</v>
      </c>
      <c r="P852">
        <v>1.3812137456823879E-2</v>
      </c>
      <c r="Q852" t="s">
        <v>159</v>
      </c>
      <c r="S852" t="s">
        <v>266</v>
      </c>
      <c r="T852" t="s">
        <v>160</v>
      </c>
      <c r="U852">
        <v>1.5348016523301783E-2</v>
      </c>
      <c r="V852" t="s">
        <v>159</v>
      </c>
    </row>
    <row r="853" spans="9:22" x14ac:dyDescent="0.45">
      <c r="I853" t="s">
        <v>181</v>
      </c>
      <c r="J853" t="s">
        <v>161</v>
      </c>
      <c r="K853">
        <v>0.3805672495504156</v>
      </c>
      <c r="L853" t="s">
        <v>159</v>
      </c>
      <c r="N853" t="s">
        <v>224</v>
      </c>
      <c r="O853" t="s">
        <v>161</v>
      </c>
      <c r="P853">
        <v>0.13614568548340031</v>
      </c>
      <c r="Q853" t="s">
        <v>159</v>
      </c>
      <c r="S853" t="s">
        <v>266</v>
      </c>
      <c r="T853" t="s">
        <v>161</v>
      </c>
      <c r="U853">
        <v>0.16848676185455838</v>
      </c>
      <c r="V853" t="s">
        <v>159</v>
      </c>
    </row>
    <row r="854" spans="9:22" x14ac:dyDescent="0.45">
      <c r="I854" t="s">
        <v>181</v>
      </c>
      <c r="J854" t="s">
        <v>287</v>
      </c>
      <c r="K854">
        <v>2.5028277163421261E-2</v>
      </c>
      <c r="L854" t="s">
        <v>159</v>
      </c>
      <c r="N854" t="s">
        <v>224</v>
      </c>
      <c r="O854" t="s">
        <v>287</v>
      </c>
      <c r="P854">
        <v>2.6337289921972297E-2</v>
      </c>
      <c r="Q854" t="s">
        <v>159</v>
      </c>
      <c r="S854" t="s">
        <v>266</v>
      </c>
      <c r="T854" t="s">
        <v>287</v>
      </c>
      <c r="U854">
        <v>2.3645427113626927E-2</v>
      </c>
      <c r="V854" t="s">
        <v>159</v>
      </c>
    </row>
    <row r="855" spans="9:22" x14ac:dyDescent="0.45">
      <c r="I855" t="s">
        <v>181</v>
      </c>
      <c r="J855" t="s">
        <v>288</v>
      </c>
      <c r="K855">
        <v>1.3174450393203221E-2</v>
      </c>
      <c r="L855" t="s">
        <v>159</v>
      </c>
      <c r="N855" t="s">
        <v>224</v>
      </c>
      <c r="O855" t="s">
        <v>288</v>
      </c>
      <c r="P855">
        <v>2.7273829075931032E-2</v>
      </c>
      <c r="Q855" t="s">
        <v>159</v>
      </c>
      <c r="S855" t="s">
        <v>266</v>
      </c>
      <c r="T855" t="s">
        <v>288</v>
      </c>
      <c r="U855">
        <v>2.2216837375863292E-2</v>
      </c>
      <c r="V855" t="s">
        <v>159</v>
      </c>
    </row>
    <row r="856" spans="9:22" x14ac:dyDescent="0.45">
      <c r="I856" t="s">
        <v>181</v>
      </c>
      <c r="J856" t="s">
        <v>308</v>
      </c>
      <c r="K856">
        <v>3.3940665624020166E-5</v>
      </c>
      <c r="L856" t="s">
        <v>159</v>
      </c>
      <c r="N856" t="s">
        <v>224</v>
      </c>
      <c r="O856" t="s">
        <v>308</v>
      </c>
      <c r="P856">
        <v>0.10037488952954099</v>
      </c>
      <c r="Q856" t="s">
        <v>159</v>
      </c>
      <c r="S856" t="s">
        <v>266</v>
      </c>
      <c r="T856" t="s">
        <v>308</v>
      </c>
      <c r="U856">
        <v>9.096563974719743E-2</v>
      </c>
      <c r="V856" t="s">
        <v>159</v>
      </c>
    </row>
    <row r="857" spans="9:22" x14ac:dyDescent="0.45">
      <c r="I857" t="s">
        <v>181</v>
      </c>
      <c r="J857" t="s">
        <v>162</v>
      </c>
      <c r="K857">
        <v>0</v>
      </c>
      <c r="L857" t="s">
        <v>159</v>
      </c>
      <c r="N857" t="s">
        <v>224</v>
      </c>
      <c r="O857" t="s">
        <v>162</v>
      </c>
      <c r="P857">
        <v>2.2331723957211596E-2</v>
      </c>
      <c r="Q857" t="s">
        <v>159</v>
      </c>
      <c r="S857" t="s">
        <v>266</v>
      </c>
      <c r="T857" t="s">
        <v>162</v>
      </c>
      <c r="U857">
        <v>2.1089694723440668E-2</v>
      </c>
      <c r="V857" t="s">
        <v>159</v>
      </c>
    </row>
    <row r="858" spans="9:22" x14ac:dyDescent="0.45">
      <c r="I858" t="s">
        <v>181</v>
      </c>
      <c r="J858" t="s">
        <v>163</v>
      </c>
      <c r="K858">
        <v>3.9282827084381175E-4</v>
      </c>
      <c r="L858" t="s">
        <v>159</v>
      </c>
      <c r="N858" t="s">
        <v>224</v>
      </c>
      <c r="O858" t="s">
        <v>163</v>
      </c>
      <c r="P858">
        <v>3.2452351125837899E-3</v>
      </c>
      <c r="Q858" t="s">
        <v>159</v>
      </c>
      <c r="S858" t="s">
        <v>266</v>
      </c>
      <c r="T858" t="s">
        <v>163</v>
      </c>
      <c r="U858">
        <v>2.9427062963109578E-3</v>
      </c>
      <c r="V858" t="s">
        <v>159</v>
      </c>
    </row>
    <row r="859" spans="9:22" x14ac:dyDescent="0.45">
      <c r="I859" t="s">
        <v>181</v>
      </c>
      <c r="J859" t="s">
        <v>164</v>
      </c>
      <c r="K859">
        <v>3.4590650806473722E-2</v>
      </c>
      <c r="L859" t="s">
        <v>159</v>
      </c>
      <c r="N859" t="s">
        <v>224</v>
      </c>
      <c r="O859" t="s">
        <v>164</v>
      </c>
      <c r="P859">
        <v>2.1063564813640075E-2</v>
      </c>
      <c r="Q859" t="s">
        <v>159</v>
      </c>
      <c r="S859" t="s">
        <v>266</v>
      </c>
      <c r="T859" t="s">
        <v>164</v>
      </c>
      <c r="U859">
        <v>2.7589188242554713E-2</v>
      </c>
      <c r="V859" t="s">
        <v>159</v>
      </c>
    </row>
    <row r="860" spans="9:22" x14ac:dyDescent="0.45">
      <c r="I860" t="s">
        <v>181</v>
      </c>
      <c r="J860" t="s">
        <v>289</v>
      </c>
      <c r="K860">
        <v>0</v>
      </c>
      <c r="L860" t="s">
        <v>159</v>
      </c>
      <c r="N860" t="s">
        <v>224</v>
      </c>
      <c r="O860" t="s">
        <v>289</v>
      </c>
      <c r="P860">
        <v>4.2033921934840051E-3</v>
      </c>
      <c r="Q860" t="s">
        <v>159</v>
      </c>
      <c r="S860" t="s">
        <v>266</v>
      </c>
      <c r="T860" t="s">
        <v>289</v>
      </c>
      <c r="U860">
        <v>3.4167129237162998E-3</v>
      </c>
      <c r="V860" t="s">
        <v>159</v>
      </c>
    </row>
    <row r="861" spans="9:22" x14ac:dyDescent="0.45">
      <c r="I861" t="s">
        <v>181</v>
      </c>
      <c r="J861" t="s">
        <v>290</v>
      </c>
      <c r="K861">
        <v>0</v>
      </c>
      <c r="L861" t="s">
        <v>159</v>
      </c>
      <c r="N861" t="s">
        <v>224</v>
      </c>
      <c r="O861" t="s">
        <v>290</v>
      </c>
      <c r="P861">
        <v>4.1244933014975282E-3</v>
      </c>
      <c r="Q861" t="s">
        <v>159</v>
      </c>
      <c r="S861" t="s">
        <v>266</v>
      </c>
      <c r="T861" t="s">
        <v>290</v>
      </c>
      <c r="U861">
        <v>3.4132315176891351E-3</v>
      </c>
      <c r="V861" t="s">
        <v>159</v>
      </c>
    </row>
    <row r="862" spans="9:22" x14ac:dyDescent="0.45">
      <c r="I862" t="s">
        <v>181</v>
      </c>
      <c r="J862" t="s">
        <v>309</v>
      </c>
      <c r="K862">
        <v>0</v>
      </c>
      <c r="L862" t="s">
        <v>159</v>
      </c>
      <c r="N862" t="s">
        <v>224</v>
      </c>
      <c r="O862" t="s">
        <v>309</v>
      </c>
      <c r="P862">
        <v>1.2947907341442723E-2</v>
      </c>
      <c r="Q862" t="s">
        <v>159</v>
      </c>
      <c r="S862" t="s">
        <v>266</v>
      </c>
      <c r="T862" t="s">
        <v>309</v>
      </c>
      <c r="U862">
        <v>1.6023276272348053E-2</v>
      </c>
      <c r="V862" t="s">
        <v>159</v>
      </c>
    </row>
    <row r="863" spans="9:22" x14ac:dyDescent="0.45">
      <c r="I863" t="s">
        <v>181</v>
      </c>
      <c r="J863" t="s">
        <v>346</v>
      </c>
      <c r="K863">
        <v>0</v>
      </c>
      <c r="L863" t="s">
        <v>159</v>
      </c>
      <c r="N863" t="s">
        <v>224</v>
      </c>
      <c r="O863" t="s">
        <v>346</v>
      </c>
      <c r="P863">
        <v>1.9242075285665187E-5</v>
      </c>
      <c r="Q863" t="s">
        <v>159</v>
      </c>
      <c r="S863" t="s">
        <v>266</v>
      </c>
      <c r="T863" t="s">
        <v>346</v>
      </c>
      <c r="U863">
        <v>9.5776969634177328E-6</v>
      </c>
      <c r="V863" t="s">
        <v>159</v>
      </c>
    </row>
    <row r="864" spans="9:22" x14ac:dyDescent="0.45">
      <c r="I864" t="s">
        <v>181</v>
      </c>
      <c r="J864" t="s">
        <v>347</v>
      </c>
      <c r="K864">
        <v>0</v>
      </c>
      <c r="L864" t="s">
        <v>159</v>
      </c>
      <c r="N864" t="s">
        <v>224</v>
      </c>
      <c r="O864" t="s">
        <v>347</v>
      </c>
      <c r="P864">
        <v>9.1220203559657026E-6</v>
      </c>
      <c r="Q864" t="s">
        <v>159</v>
      </c>
      <c r="S864" t="s">
        <v>266</v>
      </c>
      <c r="T864" t="s">
        <v>347</v>
      </c>
      <c r="U864">
        <v>7.8110212416912438E-6</v>
      </c>
      <c r="V864" t="s">
        <v>159</v>
      </c>
    </row>
    <row r="865" spans="9:22" x14ac:dyDescent="0.45">
      <c r="I865" t="s">
        <v>181</v>
      </c>
      <c r="J865" t="s">
        <v>348</v>
      </c>
      <c r="K865">
        <v>0</v>
      </c>
      <c r="L865" t="s">
        <v>159</v>
      </c>
      <c r="N865" t="s">
        <v>224</v>
      </c>
      <c r="O865" t="s">
        <v>348</v>
      </c>
      <c r="P865">
        <v>2.9457230846350247E-6</v>
      </c>
      <c r="Q865" t="s">
        <v>159</v>
      </c>
      <c r="S865" t="s">
        <v>266</v>
      </c>
      <c r="T865" t="s">
        <v>348</v>
      </c>
      <c r="U865">
        <v>7.2312043453663006E-6</v>
      </c>
      <c r="V865" t="s">
        <v>159</v>
      </c>
    </row>
    <row r="866" spans="9:22" x14ac:dyDescent="0.45">
      <c r="I866" t="s">
        <v>181</v>
      </c>
      <c r="J866" t="s">
        <v>349</v>
      </c>
      <c r="K866">
        <v>0</v>
      </c>
      <c r="L866" t="s">
        <v>159</v>
      </c>
      <c r="N866" t="s">
        <v>224</v>
      </c>
      <c r="O866" t="s">
        <v>349</v>
      </c>
      <c r="P866">
        <v>1.2950561495143184E-6</v>
      </c>
      <c r="Q866" t="s">
        <v>159</v>
      </c>
      <c r="S866" t="s">
        <v>266</v>
      </c>
      <c r="T866" t="s">
        <v>349</v>
      </c>
      <c r="U866">
        <v>1.0480596673922356E-5</v>
      </c>
      <c r="V866" t="s">
        <v>159</v>
      </c>
    </row>
    <row r="867" spans="9:22" x14ac:dyDescent="0.45">
      <c r="I867" t="s">
        <v>181</v>
      </c>
      <c r="J867" t="s">
        <v>350</v>
      </c>
      <c r="K867">
        <v>0</v>
      </c>
      <c r="L867" t="s">
        <v>159</v>
      </c>
      <c r="N867" t="s">
        <v>224</v>
      </c>
      <c r="O867" t="s">
        <v>350</v>
      </c>
      <c r="P867">
        <v>8.7370526259430396E-7</v>
      </c>
      <c r="Q867" t="s">
        <v>159</v>
      </c>
      <c r="S867" t="s">
        <v>266</v>
      </c>
      <c r="T867" t="s">
        <v>350</v>
      </c>
      <c r="U867">
        <v>1.9796078059001511E-5</v>
      </c>
      <c r="V867" t="s">
        <v>159</v>
      </c>
    </row>
    <row r="868" spans="9:22" x14ac:dyDescent="0.45">
      <c r="I868" t="s">
        <v>181</v>
      </c>
      <c r="J868" t="s">
        <v>351</v>
      </c>
      <c r="K868">
        <v>0</v>
      </c>
      <c r="L868" t="s">
        <v>159</v>
      </c>
      <c r="N868" t="s">
        <v>224</v>
      </c>
      <c r="O868" t="s">
        <v>351</v>
      </c>
      <c r="P868">
        <v>1.2256049274915478E-6</v>
      </c>
      <c r="Q868" t="s">
        <v>159</v>
      </c>
      <c r="S868" t="s">
        <v>266</v>
      </c>
      <c r="T868" t="s">
        <v>351</v>
      </c>
      <c r="U868">
        <v>2.8999798625421611E-5</v>
      </c>
      <c r="V868" t="s">
        <v>159</v>
      </c>
    </row>
    <row r="869" spans="9:22" x14ac:dyDescent="0.45">
      <c r="I869" t="s">
        <v>181</v>
      </c>
      <c r="J869" t="s">
        <v>352</v>
      </c>
      <c r="K869">
        <v>0</v>
      </c>
      <c r="L869" t="s">
        <v>159</v>
      </c>
      <c r="N869" t="s">
        <v>224</v>
      </c>
      <c r="O869" t="s">
        <v>352</v>
      </c>
      <c r="P869">
        <v>2.2946589327686442E-6</v>
      </c>
      <c r="Q869" t="s">
        <v>159</v>
      </c>
      <c r="S869" t="s">
        <v>266</v>
      </c>
      <c r="T869" t="s">
        <v>352</v>
      </c>
      <c r="U869">
        <v>3.4994054886459842E-5</v>
      </c>
      <c r="V869" t="s">
        <v>159</v>
      </c>
    </row>
    <row r="870" spans="9:22" x14ac:dyDescent="0.45">
      <c r="I870" t="s">
        <v>181</v>
      </c>
      <c r="J870" t="s">
        <v>353</v>
      </c>
      <c r="K870">
        <v>1.4571246714430594E-6</v>
      </c>
      <c r="L870" t="s">
        <v>159</v>
      </c>
      <c r="N870" t="s">
        <v>224</v>
      </c>
      <c r="O870" t="s">
        <v>353</v>
      </c>
      <c r="P870">
        <v>5.1319784454229284E-6</v>
      </c>
      <c r="Q870" t="s">
        <v>159</v>
      </c>
      <c r="S870" t="s">
        <v>266</v>
      </c>
      <c r="T870" t="s">
        <v>353</v>
      </c>
      <c r="U870">
        <v>3.7321169807090146E-5</v>
      </c>
      <c r="V870" t="s">
        <v>159</v>
      </c>
    </row>
    <row r="871" spans="9:22" x14ac:dyDescent="0.45">
      <c r="I871" t="s">
        <v>181</v>
      </c>
      <c r="J871" t="s">
        <v>354</v>
      </c>
      <c r="K871">
        <v>1.420563276232248E-4</v>
      </c>
      <c r="L871" t="s">
        <v>159</v>
      </c>
      <c r="N871" t="s">
        <v>224</v>
      </c>
      <c r="O871" t="s">
        <v>354</v>
      </c>
      <c r="P871">
        <v>3.3629134089792848E-6</v>
      </c>
      <c r="Q871" t="s">
        <v>159</v>
      </c>
      <c r="S871" t="s">
        <v>266</v>
      </c>
      <c r="T871" t="s">
        <v>354</v>
      </c>
      <c r="U871">
        <v>3.5432330376667771E-5</v>
      </c>
      <c r="V871" t="s">
        <v>159</v>
      </c>
    </row>
    <row r="872" spans="9:22" x14ac:dyDescent="0.45">
      <c r="I872" t="s">
        <v>181</v>
      </c>
      <c r="J872" t="s">
        <v>355</v>
      </c>
      <c r="K872">
        <v>1.6447066306528738E-4</v>
      </c>
      <c r="L872" t="s">
        <v>159</v>
      </c>
      <c r="N872" t="s">
        <v>224</v>
      </c>
      <c r="O872" t="s">
        <v>355</v>
      </c>
      <c r="P872">
        <v>4.996587587626933E-7</v>
      </c>
      <c r="Q872" t="s">
        <v>159</v>
      </c>
      <c r="S872" t="s">
        <v>266</v>
      </c>
      <c r="T872" t="s">
        <v>355</v>
      </c>
      <c r="U872">
        <v>3.1109010103854788E-5</v>
      </c>
      <c r="V872" t="s">
        <v>159</v>
      </c>
    </row>
    <row r="873" spans="9:22" x14ac:dyDescent="0.45">
      <c r="I873" t="s">
        <v>181</v>
      </c>
      <c r="J873" t="s">
        <v>356</v>
      </c>
      <c r="K873">
        <v>1.6155465623040254E-4</v>
      </c>
      <c r="L873" t="s">
        <v>159</v>
      </c>
      <c r="N873" t="s">
        <v>224</v>
      </c>
      <c r="O873" t="s">
        <v>356</v>
      </c>
      <c r="P873">
        <v>1.900153961183792E-6</v>
      </c>
      <c r="Q873" t="s">
        <v>159</v>
      </c>
      <c r="S873" t="s">
        <v>266</v>
      </c>
      <c r="T873" t="s">
        <v>356</v>
      </c>
      <c r="U873">
        <v>2.4273820669963762E-5</v>
      </c>
      <c r="V873" t="s">
        <v>159</v>
      </c>
    </row>
    <row r="874" spans="9:22" x14ac:dyDescent="0.45">
      <c r="I874" t="s">
        <v>181</v>
      </c>
      <c r="J874" t="s">
        <v>357</v>
      </c>
      <c r="K874">
        <v>1.8403262507682528E-4</v>
      </c>
      <c r="L874" t="s">
        <v>159</v>
      </c>
      <c r="N874" t="s">
        <v>224</v>
      </c>
      <c r="O874" t="s">
        <v>357</v>
      </c>
      <c r="P874">
        <v>2.7561377554521209E-5</v>
      </c>
      <c r="Q874" t="s">
        <v>159</v>
      </c>
      <c r="S874" t="s">
        <v>266</v>
      </c>
      <c r="T874" t="s">
        <v>357</v>
      </c>
      <c r="U874">
        <v>1.9878923282482615E-5</v>
      </c>
      <c r="V874" t="s">
        <v>159</v>
      </c>
    </row>
    <row r="875" spans="9:22" x14ac:dyDescent="0.45">
      <c r="I875" t="s">
        <v>181</v>
      </c>
      <c r="J875" t="s">
        <v>358</v>
      </c>
      <c r="K875">
        <v>2.3633488190464959E-4</v>
      </c>
      <c r="L875" t="s">
        <v>159</v>
      </c>
      <c r="N875" t="s">
        <v>224</v>
      </c>
      <c r="O875" t="s">
        <v>358</v>
      </c>
      <c r="P875">
        <v>2.8331283995829559E-5</v>
      </c>
      <c r="Q875" t="s">
        <v>159</v>
      </c>
      <c r="S875" t="s">
        <v>266</v>
      </c>
      <c r="T875" t="s">
        <v>358</v>
      </c>
      <c r="U875">
        <v>1.3740088340561536E-5</v>
      </c>
      <c r="V875" t="s">
        <v>159</v>
      </c>
    </row>
    <row r="876" spans="9:22" x14ac:dyDescent="0.45">
      <c r="I876" t="s">
        <v>181</v>
      </c>
      <c r="J876" t="s">
        <v>359</v>
      </c>
      <c r="K876">
        <v>1.771727320391479E-4</v>
      </c>
      <c r="L876" t="s">
        <v>159</v>
      </c>
      <c r="N876" t="s">
        <v>224</v>
      </c>
      <c r="O876" t="s">
        <v>359</v>
      </c>
      <c r="P876">
        <v>3.9112906866369889E-5</v>
      </c>
      <c r="Q876" t="s">
        <v>159</v>
      </c>
      <c r="S876" t="s">
        <v>266</v>
      </c>
      <c r="T876" t="s">
        <v>359</v>
      </c>
      <c r="U876">
        <v>8.7412594426251168E-6</v>
      </c>
      <c r="V876" t="s">
        <v>159</v>
      </c>
    </row>
    <row r="877" spans="9:22" x14ac:dyDescent="0.45">
      <c r="I877" t="s">
        <v>181</v>
      </c>
      <c r="J877" t="s">
        <v>360</v>
      </c>
      <c r="K877">
        <v>1.6000892004404291E-4</v>
      </c>
      <c r="L877" t="s">
        <v>159</v>
      </c>
      <c r="N877" t="s">
        <v>224</v>
      </c>
      <c r="O877" t="s">
        <v>360</v>
      </c>
      <c r="P877">
        <v>6.7009056970578789E-5</v>
      </c>
      <c r="Q877" t="s">
        <v>159</v>
      </c>
      <c r="S877" t="s">
        <v>266</v>
      </c>
      <c r="T877" t="s">
        <v>360</v>
      </c>
      <c r="U877">
        <v>7.6744526214033342E-6</v>
      </c>
      <c r="V877" t="s">
        <v>159</v>
      </c>
    </row>
    <row r="878" spans="9:22" x14ac:dyDescent="0.45">
      <c r="I878" t="s">
        <v>181</v>
      </c>
      <c r="J878" t="s">
        <v>361</v>
      </c>
      <c r="K878">
        <v>1.7506528692157652E-4</v>
      </c>
      <c r="L878" t="s">
        <v>159</v>
      </c>
      <c r="N878" t="s">
        <v>224</v>
      </c>
      <c r="O878" t="s">
        <v>361</v>
      </c>
      <c r="P878">
        <v>1.0613295112885198E-4</v>
      </c>
      <c r="Q878" t="s">
        <v>159</v>
      </c>
      <c r="S878" t="s">
        <v>266</v>
      </c>
      <c r="T878" t="s">
        <v>361</v>
      </c>
      <c r="U878">
        <v>1.0730726871385849E-5</v>
      </c>
      <c r="V878" t="s">
        <v>159</v>
      </c>
    </row>
    <row r="879" spans="9:22" x14ac:dyDescent="0.45">
      <c r="I879" t="s">
        <v>181</v>
      </c>
      <c r="J879" t="s">
        <v>362</v>
      </c>
      <c r="K879">
        <v>1.5673151336664042E-4</v>
      </c>
      <c r="L879" t="s">
        <v>159</v>
      </c>
      <c r="N879" t="s">
        <v>224</v>
      </c>
      <c r="O879" t="s">
        <v>362</v>
      </c>
      <c r="P879">
        <v>1.5127266761748865E-4</v>
      </c>
      <c r="Q879" t="s">
        <v>159</v>
      </c>
      <c r="S879" t="s">
        <v>266</v>
      </c>
      <c r="T879" t="s">
        <v>362</v>
      </c>
      <c r="U879">
        <v>2.0243766310358165E-5</v>
      </c>
      <c r="V879" t="s">
        <v>159</v>
      </c>
    </row>
    <row r="880" spans="9:22" x14ac:dyDescent="0.45">
      <c r="I880" t="s">
        <v>181</v>
      </c>
      <c r="J880" t="s">
        <v>363</v>
      </c>
      <c r="K880">
        <v>0</v>
      </c>
      <c r="L880" t="s">
        <v>159</v>
      </c>
      <c r="N880" t="s">
        <v>224</v>
      </c>
      <c r="O880" t="s">
        <v>363</v>
      </c>
      <c r="P880">
        <v>1.8042605393952426E-4</v>
      </c>
      <c r="Q880" t="s">
        <v>159</v>
      </c>
      <c r="S880" t="s">
        <v>266</v>
      </c>
      <c r="T880" t="s">
        <v>363</v>
      </c>
      <c r="U880">
        <v>2.0127714292437656E-5</v>
      </c>
      <c r="V880" t="s">
        <v>159</v>
      </c>
    </row>
    <row r="881" spans="9:22" x14ac:dyDescent="0.45">
      <c r="I881" t="s">
        <v>181</v>
      </c>
      <c r="J881" t="s">
        <v>364</v>
      </c>
      <c r="K881">
        <v>0</v>
      </c>
      <c r="L881" t="s">
        <v>159</v>
      </c>
      <c r="N881" t="s">
        <v>224</v>
      </c>
      <c r="O881" t="s">
        <v>364</v>
      </c>
      <c r="P881">
        <v>1.3420202847793912E-4</v>
      </c>
      <c r="Q881" t="s">
        <v>159</v>
      </c>
      <c r="S881" t="s">
        <v>266</v>
      </c>
      <c r="T881" t="s">
        <v>364</v>
      </c>
      <c r="U881">
        <v>1.2635927008543728E-5</v>
      </c>
      <c r="V881" t="s">
        <v>159</v>
      </c>
    </row>
    <row r="882" spans="9:22" x14ac:dyDescent="0.45">
      <c r="I882" t="s">
        <v>181</v>
      </c>
      <c r="J882" t="s">
        <v>365</v>
      </c>
      <c r="K882">
        <v>0</v>
      </c>
      <c r="L882" t="s">
        <v>159</v>
      </c>
      <c r="N882" t="s">
        <v>224</v>
      </c>
      <c r="O882" t="s">
        <v>365</v>
      </c>
      <c r="P882">
        <v>8.059907172300669E-5</v>
      </c>
      <c r="Q882" t="s">
        <v>159</v>
      </c>
      <c r="S882" t="s">
        <v>266</v>
      </c>
      <c r="T882" t="s">
        <v>365</v>
      </c>
      <c r="U882">
        <v>5.6185338606900914E-6</v>
      </c>
      <c r="V882" t="s">
        <v>159</v>
      </c>
    </row>
    <row r="883" spans="9:22" x14ac:dyDescent="0.45">
      <c r="I883" t="s">
        <v>181</v>
      </c>
      <c r="J883" t="s">
        <v>366</v>
      </c>
      <c r="K883">
        <v>0</v>
      </c>
      <c r="L883" t="s">
        <v>159</v>
      </c>
      <c r="N883" t="s">
        <v>224</v>
      </c>
      <c r="O883" t="s">
        <v>366</v>
      </c>
      <c r="P883">
        <v>4.6545371058144242E-5</v>
      </c>
      <c r="Q883" t="s">
        <v>159</v>
      </c>
      <c r="S883" t="s">
        <v>266</v>
      </c>
      <c r="T883" t="s">
        <v>366</v>
      </c>
      <c r="U883">
        <v>4.0222459892621246E-6</v>
      </c>
      <c r="V883" t="s">
        <v>159</v>
      </c>
    </row>
    <row r="884" spans="9:22" x14ac:dyDescent="0.45">
      <c r="I884" t="s">
        <v>181</v>
      </c>
      <c r="J884" t="s">
        <v>367</v>
      </c>
      <c r="K884">
        <v>0</v>
      </c>
      <c r="L884" t="s">
        <v>159</v>
      </c>
      <c r="N884" t="s">
        <v>224</v>
      </c>
      <c r="O884" t="s">
        <v>367</v>
      </c>
      <c r="P884">
        <v>3.1018567873423598E-5</v>
      </c>
      <c r="Q884" t="s">
        <v>159</v>
      </c>
      <c r="S884" t="s">
        <v>266</v>
      </c>
      <c r="T884" t="s">
        <v>367</v>
      </c>
      <c r="U884">
        <v>2.980268182217707E-6</v>
      </c>
      <c r="V884" t="s">
        <v>159</v>
      </c>
    </row>
    <row r="885" spans="9:22" x14ac:dyDescent="0.45">
      <c r="I885" t="s">
        <v>181</v>
      </c>
      <c r="J885" t="s">
        <v>368</v>
      </c>
      <c r="K885">
        <v>0</v>
      </c>
      <c r="L885" t="s">
        <v>159</v>
      </c>
      <c r="N885" t="s">
        <v>224</v>
      </c>
      <c r="O885" t="s">
        <v>368</v>
      </c>
      <c r="P885">
        <v>2.1760476430494132E-5</v>
      </c>
      <c r="Q885" t="s">
        <v>159</v>
      </c>
      <c r="S885" t="s">
        <v>266</v>
      </c>
      <c r="T885" t="s">
        <v>368</v>
      </c>
      <c r="U885">
        <v>1.5496951842924763E-6</v>
      </c>
      <c r="V885" t="s">
        <v>159</v>
      </c>
    </row>
    <row r="886" spans="9:22" x14ac:dyDescent="0.45">
      <c r="I886" t="s">
        <v>181</v>
      </c>
      <c r="J886" t="s">
        <v>369</v>
      </c>
      <c r="K886">
        <v>0</v>
      </c>
      <c r="L886" t="s">
        <v>159</v>
      </c>
      <c r="N886" t="s">
        <v>224</v>
      </c>
      <c r="O886" t="s">
        <v>369</v>
      </c>
      <c r="P886">
        <v>1.5063480489633468E-5</v>
      </c>
      <c r="Q886" t="s">
        <v>159</v>
      </c>
      <c r="S886" t="s">
        <v>266</v>
      </c>
      <c r="T886" t="s">
        <v>369</v>
      </c>
      <c r="U886">
        <v>2.71307647780203E-7</v>
      </c>
      <c r="V886" t="s">
        <v>159</v>
      </c>
    </row>
    <row r="887" spans="9:22" x14ac:dyDescent="0.45">
      <c r="I887" t="s">
        <v>181</v>
      </c>
      <c r="J887" t="s">
        <v>165</v>
      </c>
      <c r="K887">
        <v>0</v>
      </c>
      <c r="L887" t="s">
        <v>159</v>
      </c>
      <c r="N887" t="s">
        <v>224</v>
      </c>
      <c r="O887" t="s">
        <v>165</v>
      </c>
      <c r="P887">
        <v>2.9017925434565529E-2</v>
      </c>
      <c r="Q887" t="s">
        <v>159</v>
      </c>
      <c r="S887" t="s">
        <v>266</v>
      </c>
      <c r="T887" t="s">
        <v>165</v>
      </c>
      <c r="U887">
        <v>2.6635906480984125E-2</v>
      </c>
      <c r="V887" t="s">
        <v>159</v>
      </c>
    </row>
    <row r="888" spans="9:22" x14ac:dyDescent="0.45">
      <c r="I888" t="s">
        <v>181</v>
      </c>
      <c r="J888" t="s">
        <v>166</v>
      </c>
      <c r="K888">
        <v>3.8523333054247101E-3</v>
      </c>
      <c r="L888" t="s">
        <v>159</v>
      </c>
      <c r="N888" t="s">
        <v>224</v>
      </c>
      <c r="O888" t="s">
        <v>166</v>
      </c>
      <c r="P888">
        <v>4.8236291054847046E-3</v>
      </c>
      <c r="Q888" t="s">
        <v>159</v>
      </c>
      <c r="S888" t="s">
        <v>266</v>
      </c>
      <c r="T888" t="s">
        <v>166</v>
      </c>
      <c r="U888">
        <v>4.1048878946181805E-3</v>
      </c>
      <c r="V888" t="s">
        <v>159</v>
      </c>
    </row>
    <row r="889" spans="9:22" x14ac:dyDescent="0.45">
      <c r="I889" t="s">
        <v>181</v>
      </c>
      <c r="J889" t="s">
        <v>167</v>
      </c>
      <c r="K889">
        <v>5.2337659125390783E-2</v>
      </c>
      <c r="L889" t="s">
        <v>159</v>
      </c>
      <c r="N889" t="s">
        <v>224</v>
      </c>
      <c r="O889" t="s">
        <v>167</v>
      </c>
      <c r="P889">
        <v>2.8719778978629051E-2</v>
      </c>
      <c r="Q889" t="s">
        <v>159</v>
      </c>
      <c r="S889" t="s">
        <v>266</v>
      </c>
      <c r="T889" t="s">
        <v>167</v>
      </c>
      <c r="U889">
        <v>4.1645456484197714E-2</v>
      </c>
      <c r="V889" t="s">
        <v>159</v>
      </c>
    </row>
    <row r="890" spans="9:22" x14ac:dyDescent="0.45">
      <c r="I890" t="s">
        <v>181</v>
      </c>
      <c r="J890" t="s">
        <v>291</v>
      </c>
      <c r="K890">
        <v>2.8681563165478723E-3</v>
      </c>
      <c r="L890" t="s">
        <v>159</v>
      </c>
      <c r="N890" t="s">
        <v>224</v>
      </c>
      <c r="O890" t="s">
        <v>291</v>
      </c>
      <c r="P890">
        <v>5.4967622958919738E-3</v>
      </c>
      <c r="Q890" t="s">
        <v>159</v>
      </c>
      <c r="S890" t="s">
        <v>266</v>
      </c>
      <c r="T890" t="s">
        <v>291</v>
      </c>
      <c r="U890">
        <v>4.7904110375584013E-3</v>
      </c>
      <c r="V890" t="s">
        <v>159</v>
      </c>
    </row>
    <row r="891" spans="9:22" x14ac:dyDescent="0.45">
      <c r="I891" t="s">
        <v>181</v>
      </c>
      <c r="J891" t="s">
        <v>292</v>
      </c>
      <c r="K891">
        <v>0</v>
      </c>
      <c r="L891" t="s">
        <v>159</v>
      </c>
      <c r="N891" t="s">
        <v>224</v>
      </c>
      <c r="O891" t="s">
        <v>292</v>
      </c>
      <c r="P891">
        <v>6.6332532733699929E-3</v>
      </c>
      <c r="Q891" t="s">
        <v>159</v>
      </c>
      <c r="S891" t="s">
        <v>266</v>
      </c>
      <c r="T891" t="s">
        <v>292</v>
      </c>
      <c r="U891">
        <v>4.625353273355848E-3</v>
      </c>
      <c r="V891" t="s">
        <v>159</v>
      </c>
    </row>
    <row r="892" spans="9:22" x14ac:dyDescent="0.45">
      <c r="I892" t="s">
        <v>181</v>
      </c>
      <c r="J892" t="s">
        <v>310</v>
      </c>
      <c r="K892">
        <v>0</v>
      </c>
      <c r="L892" t="s">
        <v>159</v>
      </c>
      <c r="N892" t="s">
        <v>224</v>
      </c>
      <c r="O892" t="s">
        <v>310</v>
      </c>
      <c r="P892">
        <v>2.5350462254877717E-2</v>
      </c>
      <c r="Q892" t="s">
        <v>159</v>
      </c>
      <c r="S892" t="s">
        <v>266</v>
      </c>
      <c r="T892" t="s">
        <v>310</v>
      </c>
      <c r="U892">
        <v>2.0457866993310449E-2</v>
      </c>
      <c r="V892" t="s">
        <v>159</v>
      </c>
    </row>
    <row r="893" spans="9:22" x14ac:dyDescent="0.45">
      <c r="I893" t="s">
        <v>181</v>
      </c>
      <c r="J893" t="s">
        <v>293</v>
      </c>
      <c r="K893">
        <v>0</v>
      </c>
      <c r="L893" t="s">
        <v>159</v>
      </c>
      <c r="N893" t="s">
        <v>224</v>
      </c>
      <c r="O893" t="s">
        <v>293</v>
      </c>
      <c r="P893">
        <v>7.0896697508363218E-3</v>
      </c>
      <c r="Q893" t="s">
        <v>159</v>
      </c>
      <c r="S893" t="s">
        <v>266</v>
      </c>
      <c r="T893" t="s">
        <v>293</v>
      </c>
      <c r="U893">
        <v>3.0442873899969836E-3</v>
      </c>
      <c r="V893" t="s">
        <v>159</v>
      </c>
    </row>
    <row r="894" spans="9:22" x14ac:dyDescent="0.45">
      <c r="I894" t="s">
        <v>181</v>
      </c>
      <c r="J894" t="s">
        <v>294</v>
      </c>
      <c r="K894">
        <v>1.2529910600307837E-3</v>
      </c>
      <c r="L894" t="s">
        <v>159</v>
      </c>
      <c r="N894" t="s">
        <v>224</v>
      </c>
      <c r="O894" t="s">
        <v>294</v>
      </c>
      <c r="P894">
        <v>1.0315586196843782E-3</v>
      </c>
      <c r="Q894" t="s">
        <v>159</v>
      </c>
      <c r="S894" t="s">
        <v>266</v>
      </c>
      <c r="T894" t="s">
        <v>294</v>
      </c>
      <c r="U894">
        <v>4.6913359680795684E-4</v>
      </c>
      <c r="V894" t="s">
        <v>159</v>
      </c>
    </row>
    <row r="895" spans="9:22" x14ac:dyDescent="0.45">
      <c r="I895" t="s">
        <v>181</v>
      </c>
      <c r="J895" t="s">
        <v>295</v>
      </c>
      <c r="K895">
        <v>1.605878033210759E-2</v>
      </c>
      <c r="L895" t="s">
        <v>159</v>
      </c>
      <c r="N895" t="s">
        <v>224</v>
      </c>
      <c r="O895" t="s">
        <v>295</v>
      </c>
      <c r="P895">
        <v>8.714757832487291E-3</v>
      </c>
      <c r="Q895" t="s">
        <v>159</v>
      </c>
      <c r="S895" t="s">
        <v>266</v>
      </c>
      <c r="T895" t="s">
        <v>295</v>
      </c>
      <c r="U895">
        <v>5.5720773307617981E-3</v>
      </c>
      <c r="V895" t="s">
        <v>159</v>
      </c>
    </row>
    <row r="896" spans="9:22" x14ac:dyDescent="0.45">
      <c r="I896" t="s">
        <v>181</v>
      </c>
      <c r="J896" t="s">
        <v>296</v>
      </c>
      <c r="K896">
        <v>1.1616146572171705E-3</v>
      </c>
      <c r="L896" t="s">
        <v>159</v>
      </c>
      <c r="N896" t="s">
        <v>224</v>
      </c>
      <c r="O896" t="s">
        <v>296</v>
      </c>
      <c r="P896">
        <v>2.3513839962972798E-3</v>
      </c>
      <c r="Q896" t="s">
        <v>159</v>
      </c>
      <c r="S896" t="s">
        <v>266</v>
      </c>
      <c r="T896" t="s">
        <v>296</v>
      </c>
      <c r="U896">
        <v>7.4911795365639039E-4</v>
      </c>
      <c r="V896" t="s">
        <v>159</v>
      </c>
    </row>
    <row r="897" spans="9:22" x14ac:dyDescent="0.45">
      <c r="I897" t="s">
        <v>181</v>
      </c>
      <c r="J897" t="s">
        <v>297</v>
      </c>
      <c r="K897">
        <v>0</v>
      </c>
      <c r="L897" t="s">
        <v>159</v>
      </c>
      <c r="N897" t="s">
        <v>224</v>
      </c>
      <c r="O897" t="s">
        <v>297</v>
      </c>
      <c r="P897">
        <v>2.7213077576872498E-3</v>
      </c>
      <c r="Q897" t="s">
        <v>159</v>
      </c>
      <c r="S897" t="s">
        <v>266</v>
      </c>
      <c r="T897" t="s">
        <v>297</v>
      </c>
      <c r="U897">
        <v>7.3077424085233537E-4</v>
      </c>
      <c r="V897" t="s">
        <v>159</v>
      </c>
    </row>
    <row r="898" spans="9:22" x14ac:dyDescent="0.45">
      <c r="I898" t="s">
        <v>181</v>
      </c>
      <c r="J898" t="s">
        <v>311</v>
      </c>
      <c r="K898">
        <v>0</v>
      </c>
      <c r="L898" t="s">
        <v>159</v>
      </c>
      <c r="N898" t="s">
        <v>224</v>
      </c>
      <c r="O898" t="s">
        <v>311</v>
      </c>
      <c r="P898">
        <v>9.9559387007667581E-3</v>
      </c>
      <c r="Q898" t="s">
        <v>159</v>
      </c>
      <c r="S898" t="s">
        <v>266</v>
      </c>
      <c r="T898" t="s">
        <v>311</v>
      </c>
      <c r="U898">
        <v>2.9306196043032405E-3</v>
      </c>
      <c r="V898" t="s">
        <v>159</v>
      </c>
    </row>
    <row r="899" spans="9:22" x14ac:dyDescent="0.45">
      <c r="I899" t="s">
        <v>181</v>
      </c>
      <c r="J899" t="s">
        <v>298</v>
      </c>
      <c r="K899">
        <v>1.7298273481645667E-2</v>
      </c>
      <c r="L899" t="s">
        <v>159</v>
      </c>
      <c r="N899" t="s">
        <v>224</v>
      </c>
      <c r="O899" t="s">
        <v>298</v>
      </c>
      <c r="P899">
        <v>7.0299704685868325E-2</v>
      </c>
      <c r="Q899" t="s">
        <v>159</v>
      </c>
      <c r="S899" t="s">
        <v>266</v>
      </c>
      <c r="T899" t="s">
        <v>298</v>
      </c>
      <c r="U899">
        <v>7.384669799893312E-2</v>
      </c>
      <c r="V899" t="s">
        <v>159</v>
      </c>
    </row>
    <row r="900" spans="9:22" x14ac:dyDescent="0.45">
      <c r="I900" t="s">
        <v>181</v>
      </c>
      <c r="J900" t="s">
        <v>299</v>
      </c>
      <c r="K900">
        <v>2.1258301705387398E-2</v>
      </c>
      <c r="L900" t="s">
        <v>159</v>
      </c>
      <c r="N900" t="s">
        <v>224</v>
      </c>
      <c r="O900" t="s">
        <v>299</v>
      </c>
      <c r="P900">
        <v>8.8922053161275428E-3</v>
      </c>
      <c r="Q900" t="s">
        <v>159</v>
      </c>
      <c r="S900" t="s">
        <v>266</v>
      </c>
      <c r="T900" t="s">
        <v>299</v>
      </c>
      <c r="U900">
        <v>1.0460894864940902E-2</v>
      </c>
      <c r="V900" t="s">
        <v>159</v>
      </c>
    </row>
    <row r="901" spans="9:22" x14ac:dyDescent="0.45">
      <c r="I901" t="s">
        <v>181</v>
      </c>
      <c r="J901" t="s">
        <v>300</v>
      </c>
      <c r="K901">
        <v>0.24947801465139721</v>
      </c>
      <c r="L901" t="s">
        <v>159</v>
      </c>
      <c r="N901" t="s">
        <v>224</v>
      </c>
      <c r="O901" t="s">
        <v>300</v>
      </c>
      <c r="P901">
        <v>0.11843855755517893</v>
      </c>
      <c r="Q901" t="s">
        <v>159</v>
      </c>
      <c r="S901" t="s">
        <v>266</v>
      </c>
      <c r="T901" t="s">
        <v>300</v>
      </c>
      <c r="U901">
        <v>0.11808811686336407</v>
      </c>
      <c r="V901" t="s">
        <v>159</v>
      </c>
    </row>
    <row r="902" spans="9:22" x14ac:dyDescent="0.45">
      <c r="I902" t="s">
        <v>181</v>
      </c>
      <c r="J902" t="s">
        <v>301</v>
      </c>
      <c r="K902">
        <v>1.8653653505506664E-2</v>
      </c>
      <c r="L902" t="s">
        <v>159</v>
      </c>
      <c r="N902" t="s">
        <v>224</v>
      </c>
      <c r="O902" t="s">
        <v>301</v>
      </c>
      <c r="P902">
        <v>2.4099040703521517E-2</v>
      </c>
      <c r="Q902" t="s">
        <v>159</v>
      </c>
      <c r="S902" t="s">
        <v>266</v>
      </c>
      <c r="T902" t="s">
        <v>301</v>
      </c>
      <c r="U902">
        <v>1.5235920330129115E-2</v>
      </c>
      <c r="V902" t="s">
        <v>159</v>
      </c>
    </row>
    <row r="903" spans="9:22" x14ac:dyDescent="0.45">
      <c r="I903" t="s">
        <v>181</v>
      </c>
      <c r="J903" t="s">
        <v>302</v>
      </c>
      <c r="K903">
        <v>5.3726615623448503E-3</v>
      </c>
      <c r="L903" t="s">
        <v>159</v>
      </c>
      <c r="N903" t="s">
        <v>224</v>
      </c>
      <c r="O903" t="s">
        <v>302</v>
      </c>
      <c r="P903">
        <v>2.5109958254087978E-2</v>
      </c>
      <c r="Q903" t="s">
        <v>159</v>
      </c>
      <c r="S903" t="s">
        <v>266</v>
      </c>
      <c r="T903" t="s">
        <v>302</v>
      </c>
      <c r="U903">
        <v>1.4262528746189324E-2</v>
      </c>
      <c r="V903" t="s">
        <v>159</v>
      </c>
    </row>
    <row r="904" spans="9:22" x14ac:dyDescent="0.45">
      <c r="I904" t="s">
        <v>181</v>
      </c>
      <c r="J904" t="s">
        <v>312</v>
      </c>
      <c r="K904">
        <v>0</v>
      </c>
      <c r="L904" t="s">
        <v>159</v>
      </c>
      <c r="N904" t="s">
        <v>224</v>
      </c>
      <c r="O904" t="s">
        <v>312</v>
      </c>
      <c r="P904">
        <v>9.2160511560514358E-2</v>
      </c>
      <c r="Q904" t="s">
        <v>159</v>
      </c>
      <c r="S904" t="s">
        <v>266</v>
      </c>
      <c r="T904" t="s">
        <v>312</v>
      </c>
      <c r="U904">
        <v>5.943823752639691E-2</v>
      </c>
      <c r="V904" t="s">
        <v>159</v>
      </c>
    </row>
    <row r="905" spans="9:22" x14ac:dyDescent="0.45">
      <c r="I905" t="s">
        <v>181</v>
      </c>
      <c r="J905" t="s">
        <v>313</v>
      </c>
      <c r="K905">
        <v>7.6768981594689985E-3</v>
      </c>
      <c r="L905" t="s">
        <v>159</v>
      </c>
      <c r="N905" t="s">
        <v>224</v>
      </c>
      <c r="O905" t="s">
        <v>313</v>
      </c>
      <c r="P905">
        <v>1.1515732506043685E-2</v>
      </c>
      <c r="Q905" t="s">
        <v>159</v>
      </c>
      <c r="S905" t="s">
        <v>266</v>
      </c>
      <c r="T905" t="s">
        <v>313</v>
      </c>
      <c r="U905">
        <v>2.0305729342655766E-2</v>
      </c>
      <c r="V905" t="s">
        <v>159</v>
      </c>
    </row>
    <row r="906" spans="9:22" x14ac:dyDescent="0.45">
      <c r="I906" t="s">
        <v>181</v>
      </c>
      <c r="J906" t="s">
        <v>314</v>
      </c>
      <c r="K906">
        <v>6.9695075519490444E-3</v>
      </c>
      <c r="L906" t="s">
        <v>159</v>
      </c>
      <c r="N906" t="s">
        <v>224</v>
      </c>
      <c r="O906" t="s">
        <v>314</v>
      </c>
      <c r="P906">
        <v>1.2238444423438312E-3</v>
      </c>
      <c r="Q906" t="s">
        <v>159</v>
      </c>
      <c r="S906" t="s">
        <v>266</v>
      </c>
      <c r="T906" t="s">
        <v>314</v>
      </c>
      <c r="U906">
        <v>3.1007004545476106E-3</v>
      </c>
      <c r="V906" t="s">
        <v>159</v>
      </c>
    </row>
    <row r="907" spans="9:22" x14ac:dyDescent="0.45">
      <c r="I907" t="s">
        <v>181</v>
      </c>
      <c r="J907" t="s">
        <v>315</v>
      </c>
      <c r="K907">
        <v>8.565741847150192E-2</v>
      </c>
      <c r="L907" t="s">
        <v>159</v>
      </c>
      <c r="N907" t="s">
        <v>224</v>
      </c>
      <c r="O907" t="s">
        <v>315</v>
      </c>
      <c r="P907">
        <v>2.2289267906085861E-2</v>
      </c>
      <c r="Q907" t="s">
        <v>159</v>
      </c>
      <c r="S907" t="s">
        <v>266</v>
      </c>
      <c r="T907" t="s">
        <v>315</v>
      </c>
      <c r="U907">
        <v>3.5495916779526765E-2</v>
      </c>
      <c r="V907" t="s">
        <v>159</v>
      </c>
    </row>
    <row r="908" spans="9:22" x14ac:dyDescent="0.45">
      <c r="I908" t="s">
        <v>181</v>
      </c>
      <c r="J908" t="s">
        <v>316</v>
      </c>
      <c r="K908">
        <v>7.0277133595924406E-3</v>
      </c>
      <c r="L908" t="s">
        <v>159</v>
      </c>
      <c r="N908" t="s">
        <v>224</v>
      </c>
      <c r="O908" t="s">
        <v>316</v>
      </c>
      <c r="P908">
        <v>3.8296355197927922E-3</v>
      </c>
      <c r="Q908" t="s">
        <v>159</v>
      </c>
      <c r="S908" t="s">
        <v>266</v>
      </c>
      <c r="T908" t="s">
        <v>316</v>
      </c>
      <c r="U908">
        <v>4.8118630926994414E-3</v>
      </c>
      <c r="V908" t="s">
        <v>159</v>
      </c>
    </row>
    <row r="909" spans="9:22" x14ac:dyDescent="0.45">
      <c r="I909" t="s">
        <v>181</v>
      </c>
      <c r="J909" t="s">
        <v>317</v>
      </c>
      <c r="K909">
        <v>4.7852082602991303E-3</v>
      </c>
      <c r="L909" t="s">
        <v>159</v>
      </c>
      <c r="N909" t="s">
        <v>224</v>
      </c>
      <c r="O909" t="s">
        <v>317</v>
      </c>
      <c r="P909">
        <v>3.6956799641302538E-3</v>
      </c>
      <c r="Q909" t="s">
        <v>159</v>
      </c>
      <c r="S909" t="s">
        <v>266</v>
      </c>
      <c r="T909" t="s">
        <v>317</v>
      </c>
      <c r="U909">
        <v>4.4302708952498344E-3</v>
      </c>
      <c r="V909" t="s">
        <v>159</v>
      </c>
    </row>
    <row r="910" spans="9:22" x14ac:dyDescent="0.45">
      <c r="I910" t="s">
        <v>181</v>
      </c>
      <c r="J910" t="s">
        <v>318</v>
      </c>
      <c r="K910">
        <v>0</v>
      </c>
      <c r="L910" t="s">
        <v>159</v>
      </c>
      <c r="N910" t="s">
        <v>224</v>
      </c>
      <c r="O910" t="s">
        <v>318</v>
      </c>
      <c r="P910">
        <v>1.3739655296829825E-2</v>
      </c>
      <c r="Q910" t="s">
        <v>159</v>
      </c>
      <c r="S910" t="s">
        <v>266</v>
      </c>
      <c r="T910" t="s">
        <v>318</v>
      </c>
      <c r="U910">
        <v>1.750525174708684E-2</v>
      </c>
      <c r="V910" t="s">
        <v>159</v>
      </c>
    </row>
    <row r="911" spans="9:22" x14ac:dyDescent="0.45">
      <c r="I911" t="s">
        <v>182</v>
      </c>
      <c r="J911" t="s">
        <v>158</v>
      </c>
      <c r="K911">
        <v>1.3729889898042935E-2</v>
      </c>
      <c r="L911" t="s">
        <v>159</v>
      </c>
      <c r="N911" t="s">
        <v>225</v>
      </c>
      <c r="O911" t="s">
        <v>158</v>
      </c>
      <c r="P911">
        <v>0.12151462300363233</v>
      </c>
      <c r="Q911" t="s">
        <v>159</v>
      </c>
      <c r="S911" t="s">
        <v>267</v>
      </c>
      <c r="T911" t="s">
        <v>158</v>
      </c>
      <c r="U911">
        <v>0.13074007245208005</v>
      </c>
      <c r="V911" t="s">
        <v>159</v>
      </c>
    </row>
    <row r="912" spans="9:22" x14ac:dyDescent="0.45">
      <c r="I912" t="s">
        <v>182</v>
      </c>
      <c r="J912" t="s">
        <v>160</v>
      </c>
      <c r="K912">
        <v>3.1533896160951119E-2</v>
      </c>
      <c r="L912" t="s">
        <v>159</v>
      </c>
      <c r="N912" t="s">
        <v>225</v>
      </c>
      <c r="O912" t="s">
        <v>160</v>
      </c>
      <c r="P912">
        <v>1.6350964176114879E-2</v>
      </c>
      <c r="Q912" t="s">
        <v>159</v>
      </c>
      <c r="S912" t="s">
        <v>267</v>
      </c>
      <c r="T912" t="s">
        <v>160</v>
      </c>
      <c r="U912">
        <v>1.7570593972240173E-2</v>
      </c>
      <c r="V912" t="s">
        <v>159</v>
      </c>
    </row>
    <row r="913" spans="9:22" x14ac:dyDescent="0.45">
      <c r="I913" t="s">
        <v>182</v>
      </c>
      <c r="J913" t="s">
        <v>161</v>
      </c>
      <c r="K913">
        <v>0.37424886774096305</v>
      </c>
      <c r="L913" t="s">
        <v>159</v>
      </c>
      <c r="N913" t="s">
        <v>225</v>
      </c>
      <c r="O913" t="s">
        <v>161</v>
      </c>
      <c r="P913">
        <v>0.1622387958926941</v>
      </c>
      <c r="Q913" t="s">
        <v>159</v>
      </c>
      <c r="S913" t="s">
        <v>267</v>
      </c>
      <c r="T913" t="s">
        <v>161</v>
      </c>
      <c r="U913">
        <v>0.16103283242255848</v>
      </c>
      <c r="V913" t="s">
        <v>159</v>
      </c>
    </row>
    <row r="914" spans="9:22" x14ac:dyDescent="0.45">
      <c r="I914" t="s">
        <v>182</v>
      </c>
      <c r="J914" t="s">
        <v>287</v>
      </c>
      <c r="K914">
        <v>2.3502789500008885E-2</v>
      </c>
      <c r="L914" t="s">
        <v>159</v>
      </c>
      <c r="N914" t="s">
        <v>225</v>
      </c>
      <c r="O914" t="s">
        <v>287</v>
      </c>
      <c r="P914">
        <v>2.295337059432144E-2</v>
      </c>
      <c r="Q914" t="s">
        <v>159</v>
      </c>
      <c r="S914" t="s">
        <v>267</v>
      </c>
      <c r="T914" t="s">
        <v>287</v>
      </c>
      <c r="U914">
        <v>2.0438078086032815E-2</v>
      </c>
      <c r="V914" t="s">
        <v>159</v>
      </c>
    </row>
    <row r="915" spans="9:22" x14ac:dyDescent="0.45">
      <c r="I915" t="s">
        <v>182</v>
      </c>
      <c r="J915" t="s">
        <v>288</v>
      </c>
      <c r="K915">
        <v>1.1984681801644387E-2</v>
      </c>
      <c r="L915" t="s">
        <v>159</v>
      </c>
      <c r="N915" t="s">
        <v>225</v>
      </c>
      <c r="O915" t="s">
        <v>288</v>
      </c>
      <c r="P915">
        <v>2.3647063545289646E-2</v>
      </c>
      <c r="Q915" t="s">
        <v>159</v>
      </c>
      <c r="S915" t="s">
        <v>267</v>
      </c>
      <c r="T915" t="s">
        <v>288</v>
      </c>
      <c r="U915">
        <v>2.0488220993151809E-2</v>
      </c>
      <c r="V915" t="s">
        <v>159</v>
      </c>
    </row>
    <row r="916" spans="9:22" x14ac:dyDescent="0.45">
      <c r="I916" t="s">
        <v>182</v>
      </c>
      <c r="J916" t="s">
        <v>308</v>
      </c>
      <c r="K916">
        <v>0</v>
      </c>
      <c r="L916" t="s">
        <v>159</v>
      </c>
      <c r="N916" t="s">
        <v>225</v>
      </c>
      <c r="O916" t="s">
        <v>308</v>
      </c>
      <c r="P916">
        <v>0.10514939953050695</v>
      </c>
      <c r="Q916" t="s">
        <v>159</v>
      </c>
      <c r="S916" t="s">
        <v>267</v>
      </c>
      <c r="T916" t="s">
        <v>308</v>
      </c>
      <c r="U916">
        <v>9.9550515580430848E-2</v>
      </c>
      <c r="V916" t="s">
        <v>159</v>
      </c>
    </row>
    <row r="917" spans="9:22" x14ac:dyDescent="0.45">
      <c r="I917" t="s">
        <v>182</v>
      </c>
      <c r="J917" t="s">
        <v>162</v>
      </c>
      <c r="K917">
        <v>0</v>
      </c>
      <c r="L917" t="s">
        <v>159</v>
      </c>
      <c r="N917" t="s">
        <v>225</v>
      </c>
      <c r="O917" t="s">
        <v>162</v>
      </c>
      <c r="P917">
        <v>1.6950234342318911E-2</v>
      </c>
      <c r="Q917" t="s">
        <v>159</v>
      </c>
      <c r="S917" t="s">
        <v>267</v>
      </c>
      <c r="T917" t="s">
        <v>162</v>
      </c>
      <c r="U917">
        <v>2.4115905971878748E-2</v>
      </c>
      <c r="V917" t="s">
        <v>159</v>
      </c>
    </row>
    <row r="918" spans="9:22" x14ac:dyDescent="0.45">
      <c r="I918" t="s">
        <v>182</v>
      </c>
      <c r="J918" t="s">
        <v>163</v>
      </c>
      <c r="K918">
        <v>2.5023238997760712E-3</v>
      </c>
      <c r="L918" t="s">
        <v>159</v>
      </c>
      <c r="N918" t="s">
        <v>225</v>
      </c>
      <c r="O918" t="s">
        <v>163</v>
      </c>
      <c r="P918">
        <v>2.2962279133207667E-3</v>
      </c>
      <c r="Q918" t="s">
        <v>159</v>
      </c>
      <c r="S918" t="s">
        <v>267</v>
      </c>
      <c r="T918" t="s">
        <v>163</v>
      </c>
      <c r="U918">
        <v>3.3343520681207222E-3</v>
      </c>
      <c r="V918" t="s">
        <v>159</v>
      </c>
    </row>
    <row r="919" spans="9:22" x14ac:dyDescent="0.45">
      <c r="I919" t="s">
        <v>182</v>
      </c>
      <c r="J919" t="s">
        <v>164</v>
      </c>
      <c r="K919">
        <v>3.9280319240717385E-2</v>
      </c>
      <c r="L919" t="s">
        <v>159</v>
      </c>
      <c r="N919" t="s">
        <v>225</v>
      </c>
      <c r="O919" t="s">
        <v>164</v>
      </c>
      <c r="P919">
        <v>2.1977183382840264E-2</v>
      </c>
      <c r="Q919" t="s">
        <v>159</v>
      </c>
      <c r="S919" t="s">
        <v>267</v>
      </c>
      <c r="T919" t="s">
        <v>164</v>
      </c>
      <c r="U919">
        <v>2.9617884883303146E-2</v>
      </c>
      <c r="V919" t="s">
        <v>159</v>
      </c>
    </row>
    <row r="920" spans="9:22" x14ac:dyDescent="0.45">
      <c r="I920" t="s">
        <v>182</v>
      </c>
      <c r="J920" t="s">
        <v>289</v>
      </c>
      <c r="K920">
        <v>0</v>
      </c>
      <c r="L920" t="s">
        <v>159</v>
      </c>
      <c r="N920" t="s">
        <v>225</v>
      </c>
      <c r="O920" t="s">
        <v>289</v>
      </c>
      <c r="P920">
        <v>3.2567564007862674E-3</v>
      </c>
      <c r="Q920" t="s">
        <v>159</v>
      </c>
      <c r="S920" t="s">
        <v>267</v>
      </c>
      <c r="T920" t="s">
        <v>289</v>
      </c>
      <c r="U920">
        <v>3.2978152995777089E-3</v>
      </c>
      <c r="V920" t="s">
        <v>159</v>
      </c>
    </row>
    <row r="921" spans="9:22" x14ac:dyDescent="0.45">
      <c r="I921" t="s">
        <v>182</v>
      </c>
      <c r="J921" t="s">
        <v>290</v>
      </c>
      <c r="K921">
        <v>0</v>
      </c>
      <c r="L921" t="s">
        <v>159</v>
      </c>
      <c r="N921" t="s">
        <v>225</v>
      </c>
      <c r="O921" t="s">
        <v>290</v>
      </c>
      <c r="P921">
        <v>3.3077156032901328E-3</v>
      </c>
      <c r="Q921" t="s">
        <v>159</v>
      </c>
      <c r="S921" t="s">
        <v>267</v>
      </c>
      <c r="T921" t="s">
        <v>290</v>
      </c>
      <c r="U921">
        <v>3.3361631720996718E-3</v>
      </c>
      <c r="V921" t="s">
        <v>159</v>
      </c>
    </row>
    <row r="922" spans="9:22" x14ac:dyDescent="0.45">
      <c r="I922" t="s">
        <v>182</v>
      </c>
      <c r="J922" t="s">
        <v>309</v>
      </c>
      <c r="K922">
        <v>0</v>
      </c>
      <c r="L922" t="s">
        <v>159</v>
      </c>
      <c r="N922" t="s">
        <v>225</v>
      </c>
      <c r="O922" t="s">
        <v>309</v>
      </c>
      <c r="P922">
        <v>1.4610829570560027E-2</v>
      </c>
      <c r="Q922" t="s">
        <v>159</v>
      </c>
      <c r="S922" t="s">
        <v>267</v>
      </c>
      <c r="T922" t="s">
        <v>309</v>
      </c>
      <c r="U922">
        <v>1.7219635536329658E-2</v>
      </c>
      <c r="V922" t="s">
        <v>159</v>
      </c>
    </row>
    <row r="923" spans="9:22" x14ac:dyDescent="0.45">
      <c r="I923" t="s">
        <v>182</v>
      </c>
      <c r="J923" t="s">
        <v>346</v>
      </c>
      <c r="K923">
        <v>0</v>
      </c>
      <c r="L923" t="s">
        <v>159</v>
      </c>
      <c r="N923" t="s">
        <v>225</v>
      </c>
      <c r="O923" t="s">
        <v>346</v>
      </c>
      <c r="P923">
        <v>1.0615665058074334E-4</v>
      </c>
      <c r="Q923" t="s">
        <v>159</v>
      </c>
      <c r="S923" t="s">
        <v>267</v>
      </c>
      <c r="T923" t="s">
        <v>346</v>
      </c>
      <c r="U923">
        <v>1.3224807008040902E-4</v>
      </c>
      <c r="V923" t="s">
        <v>159</v>
      </c>
    </row>
    <row r="924" spans="9:22" x14ac:dyDescent="0.45">
      <c r="I924" t="s">
        <v>182</v>
      </c>
      <c r="J924" t="s">
        <v>347</v>
      </c>
      <c r="K924">
        <v>0</v>
      </c>
      <c r="L924" t="s">
        <v>159</v>
      </c>
      <c r="N924" t="s">
        <v>225</v>
      </c>
      <c r="O924" t="s">
        <v>347</v>
      </c>
      <c r="P924">
        <v>9.1038738032784075E-5</v>
      </c>
      <c r="Q924" t="s">
        <v>159</v>
      </c>
      <c r="S924" t="s">
        <v>267</v>
      </c>
      <c r="T924" t="s">
        <v>347</v>
      </c>
      <c r="U924">
        <v>1.2209691300391014E-4</v>
      </c>
      <c r="V924" t="s">
        <v>159</v>
      </c>
    </row>
    <row r="925" spans="9:22" x14ac:dyDescent="0.45">
      <c r="I925" t="s">
        <v>182</v>
      </c>
      <c r="J925" t="s">
        <v>348</v>
      </c>
      <c r="K925">
        <v>0</v>
      </c>
      <c r="L925" t="s">
        <v>159</v>
      </c>
      <c r="N925" t="s">
        <v>225</v>
      </c>
      <c r="O925" t="s">
        <v>348</v>
      </c>
      <c r="P925">
        <v>7.8696524919211024E-5</v>
      </c>
      <c r="Q925" t="s">
        <v>159</v>
      </c>
      <c r="S925" t="s">
        <v>267</v>
      </c>
      <c r="T925" t="s">
        <v>348</v>
      </c>
      <c r="U925">
        <v>1.0933924126222885E-4</v>
      </c>
      <c r="V925" t="s">
        <v>159</v>
      </c>
    </row>
    <row r="926" spans="9:22" x14ac:dyDescent="0.45">
      <c r="I926" t="s">
        <v>182</v>
      </c>
      <c r="J926" t="s">
        <v>349</v>
      </c>
      <c r="K926">
        <v>0</v>
      </c>
      <c r="L926" t="s">
        <v>159</v>
      </c>
      <c r="N926" t="s">
        <v>225</v>
      </c>
      <c r="O926" t="s">
        <v>349</v>
      </c>
      <c r="P926">
        <v>6.3593938355530579E-5</v>
      </c>
      <c r="Q926" t="s">
        <v>159</v>
      </c>
      <c r="S926" t="s">
        <v>267</v>
      </c>
      <c r="T926" t="s">
        <v>349</v>
      </c>
      <c r="U926">
        <v>9.3647744461764987E-5</v>
      </c>
      <c r="V926" t="s">
        <v>159</v>
      </c>
    </row>
    <row r="927" spans="9:22" x14ac:dyDescent="0.45">
      <c r="I927" t="s">
        <v>182</v>
      </c>
      <c r="J927" t="s">
        <v>350</v>
      </c>
      <c r="K927">
        <v>0</v>
      </c>
      <c r="L927" t="s">
        <v>159</v>
      </c>
      <c r="N927" t="s">
        <v>225</v>
      </c>
      <c r="O927" t="s">
        <v>350</v>
      </c>
      <c r="P927">
        <v>5.2690384196247352E-5</v>
      </c>
      <c r="Q927" t="s">
        <v>159</v>
      </c>
      <c r="S927" t="s">
        <v>267</v>
      </c>
      <c r="T927" t="s">
        <v>350</v>
      </c>
      <c r="U927">
        <v>8.5176927364563382E-5</v>
      </c>
      <c r="V927" t="s">
        <v>159</v>
      </c>
    </row>
    <row r="928" spans="9:22" x14ac:dyDescent="0.45">
      <c r="I928" t="s">
        <v>182</v>
      </c>
      <c r="J928" t="s">
        <v>351</v>
      </c>
      <c r="K928">
        <v>0</v>
      </c>
      <c r="L928" t="s">
        <v>159</v>
      </c>
      <c r="N928" t="s">
        <v>225</v>
      </c>
      <c r="O928" t="s">
        <v>351</v>
      </c>
      <c r="P928">
        <v>4.5983453890590345E-5</v>
      </c>
      <c r="Q928" t="s">
        <v>159</v>
      </c>
      <c r="S928" t="s">
        <v>267</v>
      </c>
      <c r="T928" t="s">
        <v>351</v>
      </c>
      <c r="U928">
        <v>7.3522900691874672E-5</v>
      </c>
      <c r="V928" t="s">
        <v>159</v>
      </c>
    </row>
    <row r="929" spans="9:22" x14ac:dyDescent="0.45">
      <c r="I929" t="s">
        <v>182</v>
      </c>
      <c r="J929" t="s">
        <v>352</v>
      </c>
      <c r="K929">
        <v>0</v>
      </c>
      <c r="L929" t="s">
        <v>159</v>
      </c>
      <c r="N929" t="s">
        <v>225</v>
      </c>
      <c r="O929" t="s">
        <v>352</v>
      </c>
      <c r="P929">
        <v>4.4924470846573392E-5</v>
      </c>
      <c r="Q929" t="s">
        <v>159</v>
      </c>
      <c r="S929" t="s">
        <v>267</v>
      </c>
      <c r="T929" t="s">
        <v>352</v>
      </c>
      <c r="U929">
        <v>6.5351355288483304E-5</v>
      </c>
      <c r="V929" t="s">
        <v>159</v>
      </c>
    </row>
    <row r="930" spans="9:22" x14ac:dyDescent="0.45">
      <c r="I930" t="s">
        <v>182</v>
      </c>
      <c r="J930" t="s">
        <v>353</v>
      </c>
      <c r="K930">
        <v>8.5030100500935811E-5</v>
      </c>
      <c r="L930" t="s">
        <v>159</v>
      </c>
      <c r="N930" t="s">
        <v>225</v>
      </c>
      <c r="O930" t="s">
        <v>353</v>
      </c>
      <c r="P930">
        <v>4.8325277465004595E-5</v>
      </c>
      <c r="Q930" t="s">
        <v>159</v>
      </c>
      <c r="S930" t="s">
        <v>267</v>
      </c>
      <c r="T930" t="s">
        <v>353</v>
      </c>
      <c r="U930">
        <v>5.1278911856541751E-5</v>
      </c>
      <c r="V930" t="s">
        <v>159</v>
      </c>
    </row>
    <row r="931" spans="9:22" x14ac:dyDescent="0.45">
      <c r="I931" t="s">
        <v>182</v>
      </c>
      <c r="J931" t="s">
        <v>354</v>
      </c>
      <c r="K931">
        <v>1.582558860796317E-4</v>
      </c>
      <c r="L931" t="s">
        <v>159</v>
      </c>
      <c r="N931" t="s">
        <v>225</v>
      </c>
      <c r="O931" t="s">
        <v>354</v>
      </c>
      <c r="P931">
        <v>5.1633424953726923E-5</v>
      </c>
      <c r="Q931" t="s">
        <v>159</v>
      </c>
      <c r="S931" t="s">
        <v>267</v>
      </c>
      <c r="T931" t="s">
        <v>354</v>
      </c>
      <c r="U931">
        <v>4.0038679446768635E-5</v>
      </c>
      <c r="V931" t="s">
        <v>159</v>
      </c>
    </row>
    <row r="932" spans="9:22" x14ac:dyDescent="0.45">
      <c r="I932" t="s">
        <v>182</v>
      </c>
      <c r="J932" t="s">
        <v>355</v>
      </c>
      <c r="K932">
        <v>1.7513157832299564E-4</v>
      </c>
      <c r="L932" t="s">
        <v>159</v>
      </c>
      <c r="N932" t="s">
        <v>225</v>
      </c>
      <c r="O932" t="s">
        <v>355</v>
      </c>
      <c r="P932">
        <v>5.3049279615498188E-5</v>
      </c>
      <c r="Q932" t="s">
        <v>159</v>
      </c>
      <c r="S932" t="s">
        <v>267</v>
      </c>
      <c r="T932" t="s">
        <v>355</v>
      </c>
      <c r="U932">
        <v>3.3787692877739755E-5</v>
      </c>
      <c r="V932" t="s">
        <v>159</v>
      </c>
    </row>
    <row r="933" spans="9:22" x14ac:dyDescent="0.45">
      <c r="I933" t="s">
        <v>182</v>
      </c>
      <c r="J933" t="s">
        <v>356</v>
      </c>
      <c r="K933">
        <v>1.6685027710372581E-4</v>
      </c>
      <c r="L933" t="s">
        <v>159</v>
      </c>
      <c r="N933" t="s">
        <v>225</v>
      </c>
      <c r="O933" t="s">
        <v>356</v>
      </c>
      <c r="P933">
        <v>7.3343649348961746E-5</v>
      </c>
      <c r="Q933" t="s">
        <v>159</v>
      </c>
      <c r="S933" t="s">
        <v>267</v>
      </c>
      <c r="T933" t="s">
        <v>356</v>
      </c>
      <c r="U933">
        <v>3.3674862345771745E-5</v>
      </c>
      <c r="V933" t="s">
        <v>159</v>
      </c>
    </row>
    <row r="934" spans="9:22" x14ac:dyDescent="0.45">
      <c r="I934" t="s">
        <v>182</v>
      </c>
      <c r="J934" t="s">
        <v>357</v>
      </c>
      <c r="K934">
        <v>1.8949700971856366E-4</v>
      </c>
      <c r="L934" t="s">
        <v>159</v>
      </c>
      <c r="N934" t="s">
        <v>225</v>
      </c>
      <c r="O934" t="s">
        <v>357</v>
      </c>
      <c r="P934">
        <v>8.7118004818072849E-5</v>
      </c>
      <c r="Q934" t="s">
        <v>159</v>
      </c>
      <c r="S934" t="s">
        <v>267</v>
      </c>
      <c r="T934" t="s">
        <v>357</v>
      </c>
      <c r="U934">
        <v>3.4126729929091885E-5</v>
      </c>
      <c r="V934" t="s">
        <v>159</v>
      </c>
    </row>
    <row r="935" spans="9:22" x14ac:dyDescent="0.45">
      <c r="I935" t="s">
        <v>182</v>
      </c>
      <c r="J935" t="s">
        <v>358</v>
      </c>
      <c r="K935">
        <v>2.3327300072540955E-4</v>
      </c>
      <c r="L935" t="s">
        <v>159</v>
      </c>
      <c r="N935" t="s">
        <v>225</v>
      </c>
      <c r="O935" t="s">
        <v>358</v>
      </c>
      <c r="P935">
        <v>8.4056064461437025E-5</v>
      </c>
      <c r="Q935" t="s">
        <v>159</v>
      </c>
      <c r="S935" t="s">
        <v>267</v>
      </c>
      <c r="T935" t="s">
        <v>358</v>
      </c>
      <c r="U935">
        <v>2.8869029468414834E-5</v>
      </c>
      <c r="V935" t="s">
        <v>159</v>
      </c>
    </row>
    <row r="936" spans="9:22" x14ac:dyDescent="0.45">
      <c r="I936" t="s">
        <v>182</v>
      </c>
      <c r="J936" t="s">
        <v>359</v>
      </c>
      <c r="K936">
        <v>1.7914913452755585E-4</v>
      </c>
      <c r="L936" t="s">
        <v>159</v>
      </c>
      <c r="N936" t="s">
        <v>225</v>
      </c>
      <c r="O936" t="s">
        <v>359</v>
      </c>
      <c r="P936">
        <v>9.5459662926768447E-5</v>
      </c>
      <c r="Q936" t="s">
        <v>159</v>
      </c>
      <c r="S936" t="s">
        <v>267</v>
      </c>
      <c r="T936" t="s">
        <v>359</v>
      </c>
      <c r="U936">
        <v>2.7243338365913271E-5</v>
      </c>
      <c r="V936" t="s">
        <v>159</v>
      </c>
    </row>
    <row r="937" spans="9:22" x14ac:dyDescent="0.45">
      <c r="I937" t="s">
        <v>182</v>
      </c>
      <c r="J937" t="s">
        <v>360</v>
      </c>
      <c r="K937">
        <v>1.6388644506493735E-4</v>
      </c>
      <c r="L937" t="s">
        <v>159</v>
      </c>
      <c r="N937" t="s">
        <v>225</v>
      </c>
      <c r="O937" t="s">
        <v>360</v>
      </c>
      <c r="P937">
        <v>1.1294012243969704E-4</v>
      </c>
      <c r="Q937" t="s">
        <v>159</v>
      </c>
      <c r="S937" t="s">
        <v>267</v>
      </c>
      <c r="T937" t="s">
        <v>360</v>
      </c>
      <c r="U937">
        <v>2.5713020341786065E-5</v>
      </c>
      <c r="V937" t="s">
        <v>159</v>
      </c>
    </row>
    <row r="938" spans="9:22" x14ac:dyDescent="0.45">
      <c r="I938" t="s">
        <v>182</v>
      </c>
      <c r="J938" t="s">
        <v>361</v>
      </c>
      <c r="K938">
        <v>1.7835552220702133E-4</v>
      </c>
      <c r="L938" t="s">
        <v>159</v>
      </c>
      <c r="N938" t="s">
        <v>225</v>
      </c>
      <c r="O938" t="s">
        <v>361</v>
      </c>
      <c r="P938">
        <v>1.2518229790142534E-4</v>
      </c>
      <c r="Q938" t="s">
        <v>159</v>
      </c>
      <c r="S938" t="s">
        <v>267</v>
      </c>
      <c r="T938" t="s">
        <v>361</v>
      </c>
      <c r="U938">
        <v>2.6652569696328206E-5</v>
      </c>
      <c r="V938" t="s">
        <v>159</v>
      </c>
    </row>
    <row r="939" spans="9:22" x14ac:dyDescent="0.45">
      <c r="I939" t="s">
        <v>182</v>
      </c>
      <c r="J939" t="s">
        <v>362</v>
      </c>
      <c r="K939">
        <v>1.7049430991760239E-4</v>
      </c>
      <c r="L939" t="s">
        <v>159</v>
      </c>
      <c r="N939" t="s">
        <v>225</v>
      </c>
      <c r="O939" t="s">
        <v>362</v>
      </c>
      <c r="P939">
        <v>1.3265205093696201E-4</v>
      </c>
      <c r="Q939" t="s">
        <v>159</v>
      </c>
      <c r="S939" t="s">
        <v>267</v>
      </c>
      <c r="T939" t="s">
        <v>362</v>
      </c>
      <c r="U939">
        <v>2.5066510217840328E-5</v>
      </c>
      <c r="V939" t="s">
        <v>159</v>
      </c>
    </row>
    <row r="940" spans="9:22" x14ac:dyDescent="0.45">
      <c r="I940" t="s">
        <v>182</v>
      </c>
      <c r="J940" t="s">
        <v>363</v>
      </c>
      <c r="K940">
        <v>0</v>
      </c>
      <c r="L940" t="s">
        <v>159</v>
      </c>
      <c r="N940" t="s">
        <v>225</v>
      </c>
      <c r="O940" t="s">
        <v>363</v>
      </c>
      <c r="P940">
        <v>1.3977361681617571E-4</v>
      </c>
      <c r="Q940" t="s">
        <v>159</v>
      </c>
      <c r="S940" t="s">
        <v>267</v>
      </c>
      <c r="T940" t="s">
        <v>363</v>
      </c>
      <c r="U940">
        <v>2.2702694668714188E-5</v>
      </c>
      <c r="V940" t="s">
        <v>159</v>
      </c>
    </row>
    <row r="941" spans="9:22" x14ac:dyDescent="0.45">
      <c r="I941" t="s">
        <v>182</v>
      </c>
      <c r="J941" t="s">
        <v>364</v>
      </c>
      <c r="K941">
        <v>0</v>
      </c>
      <c r="L941" t="s">
        <v>159</v>
      </c>
      <c r="N941" t="s">
        <v>225</v>
      </c>
      <c r="O941" t="s">
        <v>364</v>
      </c>
      <c r="P941">
        <v>1.3599364916557112E-4</v>
      </c>
      <c r="Q941" t="s">
        <v>159</v>
      </c>
      <c r="S941" t="s">
        <v>267</v>
      </c>
      <c r="T941" t="s">
        <v>364</v>
      </c>
      <c r="U941">
        <v>2.0744970429099793E-5</v>
      </c>
      <c r="V941" t="s">
        <v>159</v>
      </c>
    </row>
    <row r="942" spans="9:22" x14ac:dyDescent="0.45">
      <c r="I942" t="s">
        <v>182</v>
      </c>
      <c r="J942" t="s">
        <v>365</v>
      </c>
      <c r="K942">
        <v>0</v>
      </c>
      <c r="L942" t="s">
        <v>159</v>
      </c>
      <c r="N942" t="s">
        <v>225</v>
      </c>
      <c r="O942" t="s">
        <v>365</v>
      </c>
      <c r="P942">
        <v>1.2619743652241442E-4</v>
      </c>
      <c r="Q942" t="s">
        <v>159</v>
      </c>
      <c r="S942" t="s">
        <v>267</v>
      </c>
      <c r="T942" t="s">
        <v>365</v>
      </c>
      <c r="U942">
        <v>1.6834500874304877E-5</v>
      </c>
      <c r="V942" t="s">
        <v>159</v>
      </c>
    </row>
    <row r="943" spans="9:22" x14ac:dyDescent="0.45">
      <c r="I943" t="s">
        <v>182</v>
      </c>
      <c r="J943" t="s">
        <v>366</v>
      </c>
      <c r="K943">
        <v>0</v>
      </c>
      <c r="L943" t="s">
        <v>159</v>
      </c>
      <c r="N943" t="s">
        <v>225</v>
      </c>
      <c r="O943" t="s">
        <v>366</v>
      </c>
      <c r="P943">
        <v>1.1768688138464254E-4</v>
      </c>
      <c r="Q943" t="s">
        <v>159</v>
      </c>
      <c r="S943" t="s">
        <v>267</v>
      </c>
      <c r="T943" t="s">
        <v>366</v>
      </c>
      <c r="U943">
        <v>1.4234375101177654E-5</v>
      </c>
      <c r="V943" t="s">
        <v>159</v>
      </c>
    </row>
    <row r="944" spans="9:22" x14ac:dyDescent="0.45">
      <c r="I944" t="s">
        <v>182</v>
      </c>
      <c r="J944" t="s">
        <v>367</v>
      </c>
      <c r="K944">
        <v>0</v>
      </c>
      <c r="L944" t="s">
        <v>159</v>
      </c>
      <c r="N944" t="s">
        <v>225</v>
      </c>
      <c r="O944" t="s">
        <v>367</v>
      </c>
      <c r="P944">
        <v>1.0787087453217904E-4</v>
      </c>
      <c r="Q944" t="s">
        <v>159</v>
      </c>
      <c r="S944" t="s">
        <v>267</v>
      </c>
      <c r="T944" t="s">
        <v>367</v>
      </c>
      <c r="U944">
        <v>1.0686158444363773E-5</v>
      </c>
      <c r="V944" t="s">
        <v>159</v>
      </c>
    </row>
    <row r="945" spans="9:22" x14ac:dyDescent="0.45">
      <c r="I945" t="s">
        <v>182</v>
      </c>
      <c r="J945" t="s">
        <v>368</v>
      </c>
      <c r="K945">
        <v>0</v>
      </c>
      <c r="L945" t="s">
        <v>159</v>
      </c>
      <c r="N945" t="s">
        <v>225</v>
      </c>
      <c r="O945" t="s">
        <v>368</v>
      </c>
      <c r="P945">
        <v>9.89035159344228E-5</v>
      </c>
      <c r="Q945" t="s">
        <v>159</v>
      </c>
      <c r="S945" t="s">
        <v>267</v>
      </c>
      <c r="T945" t="s">
        <v>368</v>
      </c>
      <c r="U945">
        <v>8.3766881452628973E-6</v>
      </c>
      <c r="V945" t="s">
        <v>159</v>
      </c>
    </row>
    <row r="946" spans="9:22" x14ac:dyDescent="0.45">
      <c r="I946" t="s">
        <v>182</v>
      </c>
      <c r="J946" t="s">
        <v>369</v>
      </c>
      <c r="K946">
        <v>0</v>
      </c>
      <c r="L946" t="s">
        <v>159</v>
      </c>
      <c r="N946" t="s">
        <v>225</v>
      </c>
      <c r="O946" t="s">
        <v>369</v>
      </c>
      <c r="P946">
        <v>8.7878641471885038E-5</v>
      </c>
      <c r="Q946" t="s">
        <v>159</v>
      </c>
      <c r="S946" t="s">
        <v>267</v>
      </c>
      <c r="T946" t="s">
        <v>369</v>
      </c>
      <c r="U946">
        <v>2.2334120372881945E-6</v>
      </c>
      <c r="V946" t="s">
        <v>159</v>
      </c>
    </row>
    <row r="947" spans="9:22" x14ac:dyDescent="0.45">
      <c r="I947" t="s">
        <v>182</v>
      </c>
      <c r="J947" t="s">
        <v>165</v>
      </c>
      <c r="K947">
        <v>0</v>
      </c>
      <c r="L947" t="s">
        <v>159</v>
      </c>
      <c r="N947" t="s">
        <v>225</v>
      </c>
      <c r="O947" t="s">
        <v>165</v>
      </c>
      <c r="P947">
        <v>2.1462882097689925E-2</v>
      </c>
      <c r="Q947" t="s">
        <v>159</v>
      </c>
      <c r="S947" t="s">
        <v>267</v>
      </c>
      <c r="T947" t="s">
        <v>165</v>
      </c>
      <c r="U947">
        <v>2.7848947500259322E-2</v>
      </c>
      <c r="V947" t="s">
        <v>159</v>
      </c>
    </row>
    <row r="948" spans="9:22" x14ac:dyDescent="0.45">
      <c r="I948" t="s">
        <v>182</v>
      </c>
      <c r="J948" t="s">
        <v>166</v>
      </c>
      <c r="K948">
        <v>4.5671977120786073E-3</v>
      </c>
      <c r="L948" t="s">
        <v>159</v>
      </c>
      <c r="N948" t="s">
        <v>225</v>
      </c>
      <c r="O948" t="s">
        <v>166</v>
      </c>
      <c r="P948">
        <v>2.9681003692130364E-3</v>
      </c>
      <c r="Q948" t="s">
        <v>159</v>
      </c>
      <c r="S948" t="s">
        <v>267</v>
      </c>
      <c r="T948" t="s">
        <v>166</v>
      </c>
      <c r="U948">
        <v>4.1295453884704261E-3</v>
      </c>
      <c r="V948" t="s">
        <v>159</v>
      </c>
    </row>
    <row r="949" spans="9:22" x14ac:dyDescent="0.45">
      <c r="I949" t="s">
        <v>182</v>
      </c>
      <c r="J949" t="s">
        <v>167</v>
      </c>
      <c r="K949">
        <v>5.6596631483674373E-2</v>
      </c>
      <c r="L949" t="s">
        <v>159</v>
      </c>
      <c r="N949" t="s">
        <v>225</v>
      </c>
      <c r="O949" t="s">
        <v>167</v>
      </c>
      <c r="P949">
        <v>2.7113198651515884E-2</v>
      </c>
      <c r="Q949" t="s">
        <v>159</v>
      </c>
      <c r="S949" t="s">
        <v>267</v>
      </c>
      <c r="T949" t="s">
        <v>167</v>
      </c>
      <c r="U949">
        <v>3.4732915639587261E-2</v>
      </c>
      <c r="V949" t="s">
        <v>159</v>
      </c>
    </row>
    <row r="950" spans="9:22" x14ac:dyDescent="0.45">
      <c r="I950" t="s">
        <v>182</v>
      </c>
      <c r="J950" t="s">
        <v>291</v>
      </c>
      <c r="K950">
        <v>3.2756335696657382E-3</v>
      </c>
      <c r="L950" t="s">
        <v>159</v>
      </c>
      <c r="N950" t="s">
        <v>225</v>
      </c>
      <c r="O950" t="s">
        <v>291</v>
      </c>
      <c r="P950">
        <v>4.507252026133118E-3</v>
      </c>
      <c r="Q950" t="s">
        <v>159</v>
      </c>
      <c r="S950" t="s">
        <v>267</v>
      </c>
      <c r="T950" t="s">
        <v>291</v>
      </c>
      <c r="U950">
        <v>3.8182867520307889E-3</v>
      </c>
      <c r="V950" t="s">
        <v>159</v>
      </c>
    </row>
    <row r="951" spans="9:22" x14ac:dyDescent="0.45">
      <c r="I951" t="s">
        <v>182</v>
      </c>
      <c r="J951" t="s">
        <v>292</v>
      </c>
      <c r="K951">
        <v>0</v>
      </c>
      <c r="L951" t="s">
        <v>159</v>
      </c>
      <c r="N951" t="s">
        <v>225</v>
      </c>
      <c r="O951" t="s">
        <v>292</v>
      </c>
      <c r="P951">
        <v>4.7518544234192422E-3</v>
      </c>
      <c r="Q951" t="s">
        <v>159</v>
      </c>
      <c r="S951" t="s">
        <v>267</v>
      </c>
      <c r="T951" t="s">
        <v>292</v>
      </c>
      <c r="U951">
        <v>3.8134619297943654E-3</v>
      </c>
      <c r="V951" t="s">
        <v>159</v>
      </c>
    </row>
    <row r="952" spans="9:22" x14ac:dyDescent="0.45">
      <c r="I952" t="s">
        <v>182</v>
      </c>
      <c r="J952" t="s">
        <v>310</v>
      </c>
      <c r="K952">
        <v>0</v>
      </c>
      <c r="L952" t="s">
        <v>159</v>
      </c>
      <c r="N952" t="s">
        <v>225</v>
      </c>
      <c r="O952" t="s">
        <v>310</v>
      </c>
      <c r="P952">
        <v>2.0904654040621664E-2</v>
      </c>
      <c r="Q952" t="s">
        <v>159</v>
      </c>
      <c r="S952" t="s">
        <v>267</v>
      </c>
      <c r="T952" t="s">
        <v>310</v>
      </c>
      <c r="U952">
        <v>1.9454216880783411E-2</v>
      </c>
      <c r="V952" t="s">
        <v>159</v>
      </c>
    </row>
    <row r="953" spans="9:22" x14ac:dyDescent="0.45">
      <c r="I953" t="s">
        <v>182</v>
      </c>
      <c r="J953" t="s">
        <v>293</v>
      </c>
      <c r="K953">
        <v>0</v>
      </c>
      <c r="L953" t="s">
        <v>159</v>
      </c>
      <c r="N953" t="s">
        <v>225</v>
      </c>
      <c r="O953" t="s">
        <v>293</v>
      </c>
      <c r="P953">
        <v>8.8498595165443627E-3</v>
      </c>
      <c r="Q953" t="s">
        <v>159</v>
      </c>
      <c r="S953" t="s">
        <v>267</v>
      </c>
      <c r="T953" t="s">
        <v>293</v>
      </c>
      <c r="U953">
        <v>3.3211354002650119E-3</v>
      </c>
      <c r="V953" t="s">
        <v>159</v>
      </c>
    </row>
    <row r="954" spans="9:22" x14ac:dyDescent="0.45">
      <c r="I954" t="s">
        <v>182</v>
      </c>
      <c r="J954" t="s">
        <v>294</v>
      </c>
      <c r="K954">
        <v>1.3659277043725979E-3</v>
      </c>
      <c r="L954" t="s">
        <v>159</v>
      </c>
      <c r="N954" t="s">
        <v>225</v>
      </c>
      <c r="O954" t="s">
        <v>294</v>
      </c>
      <c r="P954">
        <v>1.2477262142093638E-3</v>
      </c>
      <c r="Q954" t="s">
        <v>159</v>
      </c>
      <c r="S954" t="s">
        <v>267</v>
      </c>
      <c r="T954" t="s">
        <v>294</v>
      </c>
      <c r="U954">
        <v>4.5982122127516704E-4</v>
      </c>
      <c r="V954" t="s">
        <v>159</v>
      </c>
    </row>
    <row r="955" spans="9:22" x14ac:dyDescent="0.45">
      <c r="I955" t="s">
        <v>182</v>
      </c>
      <c r="J955" t="s">
        <v>295</v>
      </c>
      <c r="K955">
        <v>1.5921467073225431E-2</v>
      </c>
      <c r="L955" t="s">
        <v>159</v>
      </c>
      <c r="N955" t="s">
        <v>225</v>
      </c>
      <c r="O955" t="s">
        <v>295</v>
      </c>
      <c r="P955">
        <v>1.061741570996666E-2</v>
      </c>
      <c r="Q955" t="s">
        <v>159</v>
      </c>
      <c r="S955" t="s">
        <v>267</v>
      </c>
      <c r="T955" t="s">
        <v>295</v>
      </c>
      <c r="U955">
        <v>5.6450272877217756E-3</v>
      </c>
      <c r="V955" t="s">
        <v>159</v>
      </c>
    </row>
    <row r="956" spans="9:22" x14ac:dyDescent="0.45">
      <c r="I956" t="s">
        <v>182</v>
      </c>
      <c r="J956" t="s">
        <v>296</v>
      </c>
      <c r="K956">
        <v>1.075965580239252E-3</v>
      </c>
      <c r="L956" t="s">
        <v>159</v>
      </c>
      <c r="N956" t="s">
        <v>225</v>
      </c>
      <c r="O956" t="s">
        <v>296</v>
      </c>
      <c r="P956">
        <v>1.5105909849801916E-3</v>
      </c>
      <c r="Q956" t="s">
        <v>159</v>
      </c>
      <c r="S956" t="s">
        <v>267</v>
      </c>
      <c r="T956" t="s">
        <v>296</v>
      </c>
      <c r="U956">
        <v>7.6104571726711171E-4</v>
      </c>
      <c r="V956" t="s">
        <v>159</v>
      </c>
    </row>
    <row r="957" spans="9:22" x14ac:dyDescent="0.45">
      <c r="I957" t="s">
        <v>182</v>
      </c>
      <c r="J957" t="s">
        <v>297</v>
      </c>
      <c r="K957">
        <v>0</v>
      </c>
      <c r="L957" t="s">
        <v>159</v>
      </c>
      <c r="N957" t="s">
        <v>225</v>
      </c>
      <c r="O957" t="s">
        <v>297</v>
      </c>
      <c r="P957">
        <v>1.5561220636251618E-3</v>
      </c>
      <c r="Q957" t="s">
        <v>159</v>
      </c>
      <c r="S957" t="s">
        <v>267</v>
      </c>
      <c r="T957" t="s">
        <v>297</v>
      </c>
      <c r="U957">
        <v>7.5016378130165562E-4</v>
      </c>
      <c r="V957" t="s">
        <v>159</v>
      </c>
    </row>
    <row r="958" spans="9:22" x14ac:dyDescent="0.45">
      <c r="I958" t="s">
        <v>182</v>
      </c>
      <c r="J958" t="s">
        <v>311</v>
      </c>
      <c r="K958">
        <v>0</v>
      </c>
      <c r="L958" t="s">
        <v>159</v>
      </c>
      <c r="N958" t="s">
        <v>225</v>
      </c>
      <c r="O958" t="s">
        <v>311</v>
      </c>
      <c r="P958">
        <v>6.937101009656472E-3</v>
      </c>
      <c r="Q958" t="s">
        <v>159</v>
      </c>
      <c r="S958" t="s">
        <v>267</v>
      </c>
      <c r="T958" t="s">
        <v>311</v>
      </c>
      <c r="U958">
        <v>3.4390302757760067E-3</v>
      </c>
      <c r="V958" t="s">
        <v>159</v>
      </c>
    </row>
    <row r="959" spans="9:22" x14ac:dyDescent="0.45">
      <c r="I959" t="s">
        <v>182</v>
      </c>
      <c r="J959" t="s">
        <v>298</v>
      </c>
      <c r="K959">
        <v>1.8510208278616783E-2</v>
      </c>
      <c r="L959" t="s">
        <v>159</v>
      </c>
      <c r="N959" t="s">
        <v>225</v>
      </c>
      <c r="O959" t="s">
        <v>298</v>
      </c>
      <c r="P959">
        <v>7.8897936334127311E-2</v>
      </c>
      <c r="Q959" t="s">
        <v>159</v>
      </c>
      <c r="S959" t="s">
        <v>267</v>
      </c>
      <c r="T959" t="s">
        <v>298</v>
      </c>
      <c r="U959">
        <v>7.8329907583365971E-2</v>
      </c>
      <c r="V959" t="s">
        <v>159</v>
      </c>
    </row>
    <row r="960" spans="9:22" x14ac:dyDescent="0.45">
      <c r="I960" t="s">
        <v>182</v>
      </c>
      <c r="J960" t="s">
        <v>299</v>
      </c>
      <c r="K960">
        <v>2.2732244942813205E-2</v>
      </c>
      <c r="L960" t="s">
        <v>159</v>
      </c>
      <c r="N960" t="s">
        <v>225</v>
      </c>
      <c r="O960" t="s">
        <v>299</v>
      </c>
      <c r="P960">
        <v>1.0200048531728767E-2</v>
      </c>
      <c r="Q960" t="s">
        <v>159</v>
      </c>
      <c r="S960" t="s">
        <v>267</v>
      </c>
      <c r="T960" t="s">
        <v>299</v>
      </c>
      <c r="U960">
        <v>1.1215476243374099E-2</v>
      </c>
      <c r="V960" t="s">
        <v>159</v>
      </c>
    </row>
    <row r="961" spans="9:22" x14ac:dyDescent="0.45">
      <c r="I961" t="s">
        <v>182</v>
      </c>
      <c r="J961" t="s">
        <v>300</v>
      </c>
      <c r="K961">
        <v>0.251172260278406</v>
      </c>
      <c r="L961" t="s">
        <v>159</v>
      </c>
      <c r="N961" t="s">
        <v>225</v>
      </c>
      <c r="O961" t="s">
        <v>300</v>
      </c>
      <c r="P961">
        <v>0.11016989372836139</v>
      </c>
      <c r="Q961" t="s">
        <v>159</v>
      </c>
      <c r="S961" t="s">
        <v>267</v>
      </c>
      <c r="T961" t="s">
        <v>300</v>
      </c>
      <c r="U961">
        <v>0.10171717486630462</v>
      </c>
      <c r="V961" t="s">
        <v>159</v>
      </c>
    </row>
    <row r="962" spans="9:22" x14ac:dyDescent="0.45">
      <c r="I962" t="s">
        <v>182</v>
      </c>
      <c r="J962" t="s">
        <v>301</v>
      </c>
      <c r="K962">
        <v>1.8058969917212432E-2</v>
      </c>
      <c r="L962" t="s">
        <v>159</v>
      </c>
      <c r="N962" t="s">
        <v>225</v>
      </c>
      <c r="O962" t="s">
        <v>301</v>
      </c>
      <c r="P962">
        <v>1.6051869377409742E-2</v>
      </c>
      <c r="Q962" t="s">
        <v>159</v>
      </c>
      <c r="S962" t="s">
        <v>267</v>
      </c>
      <c r="T962" t="s">
        <v>301</v>
      </c>
      <c r="U962">
        <v>1.2422456647536679E-2</v>
      </c>
      <c r="V962" t="s">
        <v>159</v>
      </c>
    </row>
    <row r="963" spans="9:22" x14ac:dyDescent="0.45">
      <c r="I963" t="s">
        <v>182</v>
      </c>
      <c r="J963" t="s">
        <v>302</v>
      </c>
      <c r="K963">
        <v>4.9493527143602807E-3</v>
      </c>
      <c r="L963" t="s">
        <v>159</v>
      </c>
      <c r="N963" t="s">
        <v>225</v>
      </c>
      <c r="O963" t="s">
        <v>302</v>
      </c>
      <c r="P963">
        <v>1.6499530743684886E-2</v>
      </c>
      <c r="Q963" t="s">
        <v>159</v>
      </c>
      <c r="S963" t="s">
        <v>267</v>
      </c>
      <c r="T963" t="s">
        <v>302</v>
      </c>
      <c r="U963">
        <v>1.2411145593926464E-2</v>
      </c>
      <c r="V963" t="s">
        <v>159</v>
      </c>
    </row>
    <row r="964" spans="9:22" x14ac:dyDescent="0.45">
      <c r="I964" t="s">
        <v>182</v>
      </c>
      <c r="J964" t="s">
        <v>312</v>
      </c>
      <c r="K964">
        <v>0</v>
      </c>
      <c r="L964" t="s">
        <v>159</v>
      </c>
      <c r="N964" t="s">
        <v>225</v>
      </c>
      <c r="O964" t="s">
        <v>312</v>
      </c>
      <c r="P964">
        <v>7.3192528290547287E-2</v>
      </c>
      <c r="Q964" t="s">
        <v>159</v>
      </c>
      <c r="S964" t="s">
        <v>267</v>
      </c>
      <c r="T964" t="s">
        <v>312</v>
      </c>
      <c r="U964">
        <v>5.8962318333040692E-2</v>
      </c>
      <c r="V964" t="s">
        <v>159</v>
      </c>
    </row>
    <row r="965" spans="9:22" x14ac:dyDescent="0.45">
      <c r="I965" t="s">
        <v>182</v>
      </c>
      <c r="J965" t="s">
        <v>313</v>
      </c>
      <c r="K965">
        <v>7.8425973330494315E-3</v>
      </c>
      <c r="L965" t="s">
        <v>159</v>
      </c>
      <c r="N965" t="s">
        <v>225</v>
      </c>
      <c r="O965" t="s">
        <v>313</v>
      </c>
      <c r="P965">
        <v>1.810031525186474E-2</v>
      </c>
      <c r="Q965" t="s">
        <v>159</v>
      </c>
      <c r="S965" t="s">
        <v>267</v>
      </c>
      <c r="T965" t="s">
        <v>313</v>
      </c>
      <c r="U965">
        <v>2.4148356486294199E-2</v>
      </c>
      <c r="V965" t="s">
        <v>159</v>
      </c>
    </row>
    <row r="966" spans="9:22" x14ac:dyDescent="0.45">
      <c r="I966" t="s">
        <v>182</v>
      </c>
      <c r="J966" t="s">
        <v>314</v>
      </c>
      <c r="K966">
        <v>6.9132579333182299E-3</v>
      </c>
      <c r="L966" t="s">
        <v>159</v>
      </c>
      <c r="N966" t="s">
        <v>225</v>
      </c>
      <c r="O966" t="s">
        <v>314</v>
      </c>
      <c r="P966">
        <v>2.3560670863934752E-3</v>
      </c>
      <c r="Q966" t="s">
        <v>159</v>
      </c>
      <c r="S966" t="s">
        <v>267</v>
      </c>
      <c r="T966" t="s">
        <v>314</v>
      </c>
      <c r="U966">
        <v>3.322564290872073E-3</v>
      </c>
      <c r="V966" t="s">
        <v>159</v>
      </c>
    </row>
    <row r="967" spans="9:22" x14ac:dyDescent="0.45">
      <c r="I967" t="s">
        <v>182</v>
      </c>
      <c r="J967" t="s">
        <v>315</v>
      </c>
      <c r="K967">
        <v>7.9195371138744072E-2</v>
      </c>
      <c r="L967" t="s">
        <v>159</v>
      </c>
      <c r="N967" t="s">
        <v>225</v>
      </c>
      <c r="O967" t="s">
        <v>315</v>
      </c>
      <c r="P967">
        <v>2.4539787445483477E-2</v>
      </c>
      <c r="Q967" t="s">
        <v>159</v>
      </c>
      <c r="S967" t="s">
        <v>267</v>
      </c>
      <c r="T967" t="s">
        <v>315</v>
      </c>
      <c r="U967">
        <v>3.0526439769181717E-2</v>
      </c>
      <c r="V967" t="s">
        <v>159</v>
      </c>
    </row>
    <row r="968" spans="9:22" x14ac:dyDescent="0.45">
      <c r="I968" t="s">
        <v>182</v>
      </c>
      <c r="J968" t="s">
        <v>316</v>
      </c>
      <c r="K968">
        <v>5.6074197390858886E-3</v>
      </c>
      <c r="L968" t="s">
        <v>159</v>
      </c>
      <c r="N968" t="s">
        <v>225</v>
      </c>
      <c r="O968" t="s">
        <v>316</v>
      </c>
      <c r="P968">
        <v>3.2314386554931933E-3</v>
      </c>
      <c r="Q968" t="s">
        <v>159</v>
      </c>
      <c r="S968" t="s">
        <v>267</v>
      </c>
      <c r="T968" t="s">
        <v>316</v>
      </c>
      <c r="U968">
        <v>3.9474552505550592E-3</v>
      </c>
      <c r="V968" t="s">
        <v>159</v>
      </c>
    </row>
    <row r="969" spans="9:22" x14ac:dyDescent="0.45">
      <c r="I969" t="s">
        <v>182</v>
      </c>
      <c r="J969" t="s">
        <v>317</v>
      </c>
      <c r="K969">
        <v>3.7328030948624146E-3</v>
      </c>
      <c r="L969" t="s">
        <v>159</v>
      </c>
      <c r="N969" t="s">
        <v>225</v>
      </c>
      <c r="O969" t="s">
        <v>317</v>
      </c>
      <c r="P969">
        <v>3.1760075798243212E-3</v>
      </c>
      <c r="Q969" t="s">
        <v>159</v>
      </c>
      <c r="S969" t="s">
        <v>267</v>
      </c>
      <c r="T969" t="s">
        <v>317</v>
      </c>
      <c r="U969">
        <v>3.9471107124152893E-3</v>
      </c>
      <c r="V969" t="s">
        <v>159</v>
      </c>
    </row>
    <row r="970" spans="9:22" x14ac:dyDescent="0.45">
      <c r="I970" t="s">
        <v>182</v>
      </c>
      <c r="J970" t="s">
        <v>318</v>
      </c>
      <c r="K970">
        <v>0</v>
      </c>
      <c r="L970" t="s">
        <v>159</v>
      </c>
      <c r="N970" t="s">
        <v>225</v>
      </c>
      <c r="O970" t="s">
        <v>318</v>
      </c>
      <c r="P970">
        <v>1.4743507300314781E-2</v>
      </c>
      <c r="Q970" t="s">
        <v>159</v>
      </c>
      <c r="S970" t="s">
        <v>267</v>
      </c>
      <c r="T970" t="s">
        <v>318</v>
      </c>
      <c r="U970">
        <v>1.9030278714394461E-2</v>
      </c>
      <c r="V970" t="s">
        <v>159</v>
      </c>
    </row>
    <row r="971" spans="9:22" x14ac:dyDescent="0.45">
      <c r="I971" t="s">
        <v>183</v>
      </c>
      <c r="J971" t="s">
        <v>158</v>
      </c>
      <c r="K971">
        <v>1.1886181355141325E-2</v>
      </c>
      <c r="L971" t="s">
        <v>159</v>
      </c>
      <c r="N971" t="s">
        <v>226</v>
      </c>
      <c r="O971" t="s">
        <v>158</v>
      </c>
      <c r="P971">
        <v>0.11872920487777089</v>
      </c>
      <c r="Q971" t="s">
        <v>159</v>
      </c>
      <c r="S971" t="s">
        <v>268</v>
      </c>
      <c r="T971" t="s">
        <v>158</v>
      </c>
      <c r="U971">
        <v>0.12803626769329615</v>
      </c>
      <c r="V971" t="s">
        <v>159</v>
      </c>
    </row>
    <row r="972" spans="9:22" x14ac:dyDescent="0.45">
      <c r="I972" t="s">
        <v>183</v>
      </c>
      <c r="J972" t="s">
        <v>160</v>
      </c>
      <c r="K972">
        <v>2.9209020761161924E-2</v>
      </c>
      <c r="L972" t="s">
        <v>159</v>
      </c>
      <c r="N972" t="s">
        <v>226</v>
      </c>
      <c r="O972" t="s">
        <v>160</v>
      </c>
      <c r="P972">
        <v>1.8483685619360757E-2</v>
      </c>
      <c r="Q972" t="s">
        <v>159</v>
      </c>
      <c r="S972" t="s">
        <v>268</v>
      </c>
      <c r="T972" t="s">
        <v>160</v>
      </c>
      <c r="U972">
        <v>1.8207813628134176E-2</v>
      </c>
      <c r="V972" t="s">
        <v>159</v>
      </c>
    </row>
    <row r="973" spans="9:22" x14ac:dyDescent="0.45">
      <c r="I973" t="s">
        <v>183</v>
      </c>
      <c r="J973" t="s">
        <v>161</v>
      </c>
      <c r="K973">
        <v>0.37685112765832002</v>
      </c>
      <c r="L973" t="s">
        <v>159</v>
      </c>
      <c r="N973" t="s">
        <v>226</v>
      </c>
      <c r="O973" t="s">
        <v>161</v>
      </c>
      <c r="P973">
        <v>0.18054316136019408</v>
      </c>
      <c r="Q973" t="s">
        <v>159</v>
      </c>
      <c r="S973" t="s">
        <v>268</v>
      </c>
      <c r="T973" t="s">
        <v>161</v>
      </c>
      <c r="U973">
        <v>0.1661998672972512</v>
      </c>
      <c r="V973" t="s">
        <v>159</v>
      </c>
    </row>
    <row r="974" spans="9:22" x14ac:dyDescent="0.45">
      <c r="I974" t="s">
        <v>183</v>
      </c>
      <c r="J974" t="s">
        <v>287</v>
      </c>
      <c r="K974">
        <v>2.6794508350617474E-2</v>
      </c>
      <c r="L974" t="s">
        <v>159</v>
      </c>
      <c r="N974" t="s">
        <v>226</v>
      </c>
      <c r="O974" t="s">
        <v>287</v>
      </c>
      <c r="P974">
        <v>2.5576538149985267E-2</v>
      </c>
      <c r="Q974" t="s">
        <v>159</v>
      </c>
      <c r="S974" t="s">
        <v>268</v>
      </c>
      <c r="T974" t="s">
        <v>287</v>
      </c>
      <c r="U974">
        <v>1.8797526472033074E-2</v>
      </c>
      <c r="V974" t="s">
        <v>159</v>
      </c>
    </row>
    <row r="975" spans="9:22" x14ac:dyDescent="0.45">
      <c r="I975" t="s">
        <v>183</v>
      </c>
      <c r="J975" t="s">
        <v>288</v>
      </c>
      <c r="K975">
        <v>1.4488244441475229E-2</v>
      </c>
      <c r="L975" t="s">
        <v>159</v>
      </c>
      <c r="N975" t="s">
        <v>226</v>
      </c>
      <c r="O975" t="s">
        <v>288</v>
      </c>
      <c r="P975">
        <v>2.2785715827335792E-2</v>
      </c>
      <c r="Q975" t="s">
        <v>159</v>
      </c>
      <c r="S975" t="s">
        <v>268</v>
      </c>
      <c r="T975" t="s">
        <v>288</v>
      </c>
      <c r="U975">
        <v>1.8585699891831963E-2</v>
      </c>
      <c r="V975" t="s">
        <v>159</v>
      </c>
    </row>
    <row r="976" spans="9:22" x14ac:dyDescent="0.45">
      <c r="I976" t="s">
        <v>183</v>
      </c>
      <c r="J976" t="s">
        <v>308</v>
      </c>
      <c r="K976">
        <v>1.1199837815115508E-4</v>
      </c>
      <c r="L976" t="s">
        <v>159</v>
      </c>
      <c r="N976" t="s">
        <v>226</v>
      </c>
      <c r="O976" t="s">
        <v>308</v>
      </c>
      <c r="P976">
        <v>7.7635121457723222E-2</v>
      </c>
      <c r="Q976" t="s">
        <v>159</v>
      </c>
      <c r="S976" t="s">
        <v>268</v>
      </c>
      <c r="T976" t="s">
        <v>308</v>
      </c>
      <c r="U976">
        <v>9.1399604826742337E-2</v>
      </c>
      <c r="V976" t="s">
        <v>159</v>
      </c>
    </row>
    <row r="977" spans="9:22" x14ac:dyDescent="0.45">
      <c r="I977" t="s">
        <v>183</v>
      </c>
      <c r="J977" t="s">
        <v>162</v>
      </c>
      <c r="K977">
        <v>0</v>
      </c>
      <c r="L977" t="s">
        <v>159</v>
      </c>
      <c r="N977" t="s">
        <v>226</v>
      </c>
      <c r="O977" t="s">
        <v>162</v>
      </c>
      <c r="P977">
        <v>1.4090800506148795E-2</v>
      </c>
      <c r="Q977" t="s">
        <v>159</v>
      </c>
      <c r="S977" t="s">
        <v>268</v>
      </c>
      <c r="T977" t="s">
        <v>162</v>
      </c>
      <c r="U977">
        <v>2.5439545051129765E-2</v>
      </c>
      <c r="V977" t="s">
        <v>159</v>
      </c>
    </row>
    <row r="978" spans="9:22" x14ac:dyDescent="0.45">
      <c r="I978" t="s">
        <v>183</v>
      </c>
      <c r="J978" t="s">
        <v>163</v>
      </c>
      <c r="K978">
        <v>3.0277350562826695E-4</v>
      </c>
      <c r="L978" t="s">
        <v>159</v>
      </c>
      <c r="N978" t="s">
        <v>226</v>
      </c>
      <c r="O978" t="s">
        <v>163</v>
      </c>
      <c r="P978">
        <v>2.5539298300593567E-3</v>
      </c>
      <c r="Q978" t="s">
        <v>159</v>
      </c>
      <c r="S978" t="s">
        <v>268</v>
      </c>
      <c r="T978" t="s">
        <v>163</v>
      </c>
      <c r="U978">
        <v>3.9330474029504181E-3</v>
      </c>
      <c r="V978" t="s">
        <v>159</v>
      </c>
    </row>
    <row r="979" spans="9:22" x14ac:dyDescent="0.45">
      <c r="I979" t="s">
        <v>183</v>
      </c>
      <c r="J979" t="s">
        <v>164</v>
      </c>
      <c r="K979">
        <v>3.8004054310418527E-2</v>
      </c>
      <c r="L979" t="s">
        <v>159</v>
      </c>
      <c r="N979" t="s">
        <v>226</v>
      </c>
      <c r="O979" t="s">
        <v>164</v>
      </c>
      <c r="P979">
        <v>2.3796111504919542E-2</v>
      </c>
      <c r="Q979" t="s">
        <v>159</v>
      </c>
      <c r="S979" t="s">
        <v>268</v>
      </c>
      <c r="T979" t="s">
        <v>164</v>
      </c>
      <c r="U979">
        <v>3.1639048027739362E-2</v>
      </c>
      <c r="V979" t="s">
        <v>159</v>
      </c>
    </row>
    <row r="980" spans="9:22" x14ac:dyDescent="0.45">
      <c r="I980" t="s">
        <v>183</v>
      </c>
      <c r="J980" t="s">
        <v>289</v>
      </c>
      <c r="K980">
        <v>4.776454861807922E-4</v>
      </c>
      <c r="L980" t="s">
        <v>159</v>
      </c>
      <c r="N980" t="s">
        <v>226</v>
      </c>
      <c r="O980" t="s">
        <v>289</v>
      </c>
      <c r="P980">
        <v>3.6014867997476259E-3</v>
      </c>
      <c r="Q980" t="s">
        <v>159</v>
      </c>
      <c r="S980" t="s">
        <v>268</v>
      </c>
      <c r="T980" t="s">
        <v>289</v>
      </c>
      <c r="U980">
        <v>3.2945581703443501E-3</v>
      </c>
      <c r="V980" t="s">
        <v>159</v>
      </c>
    </row>
    <row r="981" spans="9:22" x14ac:dyDescent="0.45">
      <c r="I981" t="s">
        <v>183</v>
      </c>
      <c r="J981" t="s">
        <v>290</v>
      </c>
      <c r="K981">
        <v>0</v>
      </c>
      <c r="L981" t="s">
        <v>159</v>
      </c>
      <c r="N981" t="s">
        <v>226</v>
      </c>
      <c r="O981" t="s">
        <v>290</v>
      </c>
      <c r="P981">
        <v>2.6129285162549407E-3</v>
      </c>
      <c r="Q981" t="s">
        <v>159</v>
      </c>
      <c r="S981" t="s">
        <v>268</v>
      </c>
      <c r="T981" t="s">
        <v>290</v>
      </c>
      <c r="U981">
        <v>3.3465476594702549E-3</v>
      </c>
      <c r="V981" t="s">
        <v>159</v>
      </c>
    </row>
    <row r="982" spans="9:22" x14ac:dyDescent="0.45">
      <c r="I982" t="s">
        <v>183</v>
      </c>
      <c r="J982" t="s">
        <v>309</v>
      </c>
      <c r="K982">
        <v>0</v>
      </c>
      <c r="L982" t="s">
        <v>159</v>
      </c>
      <c r="N982" t="s">
        <v>226</v>
      </c>
      <c r="O982" t="s">
        <v>309</v>
      </c>
      <c r="P982">
        <v>7.6312607408515276E-3</v>
      </c>
      <c r="Q982" t="s">
        <v>159</v>
      </c>
      <c r="S982" t="s">
        <v>268</v>
      </c>
      <c r="T982" t="s">
        <v>309</v>
      </c>
      <c r="U982">
        <v>1.7377734898757737E-2</v>
      </c>
      <c r="V982" t="s">
        <v>159</v>
      </c>
    </row>
    <row r="983" spans="9:22" x14ac:dyDescent="0.45">
      <c r="I983" t="s">
        <v>183</v>
      </c>
      <c r="J983" t="s">
        <v>346</v>
      </c>
      <c r="K983">
        <v>0</v>
      </c>
      <c r="L983" t="s">
        <v>159</v>
      </c>
      <c r="N983" t="s">
        <v>226</v>
      </c>
      <c r="O983" t="s">
        <v>346</v>
      </c>
      <c r="P983">
        <v>1.0076466224149203E-5</v>
      </c>
      <c r="Q983" t="s">
        <v>159</v>
      </c>
      <c r="S983" t="s">
        <v>268</v>
      </c>
      <c r="T983" t="s">
        <v>346</v>
      </c>
      <c r="U983">
        <v>7.2591346367171947E-5</v>
      </c>
      <c r="V983" t="s">
        <v>159</v>
      </c>
    </row>
    <row r="984" spans="9:22" x14ac:dyDescent="0.45">
      <c r="I984" t="s">
        <v>183</v>
      </c>
      <c r="J984" t="s">
        <v>347</v>
      </c>
      <c r="K984">
        <v>0</v>
      </c>
      <c r="L984" t="s">
        <v>159</v>
      </c>
      <c r="N984" t="s">
        <v>226</v>
      </c>
      <c r="O984" t="s">
        <v>347</v>
      </c>
      <c r="P984">
        <v>7.9892772001373822E-6</v>
      </c>
      <c r="Q984" t="s">
        <v>159</v>
      </c>
      <c r="S984" t="s">
        <v>268</v>
      </c>
      <c r="T984" t="s">
        <v>347</v>
      </c>
      <c r="U984">
        <v>7.9791377979187075E-5</v>
      </c>
      <c r="V984" t="s">
        <v>159</v>
      </c>
    </row>
    <row r="985" spans="9:22" x14ac:dyDescent="0.45">
      <c r="I985" t="s">
        <v>183</v>
      </c>
      <c r="J985" t="s">
        <v>348</v>
      </c>
      <c r="K985">
        <v>0</v>
      </c>
      <c r="L985" t="s">
        <v>159</v>
      </c>
      <c r="N985" t="s">
        <v>226</v>
      </c>
      <c r="O985" t="s">
        <v>348</v>
      </c>
      <c r="P985">
        <v>5.0689232066588065E-6</v>
      </c>
      <c r="Q985" t="s">
        <v>159</v>
      </c>
      <c r="S985" t="s">
        <v>268</v>
      </c>
      <c r="T985" t="s">
        <v>348</v>
      </c>
      <c r="U985">
        <v>7.1796491274788267E-5</v>
      </c>
      <c r="V985" t="s">
        <v>159</v>
      </c>
    </row>
    <row r="986" spans="9:22" x14ac:dyDescent="0.45">
      <c r="I986" t="s">
        <v>183</v>
      </c>
      <c r="J986" t="s">
        <v>349</v>
      </c>
      <c r="K986">
        <v>0</v>
      </c>
      <c r="L986" t="s">
        <v>159</v>
      </c>
      <c r="N986" t="s">
        <v>226</v>
      </c>
      <c r="O986" t="s">
        <v>349</v>
      </c>
      <c r="P986">
        <v>2.6385929113832733E-6</v>
      </c>
      <c r="Q986" t="s">
        <v>159</v>
      </c>
      <c r="S986" t="s">
        <v>268</v>
      </c>
      <c r="T986" t="s">
        <v>349</v>
      </c>
      <c r="U986">
        <v>5.1478392427499646E-5</v>
      </c>
      <c r="V986" t="s">
        <v>159</v>
      </c>
    </row>
    <row r="987" spans="9:22" x14ac:dyDescent="0.45">
      <c r="I987" t="s">
        <v>183</v>
      </c>
      <c r="J987" t="s">
        <v>350</v>
      </c>
      <c r="K987">
        <v>0</v>
      </c>
      <c r="L987" t="s">
        <v>159</v>
      </c>
      <c r="N987" t="s">
        <v>226</v>
      </c>
      <c r="O987" t="s">
        <v>350</v>
      </c>
      <c r="P987">
        <v>5.0076924977268141E-6</v>
      </c>
      <c r="Q987" t="s">
        <v>159</v>
      </c>
      <c r="S987" t="s">
        <v>268</v>
      </c>
      <c r="T987" t="s">
        <v>350</v>
      </c>
      <c r="U987">
        <v>3.6790980131399766E-5</v>
      </c>
      <c r="V987" t="s">
        <v>159</v>
      </c>
    </row>
    <row r="988" spans="9:22" x14ac:dyDescent="0.45">
      <c r="I988" t="s">
        <v>183</v>
      </c>
      <c r="J988" t="s">
        <v>351</v>
      </c>
      <c r="K988">
        <v>0</v>
      </c>
      <c r="L988" t="s">
        <v>159</v>
      </c>
      <c r="N988" t="s">
        <v>226</v>
      </c>
      <c r="O988" t="s">
        <v>351</v>
      </c>
      <c r="P988">
        <v>2.3127715212003944E-5</v>
      </c>
      <c r="Q988" t="s">
        <v>159</v>
      </c>
      <c r="S988" t="s">
        <v>268</v>
      </c>
      <c r="T988" t="s">
        <v>351</v>
      </c>
      <c r="U988">
        <v>2.9358901532009601E-5</v>
      </c>
      <c r="V988" t="s">
        <v>159</v>
      </c>
    </row>
    <row r="989" spans="9:22" x14ac:dyDescent="0.45">
      <c r="I989" t="s">
        <v>183</v>
      </c>
      <c r="J989" t="s">
        <v>352</v>
      </c>
      <c r="K989">
        <v>0</v>
      </c>
      <c r="L989" t="s">
        <v>159</v>
      </c>
      <c r="N989" t="s">
        <v>226</v>
      </c>
      <c r="O989" t="s">
        <v>352</v>
      </c>
      <c r="P989">
        <v>3.3063806777682304E-5</v>
      </c>
      <c r="Q989" t="s">
        <v>159</v>
      </c>
      <c r="S989" t="s">
        <v>268</v>
      </c>
      <c r="T989" t="s">
        <v>352</v>
      </c>
      <c r="U989">
        <v>2.1967244423265185E-5</v>
      </c>
      <c r="V989" t="s">
        <v>159</v>
      </c>
    </row>
    <row r="990" spans="9:22" x14ac:dyDescent="0.45">
      <c r="I990" t="s">
        <v>183</v>
      </c>
      <c r="J990" t="s">
        <v>353</v>
      </c>
      <c r="K990">
        <v>1.3060133374616267E-6</v>
      </c>
      <c r="L990" t="s">
        <v>159</v>
      </c>
      <c r="N990" t="s">
        <v>226</v>
      </c>
      <c r="O990" t="s">
        <v>353</v>
      </c>
      <c r="P990">
        <v>3.8707845589942536E-5</v>
      </c>
      <c r="Q990" t="s">
        <v>159</v>
      </c>
      <c r="S990" t="s">
        <v>268</v>
      </c>
      <c r="T990" t="s">
        <v>353</v>
      </c>
      <c r="U990">
        <v>1.4192864739361327E-5</v>
      </c>
      <c r="V990" t="s">
        <v>159</v>
      </c>
    </row>
    <row r="991" spans="9:22" x14ac:dyDescent="0.45">
      <c r="I991" t="s">
        <v>183</v>
      </c>
      <c r="J991" t="s">
        <v>354</v>
      </c>
      <c r="K991">
        <v>1.7314876232844755E-4</v>
      </c>
      <c r="L991" t="s">
        <v>159</v>
      </c>
      <c r="N991" t="s">
        <v>226</v>
      </c>
      <c r="O991" t="s">
        <v>354</v>
      </c>
      <c r="P991">
        <v>4.3969984309140297E-5</v>
      </c>
      <c r="Q991" t="s">
        <v>159</v>
      </c>
      <c r="S991" t="s">
        <v>268</v>
      </c>
      <c r="T991" t="s">
        <v>354</v>
      </c>
      <c r="U991">
        <v>1.3336452352295017E-5</v>
      </c>
      <c r="V991" t="s">
        <v>159</v>
      </c>
    </row>
    <row r="992" spans="9:22" x14ac:dyDescent="0.45">
      <c r="I992" t="s">
        <v>183</v>
      </c>
      <c r="J992" t="s">
        <v>355</v>
      </c>
      <c r="K992">
        <v>1.7532521503768229E-4</v>
      </c>
      <c r="L992" t="s">
        <v>159</v>
      </c>
      <c r="N992" t="s">
        <v>226</v>
      </c>
      <c r="O992" t="s">
        <v>355</v>
      </c>
      <c r="P992">
        <v>4.4661986164341355E-5</v>
      </c>
      <c r="Q992" t="s">
        <v>159</v>
      </c>
      <c r="S992" t="s">
        <v>268</v>
      </c>
      <c r="T992" t="s">
        <v>355</v>
      </c>
      <c r="U992">
        <v>2.3157280701325433E-5</v>
      </c>
      <c r="V992" t="s">
        <v>159</v>
      </c>
    </row>
    <row r="993" spans="9:22" x14ac:dyDescent="0.45">
      <c r="I993" t="s">
        <v>183</v>
      </c>
      <c r="J993" t="s">
        <v>356</v>
      </c>
      <c r="K993">
        <v>1.628874838249673E-4</v>
      </c>
      <c r="L993" t="s">
        <v>159</v>
      </c>
      <c r="N993" t="s">
        <v>226</v>
      </c>
      <c r="O993" t="s">
        <v>356</v>
      </c>
      <c r="P993">
        <v>5.4385330507892568E-6</v>
      </c>
      <c r="Q993" t="s">
        <v>159</v>
      </c>
      <c r="S993" t="s">
        <v>268</v>
      </c>
      <c r="T993" t="s">
        <v>356</v>
      </c>
      <c r="U993">
        <v>4.0817869429119701E-5</v>
      </c>
      <c r="V993" t="s">
        <v>159</v>
      </c>
    </row>
    <row r="994" spans="9:22" x14ac:dyDescent="0.45">
      <c r="I994" t="s">
        <v>183</v>
      </c>
      <c r="J994" t="s">
        <v>357</v>
      </c>
      <c r="K994">
        <v>1.7992049738162465E-4</v>
      </c>
      <c r="L994" t="s">
        <v>159</v>
      </c>
      <c r="N994" t="s">
        <v>226</v>
      </c>
      <c r="O994" t="s">
        <v>357</v>
      </c>
      <c r="P994">
        <v>1.648753975440822E-6</v>
      </c>
      <c r="Q994" t="s">
        <v>159</v>
      </c>
      <c r="S994" t="s">
        <v>268</v>
      </c>
      <c r="T994" t="s">
        <v>357</v>
      </c>
      <c r="U994">
        <v>7.2936368646933842E-5</v>
      </c>
      <c r="V994" t="s">
        <v>159</v>
      </c>
    </row>
    <row r="995" spans="9:22" x14ac:dyDescent="0.45">
      <c r="I995" t="s">
        <v>183</v>
      </c>
      <c r="J995" t="s">
        <v>358</v>
      </c>
      <c r="K995">
        <v>2.3168364119181961E-4</v>
      </c>
      <c r="L995" t="s">
        <v>159</v>
      </c>
      <c r="N995" t="s">
        <v>226</v>
      </c>
      <c r="O995" t="s">
        <v>358</v>
      </c>
      <c r="P995">
        <v>7.1565475982290234E-6</v>
      </c>
      <c r="Q995" t="s">
        <v>159</v>
      </c>
      <c r="S995" t="s">
        <v>268</v>
      </c>
      <c r="T995" t="s">
        <v>358</v>
      </c>
      <c r="U995">
        <v>8.5718275080581599E-5</v>
      </c>
      <c r="V995" t="s">
        <v>159</v>
      </c>
    </row>
    <row r="996" spans="9:22" x14ac:dyDescent="0.45">
      <c r="I996" t="s">
        <v>183</v>
      </c>
      <c r="J996" t="s">
        <v>359</v>
      </c>
      <c r="K996">
        <v>1.7860028404933584E-4</v>
      </c>
      <c r="L996" t="s">
        <v>159</v>
      </c>
      <c r="N996" t="s">
        <v>226</v>
      </c>
      <c r="O996" t="s">
        <v>359</v>
      </c>
      <c r="P996">
        <v>2.2767166060710339E-6</v>
      </c>
      <c r="Q996" t="s">
        <v>159</v>
      </c>
      <c r="S996" t="s">
        <v>268</v>
      </c>
      <c r="T996" t="s">
        <v>359</v>
      </c>
      <c r="U996">
        <v>8.7748739992247628E-5</v>
      </c>
      <c r="V996" t="s">
        <v>159</v>
      </c>
    </row>
    <row r="997" spans="9:22" x14ac:dyDescent="0.45">
      <c r="I997" t="s">
        <v>183</v>
      </c>
      <c r="J997" t="s">
        <v>360</v>
      </c>
      <c r="K997">
        <v>1.5929666993239243E-4</v>
      </c>
      <c r="L997" t="s">
        <v>159</v>
      </c>
      <c r="N997" t="s">
        <v>226</v>
      </c>
      <c r="O997" t="s">
        <v>360</v>
      </c>
      <c r="P997">
        <v>3.6333100936664575E-6</v>
      </c>
      <c r="Q997" t="s">
        <v>159</v>
      </c>
      <c r="S997" t="s">
        <v>268</v>
      </c>
      <c r="T997" t="s">
        <v>360</v>
      </c>
      <c r="U997">
        <v>7.552398306958536E-5</v>
      </c>
      <c r="V997" t="s">
        <v>159</v>
      </c>
    </row>
    <row r="998" spans="9:22" x14ac:dyDescent="0.45">
      <c r="I998" t="s">
        <v>183</v>
      </c>
      <c r="J998" t="s">
        <v>361</v>
      </c>
      <c r="K998">
        <v>1.7249232502543956E-4</v>
      </c>
      <c r="L998" t="s">
        <v>159</v>
      </c>
      <c r="N998" t="s">
        <v>226</v>
      </c>
      <c r="O998" t="s">
        <v>361</v>
      </c>
      <c r="P998">
        <v>1.3891399806068336E-5</v>
      </c>
      <c r="Q998" t="s">
        <v>159</v>
      </c>
      <c r="S998" t="s">
        <v>268</v>
      </c>
      <c r="T998" t="s">
        <v>361</v>
      </c>
      <c r="U998">
        <v>5.2526846333331289E-5</v>
      </c>
      <c r="V998" t="s">
        <v>159</v>
      </c>
    </row>
    <row r="999" spans="9:22" x14ac:dyDescent="0.45">
      <c r="I999" t="s">
        <v>183</v>
      </c>
      <c r="J999" t="s">
        <v>362</v>
      </c>
      <c r="K999">
        <v>1.7076909481885625E-4</v>
      </c>
      <c r="L999" t="s">
        <v>159</v>
      </c>
      <c r="N999" t="s">
        <v>226</v>
      </c>
      <c r="O999" t="s">
        <v>362</v>
      </c>
      <c r="P999">
        <v>6.3256711440189169E-5</v>
      </c>
      <c r="Q999" t="s">
        <v>159</v>
      </c>
      <c r="S999" t="s">
        <v>268</v>
      </c>
      <c r="T999" t="s">
        <v>362</v>
      </c>
      <c r="U999">
        <v>3.225385606639402E-5</v>
      </c>
      <c r="V999" t="s">
        <v>159</v>
      </c>
    </row>
    <row r="1000" spans="9:22" x14ac:dyDescent="0.45">
      <c r="I1000" t="s">
        <v>183</v>
      </c>
      <c r="J1000" t="s">
        <v>363</v>
      </c>
      <c r="K1000">
        <v>0</v>
      </c>
      <c r="L1000" t="s">
        <v>159</v>
      </c>
      <c r="N1000" t="s">
        <v>226</v>
      </c>
      <c r="O1000" t="s">
        <v>363</v>
      </c>
      <c r="P1000">
        <v>9.2039593288161916E-5</v>
      </c>
      <c r="Q1000" t="s">
        <v>159</v>
      </c>
      <c r="S1000" t="s">
        <v>268</v>
      </c>
      <c r="T1000" t="s">
        <v>363</v>
      </c>
      <c r="U1000">
        <v>2.2543136907147376E-5</v>
      </c>
      <c r="V1000" t="s">
        <v>159</v>
      </c>
    </row>
    <row r="1001" spans="9:22" x14ac:dyDescent="0.45">
      <c r="I1001" t="s">
        <v>183</v>
      </c>
      <c r="J1001" t="s">
        <v>364</v>
      </c>
      <c r="K1001">
        <v>0</v>
      </c>
      <c r="L1001" t="s">
        <v>159</v>
      </c>
      <c r="N1001" t="s">
        <v>226</v>
      </c>
      <c r="O1001" t="s">
        <v>364</v>
      </c>
      <c r="P1001">
        <v>5.2858581839726147E-5</v>
      </c>
      <c r="Q1001" t="s">
        <v>159</v>
      </c>
      <c r="S1001" t="s">
        <v>268</v>
      </c>
      <c r="T1001" t="s">
        <v>364</v>
      </c>
      <c r="U1001">
        <v>1.4800618568218849E-5</v>
      </c>
      <c r="V1001" t="s">
        <v>159</v>
      </c>
    </row>
    <row r="1002" spans="9:22" x14ac:dyDescent="0.45">
      <c r="I1002" t="s">
        <v>183</v>
      </c>
      <c r="J1002" t="s">
        <v>365</v>
      </c>
      <c r="K1002">
        <v>0</v>
      </c>
      <c r="L1002" t="s">
        <v>159</v>
      </c>
      <c r="N1002" t="s">
        <v>226</v>
      </c>
      <c r="O1002" t="s">
        <v>365</v>
      </c>
      <c r="P1002">
        <v>1.4274412582204882E-5</v>
      </c>
      <c r="Q1002" t="s">
        <v>159</v>
      </c>
      <c r="S1002" t="s">
        <v>268</v>
      </c>
      <c r="T1002" t="s">
        <v>365</v>
      </c>
      <c r="U1002">
        <v>8.2345349361824198E-6</v>
      </c>
      <c r="V1002" t="s">
        <v>159</v>
      </c>
    </row>
    <row r="1003" spans="9:22" x14ac:dyDescent="0.45">
      <c r="I1003" t="s">
        <v>183</v>
      </c>
      <c r="J1003" t="s">
        <v>366</v>
      </c>
      <c r="K1003">
        <v>0</v>
      </c>
      <c r="L1003" t="s">
        <v>159</v>
      </c>
      <c r="N1003" t="s">
        <v>226</v>
      </c>
      <c r="O1003" t="s">
        <v>366</v>
      </c>
      <c r="P1003">
        <v>8.8254617335520254E-7</v>
      </c>
      <c r="Q1003" t="s">
        <v>159</v>
      </c>
      <c r="S1003" t="s">
        <v>268</v>
      </c>
      <c r="T1003" t="s">
        <v>366</v>
      </c>
      <c r="U1003">
        <v>5.7260248071710538E-6</v>
      </c>
      <c r="V1003" t="s">
        <v>159</v>
      </c>
    </row>
    <row r="1004" spans="9:22" x14ac:dyDescent="0.45">
      <c r="I1004" t="s">
        <v>183</v>
      </c>
      <c r="J1004" t="s">
        <v>367</v>
      </c>
      <c r="K1004">
        <v>0</v>
      </c>
      <c r="L1004" t="s">
        <v>159</v>
      </c>
      <c r="N1004" t="s">
        <v>226</v>
      </c>
      <c r="O1004" t="s">
        <v>367</v>
      </c>
      <c r="P1004">
        <v>2.701344219269516E-6</v>
      </c>
      <c r="Q1004" t="s">
        <v>159</v>
      </c>
      <c r="S1004" t="s">
        <v>268</v>
      </c>
      <c r="T1004" t="s">
        <v>367</v>
      </c>
      <c r="U1004">
        <v>5.5745978531813867E-6</v>
      </c>
      <c r="V1004" t="s">
        <v>159</v>
      </c>
    </row>
    <row r="1005" spans="9:22" x14ac:dyDescent="0.45">
      <c r="I1005" t="s">
        <v>183</v>
      </c>
      <c r="J1005" t="s">
        <v>368</v>
      </c>
      <c r="K1005">
        <v>0</v>
      </c>
      <c r="L1005" t="s">
        <v>159</v>
      </c>
      <c r="N1005" t="s">
        <v>226</v>
      </c>
      <c r="O1005" t="s">
        <v>368</v>
      </c>
      <c r="P1005">
        <v>2.3229783867170648E-6</v>
      </c>
      <c r="Q1005" t="s">
        <v>159</v>
      </c>
      <c r="S1005" t="s">
        <v>268</v>
      </c>
      <c r="T1005" t="s">
        <v>368</v>
      </c>
      <c r="U1005">
        <v>3.6885798284176904E-6</v>
      </c>
      <c r="V1005" t="s">
        <v>159</v>
      </c>
    </row>
    <row r="1006" spans="9:22" x14ac:dyDescent="0.45">
      <c r="I1006" t="s">
        <v>183</v>
      </c>
      <c r="J1006" t="s">
        <v>369</v>
      </c>
      <c r="K1006">
        <v>0</v>
      </c>
      <c r="L1006" t="s">
        <v>159</v>
      </c>
      <c r="N1006" t="s">
        <v>226</v>
      </c>
      <c r="O1006" t="s">
        <v>369</v>
      </c>
      <c r="P1006">
        <v>2.6235632709958624E-7</v>
      </c>
      <c r="Q1006" t="s">
        <v>159</v>
      </c>
      <c r="S1006" t="s">
        <v>268</v>
      </c>
      <c r="T1006" t="s">
        <v>369</v>
      </c>
      <c r="U1006">
        <v>2.9406768341495726E-6</v>
      </c>
      <c r="V1006" t="s">
        <v>159</v>
      </c>
    </row>
    <row r="1007" spans="9:22" x14ac:dyDescent="0.45">
      <c r="I1007" t="s">
        <v>183</v>
      </c>
      <c r="J1007" t="s">
        <v>165</v>
      </c>
      <c r="K1007">
        <v>0</v>
      </c>
      <c r="L1007" t="s">
        <v>159</v>
      </c>
      <c r="N1007" t="s">
        <v>226</v>
      </c>
      <c r="O1007" t="s">
        <v>165</v>
      </c>
      <c r="P1007">
        <v>3.1911231560916929E-2</v>
      </c>
      <c r="Q1007" t="s">
        <v>159</v>
      </c>
      <c r="S1007" t="s">
        <v>268</v>
      </c>
      <c r="T1007" t="s">
        <v>165</v>
      </c>
      <c r="U1007">
        <v>2.9326019420313518E-2</v>
      </c>
      <c r="V1007" t="s">
        <v>159</v>
      </c>
    </row>
    <row r="1008" spans="9:22" x14ac:dyDescent="0.45">
      <c r="I1008" t="s">
        <v>183</v>
      </c>
      <c r="J1008" t="s">
        <v>166</v>
      </c>
      <c r="K1008">
        <v>4.0067703692473113E-3</v>
      </c>
      <c r="L1008" t="s">
        <v>159</v>
      </c>
      <c r="N1008" t="s">
        <v>226</v>
      </c>
      <c r="O1008" t="s">
        <v>166</v>
      </c>
      <c r="P1008">
        <v>5.7449467032069995E-3</v>
      </c>
      <c r="Q1008" t="s">
        <v>159</v>
      </c>
      <c r="S1008" t="s">
        <v>268</v>
      </c>
      <c r="T1008" t="s">
        <v>166</v>
      </c>
      <c r="U1008">
        <v>4.0295491670534131E-3</v>
      </c>
      <c r="V1008" t="s">
        <v>159</v>
      </c>
    </row>
    <row r="1009" spans="9:22" x14ac:dyDescent="0.45">
      <c r="I1009" t="s">
        <v>183</v>
      </c>
      <c r="J1009" t="s">
        <v>167</v>
      </c>
      <c r="K1009">
        <v>5.3110294665893086E-2</v>
      </c>
      <c r="L1009" t="s">
        <v>159</v>
      </c>
      <c r="N1009" t="s">
        <v>226</v>
      </c>
      <c r="O1009" t="s">
        <v>167</v>
      </c>
      <c r="P1009">
        <v>4.7773208083289734E-2</v>
      </c>
      <c r="Q1009" t="s">
        <v>159</v>
      </c>
      <c r="S1009" t="s">
        <v>268</v>
      </c>
      <c r="T1009" t="s">
        <v>167</v>
      </c>
      <c r="U1009">
        <v>3.4617188598351958E-2</v>
      </c>
      <c r="V1009" t="s">
        <v>159</v>
      </c>
    </row>
    <row r="1010" spans="9:22" x14ac:dyDescent="0.45">
      <c r="I1010" t="s">
        <v>183</v>
      </c>
      <c r="J1010" t="s">
        <v>291</v>
      </c>
      <c r="K1010">
        <v>4.1588135179225633E-3</v>
      </c>
      <c r="L1010" t="s">
        <v>159</v>
      </c>
      <c r="N1010" t="s">
        <v>226</v>
      </c>
      <c r="O1010" t="s">
        <v>291</v>
      </c>
      <c r="P1010">
        <v>4.1634528217756603E-3</v>
      </c>
      <c r="Q1010" t="s">
        <v>159</v>
      </c>
      <c r="S1010" t="s">
        <v>268</v>
      </c>
      <c r="T1010" t="s">
        <v>291</v>
      </c>
      <c r="U1010">
        <v>3.6562023123193834E-3</v>
      </c>
      <c r="V1010" t="s">
        <v>159</v>
      </c>
    </row>
    <row r="1011" spans="9:22" x14ac:dyDescent="0.45">
      <c r="I1011" t="s">
        <v>183</v>
      </c>
      <c r="J1011" t="s">
        <v>292</v>
      </c>
      <c r="K1011">
        <v>0</v>
      </c>
      <c r="L1011" t="s">
        <v>159</v>
      </c>
      <c r="N1011" t="s">
        <v>226</v>
      </c>
      <c r="O1011" t="s">
        <v>292</v>
      </c>
      <c r="P1011">
        <v>3.3142407359812625E-3</v>
      </c>
      <c r="Q1011" t="s">
        <v>159</v>
      </c>
      <c r="S1011" t="s">
        <v>268</v>
      </c>
      <c r="T1011" t="s">
        <v>292</v>
      </c>
      <c r="U1011">
        <v>3.7649964582200201E-3</v>
      </c>
      <c r="V1011" t="s">
        <v>159</v>
      </c>
    </row>
    <row r="1012" spans="9:22" x14ac:dyDescent="0.45">
      <c r="I1012" t="s">
        <v>183</v>
      </c>
      <c r="J1012" t="s">
        <v>310</v>
      </c>
      <c r="K1012">
        <v>0</v>
      </c>
      <c r="L1012" t="s">
        <v>159</v>
      </c>
      <c r="N1012" t="s">
        <v>226</v>
      </c>
      <c r="O1012" t="s">
        <v>310</v>
      </c>
      <c r="P1012">
        <v>1.096431386787433E-2</v>
      </c>
      <c r="Q1012" t="s">
        <v>159</v>
      </c>
      <c r="S1012" t="s">
        <v>268</v>
      </c>
      <c r="T1012" t="s">
        <v>310</v>
      </c>
      <c r="U1012">
        <v>2.1471940399062927E-2</v>
      </c>
      <c r="V1012" t="s">
        <v>159</v>
      </c>
    </row>
    <row r="1013" spans="9:22" x14ac:dyDescent="0.45">
      <c r="I1013" t="s">
        <v>183</v>
      </c>
      <c r="J1013" t="s">
        <v>293</v>
      </c>
      <c r="K1013">
        <v>0</v>
      </c>
      <c r="L1013" t="s">
        <v>159</v>
      </c>
      <c r="N1013" t="s">
        <v>226</v>
      </c>
      <c r="O1013" t="s">
        <v>293</v>
      </c>
      <c r="P1013">
        <v>8.4570427510616362E-3</v>
      </c>
      <c r="Q1013" t="s">
        <v>159</v>
      </c>
      <c r="S1013" t="s">
        <v>268</v>
      </c>
      <c r="T1013" t="s">
        <v>293</v>
      </c>
      <c r="U1013">
        <v>4.9297207254106632E-3</v>
      </c>
      <c r="V1013" t="s">
        <v>159</v>
      </c>
    </row>
    <row r="1014" spans="9:22" x14ac:dyDescent="0.45">
      <c r="I1014" t="s">
        <v>183</v>
      </c>
      <c r="J1014" t="s">
        <v>294</v>
      </c>
      <c r="K1014">
        <v>1.290274979247203E-3</v>
      </c>
      <c r="L1014" t="s">
        <v>159</v>
      </c>
      <c r="N1014" t="s">
        <v>226</v>
      </c>
      <c r="O1014" t="s">
        <v>294</v>
      </c>
      <c r="P1014">
        <v>1.9998763150901777E-3</v>
      </c>
      <c r="Q1014" t="s">
        <v>159</v>
      </c>
      <c r="S1014" t="s">
        <v>268</v>
      </c>
      <c r="T1014" t="s">
        <v>294</v>
      </c>
      <c r="U1014">
        <v>5.9995187407444264E-4</v>
      </c>
      <c r="V1014" t="s">
        <v>159</v>
      </c>
    </row>
    <row r="1015" spans="9:22" x14ac:dyDescent="0.45">
      <c r="I1015" t="s">
        <v>183</v>
      </c>
      <c r="J1015" t="s">
        <v>295</v>
      </c>
      <c r="K1015">
        <v>1.5741333818754037E-2</v>
      </c>
      <c r="L1015" t="s">
        <v>159</v>
      </c>
      <c r="N1015" t="s">
        <v>226</v>
      </c>
      <c r="O1015" t="s">
        <v>295</v>
      </c>
      <c r="P1015">
        <v>1.4771928138338645E-2</v>
      </c>
      <c r="Q1015" t="s">
        <v>159</v>
      </c>
      <c r="S1015" t="s">
        <v>268</v>
      </c>
      <c r="T1015" t="s">
        <v>295</v>
      </c>
      <c r="U1015">
        <v>7.2050000836747794E-3</v>
      </c>
      <c r="V1015" t="s">
        <v>159</v>
      </c>
    </row>
    <row r="1016" spans="9:22" x14ac:dyDescent="0.45">
      <c r="I1016" t="s">
        <v>183</v>
      </c>
      <c r="J1016" t="s">
        <v>296</v>
      </c>
      <c r="K1016">
        <v>1.2106826829188094E-3</v>
      </c>
      <c r="L1016" t="s">
        <v>159</v>
      </c>
      <c r="N1016" t="s">
        <v>226</v>
      </c>
      <c r="O1016" t="s">
        <v>296</v>
      </c>
      <c r="P1016">
        <v>1.1260358245395081E-3</v>
      </c>
      <c r="Q1016" t="s">
        <v>159</v>
      </c>
      <c r="S1016" t="s">
        <v>268</v>
      </c>
      <c r="T1016" t="s">
        <v>296</v>
      </c>
      <c r="U1016">
        <v>9.2103094130270558E-4</v>
      </c>
      <c r="V1016" t="s">
        <v>159</v>
      </c>
    </row>
    <row r="1017" spans="9:22" x14ac:dyDescent="0.45">
      <c r="I1017" t="s">
        <v>183</v>
      </c>
      <c r="J1017" t="s">
        <v>297</v>
      </c>
      <c r="K1017">
        <v>0</v>
      </c>
      <c r="L1017" t="s">
        <v>159</v>
      </c>
      <c r="N1017" t="s">
        <v>226</v>
      </c>
      <c r="O1017" t="s">
        <v>297</v>
      </c>
      <c r="P1017">
        <v>1.187982543256203E-3</v>
      </c>
      <c r="Q1017" t="s">
        <v>159</v>
      </c>
      <c r="S1017" t="s">
        <v>268</v>
      </c>
      <c r="T1017" t="s">
        <v>297</v>
      </c>
      <c r="U1017">
        <v>8.7886114356361845E-4</v>
      </c>
      <c r="V1017" t="s">
        <v>159</v>
      </c>
    </row>
    <row r="1018" spans="9:22" x14ac:dyDescent="0.45">
      <c r="I1018" t="s">
        <v>183</v>
      </c>
      <c r="J1018" t="s">
        <v>311</v>
      </c>
      <c r="K1018">
        <v>0</v>
      </c>
      <c r="L1018" t="s">
        <v>159</v>
      </c>
      <c r="N1018" t="s">
        <v>226</v>
      </c>
      <c r="O1018" t="s">
        <v>311</v>
      </c>
      <c r="P1018">
        <v>4.0141611039840458E-3</v>
      </c>
      <c r="Q1018" t="s">
        <v>159</v>
      </c>
      <c r="S1018" t="s">
        <v>268</v>
      </c>
      <c r="T1018" t="s">
        <v>311</v>
      </c>
      <c r="U1018">
        <v>3.3737728015204413E-3</v>
      </c>
      <c r="V1018" t="s">
        <v>159</v>
      </c>
    </row>
    <row r="1019" spans="9:22" x14ac:dyDescent="0.45">
      <c r="I1019" t="s">
        <v>183</v>
      </c>
      <c r="J1019" t="s">
        <v>298</v>
      </c>
      <c r="K1019">
        <v>1.5951966971042127E-2</v>
      </c>
      <c r="L1019" t="s">
        <v>159</v>
      </c>
      <c r="N1019" t="s">
        <v>226</v>
      </c>
      <c r="O1019" t="s">
        <v>298</v>
      </c>
      <c r="P1019">
        <v>6.5293518583735929E-2</v>
      </c>
      <c r="Q1019" t="s">
        <v>159</v>
      </c>
      <c r="S1019" t="s">
        <v>268</v>
      </c>
      <c r="T1019" t="s">
        <v>298</v>
      </c>
      <c r="U1019">
        <v>8.4937392340083517E-2</v>
      </c>
      <c r="V1019" t="s">
        <v>159</v>
      </c>
    </row>
    <row r="1020" spans="9:22" x14ac:dyDescent="0.45">
      <c r="I1020" t="s">
        <v>183</v>
      </c>
      <c r="J1020" t="s">
        <v>299</v>
      </c>
      <c r="K1020">
        <v>2.1833911182066623E-2</v>
      </c>
      <c r="L1020" t="s">
        <v>159</v>
      </c>
      <c r="N1020" t="s">
        <v>226</v>
      </c>
      <c r="O1020" t="s">
        <v>299</v>
      </c>
      <c r="P1020">
        <v>9.6051940179740104E-3</v>
      </c>
      <c r="Q1020" t="s">
        <v>159</v>
      </c>
      <c r="S1020" t="s">
        <v>268</v>
      </c>
      <c r="T1020" t="s">
        <v>299</v>
      </c>
      <c r="U1020">
        <v>1.1954798294373101E-2</v>
      </c>
      <c r="V1020" t="s">
        <v>159</v>
      </c>
    </row>
    <row r="1021" spans="9:22" x14ac:dyDescent="0.45">
      <c r="I1021" t="s">
        <v>183</v>
      </c>
      <c r="J1021" t="s">
        <v>300</v>
      </c>
      <c r="K1021">
        <v>0.25066116275368328</v>
      </c>
      <c r="L1021" t="s">
        <v>159</v>
      </c>
      <c r="N1021" t="s">
        <v>226</v>
      </c>
      <c r="O1021" t="s">
        <v>300</v>
      </c>
      <c r="P1021">
        <v>0.14696777354647653</v>
      </c>
      <c r="Q1021" t="s">
        <v>159</v>
      </c>
      <c r="S1021" t="s">
        <v>268</v>
      </c>
      <c r="T1021" t="s">
        <v>300</v>
      </c>
      <c r="U1021">
        <v>0.10774685390720663</v>
      </c>
      <c r="V1021" t="s">
        <v>159</v>
      </c>
    </row>
    <row r="1022" spans="9:22" x14ac:dyDescent="0.45">
      <c r="I1022" t="s">
        <v>183</v>
      </c>
      <c r="J1022" t="s">
        <v>301</v>
      </c>
      <c r="K1022">
        <v>1.9537703428289931E-2</v>
      </c>
      <c r="L1022" t="s">
        <v>159</v>
      </c>
      <c r="N1022" t="s">
        <v>226</v>
      </c>
      <c r="O1022" t="s">
        <v>301</v>
      </c>
      <c r="P1022">
        <v>2.5031854301836794E-2</v>
      </c>
      <c r="Q1022" t="s">
        <v>159</v>
      </c>
      <c r="S1022" t="s">
        <v>268</v>
      </c>
      <c r="T1022" t="s">
        <v>301</v>
      </c>
      <c r="U1022">
        <v>1.2238245636710408E-2</v>
      </c>
      <c r="V1022" t="s">
        <v>159</v>
      </c>
    </row>
    <row r="1023" spans="9:22" x14ac:dyDescent="0.45">
      <c r="I1023" t="s">
        <v>183</v>
      </c>
      <c r="J1023" t="s">
        <v>302</v>
      </c>
      <c r="K1023">
        <v>6.4230464767589795E-3</v>
      </c>
      <c r="L1023" t="s">
        <v>159</v>
      </c>
      <c r="N1023" t="s">
        <v>226</v>
      </c>
      <c r="O1023" t="s">
        <v>302</v>
      </c>
      <c r="P1023">
        <v>2.05236805757011E-2</v>
      </c>
      <c r="Q1023" t="s">
        <v>159</v>
      </c>
      <c r="S1023" t="s">
        <v>268</v>
      </c>
      <c r="T1023" t="s">
        <v>302</v>
      </c>
      <c r="U1023">
        <v>1.214204181939205E-2</v>
      </c>
      <c r="V1023" t="s">
        <v>159</v>
      </c>
    </row>
    <row r="1024" spans="9:22" x14ac:dyDescent="0.45">
      <c r="I1024" t="s">
        <v>183</v>
      </c>
      <c r="J1024" t="s">
        <v>312</v>
      </c>
      <c r="K1024">
        <v>0</v>
      </c>
      <c r="L1024" t="s">
        <v>159</v>
      </c>
      <c r="N1024" t="s">
        <v>226</v>
      </c>
      <c r="O1024" t="s">
        <v>312</v>
      </c>
      <c r="P1024">
        <v>5.3098949751987479E-2</v>
      </c>
      <c r="Q1024" t="s">
        <v>159</v>
      </c>
      <c r="S1024" t="s">
        <v>268</v>
      </c>
      <c r="T1024" t="s">
        <v>312</v>
      </c>
      <c r="U1024">
        <v>5.9801752413222165E-2</v>
      </c>
      <c r="V1024" t="s">
        <v>159</v>
      </c>
    </row>
    <row r="1025" spans="9:22" x14ac:dyDescent="0.45">
      <c r="I1025" t="s">
        <v>183</v>
      </c>
      <c r="J1025" t="s">
        <v>313</v>
      </c>
      <c r="K1025">
        <v>7.9924018114853872E-3</v>
      </c>
      <c r="L1025" t="s">
        <v>159</v>
      </c>
      <c r="N1025" t="s">
        <v>226</v>
      </c>
      <c r="O1025" t="s">
        <v>313</v>
      </c>
      <c r="P1025">
        <v>5.0585449166122608E-3</v>
      </c>
      <c r="Q1025" t="s">
        <v>159</v>
      </c>
      <c r="S1025" t="s">
        <v>268</v>
      </c>
      <c r="T1025" t="s">
        <v>313</v>
      </c>
      <c r="U1025">
        <v>1.9160377657247069E-2</v>
      </c>
      <c r="V1025" t="s">
        <v>159</v>
      </c>
    </row>
    <row r="1026" spans="9:22" x14ac:dyDescent="0.45">
      <c r="I1026" t="s">
        <v>183</v>
      </c>
      <c r="J1026" t="s">
        <v>314</v>
      </c>
      <c r="K1026">
        <v>7.2356298822827932E-3</v>
      </c>
      <c r="L1026" t="s">
        <v>159</v>
      </c>
      <c r="N1026" t="s">
        <v>226</v>
      </c>
      <c r="O1026" t="s">
        <v>314</v>
      </c>
      <c r="P1026">
        <v>6.0536100752909021E-4</v>
      </c>
      <c r="Q1026" t="s">
        <v>159</v>
      </c>
      <c r="S1026" t="s">
        <v>268</v>
      </c>
      <c r="T1026" t="s">
        <v>314</v>
      </c>
      <c r="U1026">
        <v>2.818550670940086E-3</v>
      </c>
      <c r="V1026" t="s">
        <v>159</v>
      </c>
    </row>
    <row r="1027" spans="9:22" x14ac:dyDescent="0.45">
      <c r="I1027" t="s">
        <v>183</v>
      </c>
      <c r="J1027" t="s">
        <v>315</v>
      </c>
      <c r="K1027">
        <v>8.1147337314719722E-2</v>
      </c>
      <c r="L1027" t="s">
        <v>159</v>
      </c>
      <c r="N1027" t="s">
        <v>226</v>
      </c>
      <c r="O1027" t="s">
        <v>315</v>
      </c>
      <c r="P1027">
        <v>2.235758651741343E-2</v>
      </c>
      <c r="Q1027" t="s">
        <v>159</v>
      </c>
      <c r="S1027" t="s">
        <v>268</v>
      </c>
      <c r="T1027" t="s">
        <v>315</v>
      </c>
      <c r="U1027">
        <v>2.7425640591494216E-2</v>
      </c>
      <c r="V1027" t="s">
        <v>159</v>
      </c>
    </row>
    <row r="1028" spans="9:22" x14ac:dyDescent="0.45">
      <c r="I1028" t="s">
        <v>183</v>
      </c>
      <c r="J1028" t="s">
        <v>316</v>
      </c>
      <c r="K1028">
        <v>5.7838706048131639E-3</v>
      </c>
      <c r="L1028" t="s">
        <v>159</v>
      </c>
      <c r="N1028" t="s">
        <v>226</v>
      </c>
      <c r="O1028" t="s">
        <v>316</v>
      </c>
      <c r="P1028">
        <v>4.7314601539704031E-3</v>
      </c>
      <c r="Q1028" t="s">
        <v>159</v>
      </c>
      <c r="S1028" t="s">
        <v>268</v>
      </c>
      <c r="T1028" t="s">
        <v>316</v>
      </c>
      <c r="U1028">
        <v>3.1489277564682228E-3</v>
      </c>
      <c r="V1028" t="s">
        <v>159</v>
      </c>
    </row>
    <row r="1029" spans="9:22" x14ac:dyDescent="0.45">
      <c r="I1029" t="s">
        <v>183</v>
      </c>
      <c r="J1029" t="s">
        <v>317</v>
      </c>
      <c r="K1029">
        <v>4.1838153068480613E-3</v>
      </c>
      <c r="L1029" t="s">
        <v>159</v>
      </c>
      <c r="N1029" t="s">
        <v>226</v>
      </c>
      <c r="O1029" t="s">
        <v>317</v>
      </c>
      <c r="P1029">
        <v>3.873401113399776E-3</v>
      </c>
      <c r="Q1029" t="s">
        <v>159</v>
      </c>
      <c r="S1029" t="s">
        <v>268</v>
      </c>
      <c r="T1029" t="s">
        <v>317</v>
      </c>
      <c r="U1029">
        <v>3.0546052974310435E-3</v>
      </c>
      <c r="V1029" t="s">
        <v>159</v>
      </c>
    </row>
    <row r="1030" spans="9:22" x14ac:dyDescent="0.45">
      <c r="I1030" t="s">
        <v>183</v>
      </c>
      <c r="J1030" t="s">
        <v>318</v>
      </c>
      <c r="K1030">
        <v>0</v>
      </c>
      <c r="L1030" t="s">
        <v>159</v>
      </c>
      <c r="N1030" t="s">
        <v>226</v>
      </c>
      <c r="O1030" t="s">
        <v>318</v>
      </c>
      <c r="P1030">
        <v>8.907353798215242E-3</v>
      </c>
      <c r="Q1030" t="s">
        <v>159</v>
      </c>
      <c r="S1030" t="s">
        <v>268</v>
      </c>
      <c r="T1030" t="s">
        <v>318</v>
      </c>
      <c r="U1030">
        <v>1.3613823230599105E-2</v>
      </c>
      <c r="V1030" t="s">
        <v>159</v>
      </c>
    </row>
    <row r="1031" spans="9:22" x14ac:dyDescent="0.45">
      <c r="I1031" t="s">
        <v>184</v>
      </c>
      <c r="J1031" t="s">
        <v>158</v>
      </c>
      <c r="K1031">
        <v>6.9445874433932591E-3</v>
      </c>
      <c r="L1031" t="s">
        <v>159</v>
      </c>
      <c r="N1031" t="s">
        <v>227</v>
      </c>
      <c r="O1031" t="s">
        <v>158</v>
      </c>
      <c r="P1031">
        <v>0.12225128624496666</v>
      </c>
      <c r="Q1031" t="s">
        <v>159</v>
      </c>
      <c r="S1031" t="s">
        <v>269</v>
      </c>
      <c r="T1031" t="s">
        <v>158</v>
      </c>
      <c r="U1031">
        <v>0.1204494464121165</v>
      </c>
      <c r="V1031" t="s">
        <v>159</v>
      </c>
    </row>
    <row r="1032" spans="9:22" x14ac:dyDescent="0.45">
      <c r="I1032" t="s">
        <v>184</v>
      </c>
      <c r="J1032" t="s">
        <v>160</v>
      </c>
      <c r="K1032">
        <v>2.2041097401591513E-2</v>
      </c>
      <c r="L1032" t="s">
        <v>159</v>
      </c>
      <c r="N1032" t="s">
        <v>227</v>
      </c>
      <c r="O1032" t="s">
        <v>160</v>
      </c>
      <c r="P1032">
        <v>1.671514898651659E-2</v>
      </c>
      <c r="Q1032" t="s">
        <v>159</v>
      </c>
      <c r="S1032" t="s">
        <v>269</v>
      </c>
      <c r="T1032" t="s">
        <v>160</v>
      </c>
      <c r="U1032">
        <v>1.7158986879705712E-2</v>
      </c>
      <c r="V1032" t="s">
        <v>159</v>
      </c>
    </row>
    <row r="1033" spans="9:22" x14ac:dyDescent="0.45">
      <c r="I1033" t="s">
        <v>184</v>
      </c>
      <c r="J1033" t="s">
        <v>161</v>
      </c>
      <c r="K1033">
        <v>0.37838339371089313</v>
      </c>
      <c r="L1033" t="s">
        <v>159</v>
      </c>
      <c r="N1033" t="s">
        <v>227</v>
      </c>
      <c r="O1033" t="s">
        <v>161</v>
      </c>
      <c r="P1033">
        <v>0.16687184472380495</v>
      </c>
      <c r="Q1033" t="s">
        <v>159</v>
      </c>
      <c r="S1033" t="s">
        <v>269</v>
      </c>
      <c r="T1033" t="s">
        <v>161</v>
      </c>
      <c r="U1033">
        <v>0.17010850496580945</v>
      </c>
      <c r="V1033" t="s">
        <v>159</v>
      </c>
    </row>
    <row r="1034" spans="9:22" x14ac:dyDescent="0.45">
      <c r="I1034" t="s">
        <v>184</v>
      </c>
      <c r="J1034" t="s">
        <v>287</v>
      </c>
      <c r="K1034">
        <v>3.3883408262731028E-2</v>
      </c>
      <c r="L1034" t="s">
        <v>159</v>
      </c>
      <c r="N1034" t="s">
        <v>227</v>
      </c>
      <c r="O1034" t="s">
        <v>287</v>
      </c>
      <c r="P1034">
        <v>2.1996170395566415E-2</v>
      </c>
      <c r="Q1034" t="s">
        <v>159</v>
      </c>
      <c r="S1034" t="s">
        <v>269</v>
      </c>
      <c r="T1034" t="s">
        <v>287</v>
      </c>
      <c r="U1034">
        <v>2.0878569841247498E-2</v>
      </c>
      <c r="V1034" t="s">
        <v>159</v>
      </c>
    </row>
    <row r="1035" spans="9:22" x14ac:dyDescent="0.45">
      <c r="I1035" t="s">
        <v>184</v>
      </c>
      <c r="J1035" t="s">
        <v>288</v>
      </c>
      <c r="K1035">
        <v>1.8636441018673316E-2</v>
      </c>
      <c r="L1035" t="s">
        <v>159</v>
      </c>
      <c r="N1035" t="s">
        <v>227</v>
      </c>
      <c r="O1035" t="s">
        <v>288</v>
      </c>
      <c r="P1035">
        <v>2.165298962682816E-2</v>
      </c>
      <c r="Q1035" t="s">
        <v>159</v>
      </c>
      <c r="S1035" t="s">
        <v>269</v>
      </c>
      <c r="T1035" t="s">
        <v>288</v>
      </c>
      <c r="U1035">
        <v>2.029789149085633E-2</v>
      </c>
      <c r="V1035" t="s">
        <v>159</v>
      </c>
    </row>
    <row r="1036" spans="9:22" x14ac:dyDescent="0.45">
      <c r="I1036" t="s">
        <v>184</v>
      </c>
      <c r="J1036" t="s">
        <v>308</v>
      </c>
      <c r="K1036">
        <v>6.293339160146046E-3</v>
      </c>
      <c r="L1036" t="s">
        <v>159</v>
      </c>
      <c r="N1036" t="s">
        <v>227</v>
      </c>
      <c r="O1036" t="s">
        <v>308</v>
      </c>
      <c r="P1036">
        <v>0.1009991634266082</v>
      </c>
      <c r="Q1036" t="s">
        <v>159</v>
      </c>
      <c r="S1036" t="s">
        <v>269</v>
      </c>
      <c r="T1036" t="s">
        <v>308</v>
      </c>
      <c r="U1036">
        <v>9.0585508197829748E-2</v>
      </c>
      <c r="V1036" t="s">
        <v>159</v>
      </c>
    </row>
    <row r="1037" spans="9:22" x14ac:dyDescent="0.45">
      <c r="I1037" t="s">
        <v>184</v>
      </c>
      <c r="J1037" t="s">
        <v>162</v>
      </c>
      <c r="K1037">
        <v>0</v>
      </c>
      <c r="L1037" t="s">
        <v>159</v>
      </c>
      <c r="N1037" t="s">
        <v>227</v>
      </c>
      <c r="O1037" t="s">
        <v>162</v>
      </c>
      <c r="P1037">
        <v>1.8080543619097313E-2</v>
      </c>
      <c r="Q1037" t="s">
        <v>159</v>
      </c>
      <c r="S1037" t="s">
        <v>269</v>
      </c>
      <c r="T1037" t="s">
        <v>162</v>
      </c>
      <c r="U1037">
        <v>2.7073284387605548E-2</v>
      </c>
      <c r="V1037" t="s">
        <v>159</v>
      </c>
    </row>
    <row r="1038" spans="9:22" x14ac:dyDescent="0.45">
      <c r="I1038" t="s">
        <v>184</v>
      </c>
      <c r="J1038" t="s">
        <v>163</v>
      </c>
      <c r="K1038">
        <v>0</v>
      </c>
      <c r="L1038" t="s">
        <v>159</v>
      </c>
      <c r="N1038" t="s">
        <v>227</v>
      </c>
      <c r="O1038" t="s">
        <v>163</v>
      </c>
      <c r="P1038">
        <v>2.9067025445910773E-3</v>
      </c>
      <c r="Q1038" t="s">
        <v>159</v>
      </c>
      <c r="S1038" t="s">
        <v>269</v>
      </c>
      <c r="T1038" t="s">
        <v>163</v>
      </c>
      <c r="U1038">
        <v>3.8769071864061893E-3</v>
      </c>
      <c r="V1038" t="s">
        <v>159</v>
      </c>
    </row>
    <row r="1039" spans="9:22" x14ac:dyDescent="0.45">
      <c r="I1039" t="s">
        <v>184</v>
      </c>
      <c r="J1039" t="s">
        <v>164</v>
      </c>
      <c r="K1039">
        <v>3.3755763773361702E-2</v>
      </c>
      <c r="L1039" t="s">
        <v>159</v>
      </c>
      <c r="N1039" t="s">
        <v>227</v>
      </c>
      <c r="O1039" t="s">
        <v>164</v>
      </c>
      <c r="P1039">
        <v>2.6709084064703372E-2</v>
      </c>
      <c r="Q1039" t="s">
        <v>159</v>
      </c>
      <c r="S1039" t="s">
        <v>269</v>
      </c>
      <c r="T1039" t="s">
        <v>164</v>
      </c>
      <c r="U1039">
        <v>3.106734007733292E-2</v>
      </c>
      <c r="V1039" t="s">
        <v>159</v>
      </c>
    </row>
    <row r="1040" spans="9:22" x14ac:dyDescent="0.45">
      <c r="I1040" t="s">
        <v>184</v>
      </c>
      <c r="J1040" t="s">
        <v>289</v>
      </c>
      <c r="K1040">
        <v>2.8648877433933941E-3</v>
      </c>
      <c r="L1040" t="s">
        <v>159</v>
      </c>
      <c r="N1040" t="s">
        <v>227</v>
      </c>
      <c r="O1040" t="s">
        <v>289</v>
      </c>
      <c r="P1040">
        <v>3.3457354951482348E-3</v>
      </c>
      <c r="Q1040" t="s">
        <v>159</v>
      </c>
      <c r="S1040" t="s">
        <v>269</v>
      </c>
      <c r="T1040" t="s">
        <v>289</v>
      </c>
      <c r="U1040">
        <v>3.3300010947187268E-3</v>
      </c>
      <c r="V1040" t="s">
        <v>159</v>
      </c>
    </row>
    <row r="1041" spans="9:22" x14ac:dyDescent="0.45">
      <c r="I1041" t="s">
        <v>184</v>
      </c>
      <c r="J1041" t="s">
        <v>290</v>
      </c>
      <c r="K1041">
        <v>0</v>
      </c>
      <c r="L1041" t="s">
        <v>159</v>
      </c>
      <c r="N1041" t="s">
        <v>227</v>
      </c>
      <c r="O1041" t="s">
        <v>290</v>
      </c>
      <c r="P1041">
        <v>3.1806589136843429E-3</v>
      </c>
      <c r="Q1041" t="s">
        <v>159</v>
      </c>
      <c r="S1041" t="s">
        <v>269</v>
      </c>
      <c r="T1041" t="s">
        <v>290</v>
      </c>
      <c r="U1041">
        <v>3.5086552938050279E-3</v>
      </c>
      <c r="V1041" t="s">
        <v>159</v>
      </c>
    </row>
    <row r="1042" spans="9:22" x14ac:dyDescent="0.45">
      <c r="I1042" t="s">
        <v>184</v>
      </c>
      <c r="J1042" t="s">
        <v>309</v>
      </c>
      <c r="K1042">
        <v>0</v>
      </c>
      <c r="L1042" t="s">
        <v>159</v>
      </c>
      <c r="N1042" t="s">
        <v>227</v>
      </c>
      <c r="O1042" t="s">
        <v>309</v>
      </c>
      <c r="P1042">
        <v>1.3689014930457924E-2</v>
      </c>
      <c r="Q1042" t="s">
        <v>159</v>
      </c>
      <c r="S1042" t="s">
        <v>269</v>
      </c>
      <c r="T1042" t="s">
        <v>309</v>
      </c>
      <c r="U1042">
        <v>1.8599165948639074E-2</v>
      </c>
      <c r="V1042" t="s">
        <v>159</v>
      </c>
    </row>
    <row r="1043" spans="9:22" x14ac:dyDescent="0.45">
      <c r="I1043" t="s">
        <v>184</v>
      </c>
      <c r="J1043" t="s">
        <v>346</v>
      </c>
      <c r="K1043">
        <v>0</v>
      </c>
      <c r="L1043" t="s">
        <v>159</v>
      </c>
      <c r="N1043" t="s">
        <v>227</v>
      </c>
      <c r="O1043" t="s">
        <v>346</v>
      </c>
      <c r="P1043">
        <v>5.6785015058216534E-5</v>
      </c>
      <c r="Q1043" t="s">
        <v>159</v>
      </c>
      <c r="S1043" t="s">
        <v>269</v>
      </c>
      <c r="T1043" t="s">
        <v>346</v>
      </c>
      <c r="U1043">
        <v>3.1434736406826358E-5</v>
      </c>
      <c r="V1043" t="s">
        <v>159</v>
      </c>
    </row>
    <row r="1044" spans="9:22" x14ac:dyDescent="0.45">
      <c r="I1044" t="s">
        <v>184</v>
      </c>
      <c r="J1044" t="s">
        <v>347</v>
      </c>
      <c r="K1044">
        <v>0</v>
      </c>
      <c r="L1044" t="s">
        <v>159</v>
      </c>
      <c r="N1044" t="s">
        <v>227</v>
      </c>
      <c r="O1044" t="s">
        <v>347</v>
      </c>
      <c r="P1044">
        <v>5.5437674579338547E-5</v>
      </c>
      <c r="Q1044" t="s">
        <v>159</v>
      </c>
      <c r="S1044" t="s">
        <v>269</v>
      </c>
      <c r="T1044" t="s">
        <v>347</v>
      </c>
      <c r="U1044">
        <v>2.5170640903096576E-5</v>
      </c>
      <c r="V1044" t="s">
        <v>159</v>
      </c>
    </row>
    <row r="1045" spans="9:22" x14ac:dyDescent="0.45">
      <c r="I1045" t="s">
        <v>184</v>
      </c>
      <c r="J1045" t="s">
        <v>348</v>
      </c>
      <c r="K1045">
        <v>0</v>
      </c>
      <c r="L1045" t="s">
        <v>159</v>
      </c>
      <c r="N1045" t="s">
        <v>227</v>
      </c>
      <c r="O1045" t="s">
        <v>348</v>
      </c>
      <c r="P1045">
        <v>5.3595827943659112E-5</v>
      </c>
      <c r="Q1045" t="s">
        <v>159</v>
      </c>
      <c r="S1045" t="s">
        <v>269</v>
      </c>
      <c r="T1045" t="s">
        <v>348</v>
      </c>
      <c r="U1045">
        <v>1.7928617994604399E-5</v>
      </c>
      <c r="V1045" t="s">
        <v>159</v>
      </c>
    </row>
    <row r="1046" spans="9:22" x14ac:dyDescent="0.45">
      <c r="I1046" t="s">
        <v>184</v>
      </c>
      <c r="J1046" t="s">
        <v>349</v>
      </c>
      <c r="K1046">
        <v>0</v>
      </c>
      <c r="L1046" t="s">
        <v>159</v>
      </c>
      <c r="N1046" t="s">
        <v>227</v>
      </c>
      <c r="O1046" t="s">
        <v>349</v>
      </c>
      <c r="P1046">
        <v>5.0318293123055744E-5</v>
      </c>
      <c r="Q1046" t="s">
        <v>159</v>
      </c>
      <c r="S1046" t="s">
        <v>269</v>
      </c>
      <c r="T1046" t="s">
        <v>349</v>
      </c>
      <c r="U1046">
        <v>1.2284754683050803E-5</v>
      </c>
      <c r="V1046" t="s">
        <v>159</v>
      </c>
    </row>
    <row r="1047" spans="9:22" x14ac:dyDescent="0.45">
      <c r="I1047" t="s">
        <v>184</v>
      </c>
      <c r="J1047" t="s">
        <v>350</v>
      </c>
      <c r="K1047">
        <v>0</v>
      </c>
      <c r="L1047" t="s">
        <v>159</v>
      </c>
      <c r="N1047" t="s">
        <v>227</v>
      </c>
      <c r="O1047" t="s">
        <v>350</v>
      </c>
      <c r="P1047">
        <v>4.8950172229341924E-5</v>
      </c>
      <c r="Q1047" t="s">
        <v>159</v>
      </c>
      <c r="S1047" t="s">
        <v>269</v>
      </c>
      <c r="T1047" t="s">
        <v>350</v>
      </c>
      <c r="U1047">
        <v>7.6854735479842661E-6</v>
      </c>
      <c r="V1047" t="s">
        <v>159</v>
      </c>
    </row>
    <row r="1048" spans="9:22" x14ac:dyDescent="0.45">
      <c r="I1048" t="s">
        <v>184</v>
      </c>
      <c r="J1048" t="s">
        <v>351</v>
      </c>
      <c r="K1048">
        <v>0</v>
      </c>
      <c r="L1048" t="s">
        <v>159</v>
      </c>
      <c r="N1048" t="s">
        <v>227</v>
      </c>
      <c r="O1048" t="s">
        <v>351</v>
      </c>
      <c r="P1048">
        <v>5.6083528549387707E-5</v>
      </c>
      <c r="Q1048" t="s">
        <v>159</v>
      </c>
      <c r="S1048" t="s">
        <v>269</v>
      </c>
      <c r="T1048" t="s">
        <v>351</v>
      </c>
      <c r="U1048">
        <v>6.4629524667931286E-6</v>
      </c>
      <c r="V1048" t="s">
        <v>159</v>
      </c>
    </row>
    <row r="1049" spans="9:22" x14ac:dyDescent="0.45">
      <c r="I1049" t="s">
        <v>184</v>
      </c>
      <c r="J1049" t="s">
        <v>352</v>
      </c>
      <c r="K1049">
        <v>0</v>
      </c>
      <c r="L1049" t="s">
        <v>159</v>
      </c>
      <c r="N1049" t="s">
        <v>227</v>
      </c>
      <c r="O1049" t="s">
        <v>352</v>
      </c>
      <c r="P1049">
        <v>6.577400296304467E-5</v>
      </c>
      <c r="Q1049" t="s">
        <v>159</v>
      </c>
      <c r="S1049" t="s">
        <v>269</v>
      </c>
      <c r="T1049" t="s">
        <v>352</v>
      </c>
      <c r="U1049">
        <v>8.1906319826069459E-6</v>
      </c>
      <c r="V1049" t="s">
        <v>159</v>
      </c>
    </row>
    <row r="1050" spans="9:22" x14ac:dyDescent="0.45">
      <c r="I1050" t="s">
        <v>184</v>
      </c>
      <c r="J1050" t="s">
        <v>353</v>
      </c>
      <c r="K1050">
        <v>0</v>
      </c>
      <c r="L1050" t="s">
        <v>159</v>
      </c>
      <c r="N1050" t="s">
        <v>227</v>
      </c>
      <c r="O1050" t="s">
        <v>353</v>
      </c>
      <c r="P1050">
        <v>7.8763419070188386E-5</v>
      </c>
      <c r="Q1050" t="s">
        <v>159</v>
      </c>
      <c r="S1050" t="s">
        <v>269</v>
      </c>
      <c r="T1050" t="s">
        <v>353</v>
      </c>
      <c r="U1050">
        <v>1.1526170331654425E-5</v>
      </c>
      <c r="V1050" t="s">
        <v>159</v>
      </c>
    </row>
    <row r="1051" spans="9:22" x14ac:dyDescent="0.45">
      <c r="I1051" t="s">
        <v>184</v>
      </c>
      <c r="J1051" t="s">
        <v>354</v>
      </c>
      <c r="K1051">
        <v>9.2258607879312164E-5</v>
      </c>
      <c r="L1051" t="s">
        <v>159</v>
      </c>
      <c r="N1051" t="s">
        <v>227</v>
      </c>
      <c r="O1051" t="s">
        <v>354</v>
      </c>
      <c r="P1051">
        <v>9.1796080688605008E-5</v>
      </c>
      <c r="Q1051" t="s">
        <v>159</v>
      </c>
      <c r="S1051" t="s">
        <v>269</v>
      </c>
      <c r="T1051" t="s">
        <v>354</v>
      </c>
      <c r="U1051">
        <v>1.4945498011356741E-5</v>
      </c>
      <c r="V1051" t="s">
        <v>159</v>
      </c>
    </row>
    <row r="1052" spans="9:22" x14ac:dyDescent="0.45">
      <c r="I1052" t="s">
        <v>184</v>
      </c>
      <c r="J1052" t="s">
        <v>355</v>
      </c>
      <c r="K1052">
        <v>1.1866267373922618E-4</v>
      </c>
      <c r="L1052" t="s">
        <v>159</v>
      </c>
      <c r="N1052" t="s">
        <v>227</v>
      </c>
      <c r="O1052" t="s">
        <v>355</v>
      </c>
      <c r="P1052">
        <v>1.0125460465945386E-4</v>
      </c>
      <c r="Q1052" t="s">
        <v>159</v>
      </c>
      <c r="S1052" t="s">
        <v>269</v>
      </c>
      <c r="T1052" t="s">
        <v>355</v>
      </c>
      <c r="U1052">
        <v>1.5285516772551001E-5</v>
      </c>
      <c r="V1052" t="s">
        <v>159</v>
      </c>
    </row>
    <row r="1053" spans="9:22" x14ac:dyDescent="0.45">
      <c r="I1053" t="s">
        <v>184</v>
      </c>
      <c r="J1053" t="s">
        <v>356</v>
      </c>
      <c r="K1053">
        <v>1.319112851368764E-4</v>
      </c>
      <c r="L1053" t="s">
        <v>159</v>
      </c>
      <c r="N1053" t="s">
        <v>227</v>
      </c>
      <c r="O1053" t="s">
        <v>356</v>
      </c>
      <c r="P1053">
        <v>1.1150785996346605E-4</v>
      </c>
      <c r="Q1053" t="s">
        <v>159</v>
      </c>
      <c r="S1053" t="s">
        <v>269</v>
      </c>
      <c r="T1053" t="s">
        <v>356</v>
      </c>
      <c r="U1053">
        <v>1.3738952679528906E-5</v>
      </c>
      <c r="V1053" t="s">
        <v>159</v>
      </c>
    </row>
    <row r="1054" spans="9:22" x14ac:dyDescent="0.45">
      <c r="I1054" t="s">
        <v>184</v>
      </c>
      <c r="J1054" t="s">
        <v>357</v>
      </c>
      <c r="K1054">
        <v>1.5388899972815961E-4</v>
      </c>
      <c r="L1054" t="s">
        <v>159</v>
      </c>
      <c r="N1054" t="s">
        <v>227</v>
      </c>
      <c r="O1054" t="s">
        <v>357</v>
      </c>
      <c r="P1054">
        <v>1.3069485556541449E-4</v>
      </c>
      <c r="Q1054" t="s">
        <v>159</v>
      </c>
      <c r="S1054" t="s">
        <v>269</v>
      </c>
      <c r="T1054" t="s">
        <v>357</v>
      </c>
      <c r="U1054">
        <v>2.4719789677769513E-5</v>
      </c>
      <c r="V1054" t="s">
        <v>159</v>
      </c>
    </row>
    <row r="1055" spans="9:22" x14ac:dyDescent="0.45">
      <c r="I1055" t="s">
        <v>184</v>
      </c>
      <c r="J1055" t="s">
        <v>358</v>
      </c>
      <c r="K1055">
        <v>2.0316295305357267E-4</v>
      </c>
      <c r="L1055" t="s">
        <v>159</v>
      </c>
      <c r="N1055" t="s">
        <v>227</v>
      </c>
      <c r="O1055" t="s">
        <v>358</v>
      </c>
      <c r="P1055">
        <v>1.3613642055437461E-4</v>
      </c>
      <c r="Q1055" t="s">
        <v>159</v>
      </c>
      <c r="S1055" t="s">
        <v>269</v>
      </c>
      <c r="T1055" t="s">
        <v>358</v>
      </c>
      <c r="U1055">
        <v>4.8315112734168369E-5</v>
      </c>
      <c r="V1055" t="s">
        <v>159</v>
      </c>
    </row>
    <row r="1056" spans="9:22" x14ac:dyDescent="0.45">
      <c r="I1056" t="s">
        <v>184</v>
      </c>
      <c r="J1056" t="s">
        <v>359</v>
      </c>
      <c r="K1056">
        <v>1.7196817979832658E-4</v>
      </c>
      <c r="L1056" t="s">
        <v>159</v>
      </c>
      <c r="N1056" t="s">
        <v>227</v>
      </c>
      <c r="O1056" t="s">
        <v>359</v>
      </c>
      <c r="P1056">
        <v>1.3740503832133837E-4</v>
      </c>
      <c r="Q1056" t="s">
        <v>159</v>
      </c>
      <c r="S1056" t="s">
        <v>269</v>
      </c>
      <c r="T1056" t="s">
        <v>359</v>
      </c>
      <c r="U1056">
        <v>6.3236662816837117E-5</v>
      </c>
      <c r="V1056" t="s">
        <v>159</v>
      </c>
    </row>
    <row r="1057" spans="9:22" x14ac:dyDescent="0.45">
      <c r="I1057" t="s">
        <v>184</v>
      </c>
      <c r="J1057" t="s">
        <v>360</v>
      </c>
      <c r="K1057">
        <v>1.2204965337018484E-4</v>
      </c>
      <c r="L1057" t="s">
        <v>159</v>
      </c>
      <c r="N1057" t="s">
        <v>227</v>
      </c>
      <c r="O1057" t="s">
        <v>360</v>
      </c>
      <c r="P1057">
        <v>1.3811024843760257E-4</v>
      </c>
      <c r="Q1057" t="s">
        <v>159</v>
      </c>
      <c r="S1057" t="s">
        <v>269</v>
      </c>
      <c r="T1057" t="s">
        <v>360</v>
      </c>
      <c r="U1057">
        <v>6.9525169529075561E-5</v>
      </c>
      <c r="V1057" t="s">
        <v>159</v>
      </c>
    </row>
    <row r="1058" spans="9:22" x14ac:dyDescent="0.45">
      <c r="I1058" t="s">
        <v>184</v>
      </c>
      <c r="J1058" t="s">
        <v>361</v>
      </c>
      <c r="K1058">
        <v>8.9801631129313663E-5</v>
      </c>
      <c r="L1058" t="s">
        <v>159</v>
      </c>
      <c r="N1058" t="s">
        <v>227</v>
      </c>
      <c r="O1058" t="s">
        <v>361</v>
      </c>
      <c r="P1058">
        <v>1.4138567919355052E-4</v>
      </c>
      <c r="Q1058" t="s">
        <v>159</v>
      </c>
      <c r="S1058" t="s">
        <v>269</v>
      </c>
      <c r="T1058" t="s">
        <v>361</v>
      </c>
      <c r="U1058">
        <v>6.9455955346061894E-5</v>
      </c>
      <c r="V1058" t="s">
        <v>159</v>
      </c>
    </row>
    <row r="1059" spans="9:22" x14ac:dyDescent="0.45">
      <c r="I1059" t="s">
        <v>184</v>
      </c>
      <c r="J1059" t="s">
        <v>362</v>
      </c>
      <c r="K1059">
        <v>5.6246939454542198E-5</v>
      </c>
      <c r="L1059" t="s">
        <v>159</v>
      </c>
      <c r="N1059" t="s">
        <v>227</v>
      </c>
      <c r="O1059" t="s">
        <v>362</v>
      </c>
      <c r="P1059">
        <v>1.3720861402803029E-4</v>
      </c>
      <c r="Q1059" t="s">
        <v>159</v>
      </c>
      <c r="S1059" t="s">
        <v>269</v>
      </c>
      <c r="T1059" t="s">
        <v>362</v>
      </c>
      <c r="U1059">
        <v>6.3634689478522514E-5</v>
      </c>
      <c r="V1059" t="s">
        <v>159</v>
      </c>
    </row>
    <row r="1060" spans="9:22" x14ac:dyDescent="0.45">
      <c r="I1060" t="s">
        <v>184</v>
      </c>
      <c r="J1060" t="s">
        <v>363</v>
      </c>
      <c r="K1060">
        <v>1.5708770041190357E-5</v>
      </c>
      <c r="L1060" t="s">
        <v>159</v>
      </c>
      <c r="N1060" t="s">
        <v>227</v>
      </c>
      <c r="O1060" t="s">
        <v>363</v>
      </c>
      <c r="P1060">
        <v>1.2908144469499266E-4</v>
      </c>
      <c r="Q1060" t="s">
        <v>159</v>
      </c>
      <c r="S1060" t="s">
        <v>269</v>
      </c>
      <c r="T1060" t="s">
        <v>363</v>
      </c>
      <c r="U1060">
        <v>4.8264443255930581E-5</v>
      </c>
      <c r="V1060" t="s">
        <v>159</v>
      </c>
    </row>
    <row r="1061" spans="9:22" x14ac:dyDescent="0.45">
      <c r="I1061" t="s">
        <v>184</v>
      </c>
      <c r="J1061" t="s">
        <v>364</v>
      </c>
      <c r="K1061">
        <v>0</v>
      </c>
      <c r="L1061" t="s">
        <v>159</v>
      </c>
      <c r="N1061" t="s">
        <v>227</v>
      </c>
      <c r="O1061" t="s">
        <v>364</v>
      </c>
      <c r="P1061">
        <v>1.1566564863098185E-4</v>
      </c>
      <c r="Q1061" t="s">
        <v>159</v>
      </c>
      <c r="S1061" t="s">
        <v>269</v>
      </c>
      <c r="T1061" t="s">
        <v>364</v>
      </c>
      <c r="U1061">
        <v>3.0245759132442135E-5</v>
      </c>
      <c r="V1061" t="s">
        <v>159</v>
      </c>
    </row>
    <row r="1062" spans="9:22" x14ac:dyDescent="0.45">
      <c r="I1062" t="s">
        <v>184</v>
      </c>
      <c r="J1062" t="s">
        <v>365</v>
      </c>
      <c r="K1062">
        <v>0</v>
      </c>
      <c r="L1062" t="s">
        <v>159</v>
      </c>
      <c r="N1062" t="s">
        <v>227</v>
      </c>
      <c r="O1062" t="s">
        <v>365</v>
      </c>
      <c r="P1062">
        <v>1.0670185269191254E-4</v>
      </c>
      <c r="Q1062" t="s">
        <v>159</v>
      </c>
      <c r="S1062" t="s">
        <v>269</v>
      </c>
      <c r="T1062" t="s">
        <v>365</v>
      </c>
      <c r="U1062">
        <v>1.9202522472453892E-5</v>
      </c>
      <c r="V1062" t="s">
        <v>159</v>
      </c>
    </row>
    <row r="1063" spans="9:22" x14ac:dyDescent="0.45">
      <c r="I1063" t="s">
        <v>184</v>
      </c>
      <c r="J1063" t="s">
        <v>366</v>
      </c>
      <c r="K1063">
        <v>0</v>
      </c>
      <c r="L1063" t="s">
        <v>159</v>
      </c>
      <c r="N1063" t="s">
        <v>227</v>
      </c>
      <c r="O1063" t="s">
        <v>366</v>
      </c>
      <c r="P1063">
        <v>9.8667657088695679E-5</v>
      </c>
      <c r="Q1063" t="s">
        <v>159</v>
      </c>
      <c r="S1063" t="s">
        <v>269</v>
      </c>
      <c r="T1063" t="s">
        <v>366</v>
      </c>
      <c r="U1063">
        <v>1.3825669451709546E-5</v>
      </c>
      <c r="V1063" t="s">
        <v>159</v>
      </c>
    </row>
    <row r="1064" spans="9:22" x14ac:dyDescent="0.45">
      <c r="I1064" t="s">
        <v>184</v>
      </c>
      <c r="J1064" t="s">
        <v>367</v>
      </c>
      <c r="K1064">
        <v>0</v>
      </c>
      <c r="L1064" t="s">
        <v>159</v>
      </c>
      <c r="N1064" t="s">
        <v>227</v>
      </c>
      <c r="O1064" t="s">
        <v>367</v>
      </c>
      <c r="P1064">
        <v>9.007847106125214E-5</v>
      </c>
      <c r="Q1064" t="s">
        <v>159</v>
      </c>
      <c r="S1064" t="s">
        <v>269</v>
      </c>
      <c r="T1064" t="s">
        <v>367</v>
      </c>
      <c r="U1064">
        <v>1.1232931064871206E-5</v>
      </c>
      <c r="V1064" t="s">
        <v>159</v>
      </c>
    </row>
    <row r="1065" spans="9:22" x14ac:dyDescent="0.45">
      <c r="I1065" t="s">
        <v>184</v>
      </c>
      <c r="J1065" t="s">
        <v>368</v>
      </c>
      <c r="K1065">
        <v>0</v>
      </c>
      <c r="L1065" t="s">
        <v>159</v>
      </c>
      <c r="N1065" t="s">
        <v>227</v>
      </c>
      <c r="O1065" t="s">
        <v>368</v>
      </c>
      <c r="P1065">
        <v>8.4603484315383984E-5</v>
      </c>
      <c r="Q1065" t="s">
        <v>159</v>
      </c>
      <c r="S1065" t="s">
        <v>269</v>
      </c>
      <c r="T1065" t="s">
        <v>368</v>
      </c>
      <c r="U1065">
        <v>1.0403821083317684E-5</v>
      </c>
      <c r="V1065" t="s">
        <v>159</v>
      </c>
    </row>
    <row r="1066" spans="9:22" x14ac:dyDescent="0.45">
      <c r="I1066" t="s">
        <v>184</v>
      </c>
      <c r="J1066" t="s">
        <v>369</v>
      </c>
      <c r="K1066">
        <v>0</v>
      </c>
      <c r="L1066" t="s">
        <v>159</v>
      </c>
      <c r="N1066" t="s">
        <v>227</v>
      </c>
      <c r="O1066" t="s">
        <v>369</v>
      </c>
      <c r="P1066">
        <v>7.5314126156973558E-5</v>
      </c>
      <c r="Q1066" t="s">
        <v>159</v>
      </c>
      <c r="S1066" t="s">
        <v>269</v>
      </c>
      <c r="T1066" t="s">
        <v>369</v>
      </c>
      <c r="U1066">
        <v>1.1638449729812486E-5</v>
      </c>
      <c r="V1066" t="s">
        <v>159</v>
      </c>
    </row>
    <row r="1067" spans="9:22" x14ac:dyDescent="0.45">
      <c r="I1067" t="s">
        <v>184</v>
      </c>
      <c r="J1067" t="s">
        <v>165</v>
      </c>
      <c r="K1067">
        <v>0</v>
      </c>
      <c r="L1067" t="s">
        <v>159</v>
      </c>
      <c r="N1067" t="s">
        <v>227</v>
      </c>
      <c r="O1067" t="s">
        <v>165</v>
      </c>
      <c r="P1067">
        <v>2.4297092740577557E-2</v>
      </c>
      <c r="Q1067" t="s">
        <v>159</v>
      </c>
      <c r="S1067" t="s">
        <v>269</v>
      </c>
      <c r="T1067" t="s">
        <v>165</v>
      </c>
      <c r="U1067">
        <v>2.9943317790690573E-2</v>
      </c>
      <c r="V1067" t="s">
        <v>159</v>
      </c>
    </row>
    <row r="1068" spans="9:22" x14ac:dyDescent="0.45">
      <c r="I1068" t="s">
        <v>184</v>
      </c>
      <c r="J1068" t="s">
        <v>166</v>
      </c>
      <c r="K1068">
        <v>8.3874553119506819E-4</v>
      </c>
      <c r="L1068" t="s">
        <v>159</v>
      </c>
      <c r="N1068" t="s">
        <v>227</v>
      </c>
      <c r="O1068" t="s">
        <v>166</v>
      </c>
      <c r="P1068">
        <v>3.6133870950669942E-3</v>
      </c>
      <c r="Q1068" t="s">
        <v>159</v>
      </c>
      <c r="S1068" t="s">
        <v>269</v>
      </c>
      <c r="T1068" t="s">
        <v>166</v>
      </c>
      <c r="U1068">
        <v>4.0664135408410226E-3</v>
      </c>
      <c r="V1068" t="s">
        <v>159</v>
      </c>
    </row>
    <row r="1069" spans="9:22" x14ac:dyDescent="0.45">
      <c r="I1069" t="s">
        <v>184</v>
      </c>
      <c r="J1069" t="s">
        <v>167</v>
      </c>
      <c r="K1069">
        <v>4.7280255088612347E-2</v>
      </c>
      <c r="L1069" t="s">
        <v>159</v>
      </c>
      <c r="N1069" t="s">
        <v>227</v>
      </c>
      <c r="O1069" t="s">
        <v>167</v>
      </c>
      <c r="P1069">
        <v>3.440866004675848E-2</v>
      </c>
      <c r="Q1069" t="s">
        <v>159</v>
      </c>
      <c r="S1069" t="s">
        <v>269</v>
      </c>
      <c r="T1069" t="s">
        <v>167</v>
      </c>
      <c r="U1069">
        <v>3.386574704681411E-2</v>
      </c>
      <c r="V1069" t="s">
        <v>159</v>
      </c>
    </row>
    <row r="1070" spans="9:22" x14ac:dyDescent="0.45">
      <c r="I1070" t="s">
        <v>184</v>
      </c>
      <c r="J1070" t="s">
        <v>291</v>
      </c>
      <c r="K1070">
        <v>4.1401856016099366E-3</v>
      </c>
      <c r="L1070" t="s">
        <v>159</v>
      </c>
      <c r="N1070" t="s">
        <v>227</v>
      </c>
      <c r="O1070" t="s">
        <v>291</v>
      </c>
      <c r="P1070">
        <v>4.4525705326456779E-3</v>
      </c>
      <c r="Q1070" t="s">
        <v>159</v>
      </c>
      <c r="S1070" t="s">
        <v>269</v>
      </c>
      <c r="T1070" t="s">
        <v>291</v>
      </c>
      <c r="U1070">
        <v>3.8580205621937618E-3</v>
      </c>
      <c r="V1070" t="s">
        <v>159</v>
      </c>
    </row>
    <row r="1071" spans="9:22" x14ac:dyDescent="0.45">
      <c r="I1071" t="s">
        <v>184</v>
      </c>
      <c r="J1071" t="s">
        <v>292</v>
      </c>
      <c r="K1071">
        <v>0</v>
      </c>
      <c r="L1071" t="s">
        <v>159</v>
      </c>
      <c r="N1071" t="s">
        <v>227</v>
      </c>
      <c r="O1071" t="s">
        <v>292</v>
      </c>
      <c r="P1071">
        <v>4.318084725104779E-3</v>
      </c>
      <c r="Q1071" t="s">
        <v>159</v>
      </c>
      <c r="S1071" t="s">
        <v>269</v>
      </c>
      <c r="T1071" t="s">
        <v>292</v>
      </c>
      <c r="U1071">
        <v>3.9282739700971609E-3</v>
      </c>
      <c r="V1071" t="s">
        <v>159</v>
      </c>
    </row>
    <row r="1072" spans="9:22" x14ac:dyDescent="0.45">
      <c r="I1072" t="s">
        <v>184</v>
      </c>
      <c r="J1072" t="s">
        <v>310</v>
      </c>
      <c r="K1072">
        <v>0</v>
      </c>
      <c r="L1072" t="s">
        <v>159</v>
      </c>
      <c r="N1072" t="s">
        <v>227</v>
      </c>
      <c r="O1072" t="s">
        <v>310</v>
      </c>
      <c r="P1072">
        <v>2.0239314912552691E-2</v>
      </c>
      <c r="Q1072" t="s">
        <v>159</v>
      </c>
      <c r="S1072" t="s">
        <v>269</v>
      </c>
      <c r="T1072" t="s">
        <v>310</v>
      </c>
      <c r="U1072">
        <v>2.148790016208782E-2</v>
      </c>
      <c r="V1072" t="s">
        <v>159</v>
      </c>
    </row>
    <row r="1073" spans="9:22" x14ac:dyDescent="0.45">
      <c r="I1073" t="s">
        <v>184</v>
      </c>
      <c r="J1073" t="s">
        <v>293</v>
      </c>
      <c r="K1073">
        <v>0</v>
      </c>
      <c r="L1073" t="s">
        <v>159</v>
      </c>
      <c r="N1073" t="s">
        <v>227</v>
      </c>
      <c r="O1073" t="s">
        <v>293</v>
      </c>
      <c r="P1073">
        <v>6.1941803512479124E-3</v>
      </c>
      <c r="Q1073" t="s">
        <v>159</v>
      </c>
      <c r="S1073" t="s">
        <v>269</v>
      </c>
      <c r="T1073" t="s">
        <v>293</v>
      </c>
      <c r="U1073">
        <v>4.5288788051253276E-3</v>
      </c>
      <c r="V1073" t="s">
        <v>159</v>
      </c>
    </row>
    <row r="1074" spans="9:22" x14ac:dyDescent="0.45">
      <c r="I1074" t="s">
        <v>184</v>
      </c>
      <c r="J1074" t="s">
        <v>294</v>
      </c>
      <c r="K1074">
        <v>9.5438563958694393E-4</v>
      </c>
      <c r="L1074" t="s">
        <v>159</v>
      </c>
      <c r="N1074" t="s">
        <v>227</v>
      </c>
      <c r="O1074" t="s">
        <v>294</v>
      </c>
      <c r="P1074">
        <v>7.1550575637423914E-4</v>
      </c>
      <c r="Q1074" t="s">
        <v>159</v>
      </c>
      <c r="S1074" t="s">
        <v>269</v>
      </c>
      <c r="T1074" t="s">
        <v>294</v>
      </c>
      <c r="U1074">
        <v>6.0315102566072909E-4</v>
      </c>
      <c r="V1074" t="s">
        <v>159</v>
      </c>
    </row>
    <row r="1075" spans="9:22" x14ac:dyDescent="0.45">
      <c r="I1075" t="s">
        <v>184</v>
      </c>
      <c r="J1075" t="s">
        <v>295</v>
      </c>
      <c r="K1075">
        <v>1.2821076152037987E-2</v>
      </c>
      <c r="L1075" t="s">
        <v>159</v>
      </c>
      <c r="N1075" t="s">
        <v>227</v>
      </c>
      <c r="O1075" t="s">
        <v>295</v>
      </c>
      <c r="P1075">
        <v>8.3033257649410448E-3</v>
      </c>
      <c r="Q1075" t="s">
        <v>159</v>
      </c>
      <c r="S1075" t="s">
        <v>269</v>
      </c>
      <c r="T1075" t="s">
        <v>295</v>
      </c>
      <c r="U1075">
        <v>6.3781920595619565E-3</v>
      </c>
      <c r="V1075" t="s">
        <v>159</v>
      </c>
    </row>
    <row r="1076" spans="9:22" x14ac:dyDescent="0.45">
      <c r="I1076" t="s">
        <v>184</v>
      </c>
      <c r="J1076" t="s">
        <v>296</v>
      </c>
      <c r="K1076">
        <v>1.0286233470870468E-3</v>
      </c>
      <c r="L1076" t="s">
        <v>159</v>
      </c>
      <c r="N1076" t="s">
        <v>227</v>
      </c>
      <c r="O1076" t="s">
        <v>296</v>
      </c>
      <c r="P1076">
        <v>1.2785347413539962E-3</v>
      </c>
      <c r="Q1076" t="s">
        <v>159</v>
      </c>
      <c r="S1076" t="s">
        <v>269</v>
      </c>
      <c r="T1076" t="s">
        <v>296</v>
      </c>
      <c r="U1076">
        <v>7.807069306197445E-4</v>
      </c>
      <c r="V1076" t="s">
        <v>159</v>
      </c>
    </row>
    <row r="1077" spans="9:22" x14ac:dyDescent="0.45">
      <c r="I1077" t="s">
        <v>184</v>
      </c>
      <c r="J1077" t="s">
        <v>297</v>
      </c>
      <c r="K1077">
        <v>0</v>
      </c>
      <c r="L1077" t="s">
        <v>159</v>
      </c>
      <c r="N1077" t="s">
        <v>227</v>
      </c>
      <c r="O1077" t="s">
        <v>297</v>
      </c>
      <c r="P1077">
        <v>1.2459101844245674E-3</v>
      </c>
      <c r="Q1077" t="s">
        <v>159</v>
      </c>
      <c r="S1077" t="s">
        <v>269</v>
      </c>
      <c r="T1077" t="s">
        <v>297</v>
      </c>
      <c r="U1077">
        <v>7.1518331589202379E-4</v>
      </c>
      <c r="V1077" t="s">
        <v>159</v>
      </c>
    </row>
    <row r="1078" spans="9:22" x14ac:dyDescent="0.45">
      <c r="I1078" t="s">
        <v>184</v>
      </c>
      <c r="J1078" t="s">
        <v>311</v>
      </c>
      <c r="K1078">
        <v>0</v>
      </c>
      <c r="L1078" t="s">
        <v>159</v>
      </c>
      <c r="N1078" t="s">
        <v>227</v>
      </c>
      <c r="O1078" t="s">
        <v>311</v>
      </c>
      <c r="P1078">
        <v>5.3902514773875136E-3</v>
      </c>
      <c r="Q1078" t="s">
        <v>159</v>
      </c>
      <c r="S1078" t="s">
        <v>269</v>
      </c>
      <c r="T1078" t="s">
        <v>311</v>
      </c>
      <c r="U1078">
        <v>2.594620020123862E-3</v>
      </c>
      <c r="V1078" t="s">
        <v>159</v>
      </c>
    </row>
    <row r="1079" spans="9:22" x14ac:dyDescent="0.45">
      <c r="I1079" t="s">
        <v>184</v>
      </c>
      <c r="J1079" t="s">
        <v>298</v>
      </c>
      <c r="K1079">
        <v>9.4988272885703998E-3</v>
      </c>
      <c r="L1079" t="s">
        <v>159</v>
      </c>
      <c r="N1079" t="s">
        <v>227</v>
      </c>
      <c r="O1079" t="s">
        <v>298</v>
      </c>
      <c r="P1079">
        <v>7.5922265843986661E-2</v>
      </c>
      <c r="Q1079" t="s">
        <v>159</v>
      </c>
      <c r="S1079" t="s">
        <v>269</v>
      </c>
      <c r="T1079" t="s">
        <v>298</v>
      </c>
      <c r="U1079">
        <v>8.2132849478678396E-2</v>
      </c>
      <c r="V1079" t="s">
        <v>159</v>
      </c>
    </row>
    <row r="1080" spans="9:22" x14ac:dyDescent="0.45">
      <c r="I1080" t="s">
        <v>184</v>
      </c>
      <c r="J1080" t="s">
        <v>299</v>
      </c>
      <c r="K1080">
        <v>1.8363011908848335E-2</v>
      </c>
      <c r="L1080" t="s">
        <v>159</v>
      </c>
      <c r="N1080" t="s">
        <v>227</v>
      </c>
      <c r="O1080" t="s">
        <v>299</v>
      </c>
      <c r="P1080">
        <v>1.1093817016128348E-2</v>
      </c>
      <c r="Q1080" t="s">
        <v>159</v>
      </c>
      <c r="S1080" t="s">
        <v>269</v>
      </c>
      <c r="T1080" t="s">
        <v>299</v>
      </c>
      <c r="U1080">
        <v>1.1257163887659748E-2</v>
      </c>
      <c r="V1080" t="s">
        <v>159</v>
      </c>
    </row>
    <row r="1081" spans="9:22" x14ac:dyDescent="0.45">
      <c r="I1081" t="s">
        <v>184</v>
      </c>
      <c r="J1081" t="s">
        <v>300</v>
      </c>
      <c r="K1081">
        <v>0.24618689922558612</v>
      </c>
      <c r="L1081" t="s">
        <v>159</v>
      </c>
      <c r="N1081" t="s">
        <v>227</v>
      </c>
      <c r="O1081" t="s">
        <v>300</v>
      </c>
      <c r="P1081">
        <v>0.12203749640175446</v>
      </c>
      <c r="Q1081" t="s">
        <v>159</v>
      </c>
      <c r="S1081" t="s">
        <v>269</v>
      </c>
      <c r="T1081" t="s">
        <v>300</v>
      </c>
      <c r="U1081">
        <v>0.11089377718082581</v>
      </c>
      <c r="V1081" t="s">
        <v>159</v>
      </c>
    </row>
    <row r="1082" spans="9:22" x14ac:dyDescent="0.45">
      <c r="I1082" t="s">
        <v>184</v>
      </c>
      <c r="J1082" t="s">
        <v>301</v>
      </c>
      <c r="K1082">
        <v>2.0711401851186636E-2</v>
      </c>
      <c r="L1082" t="s">
        <v>159</v>
      </c>
      <c r="N1082" t="s">
        <v>227</v>
      </c>
      <c r="O1082" t="s">
        <v>301</v>
      </c>
      <c r="P1082">
        <v>1.4953857566480258E-2</v>
      </c>
      <c r="Q1082" t="s">
        <v>159</v>
      </c>
      <c r="S1082" t="s">
        <v>269</v>
      </c>
      <c r="T1082" t="s">
        <v>301</v>
      </c>
      <c r="U1082">
        <v>1.3669531798424665E-2</v>
      </c>
      <c r="V1082" t="s">
        <v>159</v>
      </c>
    </row>
    <row r="1083" spans="9:22" x14ac:dyDescent="0.45">
      <c r="I1083" t="s">
        <v>184</v>
      </c>
      <c r="J1083" t="s">
        <v>302</v>
      </c>
      <c r="K1083">
        <v>1.1347137363140188E-2</v>
      </c>
      <c r="L1083" t="s">
        <v>159</v>
      </c>
      <c r="N1083" t="s">
        <v>227</v>
      </c>
      <c r="O1083" t="s">
        <v>302</v>
      </c>
      <c r="P1083">
        <v>1.411630453239243E-2</v>
      </c>
      <c r="Q1083" t="s">
        <v>159</v>
      </c>
      <c r="S1083" t="s">
        <v>269</v>
      </c>
      <c r="T1083" t="s">
        <v>302</v>
      </c>
      <c r="U1083">
        <v>1.3058576543470788E-2</v>
      </c>
      <c r="V1083" t="s">
        <v>159</v>
      </c>
    </row>
    <row r="1084" spans="9:22" x14ac:dyDescent="0.45">
      <c r="I1084" t="s">
        <v>184</v>
      </c>
      <c r="J1084" t="s">
        <v>312</v>
      </c>
      <c r="K1084">
        <v>1.1982524921330705E-4</v>
      </c>
      <c r="L1084" t="s">
        <v>159</v>
      </c>
      <c r="N1084" t="s">
        <v>227</v>
      </c>
      <c r="O1084" t="s">
        <v>312</v>
      </c>
      <c r="P1084">
        <v>6.2076738854679604E-2</v>
      </c>
      <c r="Q1084" t="s">
        <v>159</v>
      </c>
      <c r="S1084" t="s">
        <v>269</v>
      </c>
      <c r="T1084" t="s">
        <v>312</v>
      </c>
      <c r="U1084">
        <v>5.8900391560009799E-2</v>
      </c>
      <c r="V1084" t="s">
        <v>159</v>
      </c>
    </row>
    <row r="1085" spans="9:22" x14ac:dyDescent="0.45">
      <c r="I1085" t="s">
        <v>184</v>
      </c>
      <c r="J1085" t="s">
        <v>313</v>
      </c>
      <c r="K1085">
        <v>4.7709538464240911E-3</v>
      </c>
      <c r="L1085" t="s">
        <v>159</v>
      </c>
      <c r="N1085" t="s">
        <v>227</v>
      </c>
      <c r="O1085" t="s">
        <v>313</v>
      </c>
      <c r="P1085">
        <v>1.6795438827421939E-2</v>
      </c>
      <c r="Q1085" t="s">
        <v>159</v>
      </c>
      <c r="S1085" t="s">
        <v>269</v>
      </c>
      <c r="T1085" t="s">
        <v>313</v>
      </c>
      <c r="U1085">
        <v>1.7169209974873745E-2</v>
      </c>
      <c r="V1085" t="s">
        <v>159</v>
      </c>
    </row>
    <row r="1086" spans="9:22" x14ac:dyDescent="0.45">
      <c r="I1086" t="s">
        <v>184</v>
      </c>
      <c r="J1086" t="s">
        <v>314</v>
      </c>
      <c r="K1086">
        <v>6.9480675966942726E-3</v>
      </c>
      <c r="L1086" t="s">
        <v>159</v>
      </c>
      <c r="N1086" t="s">
        <v>227</v>
      </c>
      <c r="O1086" t="s">
        <v>314</v>
      </c>
      <c r="P1086">
        <v>2.3404436833736686E-3</v>
      </c>
      <c r="Q1086" t="s">
        <v>159</v>
      </c>
      <c r="S1086" t="s">
        <v>269</v>
      </c>
      <c r="T1086" t="s">
        <v>314</v>
      </c>
      <c r="U1086">
        <v>2.5959953676515778E-3</v>
      </c>
      <c r="V1086" t="s">
        <v>159</v>
      </c>
    </row>
    <row r="1087" spans="9:22" x14ac:dyDescent="0.45">
      <c r="I1087" t="s">
        <v>184</v>
      </c>
      <c r="J1087" t="s">
        <v>315</v>
      </c>
      <c r="K1087">
        <v>9.2033099669800958E-2</v>
      </c>
      <c r="L1087" t="s">
        <v>159</v>
      </c>
      <c r="N1087" t="s">
        <v>227</v>
      </c>
      <c r="O1087" t="s">
        <v>315</v>
      </c>
      <c r="P1087">
        <v>2.5199991581552297E-2</v>
      </c>
      <c r="Q1087" t="s">
        <v>159</v>
      </c>
      <c r="S1087" t="s">
        <v>269</v>
      </c>
      <c r="T1087" t="s">
        <v>315</v>
      </c>
      <c r="U1087">
        <v>2.8939429927964739E-2</v>
      </c>
      <c r="V1087" t="s">
        <v>159</v>
      </c>
    </row>
    <row r="1088" spans="9:22" x14ac:dyDescent="0.45">
      <c r="I1088" t="s">
        <v>184</v>
      </c>
      <c r="J1088" t="s">
        <v>316</v>
      </c>
      <c r="K1088">
        <v>8.6827324174102768E-3</v>
      </c>
      <c r="L1088" t="s">
        <v>159</v>
      </c>
      <c r="N1088" t="s">
        <v>227</v>
      </c>
      <c r="O1088" t="s">
        <v>316</v>
      </c>
      <c r="P1088">
        <v>3.2909972363981688E-3</v>
      </c>
      <c r="Q1088" t="s">
        <v>159</v>
      </c>
      <c r="S1088" t="s">
        <v>269</v>
      </c>
      <c r="T1088" t="s">
        <v>316</v>
      </c>
      <c r="U1088">
        <v>3.511688320761935E-3</v>
      </c>
      <c r="V1088" t="s">
        <v>159</v>
      </c>
    </row>
    <row r="1089" spans="9:22" x14ac:dyDescent="0.45">
      <c r="I1089" t="s">
        <v>184</v>
      </c>
      <c r="J1089" t="s">
        <v>317</v>
      </c>
      <c r="K1089">
        <v>6.5638678477357403E-3</v>
      </c>
      <c r="L1089" t="s">
        <v>159</v>
      </c>
      <c r="N1089" t="s">
        <v>227</v>
      </c>
      <c r="O1089" t="s">
        <v>317</v>
      </c>
      <c r="P1089">
        <v>3.2086071132196039E-3</v>
      </c>
      <c r="Q1089" t="s">
        <v>159</v>
      </c>
      <c r="S1089" t="s">
        <v>269</v>
      </c>
      <c r="T1089" t="s">
        <v>317</v>
      </c>
      <c r="U1089">
        <v>3.3812406007800427E-3</v>
      </c>
      <c r="V1089" t="s">
        <v>159</v>
      </c>
    </row>
    <row r="1090" spans="9:22" x14ac:dyDescent="0.45">
      <c r="I1090" t="s">
        <v>184</v>
      </c>
      <c r="J1090" t="s">
        <v>318</v>
      </c>
      <c r="K1090">
        <v>3.7523261677449606E-3</v>
      </c>
      <c r="L1090" t="s">
        <v>159</v>
      </c>
      <c r="N1090" t="s">
        <v>227</v>
      </c>
      <c r="O1090" t="s">
        <v>318</v>
      </c>
      <c r="P1090">
        <v>1.3817560022637038E-2</v>
      </c>
      <c r="Q1090" t="s">
        <v>159</v>
      </c>
      <c r="S1090" t="s">
        <v>269</v>
      </c>
      <c r="T1090" t="s">
        <v>318</v>
      </c>
      <c r="U1090">
        <v>1.4157123431566448E-2</v>
      </c>
      <c r="V1090" t="s">
        <v>159</v>
      </c>
    </row>
    <row r="1091" spans="9:22" x14ac:dyDescent="0.45">
      <c r="I1091" t="s">
        <v>185</v>
      </c>
      <c r="J1091" t="s">
        <v>158</v>
      </c>
      <c r="K1091">
        <v>8.8601583874263565E-3</v>
      </c>
      <c r="L1091" t="s">
        <v>159</v>
      </c>
      <c r="N1091" t="s">
        <v>228</v>
      </c>
      <c r="O1091" t="s">
        <v>158</v>
      </c>
      <c r="P1091">
        <v>0.1087259379561907</v>
      </c>
      <c r="Q1091" t="s">
        <v>159</v>
      </c>
      <c r="S1091" t="s">
        <v>270</v>
      </c>
      <c r="T1091" t="s">
        <v>158</v>
      </c>
      <c r="U1091">
        <v>0.12430683772082177</v>
      </c>
      <c r="V1091" t="s">
        <v>159</v>
      </c>
    </row>
    <row r="1092" spans="9:22" x14ac:dyDescent="0.45">
      <c r="I1092" t="s">
        <v>185</v>
      </c>
      <c r="J1092" t="s">
        <v>160</v>
      </c>
      <c r="K1092">
        <v>2.4557718835529461E-2</v>
      </c>
      <c r="L1092" t="s">
        <v>159</v>
      </c>
      <c r="N1092" t="s">
        <v>228</v>
      </c>
      <c r="O1092" t="s">
        <v>160</v>
      </c>
      <c r="P1092">
        <v>1.4454045267689838E-2</v>
      </c>
      <c r="Q1092" t="s">
        <v>159</v>
      </c>
      <c r="S1092" t="s">
        <v>270</v>
      </c>
      <c r="T1092" t="s">
        <v>160</v>
      </c>
      <c r="U1092">
        <v>1.7289854119226785E-2</v>
      </c>
      <c r="V1092" t="s">
        <v>159</v>
      </c>
    </row>
    <row r="1093" spans="9:22" x14ac:dyDescent="0.45">
      <c r="I1093" t="s">
        <v>185</v>
      </c>
      <c r="J1093" t="s">
        <v>161</v>
      </c>
      <c r="K1093">
        <v>0.3751240301800236</v>
      </c>
      <c r="L1093" t="s">
        <v>159</v>
      </c>
      <c r="N1093" t="s">
        <v>228</v>
      </c>
      <c r="O1093" t="s">
        <v>161</v>
      </c>
      <c r="P1093">
        <v>0.17370680671848487</v>
      </c>
      <c r="Q1093" t="s">
        <v>159</v>
      </c>
      <c r="S1093" t="s">
        <v>270</v>
      </c>
      <c r="T1093" t="s">
        <v>161</v>
      </c>
      <c r="U1093">
        <v>0.15824068655661047</v>
      </c>
      <c r="V1093" t="s">
        <v>159</v>
      </c>
    </row>
    <row r="1094" spans="9:22" x14ac:dyDescent="0.45">
      <c r="I1094" t="s">
        <v>185</v>
      </c>
      <c r="J1094" t="s">
        <v>287</v>
      </c>
      <c r="K1094">
        <v>3.0327366639677552E-2</v>
      </c>
      <c r="L1094" t="s">
        <v>159</v>
      </c>
      <c r="N1094" t="s">
        <v>228</v>
      </c>
      <c r="O1094" t="s">
        <v>287</v>
      </c>
      <c r="P1094">
        <v>2.7945363894249942E-2</v>
      </c>
      <c r="Q1094" t="s">
        <v>159</v>
      </c>
      <c r="S1094" t="s">
        <v>270</v>
      </c>
      <c r="T1094" t="s">
        <v>287</v>
      </c>
      <c r="U1094">
        <v>1.9210940083435948E-2</v>
      </c>
      <c r="V1094" t="s">
        <v>159</v>
      </c>
    </row>
    <row r="1095" spans="9:22" x14ac:dyDescent="0.45">
      <c r="I1095" t="s">
        <v>185</v>
      </c>
      <c r="J1095" t="s">
        <v>288</v>
      </c>
      <c r="K1095">
        <v>1.7207066099815552E-2</v>
      </c>
      <c r="L1095" t="s">
        <v>159</v>
      </c>
      <c r="N1095" t="s">
        <v>228</v>
      </c>
      <c r="O1095" t="s">
        <v>288</v>
      </c>
      <c r="P1095">
        <v>2.5344314996356802E-2</v>
      </c>
      <c r="Q1095" t="s">
        <v>159</v>
      </c>
      <c r="S1095" t="s">
        <v>270</v>
      </c>
      <c r="T1095" t="s">
        <v>288</v>
      </c>
      <c r="U1095">
        <v>1.8914440698415153E-2</v>
      </c>
      <c r="V1095" t="s">
        <v>159</v>
      </c>
    </row>
    <row r="1096" spans="9:22" x14ac:dyDescent="0.45">
      <c r="I1096" t="s">
        <v>185</v>
      </c>
      <c r="J1096" t="s">
        <v>308</v>
      </c>
      <c r="K1096">
        <v>5.1075501163643641E-3</v>
      </c>
      <c r="L1096" t="s">
        <v>159</v>
      </c>
      <c r="N1096" t="s">
        <v>228</v>
      </c>
      <c r="O1096" t="s">
        <v>308</v>
      </c>
      <c r="P1096">
        <v>9.7839627215380087E-2</v>
      </c>
      <c r="Q1096" t="s">
        <v>159</v>
      </c>
      <c r="S1096" t="s">
        <v>270</v>
      </c>
      <c r="T1096" t="s">
        <v>308</v>
      </c>
      <c r="U1096">
        <v>8.9720467089477868E-2</v>
      </c>
      <c r="V1096" t="s">
        <v>159</v>
      </c>
    </row>
    <row r="1097" spans="9:22" x14ac:dyDescent="0.45">
      <c r="I1097" t="s">
        <v>185</v>
      </c>
      <c r="J1097" t="s">
        <v>162</v>
      </c>
      <c r="K1097">
        <v>0</v>
      </c>
      <c r="L1097" t="s">
        <v>159</v>
      </c>
      <c r="N1097" t="s">
        <v>228</v>
      </c>
      <c r="O1097" t="s">
        <v>162</v>
      </c>
      <c r="P1097">
        <v>1.2511576180929363E-2</v>
      </c>
      <c r="Q1097" t="s">
        <v>159</v>
      </c>
      <c r="S1097" t="s">
        <v>270</v>
      </c>
      <c r="T1097" t="s">
        <v>162</v>
      </c>
      <c r="U1097">
        <v>2.5108061071844906E-2</v>
      </c>
      <c r="V1097" t="s">
        <v>159</v>
      </c>
    </row>
    <row r="1098" spans="9:22" x14ac:dyDescent="0.45">
      <c r="I1098" t="s">
        <v>185</v>
      </c>
      <c r="J1098" t="s">
        <v>163</v>
      </c>
      <c r="K1098">
        <v>0</v>
      </c>
      <c r="L1098" t="s">
        <v>159</v>
      </c>
      <c r="N1098" t="s">
        <v>228</v>
      </c>
      <c r="O1098" t="s">
        <v>163</v>
      </c>
      <c r="P1098">
        <v>1.8179905067487181E-3</v>
      </c>
      <c r="Q1098" t="s">
        <v>159</v>
      </c>
      <c r="S1098" t="s">
        <v>270</v>
      </c>
      <c r="T1098" t="s">
        <v>163</v>
      </c>
      <c r="U1098">
        <v>3.6585703528015548E-3</v>
      </c>
      <c r="V1098" t="s">
        <v>159</v>
      </c>
    </row>
    <row r="1099" spans="9:22" x14ac:dyDescent="0.45">
      <c r="I1099" t="s">
        <v>185</v>
      </c>
      <c r="J1099" t="s">
        <v>164</v>
      </c>
      <c r="K1099">
        <v>3.436651152947269E-2</v>
      </c>
      <c r="L1099" t="s">
        <v>159</v>
      </c>
      <c r="N1099" t="s">
        <v>228</v>
      </c>
      <c r="O1099" t="s">
        <v>164</v>
      </c>
      <c r="P1099">
        <v>2.4791568049775739E-2</v>
      </c>
      <c r="Q1099" t="s">
        <v>159</v>
      </c>
      <c r="S1099" t="s">
        <v>270</v>
      </c>
      <c r="T1099" t="s">
        <v>164</v>
      </c>
      <c r="U1099">
        <v>2.7674857669152588E-2</v>
      </c>
      <c r="V1099" t="s">
        <v>159</v>
      </c>
    </row>
    <row r="1100" spans="9:22" x14ac:dyDescent="0.45">
      <c r="I1100" t="s">
        <v>185</v>
      </c>
      <c r="J1100" t="s">
        <v>289</v>
      </c>
      <c r="K1100">
        <v>1.6190382844038242E-3</v>
      </c>
      <c r="L1100" t="s">
        <v>159</v>
      </c>
      <c r="N1100" t="s">
        <v>228</v>
      </c>
      <c r="O1100" t="s">
        <v>289</v>
      </c>
      <c r="P1100">
        <v>3.9074133344039952E-3</v>
      </c>
      <c r="Q1100" t="s">
        <v>159</v>
      </c>
      <c r="S1100" t="s">
        <v>270</v>
      </c>
      <c r="T1100" t="s">
        <v>289</v>
      </c>
      <c r="U1100">
        <v>2.8494010495715466E-3</v>
      </c>
      <c r="V1100" t="s">
        <v>159</v>
      </c>
    </row>
    <row r="1101" spans="9:22" x14ac:dyDescent="0.45">
      <c r="I1101" t="s">
        <v>185</v>
      </c>
      <c r="J1101" t="s">
        <v>290</v>
      </c>
      <c r="K1101">
        <v>0</v>
      </c>
      <c r="L1101" t="s">
        <v>159</v>
      </c>
      <c r="N1101" t="s">
        <v>228</v>
      </c>
      <c r="O1101" t="s">
        <v>290</v>
      </c>
      <c r="P1101">
        <v>3.06262472720455E-3</v>
      </c>
      <c r="Q1101" t="s">
        <v>159</v>
      </c>
      <c r="S1101" t="s">
        <v>270</v>
      </c>
      <c r="T1101" t="s">
        <v>290</v>
      </c>
      <c r="U1101">
        <v>2.8647509891915166E-3</v>
      </c>
      <c r="V1101" t="s">
        <v>159</v>
      </c>
    </row>
    <row r="1102" spans="9:22" x14ac:dyDescent="0.45">
      <c r="I1102" t="s">
        <v>185</v>
      </c>
      <c r="J1102" t="s">
        <v>309</v>
      </c>
      <c r="K1102">
        <v>0</v>
      </c>
      <c r="L1102" t="s">
        <v>159</v>
      </c>
      <c r="N1102" t="s">
        <v>228</v>
      </c>
      <c r="O1102" t="s">
        <v>309</v>
      </c>
      <c r="P1102">
        <v>1.1470810579049324E-2</v>
      </c>
      <c r="Q1102" t="s">
        <v>159</v>
      </c>
      <c r="S1102" t="s">
        <v>270</v>
      </c>
      <c r="T1102" t="s">
        <v>309</v>
      </c>
      <c r="U1102">
        <v>1.4831823342148954E-2</v>
      </c>
      <c r="V1102" t="s">
        <v>159</v>
      </c>
    </row>
    <row r="1103" spans="9:22" x14ac:dyDescent="0.45">
      <c r="I1103" t="s">
        <v>185</v>
      </c>
      <c r="J1103" t="s">
        <v>346</v>
      </c>
      <c r="K1103">
        <v>0</v>
      </c>
      <c r="L1103" t="s">
        <v>159</v>
      </c>
      <c r="N1103" t="s">
        <v>228</v>
      </c>
      <c r="O1103" t="s">
        <v>346</v>
      </c>
      <c r="P1103">
        <v>2.1617666916648601E-5</v>
      </c>
      <c r="Q1103" t="s">
        <v>159</v>
      </c>
      <c r="S1103" t="s">
        <v>270</v>
      </c>
      <c r="T1103" t="s">
        <v>346</v>
      </c>
      <c r="U1103">
        <v>4.6471100411077601E-5</v>
      </c>
      <c r="V1103" t="s">
        <v>159</v>
      </c>
    </row>
    <row r="1104" spans="9:22" x14ac:dyDescent="0.45">
      <c r="I1104" t="s">
        <v>185</v>
      </c>
      <c r="J1104" t="s">
        <v>347</v>
      </c>
      <c r="K1104">
        <v>0</v>
      </c>
      <c r="L1104" t="s">
        <v>159</v>
      </c>
      <c r="N1104" t="s">
        <v>228</v>
      </c>
      <c r="O1104" t="s">
        <v>347</v>
      </c>
      <c r="P1104">
        <v>1.6990052736532062E-5</v>
      </c>
      <c r="Q1104" t="s">
        <v>159</v>
      </c>
      <c r="S1104" t="s">
        <v>270</v>
      </c>
      <c r="T1104" t="s">
        <v>347</v>
      </c>
      <c r="U1104">
        <v>3.9061720465931771E-5</v>
      </c>
      <c r="V1104" t="s">
        <v>159</v>
      </c>
    </row>
    <row r="1105" spans="9:22" x14ac:dyDescent="0.45">
      <c r="I1105" t="s">
        <v>185</v>
      </c>
      <c r="J1105" t="s">
        <v>348</v>
      </c>
      <c r="K1105">
        <v>0</v>
      </c>
      <c r="L1105" t="s">
        <v>159</v>
      </c>
      <c r="N1105" t="s">
        <v>228</v>
      </c>
      <c r="O1105" t="s">
        <v>348</v>
      </c>
      <c r="P1105">
        <v>1.4266578565759299E-5</v>
      </c>
      <c r="Q1105" t="s">
        <v>159</v>
      </c>
      <c r="S1105" t="s">
        <v>270</v>
      </c>
      <c r="T1105" t="s">
        <v>348</v>
      </c>
      <c r="U1105">
        <v>2.6494631698040364E-5</v>
      </c>
      <c r="V1105" t="s">
        <v>159</v>
      </c>
    </row>
    <row r="1106" spans="9:22" x14ac:dyDescent="0.45">
      <c r="I1106" t="s">
        <v>185</v>
      </c>
      <c r="J1106" t="s">
        <v>349</v>
      </c>
      <c r="K1106">
        <v>0</v>
      </c>
      <c r="L1106" t="s">
        <v>159</v>
      </c>
      <c r="N1106" t="s">
        <v>228</v>
      </c>
      <c r="O1106" t="s">
        <v>349</v>
      </c>
      <c r="P1106">
        <v>1.1751760472891278E-5</v>
      </c>
      <c r="Q1106" t="s">
        <v>159</v>
      </c>
      <c r="S1106" t="s">
        <v>270</v>
      </c>
      <c r="T1106" t="s">
        <v>349</v>
      </c>
      <c r="U1106">
        <v>1.6821104427165561E-5</v>
      </c>
      <c r="V1106" t="s">
        <v>159</v>
      </c>
    </row>
    <row r="1107" spans="9:22" x14ac:dyDescent="0.45">
      <c r="I1107" t="s">
        <v>185</v>
      </c>
      <c r="J1107" t="s">
        <v>350</v>
      </c>
      <c r="K1107">
        <v>0</v>
      </c>
      <c r="L1107" t="s">
        <v>159</v>
      </c>
      <c r="N1107" t="s">
        <v>228</v>
      </c>
      <c r="O1107" t="s">
        <v>350</v>
      </c>
      <c r="P1107">
        <v>7.8287615949657782E-6</v>
      </c>
      <c r="Q1107" t="s">
        <v>159</v>
      </c>
      <c r="S1107" t="s">
        <v>270</v>
      </c>
      <c r="T1107" t="s">
        <v>350</v>
      </c>
      <c r="U1107">
        <v>1.260878282308662E-5</v>
      </c>
      <c r="V1107" t="s">
        <v>159</v>
      </c>
    </row>
    <row r="1108" spans="9:22" x14ac:dyDescent="0.45">
      <c r="I1108" t="s">
        <v>185</v>
      </c>
      <c r="J1108" t="s">
        <v>351</v>
      </c>
      <c r="K1108">
        <v>0</v>
      </c>
      <c r="L1108" t="s">
        <v>159</v>
      </c>
      <c r="N1108" t="s">
        <v>228</v>
      </c>
      <c r="O1108" t="s">
        <v>351</v>
      </c>
      <c r="P1108">
        <v>5.7661128309066148E-6</v>
      </c>
      <c r="Q1108" t="s">
        <v>159</v>
      </c>
      <c r="S1108" t="s">
        <v>270</v>
      </c>
      <c r="T1108" t="s">
        <v>351</v>
      </c>
      <c r="U1108">
        <v>1.283276625019725E-5</v>
      </c>
      <c r="V1108" t="s">
        <v>159</v>
      </c>
    </row>
    <row r="1109" spans="9:22" x14ac:dyDescent="0.45">
      <c r="I1109" t="s">
        <v>185</v>
      </c>
      <c r="J1109" t="s">
        <v>352</v>
      </c>
      <c r="K1109">
        <v>0</v>
      </c>
      <c r="L1109" t="s">
        <v>159</v>
      </c>
      <c r="N1109" t="s">
        <v>228</v>
      </c>
      <c r="O1109" t="s">
        <v>352</v>
      </c>
      <c r="P1109">
        <v>6.1486786080908015E-6</v>
      </c>
      <c r="Q1109" t="s">
        <v>159</v>
      </c>
      <c r="S1109" t="s">
        <v>270</v>
      </c>
      <c r="T1109" t="s">
        <v>352</v>
      </c>
      <c r="U1109">
        <v>1.8061760288723405E-5</v>
      </c>
      <c r="V1109" t="s">
        <v>159</v>
      </c>
    </row>
    <row r="1110" spans="9:22" x14ac:dyDescent="0.45">
      <c r="I1110" t="s">
        <v>185</v>
      </c>
      <c r="J1110" t="s">
        <v>353</v>
      </c>
      <c r="K1110">
        <v>0</v>
      </c>
      <c r="L1110" t="s">
        <v>159</v>
      </c>
      <c r="N1110" t="s">
        <v>228</v>
      </c>
      <c r="O1110" t="s">
        <v>353</v>
      </c>
      <c r="P1110">
        <v>1.2079875065812188E-5</v>
      </c>
      <c r="Q1110" t="s">
        <v>159</v>
      </c>
      <c r="S1110" t="s">
        <v>270</v>
      </c>
      <c r="T1110" t="s">
        <v>353</v>
      </c>
      <c r="U1110">
        <v>2.8461850211939765E-5</v>
      </c>
      <c r="V1110" t="s">
        <v>159</v>
      </c>
    </row>
    <row r="1111" spans="9:22" x14ac:dyDescent="0.45">
      <c r="I1111" t="s">
        <v>185</v>
      </c>
      <c r="J1111" t="s">
        <v>354</v>
      </c>
      <c r="K1111">
        <v>1.579077953182922E-4</v>
      </c>
      <c r="L1111" t="s">
        <v>159</v>
      </c>
      <c r="N1111" t="s">
        <v>228</v>
      </c>
      <c r="O1111" t="s">
        <v>354</v>
      </c>
      <c r="P1111">
        <v>1.6786644040292991E-5</v>
      </c>
      <c r="Q1111" t="s">
        <v>159</v>
      </c>
      <c r="S1111" t="s">
        <v>270</v>
      </c>
      <c r="T1111" t="s">
        <v>354</v>
      </c>
      <c r="U1111">
        <v>4.1504513745464852E-5</v>
      </c>
      <c r="V1111" t="s">
        <v>159</v>
      </c>
    </row>
    <row r="1112" spans="9:22" x14ac:dyDescent="0.45">
      <c r="I1112" t="s">
        <v>185</v>
      </c>
      <c r="J1112" t="s">
        <v>355</v>
      </c>
      <c r="K1112">
        <v>1.730395957176457E-4</v>
      </c>
      <c r="L1112" t="s">
        <v>159</v>
      </c>
      <c r="N1112" t="s">
        <v>228</v>
      </c>
      <c r="O1112" t="s">
        <v>355</v>
      </c>
      <c r="P1112">
        <v>1.9743283323372644E-5</v>
      </c>
      <c r="Q1112" t="s">
        <v>159</v>
      </c>
      <c r="S1112" t="s">
        <v>270</v>
      </c>
      <c r="T1112" t="s">
        <v>355</v>
      </c>
      <c r="U1112">
        <v>4.8210982696419783E-5</v>
      </c>
      <c r="V1112" t="s">
        <v>159</v>
      </c>
    </row>
    <row r="1113" spans="9:22" x14ac:dyDescent="0.45">
      <c r="I1113" t="s">
        <v>185</v>
      </c>
      <c r="J1113" t="s">
        <v>356</v>
      </c>
      <c r="K1113">
        <v>1.5464426582196414E-4</v>
      </c>
      <c r="L1113" t="s">
        <v>159</v>
      </c>
      <c r="N1113" t="s">
        <v>228</v>
      </c>
      <c r="O1113" t="s">
        <v>356</v>
      </c>
      <c r="P1113">
        <v>2.409520349221375E-5</v>
      </c>
      <c r="Q1113" t="s">
        <v>159</v>
      </c>
      <c r="S1113" t="s">
        <v>270</v>
      </c>
      <c r="T1113" t="s">
        <v>356</v>
      </c>
      <c r="U1113">
        <v>4.8631331856497817E-5</v>
      </c>
      <c r="V1113" t="s">
        <v>159</v>
      </c>
    </row>
    <row r="1114" spans="9:22" x14ac:dyDescent="0.45">
      <c r="I1114" t="s">
        <v>185</v>
      </c>
      <c r="J1114" t="s">
        <v>357</v>
      </c>
      <c r="K1114">
        <v>1.648963240703275E-4</v>
      </c>
      <c r="L1114" t="s">
        <v>159</v>
      </c>
      <c r="N1114" t="s">
        <v>228</v>
      </c>
      <c r="O1114" t="s">
        <v>357</v>
      </c>
      <c r="P1114">
        <v>4.4140504937529479E-5</v>
      </c>
      <c r="Q1114" t="s">
        <v>159</v>
      </c>
      <c r="S1114" t="s">
        <v>270</v>
      </c>
      <c r="T1114" t="s">
        <v>357</v>
      </c>
      <c r="U1114">
        <v>4.3120973337337982E-5</v>
      </c>
      <c r="V1114" t="s">
        <v>159</v>
      </c>
    </row>
    <row r="1115" spans="9:22" x14ac:dyDescent="0.45">
      <c r="I1115" t="s">
        <v>185</v>
      </c>
      <c r="J1115" t="s">
        <v>358</v>
      </c>
      <c r="K1115">
        <v>2.1785039809719815E-4</v>
      </c>
      <c r="L1115" t="s">
        <v>159</v>
      </c>
      <c r="N1115" t="s">
        <v>228</v>
      </c>
      <c r="O1115" t="s">
        <v>358</v>
      </c>
      <c r="P1115">
        <v>5.9924931589159002E-5</v>
      </c>
      <c r="Q1115" t="s">
        <v>159</v>
      </c>
      <c r="S1115" t="s">
        <v>270</v>
      </c>
      <c r="T1115" t="s">
        <v>358</v>
      </c>
      <c r="U1115">
        <v>3.7929101124068899E-5</v>
      </c>
      <c r="V1115" t="s">
        <v>159</v>
      </c>
    </row>
    <row r="1116" spans="9:22" x14ac:dyDescent="0.45">
      <c r="I1116" t="s">
        <v>185</v>
      </c>
      <c r="J1116" t="s">
        <v>359</v>
      </c>
      <c r="K1116">
        <v>1.7547052732791034E-4</v>
      </c>
      <c r="L1116" t="s">
        <v>159</v>
      </c>
      <c r="N1116" t="s">
        <v>228</v>
      </c>
      <c r="O1116" t="s">
        <v>359</v>
      </c>
      <c r="P1116">
        <v>8.7215577517566482E-5</v>
      </c>
      <c r="Q1116" t="s">
        <v>159</v>
      </c>
      <c r="S1116" t="s">
        <v>270</v>
      </c>
      <c r="T1116" t="s">
        <v>359</v>
      </c>
      <c r="U1116">
        <v>3.1007946038924075E-5</v>
      </c>
      <c r="V1116" t="s">
        <v>159</v>
      </c>
    </row>
    <row r="1117" spans="9:22" x14ac:dyDescent="0.45">
      <c r="I1117" t="s">
        <v>185</v>
      </c>
      <c r="J1117" t="s">
        <v>360</v>
      </c>
      <c r="K1117">
        <v>1.3658092309501346E-4</v>
      </c>
      <c r="L1117" t="s">
        <v>159</v>
      </c>
      <c r="N1117" t="s">
        <v>228</v>
      </c>
      <c r="O1117" t="s">
        <v>360</v>
      </c>
      <c r="P1117">
        <v>1.1353143011523262E-4</v>
      </c>
      <c r="Q1117" t="s">
        <v>159</v>
      </c>
      <c r="S1117" t="s">
        <v>270</v>
      </c>
      <c r="T1117" t="s">
        <v>360</v>
      </c>
      <c r="U1117">
        <v>2.0677661867018676E-5</v>
      </c>
      <c r="V1117" t="s">
        <v>159</v>
      </c>
    </row>
    <row r="1118" spans="9:22" x14ac:dyDescent="0.45">
      <c r="I1118" t="s">
        <v>185</v>
      </c>
      <c r="J1118" t="s">
        <v>361</v>
      </c>
      <c r="K1118">
        <v>1.1079564434297072E-4</v>
      </c>
      <c r="L1118" t="s">
        <v>159</v>
      </c>
      <c r="N1118" t="s">
        <v>228</v>
      </c>
      <c r="O1118" t="s">
        <v>361</v>
      </c>
      <c r="P1118">
        <v>1.3087153752999102E-4</v>
      </c>
      <c r="Q1118" t="s">
        <v>159</v>
      </c>
      <c r="S1118" t="s">
        <v>270</v>
      </c>
      <c r="T1118" t="s">
        <v>361</v>
      </c>
      <c r="U1118">
        <v>1.1952561155365124E-5</v>
      </c>
      <c r="V1118" t="s">
        <v>159</v>
      </c>
    </row>
    <row r="1119" spans="9:22" x14ac:dyDescent="0.45">
      <c r="I1119" t="s">
        <v>185</v>
      </c>
      <c r="J1119" t="s">
        <v>362</v>
      </c>
      <c r="K1119">
        <v>7.9549156968913677E-5</v>
      </c>
      <c r="L1119" t="s">
        <v>159</v>
      </c>
      <c r="N1119" t="s">
        <v>228</v>
      </c>
      <c r="O1119" t="s">
        <v>362</v>
      </c>
      <c r="P1119">
        <v>1.3262973482486596E-4</v>
      </c>
      <c r="Q1119" t="s">
        <v>159</v>
      </c>
      <c r="S1119" t="s">
        <v>270</v>
      </c>
      <c r="T1119" t="s">
        <v>362</v>
      </c>
      <c r="U1119">
        <v>9.2252370288174845E-6</v>
      </c>
      <c r="V1119" t="s">
        <v>159</v>
      </c>
    </row>
    <row r="1120" spans="9:22" x14ac:dyDescent="0.45">
      <c r="I1120" t="s">
        <v>185</v>
      </c>
      <c r="J1120" t="s">
        <v>363</v>
      </c>
      <c r="K1120">
        <v>1.646321123908652E-5</v>
      </c>
      <c r="L1120" t="s">
        <v>159</v>
      </c>
      <c r="N1120" t="s">
        <v>228</v>
      </c>
      <c r="O1120" t="s">
        <v>363</v>
      </c>
      <c r="P1120">
        <v>1.1780805159469977E-4</v>
      </c>
      <c r="Q1120" t="s">
        <v>159</v>
      </c>
      <c r="S1120" t="s">
        <v>270</v>
      </c>
      <c r="T1120" t="s">
        <v>363</v>
      </c>
      <c r="U1120">
        <v>7.1041597828578764E-6</v>
      </c>
      <c r="V1120" t="s">
        <v>159</v>
      </c>
    </row>
    <row r="1121" spans="9:22" x14ac:dyDescent="0.45">
      <c r="I1121" t="s">
        <v>185</v>
      </c>
      <c r="J1121" t="s">
        <v>364</v>
      </c>
      <c r="K1121">
        <v>0</v>
      </c>
      <c r="L1121" t="s">
        <v>159</v>
      </c>
      <c r="N1121" t="s">
        <v>228</v>
      </c>
      <c r="O1121" t="s">
        <v>364</v>
      </c>
      <c r="P1121">
        <v>8.3269777356214452E-5</v>
      </c>
      <c r="Q1121" t="s">
        <v>159</v>
      </c>
      <c r="S1121" t="s">
        <v>270</v>
      </c>
      <c r="T1121" t="s">
        <v>364</v>
      </c>
      <c r="U1121">
        <v>4.8307192925226484E-6</v>
      </c>
      <c r="V1121" t="s">
        <v>159</v>
      </c>
    </row>
    <row r="1122" spans="9:22" x14ac:dyDescent="0.45">
      <c r="I1122" t="s">
        <v>185</v>
      </c>
      <c r="J1122" t="s">
        <v>365</v>
      </c>
      <c r="K1122">
        <v>0</v>
      </c>
      <c r="L1122" t="s">
        <v>159</v>
      </c>
      <c r="N1122" t="s">
        <v>228</v>
      </c>
      <c r="O1122" t="s">
        <v>365</v>
      </c>
      <c r="P1122">
        <v>5.5736826458028542E-5</v>
      </c>
      <c r="Q1122" t="s">
        <v>159</v>
      </c>
      <c r="S1122" t="s">
        <v>270</v>
      </c>
      <c r="T1122" t="s">
        <v>365</v>
      </c>
      <c r="U1122">
        <v>3.4706468108288154E-6</v>
      </c>
      <c r="V1122" t="s">
        <v>159</v>
      </c>
    </row>
    <row r="1123" spans="9:22" x14ac:dyDescent="0.45">
      <c r="I1123" t="s">
        <v>185</v>
      </c>
      <c r="J1123" t="s">
        <v>366</v>
      </c>
      <c r="K1123">
        <v>0</v>
      </c>
      <c r="L1123" t="s">
        <v>159</v>
      </c>
      <c r="N1123" t="s">
        <v>228</v>
      </c>
      <c r="O1123" t="s">
        <v>366</v>
      </c>
      <c r="P1123">
        <v>3.7851693210815702E-5</v>
      </c>
      <c r="Q1123" t="s">
        <v>159</v>
      </c>
      <c r="S1123" t="s">
        <v>270</v>
      </c>
      <c r="T1123" t="s">
        <v>366</v>
      </c>
      <c r="U1123">
        <v>1.7120499497698739E-6</v>
      </c>
      <c r="V1123" t="s">
        <v>159</v>
      </c>
    </row>
    <row r="1124" spans="9:22" x14ac:dyDescent="0.45">
      <c r="I1124" t="s">
        <v>185</v>
      </c>
      <c r="J1124" t="s">
        <v>367</v>
      </c>
      <c r="K1124">
        <v>0</v>
      </c>
      <c r="L1124" t="s">
        <v>159</v>
      </c>
      <c r="N1124" t="s">
        <v>228</v>
      </c>
      <c r="O1124" t="s">
        <v>367</v>
      </c>
      <c r="P1124">
        <v>2.5844600207447296E-5</v>
      </c>
      <c r="Q1124" t="s">
        <v>159</v>
      </c>
      <c r="S1124" t="s">
        <v>270</v>
      </c>
      <c r="T1124" t="s">
        <v>367</v>
      </c>
      <c r="U1124">
        <v>9.1608866475481135E-7</v>
      </c>
      <c r="V1124" t="s">
        <v>159</v>
      </c>
    </row>
    <row r="1125" spans="9:22" x14ac:dyDescent="0.45">
      <c r="I1125" t="s">
        <v>185</v>
      </c>
      <c r="J1125" t="s">
        <v>368</v>
      </c>
      <c r="K1125">
        <v>0</v>
      </c>
      <c r="L1125" t="s">
        <v>159</v>
      </c>
      <c r="N1125" t="s">
        <v>228</v>
      </c>
      <c r="O1125" t="s">
        <v>368</v>
      </c>
      <c r="P1125">
        <v>2.0209803734863341E-5</v>
      </c>
      <c r="Q1125" t="s">
        <v>159</v>
      </c>
      <c r="S1125" t="s">
        <v>270</v>
      </c>
      <c r="T1125" t="s">
        <v>368</v>
      </c>
      <c r="U1125">
        <v>2.5504179952789311E-7</v>
      </c>
      <c r="V1125" t="s">
        <v>159</v>
      </c>
    </row>
    <row r="1126" spans="9:22" x14ac:dyDescent="0.45">
      <c r="I1126" t="s">
        <v>185</v>
      </c>
      <c r="J1126" t="s">
        <v>369</v>
      </c>
      <c r="K1126">
        <v>0</v>
      </c>
      <c r="L1126" t="s">
        <v>159</v>
      </c>
      <c r="N1126" t="s">
        <v>228</v>
      </c>
      <c r="O1126" t="s">
        <v>369</v>
      </c>
      <c r="P1126">
        <v>1.6615752355065796E-5</v>
      </c>
      <c r="Q1126" t="s">
        <v>159</v>
      </c>
      <c r="S1126" t="s">
        <v>270</v>
      </c>
      <c r="T1126" t="s">
        <v>369</v>
      </c>
      <c r="U1126">
        <v>0</v>
      </c>
      <c r="V1126" t="s">
        <v>159</v>
      </c>
    </row>
    <row r="1127" spans="9:22" x14ac:dyDescent="0.45">
      <c r="I1127" t="s">
        <v>185</v>
      </c>
      <c r="J1127" t="s">
        <v>165</v>
      </c>
      <c r="K1127">
        <v>0</v>
      </c>
      <c r="L1127" t="s">
        <v>159</v>
      </c>
      <c r="N1127" t="s">
        <v>228</v>
      </c>
      <c r="O1127" t="s">
        <v>165</v>
      </c>
      <c r="P1127">
        <v>1.7336377036388462E-2</v>
      </c>
      <c r="Q1127" t="s">
        <v>159</v>
      </c>
      <c r="S1127" t="s">
        <v>270</v>
      </c>
      <c r="T1127" t="s">
        <v>165</v>
      </c>
      <c r="U1127">
        <v>2.9523180317517054E-2</v>
      </c>
      <c r="V1127" t="s">
        <v>159</v>
      </c>
    </row>
    <row r="1128" spans="9:22" x14ac:dyDescent="0.45">
      <c r="I1128" t="s">
        <v>185</v>
      </c>
      <c r="J1128" t="s">
        <v>166</v>
      </c>
      <c r="K1128">
        <v>1.4553882229545348E-3</v>
      </c>
      <c r="L1128" t="s">
        <v>159</v>
      </c>
      <c r="N1128" t="s">
        <v>228</v>
      </c>
      <c r="O1128" t="s">
        <v>166</v>
      </c>
      <c r="P1128">
        <v>2.9438050316058623E-3</v>
      </c>
      <c r="Q1128" t="s">
        <v>159</v>
      </c>
      <c r="S1128" t="s">
        <v>270</v>
      </c>
      <c r="T1128" t="s">
        <v>166</v>
      </c>
      <c r="U1128">
        <v>4.226140432726018E-3</v>
      </c>
      <c r="V1128" t="s">
        <v>159</v>
      </c>
    </row>
    <row r="1129" spans="9:22" x14ac:dyDescent="0.45">
      <c r="I1129" t="s">
        <v>185</v>
      </c>
      <c r="J1129" t="s">
        <v>167</v>
      </c>
      <c r="K1129">
        <v>4.8636627788022094E-2</v>
      </c>
      <c r="L1129" t="s">
        <v>159</v>
      </c>
      <c r="N1129" t="s">
        <v>228</v>
      </c>
      <c r="O1129" t="s">
        <v>167</v>
      </c>
      <c r="P1129">
        <v>2.7740246429937079E-2</v>
      </c>
      <c r="Q1129" t="s">
        <v>159</v>
      </c>
      <c r="S1129" t="s">
        <v>270</v>
      </c>
      <c r="T1129" t="s">
        <v>167</v>
      </c>
      <c r="U1129">
        <v>3.9329230503948966E-2</v>
      </c>
      <c r="V1129" t="s">
        <v>159</v>
      </c>
    </row>
    <row r="1130" spans="9:22" x14ac:dyDescent="0.45">
      <c r="I1130" t="s">
        <v>185</v>
      </c>
      <c r="J1130" t="s">
        <v>291</v>
      </c>
      <c r="K1130">
        <v>3.8536306283689214E-3</v>
      </c>
      <c r="L1130" t="s">
        <v>159</v>
      </c>
      <c r="N1130" t="s">
        <v>228</v>
      </c>
      <c r="O1130" t="s">
        <v>291</v>
      </c>
      <c r="P1130">
        <v>4.8911368379637044E-3</v>
      </c>
      <c r="Q1130" t="s">
        <v>159</v>
      </c>
      <c r="S1130" t="s">
        <v>270</v>
      </c>
      <c r="T1130" t="s">
        <v>291</v>
      </c>
      <c r="U1130">
        <v>4.4660184211073855E-3</v>
      </c>
      <c r="V1130" t="s">
        <v>159</v>
      </c>
    </row>
    <row r="1131" spans="9:22" x14ac:dyDescent="0.45">
      <c r="I1131" t="s">
        <v>185</v>
      </c>
      <c r="J1131" t="s">
        <v>292</v>
      </c>
      <c r="K1131">
        <v>0</v>
      </c>
      <c r="L1131" t="s">
        <v>159</v>
      </c>
      <c r="N1131" t="s">
        <v>228</v>
      </c>
      <c r="O1131" t="s">
        <v>292</v>
      </c>
      <c r="P1131">
        <v>3.9597576760879794E-3</v>
      </c>
      <c r="Q1131" t="s">
        <v>159</v>
      </c>
      <c r="S1131" t="s">
        <v>270</v>
      </c>
      <c r="T1131" t="s">
        <v>292</v>
      </c>
      <c r="U1131">
        <v>4.551072872123159E-3</v>
      </c>
      <c r="V1131" t="s">
        <v>159</v>
      </c>
    </row>
    <row r="1132" spans="9:22" x14ac:dyDescent="0.45">
      <c r="I1132" t="s">
        <v>185</v>
      </c>
      <c r="J1132" t="s">
        <v>310</v>
      </c>
      <c r="K1132">
        <v>0</v>
      </c>
      <c r="L1132" t="s">
        <v>159</v>
      </c>
      <c r="N1132" t="s">
        <v>228</v>
      </c>
      <c r="O1132" t="s">
        <v>310</v>
      </c>
      <c r="P1132">
        <v>1.3280515582458966E-2</v>
      </c>
      <c r="Q1132" t="s">
        <v>159</v>
      </c>
      <c r="S1132" t="s">
        <v>270</v>
      </c>
      <c r="T1132" t="s">
        <v>310</v>
      </c>
      <c r="U1132">
        <v>2.2933544453989256E-2</v>
      </c>
      <c r="V1132" t="s">
        <v>159</v>
      </c>
    </row>
    <row r="1133" spans="9:22" x14ac:dyDescent="0.45">
      <c r="I1133" t="s">
        <v>185</v>
      </c>
      <c r="J1133" t="s">
        <v>293</v>
      </c>
      <c r="K1133">
        <v>0</v>
      </c>
      <c r="L1133" t="s">
        <v>159</v>
      </c>
      <c r="N1133" t="s">
        <v>228</v>
      </c>
      <c r="O1133" t="s">
        <v>293</v>
      </c>
      <c r="P1133">
        <v>8.4629359110779262E-3</v>
      </c>
      <c r="Q1133" t="s">
        <v>159</v>
      </c>
      <c r="S1133" t="s">
        <v>270</v>
      </c>
      <c r="T1133" t="s">
        <v>293</v>
      </c>
      <c r="U1133">
        <v>3.9552932571968787E-3</v>
      </c>
      <c r="V1133" t="s">
        <v>159</v>
      </c>
    </row>
    <row r="1134" spans="9:22" x14ac:dyDescent="0.45">
      <c r="I1134" t="s">
        <v>185</v>
      </c>
      <c r="J1134" t="s">
        <v>294</v>
      </c>
      <c r="K1134">
        <v>1.007335982427787E-3</v>
      </c>
      <c r="L1134" t="s">
        <v>159</v>
      </c>
      <c r="N1134" t="s">
        <v>228</v>
      </c>
      <c r="O1134" t="s">
        <v>294</v>
      </c>
      <c r="P1134">
        <v>1.1413475457297179E-3</v>
      </c>
      <c r="Q1134" t="s">
        <v>159</v>
      </c>
      <c r="S1134" t="s">
        <v>270</v>
      </c>
      <c r="T1134" t="s">
        <v>294</v>
      </c>
      <c r="U1134">
        <v>6.3260266845544617E-4</v>
      </c>
      <c r="V1134" t="s">
        <v>159</v>
      </c>
    </row>
    <row r="1135" spans="9:22" x14ac:dyDescent="0.45">
      <c r="I1135" t="s">
        <v>185</v>
      </c>
      <c r="J1135" t="s">
        <v>295</v>
      </c>
      <c r="K1135">
        <v>1.4507475401076744E-2</v>
      </c>
      <c r="L1135" t="s">
        <v>159</v>
      </c>
      <c r="N1135" t="s">
        <v>228</v>
      </c>
      <c r="O1135" t="s">
        <v>295</v>
      </c>
      <c r="P1135">
        <v>8.5728232737362631E-3</v>
      </c>
      <c r="Q1135" t="s">
        <v>159</v>
      </c>
      <c r="S1135" t="s">
        <v>270</v>
      </c>
      <c r="T1135" t="s">
        <v>295</v>
      </c>
      <c r="U1135">
        <v>6.8866714012667382E-3</v>
      </c>
      <c r="V1135" t="s">
        <v>159</v>
      </c>
    </row>
    <row r="1136" spans="9:22" x14ac:dyDescent="0.45">
      <c r="I1136" t="s">
        <v>185</v>
      </c>
      <c r="J1136" t="s">
        <v>296</v>
      </c>
      <c r="K1136">
        <v>1.1228635167581818E-3</v>
      </c>
      <c r="L1136" t="s">
        <v>159</v>
      </c>
      <c r="N1136" t="s">
        <v>228</v>
      </c>
      <c r="O1136" t="s">
        <v>296</v>
      </c>
      <c r="P1136">
        <v>1.5798646899860933E-3</v>
      </c>
      <c r="Q1136" t="s">
        <v>159</v>
      </c>
      <c r="S1136" t="s">
        <v>270</v>
      </c>
      <c r="T1136" t="s">
        <v>296</v>
      </c>
      <c r="U1136">
        <v>7.9099645915764612E-4</v>
      </c>
      <c r="V1136" t="s">
        <v>159</v>
      </c>
    </row>
    <row r="1137" spans="9:22" x14ac:dyDescent="0.45">
      <c r="I1137" t="s">
        <v>185</v>
      </c>
      <c r="J1137" t="s">
        <v>297</v>
      </c>
      <c r="K1137">
        <v>0</v>
      </c>
      <c r="L1137" t="s">
        <v>159</v>
      </c>
      <c r="N1137" t="s">
        <v>228</v>
      </c>
      <c r="O1137" t="s">
        <v>297</v>
      </c>
      <c r="P1137">
        <v>1.4600714587530391E-3</v>
      </c>
      <c r="Q1137" t="s">
        <v>159</v>
      </c>
      <c r="S1137" t="s">
        <v>270</v>
      </c>
      <c r="T1137" t="s">
        <v>297</v>
      </c>
      <c r="U1137">
        <v>7.8223418828545258E-4</v>
      </c>
      <c r="V1137" t="s">
        <v>159</v>
      </c>
    </row>
    <row r="1138" spans="9:22" x14ac:dyDescent="0.45">
      <c r="I1138" t="s">
        <v>185</v>
      </c>
      <c r="J1138" t="s">
        <v>311</v>
      </c>
      <c r="K1138">
        <v>0</v>
      </c>
      <c r="L1138" t="s">
        <v>159</v>
      </c>
      <c r="N1138" t="s">
        <v>228</v>
      </c>
      <c r="O1138" t="s">
        <v>311</v>
      </c>
      <c r="P1138">
        <v>5.8549604209346242E-3</v>
      </c>
      <c r="Q1138" t="s">
        <v>159</v>
      </c>
      <c r="S1138" t="s">
        <v>270</v>
      </c>
      <c r="T1138" t="s">
        <v>311</v>
      </c>
      <c r="U1138">
        <v>3.3403453208360025E-3</v>
      </c>
      <c r="V1138" t="s">
        <v>159</v>
      </c>
    </row>
    <row r="1139" spans="9:22" x14ac:dyDescent="0.45">
      <c r="I1139" t="s">
        <v>185</v>
      </c>
      <c r="J1139" t="s">
        <v>298</v>
      </c>
      <c r="K1139">
        <v>1.1864724662587738E-2</v>
      </c>
      <c r="L1139" t="s">
        <v>159</v>
      </c>
      <c r="N1139" t="s">
        <v>228</v>
      </c>
      <c r="O1139" t="s">
        <v>298</v>
      </c>
      <c r="P1139">
        <v>7.1174206398647605E-2</v>
      </c>
      <c r="Q1139" t="s">
        <v>159</v>
      </c>
      <c r="S1139" t="s">
        <v>270</v>
      </c>
      <c r="T1139" t="s">
        <v>298</v>
      </c>
      <c r="U1139">
        <v>8.6018741360053191E-2</v>
      </c>
      <c r="V1139" t="s">
        <v>159</v>
      </c>
    </row>
    <row r="1140" spans="9:22" x14ac:dyDescent="0.45">
      <c r="I1140" t="s">
        <v>185</v>
      </c>
      <c r="J1140" t="s">
        <v>299</v>
      </c>
      <c r="K1140">
        <v>1.9542882736426168E-2</v>
      </c>
      <c r="L1140" t="s">
        <v>159</v>
      </c>
      <c r="N1140" t="s">
        <v>228</v>
      </c>
      <c r="O1140" t="s">
        <v>299</v>
      </c>
      <c r="P1140">
        <v>9.9083358304359933E-3</v>
      </c>
      <c r="Q1140" t="s">
        <v>159</v>
      </c>
      <c r="S1140" t="s">
        <v>270</v>
      </c>
      <c r="T1140" t="s">
        <v>299</v>
      </c>
      <c r="U1140">
        <v>1.1446002411416205E-2</v>
      </c>
      <c r="V1140" t="s">
        <v>159</v>
      </c>
    </row>
    <row r="1141" spans="9:22" x14ac:dyDescent="0.45">
      <c r="I1141" t="s">
        <v>185</v>
      </c>
      <c r="J1141" t="s">
        <v>300</v>
      </c>
      <c r="K1141">
        <v>0.24850379291383523</v>
      </c>
      <c r="L1141" t="s">
        <v>159</v>
      </c>
      <c r="N1141" t="s">
        <v>228</v>
      </c>
      <c r="O1141" t="s">
        <v>300</v>
      </c>
      <c r="P1141">
        <v>0.14237662091507283</v>
      </c>
      <c r="Q1141" t="s">
        <v>159</v>
      </c>
      <c r="S1141" t="s">
        <v>270</v>
      </c>
      <c r="T1141" t="s">
        <v>300</v>
      </c>
      <c r="U1141">
        <v>0.11044860372793336</v>
      </c>
      <c r="V1141" t="s">
        <v>159</v>
      </c>
    </row>
    <row r="1142" spans="9:22" x14ac:dyDescent="0.45">
      <c r="I1142" t="s">
        <v>185</v>
      </c>
      <c r="J1142" t="s">
        <v>301</v>
      </c>
      <c r="K1142">
        <v>2.0629215173695568E-2</v>
      </c>
      <c r="L1142" t="s">
        <v>159</v>
      </c>
      <c r="N1142" t="s">
        <v>228</v>
      </c>
      <c r="O1142" t="s">
        <v>301</v>
      </c>
      <c r="P1142">
        <v>2.1949726364744664E-2</v>
      </c>
      <c r="Q1142" t="s">
        <v>159</v>
      </c>
      <c r="S1142" t="s">
        <v>270</v>
      </c>
      <c r="T1142" t="s">
        <v>301</v>
      </c>
      <c r="U1142">
        <v>1.3412215160801795E-2</v>
      </c>
      <c r="V1142" t="s">
        <v>159</v>
      </c>
    </row>
    <row r="1143" spans="9:22" x14ac:dyDescent="0.45">
      <c r="I1143" t="s">
        <v>185</v>
      </c>
      <c r="J1143" t="s">
        <v>302</v>
      </c>
      <c r="K1143">
        <v>9.5153931795743576E-3</v>
      </c>
      <c r="L1143" t="s">
        <v>159</v>
      </c>
      <c r="N1143" t="s">
        <v>228</v>
      </c>
      <c r="O1143" t="s">
        <v>302</v>
      </c>
      <c r="P1143">
        <v>1.8718278675786928E-2</v>
      </c>
      <c r="Q1143" t="s">
        <v>159</v>
      </c>
      <c r="S1143" t="s">
        <v>270</v>
      </c>
      <c r="T1143" t="s">
        <v>302</v>
      </c>
      <c r="U1143">
        <v>1.3169989664093247E-2</v>
      </c>
      <c r="V1143" t="s">
        <v>159</v>
      </c>
    </row>
    <row r="1144" spans="9:22" x14ac:dyDescent="0.45">
      <c r="I1144" t="s">
        <v>185</v>
      </c>
      <c r="J1144" t="s">
        <v>312</v>
      </c>
      <c r="K1144">
        <v>0</v>
      </c>
      <c r="L1144" t="s">
        <v>159</v>
      </c>
      <c r="N1144" t="s">
        <v>228</v>
      </c>
      <c r="O1144" t="s">
        <v>312</v>
      </c>
      <c r="P1144">
        <v>6.4924548757647471E-2</v>
      </c>
      <c r="Q1144" t="s">
        <v>159</v>
      </c>
      <c r="S1144" t="s">
        <v>270</v>
      </c>
      <c r="T1144" t="s">
        <v>312</v>
      </c>
      <c r="U1144">
        <v>6.3245739539979792E-2</v>
      </c>
      <c r="V1144" t="s">
        <v>159</v>
      </c>
    </row>
    <row r="1145" spans="9:22" x14ac:dyDescent="0.45">
      <c r="I1145" t="s">
        <v>185</v>
      </c>
      <c r="J1145" t="s">
        <v>313</v>
      </c>
      <c r="K1145">
        <v>6.718088081406547E-3</v>
      </c>
      <c r="L1145" t="s">
        <v>159</v>
      </c>
      <c r="N1145" t="s">
        <v>228</v>
      </c>
      <c r="O1145" t="s">
        <v>313</v>
      </c>
      <c r="P1145">
        <v>1.5362049432196396E-2</v>
      </c>
      <c r="Q1145" t="s">
        <v>159</v>
      </c>
      <c r="S1145" t="s">
        <v>270</v>
      </c>
      <c r="T1145" t="s">
        <v>313</v>
      </c>
      <c r="U1145">
        <v>2.0146496779016768E-2</v>
      </c>
      <c r="V1145" t="s">
        <v>159</v>
      </c>
    </row>
    <row r="1146" spans="9:22" x14ac:dyDescent="0.45">
      <c r="I1146" t="s">
        <v>185</v>
      </c>
      <c r="J1146" t="s">
        <v>314</v>
      </c>
      <c r="K1146">
        <v>7.4074268328311529E-3</v>
      </c>
      <c r="L1146" t="s">
        <v>159</v>
      </c>
      <c r="N1146" t="s">
        <v>228</v>
      </c>
      <c r="O1146" t="s">
        <v>314</v>
      </c>
      <c r="P1146">
        <v>1.7905999721070862E-3</v>
      </c>
      <c r="Q1146" t="s">
        <v>159</v>
      </c>
      <c r="S1146" t="s">
        <v>270</v>
      </c>
      <c r="T1146" t="s">
        <v>314</v>
      </c>
      <c r="U1146">
        <v>2.8454418876426549E-3</v>
      </c>
      <c r="V1146" t="s">
        <v>159</v>
      </c>
    </row>
    <row r="1147" spans="9:22" x14ac:dyDescent="0.45">
      <c r="I1147" t="s">
        <v>185</v>
      </c>
      <c r="J1147" t="s">
        <v>315</v>
      </c>
      <c r="K1147">
        <v>8.9564611767168692E-2</v>
      </c>
      <c r="L1147" t="s">
        <v>159</v>
      </c>
      <c r="N1147" t="s">
        <v>228</v>
      </c>
      <c r="O1147" t="s">
        <v>315</v>
      </c>
      <c r="P1147">
        <v>2.6795719027162872E-2</v>
      </c>
      <c r="Q1147" t="s">
        <v>159</v>
      </c>
      <c r="S1147" t="s">
        <v>270</v>
      </c>
      <c r="T1147" t="s">
        <v>315</v>
      </c>
      <c r="U1147">
        <v>2.9451137469175638E-2</v>
      </c>
      <c r="V1147" t="s">
        <v>159</v>
      </c>
    </row>
    <row r="1148" spans="9:22" x14ac:dyDescent="0.45">
      <c r="I1148" t="s">
        <v>185</v>
      </c>
      <c r="J1148" t="s">
        <v>316</v>
      </c>
      <c r="K1148">
        <v>7.9912805766663483E-3</v>
      </c>
      <c r="L1148" t="s">
        <v>159</v>
      </c>
      <c r="N1148" t="s">
        <v>228</v>
      </c>
      <c r="O1148" t="s">
        <v>316</v>
      </c>
      <c r="P1148">
        <v>4.1413289358049618E-3</v>
      </c>
      <c r="Q1148" t="s">
        <v>159</v>
      </c>
      <c r="S1148" t="s">
        <v>270</v>
      </c>
      <c r="T1148" t="s">
        <v>316</v>
      </c>
      <c r="U1148">
        <v>3.5310549855962058E-3</v>
      </c>
      <c r="V1148" t="s">
        <v>159</v>
      </c>
    </row>
    <row r="1149" spans="9:22" x14ac:dyDescent="0.45">
      <c r="I1149" t="s">
        <v>185</v>
      </c>
      <c r="J1149" t="s">
        <v>317</v>
      </c>
      <c r="K1149">
        <v>6.1631257105855403E-3</v>
      </c>
      <c r="L1149" t="s">
        <v>159</v>
      </c>
      <c r="N1149" t="s">
        <v>228</v>
      </c>
      <c r="O1149" t="s">
        <v>317</v>
      </c>
      <c r="P1149">
        <v>3.8010123876023412E-3</v>
      </c>
      <c r="Q1149" t="s">
        <v>159</v>
      </c>
      <c r="S1149" t="s">
        <v>270</v>
      </c>
      <c r="T1149" t="s">
        <v>317</v>
      </c>
      <c r="U1149">
        <v>3.4733210009098422E-3</v>
      </c>
      <c r="V1149" t="s">
        <v>159</v>
      </c>
    </row>
    <row r="1150" spans="9:22" x14ac:dyDescent="0.45">
      <c r="I1150" t="s">
        <v>185</v>
      </c>
      <c r="J1150" t="s">
        <v>318</v>
      </c>
      <c r="K1150">
        <v>2.9594989109029799E-3</v>
      </c>
      <c r="L1150" t="s">
        <v>159</v>
      </c>
      <c r="N1150" t="s">
        <v>228</v>
      </c>
      <c r="O1150" t="s">
        <v>318</v>
      </c>
      <c r="P1150">
        <v>1.5172927142592288E-2</v>
      </c>
      <c r="Q1150" t="s">
        <v>159</v>
      </c>
      <c r="S1150" t="s">
        <v>270</v>
      </c>
      <c r="T1150" t="s">
        <v>318</v>
      </c>
      <c r="U1150">
        <v>1.6211872242345184E-2</v>
      </c>
      <c r="V1150" t="s">
        <v>159</v>
      </c>
    </row>
    <row r="1151" spans="9:22" x14ac:dyDescent="0.45">
      <c r="I1151" t="s">
        <v>186</v>
      </c>
      <c r="J1151" t="s">
        <v>158</v>
      </c>
      <c r="K1151">
        <v>1.1135807075060504E-2</v>
      </c>
      <c r="L1151" t="s">
        <v>159</v>
      </c>
      <c r="N1151" t="s">
        <v>229</v>
      </c>
      <c r="O1151" t="s">
        <v>158</v>
      </c>
      <c r="P1151">
        <v>0.13623530850784163</v>
      </c>
      <c r="Q1151" t="s">
        <v>159</v>
      </c>
      <c r="S1151" t="s">
        <v>271</v>
      </c>
      <c r="T1151" t="s">
        <v>158</v>
      </c>
      <c r="U1151">
        <v>0.11292966908909058</v>
      </c>
      <c r="V1151" t="s">
        <v>159</v>
      </c>
    </row>
    <row r="1152" spans="9:22" x14ac:dyDescent="0.45">
      <c r="I1152" t="s">
        <v>186</v>
      </c>
      <c r="J1152" t="s">
        <v>160</v>
      </c>
      <c r="K1152">
        <v>2.6954554616661453E-2</v>
      </c>
      <c r="L1152" t="s">
        <v>159</v>
      </c>
      <c r="N1152" t="s">
        <v>229</v>
      </c>
      <c r="O1152" t="s">
        <v>160</v>
      </c>
      <c r="P1152">
        <v>1.5978329388512354E-2</v>
      </c>
      <c r="Q1152" t="s">
        <v>159</v>
      </c>
      <c r="S1152" t="s">
        <v>271</v>
      </c>
      <c r="T1152" t="s">
        <v>160</v>
      </c>
      <c r="U1152">
        <v>1.6049096231233077E-2</v>
      </c>
      <c r="V1152" t="s">
        <v>159</v>
      </c>
    </row>
    <row r="1153" spans="9:22" x14ac:dyDescent="0.45">
      <c r="I1153" t="s">
        <v>186</v>
      </c>
      <c r="J1153" t="s">
        <v>161</v>
      </c>
      <c r="K1153">
        <v>0.37758724119936793</v>
      </c>
      <c r="L1153" t="s">
        <v>159</v>
      </c>
      <c r="N1153" t="s">
        <v>229</v>
      </c>
      <c r="O1153" t="s">
        <v>161</v>
      </c>
      <c r="P1153">
        <v>0.12569461069681498</v>
      </c>
      <c r="Q1153" t="s">
        <v>159</v>
      </c>
      <c r="S1153" t="s">
        <v>271</v>
      </c>
      <c r="T1153" t="s">
        <v>161</v>
      </c>
      <c r="U1153">
        <v>0.17377421093354883</v>
      </c>
      <c r="V1153" t="s">
        <v>159</v>
      </c>
    </row>
    <row r="1154" spans="9:22" x14ac:dyDescent="0.45">
      <c r="I1154" t="s">
        <v>186</v>
      </c>
      <c r="J1154" t="s">
        <v>287</v>
      </c>
      <c r="K1154">
        <v>2.7478410973173828E-2</v>
      </c>
      <c r="L1154" t="s">
        <v>159</v>
      </c>
      <c r="N1154" t="s">
        <v>229</v>
      </c>
      <c r="O1154" t="s">
        <v>287</v>
      </c>
      <c r="P1154">
        <v>1.5947078522393639E-2</v>
      </c>
      <c r="Q1154" t="s">
        <v>159</v>
      </c>
      <c r="S1154" t="s">
        <v>271</v>
      </c>
      <c r="T1154" t="s">
        <v>287</v>
      </c>
      <c r="U1154">
        <v>2.0814973443125523E-2</v>
      </c>
      <c r="V1154" t="s">
        <v>159</v>
      </c>
    </row>
    <row r="1155" spans="9:22" x14ac:dyDescent="0.45">
      <c r="I1155" t="s">
        <v>186</v>
      </c>
      <c r="J1155" t="s">
        <v>288</v>
      </c>
      <c r="K1155">
        <v>1.5371258571065057E-2</v>
      </c>
      <c r="L1155" t="s">
        <v>159</v>
      </c>
      <c r="N1155" t="s">
        <v>229</v>
      </c>
      <c r="O1155" t="s">
        <v>288</v>
      </c>
      <c r="P1155">
        <v>1.8925627178248774E-2</v>
      </c>
      <c r="Q1155" t="s">
        <v>159</v>
      </c>
      <c r="S1155" t="s">
        <v>271</v>
      </c>
      <c r="T1155" t="s">
        <v>288</v>
      </c>
      <c r="U1155">
        <v>1.9660465008506406E-2</v>
      </c>
      <c r="V1155" t="s">
        <v>159</v>
      </c>
    </row>
    <row r="1156" spans="9:22" x14ac:dyDescent="0.45">
      <c r="I1156" t="s">
        <v>186</v>
      </c>
      <c r="J1156" t="s">
        <v>308</v>
      </c>
      <c r="K1156">
        <v>2.9372053073119307E-3</v>
      </c>
      <c r="L1156" t="s">
        <v>159</v>
      </c>
      <c r="N1156" t="s">
        <v>229</v>
      </c>
      <c r="O1156" t="s">
        <v>308</v>
      </c>
      <c r="P1156">
        <v>0.12099864831249109</v>
      </c>
      <c r="Q1156" t="s">
        <v>159</v>
      </c>
      <c r="S1156" t="s">
        <v>271</v>
      </c>
      <c r="T1156" t="s">
        <v>308</v>
      </c>
      <c r="U1156">
        <v>8.9569564095100515E-2</v>
      </c>
      <c r="V1156" t="s">
        <v>159</v>
      </c>
    </row>
    <row r="1157" spans="9:22" x14ac:dyDescent="0.45">
      <c r="I1157" t="s">
        <v>186</v>
      </c>
      <c r="J1157" t="s">
        <v>162</v>
      </c>
      <c r="K1157">
        <v>0</v>
      </c>
      <c r="L1157" t="s">
        <v>159</v>
      </c>
      <c r="N1157" t="s">
        <v>229</v>
      </c>
      <c r="O1157" t="s">
        <v>162</v>
      </c>
      <c r="P1157">
        <v>1.6791647361210332E-2</v>
      </c>
      <c r="Q1157" t="s">
        <v>159</v>
      </c>
      <c r="S1157" t="s">
        <v>271</v>
      </c>
      <c r="T1157" t="s">
        <v>162</v>
      </c>
      <c r="U1157">
        <v>2.5114757622847497E-2</v>
      </c>
      <c r="V1157" t="s">
        <v>159</v>
      </c>
    </row>
    <row r="1158" spans="9:22" x14ac:dyDescent="0.45">
      <c r="I1158" t="s">
        <v>186</v>
      </c>
      <c r="J1158" t="s">
        <v>163</v>
      </c>
      <c r="K1158">
        <v>0</v>
      </c>
      <c r="L1158" t="s">
        <v>159</v>
      </c>
      <c r="N1158" t="s">
        <v>229</v>
      </c>
      <c r="O1158" t="s">
        <v>163</v>
      </c>
      <c r="P1158">
        <v>2.4985121237959306E-3</v>
      </c>
      <c r="Q1158" t="s">
        <v>159</v>
      </c>
      <c r="S1158" t="s">
        <v>271</v>
      </c>
      <c r="T1158" t="s">
        <v>163</v>
      </c>
      <c r="U1158">
        <v>3.3832433425460533E-3</v>
      </c>
      <c r="V1158" t="s">
        <v>159</v>
      </c>
    </row>
    <row r="1159" spans="9:22" x14ac:dyDescent="0.45">
      <c r="I1159" t="s">
        <v>186</v>
      </c>
      <c r="J1159" t="s">
        <v>164</v>
      </c>
      <c r="K1159">
        <v>3.4970239961399065E-2</v>
      </c>
      <c r="L1159" t="s">
        <v>159</v>
      </c>
      <c r="N1159" t="s">
        <v>229</v>
      </c>
      <c r="O1159" t="s">
        <v>164</v>
      </c>
      <c r="P1159">
        <v>1.9304223434881099E-2</v>
      </c>
      <c r="Q1159" t="s">
        <v>159</v>
      </c>
      <c r="S1159" t="s">
        <v>271</v>
      </c>
      <c r="T1159" t="s">
        <v>164</v>
      </c>
      <c r="U1159">
        <v>2.9441415375584278E-2</v>
      </c>
      <c r="V1159" t="s">
        <v>159</v>
      </c>
    </row>
    <row r="1160" spans="9:22" x14ac:dyDescent="0.45">
      <c r="I1160" t="s">
        <v>186</v>
      </c>
      <c r="J1160" t="s">
        <v>289</v>
      </c>
      <c r="K1160">
        <v>4.151413529264983E-4</v>
      </c>
      <c r="L1160" t="s">
        <v>159</v>
      </c>
      <c r="N1160" t="s">
        <v>229</v>
      </c>
      <c r="O1160" t="s">
        <v>289</v>
      </c>
      <c r="P1160">
        <v>1.8951989132243131E-3</v>
      </c>
      <c r="Q1160" t="s">
        <v>159</v>
      </c>
      <c r="S1160" t="s">
        <v>271</v>
      </c>
      <c r="T1160" t="s">
        <v>289</v>
      </c>
      <c r="U1160">
        <v>3.2013388107041824E-3</v>
      </c>
      <c r="V1160" t="s">
        <v>159</v>
      </c>
    </row>
    <row r="1161" spans="9:22" x14ac:dyDescent="0.45">
      <c r="I1161" t="s">
        <v>186</v>
      </c>
      <c r="J1161" t="s">
        <v>290</v>
      </c>
      <c r="K1161">
        <v>0</v>
      </c>
      <c r="L1161" t="s">
        <v>159</v>
      </c>
      <c r="N1161" t="s">
        <v>229</v>
      </c>
      <c r="O1161" t="s">
        <v>290</v>
      </c>
      <c r="P1161">
        <v>2.3436247935558841E-3</v>
      </c>
      <c r="Q1161" t="s">
        <v>159</v>
      </c>
      <c r="S1161" t="s">
        <v>271</v>
      </c>
      <c r="T1161" t="s">
        <v>290</v>
      </c>
      <c r="U1161">
        <v>3.2220005772296491E-3</v>
      </c>
      <c r="V1161" t="s">
        <v>159</v>
      </c>
    </row>
    <row r="1162" spans="9:22" x14ac:dyDescent="0.45">
      <c r="I1162" t="s">
        <v>186</v>
      </c>
      <c r="J1162" t="s">
        <v>309</v>
      </c>
      <c r="K1162">
        <v>0</v>
      </c>
      <c r="L1162" t="s">
        <v>159</v>
      </c>
      <c r="N1162" t="s">
        <v>229</v>
      </c>
      <c r="O1162" t="s">
        <v>309</v>
      </c>
      <c r="P1162">
        <v>1.3677805249440619E-2</v>
      </c>
      <c r="Q1162" t="s">
        <v>159</v>
      </c>
      <c r="S1162" t="s">
        <v>271</v>
      </c>
      <c r="T1162" t="s">
        <v>309</v>
      </c>
      <c r="U1162">
        <v>1.7319332614038625E-2</v>
      </c>
      <c r="V1162" t="s">
        <v>159</v>
      </c>
    </row>
    <row r="1163" spans="9:22" x14ac:dyDescent="0.45">
      <c r="I1163" t="s">
        <v>186</v>
      </c>
      <c r="J1163" t="s">
        <v>346</v>
      </c>
      <c r="K1163">
        <v>0</v>
      </c>
      <c r="L1163" t="s">
        <v>159</v>
      </c>
      <c r="N1163" t="s">
        <v>229</v>
      </c>
      <c r="O1163" t="s">
        <v>346</v>
      </c>
      <c r="P1163">
        <v>3.4560392771709133E-5</v>
      </c>
      <c r="Q1163" t="s">
        <v>159</v>
      </c>
      <c r="S1163" t="s">
        <v>271</v>
      </c>
      <c r="T1163" t="s">
        <v>346</v>
      </c>
      <c r="U1163">
        <v>5.7311065809476725E-5</v>
      </c>
      <c r="V1163" t="s">
        <v>159</v>
      </c>
    </row>
    <row r="1164" spans="9:22" x14ac:dyDescent="0.45">
      <c r="I1164" t="s">
        <v>186</v>
      </c>
      <c r="J1164" t="s">
        <v>347</v>
      </c>
      <c r="K1164">
        <v>0</v>
      </c>
      <c r="L1164" t="s">
        <v>159</v>
      </c>
      <c r="N1164" t="s">
        <v>229</v>
      </c>
      <c r="O1164" t="s">
        <v>347</v>
      </c>
      <c r="P1164">
        <v>2.8532133843748304E-5</v>
      </c>
      <c r="Q1164" t="s">
        <v>159</v>
      </c>
      <c r="S1164" t="s">
        <v>271</v>
      </c>
      <c r="T1164" t="s">
        <v>347</v>
      </c>
      <c r="U1164">
        <v>4.9977969698025225E-5</v>
      </c>
      <c r="V1164" t="s">
        <v>159</v>
      </c>
    </row>
    <row r="1165" spans="9:22" x14ac:dyDescent="0.45">
      <c r="I1165" t="s">
        <v>186</v>
      </c>
      <c r="J1165" t="s">
        <v>348</v>
      </c>
      <c r="K1165">
        <v>0</v>
      </c>
      <c r="L1165" t="s">
        <v>159</v>
      </c>
      <c r="N1165" t="s">
        <v>229</v>
      </c>
      <c r="O1165" t="s">
        <v>348</v>
      </c>
      <c r="P1165">
        <v>2.7854240413181728E-5</v>
      </c>
      <c r="Q1165" t="s">
        <v>159</v>
      </c>
      <c r="S1165" t="s">
        <v>271</v>
      </c>
      <c r="T1165" t="s">
        <v>348</v>
      </c>
      <c r="U1165">
        <v>3.2882238832798951E-5</v>
      </c>
      <c r="V1165" t="s">
        <v>159</v>
      </c>
    </row>
    <row r="1166" spans="9:22" x14ac:dyDescent="0.45">
      <c r="I1166" t="s">
        <v>186</v>
      </c>
      <c r="J1166" t="s">
        <v>349</v>
      </c>
      <c r="K1166">
        <v>0</v>
      </c>
      <c r="L1166" t="s">
        <v>159</v>
      </c>
      <c r="N1166" t="s">
        <v>229</v>
      </c>
      <c r="O1166" t="s">
        <v>349</v>
      </c>
      <c r="P1166">
        <v>2.8069114165971847E-5</v>
      </c>
      <c r="Q1166" t="s">
        <v>159</v>
      </c>
      <c r="S1166" t="s">
        <v>271</v>
      </c>
      <c r="T1166" t="s">
        <v>349</v>
      </c>
      <c r="U1166">
        <v>1.9849927426964025E-5</v>
      </c>
      <c r="V1166" t="s">
        <v>159</v>
      </c>
    </row>
    <row r="1167" spans="9:22" x14ac:dyDescent="0.45">
      <c r="I1167" t="s">
        <v>186</v>
      </c>
      <c r="J1167" t="s">
        <v>350</v>
      </c>
      <c r="K1167">
        <v>0</v>
      </c>
      <c r="L1167" t="s">
        <v>159</v>
      </c>
      <c r="N1167" t="s">
        <v>229</v>
      </c>
      <c r="O1167" t="s">
        <v>350</v>
      </c>
      <c r="P1167">
        <v>2.8994842797055104E-5</v>
      </c>
      <c r="Q1167" t="s">
        <v>159</v>
      </c>
      <c r="S1167" t="s">
        <v>271</v>
      </c>
      <c r="T1167" t="s">
        <v>350</v>
      </c>
      <c r="U1167">
        <v>1.5602591908771828E-5</v>
      </c>
      <c r="V1167" t="s">
        <v>159</v>
      </c>
    </row>
    <row r="1168" spans="9:22" x14ac:dyDescent="0.45">
      <c r="I1168" t="s">
        <v>186</v>
      </c>
      <c r="J1168" t="s">
        <v>351</v>
      </c>
      <c r="K1168">
        <v>0</v>
      </c>
      <c r="L1168" t="s">
        <v>159</v>
      </c>
      <c r="N1168" t="s">
        <v>229</v>
      </c>
      <c r="O1168" t="s">
        <v>351</v>
      </c>
      <c r="P1168">
        <v>2.764045258146128E-5</v>
      </c>
      <c r="Q1168" t="s">
        <v>159</v>
      </c>
      <c r="S1168" t="s">
        <v>271</v>
      </c>
      <c r="T1168" t="s">
        <v>351</v>
      </c>
      <c r="U1168">
        <v>1.9797984742330651E-5</v>
      </c>
      <c r="V1168" t="s">
        <v>159</v>
      </c>
    </row>
    <row r="1169" spans="9:22" x14ac:dyDescent="0.45">
      <c r="I1169" t="s">
        <v>186</v>
      </c>
      <c r="J1169" t="s">
        <v>352</v>
      </c>
      <c r="K1169">
        <v>0</v>
      </c>
      <c r="L1169" t="s">
        <v>159</v>
      </c>
      <c r="N1169" t="s">
        <v>229</v>
      </c>
      <c r="O1169" t="s">
        <v>352</v>
      </c>
      <c r="P1169">
        <v>2.2982915627176704E-5</v>
      </c>
      <c r="Q1169" t="s">
        <v>159</v>
      </c>
      <c r="S1169" t="s">
        <v>271</v>
      </c>
      <c r="T1169" t="s">
        <v>352</v>
      </c>
      <c r="U1169">
        <v>2.6376464047761436E-5</v>
      </c>
      <c r="V1169" t="s">
        <v>159</v>
      </c>
    </row>
    <row r="1170" spans="9:22" x14ac:dyDescent="0.45">
      <c r="I1170" t="s">
        <v>186</v>
      </c>
      <c r="J1170" t="s">
        <v>353</v>
      </c>
      <c r="K1170">
        <v>0</v>
      </c>
      <c r="L1170" t="s">
        <v>159</v>
      </c>
      <c r="N1170" t="s">
        <v>229</v>
      </c>
      <c r="O1170" t="s">
        <v>353</v>
      </c>
      <c r="P1170">
        <v>2.0148452784579928E-5</v>
      </c>
      <c r="Q1170" t="s">
        <v>159</v>
      </c>
      <c r="S1170" t="s">
        <v>271</v>
      </c>
      <c r="T1170" t="s">
        <v>353</v>
      </c>
      <c r="U1170">
        <v>3.3992423652850183E-5</v>
      </c>
      <c r="V1170" t="s">
        <v>159</v>
      </c>
    </row>
    <row r="1171" spans="9:22" x14ac:dyDescent="0.45">
      <c r="I1171" t="s">
        <v>186</v>
      </c>
      <c r="J1171" t="s">
        <v>354</v>
      </c>
      <c r="K1171">
        <v>1.7439977031400553E-4</v>
      </c>
      <c r="L1171" t="s">
        <v>159</v>
      </c>
      <c r="N1171" t="s">
        <v>229</v>
      </c>
      <c r="O1171" t="s">
        <v>354</v>
      </c>
      <c r="P1171">
        <v>1.2177151577655498E-5</v>
      </c>
      <c r="Q1171" t="s">
        <v>159</v>
      </c>
      <c r="S1171" t="s">
        <v>271</v>
      </c>
      <c r="T1171" t="s">
        <v>354</v>
      </c>
      <c r="U1171">
        <v>4.844364030615701E-5</v>
      </c>
      <c r="V1171" t="s">
        <v>159</v>
      </c>
    </row>
    <row r="1172" spans="9:22" x14ac:dyDescent="0.45">
      <c r="I1172" t="s">
        <v>186</v>
      </c>
      <c r="J1172" t="s">
        <v>355</v>
      </c>
      <c r="K1172">
        <v>1.7878179562792726E-4</v>
      </c>
      <c r="L1172" t="s">
        <v>159</v>
      </c>
      <c r="N1172" t="s">
        <v>229</v>
      </c>
      <c r="O1172" t="s">
        <v>355</v>
      </c>
      <c r="P1172">
        <v>2.8139285913519324E-6</v>
      </c>
      <c r="Q1172" t="s">
        <v>159</v>
      </c>
      <c r="S1172" t="s">
        <v>271</v>
      </c>
      <c r="T1172" t="s">
        <v>355</v>
      </c>
      <c r="U1172">
        <v>6.1644575662153479E-5</v>
      </c>
      <c r="V1172" t="s">
        <v>159</v>
      </c>
    </row>
    <row r="1173" spans="9:22" x14ac:dyDescent="0.45">
      <c r="I1173" t="s">
        <v>186</v>
      </c>
      <c r="J1173" t="s">
        <v>356</v>
      </c>
      <c r="K1173">
        <v>1.5804427844549182E-4</v>
      </c>
      <c r="L1173" t="s">
        <v>159</v>
      </c>
      <c r="N1173" t="s">
        <v>229</v>
      </c>
      <c r="O1173" t="s">
        <v>356</v>
      </c>
      <c r="P1173">
        <v>6.01076150432407E-6</v>
      </c>
      <c r="Q1173" t="s">
        <v>159</v>
      </c>
      <c r="S1173" t="s">
        <v>271</v>
      </c>
      <c r="T1173" t="s">
        <v>356</v>
      </c>
      <c r="U1173">
        <v>6.5666906018247559E-5</v>
      </c>
      <c r="V1173" t="s">
        <v>159</v>
      </c>
    </row>
    <row r="1174" spans="9:22" x14ac:dyDescent="0.45">
      <c r="I1174" t="s">
        <v>186</v>
      </c>
      <c r="J1174" t="s">
        <v>357</v>
      </c>
      <c r="K1174">
        <v>1.7269600575447734E-4</v>
      </c>
      <c r="L1174" t="s">
        <v>159</v>
      </c>
      <c r="N1174" t="s">
        <v>229</v>
      </c>
      <c r="O1174" t="s">
        <v>357</v>
      </c>
      <c r="P1174">
        <v>5.8525073558232864E-6</v>
      </c>
      <c r="Q1174" t="s">
        <v>159</v>
      </c>
      <c r="S1174" t="s">
        <v>271</v>
      </c>
      <c r="T1174" t="s">
        <v>357</v>
      </c>
      <c r="U1174">
        <v>7.4881857911443536E-5</v>
      </c>
      <c r="V1174" t="s">
        <v>159</v>
      </c>
    </row>
    <row r="1175" spans="9:22" x14ac:dyDescent="0.45">
      <c r="I1175" t="s">
        <v>186</v>
      </c>
      <c r="J1175" t="s">
        <v>358</v>
      </c>
      <c r="K1175">
        <v>2.3026338091966907E-4</v>
      </c>
      <c r="L1175" t="s">
        <v>159</v>
      </c>
      <c r="N1175" t="s">
        <v>229</v>
      </c>
      <c r="O1175" t="s">
        <v>358</v>
      </c>
      <c r="P1175">
        <v>7.0802312424182048E-6</v>
      </c>
      <c r="Q1175" t="s">
        <v>159</v>
      </c>
      <c r="S1175" t="s">
        <v>271</v>
      </c>
      <c r="T1175" t="s">
        <v>358</v>
      </c>
      <c r="U1175">
        <v>7.0484854870632397E-5</v>
      </c>
      <c r="V1175" t="s">
        <v>159</v>
      </c>
    </row>
    <row r="1176" spans="9:22" x14ac:dyDescent="0.45">
      <c r="I1176" t="s">
        <v>186</v>
      </c>
      <c r="J1176" t="s">
        <v>359</v>
      </c>
      <c r="K1176">
        <v>1.7669483461873976E-4</v>
      </c>
      <c r="L1176" t="s">
        <v>159</v>
      </c>
      <c r="N1176" t="s">
        <v>229</v>
      </c>
      <c r="O1176" t="s">
        <v>359</v>
      </c>
      <c r="P1176">
        <v>1.1960577452648335E-5</v>
      </c>
      <c r="Q1176" t="s">
        <v>159</v>
      </c>
      <c r="S1176" t="s">
        <v>271</v>
      </c>
      <c r="T1176" t="s">
        <v>359</v>
      </c>
      <c r="U1176">
        <v>5.8845138744220753E-5</v>
      </c>
      <c r="V1176" t="s">
        <v>159</v>
      </c>
    </row>
    <row r="1177" spans="9:22" x14ac:dyDescent="0.45">
      <c r="I1177" t="s">
        <v>186</v>
      </c>
      <c r="J1177" t="s">
        <v>360</v>
      </c>
      <c r="K1177">
        <v>1.5439779773136644E-4</v>
      </c>
      <c r="L1177" t="s">
        <v>159</v>
      </c>
      <c r="N1177" t="s">
        <v>229</v>
      </c>
      <c r="O1177" t="s">
        <v>360</v>
      </c>
      <c r="P1177">
        <v>1.4984803300087951E-5</v>
      </c>
      <c r="Q1177" t="s">
        <v>159</v>
      </c>
      <c r="S1177" t="s">
        <v>271</v>
      </c>
      <c r="T1177" t="s">
        <v>360</v>
      </c>
      <c r="U1177">
        <v>4.0128176479745029E-5</v>
      </c>
      <c r="V1177" t="s">
        <v>159</v>
      </c>
    </row>
    <row r="1178" spans="9:22" x14ac:dyDescent="0.45">
      <c r="I1178" t="s">
        <v>186</v>
      </c>
      <c r="J1178" t="s">
        <v>361</v>
      </c>
      <c r="K1178">
        <v>1.5565919446457752E-4</v>
      </c>
      <c r="L1178" t="s">
        <v>159</v>
      </c>
      <c r="N1178" t="s">
        <v>229</v>
      </c>
      <c r="O1178" t="s">
        <v>361</v>
      </c>
      <c r="P1178">
        <v>2.3949324831726452E-5</v>
      </c>
      <c r="Q1178" t="s">
        <v>159</v>
      </c>
      <c r="S1178" t="s">
        <v>271</v>
      </c>
      <c r="T1178" t="s">
        <v>361</v>
      </c>
      <c r="U1178">
        <v>1.9669273692288574E-5</v>
      </c>
      <c r="V1178" t="s">
        <v>159</v>
      </c>
    </row>
    <row r="1179" spans="9:22" x14ac:dyDescent="0.45">
      <c r="I1179" t="s">
        <v>186</v>
      </c>
      <c r="J1179" t="s">
        <v>362</v>
      </c>
      <c r="K1179">
        <v>1.1091478452964546E-4</v>
      </c>
      <c r="L1179" t="s">
        <v>159</v>
      </c>
      <c r="N1179" t="s">
        <v>229</v>
      </c>
      <c r="O1179" t="s">
        <v>362</v>
      </c>
      <c r="P1179">
        <v>3.9732103731085582E-5</v>
      </c>
      <c r="Q1179" t="s">
        <v>159</v>
      </c>
      <c r="S1179" t="s">
        <v>271</v>
      </c>
      <c r="T1179" t="s">
        <v>362</v>
      </c>
      <c r="U1179">
        <v>9.2838150205462192E-6</v>
      </c>
      <c r="V1179" t="s">
        <v>159</v>
      </c>
    </row>
    <row r="1180" spans="9:22" x14ac:dyDescent="0.45">
      <c r="I1180" t="s">
        <v>186</v>
      </c>
      <c r="J1180" t="s">
        <v>363</v>
      </c>
      <c r="K1180">
        <v>0</v>
      </c>
      <c r="L1180" t="s">
        <v>159</v>
      </c>
      <c r="N1180" t="s">
        <v>229</v>
      </c>
      <c r="O1180" t="s">
        <v>363</v>
      </c>
      <c r="P1180">
        <v>6.2069591886697238E-5</v>
      </c>
      <c r="Q1180" t="s">
        <v>159</v>
      </c>
      <c r="S1180" t="s">
        <v>271</v>
      </c>
      <c r="T1180" t="s">
        <v>363</v>
      </c>
      <c r="U1180">
        <v>5.7882416829897073E-6</v>
      </c>
      <c r="V1180" t="s">
        <v>159</v>
      </c>
    </row>
    <row r="1181" spans="9:22" x14ac:dyDescent="0.45">
      <c r="I1181" t="s">
        <v>186</v>
      </c>
      <c r="J1181" t="s">
        <v>364</v>
      </c>
      <c r="K1181">
        <v>0</v>
      </c>
      <c r="L1181" t="s">
        <v>159</v>
      </c>
      <c r="N1181" t="s">
        <v>229</v>
      </c>
      <c r="O1181" t="s">
        <v>364</v>
      </c>
      <c r="P1181">
        <v>9.056903903126362E-5</v>
      </c>
      <c r="Q1181" t="s">
        <v>159</v>
      </c>
      <c r="S1181" t="s">
        <v>271</v>
      </c>
      <c r="T1181" t="s">
        <v>364</v>
      </c>
      <c r="U1181">
        <v>3.541814115848853E-6</v>
      </c>
      <c r="V1181" t="s">
        <v>159</v>
      </c>
    </row>
    <row r="1182" spans="9:22" x14ac:dyDescent="0.45">
      <c r="I1182" t="s">
        <v>186</v>
      </c>
      <c r="J1182" t="s">
        <v>365</v>
      </c>
      <c r="K1182">
        <v>0</v>
      </c>
      <c r="L1182" t="s">
        <v>159</v>
      </c>
      <c r="N1182" t="s">
        <v>229</v>
      </c>
      <c r="O1182" t="s">
        <v>365</v>
      </c>
      <c r="P1182">
        <v>1.0289656076986448E-4</v>
      </c>
      <c r="Q1182" t="s">
        <v>159</v>
      </c>
      <c r="S1182" t="s">
        <v>271</v>
      </c>
      <c r="T1182" t="s">
        <v>365</v>
      </c>
      <c r="U1182">
        <v>1.4350924168740603E-6</v>
      </c>
      <c r="V1182" t="s">
        <v>159</v>
      </c>
    </row>
    <row r="1183" spans="9:22" x14ac:dyDescent="0.45">
      <c r="I1183" t="s">
        <v>186</v>
      </c>
      <c r="J1183" t="s">
        <v>366</v>
      </c>
      <c r="K1183">
        <v>0</v>
      </c>
      <c r="L1183" t="s">
        <v>159</v>
      </c>
      <c r="N1183" t="s">
        <v>229</v>
      </c>
      <c r="O1183" t="s">
        <v>366</v>
      </c>
      <c r="P1183">
        <v>9.4103966115421811E-5</v>
      </c>
      <c r="Q1183" t="s">
        <v>159</v>
      </c>
      <c r="S1183" t="s">
        <v>271</v>
      </c>
      <c r="T1183" t="s">
        <v>366</v>
      </c>
      <c r="U1183">
        <v>9.3943913835291273E-7</v>
      </c>
      <c r="V1183" t="s">
        <v>159</v>
      </c>
    </row>
    <row r="1184" spans="9:22" x14ac:dyDescent="0.45">
      <c r="I1184" t="s">
        <v>186</v>
      </c>
      <c r="J1184" t="s">
        <v>367</v>
      </c>
      <c r="K1184">
        <v>0</v>
      </c>
      <c r="L1184" t="s">
        <v>159</v>
      </c>
      <c r="N1184" t="s">
        <v>229</v>
      </c>
      <c r="O1184" t="s">
        <v>367</v>
      </c>
      <c r="P1184">
        <v>7.3151009197849749E-5</v>
      </c>
      <c r="Q1184" t="s">
        <v>159</v>
      </c>
      <c r="S1184" t="s">
        <v>271</v>
      </c>
      <c r="T1184" t="s">
        <v>367</v>
      </c>
      <c r="U1184">
        <v>1.0334442680322806E-6</v>
      </c>
      <c r="V1184" t="s">
        <v>159</v>
      </c>
    </row>
    <row r="1185" spans="9:22" x14ac:dyDescent="0.45">
      <c r="I1185" t="s">
        <v>186</v>
      </c>
      <c r="J1185" t="s">
        <v>368</v>
      </c>
      <c r="K1185">
        <v>0</v>
      </c>
      <c r="L1185" t="s">
        <v>159</v>
      </c>
      <c r="N1185" t="s">
        <v>229</v>
      </c>
      <c r="O1185" t="s">
        <v>368</v>
      </c>
      <c r="P1185">
        <v>5.5652541948088811E-5</v>
      </c>
      <c r="Q1185" t="s">
        <v>159</v>
      </c>
      <c r="S1185" t="s">
        <v>271</v>
      </c>
      <c r="T1185" t="s">
        <v>368</v>
      </c>
      <c r="U1185">
        <v>9.1106684566394663E-7</v>
      </c>
      <c r="V1185" t="s">
        <v>159</v>
      </c>
    </row>
    <row r="1186" spans="9:22" x14ac:dyDescent="0.45">
      <c r="I1186" t="s">
        <v>186</v>
      </c>
      <c r="J1186" t="s">
        <v>369</v>
      </c>
      <c r="K1186">
        <v>0</v>
      </c>
      <c r="L1186" t="s">
        <v>159</v>
      </c>
      <c r="N1186" t="s">
        <v>229</v>
      </c>
      <c r="O1186" t="s">
        <v>369</v>
      </c>
      <c r="P1186">
        <v>3.7657720965794602E-5</v>
      </c>
      <c r="Q1186" t="s">
        <v>159</v>
      </c>
      <c r="S1186" t="s">
        <v>271</v>
      </c>
      <c r="T1186" t="s">
        <v>369</v>
      </c>
      <c r="U1186">
        <v>8.6280778456232452E-7</v>
      </c>
      <c r="V1186" t="s">
        <v>159</v>
      </c>
    </row>
    <row r="1187" spans="9:22" x14ac:dyDescent="0.45">
      <c r="I1187" t="s">
        <v>186</v>
      </c>
      <c r="J1187" t="s">
        <v>165</v>
      </c>
      <c r="K1187">
        <v>0</v>
      </c>
      <c r="L1187" t="s">
        <v>159</v>
      </c>
      <c r="N1187" t="s">
        <v>229</v>
      </c>
      <c r="O1187" t="s">
        <v>165</v>
      </c>
      <c r="P1187">
        <v>2.4045407680398208E-2</v>
      </c>
      <c r="Q1187" t="s">
        <v>159</v>
      </c>
      <c r="S1187" t="s">
        <v>271</v>
      </c>
      <c r="T1187" t="s">
        <v>165</v>
      </c>
      <c r="U1187">
        <v>2.8262193942178687E-2</v>
      </c>
      <c r="V1187" t="s">
        <v>159</v>
      </c>
    </row>
    <row r="1188" spans="9:22" x14ac:dyDescent="0.45">
      <c r="I1188" t="s">
        <v>186</v>
      </c>
      <c r="J1188" t="s">
        <v>166</v>
      </c>
      <c r="K1188">
        <v>2.6194774744159191E-3</v>
      </c>
      <c r="L1188" t="s">
        <v>159</v>
      </c>
      <c r="N1188" t="s">
        <v>229</v>
      </c>
      <c r="O1188" t="s">
        <v>166</v>
      </c>
      <c r="P1188">
        <v>3.0736719104771533E-3</v>
      </c>
      <c r="Q1188" t="s">
        <v>159</v>
      </c>
      <c r="S1188" t="s">
        <v>271</v>
      </c>
      <c r="T1188" t="s">
        <v>166</v>
      </c>
      <c r="U1188">
        <v>3.8650236676063066E-3</v>
      </c>
      <c r="V1188" t="s">
        <v>159</v>
      </c>
    </row>
    <row r="1189" spans="9:22" x14ac:dyDescent="0.45">
      <c r="I1189" t="s">
        <v>186</v>
      </c>
      <c r="J1189" t="s">
        <v>167</v>
      </c>
      <c r="K1189">
        <v>4.8903338045697492E-2</v>
      </c>
      <c r="L1189" t="s">
        <v>159</v>
      </c>
      <c r="N1189" t="s">
        <v>229</v>
      </c>
      <c r="O1189" t="s">
        <v>167</v>
      </c>
      <c r="P1189">
        <v>2.242861816400166E-2</v>
      </c>
      <c r="Q1189" t="s">
        <v>159</v>
      </c>
      <c r="S1189" t="s">
        <v>271</v>
      </c>
      <c r="T1189" t="s">
        <v>167</v>
      </c>
      <c r="U1189">
        <v>3.9353090186513118E-2</v>
      </c>
      <c r="V1189" t="s">
        <v>159</v>
      </c>
    </row>
    <row r="1190" spans="9:22" x14ac:dyDescent="0.45">
      <c r="I1190" t="s">
        <v>186</v>
      </c>
      <c r="J1190" t="s">
        <v>291</v>
      </c>
      <c r="K1190">
        <v>3.7609018098626744E-3</v>
      </c>
      <c r="L1190" t="s">
        <v>159</v>
      </c>
      <c r="N1190" t="s">
        <v>229</v>
      </c>
      <c r="O1190" t="s">
        <v>291</v>
      </c>
      <c r="P1190">
        <v>2.3133190310071373E-3</v>
      </c>
      <c r="Q1190" t="s">
        <v>159</v>
      </c>
      <c r="S1190" t="s">
        <v>271</v>
      </c>
      <c r="T1190" t="s">
        <v>291</v>
      </c>
      <c r="U1190">
        <v>4.7449005495049223E-3</v>
      </c>
      <c r="V1190" t="s">
        <v>159</v>
      </c>
    </row>
    <row r="1191" spans="9:22" x14ac:dyDescent="0.45">
      <c r="I1191" t="s">
        <v>186</v>
      </c>
      <c r="J1191" t="s">
        <v>292</v>
      </c>
      <c r="K1191">
        <v>0</v>
      </c>
      <c r="L1191" t="s">
        <v>159</v>
      </c>
      <c r="N1191" t="s">
        <v>229</v>
      </c>
      <c r="O1191" t="s">
        <v>292</v>
      </c>
      <c r="P1191">
        <v>2.8327663774784882E-3</v>
      </c>
      <c r="Q1191" t="s">
        <v>159</v>
      </c>
      <c r="S1191" t="s">
        <v>271</v>
      </c>
      <c r="T1191" t="s">
        <v>292</v>
      </c>
      <c r="U1191">
        <v>4.6341616449047194E-3</v>
      </c>
      <c r="V1191" t="s">
        <v>159</v>
      </c>
    </row>
    <row r="1192" spans="9:22" x14ac:dyDescent="0.45">
      <c r="I1192" t="s">
        <v>186</v>
      </c>
      <c r="J1192" t="s">
        <v>310</v>
      </c>
      <c r="K1192">
        <v>0</v>
      </c>
      <c r="L1192" t="s">
        <v>159</v>
      </c>
      <c r="N1192" t="s">
        <v>229</v>
      </c>
      <c r="O1192" t="s">
        <v>310</v>
      </c>
      <c r="P1192">
        <v>1.8116434443316225E-2</v>
      </c>
      <c r="Q1192" t="s">
        <v>159</v>
      </c>
      <c r="S1192" t="s">
        <v>271</v>
      </c>
      <c r="T1192" t="s">
        <v>310</v>
      </c>
      <c r="U1192">
        <v>2.3062733971423957E-2</v>
      </c>
      <c r="V1192" t="s">
        <v>159</v>
      </c>
    </row>
    <row r="1193" spans="9:22" x14ac:dyDescent="0.45">
      <c r="I1193" t="s">
        <v>186</v>
      </c>
      <c r="J1193" t="s">
        <v>293</v>
      </c>
      <c r="K1193">
        <v>0</v>
      </c>
      <c r="L1193" t="s">
        <v>159</v>
      </c>
      <c r="N1193" t="s">
        <v>229</v>
      </c>
      <c r="O1193" t="s">
        <v>293</v>
      </c>
      <c r="P1193">
        <v>5.8256383659931873E-3</v>
      </c>
      <c r="Q1193" t="s">
        <v>159</v>
      </c>
      <c r="S1193" t="s">
        <v>271</v>
      </c>
      <c r="T1193" t="s">
        <v>293</v>
      </c>
      <c r="U1193">
        <v>3.1538263558586899E-3</v>
      </c>
      <c r="V1193" t="s">
        <v>159</v>
      </c>
    </row>
    <row r="1194" spans="9:22" x14ac:dyDescent="0.45">
      <c r="I1194" t="s">
        <v>186</v>
      </c>
      <c r="J1194" t="s">
        <v>294</v>
      </c>
      <c r="K1194">
        <v>1.0402130591950689E-3</v>
      </c>
      <c r="L1194" t="s">
        <v>159</v>
      </c>
      <c r="N1194" t="s">
        <v>229</v>
      </c>
      <c r="O1194" t="s">
        <v>294</v>
      </c>
      <c r="P1194">
        <v>6.4645339398603245E-4</v>
      </c>
      <c r="Q1194" t="s">
        <v>159</v>
      </c>
      <c r="S1194" t="s">
        <v>271</v>
      </c>
      <c r="T1194" t="s">
        <v>294</v>
      </c>
      <c r="U1194">
        <v>5.1166612445598851E-4</v>
      </c>
      <c r="V1194" t="s">
        <v>159</v>
      </c>
    </row>
    <row r="1195" spans="9:22" x14ac:dyDescent="0.45">
      <c r="I1195" t="s">
        <v>186</v>
      </c>
      <c r="J1195" t="s">
        <v>295</v>
      </c>
      <c r="K1195">
        <v>1.5188111059187472E-2</v>
      </c>
      <c r="L1195" t="s">
        <v>159</v>
      </c>
      <c r="N1195" t="s">
        <v>229</v>
      </c>
      <c r="O1195" t="s">
        <v>295</v>
      </c>
      <c r="P1195">
        <v>6.2221824626303183E-3</v>
      </c>
      <c r="Q1195" t="s">
        <v>159</v>
      </c>
      <c r="S1195" t="s">
        <v>271</v>
      </c>
      <c r="T1195" t="s">
        <v>295</v>
      </c>
      <c r="U1195">
        <v>5.5421543843112838E-3</v>
      </c>
      <c r="V1195" t="s">
        <v>159</v>
      </c>
    </row>
    <row r="1196" spans="9:22" x14ac:dyDescent="0.45">
      <c r="I1196" t="s">
        <v>186</v>
      </c>
      <c r="J1196" t="s">
        <v>296</v>
      </c>
      <c r="K1196">
        <v>1.1779940049577095E-3</v>
      </c>
      <c r="L1196" t="s">
        <v>159</v>
      </c>
      <c r="N1196" t="s">
        <v>229</v>
      </c>
      <c r="O1196" t="s">
        <v>296</v>
      </c>
      <c r="P1196">
        <v>1.104112538925681E-3</v>
      </c>
      <c r="Q1196" t="s">
        <v>159</v>
      </c>
      <c r="S1196" t="s">
        <v>271</v>
      </c>
      <c r="T1196" t="s">
        <v>296</v>
      </c>
      <c r="U1196">
        <v>5.8507205429794869E-4</v>
      </c>
      <c r="V1196" t="s">
        <v>159</v>
      </c>
    </row>
    <row r="1197" spans="9:22" x14ac:dyDescent="0.45">
      <c r="I1197" t="s">
        <v>186</v>
      </c>
      <c r="J1197" t="s">
        <v>297</v>
      </c>
      <c r="K1197">
        <v>0</v>
      </c>
      <c r="L1197" t="s">
        <v>159</v>
      </c>
      <c r="N1197" t="s">
        <v>229</v>
      </c>
      <c r="O1197" t="s">
        <v>297</v>
      </c>
      <c r="P1197">
        <v>1.3119493405759968E-3</v>
      </c>
      <c r="Q1197" t="s">
        <v>159</v>
      </c>
      <c r="S1197" t="s">
        <v>271</v>
      </c>
      <c r="T1197" t="s">
        <v>297</v>
      </c>
      <c r="U1197">
        <v>4.702437032983234E-4</v>
      </c>
      <c r="V1197" t="s">
        <v>159</v>
      </c>
    </row>
    <row r="1198" spans="9:22" x14ac:dyDescent="0.45">
      <c r="I1198" t="s">
        <v>186</v>
      </c>
      <c r="J1198" t="s">
        <v>311</v>
      </c>
      <c r="K1198">
        <v>0</v>
      </c>
      <c r="L1198" t="s">
        <v>159</v>
      </c>
      <c r="N1198" t="s">
        <v>229</v>
      </c>
      <c r="O1198" t="s">
        <v>311</v>
      </c>
      <c r="P1198">
        <v>7.3528793011077452E-3</v>
      </c>
      <c r="Q1198" t="s">
        <v>159</v>
      </c>
      <c r="S1198" t="s">
        <v>271</v>
      </c>
      <c r="T1198" t="s">
        <v>311</v>
      </c>
      <c r="U1198">
        <v>1.5297918761242003E-3</v>
      </c>
      <c r="V1198" t="s">
        <v>159</v>
      </c>
    </row>
    <row r="1199" spans="9:22" x14ac:dyDescent="0.45">
      <c r="I1199" t="s">
        <v>186</v>
      </c>
      <c r="J1199" t="s">
        <v>298</v>
      </c>
      <c r="K1199">
        <v>1.4991713984427175E-2</v>
      </c>
      <c r="L1199" t="s">
        <v>159</v>
      </c>
      <c r="N1199" t="s">
        <v>229</v>
      </c>
      <c r="O1199" t="s">
        <v>298</v>
      </c>
      <c r="P1199">
        <v>9.6929153229809162E-2</v>
      </c>
      <c r="Q1199" t="s">
        <v>159</v>
      </c>
      <c r="S1199" t="s">
        <v>271</v>
      </c>
      <c r="T1199" t="s">
        <v>298</v>
      </c>
      <c r="U1199">
        <v>7.7109239879170191E-2</v>
      </c>
      <c r="V1199" t="s">
        <v>159</v>
      </c>
    </row>
    <row r="1200" spans="9:22" x14ac:dyDescent="0.45">
      <c r="I1200" t="s">
        <v>186</v>
      </c>
      <c r="J1200" t="s">
        <v>299</v>
      </c>
      <c r="K1200">
        <v>2.0557286423088839E-2</v>
      </c>
      <c r="L1200" t="s">
        <v>159</v>
      </c>
      <c r="N1200" t="s">
        <v>229</v>
      </c>
      <c r="O1200" t="s">
        <v>299</v>
      </c>
      <c r="P1200">
        <v>1.2765531267600903E-2</v>
      </c>
      <c r="Q1200" t="s">
        <v>159</v>
      </c>
      <c r="S1200" t="s">
        <v>271</v>
      </c>
      <c r="T1200" t="s">
        <v>299</v>
      </c>
      <c r="U1200">
        <v>1.041909610949591E-2</v>
      </c>
      <c r="V1200" t="s">
        <v>159</v>
      </c>
    </row>
    <row r="1201" spans="9:22" x14ac:dyDescent="0.45">
      <c r="I1201" t="s">
        <v>186</v>
      </c>
      <c r="J1201" t="s">
        <v>300</v>
      </c>
      <c r="K1201">
        <v>0.24805737902954109</v>
      </c>
      <c r="L1201" t="s">
        <v>159</v>
      </c>
      <c r="N1201" t="s">
        <v>229</v>
      </c>
      <c r="O1201" t="s">
        <v>300</v>
      </c>
      <c r="P1201">
        <v>9.5221045871216811E-2</v>
      </c>
      <c r="Q1201" t="s">
        <v>159</v>
      </c>
      <c r="S1201" t="s">
        <v>271</v>
      </c>
      <c r="T1201" t="s">
        <v>300</v>
      </c>
      <c r="U1201">
        <v>0.1156158336202</v>
      </c>
      <c r="V1201" t="s">
        <v>159</v>
      </c>
    </row>
    <row r="1202" spans="9:22" x14ac:dyDescent="0.45">
      <c r="I1202" t="s">
        <v>186</v>
      </c>
      <c r="J1202" t="s">
        <v>301</v>
      </c>
      <c r="K1202">
        <v>1.9210193604979203E-2</v>
      </c>
      <c r="L1202" t="s">
        <v>159</v>
      </c>
      <c r="N1202" t="s">
        <v>229</v>
      </c>
      <c r="O1202" t="s">
        <v>301</v>
      </c>
      <c r="P1202">
        <v>1.2802125438564521E-2</v>
      </c>
      <c r="Q1202" t="s">
        <v>159</v>
      </c>
      <c r="S1202" t="s">
        <v>271</v>
      </c>
      <c r="T1202" t="s">
        <v>301</v>
      </c>
      <c r="U1202">
        <v>1.3665358591520297E-2</v>
      </c>
      <c r="V1202" t="s">
        <v>159</v>
      </c>
    </row>
    <row r="1203" spans="9:22" x14ac:dyDescent="0.45">
      <c r="I1203" t="s">
        <v>186</v>
      </c>
      <c r="J1203" t="s">
        <v>302</v>
      </c>
      <c r="K1203">
        <v>7.1723865647835994E-3</v>
      </c>
      <c r="L1203" t="s">
        <v>159</v>
      </c>
      <c r="N1203" t="s">
        <v>229</v>
      </c>
      <c r="O1203" t="s">
        <v>302</v>
      </c>
      <c r="P1203">
        <v>1.5796327810019335E-2</v>
      </c>
      <c r="Q1203" t="s">
        <v>159</v>
      </c>
      <c r="S1203" t="s">
        <v>271</v>
      </c>
      <c r="T1203" t="s">
        <v>302</v>
      </c>
      <c r="U1203">
        <v>1.2970855583179746E-2</v>
      </c>
      <c r="V1203" t="s">
        <v>159</v>
      </c>
    </row>
    <row r="1204" spans="9:22" x14ac:dyDescent="0.45">
      <c r="I1204" t="s">
        <v>186</v>
      </c>
      <c r="J1204" t="s">
        <v>312</v>
      </c>
      <c r="K1204">
        <v>0</v>
      </c>
      <c r="L1204" t="s">
        <v>159</v>
      </c>
      <c r="N1204" t="s">
        <v>229</v>
      </c>
      <c r="O1204" t="s">
        <v>312</v>
      </c>
      <c r="P1204">
        <v>0.10158723612386653</v>
      </c>
      <c r="Q1204" t="s">
        <v>159</v>
      </c>
      <c r="S1204" t="s">
        <v>271</v>
      </c>
      <c r="T1204" t="s">
        <v>312</v>
      </c>
      <c r="U1204">
        <v>6.0519686385080727E-2</v>
      </c>
      <c r="V1204" t="s">
        <v>159</v>
      </c>
    </row>
    <row r="1205" spans="9:22" x14ac:dyDescent="0.45">
      <c r="I1205" t="s">
        <v>186</v>
      </c>
      <c r="J1205" t="s">
        <v>313</v>
      </c>
      <c r="K1205">
        <v>8.5141239025207493E-3</v>
      </c>
      <c r="L1205" t="s">
        <v>159</v>
      </c>
      <c r="N1205" t="s">
        <v>229</v>
      </c>
      <c r="O1205" t="s">
        <v>313</v>
      </c>
      <c r="P1205">
        <v>2.3662721782336544E-2</v>
      </c>
      <c r="Q1205" t="s">
        <v>159</v>
      </c>
      <c r="S1205" t="s">
        <v>271</v>
      </c>
      <c r="T1205" t="s">
        <v>313</v>
      </c>
      <c r="U1205">
        <v>1.8073490827414239E-2</v>
      </c>
      <c r="V1205" t="s">
        <v>159</v>
      </c>
    </row>
    <row r="1206" spans="9:22" x14ac:dyDescent="0.45">
      <c r="I1206" t="s">
        <v>186</v>
      </c>
      <c r="J1206" t="s">
        <v>314</v>
      </c>
      <c r="K1206">
        <v>7.7267741305822408E-3</v>
      </c>
      <c r="L1206" t="s">
        <v>159</v>
      </c>
      <c r="N1206" t="s">
        <v>229</v>
      </c>
      <c r="O1206" t="s">
        <v>314</v>
      </c>
      <c r="P1206">
        <v>2.945657446405747E-3</v>
      </c>
      <c r="Q1206" t="s">
        <v>159</v>
      </c>
      <c r="S1206" t="s">
        <v>271</v>
      </c>
      <c r="T1206" t="s">
        <v>314</v>
      </c>
      <c r="U1206">
        <v>2.428471042454243E-3</v>
      </c>
      <c r="V1206" t="s">
        <v>159</v>
      </c>
    </row>
    <row r="1207" spans="9:22" x14ac:dyDescent="0.45">
      <c r="I1207" t="s">
        <v>186</v>
      </c>
      <c r="J1207" t="s">
        <v>315</v>
      </c>
      <c r="K1207">
        <v>8.8705025666241416E-2</v>
      </c>
      <c r="L1207" t="s">
        <v>159</v>
      </c>
      <c r="N1207" t="s">
        <v>229</v>
      </c>
      <c r="O1207" t="s">
        <v>315</v>
      </c>
      <c r="P1207">
        <v>2.4511035308358207E-2</v>
      </c>
      <c r="Q1207" t="s">
        <v>159</v>
      </c>
      <c r="S1207" t="s">
        <v>271</v>
      </c>
      <c r="T1207" t="s">
        <v>315</v>
      </c>
      <c r="U1207">
        <v>3.400111691496556E-2</v>
      </c>
      <c r="V1207" t="s">
        <v>159</v>
      </c>
    </row>
    <row r="1208" spans="9:22" x14ac:dyDescent="0.45">
      <c r="I1208" t="s">
        <v>186</v>
      </c>
      <c r="J1208" t="s">
        <v>316</v>
      </c>
      <c r="K1208">
        <v>7.5367583356093617E-3</v>
      </c>
      <c r="L1208" t="s">
        <v>159</v>
      </c>
      <c r="N1208" t="s">
        <v>229</v>
      </c>
      <c r="O1208" t="s">
        <v>316</v>
      </c>
      <c r="P1208">
        <v>3.4426938703638449E-3</v>
      </c>
      <c r="Q1208" t="s">
        <v>159</v>
      </c>
      <c r="S1208" t="s">
        <v>271</v>
      </c>
      <c r="T1208" t="s">
        <v>316</v>
      </c>
      <c r="U1208">
        <v>4.2720154533662539E-3</v>
      </c>
      <c r="V1208" t="s">
        <v>159</v>
      </c>
    </row>
    <row r="1209" spans="9:22" x14ac:dyDescent="0.45">
      <c r="I1209" t="s">
        <v>186</v>
      </c>
      <c r="J1209" t="s">
        <v>317</v>
      </c>
      <c r="K1209">
        <v>5.4507150017798394E-3</v>
      </c>
      <c r="L1209" t="s">
        <v>159</v>
      </c>
      <c r="N1209" t="s">
        <v>229</v>
      </c>
      <c r="O1209" t="s">
        <v>317</v>
      </c>
      <c r="P1209">
        <v>3.5878693580381964E-3</v>
      </c>
      <c r="Q1209" t="s">
        <v>159</v>
      </c>
      <c r="S1209" t="s">
        <v>271</v>
      </c>
      <c r="T1209" t="s">
        <v>317</v>
      </c>
      <c r="U1209">
        <v>3.8613527463319886E-3</v>
      </c>
      <c r="V1209" t="s">
        <v>159</v>
      </c>
    </row>
    <row r="1210" spans="9:22" x14ac:dyDescent="0.45">
      <c r="I1210" t="s">
        <v>186</v>
      </c>
      <c r="J1210" t="s">
        <v>318</v>
      </c>
      <c r="K1210">
        <v>1.0258970037592568E-3</v>
      </c>
      <c r="L1210" t="s">
        <v>159</v>
      </c>
      <c r="N1210" t="s">
        <v>229</v>
      </c>
      <c r="O1210" t="s">
        <v>318</v>
      </c>
      <c r="P1210">
        <v>2.0325110636628226E-2</v>
      </c>
      <c r="Q1210" t="s">
        <v>159</v>
      </c>
      <c r="S1210" t="s">
        <v>271</v>
      </c>
      <c r="T1210" t="s">
        <v>318</v>
      </c>
      <c r="U1210">
        <v>1.6149206431713057E-2</v>
      </c>
      <c r="V1210" t="s">
        <v>159</v>
      </c>
    </row>
    <row r="1211" spans="9:22" x14ac:dyDescent="0.45">
      <c r="I1211" t="s">
        <v>187</v>
      </c>
      <c r="J1211" t="s">
        <v>158</v>
      </c>
      <c r="K1211">
        <v>1.0224195528533856E-2</v>
      </c>
      <c r="L1211" t="s">
        <v>159</v>
      </c>
      <c r="N1211" t="s">
        <v>230</v>
      </c>
      <c r="O1211" t="s">
        <v>158</v>
      </c>
      <c r="P1211">
        <v>0.13455471291677651</v>
      </c>
      <c r="Q1211" t="s">
        <v>159</v>
      </c>
    </row>
    <row r="1212" spans="9:22" x14ac:dyDescent="0.45">
      <c r="I1212" t="s">
        <v>187</v>
      </c>
      <c r="J1212" t="s">
        <v>160</v>
      </c>
      <c r="K1212">
        <v>2.7717811703631384E-2</v>
      </c>
      <c r="L1212" t="s">
        <v>159</v>
      </c>
      <c r="N1212" t="s">
        <v>230</v>
      </c>
      <c r="O1212" t="s">
        <v>160</v>
      </c>
      <c r="P1212">
        <v>1.6284976062893371E-2</v>
      </c>
      <c r="Q1212" t="s">
        <v>159</v>
      </c>
    </row>
    <row r="1213" spans="9:22" x14ac:dyDescent="0.45">
      <c r="I1213" t="s">
        <v>187</v>
      </c>
      <c r="J1213" t="s">
        <v>161</v>
      </c>
      <c r="K1213">
        <v>0.37484167884194758</v>
      </c>
      <c r="L1213" t="s">
        <v>159</v>
      </c>
      <c r="N1213" t="s">
        <v>230</v>
      </c>
      <c r="O1213" t="s">
        <v>161</v>
      </c>
      <c r="P1213">
        <v>0.12950200890060726</v>
      </c>
      <c r="Q1213" t="s">
        <v>159</v>
      </c>
    </row>
    <row r="1214" spans="9:22" x14ac:dyDescent="0.45">
      <c r="I1214" t="s">
        <v>187</v>
      </c>
      <c r="J1214" t="s">
        <v>287</v>
      </c>
      <c r="K1214">
        <v>2.9764676975113549E-2</v>
      </c>
      <c r="L1214" t="s">
        <v>159</v>
      </c>
      <c r="N1214" t="s">
        <v>230</v>
      </c>
      <c r="O1214" t="s">
        <v>287</v>
      </c>
      <c r="P1214">
        <v>1.8032567932677851E-2</v>
      </c>
      <c r="Q1214" t="s">
        <v>159</v>
      </c>
    </row>
    <row r="1215" spans="9:22" x14ac:dyDescent="0.45">
      <c r="I1215" t="s">
        <v>187</v>
      </c>
      <c r="J1215" t="s">
        <v>288</v>
      </c>
      <c r="K1215">
        <v>1.6792419504518978E-2</v>
      </c>
      <c r="L1215" t="s">
        <v>159</v>
      </c>
      <c r="N1215" t="s">
        <v>230</v>
      </c>
      <c r="O1215" t="s">
        <v>288</v>
      </c>
      <c r="P1215">
        <v>2.1663445184528861E-2</v>
      </c>
      <c r="Q1215" t="s">
        <v>159</v>
      </c>
    </row>
    <row r="1216" spans="9:22" x14ac:dyDescent="0.45">
      <c r="I1216" t="s">
        <v>187</v>
      </c>
      <c r="J1216" t="s">
        <v>308</v>
      </c>
      <c r="K1216">
        <v>4.2095368953274778E-3</v>
      </c>
      <c r="L1216" t="s">
        <v>159</v>
      </c>
      <c r="N1216" t="s">
        <v>230</v>
      </c>
      <c r="O1216" t="s">
        <v>308</v>
      </c>
      <c r="P1216">
        <v>0.12816721560586186</v>
      </c>
      <c r="Q1216" t="s">
        <v>159</v>
      </c>
    </row>
    <row r="1217" spans="9:17" x14ac:dyDescent="0.45">
      <c r="I1217" t="s">
        <v>187</v>
      </c>
      <c r="J1217" t="s">
        <v>162</v>
      </c>
      <c r="K1217">
        <v>0</v>
      </c>
      <c r="L1217" t="s">
        <v>159</v>
      </c>
      <c r="N1217" t="s">
        <v>230</v>
      </c>
      <c r="O1217" t="s">
        <v>162</v>
      </c>
      <c r="P1217">
        <v>2.1291265217102742E-2</v>
      </c>
      <c r="Q1217" t="s">
        <v>159</v>
      </c>
    </row>
    <row r="1218" spans="9:17" x14ac:dyDescent="0.45">
      <c r="I1218" t="s">
        <v>187</v>
      </c>
      <c r="J1218" t="s">
        <v>163</v>
      </c>
      <c r="K1218">
        <v>0</v>
      </c>
      <c r="L1218" t="s">
        <v>159</v>
      </c>
      <c r="N1218" t="s">
        <v>230</v>
      </c>
      <c r="O1218" t="s">
        <v>163</v>
      </c>
      <c r="P1218">
        <v>2.666312133324431E-3</v>
      </c>
      <c r="Q1218" t="s">
        <v>159</v>
      </c>
    </row>
    <row r="1219" spans="9:17" x14ac:dyDescent="0.45">
      <c r="I1219" t="s">
        <v>187</v>
      </c>
      <c r="J1219" t="s">
        <v>164</v>
      </c>
      <c r="K1219">
        <v>3.632519874984147E-2</v>
      </c>
      <c r="L1219" t="s">
        <v>159</v>
      </c>
      <c r="N1219" t="s">
        <v>230</v>
      </c>
      <c r="O1219" t="s">
        <v>164</v>
      </c>
      <c r="P1219">
        <v>1.5389677568910657E-2</v>
      </c>
      <c r="Q1219" t="s">
        <v>159</v>
      </c>
    </row>
    <row r="1220" spans="9:17" x14ac:dyDescent="0.45">
      <c r="I1220" t="s">
        <v>187</v>
      </c>
      <c r="J1220" t="s">
        <v>289</v>
      </c>
      <c r="K1220">
        <v>1.9722346529693186E-3</v>
      </c>
      <c r="L1220" t="s">
        <v>159</v>
      </c>
      <c r="N1220" t="s">
        <v>230</v>
      </c>
      <c r="O1220" t="s">
        <v>289</v>
      </c>
      <c r="P1220">
        <v>1.9507770034035818E-3</v>
      </c>
      <c r="Q1220" t="s">
        <v>159</v>
      </c>
    </row>
    <row r="1221" spans="9:17" x14ac:dyDescent="0.45">
      <c r="I1221" t="s">
        <v>187</v>
      </c>
      <c r="J1221" t="s">
        <v>290</v>
      </c>
      <c r="K1221">
        <v>0</v>
      </c>
      <c r="L1221" t="s">
        <v>159</v>
      </c>
      <c r="N1221" t="s">
        <v>230</v>
      </c>
      <c r="O1221" t="s">
        <v>290</v>
      </c>
      <c r="P1221">
        <v>2.7808196313641254E-3</v>
      </c>
      <c r="Q1221" t="s">
        <v>159</v>
      </c>
    </row>
    <row r="1222" spans="9:17" x14ac:dyDescent="0.45">
      <c r="I1222" t="s">
        <v>187</v>
      </c>
      <c r="J1222" t="s">
        <v>309</v>
      </c>
      <c r="K1222">
        <v>0</v>
      </c>
      <c r="L1222" t="s">
        <v>159</v>
      </c>
      <c r="N1222" t="s">
        <v>230</v>
      </c>
      <c r="O1222" t="s">
        <v>309</v>
      </c>
      <c r="P1222">
        <v>1.6752953958074343E-2</v>
      </c>
      <c r="Q1222" t="s">
        <v>159</v>
      </c>
    </row>
    <row r="1223" spans="9:17" x14ac:dyDescent="0.45">
      <c r="I1223" t="s">
        <v>187</v>
      </c>
      <c r="J1223" t="s">
        <v>346</v>
      </c>
      <c r="K1223">
        <v>0</v>
      </c>
      <c r="L1223" t="s">
        <v>159</v>
      </c>
      <c r="N1223" t="s">
        <v>230</v>
      </c>
      <c r="O1223" t="s">
        <v>346</v>
      </c>
      <c r="P1223">
        <v>1.8465566441604915E-5</v>
      </c>
      <c r="Q1223" t="s">
        <v>159</v>
      </c>
    </row>
    <row r="1224" spans="9:17" x14ac:dyDescent="0.45">
      <c r="I1224" t="s">
        <v>187</v>
      </c>
      <c r="J1224" t="s">
        <v>347</v>
      </c>
      <c r="K1224">
        <v>0</v>
      </c>
      <c r="L1224" t="s">
        <v>159</v>
      </c>
      <c r="N1224" t="s">
        <v>230</v>
      </c>
      <c r="O1224" t="s">
        <v>347</v>
      </c>
      <c r="P1224">
        <v>2.2900533325587687E-5</v>
      </c>
      <c r="Q1224" t="s">
        <v>159</v>
      </c>
    </row>
    <row r="1225" spans="9:17" x14ac:dyDescent="0.45">
      <c r="I1225" t="s">
        <v>187</v>
      </c>
      <c r="J1225" t="s">
        <v>348</v>
      </c>
      <c r="K1225">
        <v>0</v>
      </c>
      <c r="L1225" t="s">
        <v>159</v>
      </c>
      <c r="N1225" t="s">
        <v>230</v>
      </c>
      <c r="O1225" t="s">
        <v>348</v>
      </c>
      <c r="P1225">
        <v>2.7852139228938888E-5</v>
      </c>
      <c r="Q1225" t="s">
        <v>159</v>
      </c>
    </row>
    <row r="1226" spans="9:17" x14ac:dyDescent="0.45">
      <c r="I1226" t="s">
        <v>187</v>
      </c>
      <c r="J1226" t="s">
        <v>349</v>
      </c>
      <c r="K1226">
        <v>0</v>
      </c>
      <c r="L1226" t="s">
        <v>159</v>
      </c>
      <c r="N1226" t="s">
        <v>230</v>
      </c>
      <c r="O1226" t="s">
        <v>349</v>
      </c>
      <c r="P1226">
        <v>2.6766092232243782E-5</v>
      </c>
      <c r="Q1226" t="s">
        <v>159</v>
      </c>
    </row>
    <row r="1227" spans="9:17" x14ac:dyDescent="0.45">
      <c r="I1227" t="s">
        <v>187</v>
      </c>
      <c r="J1227" t="s">
        <v>350</v>
      </c>
      <c r="K1227">
        <v>0</v>
      </c>
      <c r="L1227" t="s">
        <v>159</v>
      </c>
      <c r="N1227" t="s">
        <v>230</v>
      </c>
      <c r="O1227" t="s">
        <v>350</v>
      </c>
      <c r="P1227">
        <v>2.0504697853704215E-5</v>
      </c>
      <c r="Q1227" t="s">
        <v>159</v>
      </c>
    </row>
    <row r="1228" spans="9:17" x14ac:dyDescent="0.45">
      <c r="I1228" t="s">
        <v>187</v>
      </c>
      <c r="J1228" t="s">
        <v>351</v>
      </c>
      <c r="K1228">
        <v>0</v>
      </c>
      <c r="L1228" t="s">
        <v>159</v>
      </c>
      <c r="N1228" t="s">
        <v>230</v>
      </c>
      <c r="O1228" t="s">
        <v>351</v>
      </c>
      <c r="P1228">
        <v>1.1637120924519447E-5</v>
      </c>
      <c r="Q1228" t="s">
        <v>159</v>
      </c>
    </row>
    <row r="1229" spans="9:17" x14ac:dyDescent="0.45">
      <c r="I1229" t="s">
        <v>187</v>
      </c>
      <c r="J1229" t="s">
        <v>352</v>
      </c>
      <c r="K1229">
        <v>0</v>
      </c>
      <c r="L1229" t="s">
        <v>159</v>
      </c>
      <c r="N1229" t="s">
        <v>230</v>
      </c>
      <c r="O1229" t="s">
        <v>352</v>
      </c>
      <c r="P1229">
        <v>4.6749065499122433E-6</v>
      </c>
      <c r="Q1229" t="s">
        <v>159</v>
      </c>
    </row>
    <row r="1230" spans="9:17" x14ac:dyDescent="0.45">
      <c r="I1230" t="s">
        <v>187</v>
      </c>
      <c r="J1230" t="s">
        <v>353</v>
      </c>
      <c r="K1230">
        <v>0</v>
      </c>
      <c r="L1230" t="s">
        <v>159</v>
      </c>
      <c r="N1230" t="s">
        <v>230</v>
      </c>
      <c r="O1230" t="s">
        <v>353</v>
      </c>
      <c r="P1230">
        <v>2.6468354242106151E-6</v>
      </c>
      <c r="Q1230" t="s">
        <v>159</v>
      </c>
    </row>
    <row r="1231" spans="9:17" x14ac:dyDescent="0.45">
      <c r="I1231" t="s">
        <v>187</v>
      </c>
      <c r="J1231" t="s">
        <v>354</v>
      </c>
      <c r="K1231">
        <v>1.7184301858521182E-4</v>
      </c>
      <c r="L1231" t="s">
        <v>159</v>
      </c>
      <c r="N1231" t="s">
        <v>230</v>
      </c>
      <c r="O1231" t="s">
        <v>354</v>
      </c>
      <c r="P1231">
        <v>8.1012502909497032E-7</v>
      </c>
      <c r="Q1231" t="s">
        <v>159</v>
      </c>
    </row>
    <row r="1232" spans="9:17" x14ac:dyDescent="0.45">
      <c r="I1232" t="s">
        <v>187</v>
      </c>
      <c r="J1232" t="s">
        <v>355</v>
      </c>
      <c r="K1232">
        <v>1.7817069238602157E-4</v>
      </c>
      <c r="L1232" t="s">
        <v>159</v>
      </c>
      <c r="N1232" t="s">
        <v>230</v>
      </c>
      <c r="O1232" t="s">
        <v>355</v>
      </c>
      <c r="P1232">
        <v>0</v>
      </c>
      <c r="Q1232" t="s">
        <v>159</v>
      </c>
    </row>
    <row r="1233" spans="9:17" x14ac:dyDescent="0.45">
      <c r="I1233" t="s">
        <v>187</v>
      </c>
      <c r="J1233" t="s">
        <v>356</v>
      </c>
      <c r="K1233">
        <v>1.5893945208168345E-4</v>
      </c>
      <c r="L1233" t="s">
        <v>159</v>
      </c>
      <c r="N1233" t="s">
        <v>230</v>
      </c>
      <c r="O1233" t="s">
        <v>356</v>
      </c>
      <c r="P1233">
        <v>1.6593753801585649E-8</v>
      </c>
      <c r="Q1233" t="s">
        <v>159</v>
      </c>
    </row>
    <row r="1234" spans="9:17" x14ac:dyDescent="0.45">
      <c r="I1234" t="s">
        <v>187</v>
      </c>
      <c r="J1234" t="s">
        <v>357</v>
      </c>
      <c r="K1234">
        <v>1.6894824096836238E-4</v>
      </c>
      <c r="L1234" t="s">
        <v>159</v>
      </c>
      <c r="N1234" t="s">
        <v>230</v>
      </c>
      <c r="O1234" t="s">
        <v>357</v>
      </c>
      <c r="P1234">
        <v>7.5202974032755439E-8</v>
      </c>
      <c r="Q1234" t="s">
        <v>159</v>
      </c>
    </row>
    <row r="1235" spans="9:17" x14ac:dyDescent="0.45">
      <c r="I1235" t="s">
        <v>187</v>
      </c>
      <c r="J1235" t="s">
        <v>358</v>
      </c>
      <c r="K1235">
        <v>2.1960883354843279E-4</v>
      </c>
      <c r="L1235" t="s">
        <v>159</v>
      </c>
      <c r="N1235" t="s">
        <v>230</v>
      </c>
      <c r="O1235" t="s">
        <v>358</v>
      </c>
      <c r="P1235">
        <v>1.2451179697843812E-7</v>
      </c>
      <c r="Q1235" t="s">
        <v>159</v>
      </c>
    </row>
    <row r="1236" spans="9:17" x14ac:dyDescent="0.45">
      <c r="I1236" t="s">
        <v>187</v>
      </c>
      <c r="J1236" t="s">
        <v>359</v>
      </c>
      <c r="K1236">
        <v>1.7812453376664798E-4</v>
      </c>
      <c r="L1236" t="s">
        <v>159</v>
      </c>
      <c r="N1236" t="s">
        <v>230</v>
      </c>
      <c r="O1236" t="s">
        <v>359</v>
      </c>
      <c r="P1236">
        <v>1.4560425712825618E-6</v>
      </c>
      <c r="Q1236" t="s">
        <v>159</v>
      </c>
    </row>
    <row r="1237" spans="9:17" x14ac:dyDescent="0.45">
      <c r="I1237" t="s">
        <v>187</v>
      </c>
      <c r="J1237" t="s">
        <v>360</v>
      </c>
      <c r="K1237">
        <v>1.5179337340725943E-4</v>
      </c>
      <c r="L1237" t="s">
        <v>159</v>
      </c>
      <c r="N1237" t="s">
        <v>230</v>
      </c>
      <c r="O1237" t="s">
        <v>360</v>
      </c>
      <c r="P1237">
        <v>5.0385343869358868E-6</v>
      </c>
      <c r="Q1237" t="s">
        <v>159</v>
      </c>
    </row>
    <row r="1238" spans="9:17" x14ac:dyDescent="0.45">
      <c r="I1238" t="s">
        <v>187</v>
      </c>
      <c r="J1238" t="s">
        <v>361</v>
      </c>
      <c r="K1238">
        <v>1.5233875067893621E-4</v>
      </c>
      <c r="L1238" t="s">
        <v>159</v>
      </c>
      <c r="N1238" t="s">
        <v>230</v>
      </c>
      <c r="O1238" t="s">
        <v>361</v>
      </c>
      <c r="P1238">
        <v>9.2089012528784324E-6</v>
      </c>
      <c r="Q1238" t="s">
        <v>159</v>
      </c>
    </row>
    <row r="1239" spans="9:17" x14ac:dyDescent="0.45">
      <c r="I1239" t="s">
        <v>187</v>
      </c>
      <c r="J1239" t="s">
        <v>362</v>
      </c>
      <c r="K1239">
        <v>1.3376221186326966E-4</v>
      </c>
      <c r="L1239" t="s">
        <v>159</v>
      </c>
      <c r="N1239" t="s">
        <v>230</v>
      </c>
      <c r="O1239" t="s">
        <v>362</v>
      </c>
      <c r="P1239">
        <v>1.2918106072931499E-5</v>
      </c>
      <c r="Q1239" t="s">
        <v>159</v>
      </c>
    </row>
    <row r="1240" spans="9:17" x14ac:dyDescent="0.45">
      <c r="I1240" t="s">
        <v>187</v>
      </c>
      <c r="J1240" t="s">
        <v>363</v>
      </c>
      <c r="K1240">
        <v>6.3191723864922727E-5</v>
      </c>
      <c r="L1240" t="s">
        <v>159</v>
      </c>
      <c r="N1240" t="s">
        <v>230</v>
      </c>
      <c r="O1240" t="s">
        <v>363</v>
      </c>
      <c r="P1240">
        <v>3.0643904084487109E-5</v>
      </c>
      <c r="Q1240" t="s">
        <v>159</v>
      </c>
    </row>
    <row r="1241" spans="9:17" x14ac:dyDescent="0.45">
      <c r="I1241" t="s">
        <v>187</v>
      </c>
      <c r="J1241" t="s">
        <v>364</v>
      </c>
      <c r="K1241">
        <v>0</v>
      </c>
      <c r="L1241" t="s">
        <v>159</v>
      </c>
      <c r="N1241" t="s">
        <v>230</v>
      </c>
      <c r="O1241" t="s">
        <v>364</v>
      </c>
      <c r="P1241">
        <v>5.5400120534188145E-5</v>
      </c>
      <c r="Q1241" t="s">
        <v>159</v>
      </c>
    </row>
    <row r="1242" spans="9:17" x14ac:dyDescent="0.45">
      <c r="I1242" t="s">
        <v>187</v>
      </c>
      <c r="J1242" t="s">
        <v>365</v>
      </c>
      <c r="K1242">
        <v>0</v>
      </c>
      <c r="L1242" t="s">
        <v>159</v>
      </c>
      <c r="N1242" t="s">
        <v>230</v>
      </c>
      <c r="O1242" t="s">
        <v>365</v>
      </c>
      <c r="P1242">
        <v>6.8819612284364804E-5</v>
      </c>
      <c r="Q1242" t="s">
        <v>159</v>
      </c>
    </row>
    <row r="1243" spans="9:17" x14ac:dyDescent="0.45">
      <c r="I1243" t="s">
        <v>187</v>
      </c>
      <c r="J1243" t="s">
        <v>366</v>
      </c>
      <c r="K1243">
        <v>0</v>
      </c>
      <c r="L1243" t="s">
        <v>159</v>
      </c>
      <c r="N1243" t="s">
        <v>230</v>
      </c>
      <c r="O1243" t="s">
        <v>366</v>
      </c>
      <c r="P1243">
        <v>6.1657690078902979E-5</v>
      </c>
      <c r="Q1243" t="s">
        <v>159</v>
      </c>
    </row>
    <row r="1244" spans="9:17" x14ac:dyDescent="0.45">
      <c r="I1244" t="s">
        <v>187</v>
      </c>
      <c r="J1244" t="s">
        <v>367</v>
      </c>
      <c r="K1244">
        <v>0</v>
      </c>
      <c r="L1244" t="s">
        <v>159</v>
      </c>
      <c r="N1244" t="s">
        <v>230</v>
      </c>
      <c r="O1244" t="s">
        <v>367</v>
      </c>
      <c r="P1244">
        <v>4.837485854880658E-5</v>
      </c>
      <c r="Q1244" t="s">
        <v>159</v>
      </c>
    </row>
    <row r="1245" spans="9:17" x14ac:dyDescent="0.45">
      <c r="I1245" t="s">
        <v>187</v>
      </c>
      <c r="J1245" t="s">
        <v>368</v>
      </c>
      <c r="K1245">
        <v>0</v>
      </c>
      <c r="L1245" t="s">
        <v>159</v>
      </c>
      <c r="N1245" t="s">
        <v>230</v>
      </c>
      <c r="O1245" t="s">
        <v>368</v>
      </c>
      <c r="P1245">
        <v>3.6319982237310587E-5</v>
      </c>
      <c r="Q1245" t="s">
        <v>159</v>
      </c>
    </row>
    <row r="1246" spans="9:17" x14ac:dyDescent="0.45">
      <c r="I1246" t="s">
        <v>187</v>
      </c>
      <c r="J1246" t="s">
        <v>369</v>
      </c>
      <c r="K1246">
        <v>0</v>
      </c>
      <c r="L1246" t="s">
        <v>159</v>
      </c>
      <c r="N1246" t="s">
        <v>230</v>
      </c>
      <c r="O1246" t="s">
        <v>369</v>
      </c>
      <c r="P1246">
        <v>2.4610287794625025E-5</v>
      </c>
      <c r="Q1246" t="s">
        <v>159</v>
      </c>
    </row>
    <row r="1247" spans="9:17" x14ac:dyDescent="0.45">
      <c r="I1247" t="s">
        <v>187</v>
      </c>
      <c r="J1247" t="s">
        <v>165</v>
      </c>
      <c r="K1247">
        <v>0</v>
      </c>
      <c r="L1247" t="s">
        <v>159</v>
      </c>
      <c r="N1247" t="s">
        <v>230</v>
      </c>
      <c r="O1247" t="s">
        <v>165</v>
      </c>
      <c r="P1247">
        <v>2.6158585017402647E-2</v>
      </c>
      <c r="Q1247" t="s">
        <v>159</v>
      </c>
    </row>
    <row r="1248" spans="9:17" x14ac:dyDescent="0.45">
      <c r="I1248" t="s">
        <v>187</v>
      </c>
      <c r="J1248" t="s">
        <v>166</v>
      </c>
      <c r="K1248">
        <v>2.1797373624440814E-3</v>
      </c>
      <c r="L1248" t="s">
        <v>159</v>
      </c>
      <c r="N1248" t="s">
        <v>230</v>
      </c>
      <c r="O1248" t="s">
        <v>166</v>
      </c>
      <c r="P1248">
        <v>3.2689635331115108E-3</v>
      </c>
      <c r="Q1248" t="s">
        <v>159</v>
      </c>
    </row>
    <row r="1249" spans="9:17" x14ac:dyDescent="0.45">
      <c r="I1249" t="s">
        <v>187</v>
      </c>
      <c r="J1249" t="s">
        <v>167</v>
      </c>
      <c r="K1249">
        <v>4.9597626852735714E-2</v>
      </c>
      <c r="L1249" t="s">
        <v>159</v>
      </c>
      <c r="N1249" t="s">
        <v>230</v>
      </c>
      <c r="O1249" t="s">
        <v>167</v>
      </c>
      <c r="P1249">
        <v>1.9847000660582686E-2</v>
      </c>
      <c r="Q1249" t="s">
        <v>159</v>
      </c>
    </row>
    <row r="1250" spans="9:17" x14ac:dyDescent="0.45">
      <c r="I1250" t="s">
        <v>187</v>
      </c>
      <c r="J1250" t="s">
        <v>291</v>
      </c>
      <c r="K1250">
        <v>3.8633590637151653E-3</v>
      </c>
      <c r="L1250" t="s">
        <v>159</v>
      </c>
      <c r="N1250" t="s">
        <v>230</v>
      </c>
      <c r="O1250" t="s">
        <v>291</v>
      </c>
      <c r="P1250">
        <v>3.087537257584933E-3</v>
      </c>
      <c r="Q1250" t="s">
        <v>159</v>
      </c>
    </row>
    <row r="1251" spans="9:17" x14ac:dyDescent="0.45">
      <c r="I1251" t="s">
        <v>187</v>
      </c>
      <c r="J1251" t="s">
        <v>292</v>
      </c>
      <c r="K1251">
        <v>0</v>
      </c>
      <c r="L1251" t="s">
        <v>159</v>
      </c>
      <c r="N1251" t="s">
        <v>230</v>
      </c>
      <c r="O1251" t="s">
        <v>292</v>
      </c>
      <c r="P1251">
        <v>4.2043923292516879E-3</v>
      </c>
      <c r="Q1251" t="s">
        <v>159</v>
      </c>
    </row>
    <row r="1252" spans="9:17" x14ac:dyDescent="0.45">
      <c r="I1252" t="s">
        <v>187</v>
      </c>
      <c r="J1252" t="s">
        <v>310</v>
      </c>
      <c r="K1252">
        <v>0</v>
      </c>
      <c r="L1252" t="s">
        <v>159</v>
      </c>
      <c r="N1252" t="s">
        <v>230</v>
      </c>
      <c r="O1252" t="s">
        <v>310</v>
      </c>
      <c r="P1252">
        <v>2.5519822908297823E-2</v>
      </c>
      <c r="Q1252" t="s">
        <v>159</v>
      </c>
    </row>
    <row r="1253" spans="9:17" x14ac:dyDescent="0.45">
      <c r="I1253" t="s">
        <v>187</v>
      </c>
      <c r="J1253" t="s">
        <v>293</v>
      </c>
      <c r="K1253">
        <v>0</v>
      </c>
      <c r="L1253" t="s">
        <v>159</v>
      </c>
      <c r="N1253" t="s">
        <v>230</v>
      </c>
      <c r="O1253" t="s">
        <v>293</v>
      </c>
      <c r="P1253">
        <v>5.7300243114411144E-3</v>
      </c>
      <c r="Q1253" t="s">
        <v>159</v>
      </c>
    </row>
    <row r="1254" spans="9:17" x14ac:dyDescent="0.45">
      <c r="I1254" t="s">
        <v>187</v>
      </c>
      <c r="J1254" t="s">
        <v>294</v>
      </c>
      <c r="K1254">
        <v>1.157195581962697E-3</v>
      </c>
      <c r="L1254" t="s">
        <v>159</v>
      </c>
      <c r="N1254" t="s">
        <v>230</v>
      </c>
      <c r="O1254" t="s">
        <v>294</v>
      </c>
      <c r="P1254">
        <v>6.9400525398778873E-4</v>
      </c>
      <c r="Q1254" t="s">
        <v>159</v>
      </c>
    </row>
    <row r="1255" spans="9:17" x14ac:dyDescent="0.45">
      <c r="I1255" t="s">
        <v>187</v>
      </c>
      <c r="J1255" t="s">
        <v>295</v>
      </c>
      <c r="K1255">
        <v>1.5081415878268008E-2</v>
      </c>
      <c r="L1255" t="s">
        <v>159</v>
      </c>
      <c r="N1255" t="s">
        <v>230</v>
      </c>
      <c r="O1255" t="s">
        <v>295</v>
      </c>
      <c r="P1255">
        <v>7.4566703319222513E-3</v>
      </c>
      <c r="Q1255" t="s">
        <v>159</v>
      </c>
    </row>
    <row r="1256" spans="9:17" x14ac:dyDescent="0.45">
      <c r="I1256" t="s">
        <v>187</v>
      </c>
      <c r="J1256" t="s">
        <v>296</v>
      </c>
      <c r="K1256">
        <v>1.2261623440539798E-3</v>
      </c>
      <c r="L1256" t="s">
        <v>159</v>
      </c>
      <c r="N1256" t="s">
        <v>230</v>
      </c>
      <c r="O1256" t="s">
        <v>296</v>
      </c>
      <c r="P1256">
        <v>1.0076988776508478E-3</v>
      </c>
      <c r="Q1256" t="s">
        <v>159</v>
      </c>
    </row>
    <row r="1257" spans="9:17" x14ac:dyDescent="0.45">
      <c r="I1257" t="s">
        <v>187</v>
      </c>
      <c r="J1257" t="s">
        <v>297</v>
      </c>
      <c r="K1257">
        <v>0</v>
      </c>
      <c r="L1257" t="s">
        <v>159</v>
      </c>
      <c r="N1257" t="s">
        <v>230</v>
      </c>
      <c r="O1257" t="s">
        <v>297</v>
      </c>
      <c r="P1257">
        <v>1.1784845592054676E-3</v>
      </c>
      <c r="Q1257" t="s">
        <v>159</v>
      </c>
    </row>
    <row r="1258" spans="9:17" x14ac:dyDescent="0.45">
      <c r="I1258" t="s">
        <v>187</v>
      </c>
      <c r="J1258" t="s">
        <v>311</v>
      </c>
      <c r="K1258">
        <v>0</v>
      </c>
      <c r="L1258" t="s">
        <v>159</v>
      </c>
      <c r="N1258" t="s">
        <v>230</v>
      </c>
      <c r="O1258" t="s">
        <v>311</v>
      </c>
      <c r="P1258">
        <v>5.9319939846758521E-3</v>
      </c>
      <c r="Q1258" t="s">
        <v>159</v>
      </c>
    </row>
    <row r="1259" spans="9:17" x14ac:dyDescent="0.45">
      <c r="I1259" t="s">
        <v>187</v>
      </c>
      <c r="J1259" t="s">
        <v>298</v>
      </c>
      <c r="K1259">
        <v>1.3212123502710961E-2</v>
      </c>
      <c r="L1259" t="s">
        <v>159</v>
      </c>
      <c r="N1259" t="s">
        <v>230</v>
      </c>
      <c r="O1259" t="s">
        <v>298</v>
      </c>
      <c r="P1259">
        <v>9.3958544514622391E-2</v>
      </c>
      <c r="Q1259" t="s">
        <v>159</v>
      </c>
    </row>
    <row r="1260" spans="9:17" x14ac:dyDescent="0.45">
      <c r="I1260" t="s">
        <v>187</v>
      </c>
      <c r="J1260" t="s">
        <v>299</v>
      </c>
      <c r="K1260">
        <v>2.1108034992418603E-2</v>
      </c>
      <c r="L1260" t="s">
        <v>159</v>
      </c>
      <c r="N1260" t="s">
        <v>230</v>
      </c>
      <c r="O1260" t="s">
        <v>299</v>
      </c>
      <c r="P1260">
        <v>1.1985433518178844E-2</v>
      </c>
      <c r="Q1260" t="s">
        <v>159</v>
      </c>
    </row>
    <row r="1261" spans="9:17" x14ac:dyDescent="0.45">
      <c r="I1261" t="s">
        <v>187</v>
      </c>
      <c r="J1261" t="s">
        <v>300</v>
      </c>
      <c r="K1261">
        <v>0.24730946467989895</v>
      </c>
      <c r="L1261" t="s">
        <v>159</v>
      </c>
      <c r="N1261" t="s">
        <v>230</v>
      </c>
      <c r="O1261" t="s">
        <v>300</v>
      </c>
      <c r="P1261">
        <v>9.032234702845314E-2</v>
      </c>
      <c r="Q1261" t="s">
        <v>159</v>
      </c>
    </row>
    <row r="1262" spans="9:17" x14ac:dyDescent="0.45">
      <c r="I1262" t="s">
        <v>187</v>
      </c>
      <c r="J1262" t="s">
        <v>301</v>
      </c>
      <c r="K1262">
        <v>2.0639316891120113E-2</v>
      </c>
      <c r="L1262" t="s">
        <v>159</v>
      </c>
      <c r="N1262" t="s">
        <v>230</v>
      </c>
      <c r="O1262" t="s">
        <v>301</v>
      </c>
      <c r="P1262">
        <v>1.2296381449465705E-2</v>
      </c>
      <c r="Q1262" t="s">
        <v>159</v>
      </c>
    </row>
    <row r="1263" spans="9:17" x14ac:dyDescent="0.45">
      <c r="I1263" t="s">
        <v>187</v>
      </c>
      <c r="J1263" t="s">
        <v>302</v>
      </c>
      <c r="K1263">
        <v>8.8854031485518289E-3</v>
      </c>
      <c r="L1263" t="s">
        <v>159</v>
      </c>
      <c r="N1263" t="s">
        <v>230</v>
      </c>
      <c r="O1263" t="s">
        <v>302</v>
      </c>
      <c r="P1263">
        <v>1.595876273271591E-2</v>
      </c>
      <c r="Q1263" t="s">
        <v>159</v>
      </c>
    </row>
    <row r="1264" spans="9:17" x14ac:dyDescent="0.45">
      <c r="I1264" t="s">
        <v>187</v>
      </c>
      <c r="J1264" t="s">
        <v>312</v>
      </c>
      <c r="K1264">
        <v>0</v>
      </c>
      <c r="L1264" t="s">
        <v>159</v>
      </c>
      <c r="N1264" t="s">
        <v>230</v>
      </c>
      <c r="O1264" t="s">
        <v>312</v>
      </c>
      <c r="P1264">
        <v>9.4529932243055725E-2</v>
      </c>
      <c r="Q1264" t="s">
        <v>159</v>
      </c>
    </row>
    <row r="1265" spans="9:17" x14ac:dyDescent="0.45">
      <c r="I1265" t="s">
        <v>187</v>
      </c>
      <c r="J1265" t="s">
        <v>313</v>
      </c>
      <c r="K1265">
        <v>6.8958046157379617E-3</v>
      </c>
      <c r="L1265" t="s">
        <v>159</v>
      </c>
      <c r="N1265" t="s">
        <v>230</v>
      </c>
      <c r="O1265" t="s">
        <v>313</v>
      </c>
      <c r="P1265">
        <v>2.0028721033635913E-2</v>
      </c>
      <c r="Q1265" t="s">
        <v>159</v>
      </c>
    </row>
    <row r="1266" spans="9:17" x14ac:dyDescent="0.45">
      <c r="I1266" t="s">
        <v>187</v>
      </c>
      <c r="J1266" t="s">
        <v>314</v>
      </c>
      <c r="K1266">
        <v>7.6850828956496363E-3</v>
      </c>
      <c r="L1266" t="s">
        <v>159</v>
      </c>
      <c r="N1266" t="s">
        <v>230</v>
      </c>
      <c r="O1266" t="s">
        <v>314</v>
      </c>
      <c r="P1266">
        <v>2.4026502666417977E-3</v>
      </c>
      <c r="Q1266" t="s">
        <v>159</v>
      </c>
    </row>
    <row r="1267" spans="9:17" x14ac:dyDescent="0.45">
      <c r="I1267" t="s">
        <v>187</v>
      </c>
      <c r="J1267" t="s">
        <v>315</v>
      </c>
      <c r="K1267">
        <v>8.4406818654747084E-2</v>
      </c>
      <c r="L1267" t="s">
        <v>159</v>
      </c>
      <c r="N1267" t="s">
        <v>230</v>
      </c>
      <c r="O1267" t="s">
        <v>315</v>
      </c>
      <c r="P1267">
        <v>2.0724097628219133E-2</v>
      </c>
      <c r="Q1267" t="s">
        <v>159</v>
      </c>
    </row>
    <row r="1268" spans="9:17" x14ac:dyDescent="0.45">
      <c r="I1268" t="s">
        <v>187</v>
      </c>
      <c r="J1268" t="s">
        <v>316</v>
      </c>
      <c r="K1268">
        <v>6.6939926374339131E-3</v>
      </c>
      <c r="L1268" t="s">
        <v>159</v>
      </c>
      <c r="N1268" t="s">
        <v>230</v>
      </c>
      <c r="O1268" t="s">
        <v>316</v>
      </c>
      <c r="P1268">
        <v>2.7239231257894241E-3</v>
      </c>
      <c r="Q1268" t="s">
        <v>159</v>
      </c>
    </row>
    <row r="1269" spans="9:17" x14ac:dyDescent="0.45">
      <c r="I1269" t="s">
        <v>187</v>
      </c>
      <c r="J1269" t="s">
        <v>317</v>
      </c>
      <c r="K1269">
        <v>5.0327768415964385E-3</v>
      </c>
      <c r="L1269" t="s">
        <v>159</v>
      </c>
      <c r="N1269" t="s">
        <v>230</v>
      </c>
      <c r="O1269" t="s">
        <v>317</v>
      </c>
      <c r="P1269">
        <v>3.0422707932783884E-3</v>
      </c>
      <c r="Q1269" t="s">
        <v>159</v>
      </c>
    </row>
    <row r="1270" spans="9:17" x14ac:dyDescent="0.45">
      <c r="I1270" t="s">
        <v>187</v>
      </c>
      <c r="J1270" t="s">
        <v>318</v>
      </c>
      <c r="K1270">
        <v>1.6012103739210558E-3</v>
      </c>
      <c r="L1270" t="s">
        <v>159</v>
      </c>
      <c r="N1270" t="s">
        <v>230</v>
      </c>
      <c r="O1270" t="s">
        <v>318</v>
      </c>
      <c r="P1270">
        <v>1.841410215991969E-2</v>
      </c>
      <c r="Q1270" t="s">
        <v>159</v>
      </c>
    </row>
    <row r="1271" spans="9:17" x14ac:dyDescent="0.45">
      <c r="I1271" t="s">
        <v>188</v>
      </c>
      <c r="J1271" t="s">
        <v>158</v>
      </c>
      <c r="K1271">
        <v>1.345226520987888E-3</v>
      </c>
      <c r="L1271" t="s">
        <v>159</v>
      </c>
      <c r="N1271" t="s">
        <v>231</v>
      </c>
      <c r="O1271" t="s">
        <v>158</v>
      </c>
      <c r="P1271">
        <v>9.0335254982754118E-2</v>
      </c>
      <c r="Q1271" t="s">
        <v>159</v>
      </c>
    </row>
    <row r="1272" spans="9:17" x14ac:dyDescent="0.45">
      <c r="I1272" t="s">
        <v>188</v>
      </c>
      <c r="J1272" t="s">
        <v>160</v>
      </c>
      <c r="K1272">
        <v>1.9609345656013855E-2</v>
      </c>
      <c r="L1272" t="s">
        <v>159</v>
      </c>
      <c r="N1272" t="s">
        <v>231</v>
      </c>
      <c r="O1272" t="s">
        <v>160</v>
      </c>
      <c r="P1272">
        <v>6.6153073612108433E-3</v>
      </c>
      <c r="Q1272" t="s">
        <v>159</v>
      </c>
    </row>
    <row r="1273" spans="9:17" x14ac:dyDescent="0.45">
      <c r="I1273" t="s">
        <v>188</v>
      </c>
      <c r="J1273" t="s">
        <v>161</v>
      </c>
      <c r="K1273">
        <v>0.40478667089616188</v>
      </c>
      <c r="L1273" t="s">
        <v>159</v>
      </c>
      <c r="N1273" t="s">
        <v>231</v>
      </c>
      <c r="O1273" t="s">
        <v>161</v>
      </c>
      <c r="P1273">
        <v>8.0937205830044531E-2</v>
      </c>
      <c r="Q1273" t="s">
        <v>159</v>
      </c>
    </row>
    <row r="1274" spans="9:17" x14ac:dyDescent="0.45">
      <c r="I1274" t="s">
        <v>188</v>
      </c>
      <c r="J1274" t="s">
        <v>287</v>
      </c>
      <c r="K1274">
        <v>3.41486572079788E-2</v>
      </c>
      <c r="L1274" t="s">
        <v>159</v>
      </c>
      <c r="N1274" t="s">
        <v>231</v>
      </c>
      <c r="O1274" t="s">
        <v>287</v>
      </c>
      <c r="P1274">
        <v>1.4143441366781112E-2</v>
      </c>
      <c r="Q1274" t="s">
        <v>159</v>
      </c>
    </row>
    <row r="1275" spans="9:17" x14ac:dyDescent="0.45">
      <c r="I1275" t="s">
        <v>188</v>
      </c>
      <c r="J1275" t="s">
        <v>288</v>
      </c>
      <c r="K1275">
        <v>1.7408317724154004E-2</v>
      </c>
      <c r="L1275" t="s">
        <v>159</v>
      </c>
      <c r="N1275" t="s">
        <v>231</v>
      </c>
      <c r="O1275" t="s">
        <v>288</v>
      </c>
      <c r="P1275">
        <v>1.9983803365924511E-2</v>
      </c>
      <c r="Q1275" t="s">
        <v>159</v>
      </c>
    </row>
    <row r="1276" spans="9:17" x14ac:dyDescent="0.45">
      <c r="I1276" t="s">
        <v>188</v>
      </c>
      <c r="J1276" t="s">
        <v>308</v>
      </c>
      <c r="K1276">
        <v>4.2898220141279041E-3</v>
      </c>
      <c r="L1276" t="s">
        <v>159</v>
      </c>
      <c r="N1276" t="s">
        <v>231</v>
      </c>
      <c r="O1276" t="s">
        <v>308</v>
      </c>
      <c r="P1276">
        <v>0.15464739496297644</v>
      </c>
      <c r="Q1276" t="s">
        <v>159</v>
      </c>
    </row>
    <row r="1277" spans="9:17" x14ac:dyDescent="0.45">
      <c r="I1277" t="s">
        <v>188</v>
      </c>
      <c r="J1277" t="s">
        <v>162</v>
      </c>
      <c r="K1277">
        <v>0</v>
      </c>
      <c r="L1277" t="s">
        <v>159</v>
      </c>
      <c r="N1277" t="s">
        <v>231</v>
      </c>
      <c r="O1277" t="s">
        <v>162</v>
      </c>
      <c r="P1277">
        <v>1.2086718819312772E-2</v>
      </c>
      <c r="Q1277" t="s">
        <v>159</v>
      </c>
    </row>
    <row r="1278" spans="9:17" x14ac:dyDescent="0.45">
      <c r="I1278" t="s">
        <v>188</v>
      </c>
      <c r="J1278" t="s">
        <v>163</v>
      </c>
      <c r="K1278">
        <v>0</v>
      </c>
      <c r="L1278" t="s">
        <v>159</v>
      </c>
      <c r="N1278" t="s">
        <v>231</v>
      </c>
      <c r="O1278" t="s">
        <v>163</v>
      </c>
      <c r="P1278">
        <v>7.9721195029722365E-4</v>
      </c>
      <c r="Q1278" t="s">
        <v>159</v>
      </c>
    </row>
    <row r="1279" spans="9:17" x14ac:dyDescent="0.45">
      <c r="I1279" t="s">
        <v>188</v>
      </c>
      <c r="J1279" t="s">
        <v>164</v>
      </c>
      <c r="K1279">
        <v>5.0464613719926554E-2</v>
      </c>
      <c r="L1279" t="s">
        <v>159</v>
      </c>
      <c r="N1279" t="s">
        <v>231</v>
      </c>
      <c r="O1279" t="s">
        <v>164</v>
      </c>
      <c r="P1279">
        <v>1.3454573045548941E-2</v>
      </c>
      <c r="Q1279" t="s">
        <v>159</v>
      </c>
    </row>
    <row r="1280" spans="9:17" x14ac:dyDescent="0.45">
      <c r="I1280" t="s">
        <v>188</v>
      </c>
      <c r="J1280" t="s">
        <v>289</v>
      </c>
      <c r="K1280">
        <v>4.0004448073875671E-3</v>
      </c>
      <c r="L1280" t="s">
        <v>159</v>
      </c>
      <c r="N1280" t="s">
        <v>231</v>
      </c>
      <c r="O1280" t="s">
        <v>289</v>
      </c>
      <c r="P1280">
        <v>2.2723310634907195E-3</v>
      </c>
      <c r="Q1280" t="s">
        <v>159</v>
      </c>
    </row>
    <row r="1281" spans="9:17" x14ac:dyDescent="0.45">
      <c r="I1281" t="s">
        <v>188</v>
      </c>
      <c r="J1281" t="s">
        <v>290</v>
      </c>
      <c r="K1281">
        <v>0</v>
      </c>
      <c r="L1281" t="s">
        <v>159</v>
      </c>
      <c r="N1281" t="s">
        <v>231</v>
      </c>
      <c r="O1281" t="s">
        <v>290</v>
      </c>
      <c r="P1281">
        <v>3.4285641950346896E-3</v>
      </c>
      <c r="Q1281" t="s">
        <v>159</v>
      </c>
    </row>
    <row r="1282" spans="9:17" x14ac:dyDescent="0.45">
      <c r="I1282" t="s">
        <v>188</v>
      </c>
      <c r="J1282" t="s">
        <v>309</v>
      </c>
      <c r="K1282">
        <v>0</v>
      </c>
      <c r="L1282" t="s">
        <v>159</v>
      </c>
      <c r="N1282" t="s">
        <v>231</v>
      </c>
      <c r="O1282" t="s">
        <v>309</v>
      </c>
      <c r="P1282">
        <v>2.0013444435229285E-2</v>
      </c>
      <c r="Q1282" t="s">
        <v>159</v>
      </c>
    </row>
    <row r="1283" spans="9:17" x14ac:dyDescent="0.45">
      <c r="I1283" t="s">
        <v>188</v>
      </c>
      <c r="J1283" t="s">
        <v>346</v>
      </c>
      <c r="K1283">
        <v>0</v>
      </c>
      <c r="L1283" t="s">
        <v>159</v>
      </c>
      <c r="N1283" t="s">
        <v>231</v>
      </c>
      <c r="O1283" t="s">
        <v>346</v>
      </c>
      <c r="P1283">
        <v>1.4316213584508882E-4</v>
      </c>
      <c r="Q1283" t="s">
        <v>159</v>
      </c>
    </row>
    <row r="1284" spans="9:17" x14ac:dyDescent="0.45">
      <c r="I1284" t="s">
        <v>188</v>
      </c>
      <c r="J1284" t="s">
        <v>347</v>
      </c>
      <c r="K1284">
        <v>0</v>
      </c>
      <c r="L1284" t="s">
        <v>159</v>
      </c>
      <c r="N1284" t="s">
        <v>231</v>
      </c>
      <c r="O1284" t="s">
        <v>347</v>
      </c>
      <c r="P1284">
        <v>1.1236452801928167E-4</v>
      </c>
      <c r="Q1284" t="s">
        <v>159</v>
      </c>
    </row>
    <row r="1285" spans="9:17" x14ac:dyDescent="0.45">
      <c r="I1285" t="s">
        <v>188</v>
      </c>
      <c r="J1285" t="s">
        <v>348</v>
      </c>
      <c r="K1285">
        <v>0</v>
      </c>
      <c r="L1285" t="s">
        <v>159</v>
      </c>
      <c r="N1285" t="s">
        <v>231</v>
      </c>
      <c r="O1285" t="s">
        <v>348</v>
      </c>
      <c r="P1285">
        <v>7.712055652722786E-5</v>
      </c>
      <c r="Q1285" t="s">
        <v>159</v>
      </c>
    </row>
    <row r="1286" spans="9:17" x14ac:dyDescent="0.45">
      <c r="I1286" t="s">
        <v>188</v>
      </c>
      <c r="J1286" t="s">
        <v>349</v>
      </c>
      <c r="K1286">
        <v>0</v>
      </c>
      <c r="L1286" t="s">
        <v>159</v>
      </c>
      <c r="N1286" t="s">
        <v>231</v>
      </c>
      <c r="O1286" t="s">
        <v>349</v>
      </c>
      <c r="P1286">
        <v>5.25446916507803E-5</v>
      </c>
      <c r="Q1286" t="s">
        <v>159</v>
      </c>
    </row>
    <row r="1287" spans="9:17" x14ac:dyDescent="0.45">
      <c r="I1287" t="s">
        <v>188</v>
      </c>
      <c r="J1287" t="s">
        <v>350</v>
      </c>
      <c r="K1287">
        <v>0</v>
      </c>
      <c r="L1287" t="s">
        <v>159</v>
      </c>
      <c r="N1287" t="s">
        <v>231</v>
      </c>
      <c r="O1287" t="s">
        <v>350</v>
      </c>
      <c r="P1287">
        <v>3.3734823804936193E-5</v>
      </c>
      <c r="Q1287" t="s">
        <v>159</v>
      </c>
    </row>
    <row r="1288" spans="9:17" x14ac:dyDescent="0.45">
      <c r="I1288" t="s">
        <v>188</v>
      </c>
      <c r="J1288" t="s">
        <v>351</v>
      </c>
      <c r="K1288">
        <v>0</v>
      </c>
      <c r="L1288" t="s">
        <v>159</v>
      </c>
      <c r="N1288" t="s">
        <v>231</v>
      </c>
      <c r="O1288" t="s">
        <v>351</v>
      </c>
      <c r="P1288">
        <v>1.8356122718632594E-5</v>
      </c>
      <c r="Q1288" t="s">
        <v>159</v>
      </c>
    </row>
    <row r="1289" spans="9:17" x14ac:dyDescent="0.45">
      <c r="I1289" t="s">
        <v>188</v>
      </c>
      <c r="J1289" t="s">
        <v>352</v>
      </c>
      <c r="K1289">
        <v>0</v>
      </c>
      <c r="L1289" t="s">
        <v>159</v>
      </c>
      <c r="N1289" t="s">
        <v>231</v>
      </c>
      <c r="O1289" t="s">
        <v>352</v>
      </c>
      <c r="P1289">
        <v>7.9239350226546055E-6</v>
      </c>
      <c r="Q1289" t="s">
        <v>159</v>
      </c>
    </row>
    <row r="1290" spans="9:17" x14ac:dyDescent="0.45">
      <c r="I1290" t="s">
        <v>188</v>
      </c>
      <c r="J1290" t="s">
        <v>353</v>
      </c>
      <c r="K1290">
        <v>0</v>
      </c>
      <c r="L1290" t="s">
        <v>159</v>
      </c>
      <c r="N1290" t="s">
        <v>231</v>
      </c>
      <c r="O1290" t="s">
        <v>353</v>
      </c>
      <c r="P1290">
        <v>2.8667763001284511E-6</v>
      </c>
      <c r="Q1290" t="s">
        <v>159</v>
      </c>
    </row>
    <row r="1291" spans="9:17" x14ac:dyDescent="0.45">
      <c r="I1291" t="s">
        <v>188</v>
      </c>
      <c r="J1291" t="s">
        <v>354</v>
      </c>
      <c r="K1291">
        <v>1.5665654662182969E-4</v>
      </c>
      <c r="L1291" t="s">
        <v>159</v>
      </c>
      <c r="N1291" t="s">
        <v>231</v>
      </c>
      <c r="O1291" t="s">
        <v>354</v>
      </c>
      <c r="P1291">
        <v>7.6166801851210392E-7</v>
      </c>
      <c r="Q1291" t="s">
        <v>159</v>
      </c>
    </row>
    <row r="1292" spans="9:17" x14ac:dyDescent="0.45">
      <c r="I1292" t="s">
        <v>188</v>
      </c>
      <c r="J1292" t="s">
        <v>355</v>
      </c>
      <c r="K1292">
        <v>2.1222853001154934E-4</v>
      </c>
      <c r="L1292" t="s">
        <v>159</v>
      </c>
      <c r="N1292" t="s">
        <v>231</v>
      </c>
      <c r="O1292" t="s">
        <v>355</v>
      </c>
      <c r="P1292">
        <v>4.6004281486216744E-8</v>
      </c>
      <c r="Q1292" t="s">
        <v>159</v>
      </c>
    </row>
    <row r="1293" spans="9:17" x14ac:dyDescent="0.45">
      <c r="I1293" t="s">
        <v>188</v>
      </c>
      <c r="J1293" t="s">
        <v>356</v>
      </c>
      <c r="K1293">
        <v>2.2209818684097019E-4</v>
      </c>
      <c r="L1293" t="s">
        <v>159</v>
      </c>
      <c r="N1293" t="s">
        <v>231</v>
      </c>
      <c r="O1293" t="s">
        <v>356</v>
      </c>
      <c r="P1293">
        <v>2.6743872012939866E-7</v>
      </c>
      <c r="Q1293" t="s">
        <v>159</v>
      </c>
    </row>
    <row r="1294" spans="9:17" x14ac:dyDescent="0.45">
      <c r="I1294" t="s">
        <v>188</v>
      </c>
      <c r="J1294" t="s">
        <v>357</v>
      </c>
      <c r="K1294">
        <v>2.4346403545103212E-4</v>
      </c>
      <c r="L1294" t="s">
        <v>159</v>
      </c>
      <c r="N1294" t="s">
        <v>231</v>
      </c>
      <c r="O1294" t="s">
        <v>357</v>
      </c>
      <c r="P1294">
        <v>1.8472195527092415E-7</v>
      </c>
      <c r="Q1294" t="s">
        <v>159</v>
      </c>
    </row>
    <row r="1295" spans="9:17" x14ac:dyDescent="0.45">
      <c r="I1295" t="s">
        <v>188</v>
      </c>
      <c r="J1295" t="s">
        <v>358</v>
      </c>
      <c r="K1295">
        <v>2.8981660055579659E-4</v>
      </c>
      <c r="L1295" t="s">
        <v>159</v>
      </c>
      <c r="N1295" t="s">
        <v>231</v>
      </c>
      <c r="O1295" t="s">
        <v>358</v>
      </c>
      <c r="P1295">
        <v>6.9243800441567044E-9</v>
      </c>
      <c r="Q1295" t="s">
        <v>159</v>
      </c>
    </row>
    <row r="1296" spans="9:17" x14ac:dyDescent="0.45">
      <c r="I1296" t="s">
        <v>188</v>
      </c>
      <c r="J1296" t="s">
        <v>359</v>
      </c>
      <c r="K1296">
        <v>2.8004949231007838E-4</v>
      </c>
      <c r="L1296" t="s">
        <v>159</v>
      </c>
      <c r="N1296" t="s">
        <v>231</v>
      </c>
      <c r="O1296" t="s">
        <v>359</v>
      </c>
      <c r="P1296">
        <v>0</v>
      </c>
      <c r="Q1296" t="s">
        <v>159</v>
      </c>
    </row>
    <row r="1297" spans="9:17" x14ac:dyDescent="0.45">
      <c r="I1297" t="s">
        <v>188</v>
      </c>
      <c r="J1297" t="s">
        <v>360</v>
      </c>
      <c r="K1297">
        <v>1.8480406458397234E-4</v>
      </c>
      <c r="L1297" t="s">
        <v>159</v>
      </c>
      <c r="N1297" t="s">
        <v>231</v>
      </c>
      <c r="O1297" t="s">
        <v>360</v>
      </c>
      <c r="P1297">
        <v>1.9547398665171259E-8</v>
      </c>
      <c r="Q1297" t="s">
        <v>159</v>
      </c>
    </row>
    <row r="1298" spans="9:17" x14ac:dyDescent="0.45">
      <c r="I1298" t="s">
        <v>188</v>
      </c>
      <c r="J1298" t="s">
        <v>361</v>
      </c>
      <c r="K1298">
        <v>1.5344874783896343E-4</v>
      </c>
      <c r="L1298" t="s">
        <v>159</v>
      </c>
      <c r="N1298" t="s">
        <v>231</v>
      </c>
      <c r="O1298" t="s">
        <v>361</v>
      </c>
      <c r="P1298">
        <v>6.7006583609463338E-7</v>
      </c>
      <c r="Q1298" t="s">
        <v>159</v>
      </c>
    </row>
    <row r="1299" spans="9:17" x14ac:dyDescent="0.45">
      <c r="I1299" t="s">
        <v>188</v>
      </c>
      <c r="J1299" t="s">
        <v>362</v>
      </c>
      <c r="K1299">
        <v>1.2058805022056328E-4</v>
      </c>
      <c r="L1299" t="s">
        <v>159</v>
      </c>
      <c r="N1299" t="s">
        <v>231</v>
      </c>
      <c r="O1299" t="s">
        <v>362</v>
      </c>
      <c r="P1299">
        <v>5.1278353462057176E-6</v>
      </c>
      <c r="Q1299" t="s">
        <v>159</v>
      </c>
    </row>
    <row r="1300" spans="9:17" x14ac:dyDescent="0.45">
      <c r="I1300" t="s">
        <v>188</v>
      </c>
      <c r="J1300" t="s">
        <v>363</v>
      </c>
      <c r="K1300">
        <v>1.1745445238354347E-4</v>
      </c>
      <c r="L1300" t="s">
        <v>159</v>
      </c>
      <c r="N1300" t="s">
        <v>231</v>
      </c>
      <c r="O1300" t="s">
        <v>363</v>
      </c>
      <c r="P1300">
        <v>1.7608079120456285E-5</v>
      </c>
      <c r="Q1300" t="s">
        <v>159</v>
      </c>
    </row>
    <row r="1301" spans="9:17" x14ac:dyDescent="0.45">
      <c r="I1301" t="s">
        <v>188</v>
      </c>
      <c r="J1301" t="s">
        <v>364</v>
      </c>
      <c r="K1301">
        <v>0</v>
      </c>
      <c r="L1301" t="s">
        <v>159</v>
      </c>
      <c r="N1301" t="s">
        <v>231</v>
      </c>
      <c r="O1301" t="s">
        <v>364</v>
      </c>
      <c r="P1301">
        <v>5.2481262061587045E-5</v>
      </c>
      <c r="Q1301" t="s">
        <v>159</v>
      </c>
    </row>
    <row r="1302" spans="9:17" x14ac:dyDescent="0.45">
      <c r="I1302" t="s">
        <v>188</v>
      </c>
      <c r="J1302" t="s">
        <v>365</v>
      </c>
      <c r="K1302">
        <v>0</v>
      </c>
      <c r="L1302" t="s">
        <v>159</v>
      </c>
      <c r="N1302" t="s">
        <v>231</v>
      </c>
      <c r="O1302" t="s">
        <v>365</v>
      </c>
      <c r="P1302">
        <v>1.0367563395354234E-4</v>
      </c>
      <c r="Q1302" t="s">
        <v>159</v>
      </c>
    </row>
    <row r="1303" spans="9:17" x14ac:dyDescent="0.45">
      <c r="I1303" t="s">
        <v>188</v>
      </c>
      <c r="J1303" t="s">
        <v>366</v>
      </c>
      <c r="K1303">
        <v>0</v>
      </c>
      <c r="L1303" t="s">
        <v>159</v>
      </c>
      <c r="N1303" t="s">
        <v>231</v>
      </c>
      <c r="O1303" t="s">
        <v>366</v>
      </c>
      <c r="P1303">
        <v>1.7973413764301154E-4</v>
      </c>
      <c r="Q1303" t="s">
        <v>159</v>
      </c>
    </row>
    <row r="1304" spans="9:17" x14ac:dyDescent="0.45">
      <c r="I1304" t="s">
        <v>188</v>
      </c>
      <c r="J1304" t="s">
        <v>367</v>
      </c>
      <c r="K1304">
        <v>0</v>
      </c>
      <c r="L1304" t="s">
        <v>159</v>
      </c>
      <c r="N1304" t="s">
        <v>231</v>
      </c>
      <c r="O1304" t="s">
        <v>367</v>
      </c>
      <c r="P1304">
        <v>1.9608191077950609E-4</v>
      </c>
      <c r="Q1304" t="s">
        <v>159</v>
      </c>
    </row>
    <row r="1305" spans="9:17" x14ac:dyDescent="0.45">
      <c r="I1305" t="s">
        <v>188</v>
      </c>
      <c r="J1305" t="s">
        <v>368</v>
      </c>
      <c r="K1305">
        <v>0</v>
      </c>
      <c r="L1305" t="s">
        <v>159</v>
      </c>
      <c r="N1305" t="s">
        <v>231</v>
      </c>
      <c r="O1305" t="s">
        <v>368</v>
      </c>
      <c r="P1305">
        <v>1.8804702395390754E-4</v>
      </c>
      <c r="Q1305" t="s">
        <v>159</v>
      </c>
    </row>
    <row r="1306" spans="9:17" x14ac:dyDescent="0.45">
      <c r="I1306" t="s">
        <v>188</v>
      </c>
      <c r="J1306" t="s">
        <v>369</v>
      </c>
      <c r="K1306">
        <v>0</v>
      </c>
      <c r="L1306" t="s">
        <v>159</v>
      </c>
      <c r="N1306" t="s">
        <v>231</v>
      </c>
      <c r="O1306" t="s">
        <v>369</v>
      </c>
      <c r="P1306">
        <v>1.5211665487365752E-4</v>
      </c>
      <c r="Q1306" t="s">
        <v>159</v>
      </c>
    </row>
    <row r="1307" spans="9:17" x14ac:dyDescent="0.45">
      <c r="I1307" t="s">
        <v>188</v>
      </c>
      <c r="J1307" t="s">
        <v>165</v>
      </c>
      <c r="K1307">
        <v>0</v>
      </c>
      <c r="L1307" t="s">
        <v>159</v>
      </c>
      <c r="N1307" t="s">
        <v>231</v>
      </c>
      <c r="O1307" t="s">
        <v>165</v>
      </c>
      <c r="P1307">
        <v>1.7647904840585125E-2</v>
      </c>
      <c r="Q1307" t="s">
        <v>159</v>
      </c>
    </row>
    <row r="1308" spans="9:17" x14ac:dyDescent="0.45">
      <c r="I1308" t="s">
        <v>188</v>
      </c>
      <c r="J1308" t="s">
        <v>166</v>
      </c>
      <c r="K1308">
        <v>1.1213243106048645E-3</v>
      </c>
      <c r="L1308" t="s">
        <v>159</v>
      </c>
      <c r="N1308" t="s">
        <v>231</v>
      </c>
      <c r="O1308" t="s">
        <v>166</v>
      </c>
      <c r="P1308">
        <v>1.3658349532183567E-3</v>
      </c>
      <c r="Q1308" t="s">
        <v>159</v>
      </c>
    </row>
    <row r="1309" spans="9:17" x14ac:dyDescent="0.45">
      <c r="I1309" t="s">
        <v>188</v>
      </c>
      <c r="J1309" t="s">
        <v>167</v>
      </c>
      <c r="K1309">
        <v>6.2973595976949417E-2</v>
      </c>
      <c r="L1309" t="s">
        <v>159</v>
      </c>
      <c r="N1309" t="s">
        <v>231</v>
      </c>
      <c r="O1309" t="s">
        <v>167</v>
      </c>
      <c r="P1309">
        <v>1.9350853287434619E-2</v>
      </c>
      <c r="Q1309" t="s">
        <v>159</v>
      </c>
    </row>
    <row r="1310" spans="9:17" x14ac:dyDescent="0.45">
      <c r="I1310" t="s">
        <v>188</v>
      </c>
      <c r="J1310" t="s">
        <v>291</v>
      </c>
      <c r="K1310">
        <v>4.7451944215443111E-3</v>
      </c>
      <c r="L1310" t="s">
        <v>159</v>
      </c>
      <c r="N1310" t="s">
        <v>231</v>
      </c>
      <c r="O1310" t="s">
        <v>291</v>
      </c>
      <c r="P1310">
        <v>2.7924210762969057E-3</v>
      </c>
      <c r="Q1310" t="s">
        <v>159</v>
      </c>
    </row>
    <row r="1311" spans="9:17" x14ac:dyDescent="0.45">
      <c r="I1311" t="s">
        <v>188</v>
      </c>
      <c r="J1311" t="s">
        <v>292</v>
      </c>
      <c r="K1311">
        <v>4.4767044378690848E-4</v>
      </c>
      <c r="L1311" t="s">
        <v>159</v>
      </c>
      <c r="N1311" t="s">
        <v>231</v>
      </c>
      <c r="O1311" t="s">
        <v>292</v>
      </c>
      <c r="P1311">
        <v>4.3134562628445164E-3</v>
      </c>
      <c r="Q1311" t="s">
        <v>159</v>
      </c>
    </row>
    <row r="1312" spans="9:17" x14ac:dyDescent="0.45">
      <c r="I1312" t="s">
        <v>188</v>
      </c>
      <c r="J1312" t="s">
        <v>310</v>
      </c>
      <c r="K1312">
        <v>0</v>
      </c>
      <c r="L1312" t="s">
        <v>159</v>
      </c>
      <c r="N1312" t="s">
        <v>231</v>
      </c>
      <c r="O1312" t="s">
        <v>310</v>
      </c>
      <c r="P1312">
        <v>2.7694208531856352E-2</v>
      </c>
      <c r="Q1312" t="s">
        <v>159</v>
      </c>
    </row>
    <row r="1313" spans="9:17" x14ac:dyDescent="0.45">
      <c r="I1313" t="s">
        <v>188</v>
      </c>
      <c r="J1313" t="s">
        <v>293</v>
      </c>
      <c r="K1313">
        <v>0</v>
      </c>
      <c r="L1313" t="s">
        <v>159</v>
      </c>
      <c r="N1313" t="s">
        <v>231</v>
      </c>
      <c r="O1313" t="s">
        <v>293</v>
      </c>
      <c r="P1313">
        <v>6.5842034875059387E-3</v>
      </c>
      <c r="Q1313" t="s">
        <v>159</v>
      </c>
    </row>
    <row r="1314" spans="9:17" x14ac:dyDescent="0.45">
      <c r="I1314" t="s">
        <v>188</v>
      </c>
      <c r="J1314" t="s">
        <v>294</v>
      </c>
      <c r="K1314">
        <v>8.1645167899032224E-4</v>
      </c>
      <c r="L1314" t="s">
        <v>159</v>
      </c>
      <c r="N1314" t="s">
        <v>231</v>
      </c>
      <c r="O1314" t="s">
        <v>294</v>
      </c>
      <c r="P1314">
        <v>5.733116055503107E-4</v>
      </c>
      <c r="Q1314" t="s">
        <v>159</v>
      </c>
    </row>
    <row r="1315" spans="9:17" x14ac:dyDescent="0.45">
      <c r="I1315" t="s">
        <v>188</v>
      </c>
      <c r="J1315" t="s">
        <v>295</v>
      </c>
      <c r="K1315">
        <v>1.5525468755296448E-2</v>
      </c>
      <c r="L1315" t="s">
        <v>159</v>
      </c>
      <c r="N1315" t="s">
        <v>231</v>
      </c>
      <c r="O1315" t="s">
        <v>295</v>
      </c>
      <c r="P1315">
        <v>6.6107012473637268E-3</v>
      </c>
      <c r="Q1315" t="s">
        <v>159</v>
      </c>
    </row>
    <row r="1316" spans="9:17" x14ac:dyDescent="0.45">
      <c r="I1316" t="s">
        <v>188</v>
      </c>
      <c r="J1316" t="s">
        <v>296</v>
      </c>
      <c r="K1316">
        <v>1.1036214099173062E-3</v>
      </c>
      <c r="L1316" t="s">
        <v>159</v>
      </c>
      <c r="N1316" t="s">
        <v>231</v>
      </c>
      <c r="O1316" t="s">
        <v>296</v>
      </c>
      <c r="P1316">
        <v>1.0278622683239666E-3</v>
      </c>
      <c r="Q1316" t="s">
        <v>159</v>
      </c>
    </row>
    <row r="1317" spans="9:17" x14ac:dyDescent="0.45">
      <c r="I1317" t="s">
        <v>188</v>
      </c>
      <c r="J1317" t="s">
        <v>297</v>
      </c>
      <c r="K1317">
        <v>8.2541257755526422E-4</v>
      </c>
      <c r="L1317" t="s">
        <v>159</v>
      </c>
      <c r="N1317" t="s">
        <v>231</v>
      </c>
      <c r="O1317" t="s">
        <v>297</v>
      </c>
      <c r="P1317">
        <v>1.5022537890389584E-3</v>
      </c>
      <c r="Q1317" t="s">
        <v>159</v>
      </c>
    </row>
    <row r="1318" spans="9:17" x14ac:dyDescent="0.45">
      <c r="I1318" t="s">
        <v>188</v>
      </c>
      <c r="J1318" t="s">
        <v>311</v>
      </c>
      <c r="K1318">
        <v>0</v>
      </c>
      <c r="L1318" t="s">
        <v>159</v>
      </c>
      <c r="N1318" t="s">
        <v>231</v>
      </c>
      <c r="O1318" t="s">
        <v>311</v>
      </c>
      <c r="P1318">
        <v>1.0954755208815628E-2</v>
      </c>
      <c r="Q1318" t="s">
        <v>159</v>
      </c>
    </row>
    <row r="1319" spans="9:17" x14ac:dyDescent="0.45">
      <c r="I1319" t="s">
        <v>188</v>
      </c>
      <c r="J1319" t="s">
        <v>298</v>
      </c>
      <c r="K1319">
        <v>4.7797787196764401E-3</v>
      </c>
      <c r="L1319" t="s">
        <v>159</v>
      </c>
      <c r="N1319" t="s">
        <v>231</v>
      </c>
      <c r="O1319" t="s">
        <v>298</v>
      </c>
      <c r="P1319">
        <v>9.8961693591270564E-2</v>
      </c>
      <c r="Q1319" t="s">
        <v>159</v>
      </c>
    </row>
    <row r="1320" spans="9:17" x14ac:dyDescent="0.45">
      <c r="I1320" t="s">
        <v>188</v>
      </c>
      <c r="J1320" t="s">
        <v>299</v>
      </c>
      <c r="K1320">
        <v>1.5956534493637889E-2</v>
      </c>
      <c r="L1320" t="s">
        <v>159</v>
      </c>
      <c r="N1320" t="s">
        <v>231</v>
      </c>
      <c r="O1320" t="s">
        <v>299</v>
      </c>
      <c r="P1320">
        <v>9.5718787396568087E-3</v>
      </c>
      <c r="Q1320" t="s">
        <v>159</v>
      </c>
    </row>
    <row r="1321" spans="9:17" x14ac:dyDescent="0.45">
      <c r="I1321" t="s">
        <v>188</v>
      </c>
      <c r="J1321" t="s">
        <v>300</v>
      </c>
      <c r="K1321">
        <v>0.24325005772044331</v>
      </c>
      <c r="L1321" t="s">
        <v>159</v>
      </c>
      <c r="N1321" t="s">
        <v>231</v>
      </c>
      <c r="O1321" t="s">
        <v>300</v>
      </c>
      <c r="P1321">
        <v>0.10214773947486797</v>
      </c>
      <c r="Q1321" t="s">
        <v>159</v>
      </c>
    </row>
    <row r="1322" spans="9:17" x14ac:dyDescent="0.45">
      <c r="I1322" t="s">
        <v>188</v>
      </c>
      <c r="J1322" t="s">
        <v>301</v>
      </c>
      <c r="K1322">
        <v>1.8505241204252412E-2</v>
      </c>
      <c r="L1322" t="s">
        <v>159</v>
      </c>
      <c r="N1322" t="s">
        <v>231</v>
      </c>
      <c r="O1322" t="s">
        <v>301</v>
      </c>
      <c r="P1322">
        <v>1.7783116842454538E-2</v>
      </c>
      <c r="Q1322" t="s">
        <v>159</v>
      </c>
    </row>
    <row r="1323" spans="9:17" x14ac:dyDescent="0.45">
      <c r="I1323" t="s">
        <v>188</v>
      </c>
      <c r="J1323" t="s">
        <v>302</v>
      </c>
      <c r="K1323">
        <v>1.1917556249917338E-2</v>
      </c>
      <c r="L1323" t="s">
        <v>159</v>
      </c>
      <c r="N1323" t="s">
        <v>231</v>
      </c>
      <c r="O1323" t="s">
        <v>302</v>
      </c>
      <c r="P1323">
        <v>2.312957732445629E-2</v>
      </c>
      <c r="Q1323" t="s">
        <v>159</v>
      </c>
    </row>
    <row r="1324" spans="9:17" x14ac:dyDescent="0.45">
      <c r="I1324" t="s">
        <v>188</v>
      </c>
      <c r="J1324" t="s">
        <v>312</v>
      </c>
      <c r="K1324">
        <v>0</v>
      </c>
      <c r="L1324" t="s">
        <v>159</v>
      </c>
      <c r="N1324" t="s">
        <v>231</v>
      </c>
      <c r="O1324" t="s">
        <v>312</v>
      </c>
      <c r="P1324">
        <v>0.16618698142799412</v>
      </c>
      <c r="Q1324" t="s">
        <v>159</v>
      </c>
    </row>
    <row r="1325" spans="9:17" x14ac:dyDescent="0.45">
      <c r="I1325" t="s">
        <v>188</v>
      </c>
      <c r="J1325" t="s">
        <v>313</v>
      </c>
      <c r="K1325">
        <v>2.397343349986804E-3</v>
      </c>
      <c r="L1325" t="s">
        <v>159</v>
      </c>
      <c r="N1325" t="s">
        <v>231</v>
      </c>
      <c r="O1325" t="s">
        <v>313</v>
      </c>
      <c r="P1325">
        <v>1.5169583540214431E-2</v>
      </c>
      <c r="Q1325" t="s">
        <v>159</v>
      </c>
    </row>
    <row r="1326" spans="9:17" x14ac:dyDescent="0.45">
      <c r="I1326" t="s">
        <v>188</v>
      </c>
      <c r="J1326" t="s">
        <v>314</v>
      </c>
      <c r="K1326">
        <v>4.2465035283064138E-3</v>
      </c>
      <c r="L1326" t="s">
        <v>159</v>
      </c>
      <c r="N1326" t="s">
        <v>231</v>
      </c>
      <c r="O1326" t="s">
        <v>314</v>
      </c>
      <c r="P1326">
        <v>1.3607712432431114E-3</v>
      </c>
      <c r="Q1326" t="s">
        <v>159</v>
      </c>
    </row>
    <row r="1327" spans="9:17" x14ac:dyDescent="0.45">
      <c r="I1327" t="s">
        <v>188</v>
      </c>
      <c r="J1327" t="s">
        <v>315</v>
      </c>
      <c r="K1327">
        <v>6.2728369412269655E-2</v>
      </c>
      <c r="L1327" t="s">
        <v>159</v>
      </c>
      <c r="N1327" t="s">
        <v>231</v>
      </c>
      <c r="O1327" t="s">
        <v>315</v>
      </c>
      <c r="P1327">
        <v>1.3115488392243481E-2</v>
      </c>
      <c r="Q1327" t="s">
        <v>159</v>
      </c>
    </row>
    <row r="1328" spans="9:17" x14ac:dyDescent="0.45">
      <c r="I1328" t="s">
        <v>188</v>
      </c>
      <c r="J1328" t="s">
        <v>316</v>
      </c>
      <c r="K1328">
        <v>5.2028866100317433E-3</v>
      </c>
      <c r="L1328" t="s">
        <v>159</v>
      </c>
      <c r="N1328" t="s">
        <v>231</v>
      </c>
      <c r="O1328" t="s">
        <v>316</v>
      </c>
      <c r="P1328">
        <v>2.3197466091217202E-3</v>
      </c>
      <c r="Q1328" t="s">
        <v>159</v>
      </c>
    </row>
    <row r="1329" spans="9:17" x14ac:dyDescent="0.45">
      <c r="I1329" t="s">
        <v>188</v>
      </c>
      <c r="J1329" t="s">
        <v>317</v>
      </c>
      <c r="K1329">
        <v>3.8375367792176538E-3</v>
      </c>
      <c r="L1329" t="s">
        <v>159</v>
      </c>
      <c r="N1329" t="s">
        <v>231</v>
      </c>
      <c r="O1329" t="s">
        <v>317</v>
      </c>
      <c r="P1329">
        <v>3.3228183240373447E-3</v>
      </c>
      <c r="Q1329" t="s">
        <v>159</v>
      </c>
    </row>
    <row r="1330" spans="9:17" x14ac:dyDescent="0.45">
      <c r="I1330" t="s">
        <v>188</v>
      </c>
      <c r="J1330" t="s">
        <v>318</v>
      </c>
      <c r="K1330">
        <v>1.5857451040531317E-3</v>
      </c>
      <c r="L1330" t="s">
        <v>159</v>
      </c>
      <c r="N1330" t="s">
        <v>231</v>
      </c>
      <c r="O1330" t="s">
        <v>318</v>
      </c>
      <c r="P1330">
        <v>2.6452684074789047E-2</v>
      </c>
      <c r="Q1330" t="s">
        <v>159</v>
      </c>
    </row>
    <row r="1331" spans="9:17" x14ac:dyDescent="0.45">
      <c r="I1331" t="s">
        <v>189</v>
      </c>
      <c r="J1331" t="s">
        <v>158</v>
      </c>
      <c r="K1331">
        <v>1.3321472112198236E-3</v>
      </c>
      <c r="L1331" t="s">
        <v>159</v>
      </c>
      <c r="N1331" t="s">
        <v>232</v>
      </c>
      <c r="O1331" t="s">
        <v>158</v>
      </c>
      <c r="P1331">
        <v>0.13162915710773984</v>
      </c>
      <c r="Q1331" t="s">
        <v>159</v>
      </c>
    </row>
    <row r="1332" spans="9:17" x14ac:dyDescent="0.45">
      <c r="I1332" t="s">
        <v>189</v>
      </c>
      <c r="J1332" t="s">
        <v>160</v>
      </c>
      <c r="K1332">
        <v>1.6924897616757771E-2</v>
      </c>
      <c r="L1332" t="s">
        <v>159</v>
      </c>
      <c r="N1332" t="s">
        <v>232</v>
      </c>
      <c r="O1332" t="s">
        <v>160</v>
      </c>
      <c r="P1332">
        <v>1.3065154626036815E-2</v>
      </c>
      <c r="Q1332" t="s">
        <v>159</v>
      </c>
    </row>
    <row r="1333" spans="9:17" x14ac:dyDescent="0.45">
      <c r="I1333" t="s">
        <v>189</v>
      </c>
      <c r="J1333" t="s">
        <v>161</v>
      </c>
      <c r="K1333">
        <v>0.40902708338500909</v>
      </c>
      <c r="L1333" t="s">
        <v>159</v>
      </c>
      <c r="N1333" t="s">
        <v>232</v>
      </c>
      <c r="O1333" t="s">
        <v>161</v>
      </c>
      <c r="P1333">
        <v>9.4872685074358865E-2</v>
      </c>
      <c r="Q1333" t="s">
        <v>159</v>
      </c>
    </row>
    <row r="1334" spans="9:17" x14ac:dyDescent="0.45">
      <c r="I1334" t="s">
        <v>189</v>
      </c>
      <c r="J1334" t="s">
        <v>287</v>
      </c>
      <c r="K1334">
        <v>3.359779671070879E-2</v>
      </c>
      <c r="L1334" t="s">
        <v>159</v>
      </c>
      <c r="N1334" t="s">
        <v>232</v>
      </c>
      <c r="O1334" t="s">
        <v>287</v>
      </c>
      <c r="P1334">
        <v>1.0274055693907175E-2</v>
      </c>
      <c r="Q1334" t="s">
        <v>159</v>
      </c>
    </row>
    <row r="1335" spans="9:17" x14ac:dyDescent="0.45">
      <c r="I1335" t="s">
        <v>189</v>
      </c>
      <c r="J1335" t="s">
        <v>288</v>
      </c>
      <c r="K1335">
        <v>1.6325638913069953E-2</v>
      </c>
      <c r="L1335" t="s">
        <v>159</v>
      </c>
      <c r="N1335" t="s">
        <v>232</v>
      </c>
      <c r="O1335" t="s">
        <v>288</v>
      </c>
      <c r="P1335">
        <v>1.3730139241044454E-2</v>
      </c>
      <c r="Q1335" t="s">
        <v>159</v>
      </c>
    </row>
    <row r="1336" spans="9:17" x14ac:dyDescent="0.45">
      <c r="I1336" t="s">
        <v>189</v>
      </c>
      <c r="J1336" t="s">
        <v>308</v>
      </c>
      <c r="K1336">
        <v>4.2051116317937858E-3</v>
      </c>
      <c r="L1336" t="s">
        <v>159</v>
      </c>
      <c r="N1336" t="s">
        <v>232</v>
      </c>
      <c r="O1336" t="s">
        <v>308</v>
      </c>
      <c r="P1336">
        <v>0.1252148619538328</v>
      </c>
      <c r="Q1336" t="s">
        <v>159</v>
      </c>
    </row>
    <row r="1337" spans="9:17" x14ac:dyDescent="0.45">
      <c r="I1337" t="s">
        <v>189</v>
      </c>
      <c r="J1337" t="s">
        <v>162</v>
      </c>
      <c r="K1337">
        <v>0</v>
      </c>
      <c r="L1337" t="s">
        <v>159</v>
      </c>
      <c r="N1337" t="s">
        <v>232</v>
      </c>
      <c r="O1337" t="s">
        <v>162</v>
      </c>
      <c r="P1337">
        <v>1.8217939714719241E-2</v>
      </c>
      <c r="Q1337" t="s">
        <v>159</v>
      </c>
    </row>
    <row r="1338" spans="9:17" x14ac:dyDescent="0.45">
      <c r="I1338" t="s">
        <v>189</v>
      </c>
      <c r="J1338" t="s">
        <v>163</v>
      </c>
      <c r="K1338">
        <v>0</v>
      </c>
      <c r="L1338" t="s">
        <v>159</v>
      </c>
      <c r="N1338" t="s">
        <v>232</v>
      </c>
      <c r="O1338" t="s">
        <v>163</v>
      </c>
      <c r="P1338">
        <v>2.3632466148036557E-3</v>
      </c>
      <c r="Q1338" t="s">
        <v>159</v>
      </c>
    </row>
    <row r="1339" spans="9:17" x14ac:dyDescent="0.45">
      <c r="I1339" t="s">
        <v>189</v>
      </c>
      <c r="J1339" t="s">
        <v>164</v>
      </c>
      <c r="K1339">
        <v>5.0542661329683845E-2</v>
      </c>
      <c r="L1339" t="s">
        <v>159</v>
      </c>
      <c r="N1339" t="s">
        <v>232</v>
      </c>
      <c r="O1339" t="s">
        <v>164</v>
      </c>
      <c r="P1339">
        <v>1.7996047716854584E-2</v>
      </c>
      <c r="Q1339" t="s">
        <v>159</v>
      </c>
    </row>
    <row r="1340" spans="9:17" x14ac:dyDescent="0.45">
      <c r="I1340" t="s">
        <v>189</v>
      </c>
      <c r="J1340" t="s">
        <v>289</v>
      </c>
      <c r="K1340">
        <v>4.0659880494541712E-3</v>
      </c>
      <c r="L1340" t="s">
        <v>159</v>
      </c>
      <c r="N1340" t="s">
        <v>232</v>
      </c>
      <c r="O1340" t="s">
        <v>289</v>
      </c>
      <c r="P1340">
        <v>1.9179886727154068E-3</v>
      </c>
      <c r="Q1340" t="s">
        <v>159</v>
      </c>
    </row>
    <row r="1341" spans="9:17" x14ac:dyDescent="0.45">
      <c r="I1341" t="s">
        <v>189</v>
      </c>
      <c r="J1341" t="s">
        <v>290</v>
      </c>
      <c r="K1341">
        <v>0</v>
      </c>
      <c r="L1341" t="s">
        <v>159</v>
      </c>
      <c r="N1341" t="s">
        <v>232</v>
      </c>
      <c r="O1341" t="s">
        <v>290</v>
      </c>
      <c r="P1341">
        <v>2.5993618307482572E-3</v>
      </c>
      <c r="Q1341" t="s">
        <v>159</v>
      </c>
    </row>
    <row r="1342" spans="9:17" x14ac:dyDescent="0.45">
      <c r="I1342" t="s">
        <v>189</v>
      </c>
      <c r="J1342" t="s">
        <v>309</v>
      </c>
      <c r="K1342">
        <v>0</v>
      </c>
      <c r="L1342" t="s">
        <v>159</v>
      </c>
      <c r="N1342" t="s">
        <v>232</v>
      </c>
      <c r="O1342" t="s">
        <v>309</v>
      </c>
      <c r="P1342">
        <v>1.7494123798849473E-2</v>
      </c>
      <c r="Q1342" t="s">
        <v>159</v>
      </c>
    </row>
    <row r="1343" spans="9:17" x14ac:dyDescent="0.45">
      <c r="I1343" t="s">
        <v>189</v>
      </c>
      <c r="J1343" t="s">
        <v>346</v>
      </c>
      <c r="K1343">
        <v>0</v>
      </c>
      <c r="L1343" t="s">
        <v>159</v>
      </c>
      <c r="N1343" t="s">
        <v>232</v>
      </c>
      <c r="O1343" t="s">
        <v>346</v>
      </c>
      <c r="P1343">
        <v>1.1766368014085278E-4</v>
      </c>
      <c r="Q1343" t="s">
        <v>159</v>
      </c>
    </row>
    <row r="1344" spans="9:17" x14ac:dyDescent="0.45">
      <c r="I1344" t="s">
        <v>189</v>
      </c>
      <c r="J1344" t="s">
        <v>347</v>
      </c>
      <c r="K1344">
        <v>0</v>
      </c>
      <c r="L1344" t="s">
        <v>159</v>
      </c>
      <c r="N1344" t="s">
        <v>232</v>
      </c>
      <c r="O1344" t="s">
        <v>347</v>
      </c>
      <c r="P1344">
        <v>1.0555757612434164E-4</v>
      </c>
      <c r="Q1344" t="s">
        <v>159</v>
      </c>
    </row>
    <row r="1345" spans="9:17" x14ac:dyDescent="0.45">
      <c r="I1345" t="s">
        <v>189</v>
      </c>
      <c r="J1345" t="s">
        <v>348</v>
      </c>
      <c r="K1345">
        <v>0</v>
      </c>
      <c r="L1345" t="s">
        <v>159</v>
      </c>
      <c r="N1345" t="s">
        <v>232</v>
      </c>
      <c r="O1345" t="s">
        <v>348</v>
      </c>
      <c r="P1345">
        <v>8.7236805377077735E-5</v>
      </c>
      <c r="Q1345" t="s">
        <v>159</v>
      </c>
    </row>
    <row r="1346" spans="9:17" x14ac:dyDescent="0.45">
      <c r="I1346" t="s">
        <v>189</v>
      </c>
      <c r="J1346" t="s">
        <v>349</v>
      </c>
      <c r="K1346">
        <v>0</v>
      </c>
      <c r="L1346" t="s">
        <v>159</v>
      </c>
      <c r="N1346" t="s">
        <v>232</v>
      </c>
      <c r="O1346" t="s">
        <v>349</v>
      </c>
      <c r="P1346">
        <v>7.115639904228528E-5</v>
      </c>
      <c r="Q1346" t="s">
        <v>159</v>
      </c>
    </row>
    <row r="1347" spans="9:17" x14ac:dyDescent="0.45">
      <c r="I1347" t="s">
        <v>189</v>
      </c>
      <c r="J1347" t="s">
        <v>350</v>
      </c>
      <c r="K1347">
        <v>0</v>
      </c>
      <c r="L1347" t="s">
        <v>159</v>
      </c>
      <c r="N1347" t="s">
        <v>232</v>
      </c>
      <c r="O1347" t="s">
        <v>350</v>
      </c>
      <c r="P1347">
        <v>5.9268059560487113E-5</v>
      </c>
      <c r="Q1347" t="s">
        <v>159</v>
      </c>
    </row>
    <row r="1348" spans="9:17" x14ac:dyDescent="0.45">
      <c r="I1348" t="s">
        <v>189</v>
      </c>
      <c r="J1348" t="s">
        <v>351</v>
      </c>
      <c r="K1348">
        <v>0</v>
      </c>
      <c r="L1348" t="s">
        <v>159</v>
      </c>
      <c r="N1348" t="s">
        <v>232</v>
      </c>
      <c r="O1348" t="s">
        <v>351</v>
      </c>
      <c r="P1348">
        <v>4.9596488298278044E-5</v>
      </c>
      <c r="Q1348" t="s">
        <v>159</v>
      </c>
    </row>
    <row r="1349" spans="9:17" x14ac:dyDescent="0.45">
      <c r="I1349" t="s">
        <v>189</v>
      </c>
      <c r="J1349" t="s">
        <v>352</v>
      </c>
      <c r="K1349">
        <v>0</v>
      </c>
      <c r="L1349" t="s">
        <v>159</v>
      </c>
      <c r="N1349" t="s">
        <v>232</v>
      </c>
      <c r="O1349" t="s">
        <v>352</v>
      </c>
      <c r="P1349">
        <v>4.2482045602337977E-5</v>
      </c>
      <c r="Q1349" t="s">
        <v>159</v>
      </c>
    </row>
    <row r="1350" spans="9:17" x14ac:dyDescent="0.45">
      <c r="I1350" t="s">
        <v>189</v>
      </c>
      <c r="J1350" t="s">
        <v>353</v>
      </c>
      <c r="K1350">
        <v>0</v>
      </c>
      <c r="L1350" t="s">
        <v>159</v>
      </c>
      <c r="N1350" t="s">
        <v>232</v>
      </c>
      <c r="O1350" t="s">
        <v>353</v>
      </c>
      <c r="P1350">
        <v>3.9772889314220204E-5</v>
      </c>
      <c r="Q1350" t="s">
        <v>159</v>
      </c>
    </row>
    <row r="1351" spans="9:17" x14ac:dyDescent="0.45">
      <c r="I1351" t="s">
        <v>189</v>
      </c>
      <c r="J1351" t="s">
        <v>354</v>
      </c>
      <c r="K1351">
        <v>1.0655181511728281E-4</v>
      </c>
      <c r="L1351" t="s">
        <v>159</v>
      </c>
      <c r="N1351" t="s">
        <v>232</v>
      </c>
      <c r="O1351" t="s">
        <v>354</v>
      </c>
      <c r="P1351">
        <v>3.2284367355939638E-5</v>
      </c>
      <c r="Q1351" t="s">
        <v>159</v>
      </c>
    </row>
    <row r="1352" spans="9:17" x14ac:dyDescent="0.45">
      <c r="I1352" t="s">
        <v>189</v>
      </c>
      <c r="J1352" t="s">
        <v>355</v>
      </c>
      <c r="K1352">
        <v>1.6694469590483103E-4</v>
      </c>
      <c r="L1352" t="s">
        <v>159</v>
      </c>
      <c r="N1352" t="s">
        <v>232</v>
      </c>
      <c r="O1352" t="s">
        <v>355</v>
      </c>
      <c r="P1352">
        <v>1.1428044958346995E-5</v>
      </c>
      <c r="Q1352" t="s">
        <v>159</v>
      </c>
    </row>
    <row r="1353" spans="9:17" x14ac:dyDescent="0.45">
      <c r="I1353" t="s">
        <v>189</v>
      </c>
      <c r="J1353" t="s">
        <v>356</v>
      </c>
      <c r="K1353">
        <v>2.0945270871800242E-4</v>
      </c>
      <c r="L1353" t="s">
        <v>159</v>
      </c>
      <c r="N1353" t="s">
        <v>232</v>
      </c>
      <c r="O1353" t="s">
        <v>356</v>
      </c>
      <c r="P1353">
        <v>2.1610961498920597E-5</v>
      </c>
      <c r="Q1353" t="s">
        <v>159</v>
      </c>
    </row>
    <row r="1354" spans="9:17" x14ac:dyDescent="0.45">
      <c r="I1354" t="s">
        <v>189</v>
      </c>
      <c r="J1354" t="s">
        <v>357</v>
      </c>
      <c r="K1354">
        <v>2.3300910309639113E-4</v>
      </c>
      <c r="L1354" t="s">
        <v>159</v>
      </c>
      <c r="N1354" t="s">
        <v>232</v>
      </c>
      <c r="O1354" t="s">
        <v>357</v>
      </c>
      <c r="P1354">
        <v>1.9489059508223459E-5</v>
      </c>
      <c r="Q1354" t="s">
        <v>159</v>
      </c>
    </row>
    <row r="1355" spans="9:17" x14ac:dyDescent="0.45">
      <c r="I1355" t="s">
        <v>189</v>
      </c>
      <c r="J1355" t="s">
        <v>358</v>
      </c>
      <c r="K1355">
        <v>2.7095479493509513E-4</v>
      </c>
      <c r="L1355" t="s">
        <v>159</v>
      </c>
      <c r="N1355" t="s">
        <v>232</v>
      </c>
      <c r="O1355" t="s">
        <v>358</v>
      </c>
      <c r="P1355">
        <v>1.4144960255316576E-5</v>
      </c>
      <c r="Q1355" t="s">
        <v>159</v>
      </c>
    </row>
    <row r="1356" spans="9:17" x14ac:dyDescent="0.45">
      <c r="I1356" t="s">
        <v>189</v>
      </c>
      <c r="J1356" t="s">
        <v>359</v>
      </c>
      <c r="K1356">
        <v>2.5251576059857157E-4</v>
      </c>
      <c r="L1356" t="s">
        <v>159</v>
      </c>
      <c r="N1356" t="s">
        <v>232</v>
      </c>
      <c r="O1356" t="s">
        <v>359</v>
      </c>
      <c r="P1356">
        <v>1.1831135237705873E-5</v>
      </c>
      <c r="Q1356" t="s">
        <v>159</v>
      </c>
    </row>
    <row r="1357" spans="9:17" x14ac:dyDescent="0.45">
      <c r="I1357" t="s">
        <v>189</v>
      </c>
      <c r="J1357" t="s">
        <v>360</v>
      </c>
      <c r="K1357">
        <v>1.7839178924052742E-4</v>
      </c>
      <c r="L1357" t="s">
        <v>159</v>
      </c>
      <c r="N1357" t="s">
        <v>232</v>
      </c>
      <c r="O1357" t="s">
        <v>360</v>
      </c>
      <c r="P1357">
        <v>1.0578550273472767E-5</v>
      </c>
      <c r="Q1357" t="s">
        <v>159</v>
      </c>
    </row>
    <row r="1358" spans="9:17" x14ac:dyDescent="0.45">
      <c r="I1358" t="s">
        <v>189</v>
      </c>
      <c r="J1358" t="s">
        <v>361</v>
      </c>
      <c r="K1358">
        <v>1.3390305687712429E-4</v>
      </c>
      <c r="L1358" t="s">
        <v>159</v>
      </c>
      <c r="N1358" t="s">
        <v>232</v>
      </c>
      <c r="O1358" t="s">
        <v>361</v>
      </c>
      <c r="P1358">
        <v>1.1271423432911251E-5</v>
      </c>
      <c r="Q1358" t="s">
        <v>159</v>
      </c>
    </row>
    <row r="1359" spans="9:17" x14ac:dyDescent="0.45">
      <c r="I1359" t="s">
        <v>189</v>
      </c>
      <c r="J1359" t="s">
        <v>362</v>
      </c>
      <c r="K1359">
        <v>1.0932612115000331E-4</v>
      </c>
      <c r="L1359" t="s">
        <v>159</v>
      </c>
      <c r="N1359" t="s">
        <v>232</v>
      </c>
      <c r="O1359" t="s">
        <v>362</v>
      </c>
      <c r="P1359">
        <v>1.7512446759870968E-5</v>
      </c>
      <c r="Q1359" t="s">
        <v>159</v>
      </c>
    </row>
    <row r="1360" spans="9:17" x14ac:dyDescent="0.45">
      <c r="I1360" t="s">
        <v>189</v>
      </c>
      <c r="J1360" t="s">
        <v>363</v>
      </c>
      <c r="K1360">
        <v>1.0497583305692339E-4</v>
      </c>
      <c r="L1360" t="s">
        <v>159</v>
      </c>
      <c r="N1360" t="s">
        <v>232</v>
      </c>
      <c r="O1360" t="s">
        <v>363</v>
      </c>
      <c r="P1360">
        <v>3.4047746590747518E-5</v>
      </c>
      <c r="Q1360" t="s">
        <v>159</v>
      </c>
    </row>
    <row r="1361" spans="9:17" x14ac:dyDescent="0.45">
      <c r="I1361" t="s">
        <v>189</v>
      </c>
      <c r="J1361" t="s">
        <v>364</v>
      </c>
      <c r="K1361">
        <v>0</v>
      </c>
      <c r="L1361" t="s">
        <v>159</v>
      </c>
      <c r="N1361" t="s">
        <v>232</v>
      </c>
      <c r="O1361" t="s">
        <v>364</v>
      </c>
      <c r="P1361">
        <v>8.5351581618406516E-5</v>
      </c>
      <c r="Q1361" t="s">
        <v>159</v>
      </c>
    </row>
    <row r="1362" spans="9:17" x14ac:dyDescent="0.45">
      <c r="I1362" t="s">
        <v>189</v>
      </c>
      <c r="J1362" t="s">
        <v>365</v>
      </c>
      <c r="K1362">
        <v>0</v>
      </c>
      <c r="L1362" t="s">
        <v>159</v>
      </c>
      <c r="N1362" t="s">
        <v>232</v>
      </c>
      <c r="O1362" t="s">
        <v>365</v>
      </c>
      <c r="P1362">
        <v>1.3929978165181549E-4</v>
      </c>
      <c r="Q1362" t="s">
        <v>159</v>
      </c>
    </row>
    <row r="1363" spans="9:17" x14ac:dyDescent="0.45">
      <c r="I1363" t="s">
        <v>189</v>
      </c>
      <c r="J1363" t="s">
        <v>366</v>
      </c>
      <c r="K1363">
        <v>0</v>
      </c>
      <c r="L1363" t="s">
        <v>159</v>
      </c>
      <c r="N1363" t="s">
        <v>232</v>
      </c>
      <c r="O1363" t="s">
        <v>366</v>
      </c>
      <c r="P1363">
        <v>1.6669685105044553E-4</v>
      </c>
      <c r="Q1363" t="s">
        <v>159</v>
      </c>
    </row>
    <row r="1364" spans="9:17" x14ac:dyDescent="0.45">
      <c r="I1364" t="s">
        <v>189</v>
      </c>
      <c r="J1364" t="s">
        <v>367</v>
      </c>
      <c r="K1364">
        <v>0</v>
      </c>
      <c r="L1364" t="s">
        <v>159</v>
      </c>
      <c r="N1364" t="s">
        <v>232</v>
      </c>
      <c r="O1364" t="s">
        <v>367</v>
      </c>
      <c r="P1364">
        <v>1.5858427592906684E-4</v>
      </c>
      <c r="Q1364" t="s">
        <v>159</v>
      </c>
    </row>
    <row r="1365" spans="9:17" x14ac:dyDescent="0.45">
      <c r="I1365" t="s">
        <v>189</v>
      </c>
      <c r="J1365" t="s">
        <v>368</v>
      </c>
      <c r="K1365">
        <v>0</v>
      </c>
      <c r="L1365" t="s">
        <v>159</v>
      </c>
      <c r="N1365" t="s">
        <v>232</v>
      </c>
      <c r="O1365" t="s">
        <v>368</v>
      </c>
      <c r="P1365">
        <v>1.3986271826213354E-4</v>
      </c>
      <c r="Q1365" t="s">
        <v>159</v>
      </c>
    </row>
    <row r="1366" spans="9:17" x14ac:dyDescent="0.45">
      <c r="I1366" t="s">
        <v>189</v>
      </c>
      <c r="J1366" t="s">
        <v>369</v>
      </c>
      <c r="K1366">
        <v>0</v>
      </c>
      <c r="L1366" t="s">
        <v>159</v>
      </c>
      <c r="N1366" t="s">
        <v>232</v>
      </c>
      <c r="O1366" t="s">
        <v>369</v>
      </c>
      <c r="P1366">
        <v>1.1791738009775388E-4</v>
      </c>
      <c r="Q1366" t="s">
        <v>159</v>
      </c>
    </row>
    <row r="1367" spans="9:17" x14ac:dyDescent="0.45">
      <c r="I1367" t="s">
        <v>189</v>
      </c>
      <c r="J1367" t="s">
        <v>165</v>
      </c>
      <c r="K1367">
        <v>0</v>
      </c>
      <c r="L1367" t="s">
        <v>159</v>
      </c>
      <c r="N1367" t="s">
        <v>232</v>
      </c>
      <c r="O1367" t="s">
        <v>165</v>
      </c>
      <c r="P1367">
        <v>2.4012736021163082E-2</v>
      </c>
      <c r="Q1367" t="s">
        <v>159</v>
      </c>
    </row>
    <row r="1368" spans="9:17" x14ac:dyDescent="0.45">
      <c r="I1368" t="s">
        <v>189</v>
      </c>
      <c r="J1368" t="s">
        <v>166</v>
      </c>
      <c r="K1368">
        <v>5.7869341197491872E-4</v>
      </c>
      <c r="L1368" t="s">
        <v>159</v>
      </c>
      <c r="N1368" t="s">
        <v>232</v>
      </c>
      <c r="O1368" t="s">
        <v>166</v>
      </c>
      <c r="P1368">
        <v>2.7092002665710978E-3</v>
      </c>
      <c r="Q1368" t="s">
        <v>159</v>
      </c>
    </row>
    <row r="1369" spans="9:17" x14ac:dyDescent="0.45">
      <c r="I1369" t="s">
        <v>189</v>
      </c>
      <c r="J1369" t="s">
        <v>167</v>
      </c>
      <c r="K1369">
        <v>6.5672444583394482E-2</v>
      </c>
      <c r="L1369" t="s">
        <v>159</v>
      </c>
      <c r="N1369" t="s">
        <v>232</v>
      </c>
      <c r="O1369" t="s">
        <v>167</v>
      </c>
      <c r="P1369">
        <v>1.7854407819453449E-2</v>
      </c>
      <c r="Q1369" t="s">
        <v>159</v>
      </c>
    </row>
    <row r="1370" spans="9:17" x14ac:dyDescent="0.45">
      <c r="I1370" t="s">
        <v>189</v>
      </c>
      <c r="J1370" t="s">
        <v>291</v>
      </c>
      <c r="K1370">
        <v>5.5235402089531069E-3</v>
      </c>
      <c r="L1370" t="s">
        <v>159</v>
      </c>
      <c r="N1370" t="s">
        <v>232</v>
      </c>
      <c r="O1370" t="s">
        <v>291</v>
      </c>
      <c r="P1370">
        <v>2.0454020313568975E-3</v>
      </c>
      <c r="Q1370" t="s">
        <v>159</v>
      </c>
    </row>
    <row r="1371" spans="9:17" x14ac:dyDescent="0.45">
      <c r="I1371" t="s">
        <v>189</v>
      </c>
      <c r="J1371" t="s">
        <v>292</v>
      </c>
      <c r="K1371">
        <v>6.4730909449733399E-4</v>
      </c>
      <c r="L1371" t="s">
        <v>159</v>
      </c>
      <c r="N1371" t="s">
        <v>232</v>
      </c>
      <c r="O1371" t="s">
        <v>292</v>
      </c>
      <c r="P1371">
        <v>2.8872490789958872E-3</v>
      </c>
      <c r="Q1371" t="s">
        <v>159</v>
      </c>
    </row>
    <row r="1372" spans="9:17" x14ac:dyDescent="0.45">
      <c r="I1372" t="s">
        <v>189</v>
      </c>
      <c r="J1372" t="s">
        <v>310</v>
      </c>
      <c r="K1372">
        <v>0</v>
      </c>
      <c r="L1372" t="s">
        <v>159</v>
      </c>
      <c r="N1372" t="s">
        <v>232</v>
      </c>
      <c r="O1372" t="s">
        <v>310</v>
      </c>
      <c r="P1372">
        <v>2.1879352420516401E-2</v>
      </c>
      <c r="Q1372" t="s">
        <v>159</v>
      </c>
    </row>
    <row r="1373" spans="9:17" x14ac:dyDescent="0.45">
      <c r="I1373" t="s">
        <v>189</v>
      </c>
      <c r="J1373" t="s">
        <v>293</v>
      </c>
      <c r="K1373">
        <v>0</v>
      </c>
      <c r="L1373" t="s">
        <v>159</v>
      </c>
      <c r="N1373" t="s">
        <v>232</v>
      </c>
      <c r="O1373" t="s">
        <v>293</v>
      </c>
      <c r="P1373">
        <v>8.1336579191260746E-3</v>
      </c>
      <c r="Q1373" t="s">
        <v>159</v>
      </c>
    </row>
    <row r="1374" spans="9:17" x14ac:dyDescent="0.45">
      <c r="I1374" t="s">
        <v>189</v>
      </c>
      <c r="J1374" t="s">
        <v>294</v>
      </c>
      <c r="K1374">
        <v>8.0794543127141172E-4</v>
      </c>
      <c r="L1374" t="s">
        <v>159</v>
      </c>
      <c r="N1374" t="s">
        <v>232</v>
      </c>
      <c r="O1374" t="s">
        <v>294</v>
      </c>
      <c r="P1374">
        <v>8.7237761982789899E-4</v>
      </c>
      <c r="Q1374" t="s">
        <v>159</v>
      </c>
    </row>
    <row r="1375" spans="9:17" x14ac:dyDescent="0.45">
      <c r="I1375" t="s">
        <v>189</v>
      </c>
      <c r="J1375" t="s">
        <v>295</v>
      </c>
      <c r="K1375">
        <v>1.5324151692563626E-2</v>
      </c>
      <c r="L1375" t="s">
        <v>159</v>
      </c>
      <c r="N1375" t="s">
        <v>232</v>
      </c>
      <c r="O1375" t="s">
        <v>295</v>
      </c>
      <c r="P1375">
        <v>7.4732253528918546E-3</v>
      </c>
      <c r="Q1375" t="s">
        <v>159</v>
      </c>
    </row>
    <row r="1376" spans="9:17" x14ac:dyDescent="0.45">
      <c r="I1376" t="s">
        <v>189</v>
      </c>
      <c r="J1376" t="s">
        <v>296</v>
      </c>
      <c r="K1376">
        <v>1.2125969705628968E-3</v>
      </c>
      <c r="L1376" t="s">
        <v>159</v>
      </c>
      <c r="N1376" t="s">
        <v>232</v>
      </c>
      <c r="O1376" t="s">
        <v>296</v>
      </c>
      <c r="P1376">
        <v>8.14179603823202E-4</v>
      </c>
      <c r="Q1376" t="s">
        <v>159</v>
      </c>
    </row>
    <row r="1377" spans="9:17" x14ac:dyDescent="0.45">
      <c r="I1377" t="s">
        <v>189</v>
      </c>
      <c r="J1377" t="s">
        <v>297</v>
      </c>
      <c r="K1377">
        <v>8.0447439399531956E-4</v>
      </c>
      <c r="L1377" t="s">
        <v>159</v>
      </c>
      <c r="N1377" t="s">
        <v>232</v>
      </c>
      <c r="O1377" t="s">
        <v>297</v>
      </c>
      <c r="P1377">
        <v>9.8912109202506024E-4</v>
      </c>
      <c r="Q1377" t="s">
        <v>159</v>
      </c>
    </row>
    <row r="1378" spans="9:17" x14ac:dyDescent="0.45">
      <c r="I1378" t="s">
        <v>189</v>
      </c>
      <c r="J1378" t="s">
        <v>311</v>
      </c>
      <c r="K1378">
        <v>0</v>
      </c>
      <c r="L1378" t="s">
        <v>159</v>
      </c>
      <c r="N1378" t="s">
        <v>232</v>
      </c>
      <c r="O1378" t="s">
        <v>311</v>
      </c>
      <c r="P1378">
        <v>8.4795938143885259E-3</v>
      </c>
      <c r="Q1378" t="s">
        <v>159</v>
      </c>
    </row>
    <row r="1379" spans="9:17" x14ac:dyDescent="0.45">
      <c r="I1379" t="s">
        <v>189</v>
      </c>
      <c r="J1379" t="s">
        <v>298</v>
      </c>
      <c r="K1379">
        <v>3.939439645977919E-3</v>
      </c>
      <c r="L1379" t="s">
        <v>159</v>
      </c>
      <c r="N1379" t="s">
        <v>232</v>
      </c>
      <c r="O1379" t="s">
        <v>298</v>
      </c>
      <c r="P1379">
        <v>0.11584945054349202</v>
      </c>
      <c r="Q1379" t="s">
        <v>159</v>
      </c>
    </row>
    <row r="1380" spans="9:17" x14ac:dyDescent="0.45">
      <c r="I1380" t="s">
        <v>189</v>
      </c>
      <c r="J1380" t="s">
        <v>299</v>
      </c>
      <c r="K1380">
        <v>1.5194038826997536E-2</v>
      </c>
      <c r="L1380" t="s">
        <v>159</v>
      </c>
      <c r="N1380" t="s">
        <v>232</v>
      </c>
      <c r="O1380" t="s">
        <v>299</v>
      </c>
      <c r="P1380">
        <v>1.3552524662237752E-2</v>
      </c>
      <c r="Q1380" t="s">
        <v>159</v>
      </c>
    </row>
    <row r="1381" spans="9:17" x14ac:dyDescent="0.45">
      <c r="I1381" t="s">
        <v>189</v>
      </c>
      <c r="J1381" t="s">
        <v>300</v>
      </c>
      <c r="K1381">
        <v>0.24474471645771267</v>
      </c>
      <c r="L1381" t="s">
        <v>159</v>
      </c>
      <c r="N1381" t="s">
        <v>232</v>
      </c>
      <c r="O1381" t="s">
        <v>300</v>
      </c>
      <c r="P1381">
        <v>0.10036591645993882</v>
      </c>
      <c r="Q1381" t="s">
        <v>159</v>
      </c>
    </row>
    <row r="1382" spans="9:17" x14ac:dyDescent="0.45">
      <c r="I1382" t="s">
        <v>189</v>
      </c>
      <c r="J1382" t="s">
        <v>301</v>
      </c>
      <c r="K1382">
        <v>1.8257581189021127E-2</v>
      </c>
      <c r="L1382" t="s">
        <v>159</v>
      </c>
      <c r="N1382" t="s">
        <v>232</v>
      </c>
      <c r="O1382" t="s">
        <v>301</v>
      </c>
      <c r="P1382">
        <v>1.2083377521588905E-2</v>
      </c>
      <c r="Q1382" t="s">
        <v>159</v>
      </c>
    </row>
    <row r="1383" spans="9:17" x14ac:dyDescent="0.45">
      <c r="I1383" t="s">
        <v>189</v>
      </c>
      <c r="J1383" t="s">
        <v>302</v>
      </c>
      <c r="K1383">
        <v>1.178685395262693E-2</v>
      </c>
      <c r="L1383" t="s">
        <v>159</v>
      </c>
      <c r="N1383" t="s">
        <v>232</v>
      </c>
      <c r="O1383" t="s">
        <v>302</v>
      </c>
      <c r="P1383">
        <v>1.4942371448544959E-2</v>
      </c>
      <c r="Q1383" t="s">
        <v>159</v>
      </c>
    </row>
    <row r="1384" spans="9:17" x14ac:dyDescent="0.45">
      <c r="I1384" t="s">
        <v>189</v>
      </c>
      <c r="J1384" t="s">
        <v>312</v>
      </c>
      <c r="K1384">
        <v>0</v>
      </c>
      <c r="L1384" t="s">
        <v>159</v>
      </c>
      <c r="N1384" t="s">
        <v>232</v>
      </c>
      <c r="O1384" t="s">
        <v>312</v>
      </c>
      <c r="P1384">
        <v>0.12117368589884968</v>
      </c>
      <c r="Q1384" t="s">
        <v>159</v>
      </c>
    </row>
    <row r="1385" spans="9:17" x14ac:dyDescent="0.45">
      <c r="I1385" t="s">
        <v>189</v>
      </c>
      <c r="J1385" t="s">
        <v>313</v>
      </c>
      <c r="K1385">
        <v>1.7418392595712668E-3</v>
      </c>
      <c r="L1385" t="s">
        <v>159</v>
      </c>
      <c r="N1385" t="s">
        <v>232</v>
      </c>
      <c r="O1385" t="s">
        <v>313</v>
      </c>
      <c r="P1385">
        <v>2.0982365981701296E-2</v>
      </c>
      <c r="Q1385" t="s">
        <v>159</v>
      </c>
    </row>
    <row r="1386" spans="9:17" x14ac:dyDescent="0.45">
      <c r="I1386" t="s">
        <v>189</v>
      </c>
      <c r="J1386" t="s">
        <v>314</v>
      </c>
      <c r="K1386">
        <v>3.4291902927086788E-3</v>
      </c>
      <c r="L1386" t="s">
        <v>159</v>
      </c>
      <c r="N1386" t="s">
        <v>232</v>
      </c>
      <c r="O1386" t="s">
        <v>314</v>
      </c>
      <c r="P1386">
        <v>2.3629644909417586E-3</v>
      </c>
      <c r="Q1386" t="s">
        <v>159</v>
      </c>
    </row>
    <row r="1387" spans="9:17" x14ac:dyDescent="0.45">
      <c r="I1387" t="s">
        <v>189</v>
      </c>
      <c r="J1387" t="s">
        <v>315</v>
      </c>
      <c r="K1387">
        <v>6.2584696796567946E-2</v>
      </c>
      <c r="L1387" t="s">
        <v>159</v>
      </c>
      <c r="N1387" t="s">
        <v>232</v>
      </c>
      <c r="O1387" t="s">
        <v>315</v>
      </c>
      <c r="P1387">
        <v>1.9855952542394504E-2</v>
      </c>
      <c r="Q1387" t="s">
        <v>159</v>
      </c>
    </row>
    <row r="1388" spans="9:17" x14ac:dyDescent="0.45">
      <c r="I1388" t="s">
        <v>189</v>
      </c>
      <c r="J1388" t="s">
        <v>316</v>
      </c>
      <c r="K1388">
        <v>4.9580133670001809E-3</v>
      </c>
      <c r="L1388" t="s">
        <v>159</v>
      </c>
      <c r="N1388" t="s">
        <v>232</v>
      </c>
      <c r="O1388" t="s">
        <v>316</v>
      </c>
      <c r="P1388">
        <v>2.370025578335514E-3</v>
      </c>
      <c r="Q1388" t="s">
        <v>159</v>
      </c>
    </row>
    <row r="1389" spans="9:17" x14ac:dyDescent="0.45">
      <c r="I1389" t="s">
        <v>189</v>
      </c>
      <c r="J1389" t="s">
        <v>317</v>
      </c>
      <c r="K1389">
        <v>3.4509508683690971E-3</v>
      </c>
      <c r="L1389" t="s">
        <v>159</v>
      </c>
      <c r="N1389" t="s">
        <v>232</v>
      </c>
      <c r="O1389" t="s">
        <v>317</v>
      </c>
      <c r="P1389">
        <v>3.0250586928873258E-3</v>
      </c>
      <c r="Q1389" t="s">
        <v>159</v>
      </c>
    </row>
    <row r="1390" spans="9:17" x14ac:dyDescent="0.45">
      <c r="I1390" t="s">
        <v>189</v>
      </c>
      <c r="J1390" t="s">
        <v>318</v>
      </c>
      <c r="K1390">
        <v>1.5541730298439399E-3</v>
      </c>
      <c r="L1390" t="s">
        <v>159</v>
      </c>
      <c r="N1390" t="s">
        <v>232</v>
      </c>
      <c r="O1390" t="s">
        <v>318</v>
      </c>
      <c r="P1390">
        <v>2.4346395865399249E-2</v>
      </c>
      <c r="Q1390" t="s">
        <v>159</v>
      </c>
    </row>
    <row r="1391" spans="9:17" x14ac:dyDescent="0.45">
      <c r="I1391" t="s">
        <v>190</v>
      </c>
      <c r="J1391" t="s">
        <v>158</v>
      </c>
      <c r="K1391">
        <v>1.0581243755480949E-3</v>
      </c>
      <c r="L1391" t="s">
        <v>159</v>
      </c>
      <c r="N1391" t="s">
        <v>233</v>
      </c>
      <c r="O1391" t="s">
        <v>158</v>
      </c>
      <c r="P1391">
        <v>0.15003548151857043</v>
      </c>
      <c r="Q1391" t="s">
        <v>159</v>
      </c>
    </row>
    <row r="1392" spans="9:17" x14ac:dyDescent="0.45">
      <c r="I1392" t="s">
        <v>190</v>
      </c>
      <c r="J1392" t="s">
        <v>160</v>
      </c>
      <c r="K1392">
        <v>2.0586497186446489E-2</v>
      </c>
      <c r="L1392" t="s">
        <v>159</v>
      </c>
      <c r="N1392" t="s">
        <v>233</v>
      </c>
      <c r="O1392" t="s">
        <v>160</v>
      </c>
      <c r="P1392">
        <v>1.5912840587272613E-2</v>
      </c>
      <c r="Q1392" t="s">
        <v>159</v>
      </c>
    </row>
    <row r="1393" spans="9:17" x14ac:dyDescent="0.45">
      <c r="I1393" t="s">
        <v>190</v>
      </c>
      <c r="J1393" t="s">
        <v>161</v>
      </c>
      <c r="K1393">
        <v>0.3987809680278247</v>
      </c>
      <c r="L1393" t="s">
        <v>159</v>
      </c>
      <c r="N1393" t="s">
        <v>233</v>
      </c>
      <c r="O1393" t="s">
        <v>161</v>
      </c>
      <c r="P1393">
        <v>9.2158631340072003E-2</v>
      </c>
      <c r="Q1393" t="s">
        <v>159</v>
      </c>
    </row>
    <row r="1394" spans="9:17" x14ac:dyDescent="0.45">
      <c r="I1394" t="s">
        <v>190</v>
      </c>
      <c r="J1394" t="s">
        <v>287</v>
      </c>
      <c r="K1394">
        <v>3.5515486396560339E-2</v>
      </c>
      <c r="L1394" t="s">
        <v>159</v>
      </c>
      <c r="N1394" t="s">
        <v>233</v>
      </c>
      <c r="O1394" t="s">
        <v>287</v>
      </c>
      <c r="P1394">
        <v>7.4329966337060875E-3</v>
      </c>
      <c r="Q1394" t="s">
        <v>159</v>
      </c>
    </row>
    <row r="1395" spans="9:17" x14ac:dyDescent="0.45">
      <c r="I1395" t="s">
        <v>190</v>
      </c>
      <c r="J1395" t="s">
        <v>288</v>
      </c>
      <c r="K1395">
        <v>1.9267528361957154E-2</v>
      </c>
      <c r="L1395" t="s">
        <v>159</v>
      </c>
      <c r="N1395" t="s">
        <v>233</v>
      </c>
      <c r="O1395" t="s">
        <v>288</v>
      </c>
      <c r="P1395">
        <v>9.327883057821694E-3</v>
      </c>
      <c r="Q1395" t="s">
        <v>159</v>
      </c>
    </row>
    <row r="1396" spans="9:17" x14ac:dyDescent="0.45">
      <c r="I1396" t="s">
        <v>190</v>
      </c>
      <c r="J1396" t="s">
        <v>308</v>
      </c>
      <c r="K1396">
        <v>4.9341144028411804E-3</v>
      </c>
      <c r="L1396" t="s">
        <v>159</v>
      </c>
      <c r="N1396" t="s">
        <v>233</v>
      </c>
      <c r="O1396" t="s">
        <v>308</v>
      </c>
      <c r="P1396">
        <v>9.2400632558156018E-2</v>
      </c>
      <c r="Q1396" t="s">
        <v>159</v>
      </c>
    </row>
    <row r="1397" spans="9:17" x14ac:dyDescent="0.45">
      <c r="I1397" t="s">
        <v>190</v>
      </c>
      <c r="J1397" t="s">
        <v>162</v>
      </c>
      <c r="K1397">
        <v>0</v>
      </c>
      <c r="L1397" t="s">
        <v>159</v>
      </c>
      <c r="N1397" t="s">
        <v>233</v>
      </c>
      <c r="O1397" t="s">
        <v>162</v>
      </c>
      <c r="P1397">
        <v>2.2923056444343809E-2</v>
      </c>
      <c r="Q1397" t="s">
        <v>159</v>
      </c>
    </row>
    <row r="1398" spans="9:17" x14ac:dyDescent="0.45">
      <c r="I1398" t="s">
        <v>190</v>
      </c>
      <c r="J1398" t="s">
        <v>163</v>
      </c>
      <c r="K1398">
        <v>0</v>
      </c>
      <c r="L1398" t="s">
        <v>159</v>
      </c>
      <c r="N1398" t="s">
        <v>233</v>
      </c>
      <c r="O1398" t="s">
        <v>163</v>
      </c>
      <c r="P1398">
        <v>2.5976694449395803E-3</v>
      </c>
      <c r="Q1398" t="s">
        <v>159</v>
      </c>
    </row>
    <row r="1399" spans="9:17" x14ac:dyDescent="0.45">
      <c r="I1399" t="s">
        <v>190</v>
      </c>
      <c r="J1399" t="s">
        <v>164</v>
      </c>
      <c r="K1399">
        <v>5.102991272507737E-2</v>
      </c>
      <c r="L1399" t="s">
        <v>159</v>
      </c>
      <c r="N1399" t="s">
        <v>233</v>
      </c>
      <c r="O1399" t="s">
        <v>164</v>
      </c>
      <c r="P1399">
        <v>1.77865207022944E-2</v>
      </c>
      <c r="Q1399" t="s">
        <v>159</v>
      </c>
    </row>
    <row r="1400" spans="9:17" x14ac:dyDescent="0.45">
      <c r="I1400" t="s">
        <v>190</v>
      </c>
      <c r="J1400" t="s">
        <v>289</v>
      </c>
      <c r="K1400">
        <v>4.0254794634218697E-3</v>
      </c>
      <c r="L1400" t="s">
        <v>159</v>
      </c>
      <c r="N1400" t="s">
        <v>233</v>
      </c>
      <c r="O1400" t="s">
        <v>289</v>
      </c>
      <c r="P1400">
        <v>1.629985369970613E-3</v>
      </c>
      <c r="Q1400" t="s">
        <v>159</v>
      </c>
    </row>
    <row r="1401" spans="9:17" x14ac:dyDescent="0.45">
      <c r="I1401" t="s">
        <v>190</v>
      </c>
      <c r="J1401" t="s">
        <v>290</v>
      </c>
      <c r="K1401">
        <v>0</v>
      </c>
      <c r="L1401" t="s">
        <v>159</v>
      </c>
      <c r="N1401" t="s">
        <v>233</v>
      </c>
      <c r="O1401" t="s">
        <v>290</v>
      </c>
      <c r="P1401">
        <v>2.098882009315216E-3</v>
      </c>
      <c r="Q1401" t="s">
        <v>159</v>
      </c>
    </row>
    <row r="1402" spans="9:17" x14ac:dyDescent="0.45">
      <c r="I1402" t="s">
        <v>190</v>
      </c>
      <c r="J1402" t="s">
        <v>309</v>
      </c>
      <c r="K1402">
        <v>0</v>
      </c>
      <c r="L1402" t="s">
        <v>159</v>
      </c>
      <c r="N1402" t="s">
        <v>233</v>
      </c>
      <c r="O1402" t="s">
        <v>309</v>
      </c>
      <c r="P1402">
        <v>1.8162372498845482E-2</v>
      </c>
      <c r="Q1402" t="s">
        <v>159</v>
      </c>
    </row>
    <row r="1403" spans="9:17" x14ac:dyDescent="0.45">
      <c r="I1403" t="s">
        <v>190</v>
      </c>
      <c r="J1403" t="s">
        <v>346</v>
      </c>
      <c r="K1403">
        <v>0</v>
      </c>
      <c r="L1403" t="s">
        <v>159</v>
      </c>
      <c r="N1403" t="s">
        <v>233</v>
      </c>
      <c r="O1403" t="s">
        <v>346</v>
      </c>
      <c r="P1403">
        <v>5.3790802721429507E-5</v>
      </c>
      <c r="Q1403" t="s">
        <v>159</v>
      </c>
    </row>
    <row r="1404" spans="9:17" x14ac:dyDescent="0.45">
      <c r="I1404" t="s">
        <v>190</v>
      </c>
      <c r="J1404" t="s">
        <v>347</v>
      </c>
      <c r="K1404">
        <v>0</v>
      </c>
      <c r="L1404" t="s">
        <v>159</v>
      </c>
      <c r="N1404" t="s">
        <v>233</v>
      </c>
      <c r="O1404" t="s">
        <v>347</v>
      </c>
      <c r="P1404">
        <v>6.0276998569468179E-5</v>
      </c>
      <c r="Q1404" t="s">
        <v>159</v>
      </c>
    </row>
    <row r="1405" spans="9:17" x14ac:dyDescent="0.45">
      <c r="I1405" t="s">
        <v>190</v>
      </c>
      <c r="J1405" t="s">
        <v>348</v>
      </c>
      <c r="K1405">
        <v>0</v>
      </c>
      <c r="L1405" t="s">
        <v>159</v>
      </c>
      <c r="N1405" t="s">
        <v>233</v>
      </c>
      <c r="O1405" t="s">
        <v>348</v>
      </c>
      <c r="P1405">
        <v>6.9135834333580449E-5</v>
      </c>
      <c r="Q1405" t="s">
        <v>159</v>
      </c>
    </row>
    <row r="1406" spans="9:17" x14ac:dyDescent="0.45">
      <c r="I1406" t="s">
        <v>190</v>
      </c>
      <c r="J1406" t="s">
        <v>349</v>
      </c>
      <c r="K1406">
        <v>0</v>
      </c>
      <c r="L1406" t="s">
        <v>159</v>
      </c>
      <c r="N1406" t="s">
        <v>233</v>
      </c>
      <c r="O1406" t="s">
        <v>349</v>
      </c>
      <c r="P1406">
        <v>7.8771644645066367E-5</v>
      </c>
      <c r="Q1406" t="s">
        <v>159</v>
      </c>
    </row>
    <row r="1407" spans="9:17" x14ac:dyDescent="0.45">
      <c r="I1407" t="s">
        <v>190</v>
      </c>
      <c r="J1407" t="s">
        <v>350</v>
      </c>
      <c r="K1407">
        <v>0</v>
      </c>
      <c r="L1407" t="s">
        <v>159</v>
      </c>
      <c r="N1407" t="s">
        <v>233</v>
      </c>
      <c r="O1407" t="s">
        <v>350</v>
      </c>
      <c r="P1407">
        <v>7.8293833061407459E-5</v>
      </c>
      <c r="Q1407" t="s">
        <v>159</v>
      </c>
    </row>
    <row r="1408" spans="9:17" x14ac:dyDescent="0.45">
      <c r="I1408" t="s">
        <v>190</v>
      </c>
      <c r="J1408" t="s">
        <v>351</v>
      </c>
      <c r="K1408">
        <v>0</v>
      </c>
      <c r="L1408" t="s">
        <v>159</v>
      </c>
      <c r="N1408" t="s">
        <v>233</v>
      </c>
      <c r="O1408" t="s">
        <v>351</v>
      </c>
      <c r="P1408">
        <v>7.5919503941739971E-5</v>
      </c>
      <c r="Q1408" t="s">
        <v>159</v>
      </c>
    </row>
    <row r="1409" spans="9:17" x14ac:dyDescent="0.45">
      <c r="I1409" t="s">
        <v>190</v>
      </c>
      <c r="J1409" t="s">
        <v>352</v>
      </c>
      <c r="K1409">
        <v>0</v>
      </c>
      <c r="L1409" t="s">
        <v>159</v>
      </c>
      <c r="N1409" t="s">
        <v>233</v>
      </c>
      <c r="O1409" t="s">
        <v>352</v>
      </c>
      <c r="P1409">
        <v>8.015139046034064E-5</v>
      </c>
      <c r="Q1409" t="s">
        <v>159</v>
      </c>
    </row>
    <row r="1410" spans="9:17" x14ac:dyDescent="0.45">
      <c r="I1410" t="s">
        <v>190</v>
      </c>
      <c r="J1410" t="s">
        <v>353</v>
      </c>
      <c r="K1410">
        <v>0</v>
      </c>
      <c r="L1410" t="s">
        <v>159</v>
      </c>
      <c r="N1410" t="s">
        <v>233</v>
      </c>
      <c r="O1410" t="s">
        <v>353</v>
      </c>
      <c r="P1410">
        <v>9.0153788249781584E-5</v>
      </c>
      <c r="Q1410" t="s">
        <v>159</v>
      </c>
    </row>
    <row r="1411" spans="9:17" x14ac:dyDescent="0.45">
      <c r="I1411" t="s">
        <v>190</v>
      </c>
      <c r="J1411" t="s">
        <v>354</v>
      </c>
      <c r="K1411">
        <v>1.712953881010804E-4</v>
      </c>
      <c r="L1411" t="s">
        <v>159</v>
      </c>
      <c r="N1411" t="s">
        <v>233</v>
      </c>
      <c r="O1411" t="s">
        <v>354</v>
      </c>
      <c r="P1411">
        <v>7.8359940158623275E-5</v>
      </c>
      <c r="Q1411" t="s">
        <v>159</v>
      </c>
    </row>
    <row r="1412" spans="9:17" x14ac:dyDescent="0.45">
      <c r="I1412" t="s">
        <v>190</v>
      </c>
      <c r="J1412" t="s">
        <v>355</v>
      </c>
      <c r="K1412">
        <v>2.2028937439468594E-4</v>
      </c>
      <c r="L1412" t="s">
        <v>159</v>
      </c>
      <c r="N1412" t="s">
        <v>233</v>
      </c>
      <c r="O1412" t="s">
        <v>355</v>
      </c>
      <c r="P1412">
        <v>4.8820633355267446E-5</v>
      </c>
      <c r="Q1412" t="s">
        <v>159</v>
      </c>
    </row>
    <row r="1413" spans="9:17" x14ac:dyDescent="0.45">
      <c r="I1413" t="s">
        <v>190</v>
      </c>
      <c r="J1413" t="s">
        <v>356</v>
      </c>
      <c r="K1413">
        <v>2.2588024267010612E-4</v>
      </c>
      <c r="L1413" t="s">
        <v>159</v>
      </c>
      <c r="N1413" t="s">
        <v>233</v>
      </c>
      <c r="O1413" t="s">
        <v>356</v>
      </c>
      <c r="P1413">
        <v>5.4963714445831633E-5</v>
      </c>
      <c r="Q1413" t="s">
        <v>159</v>
      </c>
    </row>
    <row r="1414" spans="9:17" x14ac:dyDescent="0.45">
      <c r="I1414" t="s">
        <v>190</v>
      </c>
      <c r="J1414" t="s">
        <v>357</v>
      </c>
      <c r="K1414">
        <v>2.5205402457672676E-4</v>
      </c>
      <c r="L1414" t="s">
        <v>159</v>
      </c>
      <c r="N1414" t="s">
        <v>233</v>
      </c>
      <c r="O1414" t="s">
        <v>357</v>
      </c>
      <c r="P1414">
        <v>4.6820727113332091E-5</v>
      </c>
      <c r="Q1414" t="s">
        <v>159</v>
      </c>
    </row>
    <row r="1415" spans="9:17" x14ac:dyDescent="0.45">
      <c r="I1415" t="s">
        <v>190</v>
      </c>
      <c r="J1415" t="s">
        <v>358</v>
      </c>
      <c r="K1415">
        <v>2.9123562045490939E-4</v>
      </c>
      <c r="L1415" t="s">
        <v>159</v>
      </c>
      <c r="N1415" t="s">
        <v>233</v>
      </c>
      <c r="O1415" t="s">
        <v>358</v>
      </c>
      <c r="P1415">
        <v>3.2531417880076751E-5</v>
      </c>
      <c r="Q1415" t="s">
        <v>159</v>
      </c>
    </row>
    <row r="1416" spans="9:17" x14ac:dyDescent="0.45">
      <c r="I1416" t="s">
        <v>190</v>
      </c>
      <c r="J1416" t="s">
        <v>359</v>
      </c>
      <c r="K1416">
        <v>2.8577867036667351E-4</v>
      </c>
      <c r="L1416" t="s">
        <v>159</v>
      </c>
      <c r="N1416" t="s">
        <v>233</v>
      </c>
      <c r="O1416" t="s">
        <v>359</v>
      </c>
      <c r="P1416">
        <v>2.1441104752626739E-5</v>
      </c>
      <c r="Q1416" t="s">
        <v>159</v>
      </c>
    </row>
    <row r="1417" spans="9:17" x14ac:dyDescent="0.45">
      <c r="I1417" t="s">
        <v>190</v>
      </c>
      <c r="J1417" t="s">
        <v>360</v>
      </c>
      <c r="K1417">
        <v>2.2337053930551954E-4</v>
      </c>
      <c r="L1417" t="s">
        <v>159</v>
      </c>
      <c r="N1417" t="s">
        <v>233</v>
      </c>
      <c r="O1417" t="s">
        <v>360</v>
      </c>
      <c r="P1417">
        <v>1.3293120465375464E-5</v>
      </c>
      <c r="Q1417" t="s">
        <v>159</v>
      </c>
    </row>
    <row r="1418" spans="9:17" x14ac:dyDescent="0.45">
      <c r="I1418" t="s">
        <v>190</v>
      </c>
      <c r="J1418" t="s">
        <v>361</v>
      </c>
      <c r="K1418">
        <v>2.0104854768572083E-4</v>
      </c>
      <c r="L1418" t="s">
        <v>159</v>
      </c>
      <c r="N1418" t="s">
        <v>233</v>
      </c>
      <c r="O1418" t="s">
        <v>361</v>
      </c>
      <c r="P1418">
        <v>1.0275863377779049E-5</v>
      </c>
      <c r="Q1418" t="s">
        <v>159</v>
      </c>
    </row>
    <row r="1419" spans="9:17" x14ac:dyDescent="0.45">
      <c r="I1419" t="s">
        <v>190</v>
      </c>
      <c r="J1419" t="s">
        <v>362</v>
      </c>
      <c r="K1419">
        <v>1.9721372361895635E-4</v>
      </c>
      <c r="L1419" t="s">
        <v>159</v>
      </c>
      <c r="N1419" t="s">
        <v>233</v>
      </c>
      <c r="O1419" t="s">
        <v>362</v>
      </c>
      <c r="P1419">
        <v>1.4651100128344837E-5</v>
      </c>
      <c r="Q1419" t="s">
        <v>159</v>
      </c>
    </row>
    <row r="1420" spans="9:17" x14ac:dyDescent="0.45">
      <c r="I1420" t="s">
        <v>190</v>
      </c>
      <c r="J1420" t="s">
        <v>363</v>
      </c>
      <c r="K1420">
        <v>1.6628657745896758E-4</v>
      </c>
      <c r="L1420" t="s">
        <v>159</v>
      </c>
      <c r="N1420" t="s">
        <v>233</v>
      </c>
      <c r="O1420" t="s">
        <v>363</v>
      </c>
      <c r="P1420">
        <v>3.1648754292161222E-5</v>
      </c>
      <c r="Q1420" t="s">
        <v>159</v>
      </c>
    </row>
    <row r="1421" spans="9:17" x14ac:dyDescent="0.45">
      <c r="I1421" t="s">
        <v>190</v>
      </c>
      <c r="J1421" t="s">
        <v>364</v>
      </c>
      <c r="K1421">
        <v>0</v>
      </c>
      <c r="L1421" t="s">
        <v>159</v>
      </c>
      <c r="N1421" t="s">
        <v>233</v>
      </c>
      <c r="O1421" t="s">
        <v>364</v>
      </c>
      <c r="P1421">
        <v>6.1585567046090788E-5</v>
      </c>
      <c r="Q1421" t="s">
        <v>159</v>
      </c>
    </row>
    <row r="1422" spans="9:17" x14ac:dyDescent="0.45">
      <c r="I1422" t="s">
        <v>190</v>
      </c>
      <c r="J1422" t="s">
        <v>365</v>
      </c>
      <c r="K1422">
        <v>0</v>
      </c>
      <c r="L1422" t="s">
        <v>159</v>
      </c>
      <c r="N1422" t="s">
        <v>233</v>
      </c>
      <c r="O1422" t="s">
        <v>365</v>
      </c>
      <c r="P1422">
        <v>8.57735179840038E-5</v>
      </c>
      <c r="Q1422" t="s">
        <v>159</v>
      </c>
    </row>
    <row r="1423" spans="9:17" x14ac:dyDescent="0.45">
      <c r="I1423" t="s">
        <v>190</v>
      </c>
      <c r="J1423" t="s">
        <v>366</v>
      </c>
      <c r="K1423">
        <v>0</v>
      </c>
      <c r="L1423" t="s">
        <v>159</v>
      </c>
      <c r="N1423" t="s">
        <v>233</v>
      </c>
      <c r="O1423" t="s">
        <v>366</v>
      </c>
      <c r="P1423">
        <v>1.0684758974058443E-4</v>
      </c>
      <c r="Q1423" t="s">
        <v>159</v>
      </c>
    </row>
    <row r="1424" spans="9:17" x14ac:dyDescent="0.45">
      <c r="I1424" t="s">
        <v>190</v>
      </c>
      <c r="J1424" t="s">
        <v>367</v>
      </c>
      <c r="K1424">
        <v>0</v>
      </c>
      <c r="L1424" t="s">
        <v>159</v>
      </c>
      <c r="N1424" t="s">
        <v>233</v>
      </c>
      <c r="O1424" t="s">
        <v>367</v>
      </c>
      <c r="P1424">
        <v>1.224631076160361E-4</v>
      </c>
      <c r="Q1424" t="s">
        <v>159</v>
      </c>
    </row>
    <row r="1425" spans="9:17" x14ac:dyDescent="0.45">
      <c r="I1425" t="s">
        <v>190</v>
      </c>
      <c r="J1425" t="s">
        <v>368</v>
      </c>
      <c r="K1425">
        <v>0</v>
      </c>
      <c r="L1425" t="s">
        <v>159</v>
      </c>
      <c r="N1425" t="s">
        <v>233</v>
      </c>
      <c r="O1425" t="s">
        <v>368</v>
      </c>
      <c r="P1425">
        <v>1.338802829779261E-4</v>
      </c>
      <c r="Q1425" t="s">
        <v>159</v>
      </c>
    </row>
    <row r="1426" spans="9:17" x14ac:dyDescent="0.45">
      <c r="I1426" t="s">
        <v>190</v>
      </c>
      <c r="J1426" t="s">
        <v>369</v>
      </c>
      <c r="K1426">
        <v>0</v>
      </c>
      <c r="L1426" t="s">
        <v>159</v>
      </c>
      <c r="N1426" t="s">
        <v>233</v>
      </c>
      <c r="O1426" t="s">
        <v>369</v>
      </c>
      <c r="P1426">
        <v>1.3750960459557276E-4</v>
      </c>
      <c r="Q1426" t="s">
        <v>159</v>
      </c>
    </row>
    <row r="1427" spans="9:17" x14ac:dyDescent="0.45">
      <c r="I1427" t="s">
        <v>190</v>
      </c>
      <c r="J1427" t="s">
        <v>165</v>
      </c>
      <c r="K1427">
        <v>0</v>
      </c>
      <c r="L1427" t="s">
        <v>159</v>
      </c>
      <c r="N1427" t="s">
        <v>233</v>
      </c>
      <c r="O1427" t="s">
        <v>165</v>
      </c>
      <c r="P1427">
        <v>3.3992506404164048E-2</v>
      </c>
      <c r="Q1427" t="s">
        <v>159</v>
      </c>
    </row>
    <row r="1428" spans="9:17" x14ac:dyDescent="0.45">
      <c r="I1428" t="s">
        <v>190</v>
      </c>
      <c r="J1428" t="s">
        <v>166</v>
      </c>
      <c r="K1428">
        <v>1.0695117393688745E-3</v>
      </c>
      <c r="L1428" t="s">
        <v>159</v>
      </c>
      <c r="N1428" t="s">
        <v>233</v>
      </c>
      <c r="O1428" t="s">
        <v>166</v>
      </c>
      <c r="P1428">
        <v>3.3955458162391182E-3</v>
      </c>
      <c r="Q1428" t="s">
        <v>159</v>
      </c>
    </row>
    <row r="1429" spans="9:17" x14ac:dyDescent="0.45">
      <c r="I1429" t="s">
        <v>190</v>
      </c>
      <c r="J1429" t="s">
        <v>167</v>
      </c>
      <c r="K1429">
        <v>6.1535559256879195E-2</v>
      </c>
      <c r="L1429" t="s">
        <v>159</v>
      </c>
      <c r="N1429" t="s">
        <v>233</v>
      </c>
      <c r="O1429" t="s">
        <v>167</v>
      </c>
      <c r="P1429">
        <v>1.8270635263396322E-2</v>
      </c>
      <c r="Q1429" t="s">
        <v>159</v>
      </c>
    </row>
    <row r="1430" spans="9:17" x14ac:dyDescent="0.45">
      <c r="I1430" t="s">
        <v>190</v>
      </c>
      <c r="J1430" t="s">
        <v>291</v>
      </c>
      <c r="K1430">
        <v>4.5358745739254658E-3</v>
      </c>
      <c r="L1430" t="s">
        <v>159</v>
      </c>
      <c r="N1430" t="s">
        <v>233</v>
      </c>
      <c r="O1430" t="s">
        <v>291</v>
      </c>
      <c r="P1430">
        <v>2.1788672763303303E-3</v>
      </c>
      <c r="Q1430" t="s">
        <v>159</v>
      </c>
    </row>
    <row r="1431" spans="9:17" x14ac:dyDescent="0.45">
      <c r="I1431" t="s">
        <v>190</v>
      </c>
      <c r="J1431" t="s">
        <v>292</v>
      </c>
      <c r="K1431">
        <v>1.19122940205679E-3</v>
      </c>
      <c r="L1431" t="s">
        <v>159</v>
      </c>
      <c r="N1431" t="s">
        <v>233</v>
      </c>
      <c r="O1431" t="s">
        <v>292</v>
      </c>
      <c r="P1431">
        <v>2.5662895503776365E-3</v>
      </c>
      <c r="Q1431" t="s">
        <v>159</v>
      </c>
    </row>
    <row r="1432" spans="9:17" x14ac:dyDescent="0.45">
      <c r="I1432" t="s">
        <v>190</v>
      </c>
      <c r="J1432" t="s">
        <v>310</v>
      </c>
      <c r="K1432">
        <v>0</v>
      </c>
      <c r="L1432" t="s">
        <v>159</v>
      </c>
      <c r="N1432" t="s">
        <v>233</v>
      </c>
      <c r="O1432" t="s">
        <v>310</v>
      </c>
      <c r="P1432">
        <v>2.2793153395545728E-2</v>
      </c>
      <c r="Q1432" t="s">
        <v>159</v>
      </c>
    </row>
    <row r="1433" spans="9:17" x14ac:dyDescent="0.45">
      <c r="I1433" t="s">
        <v>190</v>
      </c>
      <c r="J1433" t="s">
        <v>293</v>
      </c>
      <c r="K1433">
        <v>0</v>
      </c>
      <c r="L1433" t="s">
        <v>159</v>
      </c>
      <c r="N1433" t="s">
        <v>233</v>
      </c>
      <c r="O1433" t="s">
        <v>293</v>
      </c>
      <c r="P1433">
        <v>1.1752236712463511E-2</v>
      </c>
      <c r="Q1433" t="s">
        <v>159</v>
      </c>
    </row>
    <row r="1434" spans="9:17" x14ac:dyDescent="0.45">
      <c r="I1434" t="s">
        <v>190</v>
      </c>
      <c r="J1434" t="s">
        <v>294</v>
      </c>
      <c r="K1434">
        <v>9.2686555422072251E-4</v>
      </c>
      <c r="L1434" t="s">
        <v>159</v>
      </c>
      <c r="N1434" t="s">
        <v>233</v>
      </c>
      <c r="O1434" t="s">
        <v>294</v>
      </c>
      <c r="P1434">
        <v>1.3759305045829E-3</v>
      </c>
      <c r="Q1434" t="s">
        <v>159</v>
      </c>
    </row>
    <row r="1435" spans="9:17" x14ac:dyDescent="0.45">
      <c r="I1435" t="s">
        <v>190</v>
      </c>
      <c r="J1435" t="s">
        <v>295</v>
      </c>
      <c r="K1435">
        <v>1.6388498019521414E-2</v>
      </c>
      <c r="L1435" t="s">
        <v>159</v>
      </c>
      <c r="N1435" t="s">
        <v>233</v>
      </c>
      <c r="O1435" t="s">
        <v>295</v>
      </c>
      <c r="P1435">
        <v>8.6153337797703136E-3</v>
      </c>
      <c r="Q1435" t="s">
        <v>159</v>
      </c>
    </row>
    <row r="1436" spans="9:17" x14ac:dyDescent="0.45">
      <c r="I1436" t="s">
        <v>190</v>
      </c>
      <c r="J1436" t="s">
        <v>296</v>
      </c>
      <c r="K1436">
        <v>1.2294764044231E-3</v>
      </c>
      <c r="L1436" t="s">
        <v>159</v>
      </c>
      <c r="N1436" t="s">
        <v>233</v>
      </c>
      <c r="O1436" t="s">
        <v>296</v>
      </c>
      <c r="P1436">
        <v>7.5679372394078597E-4</v>
      </c>
      <c r="Q1436" t="s">
        <v>159</v>
      </c>
    </row>
    <row r="1437" spans="9:17" x14ac:dyDescent="0.45">
      <c r="I1437" t="s">
        <v>190</v>
      </c>
      <c r="J1437" t="s">
        <v>297</v>
      </c>
      <c r="K1437">
        <v>8.9072356232486013E-4</v>
      </c>
      <c r="L1437" t="s">
        <v>159</v>
      </c>
      <c r="N1437" t="s">
        <v>233</v>
      </c>
      <c r="O1437" t="s">
        <v>297</v>
      </c>
      <c r="P1437">
        <v>9.2236761704161908E-4</v>
      </c>
      <c r="Q1437" t="s">
        <v>159</v>
      </c>
    </row>
    <row r="1438" spans="9:17" x14ac:dyDescent="0.45">
      <c r="I1438" t="s">
        <v>190</v>
      </c>
      <c r="J1438" t="s">
        <v>311</v>
      </c>
      <c r="K1438">
        <v>0</v>
      </c>
      <c r="L1438" t="s">
        <v>159</v>
      </c>
      <c r="N1438" t="s">
        <v>233</v>
      </c>
      <c r="O1438" t="s">
        <v>311</v>
      </c>
      <c r="P1438">
        <v>8.0495187618631336E-3</v>
      </c>
      <c r="Q1438" t="s">
        <v>159</v>
      </c>
    </row>
    <row r="1439" spans="9:17" x14ac:dyDescent="0.45">
      <c r="I1439" t="s">
        <v>190</v>
      </c>
      <c r="J1439" t="s">
        <v>298</v>
      </c>
      <c r="K1439">
        <v>4.7907327992591543E-3</v>
      </c>
      <c r="L1439" t="s">
        <v>159</v>
      </c>
      <c r="N1439" t="s">
        <v>233</v>
      </c>
      <c r="O1439" t="s">
        <v>298</v>
      </c>
      <c r="P1439">
        <v>0.14063622503871809</v>
      </c>
      <c r="Q1439" t="s">
        <v>159</v>
      </c>
    </row>
    <row r="1440" spans="9:17" x14ac:dyDescent="0.45">
      <c r="I1440" t="s">
        <v>190</v>
      </c>
      <c r="J1440" t="s">
        <v>299</v>
      </c>
      <c r="K1440">
        <v>1.6143576873746714E-2</v>
      </c>
      <c r="L1440" t="s">
        <v>159</v>
      </c>
      <c r="N1440" t="s">
        <v>233</v>
      </c>
      <c r="O1440" t="s">
        <v>299</v>
      </c>
      <c r="P1440">
        <v>1.5835339141137904E-2</v>
      </c>
      <c r="Q1440" t="s">
        <v>159</v>
      </c>
    </row>
    <row r="1441" spans="9:17" x14ac:dyDescent="0.45">
      <c r="I1441" t="s">
        <v>190</v>
      </c>
      <c r="J1441" t="s">
        <v>300</v>
      </c>
      <c r="K1441">
        <v>0.24316820041715248</v>
      </c>
      <c r="L1441" t="s">
        <v>159</v>
      </c>
      <c r="N1441" t="s">
        <v>233</v>
      </c>
      <c r="O1441" t="s">
        <v>300</v>
      </c>
      <c r="P1441">
        <v>0.10473813011017828</v>
      </c>
      <c r="Q1441" t="s">
        <v>159</v>
      </c>
    </row>
    <row r="1442" spans="9:17" x14ac:dyDescent="0.45">
      <c r="I1442" t="s">
        <v>190</v>
      </c>
      <c r="J1442" t="s">
        <v>301</v>
      </c>
      <c r="K1442">
        <v>1.9337142280327405E-2</v>
      </c>
      <c r="L1442" t="s">
        <v>159</v>
      </c>
      <c r="N1442" t="s">
        <v>233</v>
      </c>
      <c r="O1442" t="s">
        <v>301</v>
      </c>
      <c r="P1442">
        <v>9.9491910392462378E-3</v>
      </c>
      <c r="Q1442" t="s">
        <v>159</v>
      </c>
    </row>
    <row r="1443" spans="9:17" x14ac:dyDescent="0.45">
      <c r="I1443" t="s">
        <v>190</v>
      </c>
      <c r="J1443" t="s">
        <v>302</v>
      </c>
      <c r="K1443">
        <v>1.2402266382253781E-2</v>
      </c>
      <c r="L1443" t="s">
        <v>159</v>
      </c>
      <c r="N1443" t="s">
        <v>233</v>
      </c>
      <c r="O1443" t="s">
        <v>302</v>
      </c>
      <c r="P1443">
        <v>1.0617745692050829E-2</v>
      </c>
      <c r="Q1443" t="s">
        <v>159</v>
      </c>
    </row>
    <row r="1444" spans="9:17" x14ac:dyDescent="0.45">
      <c r="I1444" t="s">
        <v>190</v>
      </c>
      <c r="J1444" t="s">
        <v>312</v>
      </c>
      <c r="K1444">
        <v>0</v>
      </c>
      <c r="L1444" t="s">
        <v>159</v>
      </c>
      <c r="N1444" t="s">
        <v>233</v>
      </c>
      <c r="O1444" t="s">
        <v>312</v>
      </c>
      <c r="P1444">
        <v>0.10285800162615966</v>
      </c>
      <c r="Q1444" t="s">
        <v>159</v>
      </c>
    </row>
    <row r="1445" spans="9:17" x14ac:dyDescent="0.45">
      <c r="I1445" t="s">
        <v>190</v>
      </c>
      <c r="J1445" t="s">
        <v>313</v>
      </c>
      <c r="K1445">
        <v>2.2996802487133677E-3</v>
      </c>
      <c r="L1445" t="s">
        <v>159</v>
      </c>
      <c r="N1445" t="s">
        <v>233</v>
      </c>
      <c r="O1445" t="s">
        <v>313</v>
      </c>
      <c r="P1445">
        <v>2.3165219424150979E-2</v>
      </c>
      <c r="Q1445" t="s">
        <v>159</v>
      </c>
    </row>
    <row r="1446" spans="9:17" x14ac:dyDescent="0.45">
      <c r="I1446" t="s">
        <v>190</v>
      </c>
      <c r="J1446" t="s">
        <v>314</v>
      </c>
      <c r="K1446">
        <v>4.1832235717220124E-3</v>
      </c>
      <c r="L1446" t="s">
        <v>159</v>
      </c>
      <c r="N1446" t="s">
        <v>233</v>
      </c>
      <c r="O1446" t="s">
        <v>314</v>
      </c>
      <c r="P1446">
        <v>2.7629678916620422E-3</v>
      </c>
      <c r="Q1446" t="s">
        <v>159</v>
      </c>
    </row>
    <row r="1447" spans="9:17" x14ac:dyDescent="0.45">
      <c r="I1447" t="s">
        <v>190</v>
      </c>
      <c r="J1447" t="s">
        <v>315</v>
      </c>
      <c r="K1447">
        <v>6.225571287598216E-2</v>
      </c>
      <c r="L1447" t="s">
        <v>159</v>
      </c>
      <c r="N1447" t="s">
        <v>233</v>
      </c>
      <c r="O1447" t="s">
        <v>315</v>
      </c>
      <c r="P1447">
        <v>1.7800037628259564E-2</v>
      </c>
      <c r="Q1447" t="s">
        <v>159</v>
      </c>
    </row>
    <row r="1448" spans="9:17" x14ac:dyDescent="0.45">
      <c r="I1448" t="s">
        <v>190</v>
      </c>
      <c r="J1448" t="s">
        <v>316</v>
      </c>
      <c r="K1448">
        <v>5.1234805347057646E-3</v>
      </c>
      <c r="L1448" t="s">
        <v>159</v>
      </c>
      <c r="N1448" t="s">
        <v>233</v>
      </c>
      <c r="O1448" t="s">
        <v>316</v>
      </c>
      <c r="P1448">
        <v>1.9048769735884831E-3</v>
      </c>
      <c r="Q1448" t="s">
        <v>159</v>
      </c>
    </row>
    <row r="1449" spans="9:17" x14ac:dyDescent="0.45">
      <c r="I1449" t="s">
        <v>190</v>
      </c>
      <c r="J1449" t="s">
        <v>317</v>
      </c>
      <c r="K1449">
        <v>3.6800996347708202E-3</v>
      </c>
      <c r="L1449" t="s">
        <v>159</v>
      </c>
      <c r="N1449" t="s">
        <v>233</v>
      </c>
      <c r="O1449" t="s">
        <v>317</v>
      </c>
      <c r="P1449">
        <v>2.2409643516119997E-3</v>
      </c>
      <c r="Q1449" t="s">
        <v>159</v>
      </c>
    </row>
    <row r="1450" spans="9:17" x14ac:dyDescent="0.45">
      <c r="I1450" t="s">
        <v>190</v>
      </c>
      <c r="J1450" t="s">
        <v>318</v>
      </c>
      <c r="K1450">
        <v>1.415582220337685E-3</v>
      </c>
      <c r="L1450" t="s">
        <v>159</v>
      </c>
      <c r="N1450" t="s">
        <v>233</v>
      </c>
      <c r="O1450" t="s">
        <v>318</v>
      </c>
      <c r="P1450">
        <v>1.8767810270302922E-2</v>
      </c>
      <c r="Q1450" t="s">
        <v>159</v>
      </c>
    </row>
    <row r="1451" spans="9:17" x14ac:dyDescent="0.45">
      <c r="I1451" t="s">
        <v>191</v>
      </c>
      <c r="J1451" t="s">
        <v>158</v>
      </c>
      <c r="K1451">
        <v>7.0688324420688014E-4</v>
      </c>
      <c r="L1451" t="s">
        <v>159</v>
      </c>
      <c r="N1451" t="s">
        <v>234</v>
      </c>
      <c r="O1451" t="s">
        <v>158</v>
      </c>
      <c r="P1451">
        <v>0.14057480967620692</v>
      </c>
      <c r="Q1451" t="s">
        <v>159</v>
      </c>
    </row>
    <row r="1452" spans="9:17" x14ac:dyDescent="0.45">
      <c r="I1452" t="s">
        <v>191</v>
      </c>
      <c r="J1452" t="s">
        <v>160</v>
      </c>
      <c r="K1452">
        <v>1.8606875005008985E-2</v>
      </c>
      <c r="L1452" t="s">
        <v>159</v>
      </c>
      <c r="N1452" t="s">
        <v>234</v>
      </c>
      <c r="O1452" t="s">
        <v>160</v>
      </c>
      <c r="P1452">
        <v>1.2654387191304331E-2</v>
      </c>
      <c r="Q1452" t="s">
        <v>159</v>
      </c>
    </row>
    <row r="1453" spans="9:17" x14ac:dyDescent="0.45">
      <c r="I1453" t="s">
        <v>191</v>
      </c>
      <c r="J1453" t="s">
        <v>161</v>
      </c>
      <c r="K1453">
        <v>0.39611624962730263</v>
      </c>
      <c r="L1453" t="s">
        <v>159</v>
      </c>
      <c r="N1453" t="s">
        <v>234</v>
      </c>
      <c r="O1453" t="s">
        <v>161</v>
      </c>
      <c r="P1453">
        <v>9.0138852096780797E-2</v>
      </c>
      <c r="Q1453" t="s">
        <v>159</v>
      </c>
    </row>
    <row r="1454" spans="9:17" x14ac:dyDescent="0.45">
      <c r="I1454" t="s">
        <v>191</v>
      </c>
      <c r="J1454" t="s">
        <v>287</v>
      </c>
      <c r="K1454">
        <v>3.6519858249631373E-2</v>
      </c>
      <c r="L1454" t="s">
        <v>159</v>
      </c>
      <c r="N1454" t="s">
        <v>234</v>
      </c>
      <c r="O1454" t="s">
        <v>287</v>
      </c>
      <c r="P1454">
        <v>1.064092660400002E-2</v>
      </c>
      <c r="Q1454" t="s">
        <v>159</v>
      </c>
    </row>
    <row r="1455" spans="9:17" x14ac:dyDescent="0.45">
      <c r="I1455" t="s">
        <v>191</v>
      </c>
      <c r="J1455" t="s">
        <v>288</v>
      </c>
      <c r="K1455">
        <v>2.0855489253260993E-2</v>
      </c>
      <c r="L1455" t="s">
        <v>159</v>
      </c>
      <c r="N1455" t="s">
        <v>234</v>
      </c>
      <c r="O1455" t="s">
        <v>288</v>
      </c>
      <c r="P1455">
        <v>1.2427949320323154E-2</v>
      </c>
      <c r="Q1455" t="s">
        <v>159</v>
      </c>
    </row>
    <row r="1456" spans="9:17" x14ac:dyDescent="0.45">
      <c r="I1456" t="s">
        <v>191</v>
      </c>
      <c r="J1456" t="s">
        <v>308</v>
      </c>
      <c r="K1456">
        <v>6.0883844544895958E-3</v>
      </c>
      <c r="L1456" t="s">
        <v>159</v>
      </c>
      <c r="N1456" t="s">
        <v>234</v>
      </c>
      <c r="O1456" t="s">
        <v>308</v>
      </c>
      <c r="P1456">
        <v>9.6228543355318025E-2</v>
      </c>
      <c r="Q1456" t="s">
        <v>159</v>
      </c>
    </row>
    <row r="1457" spans="9:17" x14ac:dyDescent="0.45">
      <c r="I1457" t="s">
        <v>191</v>
      </c>
      <c r="J1457" t="s">
        <v>162</v>
      </c>
      <c r="K1457">
        <v>0</v>
      </c>
      <c r="L1457" t="s">
        <v>159</v>
      </c>
      <c r="N1457" t="s">
        <v>234</v>
      </c>
      <c r="O1457" t="s">
        <v>162</v>
      </c>
      <c r="P1457">
        <v>2.1633879235805439E-2</v>
      </c>
      <c r="Q1457" t="s">
        <v>159</v>
      </c>
    </row>
    <row r="1458" spans="9:17" x14ac:dyDescent="0.45">
      <c r="I1458" t="s">
        <v>191</v>
      </c>
      <c r="J1458" t="s">
        <v>163</v>
      </c>
      <c r="K1458">
        <v>0</v>
      </c>
      <c r="L1458" t="s">
        <v>159</v>
      </c>
      <c r="N1458" t="s">
        <v>234</v>
      </c>
      <c r="O1458" t="s">
        <v>163</v>
      </c>
      <c r="P1458">
        <v>2.2285185320458844E-3</v>
      </c>
      <c r="Q1458" t="s">
        <v>159</v>
      </c>
    </row>
    <row r="1459" spans="9:17" x14ac:dyDescent="0.45">
      <c r="I1459" t="s">
        <v>191</v>
      </c>
      <c r="J1459" t="s">
        <v>164</v>
      </c>
      <c r="K1459">
        <v>5.0596272708494414E-2</v>
      </c>
      <c r="L1459" t="s">
        <v>159</v>
      </c>
      <c r="N1459" t="s">
        <v>234</v>
      </c>
      <c r="O1459" t="s">
        <v>164</v>
      </c>
      <c r="P1459">
        <v>1.6866294602327914E-2</v>
      </c>
      <c r="Q1459" t="s">
        <v>159</v>
      </c>
    </row>
    <row r="1460" spans="9:17" x14ac:dyDescent="0.45">
      <c r="I1460" t="s">
        <v>191</v>
      </c>
      <c r="J1460" t="s">
        <v>289</v>
      </c>
      <c r="K1460">
        <v>4.1788967385227027E-3</v>
      </c>
      <c r="L1460" t="s">
        <v>159</v>
      </c>
      <c r="N1460" t="s">
        <v>234</v>
      </c>
      <c r="O1460" t="s">
        <v>289</v>
      </c>
      <c r="P1460">
        <v>1.9506380506818311E-3</v>
      </c>
      <c r="Q1460" t="s">
        <v>159</v>
      </c>
    </row>
    <row r="1461" spans="9:17" x14ac:dyDescent="0.45">
      <c r="I1461" t="s">
        <v>191</v>
      </c>
      <c r="J1461" t="s">
        <v>290</v>
      </c>
      <c r="K1461">
        <v>0</v>
      </c>
      <c r="L1461" t="s">
        <v>159</v>
      </c>
      <c r="N1461" t="s">
        <v>234</v>
      </c>
      <c r="O1461" t="s">
        <v>290</v>
      </c>
      <c r="P1461">
        <v>2.6273213904507583E-3</v>
      </c>
      <c r="Q1461" t="s">
        <v>159</v>
      </c>
    </row>
    <row r="1462" spans="9:17" x14ac:dyDescent="0.45">
      <c r="I1462" t="s">
        <v>191</v>
      </c>
      <c r="J1462" t="s">
        <v>309</v>
      </c>
      <c r="K1462">
        <v>0</v>
      </c>
      <c r="L1462" t="s">
        <v>159</v>
      </c>
      <c r="N1462" t="s">
        <v>234</v>
      </c>
      <c r="O1462" t="s">
        <v>309</v>
      </c>
      <c r="P1462">
        <v>1.8847034274399859E-2</v>
      </c>
      <c r="Q1462" t="s">
        <v>159</v>
      </c>
    </row>
    <row r="1463" spans="9:17" x14ac:dyDescent="0.45">
      <c r="I1463" t="s">
        <v>191</v>
      </c>
      <c r="J1463" t="s">
        <v>346</v>
      </c>
      <c r="K1463">
        <v>0</v>
      </c>
      <c r="L1463" t="s">
        <v>159</v>
      </c>
      <c r="N1463" t="s">
        <v>234</v>
      </c>
      <c r="O1463" t="s">
        <v>346</v>
      </c>
      <c r="P1463">
        <v>2.419412668604155E-6</v>
      </c>
      <c r="Q1463" t="s">
        <v>159</v>
      </c>
    </row>
    <row r="1464" spans="9:17" x14ac:dyDescent="0.45">
      <c r="I1464" t="s">
        <v>191</v>
      </c>
      <c r="J1464" t="s">
        <v>347</v>
      </c>
      <c r="K1464">
        <v>0</v>
      </c>
      <c r="L1464" t="s">
        <v>159</v>
      </c>
      <c r="N1464" t="s">
        <v>234</v>
      </c>
      <c r="O1464" t="s">
        <v>347</v>
      </c>
      <c r="P1464">
        <v>2.7798681125132306E-6</v>
      </c>
      <c r="Q1464" t="s">
        <v>159</v>
      </c>
    </row>
    <row r="1465" spans="9:17" x14ac:dyDescent="0.45">
      <c r="I1465" t="s">
        <v>191</v>
      </c>
      <c r="J1465" t="s">
        <v>348</v>
      </c>
      <c r="K1465">
        <v>0</v>
      </c>
      <c r="L1465" t="s">
        <v>159</v>
      </c>
      <c r="N1465" t="s">
        <v>234</v>
      </c>
      <c r="O1465" t="s">
        <v>348</v>
      </c>
      <c r="P1465">
        <v>5.0887524414684254E-6</v>
      </c>
      <c r="Q1465" t="s">
        <v>159</v>
      </c>
    </row>
    <row r="1466" spans="9:17" x14ac:dyDescent="0.45">
      <c r="I1466" t="s">
        <v>191</v>
      </c>
      <c r="J1466" t="s">
        <v>349</v>
      </c>
      <c r="K1466">
        <v>0</v>
      </c>
      <c r="L1466" t="s">
        <v>159</v>
      </c>
      <c r="N1466" t="s">
        <v>234</v>
      </c>
      <c r="O1466" t="s">
        <v>349</v>
      </c>
      <c r="P1466">
        <v>9.9302675246014433E-6</v>
      </c>
      <c r="Q1466" t="s">
        <v>159</v>
      </c>
    </row>
    <row r="1467" spans="9:17" x14ac:dyDescent="0.45">
      <c r="I1467" t="s">
        <v>191</v>
      </c>
      <c r="J1467" t="s">
        <v>350</v>
      </c>
      <c r="K1467">
        <v>0</v>
      </c>
      <c r="L1467" t="s">
        <v>159</v>
      </c>
      <c r="N1467" t="s">
        <v>234</v>
      </c>
      <c r="O1467" t="s">
        <v>350</v>
      </c>
      <c r="P1467">
        <v>1.1323288920882056E-5</v>
      </c>
      <c r="Q1467" t="s">
        <v>159</v>
      </c>
    </row>
    <row r="1468" spans="9:17" x14ac:dyDescent="0.45">
      <c r="I1468" t="s">
        <v>191</v>
      </c>
      <c r="J1468" t="s">
        <v>351</v>
      </c>
      <c r="K1468">
        <v>0</v>
      </c>
      <c r="L1468" t="s">
        <v>159</v>
      </c>
      <c r="N1468" t="s">
        <v>234</v>
      </c>
      <c r="O1468" t="s">
        <v>351</v>
      </c>
      <c r="P1468">
        <v>1.2960726100922157E-5</v>
      </c>
      <c r="Q1468" t="s">
        <v>159</v>
      </c>
    </row>
    <row r="1469" spans="9:17" x14ac:dyDescent="0.45">
      <c r="I1469" t="s">
        <v>191</v>
      </c>
      <c r="J1469" t="s">
        <v>352</v>
      </c>
      <c r="K1469">
        <v>0</v>
      </c>
      <c r="L1469" t="s">
        <v>159</v>
      </c>
      <c r="N1469" t="s">
        <v>234</v>
      </c>
      <c r="O1469" t="s">
        <v>352</v>
      </c>
      <c r="P1469">
        <v>9.7124917786300115E-6</v>
      </c>
      <c r="Q1469" t="s">
        <v>159</v>
      </c>
    </row>
    <row r="1470" spans="9:17" x14ac:dyDescent="0.45">
      <c r="I1470" t="s">
        <v>191</v>
      </c>
      <c r="J1470" t="s">
        <v>353</v>
      </c>
      <c r="K1470">
        <v>0</v>
      </c>
      <c r="L1470" t="s">
        <v>159</v>
      </c>
      <c r="N1470" t="s">
        <v>234</v>
      </c>
      <c r="O1470" t="s">
        <v>353</v>
      </c>
      <c r="P1470">
        <v>8.7397733573084534E-6</v>
      </c>
      <c r="Q1470" t="s">
        <v>159</v>
      </c>
    </row>
    <row r="1471" spans="9:17" x14ac:dyDescent="0.45">
      <c r="I1471" t="s">
        <v>191</v>
      </c>
      <c r="J1471" t="s">
        <v>354</v>
      </c>
      <c r="K1471">
        <v>1.5838132767870578E-4</v>
      </c>
      <c r="L1471" t="s">
        <v>159</v>
      </c>
      <c r="N1471" t="s">
        <v>234</v>
      </c>
      <c r="O1471" t="s">
        <v>354</v>
      </c>
      <c r="P1471">
        <v>8.2779309571019103E-6</v>
      </c>
      <c r="Q1471" t="s">
        <v>159</v>
      </c>
    </row>
    <row r="1472" spans="9:17" x14ac:dyDescent="0.45">
      <c r="I1472" t="s">
        <v>191</v>
      </c>
      <c r="J1472" t="s">
        <v>355</v>
      </c>
      <c r="K1472">
        <v>2.0715141892512252E-4</v>
      </c>
      <c r="L1472" t="s">
        <v>159</v>
      </c>
      <c r="N1472" t="s">
        <v>234</v>
      </c>
      <c r="O1472" t="s">
        <v>355</v>
      </c>
      <c r="P1472">
        <v>2.8775323364153955E-6</v>
      </c>
      <c r="Q1472" t="s">
        <v>159</v>
      </c>
    </row>
    <row r="1473" spans="9:17" x14ac:dyDescent="0.45">
      <c r="I1473" t="s">
        <v>191</v>
      </c>
      <c r="J1473" t="s">
        <v>356</v>
      </c>
      <c r="K1473">
        <v>2.1714932284821949E-4</v>
      </c>
      <c r="L1473" t="s">
        <v>159</v>
      </c>
      <c r="N1473" t="s">
        <v>234</v>
      </c>
      <c r="O1473" t="s">
        <v>356</v>
      </c>
      <c r="P1473">
        <v>4.2334342296241646E-6</v>
      </c>
      <c r="Q1473" t="s">
        <v>159</v>
      </c>
    </row>
    <row r="1474" spans="9:17" x14ac:dyDescent="0.45">
      <c r="I1474" t="s">
        <v>191</v>
      </c>
      <c r="J1474" t="s">
        <v>357</v>
      </c>
      <c r="K1474">
        <v>2.3627204348923098E-4</v>
      </c>
      <c r="L1474" t="s">
        <v>159</v>
      </c>
      <c r="N1474" t="s">
        <v>234</v>
      </c>
      <c r="O1474" t="s">
        <v>357</v>
      </c>
      <c r="P1474">
        <v>4.0866989137320905E-6</v>
      </c>
      <c r="Q1474" t="s">
        <v>159</v>
      </c>
    </row>
    <row r="1475" spans="9:17" x14ac:dyDescent="0.45">
      <c r="I1475" t="s">
        <v>191</v>
      </c>
      <c r="J1475" t="s">
        <v>358</v>
      </c>
      <c r="K1475">
        <v>2.7439924817618255E-4</v>
      </c>
      <c r="L1475" t="s">
        <v>159</v>
      </c>
      <c r="N1475" t="s">
        <v>234</v>
      </c>
      <c r="O1475" t="s">
        <v>358</v>
      </c>
      <c r="P1475">
        <v>2.1167909885270156E-6</v>
      </c>
      <c r="Q1475" t="s">
        <v>159</v>
      </c>
    </row>
    <row r="1476" spans="9:17" x14ac:dyDescent="0.45">
      <c r="I1476" t="s">
        <v>191</v>
      </c>
      <c r="J1476" t="s">
        <v>359</v>
      </c>
      <c r="K1476">
        <v>2.7983530942707812E-4</v>
      </c>
      <c r="L1476" t="s">
        <v>159</v>
      </c>
      <c r="N1476" t="s">
        <v>234</v>
      </c>
      <c r="O1476" t="s">
        <v>359</v>
      </c>
      <c r="P1476">
        <v>1.1105466986973768E-6</v>
      </c>
      <c r="Q1476" t="s">
        <v>159</v>
      </c>
    </row>
    <row r="1477" spans="9:17" x14ac:dyDescent="0.45">
      <c r="I1477" t="s">
        <v>191</v>
      </c>
      <c r="J1477" t="s">
        <v>360</v>
      </c>
      <c r="K1477">
        <v>2.3556174256633838E-4</v>
      </c>
      <c r="L1477" t="s">
        <v>159</v>
      </c>
      <c r="N1477" t="s">
        <v>234</v>
      </c>
      <c r="O1477" t="s">
        <v>360</v>
      </c>
      <c r="P1477">
        <v>8.998623305036893E-7</v>
      </c>
      <c r="Q1477" t="s">
        <v>159</v>
      </c>
    </row>
    <row r="1478" spans="9:17" x14ac:dyDescent="0.45">
      <c r="I1478" t="s">
        <v>191</v>
      </c>
      <c r="J1478" t="s">
        <v>361</v>
      </c>
      <c r="K1478">
        <v>2.0782123816574387E-4</v>
      </c>
      <c r="L1478" t="s">
        <v>159</v>
      </c>
      <c r="N1478" t="s">
        <v>234</v>
      </c>
      <c r="O1478" t="s">
        <v>361</v>
      </c>
      <c r="P1478">
        <v>5.7627172722754283E-7</v>
      </c>
      <c r="Q1478" t="s">
        <v>159</v>
      </c>
    </row>
    <row r="1479" spans="9:17" x14ac:dyDescent="0.45">
      <c r="I1479" t="s">
        <v>191</v>
      </c>
      <c r="J1479" t="s">
        <v>362</v>
      </c>
      <c r="K1479">
        <v>1.6998820073663257E-4</v>
      </c>
      <c r="L1479" t="s">
        <v>159</v>
      </c>
      <c r="N1479" t="s">
        <v>234</v>
      </c>
      <c r="O1479" t="s">
        <v>362</v>
      </c>
      <c r="P1479">
        <v>7.1062950662924364E-7</v>
      </c>
      <c r="Q1479" t="s">
        <v>159</v>
      </c>
    </row>
    <row r="1480" spans="9:17" x14ac:dyDescent="0.45">
      <c r="I1480" t="s">
        <v>191</v>
      </c>
      <c r="J1480" t="s">
        <v>363</v>
      </c>
      <c r="K1480">
        <v>1.4810020536550379E-4</v>
      </c>
      <c r="L1480" t="s">
        <v>159</v>
      </c>
      <c r="N1480" t="s">
        <v>234</v>
      </c>
      <c r="O1480" t="s">
        <v>363</v>
      </c>
      <c r="P1480">
        <v>1.5987350675675392E-5</v>
      </c>
      <c r="Q1480" t="s">
        <v>159</v>
      </c>
    </row>
    <row r="1481" spans="9:17" x14ac:dyDescent="0.45">
      <c r="I1481" t="s">
        <v>191</v>
      </c>
      <c r="J1481" t="s">
        <v>364</v>
      </c>
      <c r="K1481">
        <v>0</v>
      </c>
      <c r="L1481" t="s">
        <v>159</v>
      </c>
      <c r="N1481" t="s">
        <v>234</v>
      </c>
      <c r="O1481" t="s">
        <v>364</v>
      </c>
      <c r="P1481">
        <v>6.6081024939909777E-5</v>
      </c>
      <c r="Q1481" t="s">
        <v>159</v>
      </c>
    </row>
    <row r="1482" spans="9:17" x14ac:dyDescent="0.45">
      <c r="I1482" t="s">
        <v>191</v>
      </c>
      <c r="J1482" t="s">
        <v>365</v>
      </c>
      <c r="K1482">
        <v>0</v>
      </c>
      <c r="L1482" t="s">
        <v>159</v>
      </c>
      <c r="N1482" t="s">
        <v>234</v>
      </c>
      <c r="O1482" t="s">
        <v>365</v>
      </c>
      <c r="P1482">
        <v>7.516393197993562E-5</v>
      </c>
      <c r="Q1482" t="s">
        <v>159</v>
      </c>
    </row>
    <row r="1483" spans="9:17" x14ac:dyDescent="0.45">
      <c r="I1483" t="s">
        <v>191</v>
      </c>
      <c r="J1483" t="s">
        <v>366</v>
      </c>
      <c r="K1483">
        <v>0</v>
      </c>
      <c r="L1483" t="s">
        <v>159</v>
      </c>
      <c r="N1483" t="s">
        <v>234</v>
      </c>
      <c r="O1483" t="s">
        <v>366</v>
      </c>
      <c r="P1483">
        <v>7.1654370511552119E-5</v>
      </c>
      <c r="Q1483" t="s">
        <v>159</v>
      </c>
    </row>
    <row r="1484" spans="9:17" x14ac:dyDescent="0.45">
      <c r="I1484" t="s">
        <v>191</v>
      </c>
      <c r="J1484" t="s">
        <v>367</v>
      </c>
      <c r="K1484">
        <v>0</v>
      </c>
      <c r="L1484" t="s">
        <v>159</v>
      </c>
      <c r="N1484" t="s">
        <v>234</v>
      </c>
      <c r="O1484" t="s">
        <v>367</v>
      </c>
      <c r="P1484">
        <v>6.4382921829144886E-5</v>
      </c>
      <c r="Q1484" t="s">
        <v>159</v>
      </c>
    </row>
    <row r="1485" spans="9:17" x14ac:dyDescent="0.45">
      <c r="I1485" t="s">
        <v>191</v>
      </c>
      <c r="J1485" t="s">
        <v>368</v>
      </c>
      <c r="K1485">
        <v>0</v>
      </c>
      <c r="L1485" t="s">
        <v>159</v>
      </c>
      <c r="N1485" t="s">
        <v>234</v>
      </c>
      <c r="O1485" t="s">
        <v>368</v>
      </c>
      <c r="P1485">
        <v>6.0851138425259317E-5</v>
      </c>
      <c r="Q1485" t="s">
        <v>159</v>
      </c>
    </row>
    <row r="1486" spans="9:17" x14ac:dyDescent="0.45">
      <c r="I1486" t="s">
        <v>191</v>
      </c>
      <c r="J1486" t="s">
        <v>369</v>
      </c>
      <c r="K1486">
        <v>0</v>
      </c>
      <c r="L1486" t="s">
        <v>159</v>
      </c>
      <c r="N1486" t="s">
        <v>234</v>
      </c>
      <c r="O1486" t="s">
        <v>369</v>
      </c>
      <c r="P1486">
        <v>5.5404352951433861E-5</v>
      </c>
      <c r="Q1486" t="s">
        <v>159</v>
      </c>
    </row>
    <row r="1487" spans="9:17" x14ac:dyDescent="0.45">
      <c r="I1487" t="s">
        <v>191</v>
      </c>
      <c r="J1487" t="s">
        <v>165</v>
      </c>
      <c r="K1487">
        <v>0</v>
      </c>
      <c r="L1487" t="s">
        <v>159</v>
      </c>
      <c r="N1487" t="s">
        <v>234</v>
      </c>
      <c r="O1487" t="s">
        <v>165</v>
      </c>
      <c r="P1487">
        <v>3.5726087584862044E-2</v>
      </c>
      <c r="Q1487" t="s">
        <v>159</v>
      </c>
    </row>
    <row r="1488" spans="9:17" x14ac:dyDescent="0.45">
      <c r="I1488" t="s">
        <v>191</v>
      </c>
      <c r="J1488" t="s">
        <v>166</v>
      </c>
      <c r="K1488">
        <v>3.6328728876483155E-4</v>
      </c>
      <c r="L1488" t="s">
        <v>159</v>
      </c>
      <c r="N1488" t="s">
        <v>234</v>
      </c>
      <c r="O1488" t="s">
        <v>166</v>
      </c>
      <c r="P1488">
        <v>2.9940130275942843E-3</v>
      </c>
      <c r="Q1488" t="s">
        <v>159</v>
      </c>
    </row>
    <row r="1489" spans="9:17" x14ac:dyDescent="0.45">
      <c r="I1489" t="s">
        <v>191</v>
      </c>
      <c r="J1489" t="s">
        <v>167</v>
      </c>
      <c r="K1489">
        <v>6.1318547682859215E-2</v>
      </c>
      <c r="L1489" t="s">
        <v>159</v>
      </c>
      <c r="N1489" t="s">
        <v>234</v>
      </c>
      <c r="O1489" t="s">
        <v>167</v>
      </c>
      <c r="P1489">
        <v>2.137680503965575E-2</v>
      </c>
      <c r="Q1489" t="s">
        <v>159</v>
      </c>
    </row>
    <row r="1490" spans="9:17" x14ac:dyDescent="0.45">
      <c r="I1490" t="s">
        <v>191</v>
      </c>
      <c r="J1490" t="s">
        <v>291</v>
      </c>
      <c r="K1490">
        <v>4.9211406731567882E-3</v>
      </c>
      <c r="L1490" t="s">
        <v>159</v>
      </c>
      <c r="N1490" t="s">
        <v>234</v>
      </c>
      <c r="O1490" t="s">
        <v>291</v>
      </c>
      <c r="P1490">
        <v>3.3561659353387265E-3</v>
      </c>
      <c r="Q1490" t="s">
        <v>159</v>
      </c>
    </row>
    <row r="1491" spans="9:17" x14ac:dyDescent="0.45">
      <c r="I1491" t="s">
        <v>191</v>
      </c>
      <c r="J1491" t="s">
        <v>292</v>
      </c>
      <c r="K1491">
        <v>2.4611285133283342E-3</v>
      </c>
      <c r="L1491" t="s">
        <v>159</v>
      </c>
      <c r="N1491" t="s">
        <v>234</v>
      </c>
      <c r="O1491" t="s">
        <v>292</v>
      </c>
      <c r="P1491">
        <v>3.5802323288524492E-3</v>
      </c>
      <c r="Q1491" t="s">
        <v>159</v>
      </c>
    </row>
    <row r="1492" spans="9:17" x14ac:dyDescent="0.45">
      <c r="I1492" t="s">
        <v>191</v>
      </c>
      <c r="J1492" t="s">
        <v>310</v>
      </c>
      <c r="K1492">
        <v>0</v>
      </c>
      <c r="L1492" t="s">
        <v>159</v>
      </c>
      <c r="N1492" t="s">
        <v>234</v>
      </c>
      <c r="O1492" t="s">
        <v>310</v>
      </c>
      <c r="P1492">
        <v>2.4803582838567515E-2</v>
      </c>
      <c r="Q1492" t="s">
        <v>159</v>
      </c>
    </row>
    <row r="1493" spans="9:17" x14ac:dyDescent="0.45">
      <c r="I1493" t="s">
        <v>191</v>
      </c>
      <c r="J1493" t="s">
        <v>293</v>
      </c>
      <c r="K1493">
        <v>0</v>
      </c>
      <c r="L1493" t="s">
        <v>159</v>
      </c>
      <c r="N1493" t="s">
        <v>234</v>
      </c>
      <c r="O1493" t="s">
        <v>293</v>
      </c>
      <c r="P1493">
        <v>9.0632729826885684E-3</v>
      </c>
      <c r="Q1493" t="s">
        <v>159</v>
      </c>
    </row>
    <row r="1494" spans="9:17" x14ac:dyDescent="0.45">
      <c r="I1494" t="s">
        <v>191</v>
      </c>
      <c r="J1494" t="s">
        <v>294</v>
      </c>
      <c r="K1494">
        <v>8.4990203002881367E-4</v>
      </c>
      <c r="L1494" t="s">
        <v>159</v>
      </c>
      <c r="N1494" t="s">
        <v>234</v>
      </c>
      <c r="O1494" t="s">
        <v>294</v>
      </c>
      <c r="P1494">
        <v>9.1832102418983085E-4</v>
      </c>
      <c r="Q1494" t="s">
        <v>159</v>
      </c>
    </row>
    <row r="1495" spans="9:17" x14ac:dyDescent="0.45">
      <c r="I1495" t="s">
        <v>191</v>
      </c>
      <c r="J1495" t="s">
        <v>295</v>
      </c>
      <c r="K1495">
        <v>1.5483002149326538E-2</v>
      </c>
      <c r="L1495" t="s">
        <v>159</v>
      </c>
      <c r="N1495" t="s">
        <v>234</v>
      </c>
      <c r="O1495" t="s">
        <v>295</v>
      </c>
      <c r="P1495">
        <v>5.7596019845443502E-3</v>
      </c>
      <c r="Q1495" t="s">
        <v>159</v>
      </c>
    </row>
    <row r="1496" spans="9:17" x14ac:dyDescent="0.45">
      <c r="I1496" t="s">
        <v>191</v>
      </c>
      <c r="J1496" t="s">
        <v>296</v>
      </c>
      <c r="K1496">
        <v>1.2836866218629501E-3</v>
      </c>
      <c r="L1496" t="s">
        <v>159</v>
      </c>
      <c r="N1496" t="s">
        <v>234</v>
      </c>
      <c r="O1496" t="s">
        <v>296</v>
      </c>
      <c r="P1496">
        <v>5.3213268491292362E-4</v>
      </c>
      <c r="Q1496" t="s">
        <v>159</v>
      </c>
    </row>
    <row r="1497" spans="9:17" x14ac:dyDescent="0.45">
      <c r="I1497" t="s">
        <v>191</v>
      </c>
      <c r="J1497" t="s">
        <v>297</v>
      </c>
      <c r="K1497">
        <v>8.3793259860301102E-4</v>
      </c>
      <c r="L1497" t="s">
        <v>159</v>
      </c>
      <c r="N1497" t="s">
        <v>234</v>
      </c>
      <c r="O1497" t="s">
        <v>297</v>
      </c>
      <c r="P1497">
        <v>6.9700249551975788E-4</v>
      </c>
      <c r="Q1497" t="s">
        <v>159</v>
      </c>
    </row>
    <row r="1498" spans="9:17" x14ac:dyDescent="0.45">
      <c r="I1498" t="s">
        <v>191</v>
      </c>
      <c r="J1498" t="s">
        <v>311</v>
      </c>
      <c r="K1498">
        <v>0</v>
      </c>
      <c r="L1498" t="s">
        <v>159</v>
      </c>
      <c r="N1498" t="s">
        <v>234</v>
      </c>
      <c r="O1498" t="s">
        <v>311</v>
      </c>
      <c r="P1498">
        <v>5.6390597549578828E-3</v>
      </c>
      <c r="Q1498" t="s">
        <v>159</v>
      </c>
    </row>
    <row r="1499" spans="9:17" x14ac:dyDescent="0.45">
      <c r="I1499" t="s">
        <v>191</v>
      </c>
      <c r="J1499" t="s">
        <v>298</v>
      </c>
      <c r="K1499">
        <v>4.1026667643317234E-3</v>
      </c>
      <c r="L1499" t="s">
        <v>159</v>
      </c>
      <c r="N1499" t="s">
        <v>234</v>
      </c>
      <c r="O1499" t="s">
        <v>298</v>
      </c>
      <c r="P1499">
        <v>0.12496547047407544</v>
      </c>
      <c r="Q1499" t="s">
        <v>159</v>
      </c>
    </row>
    <row r="1500" spans="9:17" x14ac:dyDescent="0.45">
      <c r="I1500" t="s">
        <v>191</v>
      </c>
      <c r="J1500" t="s">
        <v>299</v>
      </c>
      <c r="K1500">
        <v>1.5277838858587009E-2</v>
      </c>
      <c r="L1500" t="s">
        <v>159</v>
      </c>
      <c r="N1500" t="s">
        <v>234</v>
      </c>
      <c r="O1500" t="s">
        <v>299</v>
      </c>
      <c r="P1500">
        <v>1.0627824353293356E-2</v>
      </c>
      <c r="Q1500" t="s">
        <v>159</v>
      </c>
    </row>
    <row r="1501" spans="9:17" x14ac:dyDescent="0.45">
      <c r="I1501" t="s">
        <v>191</v>
      </c>
      <c r="J1501" t="s">
        <v>300</v>
      </c>
      <c r="K1501">
        <v>0.24404159707161677</v>
      </c>
      <c r="L1501" t="s">
        <v>159</v>
      </c>
      <c r="N1501" t="s">
        <v>234</v>
      </c>
      <c r="O1501" t="s">
        <v>300</v>
      </c>
      <c r="P1501">
        <v>0.12911880279894195</v>
      </c>
      <c r="Q1501" t="s">
        <v>159</v>
      </c>
    </row>
    <row r="1502" spans="9:17" x14ac:dyDescent="0.45">
      <c r="I1502" t="s">
        <v>191</v>
      </c>
      <c r="J1502" t="s">
        <v>301</v>
      </c>
      <c r="K1502">
        <v>2.0260118665928219E-2</v>
      </c>
      <c r="L1502" t="s">
        <v>159</v>
      </c>
      <c r="N1502" t="s">
        <v>234</v>
      </c>
      <c r="O1502" t="s">
        <v>301</v>
      </c>
      <c r="P1502">
        <v>1.6010843630431395E-2</v>
      </c>
      <c r="Q1502" t="s">
        <v>159</v>
      </c>
    </row>
    <row r="1503" spans="9:17" x14ac:dyDescent="0.45">
      <c r="I1503" t="s">
        <v>191</v>
      </c>
      <c r="J1503" t="s">
        <v>302</v>
      </c>
      <c r="K1503">
        <v>1.294070941906875E-2</v>
      </c>
      <c r="L1503" t="s">
        <v>159</v>
      </c>
      <c r="N1503" t="s">
        <v>234</v>
      </c>
      <c r="O1503" t="s">
        <v>302</v>
      </c>
      <c r="P1503">
        <v>1.4410627775870545E-2</v>
      </c>
      <c r="Q1503" t="s">
        <v>159</v>
      </c>
    </row>
    <row r="1504" spans="9:17" x14ac:dyDescent="0.45">
      <c r="I1504" t="s">
        <v>191</v>
      </c>
      <c r="J1504" t="s">
        <v>312</v>
      </c>
      <c r="K1504">
        <v>0</v>
      </c>
      <c r="L1504" t="s">
        <v>159</v>
      </c>
      <c r="N1504" t="s">
        <v>234</v>
      </c>
      <c r="O1504" t="s">
        <v>312</v>
      </c>
      <c r="P1504">
        <v>0.10882423791669278</v>
      </c>
      <c r="Q1504" t="s">
        <v>159</v>
      </c>
    </row>
    <row r="1505" spans="9:17" x14ac:dyDescent="0.45">
      <c r="I1505" t="s">
        <v>191</v>
      </c>
      <c r="J1505" t="s">
        <v>313</v>
      </c>
      <c r="K1505">
        <v>2.1746295722733394E-3</v>
      </c>
      <c r="L1505" t="s">
        <v>159</v>
      </c>
      <c r="N1505" t="s">
        <v>234</v>
      </c>
      <c r="O1505" t="s">
        <v>313</v>
      </c>
      <c r="P1505">
        <v>1.4348310259305412E-2</v>
      </c>
      <c r="Q1505" t="s">
        <v>159</v>
      </c>
    </row>
    <row r="1506" spans="9:17" x14ac:dyDescent="0.45">
      <c r="I1506" t="s">
        <v>191</v>
      </c>
      <c r="J1506" t="s">
        <v>314</v>
      </c>
      <c r="K1506">
        <v>3.9487113168809908E-3</v>
      </c>
      <c r="L1506" t="s">
        <v>159</v>
      </c>
      <c r="N1506" t="s">
        <v>234</v>
      </c>
      <c r="O1506" t="s">
        <v>314</v>
      </c>
      <c r="P1506">
        <v>1.697086702077069E-3</v>
      </c>
      <c r="Q1506" t="s">
        <v>159</v>
      </c>
    </row>
    <row r="1507" spans="9:17" x14ac:dyDescent="0.45">
      <c r="I1507" t="s">
        <v>191</v>
      </c>
      <c r="J1507" t="s">
        <v>315</v>
      </c>
      <c r="K1507">
        <v>6.2473400297621905E-2</v>
      </c>
      <c r="L1507" t="s">
        <v>159</v>
      </c>
      <c r="N1507" t="s">
        <v>234</v>
      </c>
      <c r="O1507" t="s">
        <v>315</v>
      </c>
      <c r="P1507">
        <v>1.8643688847177518E-2</v>
      </c>
      <c r="Q1507" t="s">
        <v>159</v>
      </c>
    </row>
    <row r="1508" spans="9:17" x14ac:dyDescent="0.45">
      <c r="I1508" t="s">
        <v>191</v>
      </c>
      <c r="J1508" t="s">
        <v>316</v>
      </c>
      <c r="K1508">
        <v>5.4336729617707599E-3</v>
      </c>
      <c r="L1508" t="s">
        <v>159</v>
      </c>
      <c r="N1508" t="s">
        <v>234</v>
      </c>
      <c r="O1508" t="s">
        <v>316</v>
      </c>
      <c r="P1508">
        <v>1.9932579728489117E-3</v>
      </c>
      <c r="Q1508" t="s">
        <v>159</v>
      </c>
    </row>
    <row r="1509" spans="9:17" x14ac:dyDescent="0.45">
      <c r="I1509" t="s">
        <v>191</v>
      </c>
      <c r="J1509" t="s">
        <v>317</v>
      </c>
      <c r="K1509">
        <v>3.963306366081912E-3</v>
      </c>
      <c r="L1509" t="s">
        <v>159</v>
      </c>
      <c r="N1509" t="s">
        <v>234</v>
      </c>
      <c r="O1509" t="s">
        <v>317</v>
      </c>
      <c r="P1509">
        <v>2.0170520410960945E-3</v>
      </c>
      <c r="Q1509" t="s">
        <v>159</v>
      </c>
    </row>
    <row r="1510" spans="9:17" x14ac:dyDescent="0.45">
      <c r="I1510" t="s">
        <v>191</v>
      </c>
      <c r="J1510" t="s">
        <v>318</v>
      </c>
      <c r="K1510">
        <v>2.0611518096120859E-3</v>
      </c>
      <c r="L1510" t="s">
        <v>159</v>
      </c>
      <c r="N1510" t="s">
        <v>234</v>
      </c>
      <c r="O1510" t="s">
        <v>318</v>
      </c>
      <c r="P1510">
        <v>1.5579995846954037E-2</v>
      </c>
      <c r="Q1510" t="s">
        <v>159</v>
      </c>
    </row>
    <row r="1511" spans="9:17" x14ac:dyDescent="0.45">
      <c r="I1511" t="s">
        <v>192</v>
      </c>
      <c r="J1511" t="s">
        <v>158</v>
      </c>
      <c r="K1511">
        <v>1.1309490066213159E-3</v>
      </c>
      <c r="L1511" t="s">
        <v>159</v>
      </c>
      <c r="N1511" t="s">
        <v>235</v>
      </c>
      <c r="O1511" t="s">
        <v>158</v>
      </c>
      <c r="P1511">
        <v>0.1326078406128211</v>
      </c>
      <c r="Q1511" t="s">
        <v>159</v>
      </c>
    </row>
    <row r="1512" spans="9:17" x14ac:dyDescent="0.45">
      <c r="I1512" t="s">
        <v>192</v>
      </c>
      <c r="J1512" t="s">
        <v>160</v>
      </c>
      <c r="K1512">
        <v>1.3586395728548712E-2</v>
      </c>
      <c r="L1512" t="s">
        <v>159</v>
      </c>
      <c r="N1512" t="s">
        <v>235</v>
      </c>
      <c r="O1512" t="s">
        <v>160</v>
      </c>
      <c r="P1512">
        <v>1.0870700320974307E-2</v>
      </c>
      <c r="Q1512" t="s">
        <v>159</v>
      </c>
    </row>
    <row r="1513" spans="9:17" x14ac:dyDescent="0.45">
      <c r="I1513" t="s">
        <v>192</v>
      </c>
      <c r="J1513" t="s">
        <v>161</v>
      </c>
      <c r="K1513">
        <v>0.39508079238605803</v>
      </c>
      <c r="L1513" t="s">
        <v>159</v>
      </c>
      <c r="N1513" t="s">
        <v>235</v>
      </c>
      <c r="O1513" t="s">
        <v>161</v>
      </c>
      <c r="P1513">
        <v>8.1288462257306598E-2</v>
      </c>
      <c r="Q1513" t="s">
        <v>159</v>
      </c>
    </row>
    <row r="1514" spans="9:17" x14ac:dyDescent="0.45">
      <c r="I1514" t="s">
        <v>192</v>
      </c>
      <c r="J1514" t="s">
        <v>287</v>
      </c>
      <c r="K1514">
        <v>3.2950645312313911E-2</v>
      </c>
      <c r="L1514" t="s">
        <v>159</v>
      </c>
      <c r="N1514" t="s">
        <v>235</v>
      </c>
      <c r="O1514" t="s">
        <v>287</v>
      </c>
      <c r="P1514">
        <v>1.1232622928014208E-2</v>
      </c>
      <c r="Q1514" t="s">
        <v>159</v>
      </c>
    </row>
    <row r="1515" spans="9:17" x14ac:dyDescent="0.45">
      <c r="I1515" t="s">
        <v>192</v>
      </c>
      <c r="J1515" t="s">
        <v>288</v>
      </c>
      <c r="K1515">
        <v>1.6916284635490539E-2</v>
      </c>
      <c r="L1515" t="s">
        <v>159</v>
      </c>
      <c r="N1515" t="s">
        <v>235</v>
      </c>
      <c r="O1515" t="s">
        <v>288</v>
      </c>
      <c r="P1515">
        <v>1.4396412051200083E-2</v>
      </c>
      <c r="Q1515" t="s">
        <v>159</v>
      </c>
    </row>
    <row r="1516" spans="9:17" x14ac:dyDescent="0.45">
      <c r="I1516" t="s">
        <v>192</v>
      </c>
      <c r="J1516" t="s">
        <v>308</v>
      </c>
      <c r="K1516">
        <v>5.7645492345875385E-3</v>
      </c>
      <c r="L1516" t="s">
        <v>159</v>
      </c>
      <c r="N1516" t="s">
        <v>235</v>
      </c>
      <c r="O1516" t="s">
        <v>308</v>
      </c>
      <c r="P1516">
        <v>0.12073586908366522</v>
      </c>
      <c r="Q1516" t="s">
        <v>159</v>
      </c>
    </row>
    <row r="1517" spans="9:17" x14ac:dyDescent="0.45">
      <c r="I1517" t="s">
        <v>192</v>
      </c>
      <c r="J1517" t="s">
        <v>162</v>
      </c>
      <c r="K1517">
        <v>0</v>
      </c>
      <c r="L1517" t="s">
        <v>159</v>
      </c>
      <c r="N1517" t="s">
        <v>235</v>
      </c>
      <c r="O1517" t="s">
        <v>162</v>
      </c>
      <c r="P1517">
        <v>1.8974945677617455E-2</v>
      </c>
      <c r="Q1517" t="s">
        <v>159</v>
      </c>
    </row>
    <row r="1518" spans="9:17" x14ac:dyDescent="0.45">
      <c r="I1518" t="s">
        <v>192</v>
      </c>
      <c r="J1518" t="s">
        <v>163</v>
      </c>
      <c r="K1518">
        <v>0</v>
      </c>
      <c r="L1518" t="s">
        <v>159</v>
      </c>
      <c r="N1518" t="s">
        <v>235</v>
      </c>
      <c r="O1518" t="s">
        <v>163</v>
      </c>
      <c r="P1518">
        <v>2.167436641577679E-3</v>
      </c>
      <c r="Q1518" t="s">
        <v>159</v>
      </c>
    </row>
    <row r="1519" spans="9:17" x14ac:dyDescent="0.45">
      <c r="I1519" t="s">
        <v>192</v>
      </c>
      <c r="J1519" t="s">
        <v>164</v>
      </c>
      <c r="K1519">
        <v>5.1692382064080174E-2</v>
      </c>
      <c r="L1519" t="s">
        <v>159</v>
      </c>
      <c r="N1519" t="s">
        <v>235</v>
      </c>
      <c r="O1519" t="s">
        <v>164</v>
      </c>
      <c r="P1519">
        <v>1.521528086995697E-2</v>
      </c>
      <c r="Q1519" t="s">
        <v>159</v>
      </c>
    </row>
    <row r="1520" spans="9:17" x14ac:dyDescent="0.45">
      <c r="I1520" t="s">
        <v>192</v>
      </c>
      <c r="J1520" t="s">
        <v>289</v>
      </c>
      <c r="K1520">
        <v>4.5335375522271891E-3</v>
      </c>
      <c r="L1520" t="s">
        <v>159</v>
      </c>
      <c r="N1520" t="s">
        <v>235</v>
      </c>
      <c r="O1520" t="s">
        <v>289</v>
      </c>
      <c r="P1520">
        <v>1.8696020848102243E-3</v>
      </c>
      <c r="Q1520" t="s">
        <v>159</v>
      </c>
    </row>
    <row r="1521" spans="9:17" x14ac:dyDescent="0.45">
      <c r="I1521" t="s">
        <v>192</v>
      </c>
      <c r="J1521" t="s">
        <v>290</v>
      </c>
      <c r="K1521">
        <v>0</v>
      </c>
      <c r="L1521" t="s">
        <v>159</v>
      </c>
      <c r="N1521" t="s">
        <v>235</v>
      </c>
      <c r="O1521" t="s">
        <v>290</v>
      </c>
      <c r="P1521">
        <v>2.7957742786564486E-3</v>
      </c>
      <c r="Q1521" t="s">
        <v>159</v>
      </c>
    </row>
    <row r="1522" spans="9:17" x14ac:dyDescent="0.45">
      <c r="I1522" t="s">
        <v>192</v>
      </c>
      <c r="J1522" t="s">
        <v>309</v>
      </c>
      <c r="K1522">
        <v>0</v>
      </c>
      <c r="L1522" t="s">
        <v>159</v>
      </c>
      <c r="N1522" t="s">
        <v>235</v>
      </c>
      <c r="O1522" t="s">
        <v>309</v>
      </c>
      <c r="P1522">
        <v>1.9303247616879068E-2</v>
      </c>
      <c r="Q1522" t="s">
        <v>159</v>
      </c>
    </row>
    <row r="1523" spans="9:17" x14ac:dyDescent="0.45">
      <c r="I1523" t="s">
        <v>192</v>
      </c>
      <c r="J1523" t="s">
        <v>346</v>
      </c>
      <c r="K1523">
        <v>0</v>
      </c>
      <c r="L1523" t="s">
        <v>159</v>
      </c>
      <c r="N1523" t="s">
        <v>235</v>
      </c>
      <c r="O1523" t="s">
        <v>346</v>
      </c>
      <c r="P1523">
        <v>1.0347305759012445E-5</v>
      </c>
      <c r="Q1523" t="s">
        <v>159</v>
      </c>
    </row>
    <row r="1524" spans="9:17" x14ac:dyDescent="0.45">
      <c r="I1524" t="s">
        <v>192</v>
      </c>
      <c r="J1524" t="s">
        <v>347</v>
      </c>
      <c r="K1524">
        <v>0</v>
      </c>
      <c r="L1524" t="s">
        <v>159</v>
      </c>
      <c r="N1524" t="s">
        <v>235</v>
      </c>
      <c r="O1524" t="s">
        <v>347</v>
      </c>
      <c r="P1524">
        <v>2.7467999211001737E-5</v>
      </c>
      <c r="Q1524" t="s">
        <v>159</v>
      </c>
    </row>
    <row r="1525" spans="9:17" x14ac:dyDescent="0.45">
      <c r="I1525" t="s">
        <v>192</v>
      </c>
      <c r="J1525" t="s">
        <v>348</v>
      </c>
      <c r="K1525">
        <v>0</v>
      </c>
      <c r="L1525" t="s">
        <v>159</v>
      </c>
      <c r="N1525" t="s">
        <v>235</v>
      </c>
      <c r="O1525" t="s">
        <v>348</v>
      </c>
      <c r="P1525">
        <v>4.6420803343029352E-5</v>
      </c>
      <c r="Q1525" t="s">
        <v>159</v>
      </c>
    </row>
    <row r="1526" spans="9:17" x14ac:dyDescent="0.45">
      <c r="I1526" t="s">
        <v>192</v>
      </c>
      <c r="J1526" t="s">
        <v>349</v>
      </c>
      <c r="K1526">
        <v>0</v>
      </c>
      <c r="L1526" t="s">
        <v>159</v>
      </c>
      <c r="N1526" t="s">
        <v>235</v>
      </c>
      <c r="O1526" t="s">
        <v>349</v>
      </c>
      <c r="P1526">
        <v>6.3469541340111597E-5</v>
      </c>
      <c r="Q1526" t="s">
        <v>159</v>
      </c>
    </row>
    <row r="1527" spans="9:17" x14ac:dyDescent="0.45">
      <c r="I1527" t="s">
        <v>192</v>
      </c>
      <c r="J1527" t="s">
        <v>350</v>
      </c>
      <c r="K1527">
        <v>0</v>
      </c>
      <c r="L1527" t="s">
        <v>159</v>
      </c>
      <c r="N1527" t="s">
        <v>235</v>
      </c>
      <c r="O1527" t="s">
        <v>350</v>
      </c>
      <c r="P1527">
        <v>5.1930473576436481E-5</v>
      </c>
      <c r="Q1527" t="s">
        <v>159</v>
      </c>
    </row>
    <row r="1528" spans="9:17" x14ac:dyDescent="0.45">
      <c r="I1528" t="s">
        <v>192</v>
      </c>
      <c r="J1528" t="s">
        <v>351</v>
      </c>
      <c r="K1528">
        <v>0</v>
      </c>
      <c r="L1528" t="s">
        <v>159</v>
      </c>
      <c r="N1528" t="s">
        <v>235</v>
      </c>
      <c r="O1528" t="s">
        <v>351</v>
      </c>
      <c r="P1528">
        <v>3.525475732086784E-5</v>
      </c>
      <c r="Q1528" t="s">
        <v>159</v>
      </c>
    </row>
    <row r="1529" spans="9:17" x14ac:dyDescent="0.45">
      <c r="I1529" t="s">
        <v>192</v>
      </c>
      <c r="J1529" t="s">
        <v>352</v>
      </c>
      <c r="K1529">
        <v>0</v>
      </c>
      <c r="L1529" t="s">
        <v>159</v>
      </c>
      <c r="N1529" t="s">
        <v>235</v>
      </c>
      <c r="O1529" t="s">
        <v>352</v>
      </c>
      <c r="P1529">
        <v>2.5236572841117498E-5</v>
      </c>
      <c r="Q1529" t="s">
        <v>159</v>
      </c>
    </row>
    <row r="1530" spans="9:17" x14ac:dyDescent="0.45">
      <c r="I1530" t="s">
        <v>192</v>
      </c>
      <c r="J1530" t="s">
        <v>353</v>
      </c>
      <c r="K1530">
        <v>0</v>
      </c>
      <c r="L1530" t="s">
        <v>159</v>
      </c>
      <c r="N1530" t="s">
        <v>235</v>
      </c>
      <c r="O1530" t="s">
        <v>353</v>
      </c>
      <c r="P1530">
        <v>1.9455045675610259E-5</v>
      </c>
      <c r="Q1530" t="s">
        <v>159</v>
      </c>
    </row>
    <row r="1531" spans="9:17" x14ac:dyDescent="0.45">
      <c r="I1531" t="s">
        <v>192</v>
      </c>
      <c r="J1531" t="s">
        <v>354</v>
      </c>
      <c r="K1531">
        <v>6.8944839525447799E-5</v>
      </c>
      <c r="L1531" t="s">
        <v>159</v>
      </c>
      <c r="N1531" t="s">
        <v>235</v>
      </c>
      <c r="O1531" t="s">
        <v>354</v>
      </c>
      <c r="P1531">
        <v>1.5133463657333758E-5</v>
      </c>
      <c r="Q1531" t="s">
        <v>159</v>
      </c>
    </row>
    <row r="1532" spans="9:17" x14ac:dyDescent="0.45">
      <c r="I1532" t="s">
        <v>192</v>
      </c>
      <c r="J1532" t="s">
        <v>355</v>
      </c>
      <c r="K1532">
        <v>1.2151902762295477E-4</v>
      </c>
      <c r="L1532" t="s">
        <v>159</v>
      </c>
      <c r="N1532" t="s">
        <v>235</v>
      </c>
      <c r="O1532" t="s">
        <v>355</v>
      </c>
      <c r="P1532">
        <v>1.0271788438485465E-6</v>
      </c>
      <c r="Q1532" t="s">
        <v>159</v>
      </c>
    </row>
    <row r="1533" spans="9:17" x14ac:dyDescent="0.45">
      <c r="I1533" t="s">
        <v>192</v>
      </c>
      <c r="J1533" t="s">
        <v>356</v>
      </c>
      <c r="K1533">
        <v>1.7548477202021376E-4</v>
      </c>
      <c r="L1533" t="s">
        <v>159</v>
      </c>
      <c r="N1533" t="s">
        <v>235</v>
      </c>
      <c r="O1533" t="s">
        <v>356</v>
      </c>
      <c r="P1533">
        <v>1.0256291999218381E-6</v>
      </c>
      <c r="Q1533" t="s">
        <v>159</v>
      </c>
    </row>
    <row r="1534" spans="9:17" x14ac:dyDescent="0.45">
      <c r="I1534" t="s">
        <v>192</v>
      </c>
      <c r="J1534" t="s">
        <v>357</v>
      </c>
      <c r="K1534">
        <v>1.9083625007319929E-4</v>
      </c>
      <c r="L1534" t="s">
        <v>159</v>
      </c>
      <c r="N1534" t="s">
        <v>235</v>
      </c>
      <c r="O1534" t="s">
        <v>357</v>
      </c>
      <c r="P1534">
        <v>7.815288587539936E-7</v>
      </c>
      <c r="Q1534" t="s">
        <v>159</v>
      </c>
    </row>
    <row r="1535" spans="9:17" x14ac:dyDescent="0.45">
      <c r="I1535" t="s">
        <v>192</v>
      </c>
      <c r="J1535" t="s">
        <v>358</v>
      </c>
      <c r="K1535">
        <v>2.2218160875158227E-4</v>
      </c>
      <c r="L1535" t="s">
        <v>159</v>
      </c>
      <c r="N1535" t="s">
        <v>235</v>
      </c>
      <c r="O1535" t="s">
        <v>358</v>
      </c>
      <c r="P1535">
        <v>4.2012930656452196E-7</v>
      </c>
      <c r="Q1535" t="s">
        <v>159</v>
      </c>
    </row>
    <row r="1536" spans="9:17" x14ac:dyDescent="0.45">
      <c r="I1536" t="s">
        <v>192</v>
      </c>
      <c r="J1536" t="s">
        <v>359</v>
      </c>
      <c r="K1536">
        <v>2.3262292284332637E-4</v>
      </c>
      <c r="L1536" t="s">
        <v>159</v>
      </c>
      <c r="N1536" t="s">
        <v>235</v>
      </c>
      <c r="O1536" t="s">
        <v>359</v>
      </c>
      <c r="P1536">
        <v>1.1550534558194603E-7</v>
      </c>
      <c r="Q1536" t="s">
        <v>159</v>
      </c>
    </row>
    <row r="1537" spans="9:17" x14ac:dyDescent="0.45">
      <c r="I1537" t="s">
        <v>192</v>
      </c>
      <c r="J1537" t="s">
        <v>360</v>
      </c>
      <c r="K1537">
        <v>1.9683847947173704E-4</v>
      </c>
      <c r="L1537" t="s">
        <v>159</v>
      </c>
      <c r="N1537" t="s">
        <v>235</v>
      </c>
      <c r="O1537" t="s">
        <v>360</v>
      </c>
      <c r="P1537">
        <v>8.2453010718453148E-8</v>
      </c>
      <c r="Q1537" t="s">
        <v>159</v>
      </c>
    </row>
    <row r="1538" spans="9:17" x14ac:dyDescent="0.45">
      <c r="I1538" t="s">
        <v>192</v>
      </c>
      <c r="J1538" t="s">
        <v>361</v>
      </c>
      <c r="K1538">
        <v>1.7237171466483154E-4</v>
      </c>
      <c r="L1538" t="s">
        <v>159</v>
      </c>
      <c r="N1538" t="s">
        <v>235</v>
      </c>
      <c r="O1538" t="s">
        <v>361</v>
      </c>
      <c r="P1538">
        <v>1.3574124648428213E-7</v>
      </c>
      <c r="Q1538" t="s">
        <v>159</v>
      </c>
    </row>
    <row r="1539" spans="9:17" x14ac:dyDescent="0.45">
      <c r="I1539" t="s">
        <v>192</v>
      </c>
      <c r="J1539" t="s">
        <v>362</v>
      </c>
      <c r="K1539">
        <v>1.6199699676924313E-4</v>
      </c>
      <c r="L1539" t="s">
        <v>159</v>
      </c>
      <c r="N1539" t="s">
        <v>235</v>
      </c>
      <c r="O1539" t="s">
        <v>362</v>
      </c>
      <c r="P1539">
        <v>2.3796549789753856E-7</v>
      </c>
      <c r="Q1539" t="s">
        <v>159</v>
      </c>
    </row>
    <row r="1540" spans="9:17" x14ac:dyDescent="0.45">
      <c r="I1540" t="s">
        <v>192</v>
      </c>
      <c r="J1540" t="s">
        <v>363</v>
      </c>
      <c r="K1540">
        <v>1.2920469882321612E-4</v>
      </c>
      <c r="L1540" t="s">
        <v>159</v>
      </c>
      <c r="N1540" t="s">
        <v>235</v>
      </c>
      <c r="O1540" t="s">
        <v>363</v>
      </c>
      <c r="P1540">
        <v>1.027780356017401E-5</v>
      </c>
      <c r="Q1540" t="s">
        <v>159</v>
      </c>
    </row>
    <row r="1541" spans="9:17" x14ac:dyDescent="0.45">
      <c r="I1541" t="s">
        <v>192</v>
      </c>
      <c r="J1541" t="s">
        <v>364</v>
      </c>
      <c r="K1541">
        <v>0</v>
      </c>
      <c r="L1541" t="s">
        <v>159</v>
      </c>
      <c r="N1541" t="s">
        <v>235</v>
      </c>
      <c r="O1541" t="s">
        <v>364</v>
      </c>
      <c r="P1541">
        <v>5.260668423712857E-5</v>
      </c>
      <c r="Q1541" t="s">
        <v>159</v>
      </c>
    </row>
    <row r="1542" spans="9:17" x14ac:dyDescent="0.45">
      <c r="I1542" t="s">
        <v>192</v>
      </c>
      <c r="J1542" t="s">
        <v>365</v>
      </c>
      <c r="K1542">
        <v>0</v>
      </c>
      <c r="L1542" t="s">
        <v>159</v>
      </c>
      <c r="N1542" t="s">
        <v>235</v>
      </c>
      <c r="O1542" t="s">
        <v>365</v>
      </c>
      <c r="P1542">
        <v>5.9166267403870628E-5</v>
      </c>
      <c r="Q1542" t="s">
        <v>159</v>
      </c>
    </row>
    <row r="1543" spans="9:17" x14ac:dyDescent="0.45">
      <c r="I1543" t="s">
        <v>192</v>
      </c>
      <c r="J1543" t="s">
        <v>366</v>
      </c>
      <c r="K1543">
        <v>0</v>
      </c>
      <c r="L1543" t="s">
        <v>159</v>
      </c>
      <c r="N1543" t="s">
        <v>235</v>
      </c>
      <c r="O1543" t="s">
        <v>366</v>
      </c>
      <c r="P1543">
        <v>4.865758766094005E-5</v>
      </c>
      <c r="Q1543" t="s">
        <v>159</v>
      </c>
    </row>
    <row r="1544" spans="9:17" x14ac:dyDescent="0.45">
      <c r="I1544" t="s">
        <v>192</v>
      </c>
      <c r="J1544" t="s">
        <v>367</v>
      </c>
      <c r="K1544">
        <v>0</v>
      </c>
      <c r="L1544" t="s">
        <v>159</v>
      </c>
      <c r="N1544" t="s">
        <v>235</v>
      </c>
      <c r="O1544" t="s">
        <v>367</v>
      </c>
      <c r="P1544">
        <v>3.9955069625111672E-5</v>
      </c>
      <c r="Q1544" t="s">
        <v>159</v>
      </c>
    </row>
    <row r="1545" spans="9:17" x14ac:dyDescent="0.45">
      <c r="I1545" t="s">
        <v>192</v>
      </c>
      <c r="J1545" t="s">
        <v>368</v>
      </c>
      <c r="K1545">
        <v>0</v>
      </c>
      <c r="L1545" t="s">
        <v>159</v>
      </c>
      <c r="N1545" t="s">
        <v>235</v>
      </c>
      <c r="O1545" t="s">
        <v>368</v>
      </c>
      <c r="P1545">
        <v>4.3923964443347273E-5</v>
      </c>
      <c r="Q1545" t="s">
        <v>159</v>
      </c>
    </row>
    <row r="1546" spans="9:17" x14ac:dyDescent="0.45">
      <c r="I1546" t="s">
        <v>192</v>
      </c>
      <c r="J1546" t="s">
        <v>369</v>
      </c>
      <c r="K1546">
        <v>0</v>
      </c>
      <c r="L1546" t="s">
        <v>159</v>
      </c>
      <c r="N1546" t="s">
        <v>235</v>
      </c>
      <c r="O1546" t="s">
        <v>369</v>
      </c>
      <c r="P1546">
        <v>7.0071450624411308E-5</v>
      </c>
      <c r="Q1546" t="s">
        <v>159</v>
      </c>
    </row>
    <row r="1547" spans="9:17" x14ac:dyDescent="0.45">
      <c r="I1547" t="s">
        <v>192</v>
      </c>
      <c r="J1547" t="s">
        <v>165</v>
      </c>
      <c r="K1547">
        <v>0</v>
      </c>
      <c r="L1547" t="s">
        <v>159</v>
      </c>
      <c r="N1547" t="s">
        <v>235</v>
      </c>
      <c r="O1547" t="s">
        <v>165</v>
      </c>
      <c r="P1547">
        <v>3.1158786547792628E-2</v>
      </c>
      <c r="Q1547" t="s">
        <v>159</v>
      </c>
    </row>
    <row r="1548" spans="9:17" x14ac:dyDescent="0.45">
      <c r="I1548" t="s">
        <v>192</v>
      </c>
      <c r="J1548" t="s">
        <v>166</v>
      </c>
      <c r="K1548">
        <v>1.6045822243098085E-5</v>
      </c>
      <c r="L1548" t="s">
        <v>159</v>
      </c>
      <c r="N1548" t="s">
        <v>235</v>
      </c>
      <c r="O1548" t="s">
        <v>166</v>
      </c>
      <c r="P1548">
        <v>2.8756431517326896E-3</v>
      </c>
      <c r="Q1548" t="s">
        <v>159</v>
      </c>
    </row>
    <row r="1549" spans="9:17" x14ac:dyDescent="0.45">
      <c r="I1549" t="s">
        <v>192</v>
      </c>
      <c r="J1549" t="s">
        <v>167</v>
      </c>
      <c r="K1549">
        <v>6.6069818081619269E-2</v>
      </c>
      <c r="L1549" t="s">
        <v>159</v>
      </c>
      <c r="N1549" t="s">
        <v>235</v>
      </c>
      <c r="O1549" t="s">
        <v>167</v>
      </c>
      <c r="P1549">
        <v>1.9918086798726465E-2</v>
      </c>
      <c r="Q1549" t="s">
        <v>159</v>
      </c>
    </row>
    <row r="1550" spans="9:17" x14ac:dyDescent="0.45">
      <c r="I1550" t="s">
        <v>192</v>
      </c>
      <c r="J1550" t="s">
        <v>291</v>
      </c>
      <c r="K1550">
        <v>6.1058487624247038E-3</v>
      </c>
      <c r="L1550" t="s">
        <v>159</v>
      </c>
      <c r="N1550" t="s">
        <v>235</v>
      </c>
      <c r="O1550" t="s">
        <v>291</v>
      </c>
      <c r="P1550">
        <v>2.4489737165785219E-3</v>
      </c>
      <c r="Q1550" t="s">
        <v>159</v>
      </c>
    </row>
    <row r="1551" spans="9:17" x14ac:dyDescent="0.45">
      <c r="I1551" t="s">
        <v>192</v>
      </c>
      <c r="J1551" t="s">
        <v>292</v>
      </c>
      <c r="K1551">
        <v>2.2817108839325749E-3</v>
      </c>
      <c r="L1551" t="s">
        <v>159</v>
      </c>
      <c r="N1551" t="s">
        <v>235</v>
      </c>
      <c r="O1551" t="s">
        <v>292</v>
      </c>
      <c r="P1551">
        <v>3.4033394769569071E-3</v>
      </c>
      <c r="Q1551" t="s">
        <v>159</v>
      </c>
    </row>
    <row r="1552" spans="9:17" x14ac:dyDescent="0.45">
      <c r="I1552" t="s">
        <v>192</v>
      </c>
      <c r="J1552" t="s">
        <v>310</v>
      </c>
      <c r="K1552">
        <v>0</v>
      </c>
      <c r="L1552" t="s">
        <v>159</v>
      </c>
      <c r="N1552" t="s">
        <v>235</v>
      </c>
      <c r="O1552" t="s">
        <v>310</v>
      </c>
      <c r="P1552">
        <v>2.7822738766953497E-2</v>
      </c>
      <c r="Q1552" t="s">
        <v>159</v>
      </c>
    </row>
    <row r="1553" spans="9:17" x14ac:dyDescent="0.45">
      <c r="I1553" t="s">
        <v>192</v>
      </c>
      <c r="J1553" t="s">
        <v>293</v>
      </c>
      <c r="K1553">
        <v>0</v>
      </c>
      <c r="L1553" t="s">
        <v>159</v>
      </c>
      <c r="N1553" t="s">
        <v>235</v>
      </c>
      <c r="O1553" t="s">
        <v>293</v>
      </c>
      <c r="P1553">
        <v>7.4806330501484023E-3</v>
      </c>
      <c r="Q1553" t="s">
        <v>159</v>
      </c>
    </row>
    <row r="1554" spans="9:17" x14ac:dyDescent="0.45">
      <c r="I1554" t="s">
        <v>192</v>
      </c>
      <c r="J1554" t="s">
        <v>294</v>
      </c>
      <c r="K1554">
        <v>6.1502897593627992E-4</v>
      </c>
      <c r="L1554" t="s">
        <v>159</v>
      </c>
      <c r="N1554" t="s">
        <v>235</v>
      </c>
      <c r="O1554" t="s">
        <v>294</v>
      </c>
      <c r="P1554">
        <v>8.6623118109172828E-4</v>
      </c>
      <c r="Q1554" t="s">
        <v>159</v>
      </c>
    </row>
    <row r="1555" spans="9:17" x14ac:dyDescent="0.45">
      <c r="I1555" t="s">
        <v>192</v>
      </c>
      <c r="J1555" t="s">
        <v>295</v>
      </c>
      <c r="K1555">
        <v>1.6252536988279581E-2</v>
      </c>
      <c r="L1555" t="s">
        <v>159</v>
      </c>
      <c r="N1555" t="s">
        <v>235</v>
      </c>
      <c r="O1555" t="s">
        <v>295</v>
      </c>
      <c r="P1555">
        <v>5.042655195272432E-3</v>
      </c>
      <c r="Q1555" t="s">
        <v>159</v>
      </c>
    </row>
    <row r="1556" spans="9:17" x14ac:dyDescent="0.45">
      <c r="I1556" t="s">
        <v>192</v>
      </c>
      <c r="J1556" t="s">
        <v>296</v>
      </c>
      <c r="K1556">
        <v>1.3406619437352117E-3</v>
      </c>
      <c r="L1556" t="s">
        <v>159</v>
      </c>
      <c r="N1556" t="s">
        <v>235</v>
      </c>
      <c r="O1556" t="s">
        <v>296</v>
      </c>
      <c r="P1556">
        <v>7.2289560465203741E-4</v>
      </c>
      <c r="Q1556" t="s">
        <v>159</v>
      </c>
    </row>
    <row r="1557" spans="9:17" x14ac:dyDescent="0.45">
      <c r="I1557" t="s">
        <v>192</v>
      </c>
      <c r="J1557" t="s">
        <v>297</v>
      </c>
      <c r="K1557">
        <v>9.2775600693888053E-4</v>
      </c>
      <c r="L1557" t="s">
        <v>159</v>
      </c>
      <c r="N1557" t="s">
        <v>235</v>
      </c>
      <c r="O1557" t="s">
        <v>297</v>
      </c>
      <c r="P1557">
        <v>1.1563585353766767E-3</v>
      </c>
      <c r="Q1557" t="s">
        <v>159</v>
      </c>
    </row>
    <row r="1558" spans="9:17" x14ac:dyDescent="0.45">
      <c r="I1558" t="s">
        <v>192</v>
      </c>
      <c r="J1558" t="s">
        <v>311</v>
      </c>
      <c r="K1558">
        <v>0</v>
      </c>
      <c r="L1558" t="s">
        <v>159</v>
      </c>
      <c r="N1558" t="s">
        <v>235</v>
      </c>
      <c r="O1558" t="s">
        <v>311</v>
      </c>
      <c r="P1558">
        <v>7.1497075275367104E-3</v>
      </c>
      <c r="Q1558" t="s">
        <v>159</v>
      </c>
    </row>
    <row r="1559" spans="9:17" x14ac:dyDescent="0.45">
      <c r="I1559" t="s">
        <v>192</v>
      </c>
      <c r="J1559" t="s">
        <v>298</v>
      </c>
      <c r="K1559">
        <v>3.3290064659438415E-3</v>
      </c>
      <c r="L1559" t="s">
        <v>159</v>
      </c>
      <c r="N1559" t="s">
        <v>235</v>
      </c>
      <c r="O1559" t="s">
        <v>298</v>
      </c>
      <c r="P1559">
        <v>0.12792271722666365</v>
      </c>
      <c r="Q1559" t="s">
        <v>159</v>
      </c>
    </row>
    <row r="1560" spans="9:17" x14ac:dyDescent="0.45">
      <c r="I1560" t="s">
        <v>192</v>
      </c>
      <c r="J1560" t="s">
        <v>299</v>
      </c>
      <c r="K1560">
        <v>1.5379327550477761E-2</v>
      </c>
      <c r="L1560" t="s">
        <v>159</v>
      </c>
      <c r="N1560" t="s">
        <v>235</v>
      </c>
      <c r="O1560" t="s">
        <v>299</v>
      </c>
      <c r="P1560">
        <v>1.0727785643845765E-2</v>
      </c>
      <c r="Q1560" t="s">
        <v>159</v>
      </c>
    </row>
    <row r="1561" spans="9:17" x14ac:dyDescent="0.45">
      <c r="I1561" t="s">
        <v>192</v>
      </c>
      <c r="J1561" t="s">
        <v>300</v>
      </c>
      <c r="K1561">
        <v>0.24915117467545145</v>
      </c>
      <c r="L1561" t="s">
        <v>159</v>
      </c>
      <c r="N1561" t="s">
        <v>235</v>
      </c>
      <c r="O1561" t="s">
        <v>300</v>
      </c>
      <c r="P1561">
        <v>0.10132022483294133</v>
      </c>
      <c r="Q1561" t="s">
        <v>159</v>
      </c>
    </row>
    <row r="1562" spans="9:17" x14ac:dyDescent="0.45">
      <c r="I1562" t="s">
        <v>192</v>
      </c>
      <c r="J1562" t="s">
        <v>301</v>
      </c>
      <c r="K1562">
        <v>1.9614141008493884E-2</v>
      </c>
      <c r="L1562" t="s">
        <v>159</v>
      </c>
      <c r="N1562" t="s">
        <v>235</v>
      </c>
      <c r="O1562" t="s">
        <v>301</v>
      </c>
      <c r="P1562">
        <v>1.2732055999058441E-2</v>
      </c>
      <c r="Q1562" t="s">
        <v>159</v>
      </c>
    </row>
    <row r="1563" spans="9:17" x14ac:dyDescent="0.45">
      <c r="I1563" t="s">
        <v>192</v>
      </c>
      <c r="J1563" t="s">
        <v>302</v>
      </c>
      <c r="K1563">
        <v>1.2340956780972129E-2</v>
      </c>
      <c r="L1563" t="s">
        <v>159</v>
      </c>
      <c r="N1563" t="s">
        <v>235</v>
      </c>
      <c r="O1563" t="s">
        <v>302</v>
      </c>
      <c r="P1563">
        <v>1.4666690775025451E-2</v>
      </c>
      <c r="Q1563" t="s">
        <v>159</v>
      </c>
    </row>
    <row r="1564" spans="9:17" x14ac:dyDescent="0.45">
      <c r="I1564" t="s">
        <v>192</v>
      </c>
      <c r="J1564" t="s">
        <v>312</v>
      </c>
      <c r="K1564">
        <v>1.272488656464159E-4</v>
      </c>
      <c r="L1564" t="s">
        <v>159</v>
      </c>
      <c r="N1564" t="s">
        <v>235</v>
      </c>
      <c r="O1564" t="s">
        <v>312</v>
      </c>
      <c r="P1564">
        <v>0.13292605395119431</v>
      </c>
      <c r="Q1564" t="s">
        <v>159</v>
      </c>
    </row>
    <row r="1565" spans="9:17" x14ac:dyDescent="0.45">
      <c r="I1565" t="s">
        <v>192</v>
      </c>
      <c r="J1565" t="s">
        <v>313</v>
      </c>
      <c r="K1565">
        <v>1.2825793429889496E-3</v>
      </c>
      <c r="L1565" t="s">
        <v>159</v>
      </c>
      <c r="N1565" t="s">
        <v>235</v>
      </c>
      <c r="O1565" t="s">
        <v>313</v>
      </c>
      <c r="P1565">
        <v>1.6785989229085065E-2</v>
      </c>
      <c r="Q1565" t="s">
        <v>159</v>
      </c>
    </row>
    <row r="1566" spans="9:17" x14ac:dyDescent="0.45">
      <c r="I1566" t="s">
        <v>192</v>
      </c>
      <c r="J1566" t="s">
        <v>314</v>
      </c>
      <c r="K1566">
        <v>2.929892026878214E-3</v>
      </c>
      <c r="L1566" t="s">
        <v>159</v>
      </c>
      <c r="N1566" t="s">
        <v>235</v>
      </c>
      <c r="O1566" t="s">
        <v>314</v>
      </c>
      <c r="P1566">
        <v>1.4862006036011814E-3</v>
      </c>
      <c r="Q1566" t="s">
        <v>159</v>
      </c>
    </row>
    <row r="1567" spans="9:17" x14ac:dyDescent="0.45">
      <c r="I1567" t="s">
        <v>192</v>
      </c>
      <c r="J1567" t="s">
        <v>315</v>
      </c>
      <c r="K1567">
        <v>6.7906249123800416E-2</v>
      </c>
      <c r="L1567" t="s">
        <v>159</v>
      </c>
      <c r="N1567" t="s">
        <v>235</v>
      </c>
      <c r="O1567" t="s">
        <v>315</v>
      </c>
      <c r="P1567">
        <v>1.3825311776716831E-2</v>
      </c>
      <c r="Q1567" t="s">
        <v>159</v>
      </c>
    </row>
    <row r="1568" spans="9:17" x14ac:dyDescent="0.45">
      <c r="I1568" t="s">
        <v>192</v>
      </c>
      <c r="J1568" t="s">
        <v>316</v>
      </c>
      <c r="K1568">
        <v>5.3631559849193107E-3</v>
      </c>
      <c r="L1568" t="s">
        <v>159</v>
      </c>
      <c r="N1568" t="s">
        <v>235</v>
      </c>
      <c r="O1568" t="s">
        <v>316</v>
      </c>
      <c r="P1568">
        <v>1.5306893441850886E-3</v>
      </c>
      <c r="Q1568" t="s">
        <v>159</v>
      </c>
    </row>
    <row r="1569" spans="9:17" x14ac:dyDescent="0.45">
      <c r="I1569" t="s">
        <v>192</v>
      </c>
      <c r="J1569" t="s">
        <v>317</v>
      </c>
      <c r="K1569">
        <v>3.6428234933291144E-3</v>
      </c>
      <c r="L1569" t="s">
        <v>159</v>
      </c>
      <c r="N1569" t="s">
        <v>235</v>
      </c>
      <c r="O1569" t="s">
        <v>317</v>
      </c>
      <c r="P1569">
        <v>1.8145424635611135E-3</v>
      </c>
      <c r="Q1569" t="s">
        <v>159</v>
      </c>
    </row>
    <row r="1570" spans="9:17" x14ac:dyDescent="0.45">
      <c r="I1570" t="s">
        <v>192</v>
      </c>
      <c r="J1570" t="s">
        <v>318</v>
      </c>
      <c r="K1570">
        <v>1.9964999854983618E-3</v>
      </c>
      <c r="L1570" t="s">
        <v>159</v>
      </c>
      <c r="N1570" t="s">
        <v>235</v>
      </c>
      <c r="O1570" t="s">
        <v>318</v>
      </c>
      <c r="P1570">
        <v>2.2134293256234516E-2</v>
      </c>
      <c r="Q1570" t="s">
        <v>159</v>
      </c>
    </row>
    <row r="1571" spans="9:17" x14ac:dyDescent="0.45">
      <c r="I1571" t="s">
        <v>193</v>
      </c>
      <c r="J1571" t="s">
        <v>158</v>
      </c>
      <c r="K1571">
        <v>1.2936960361094331E-3</v>
      </c>
      <c r="L1571" t="s">
        <v>159</v>
      </c>
      <c r="N1571" t="s">
        <v>236</v>
      </c>
      <c r="O1571" t="s">
        <v>158</v>
      </c>
      <c r="P1571">
        <v>0.15468801962414036</v>
      </c>
      <c r="Q1571" t="s">
        <v>159</v>
      </c>
    </row>
    <row r="1572" spans="9:17" x14ac:dyDescent="0.45">
      <c r="I1572" t="s">
        <v>193</v>
      </c>
      <c r="J1572" t="s">
        <v>160</v>
      </c>
      <c r="K1572">
        <v>1.3208654229961644E-2</v>
      </c>
      <c r="L1572" t="s">
        <v>159</v>
      </c>
      <c r="N1572" t="s">
        <v>236</v>
      </c>
      <c r="O1572" t="s">
        <v>160</v>
      </c>
      <c r="P1572">
        <v>1.5734126223256883E-2</v>
      </c>
      <c r="Q1572" t="s">
        <v>159</v>
      </c>
    </row>
    <row r="1573" spans="9:17" x14ac:dyDescent="0.45">
      <c r="I1573" t="s">
        <v>193</v>
      </c>
      <c r="J1573" t="s">
        <v>161</v>
      </c>
      <c r="K1573">
        <v>0.39360743575678847</v>
      </c>
      <c r="L1573" t="s">
        <v>159</v>
      </c>
      <c r="N1573" t="s">
        <v>236</v>
      </c>
      <c r="O1573" t="s">
        <v>161</v>
      </c>
      <c r="P1573">
        <v>9.6458316037992806E-2</v>
      </c>
      <c r="Q1573" t="s">
        <v>159</v>
      </c>
    </row>
    <row r="1574" spans="9:17" x14ac:dyDescent="0.45">
      <c r="I1574" t="s">
        <v>193</v>
      </c>
      <c r="J1574" t="s">
        <v>287</v>
      </c>
      <c r="K1574">
        <v>3.3810413316670826E-2</v>
      </c>
      <c r="L1574" t="s">
        <v>159</v>
      </c>
      <c r="N1574" t="s">
        <v>236</v>
      </c>
      <c r="O1574" t="s">
        <v>287</v>
      </c>
      <c r="P1574">
        <v>1.0289726442237513E-2</v>
      </c>
      <c r="Q1574" t="s">
        <v>159</v>
      </c>
    </row>
    <row r="1575" spans="9:17" x14ac:dyDescent="0.45">
      <c r="I1575" t="s">
        <v>193</v>
      </c>
      <c r="J1575" t="s">
        <v>288</v>
      </c>
      <c r="K1575">
        <v>1.6354144660437095E-2</v>
      </c>
      <c r="L1575" t="s">
        <v>159</v>
      </c>
      <c r="N1575" t="s">
        <v>236</v>
      </c>
      <c r="O1575" t="s">
        <v>288</v>
      </c>
      <c r="P1575">
        <v>1.065496195164249E-2</v>
      </c>
      <c r="Q1575" t="s">
        <v>159</v>
      </c>
    </row>
    <row r="1576" spans="9:17" x14ac:dyDescent="0.45">
      <c r="I1576" t="s">
        <v>193</v>
      </c>
      <c r="J1576" t="s">
        <v>308</v>
      </c>
      <c r="K1576">
        <v>5.4945931858881485E-3</v>
      </c>
      <c r="L1576" t="s">
        <v>159</v>
      </c>
      <c r="N1576" t="s">
        <v>236</v>
      </c>
      <c r="O1576" t="s">
        <v>308</v>
      </c>
      <c r="P1576">
        <v>9.6982739946183005E-2</v>
      </c>
      <c r="Q1576" t="s">
        <v>159</v>
      </c>
    </row>
    <row r="1577" spans="9:17" x14ac:dyDescent="0.45">
      <c r="I1577" t="s">
        <v>193</v>
      </c>
      <c r="J1577" t="s">
        <v>162</v>
      </c>
      <c r="K1577">
        <v>0</v>
      </c>
      <c r="L1577" t="s">
        <v>159</v>
      </c>
      <c r="N1577" t="s">
        <v>236</v>
      </c>
      <c r="O1577" t="s">
        <v>162</v>
      </c>
      <c r="P1577">
        <v>3.2283156687931282E-2</v>
      </c>
      <c r="Q1577" t="s">
        <v>159</v>
      </c>
    </row>
    <row r="1578" spans="9:17" x14ac:dyDescent="0.45">
      <c r="I1578" t="s">
        <v>193</v>
      </c>
      <c r="J1578" t="s">
        <v>163</v>
      </c>
      <c r="K1578">
        <v>0</v>
      </c>
      <c r="L1578" t="s">
        <v>159</v>
      </c>
      <c r="N1578" t="s">
        <v>236</v>
      </c>
      <c r="O1578" t="s">
        <v>163</v>
      </c>
      <c r="P1578">
        <v>3.7360061271199982E-3</v>
      </c>
      <c r="Q1578" t="s">
        <v>159</v>
      </c>
    </row>
    <row r="1579" spans="9:17" x14ac:dyDescent="0.45">
      <c r="I1579" t="s">
        <v>193</v>
      </c>
      <c r="J1579" t="s">
        <v>164</v>
      </c>
      <c r="K1579">
        <v>4.9414049296340821E-2</v>
      </c>
      <c r="L1579" t="s">
        <v>159</v>
      </c>
      <c r="N1579" t="s">
        <v>236</v>
      </c>
      <c r="O1579" t="s">
        <v>164</v>
      </c>
      <c r="P1579">
        <v>2.4248513974357625E-2</v>
      </c>
      <c r="Q1579" t="s">
        <v>159</v>
      </c>
    </row>
    <row r="1580" spans="9:17" x14ac:dyDescent="0.45">
      <c r="I1580" t="s">
        <v>193</v>
      </c>
      <c r="J1580" t="s">
        <v>289</v>
      </c>
      <c r="K1580">
        <v>4.4340690574316095E-3</v>
      </c>
      <c r="L1580" t="s">
        <v>159</v>
      </c>
      <c r="N1580" t="s">
        <v>236</v>
      </c>
      <c r="O1580" t="s">
        <v>289</v>
      </c>
      <c r="P1580">
        <v>2.1400253735910841E-3</v>
      </c>
      <c r="Q1580" t="s">
        <v>159</v>
      </c>
    </row>
    <row r="1581" spans="9:17" x14ac:dyDescent="0.45">
      <c r="I1581" t="s">
        <v>193</v>
      </c>
      <c r="J1581" t="s">
        <v>290</v>
      </c>
      <c r="K1581">
        <v>0</v>
      </c>
      <c r="L1581" t="s">
        <v>159</v>
      </c>
      <c r="N1581" t="s">
        <v>236</v>
      </c>
      <c r="O1581" t="s">
        <v>290</v>
      </c>
      <c r="P1581">
        <v>2.4285993322270541E-3</v>
      </c>
      <c r="Q1581" t="s">
        <v>159</v>
      </c>
    </row>
    <row r="1582" spans="9:17" x14ac:dyDescent="0.45">
      <c r="I1582" t="s">
        <v>193</v>
      </c>
      <c r="J1582" t="s">
        <v>309</v>
      </c>
      <c r="K1582">
        <v>0</v>
      </c>
      <c r="L1582" t="s">
        <v>159</v>
      </c>
      <c r="N1582" t="s">
        <v>236</v>
      </c>
      <c r="O1582" t="s">
        <v>309</v>
      </c>
      <c r="P1582">
        <v>1.8515565221183018E-2</v>
      </c>
      <c r="Q1582" t="s">
        <v>159</v>
      </c>
    </row>
    <row r="1583" spans="9:17" x14ac:dyDescent="0.45">
      <c r="I1583" t="s">
        <v>193</v>
      </c>
      <c r="J1583" t="s">
        <v>346</v>
      </c>
      <c r="K1583">
        <v>0</v>
      </c>
      <c r="L1583" t="s">
        <v>159</v>
      </c>
      <c r="N1583" t="s">
        <v>236</v>
      </c>
      <c r="O1583" t="s">
        <v>346</v>
      </c>
      <c r="P1583">
        <v>5.5893080578276563E-5</v>
      </c>
      <c r="Q1583" t="s">
        <v>159</v>
      </c>
    </row>
    <row r="1584" spans="9:17" x14ac:dyDescent="0.45">
      <c r="I1584" t="s">
        <v>193</v>
      </c>
      <c r="J1584" t="s">
        <v>347</v>
      </c>
      <c r="K1584">
        <v>0</v>
      </c>
      <c r="L1584" t="s">
        <v>159</v>
      </c>
      <c r="N1584" t="s">
        <v>236</v>
      </c>
      <c r="O1584" t="s">
        <v>347</v>
      </c>
      <c r="P1584">
        <v>7.0409288356961243E-5</v>
      </c>
      <c r="Q1584" t="s">
        <v>159</v>
      </c>
    </row>
    <row r="1585" spans="9:17" x14ac:dyDescent="0.45">
      <c r="I1585" t="s">
        <v>193</v>
      </c>
      <c r="J1585" t="s">
        <v>348</v>
      </c>
      <c r="K1585">
        <v>0</v>
      </c>
      <c r="L1585" t="s">
        <v>159</v>
      </c>
      <c r="N1585" t="s">
        <v>236</v>
      </c>
      <c r="O1585" t="s">
        <v>348</v>
      </c>
      <c r="P1585">
        <v>6.8724831217031594E-5</v>
      </c>
      <c r="Q1585" t="s">
        <v>159</v>
      </c>
    </row>
    <row r="1586" spans="9:17" x14ac:dyDescent="0.45">
      <c r="I1586" t="s">
        <v>193</v>
      </c>
      <c r="J1586" t="s">
        <v>349</v>
      </c>
      <c r="K1586">
        <v>0</v>
      </c>
      <c r="L1586" t="s">
        <v>159</v>
      </c>
      <c r="N1586" t="s">
        <v>236</v>
      </c>
      <c r="O1586" t="s">
        <v>349</v>
      </c>
      <c r="P1586">
        <v>5.2332790764389976E-5</v>
      </c>
      <c r="Q1586" t="s">
        <v>159</v>
      </c>
    </row>
    <row r="1587" spans="9:17" x14ac:dyDescent="0.45">
      <c r="I1587" t="s">
        <v>193</v>
      </c>
      <c r="J1587" t="s">
        <v>350</v>
      </c>
      <c r="K1587">
        <v>0</v>
      </c>
      <c r="L1587" t="s">
        <v>159</v>
      </c>
      <c r="N1587" t="s">
        <v>236</v>
      </c>
      <c r="O1587" t="s">
        <v>350</v>
      </c>
      <c r="P1587">
        <v>3.4443836882882989E-5</v>
      </c>
      <c r="Q1587" t="s">
        <v>159</v>
      </c>
    </row>
    <row r="1588" spans="9:17" x14ac:dyDescent="0.45">
      <c r="I1588" t="s">
        <v>193</v>
      </c>
      <c r="J1588" t="s">
        <v>351</v>
      </c>
      <c r="K1588">
        <v>0</v>
      </c>
      <c r="L1588" t="s">
        <v>159</v>
      </c>
      <c r="N1588" t="s">
        <v>236</v>
      </c>
      <c r="O1588" t="s">
        <v>351</v>
      </c>
      <c r="P1588">
        <v>2.2327726328158112E-5</v>
      </c>
      <c r="Q1588" t="s">
        <v>159</v>
      </c>
    </row>
    <row r="1589" spans="9:17" x14ac:dyDescent="0.45">
      <c r="I1589" t="s">
        <v>193</v>
      </c>
      <c r="J1589" t="s">
        <v>352</v>
      </c>
      <c r="K1589">
        <v>0</v>
      </c>
      <c r="L1589" t="s">
        <v>159</v>
      </c>
      <c r="N1589" t="s">
        <v>236</v>
      </c>
      <c r="O1589" t="s">
        <v>352</v>
      </c>
      <c r="P1589">
        <v>1.6548773364478463E-5</v>
      </c>
      <c r="Q1589" t="s">
        <v>159</v>
      </c>
    </row>
    <row r="1590" spans="9:17" x14ac:dyDescent="0.45">
      <c r="I1590" t="s">
        <v>193</v>
      </c>
      <c r="J1590" t="s">
        <v>353</v>
      </c>
      <c r="K1590">
        <v>0</v>
      </c>
      <c r="L1590" t="s">
        <v>159</v>
      </c>
      <c r="N1590" t="s">
        <v>236</v>
      </c>
      <c r="O1590" t="s">
        <v>353</v>
      </c>
      <c r="P1590">
        <v>1.3143738396682061E-5</v>
      </c>
      <c r="Q1590" t="s">
        <v>159</v>
      </c>
    </row>
    <row r="1591" spans="9:17" x14ac:dyDescent="0.45">
      <c r="I1591" t="s">
        <v>193</v>
      </c>
      <c r="J1591" t="s">
        <v>354</v>
      </c>
      <c r="K1591">
        <v>1.0658603491344441E-4</v>
      </c>
      <c r="L1591" t="s">
        <v>159</v>
      </c>
      <c r="N1591" t="s">
        <v>236</v>
      </c>
      <c r="O1591" t="s">
        <v>354</v>
      </c>
      <c r="P1591">
        <v>8.5389200248290787E-6</v>
      </c>
      <c r="Q1591" t="s">
        <v>159</v>
      </c>
    </row>
    <row r="1592" spans="9:17" x14ac:dyDescent="0.45">
      <c r="I1592" t="s">
        <v>193</v>
      </c>
      <c r="J1592" t="s">
        <v>355</v>
      </c>
      <c r="K1592">
        <v>1.4060516316451334E-4</v>
      </c>
      <c r="L1592" t="s">
        <v>159</v>
      </c>
      <c r="N1592" t="s">
        <v>236</v>
      </c>
      <c r="O1592" t="s">
        <v>355</v>
      </c>
      <c r="P1592">
        <v>1.4182543986514177E-6</v>
      </c>
      <c r="Q1592" t="s">
        <v>159</v>
      </c>
    </row>
    <row r="1593" spans="9:17" x14ac:dyDescent="0.45">
      <c r="I1593" t="s">
        <v>193</v>
      </c>
      <c r="J1593" t="s">
        <v>356</v>
      </c>
      <c r="K1593">
        <v>1.7390244103780367E-4</v>
      </c>
      <c r="L1593" t="s">
        <v>159</v>
      </c>
      <c r="N1593" t="s">
        <v>236</v>
      </c>
      <c r="O1593" t="s">
        <v>356</v>
      </c>
      <c r="P1593">
        <v>2.0581667505041828E-8</v>
      </c>
      <c r="Q1593" t="s">
        <v>159</v>
      </c>
    </row>
    <row r="1594" spans="9:17" x14ac:dyDescent="0.45">
      <c r="I1594" t="s">
        <v>193</v>
      </c>
      <c r="J1594" t="s">
        <v>357</v>
      </c>
      <c r="K1594">
        <v>1.8010614484369026E-4</v>
      </c>
      <c r="L1594" t="s">
        <v>159</v>
      </c>
      <c r="N1594" t="s">
        <v>236</v>
      </c>
      <c r="O1594" t="s">
        <v>357</v>
      </c>
      <c r="P1594">
        <v>1.3847387538988092E-8</v>
      </c>
      <c r="Q1594" t="s">
        <v>159</v>
      </c>
    </row>
    <row r="1595" spans="9:17" x14ac:dyDescent="0.45">
      <c r="I1595" t="s">
        <v>193</v>
      </c>
      <c r="J1595" t="s">
        <v>358</v>
      </c>
      <c r="K1595">
        <v>2.1004675107153074E-4</v>
      </c>
      <c r="L1595" t="s">
        <v>159</v>
      </c>
      <c r="N1595" t="s">
        <v>236</v>
      </c>
      <c r="O1595" t="s">
        <v>358</v>
      </c>
      <c r="P1595">
        <v>3.3222251008703035E-7</v>
      </c>
      <c r="Q1595" t="s">
        <v>159</v>
      </c>
    </row>
    <row r="1596" spans="9:17" x14ac:dyDescent="0.45">
      <c r="I1596" t="s">
        <v>193</v>
      </c>
      <c r="J1596" t="s">
        <v>359</v>
      </c>
      <c r="K1596">
        <v>2.3090636043536232E-4</v>
      </c>
      <c r="L1596" t="s">
        <v>159</v>
      </c>
      <c r="N1596" t="s">
        <v>236</v>
      </c>
      <c r="O1596" t="s">
        <v>359</v>
      </c>
      <c r="P1596">
        <v>4.3494234978854682E-6</v>
      </c>
      <c r="Q1596" t="s">
        <v>159</v>
      </c>
    </row>
    <row r="1597" spans="9:17" x14ac:dyDescent="0.45">
      <c r="I1597" t="s">
        <v>193</v>
      </c>
      <c r="J1597" t="s">
        <v>360</v>
      </c>
      <c r="K1597">
        <v>1.9330365215526908E-4</v>
      </c>
      <c r="L1597" t="s">
        <v>159</v>
      </c>
      <c r="N1597" t="s">
        <v>236</v>
      </c>
      <c r="O1597" t="s">
        <v>360</v>
      </c>
      <c r="P1597">
        <v>1.1427113268850819E-5</v>
      </c>
      <c r="Q1597" t="s">
        <v>159</v>
      </c>
    </row>
    <row r="1598" spans="9:17" x14ac:dyDescent="0.45">
      <c r="I1598" t="s">
        <v>193</v>
      </c>
      <c r="J1598" t="s">
        <v>361</v>
      </c>
      <c r="K1598">
        <v>1.8551833761257117E-4</v>
      </c>
      <c r="L1598" t="s">
        <v>159</v>
      </c>
      <c r="N1598" t="s">
        <v>236</v>
      </c>
      <c r="O1598" t="s">
        <v>361</v>
      </c>
      <c r="P1598">
        <v>1.4896011018721494E-5</v>
      </c>
      <c r="Q1598" t="s">
        <v>159</v>
      </c>
    </row>
    <row r="1599" spans="9:17" x14ac:dyDescent="0.45">
      <c r="I1599" t="s">
        <v>193</v>
      </c>
      <c r="J1599" t="s">
        <v>362</v>
      </c>
      <c r="K1599">
        <v>1.8131387322989606E-4</v>
      </c>
      <c r="L1599" t="s">
        <v>159</v>
      </c>
      <c r="N1599" t="s">
        <v>236</v>
      </c>
      <c r="O1599" t="s">
        <v>362</v>
      </c>
      <c r="P1599">
        <v>1.2900716599245141E-5</v>
      </c>
      <c r="Q1599" t="s">
        <v>159</v>
      </c>
    </row>
    <row r="1600" spans="9:17" x14ac:dyDescent="0.45">
      <c r="I1600" t="s">
        <v>193</v>
      </c>
      <c r="J1600" t="s">
        <v>363</v>
      </c>
      <c r="K1600">
        <v>1.5688055544060999E-4</v>
      </c>
      <c r="L1600" t="s">
        <v>159</v>
      </c>
      <c r="N1600" t="s">
        <v>236</v>
      </c>
      <c r="O1600" t="s">
        <v>363</v>
      </c>
      <c r="P1600">
        <v>8.3276920847236046E-6</v>
      </c>
      <c r="Q1600" t="s">
        <v>159</v>
      </c>
    </row>
    <row r="1601" spans="9:17" x14ac:dyDescent="0.45">
      <c r="I1601" t="s">
        <v>193</v>
      </c>
      <c r="J1601" t="s">
        <v>364</v>
      </c>
      <c r="K1601">
        <v>0</v>
      </c>
      <c r="L1601" t="s">
        <v>159</v>
      </c>
      <c r="N1601" t="s">
        <v>236</v>
      </c>
      <c r="O1601" t="s">
        <v>364</v>
      </c>
      <c r="P1601">
        <v>6.6330987935520142E-6</v>
      </c>
      <c r="Q1601" t="s">
        <v>159</v>
      </c>
    </row>
    <row r="1602" spans="9:17" x14ac:dyDescent="0.45">
      <c r="I1602" t="s">
        <v>193</v>
      </c>
      <c r="J1602" t="s">
        <v>365</v>
      </c>
      <c r="K1602">
        <v>0</v>
      </c>
      <c r="L1602" t="s">
        <v>159</v>
      </c>
      <c r="N1602" t="s">
        <v>236</v>
      </c>
      <c r="O1602" t="s">
        <v>365</v>
      </c>
      <c r="P1602">
        <v>5.9317013421297649E-6</v>
      </c>
      <c r="Q1602" t="s">
        <v>159</v>
      </c>
    </row>
    <row r="1603" spans="9:17" x14ac:dyDescent="0.45">
      <c r="I1603" t="s">
        <v>193</v>
      </c>
      <c r="J1603" t="s">
        <v>366</v>
      </c>
      <c r="K1603">
        <v>0</v>
      </c>
      <c r="L1603" t="s">
        <v>159</v>
      </c>
      <c r="N1603" t="s">
        <v>236</v>
      </c>
      <c r="O1603" t="s">
        <v>366</v>
      </c>
      <c r="P1603">
        <v>7.4350227107208881E-6</v>
      </c>
      <c r="Q1603" t="s">
        <v>159</v>
      </c>
    </row>
    <row r="1604" spans="9:17" x14ac:dyDescent="0.45">
      <c r="I1604" t="s">
        <v>193</v>
      </c>
      <c r="J1604" t="s">
        <v>367</v>
      </c>
      <c r="K1604">
        <v>0</v>
      </c>
      <c r="L1604" t="s">
        <v>159</v>
      </c>
      <c r="N1604" t="s">
        <v>236</v>
      </c>
      <c r="O1604" t="s">
        <v>367</v>
      </c>
      <c r="P1604">
        <v>9.4837413680918832E-6</v>
      </c>
      <c r="Q1604" t="s">
        <v>159</v>
      </c>
    </row>
    <row r="1605" spans="9:17" x14ac:dyDescent="0.45">
      <c r="I1605" t="s">
        <v>193</v>
      </c>
      <c r="J1605" t="s">
        <v>368</v>
      </c>
      <c r="K1605">
        <v>0</v>
      </c>
      <c r="L1605" t="s">
        <v>159</v>
      </c>
      <c r="N1605" t="s">
        <v>236</v>
      </c>
      <c r="O1605" t="s">
        <v>368</v>
      </c>
      <c r="P1605">
        <v>1.1692339906882095E-5</v>
      </c>
      <c r="Q1605" t="s">
        <v>159</v>
      </c>
    </row>
    <row r="1606" spans="9:17" x14ac:dyDescent="0.45">
      <c r="I1606" t="s">
        <v>193</v>
      </c>
      <c r="J1606" t="s">
        <v>369</v>
      </c>
      <c r="K1606">
        <v>0</v>
      </c>
      <c r="L1606" t="s">
        <v>159</v>
      </c>
      <c r="N1606" t="s">
        <v>236</v>
      </c>
      <c r="O1606" t="s">
        <v>369</v>
      </c>
      <c r="P1606">
        <v>1.6822690200885088E-5</v>
      </c>
      <c r="Q1606" t="s">
        <v>159</v>
      </c>
    </row>
    <row r="1607" spans="9:17" x14ac:dyDescent="0.45">
      <c r="I1607" t="s">
        <v>193</v>
      </c>
      <c r="J1607" t="s">
        <v>165</v>
      </c>
      <c r="K1607">
        <v>0</v>
      </c>
      <c r="L1607" t="s">
        <v>159</v>
      </c>
      <c r="N1607" t="s">
        <v>236</v>
      </c>
      <c r="O1607" t="s">
        <v>165</v>
      </c>
      <c r="P1607">
        <v>2.8214319801859341E-2</v>
      </c>
      <c r="Q1607" t="s">
        <v>159</v>
      </c>
    </row>
    <row r="1608" spans="9:17" x14ac:dyDescent="0.45">
      <c r="I1608" t="s">
        <v>193</v>
      </c>
      <c r="J1608" t="s">
        <v>166</v>
      </c>
      <c r="K1608">
        <v>0</v>
      </c>
      <c r="L1608" t="s">
        <v>159</v>
      </c>
      <c r="N1608" t="s">
        <v>236</v>
      </c>
      <c r="O1608" t="s">
        <v>166</v>
      </c>
      <c r="P1608">
        <v>2.7272099284239831E-3</v>
      </c>
      <c r="Q1608" t="s">
        <v>159</v>
      </c>
    </row>
    <row r="1609" spans="9:17" x14ac:dyDescent="0.45">
      <c r="I1609" t="s">
        <v>193</v>
      </c>
      <c r="J1609" t="s">
        <v>167</v>
      </c>
      <c r="K1609">
        <v>6.6318732587614587E-2</v>
      </c>
      <c r="L1609" t="s">
        <v>159</v>
      </c>
      <c r="N1609" t="s">
        <v>236</v>
      </c>
      <c r="O1609" t="s">
        <v>167</v>
      </c>
      <c r="P1609">
        <v>2.1726135560412713E-2</v>
      </c>
      <c r="Q1609" t="s">
        <v>159</v>
      </c>
    </row>
    <row r="1610" spans="9:17" x14ac:dyDescent="0.45">
      <c r="I1610" t="s">
        <v>193</v>
      </c>
      <c r="J1610" t="s">
        <v>291</v>
      </c>
      <c r="K1610">
        <v>6.2588466980737284E-3</v>
      </c>
      <c r="L1610" t="s">
        <v>159</v>
      </c>
      <c r="N1610" t="s">
        <v>236</v>
      </c>
      <c r="O1610" t="s">
        <v>291</v>
      </c>
      <c r="P1610">
        <v>2.9176224637318835E-3</v>
      </c>
      <c r="Q1610" t="s">
        <v>159</v>
      </c>
    </row>
    <row r="1611" spans="9:17" x14ac:dyDescent="0.45">
      <c r="I1611" t="s">
        <v>193</v>
      </c>
      <c r="J1611" t="s">
        <v>292</v>
      </c>
      <c r="K1611">
        <v>1.4366884213270741E-3</v>
      </c>
      <c r="L1611" t="s">
        <v>159</v>
      </c>
      <c r="N1611" t="s">
        <v>236</v>
      </c>
      <c r="O1611" t="s">
        <v>292</v>
      </c>
      <c r="P1611">
        <v>2.8234721171852225E-3</v>
      </c>
      <c r="Q1611" t="s">
        <v>159</v>
      </c>
    </row>
    <row r="1612" spans="9:17" x14ac:dyDescent="0.45">
      <c r="I1612" t="s">
        <v>193</v>
      </c>
      <c r="J1612" t="s">
        <v>310</v>
      </c>
      <c r="K1612">
        <v>0</v>
      </c>
      <c r="L1612" t="s">
        <v>159</v>
      </c>
      <c r="N1612" t="s">
        <v>236</v>
      </c>
      <c r="O1612" t="s">
        <v>310</v>
      </c>
      <c r="P1612">
        <v>1.6631555035629051E-2</v>
      </c>
      <c r="Q1612" t="s">
        <v>159</v>
      </c>
    </row>
    <row r="1613" spans="9:17" x14ac:dyDescent="0.45">
      <c r="I1613" t="s">
        <v>193</v>
      </c>
      <c r="J1613" t="s">
        <v>293</v>
      </c>
      <c r="K1613">
        <v>0</v>
      </c>
      <c r="L1613" t="s">
        <v>159</v>
      </c>
      <c r="N1613" t="s">
        <v>236</v>
      </c>
      <c r="O1613" t="s">
        <v>293</v>
      </c>
      <c r="P1613">
        <v>1.2091259909278174E-2</v>
      </c>
      <c r="Q1613" t="s">
        <v>159</v>
      </c>
    </row>
    <row r="1614" spans="9:17" x14ac:dyDescent="0.45">
      <c r="I1614" t="s">
        <v>193</v>
      </c>
      <c r="J1614" t="s">
        <v>294</v>
      </c>
      <c r="K1614">
        <v>6.3661239598668284E-4</v>
      </c>
      <c r="L1614" t="s">
        <v>159</v>
      </c>
      <c r="N1614" t="s">
        <v>236</v>
      </c>
      <c r="O1614" t="s">
        <v>294</v>
      </c>
      <c r="P1614">
        <v>1.1514072781211948E-3</v>
      </c>
      <c r="Q1614" t="s">
        <v>159</v>
      </c>
    </row>
    <row r="1615" spans="9:17" x14ac:dyDescent="0.45">
      <c r="I1615" t="s">
        <v>193</v>
      </c>
      <c r="J1615" t="s">
        <v>295</v>
      </c>
      <c r="K1615">
        <v>1.6528109478034396E-2</v>
      </c>
      <c r="L1615" t="s">
        <v>159</v>
      </c>
      <c r="N1615" t="s">
        <v>236</v>
      </c>
      <c r="O1615" t="s">
        <v>295</v>
      </c>
      <c r="P1615">
        <v>5.7664269747955939E-3</v>
      </c>
      <c r="Q1615" t="s">
        <v>159</v>
      </c>
    </row>
    <row r="1616" spans="9:17" x14ac:dyDescent="0.45">
      <c r="I1616" t="s">
        <v>193</v>
      </c>
      <c r="J1616" t="s">
        <v>296</v>
      </c>
      <c r="K1616">
        <v>1.374748187187678E-3</v>
      </c>
      <c r="L1616" t="s">
        <v>159</v>
      </c>
      <c r="N1616" t="s">
        <v>236</v>
      </c>
      <c r="O1616" t="s">
        <v>296</v>
      </c>
      <c r="P1616">
        <v>4.6752665837337785E-4</v>
      </c>
      <c r="Q1616" t="s">
        <v>159</v>
      </c>
    </row>
    <row r="1617" spans="9:17" x14ac:dyDescent="0.45">
      <c r="I1617" t="s">
        <v>193</v>
      </c>
      <c r="J1617" t="s">
        <v>297</v>
      </c>
      <c r="K1617">
        <v>1.0845636279237202E-3</v>
      </c>
      <c r="L1617" t="s">
        <v>159</v>
      </c>
      <c r="N1617" t="s">
        <v>236</v>
      </c>
      <c r="O1617" t="s">
        <v>297</v>
      </c>
      <c r="P1617">
        <v>4.4589875879015052E-4</v>
      </c>
      <c r="Q1617" t="s">
        <v>159</v>
      </c>
    </row>
    <row r="1618" spans="9:17" x14ac:dyDescent="0.45">
      <c r="I1618" t="s">
        <v>193</v>
      </c>
      <c r="J1618" t="s">
        <v>311</v>
      </c>
      <c r="K1618">
        <v>0</v>
      </c>
      <c r="L1618" t="s">
        <v>159</v>
      </c>
      <c r="N1618" t="s">
        <v>236</v>
      </c>
      <c r="O1618" t="s">
        <v>311</v>
      </c>
      <c r="P1618">
        <v>5.4861004463944178E-3</v>
      </c>
      <c r="Q1618" t="s">
        <v>159</v>
      </c>
    </row>
    <row r="1619" spans="9:17" x14ac:dyDescent="0.45">
      <c r="I1619" t="s">
        <v>193</v>
      </c>
      <c r="J1619" t="s">
        <v>298</v>
      </c>
      <c r="K1619">
        <v>3.2589690389054457E-3</v>
      </c>
      <c r="L1619" t="s">
        <v>159</v>
      </c>
      <c r="N1619" t="s">
        <v>236</v>
      </c>
      <c r="O1619" t="s">
        <v>298</v>
      </c>
      <c r="P1619">
        <v>0.1280231485291255</v>
      </c>
      <c r="Q1619" t="s">
        <v>159</v>
      </c>
    </row>
    <row r="1620" spans="9:17" x14ac:dyDescent="0.45">
      <c r="I1620" t="s">
        <v>193</v>
      </c>
      <c r="J1620" t="s">
        <v>299</v>
      </c>
      <c r="K1620">
        <v>1.4605544162721763E-2</v>
      </c>
      <c r="L1620" t="s">
        <v>159</v>
      </c>
      <c r="N1620" t="s">
        <v>236</v>
      </c>
      <c r="O1620" t="s">
        <v>299</v>
      </c>
      <c r="P1620">
        <v>1.2488301543256678E-2</v>
      </c>
      <c r="Q1620" t="s">
        <v>159</v>
      </c>
    </row>
    <row r="1621" spans="9:17" x14ac:dyDescent="0.45">
      <c r="I1621" t="s">
        <v>193</v>
      </c>
      <c r="J1621" t="s">
        <v>300</v>
      </c>
      <c r="K1621">
        <v>0.24777001907828478</v>
      </c>
      <c r="L1621" t="s">
        <v>159</v>
      </c>
      <c r="N1621" t="s">
        <v>236</v>
      </c>
      <c r="O1621" t="s">
        <v>300</v>
      </c>
      <c r="P1621">
        <v>0.11346456227385315</v>
      </c>
      <c r="Q1621" t="s">
        <v>159</v>
      </c>
    </row>
    <row r="1622" spans="9:17" x14ac:dyDescent="0.45">
      <c r="I1622" t="s">
        <v>193</v>
      </c>
      <c r="J1622" t="s">
        <v>301</v>
      </c>
      <c r="K1622">
        <v>2.030023052546609E-2</v>
      </c>
      <c r="L1622" t="s">
        <v>159</v>
      </c>
      <c r="N1622" t="s">
        <v>236</v>
      </c>
      <c r="O1622" t="s">
        <v>301</v>
      </c>
      <c r="P1622">
        <v>1.4228773481091634E-2</v>
      </c>
      <c r="Q1622" t="s">
        <v>159</v>
      </c>
    </row>
    <row r="1623" spans="9:17" x14ac:dyDescent="0.45">
      <c r="I1623" t="s">
        <v>193</v>
      </c>
      <c r="J1623" t="s">
        <v>302</v>
      </c>
      <c r="K1623">
        <v>1.2577823737041039E-2</v>
      </c>
      <c r="L1623" t="s">
        <v>159</v>
      </c>
      <c r="N1623" t="s">
        <v>236</v>
      </c>
      <c r="O1623" t="s">
        <v>302</v>
      </c>
      <c r="P1623">
        <v>1.2475421738967721E-2</v>
      </c>
      <c r="Q1623" t="s">
        <v>159</v>
      </c>
    </row>
    <row r="1624" spans="9:17" x14ac:dyDescent="0.45">
      <c r="I1624" t="s">
        <v>193</v>
      </c>
      <c r="J1624" t="s">
        <v>312</v>
      </c>
      <c r="K1624">
        <v>1.887775626024403E-4</v>
      </c>
      <c r="L1624" t="s">
        <v>159</v>
      </c>
      <c r="N1624" t="s">
        <v>236</v>
      </c>
      <c r="O1624" t="s">
        <v>312</v>
      </c>
      <c r="P1624">
        <v>8.3734658952240901E-2</v>
      </c>
      <c r="Q1624" t="s">
        <v>159</v>
      </c>
    </row>
    <row r="1625" spans="9:17" x14ac:dyDescent="0.45">
      <c r="I1625" t="s">
        <v>193</v>
      </c>
      <c r="J1625" t="s">
        <v>313</v>
      </c>
      <c r="K1625">
        <v>1.4221180012436588E-3</v>
      </c>
      <c r="L1625" t="s">
        <v>159</v>
      </c>
      <c r="N1625" t="s">
        <v>236</v>
      </c>
      <c r="O1625" t="s">
        <v>313</v>
      </c>
      <c r="P1625">
        <v>2.5545133466855927E-2</v>
      </c>
      <c r="Q1625" t="s">
        <v>159</v>
      </c>
    </row>
    <row r="1626" spans="9:17" x14ac:dyDescent="0.45">
      <c r="I1626" t="s">
        <v>193</v>
      </c>
      <c r="J1626" t="s">
        <v>314</v>
      </c>
      <c r="K1626">
        <v>3.1169322008390327E-3</v>
      </c>
      <c r="L1626" t="s">
        <v>159</v>
      </c>
      <c r="N1626" t="s">
        <v>236</v>
      </c>
      <c r="O1626" t="s">
        <v>314</v>
      </c>
      <c r="P1626">
        <v>2.2063346266990159E-3</v>
      </c>
      <c r="Q1626" t="s">
        <v>159</v>
      </c>
    </row>
    <row r="1627" spans="9:17" x14ac:dyDescent="0.45">
      <c r="I1627" t="s">
        <v>193</v>
      </c>
      <c r="J1627" t="s">
        <v>315</v>
      </c>
      <c r="K1627">
        <v>7.2517842282530234E-2</v>
      </c>
      <c r="L1627" t="s">
        <v>159</v>
      </c>
      <c r="N1627" t="s">
        <v>236</v>
      </c>
      <c r="O1627" t="s">
        <v>315</v>
      </c>
      <c r="P1627">
        <v>1.9899018690212936E-2</v>
      </c>
      <c r="Q1627" t="s">
        <v>159</v>
      </c>
    </row>
    <row r="1628" spans="9:17" x14ac:dyDescent="0.45">
      <c r="I1628" t="s">
        <v>193</v>
      </c>
      <c r="J1628" t="s">
        <v>316</v>
      </c>
      <c r="K1628">
        <v>5.4648442304778321E-3</v>
      </c>
      <c r="L1628" t="s">
        <v>159</v>
      </c>
      <c r="N1628" t="s">
        <v>236</v>
      </c>
      <c r="O1628" t="s">
        <v>316</v>
      </c>
      <c r="P1628">
        <v>2.5218207408403879E-3</v>
      </c>
      <c r="Q1628" t="s">
        <v>159</v>
      </c>
    </row>
    <row r="1629" spans="9:17" x14ac:dyDescent="0.45">
      <c r="I1629" t="s">
        <v>193</v>
      </c>
      <c r="J1629" t="s">
        <v>317</v>
      </c>
      <c r="K1629">
        <v>3.7456467510884567E-3</v>
      </c>
      <c r="L1629" t="s">
        <v>159</v>
      </c>
      <c r="N1629" t="s">
        <v>236</v>
      </c>
      <c r="O1629" t="s">
        <v>317</v>
      </c>
      <c r="P1629">
        <v>1.9198659897001538E-3</v>
      </c>
      <c r="Q1629" t="s">
        <v>159</v>
      </c>
    </row>
    <row r="1630" spans="9:17" x14ac:dyDescent="0.45">
      <c r="I1630" t="s">
        <v>193</v>
      </c>
      <c r="J1630" t="s">
        <v>318</v>
      </c>
      <c r="K1630">
        <v>2.0167261791191379E-3</v>
      </c>
      <c r="L1630" t="s">
        <v>159</v>
      </c>
      <c r="N1630" t="s">
        <v>236</v>
      </c>
      <c r="O1630" t="s">
        <v>318</v>
      </c>
      <c r="P1630">
        <v>1.4430220649628393E-2</v>
      </c>
      <c r="Q1630" t="s">
        <v>159</v>
      </c>
    </row>
    <row r="1631" spans="9:17" x14ac:dyDescent="0.45">
      <c r="I1631" t="s">
        <v>194</v>
      </c>
      <c r="J1631" t="s">
        <v>158</v>
      </c>
      <c r="K1631">
        <v>2.2580495593228526E-3</v>
      </c>
      <c r="L1631" t="s">
        <v>159</v>
      </c>
      <c r="N1631" t="s">
        <v>237</v>
      </c>
      <c r="O1631" t="s">
        <v>158</v>
      </c>
      <c r="P1631">
        <v>0.14944466086795352</v>
      </c>
      <c r="Q1631" t="s">
        <v>159</v>
      </c>
    </row>
    <row r="1632" spans="9:17" x14ac:dyDescent="0.45">
      <c r="I1632" t="s">
        <v>194</v>
      </c>
      <c r="J1632" t="s">
        <v>160</v>
      </c>
      <c r="K1632">
        <v>1.6805296695852973E-2</v>
      </c>
      <c r="L1632" t="s">
        <v>159</v>
      </c>
      <c r="N1632" t="s">
        <v>237</v>
      </c>
      <c r="O1632" t="s">
        <v>160</v>
      </c>
      <c r="P1632">
        <v>1.8315169590849476E-2</v>
      </c>
      <c r="Q1632" t="s">
        <v>159</v>
      </c>
    </row>
    <row r="1633" spans="9:17" x14ac:dyDescent="0.45">
      <c r="I1633" t="s">
        <v>194</v>
      </c>
      <c r="J1633" t="s">
        <v>161</v>
      </c>
      <c r="K1633">
        <v>0.39771674899354231</v>
      </c>
      <c r="L1633" t="s">
        <v>159</v>
      </c>
      <c r="N1633" t="s">
        <v>237</v>
      </c>
      <c r="O1633" t="s">
        <v>161</v>
      </c>
      <c r="P1633">
        <v>9.9496884112346723E-2</v>
      </c>
      <c r="Q1633" t="s">
        <v>159</v>
      </c>
    </row>
    <row r="1634" spans="9:17" x14ac:dyDescent="0.45">
      <c r="I1634" t="s">
        <v>194</v>
      </c>
      <c r="J1634" t="s">
        <v>287</v>
      </c>
      <c r="K1634">
        <v>3.261740944715142E-2</v>
      </c>
      <c r="L1634" t="s">
        <v>159</v>
      </c>
      <c r="N1634" t="s">
        <v>237</v>
      </c>
      <c r="O1634" t="s">
        <v>287</v>
      </c>
      <c r="P1634">
        <v>8.5290002163458632E-3</v>
      </c>
      <c r="Q1634" t="s">
        <v>159</v>
      </c>
    </row>
    <row r="1635" spans="9:17" x14ac:dyDescent="0.45">
      <c r="I1635" t="s">
        <v>194</v>
      </c>
      <c r="J1635" t="s">
        <v>288</v>
      </c>
      <c r="K1635">
        <v>1.5309259419456637E-2</v>
      </c>
      <c r="L1635" t="s">
        <v>159</v>
      </c>
      <c r="N1635" t="s">
        <v>237</v>
      </c>
      <c r="O1635" t="s">
        <v>288</v>
      </c>
      <c r="P1635">
        <v>9.4267639664664359E-3</v>
      </c>
      <c r="Q1635" t="s">
        <v>159</v>
      </c>
    </row>
    <row r="1636" spans="9:17" x14ac:dyDescent="0.45">
      <c r="I1636" t="s">
        <v>194</v>
      </c>
      <c r="J1636" t="s">
        <v>308</v>
      </c>
      <c r="K1636">
        <v>4.2685498838607059E-3</v>
      </c>
      <c r="L1636" t="s">
        <v>159</v>
      </c>
      <c r="N1636" t="s">
        <v>237</v>
      </c>
      <c r="O1636" t="s">
        <v>308</v>
      </c>
      <c r="P1636">
        <v>8.4692787197494179E-2</v>
      </c>
      <c r="Q1636" t="s">
        <v>159</v>
      </c>
    </row>
    <row r="1637" spans="9:17" x14ac:dyDescent="0.45">
      <c r="I1637" t="s">
        <v>194</v>
      </c>
      <c r="J1637" t="s">
        <v>162</v>
      </c>
      <c r="K1637">
        <v>0</v>
      </c>
      <c r="L1637" t="s">
        <v>159</v>
      </c>
      <c r="N1637" t="s">
        <v>237</v>
      </c>
      <c r="O1637" t="s">
        <v>162</v>
      </c>
      <c r="P1637">
        <v>3.4922332953291564E-2</v>
      </c>
      <c r="Q1637" t="s">
        <v>159</v>
      </c>
    </row>
    <row r="1638" spans="9:17" x14ac:dyDescent="0.45">
      <c r="I1638" t="s">
        <v>194</v>
      </c>
      <c r="J1638" t="s">
        <v>163</v>
      </c>
      <c r="K1638">
        <v>0</v>
      </c>
      <c r="L1638" t="s">
        <v>159</v>
      </c>
      <c r="N1638" t="s">
        <v>237</v>
      </c>
      <c r="O1638" t="s">
        <v>163</v>
      </c>
      <c r="P1638">
        <v>4.4456969110451914E-3</v>
      </c>
      <c r="Q1638" t="s">
        <v>159</v>
      </c>
    </row>
    <row r="1639" spans="9:17" x14ac:dyDescent="0.45">
      <c r="I1639" t="s">
        <v>194</v>
      </c>
      <c r="J1639" t="s">
        <v>164</v>
      </c>
      <c r="K1639">
        <v>4.60316546629582E-2</v>
      </c>
      <c r="L1639" t="s">
        <v>159</v>
      </c>
      <c r="N1639" t="s">
        <v>237</v>
      </c>
      <c r="O1639" t="s">
        <v>164</v>
      </c>
      <c r="P1639">
        <v>2.8137278556015475E-2</v>
      </c>
      <c r="Q1639" t="s">
        <v>159</v>
      </c>
    </row>
    <row r="1640" spans="9:17" x14ac:dyDescent="0.45">
      <c r="I1640" t="s">
        <v>194</v>
      </c>
      <c r="J1640" t="s">
        <v>289</v>
      </c>
      <c r="K1640">
        <v>3.6040019952001548E-3</v>
      </c>
      <c r="L1640" t="s">
        <v>159</v>
      </c>
      <c r="N1640" t="s">
        <v>237</v>
      </c>
      <c r="O1640" t="s">
        <v>289</v>
      </c>
      <c r="P1640">
        <v>2.2684841195397768E-3</v>
      </c>
      <c r="Q1640" t="s">
        <v>159</v>
      </c>
    </row>
    <row r="1641" spans="9:17" x14ac:dyDescent="0.45">
      <c r="I1641" t="s">
        <v>194</v>
      </c>
      <c r="J1641" t="s">
        <v>290</v>
      </c>
      <c r="K1641">
        <v>0</v>
      </c>
      <c r="L1641" t="s">
        <v>159</v>
      </c>
      <c r="N1641" t="s">
        <v>237</v>
      </c>
      <c r="O1641" t="s">
        <v>290</v>
      </c>
      <c r="P1641">
        <v>2.724120954035352E-3</v>
      </c>
      <c r="Q1641" t="s">
        <v>159</v>
      </c>
    </row>
    <row r="1642" spans="9:17" x14ac:dyDescent="0.45">
      <c r="I1642" t="s">
        <v>194</v>
      </c>
      <c r="J1642" t="s">
        <v>309</v>
      </c>
      <c r="K1642">
        <v>0</v>
      </c>
      <c r="L1642" t="s">
        <v>159</v>
      </c>
      <c r="N1642" t="s">
        <v>237</v>
      </c>
      <c r="O1642" t="s">
        <v>309</v>
      </c>
      <c r="P1642">
        <v>2.0799897442982392E-2</v>
      </c>
      <c r="Q1642" t="s">
        <v>159</v>
      </c>
    </row>
    <row r="1643" spans="9:17" x14ac:dyDescent="0.45">
      <c r="I1643" t="s">
        <v>194</v>
      </c>
      <c r="J1643" t="s">
        <v>346</v>
      </c>
      <c r="K1643">
        <v>0</v>
      </c>
      <c r="L1643" t="s">
        <v>159</v>
      </c>
      <c r="N1643" t="s">
        <v>237</v>
      </c>
      <c r="O1643" t="s">
        <v>346</v>
      </c>
      <c r="P1643">
        <v>1.1827349286227811E-4</v>
      </c>
      <c r="Q1643" t="s">
        <v>159</v>
      </c>
    </row>
    <row r="1644" spans="9:17" x14ac:dyDescent="0.45">
      <c r="I1644" t="s">
        <v>194</v>
      </c>
      <c r="J1644" t="s">
        <v>347</v>
      </c>
      <c r="K1644">
        <v>0</v>
      </c>
      <c r="L1644" t="s">
        <v>159</v>
      </c>
      <c r="N1644" t="s">
        <v>237</v>
      </c>
      <c r="O1644" t="s">
        <v>347</v>
      </c>
      <c r="P1644">
        <v>1.0896417105810495E-4</v>
      </c>
      <c r="Q1644" t="s">
        <v>159</v>
      </c>
    </row>
    <row r="1645" spans="9:17" x14ac:dyDescent="0.45">
      <c r="I1645" t="s">
        <v>194</v>
      </c>
      <c r="J1645" t="s">
        <v>348</v>
      </c>
      <c r="K1645">
        <v>0</v>
      </c>
      <c r="L1645" t="s">
        <v>159</v>
      </c>
      <c r="N1645" t="s">
        <v>237</v>
      </c>
      <c r="O1645" t="s">
        <v>348</v>
      </c>
      <c r="P1645">
        <v>9.3320109636338752E-5</v>
      </c>
      <c r="Q1645" t="s">
        <v>159</v>
      </c>
    </row>
    <row r="1646" spans="9:17" x14ac:dyDescent="0.45">
      <c r="I1646" t="s">
        <v>194</v>
      </c>
      <c r="J1646" t="s">
        <v>349</v>
      </c>
      <c r="K1646">
        <v>0</v>
      </c>
      <c r="L1646" t="s">
        <v>159</v>
      </c>
      <c r="N1646" t="s">
        <v>237</v>
      </c>
      <c r="O1646" t="s">
        <v>349</v>
      </c>
      <c r="P1646">
        <v>8.1340311004501615E-5</v>
      </c>
      <c r="Q1646" t="s">
        <v>159</v>
      </c>
    </row>
    <row r="1647" spans="9:17" x14ac:dyDescent="0.45">
      <c r="I1647" t="s">
        <v>194</v>
      </c>
      <c r="J1647" t="s">
        <v>350</v>
      </c>
      <c r="K1647">
        <v>0</v>
      </c>
      <c r="L1647" t="s">
        <v>159</v>
      </c>
      <c r="N1647" t="s">
        <v>237</v>
      </c>
      <c r="O1647" t="s">
        <v>350</v>
      </c>
      <c r="P1647">
        <v>7.1792738168100666E-5</v>
      </c>
      <c r="Q1647" t="s">
        <v>159</v>
      </c>
    </row>
    <row r="1648" spans="9:17" x14ac:dyDescent="0.45">
      <c r="I1648" t="s">
        <v>194</v>
      </c>
      <c r="J1648" t="s">
        <v>351</v>
      </c>
      <c r="K1648">
        <v>0</v>
      </c>
      <c r="L1648" t="s">
        <v>159</v>
      </c>
      <c r="N1648" t="s">
        <v>237</v>
      </c>
      <c r="O1648" t="s">
        <v>351</v>
      </c>
      <c r="P1648">
        <v>6.1446224763042699E-5</v>
      </c>
      <c r="Q1648" t="s">
        <v>159</v>
      </c>
    </row>
    <row r="1649" spans="9:17" x14ac:dyDescent="0.45">
      <c r="I1649" t="s">
        <v>194</v>
      </c>
      <c r="J1649" t="s">
        <v>352</v>
      </c>
      <c r="K1649">
        <v>0</v>
      </c>
      <c r="L1649" t="s">
        <v>159</v>
      </c>
      <c r="N1649" t="s">
        <v>237</v>
      </c>
      <c r="O1649" t="s">
        <v>352</v>
      </c>
      <c r="P1649">
        <v>5.2114482932112177E-5</v>
      </c>
      <c r="Q1649" t="s">
        <v>159</v>
      </c>
    </row>
    <row r="1650" spans="9:17" x14ac:dyDescent="0.45">
      <c r="I1650" t="s">
        <v>194</v>
      </c>
      <c r="J1650" t="s">
        <v>353</v>
      </c>
      <c r="K1650">
        <v>0</v>
      </c>
      <c r="L1650" t="s">
        <v>159</v>
      </c>
      <c r="N1650" t="s">
        <v>237</v>
      </c>
      <c r="O1650" t="s">
        <v>353</v>
      </c>
      <c r="P1650">
        <v>4.4095122680329813E-5</v>
      </c>
      <c r="Q1650" t="s">
        <v>159</v>
      </c>
    </row>
    <row r="1651" spans="9:17" x14ac:dyDescent="0.45">
      <c r="I1651" t="s">
        <v>194</v>
      </c>
      <c r="J1651" t="s">
        <v>354</v>
      </c>
      <c r="K1651">
        <v>1.4290077833447283E-4</v>
      </c>
      <c r="L1651" t="s">
        <v>159</v>
      </c>
      <c r="N1651" t="s">
        <v>237</v>
      </c>
      <c r="O1651" t="s">
        <v>354</v>
      </c>
      <c r="P1651">
        <v>3.3869700229217563E-5</v>
      </c>
      <c r="Q1651" t="s">
        <v>159</v>
      </c>
    </row>
    <row r="1652" spans="9:17" x14ac:dyDescent="0.45">
      <c r="I1652" t="s">
        <v>194</v>
      </c>
      <c r="J1652" t="s">
        <v>355</v>
      </c>
      <c r="K1652">
        <v>1.9245257587556535E-4</v>
      </c>
      <c r="L1652" t="s">
        <v>159</v>
      </c>
      <c r="N1652" t="s">
        <v>237</v>
      </c>
      <c r="O1652" t="s">
        <v>355</v>
      </c>
      <c r="P1652">
        <v>1.2614229287928428E-5</v>
      </c>
      <c r="Q1652" t="s">
        <v>159</v>
      </c>
    </row>
    <row r="1653" spans="9:17" x14ac:dyDescent="0.45">
      <c r="I1653" t="s">
        <v>194</v>
      </c>
      <c r="J1653" t="s">
        <v>356</v>
      </c>
      <c r="K1653">
        <v>2.0259478570314659E-4</v>
      </c>
      <c r="L1653" t="s">
        <v>159</v>
      </c>
      <c r="N1653" t="s">
        <v>237</v>
      </c>
      <c r="O1653" t="s">
        <v>356</v>
      </c>
      <c r="P1653">
        <v>8.0463035210679633E-6</v>
      </c>
      <c r="Q1653" t="s">
        <v>159</v>
      </c>
    </row>
    <row r="1654" spans="9:17" x14ac:dyDescent="0.45">
      <c r="I1654" t="s">
        <v>194</v>
      </c>
      <c r="J1654" t="s">
        <v>357</v>
      </c>
      <c r="K1654">
        <v>2.1527252045231432E-4</v>
      </c>
      <c r="L1654" t="s">
        <v>159</v>
      </c>
      <c r="N1654" t="s">
        <v>237</v>
      </c>
      <c r="O1654" t="s">
        <v>357</v>
      </c>
      <c r="P1654">
        <v>7.8534473918023813E-6</v>
      </c>
      <c r="Q1654" t="s">
        <v>159</v>
      </c>
    </row>
    <row r="1655" spans="9:17" x14ac:dyDescent="0.45">
      <c r="I1655" t="s">
        <v>194</v>
      </c>
      <c r="J1655" t="s">
        <v>358</v>
      </c>
      <c r="K1655">
        <v>2.5567342351234649E-4</v>
      </c>
      <c r="L1655" t="s">
        <v>159</v>
      </c>
      <c r="N1655" t="s">
        <v>237</v>
      </c>
      <c r="O1655" t="s">
        <v>358</v>
      </c>
      <c r="P1655">
        <v>6.0770703317739965E-6</v>
      </c>
      <c r="Q1655" t="s">
        <v>159</v>
      </c>
    </row>
    <row r="1656" spans="9:17" x14ac:dyDescent="0.45">
      <c r="I1656" t="s">
        <v>194</v>
      </c>
      <c r="J1656" t="s">
        <v>359</v>
      </c>
      <c r="K1656">
        <v>2.4888675007845424E-4</v>
      </c>
      <c r="L1656" t="s">
        <v>159</v>
      </c>
      <c r="N1656" t="s">
        <v>237</v>
      </c>
      <c r="O1656" t="s">
        <v>359</v>
      </c>
      <c r="P1656">
        <v>6.7683574956225649E-6</v>
      </c>
      <c r="Q1656" t="s">
        <v>159</v>
      </c>
    </row>
    <row r="1657" spans="9:17" x14ac:dyDescent="0.45">
      <c r="I1657" t="s">
        <v>194</v>
      </c>
      <c r="J1657" t="s">
        <v>360</v>
      </c>
      <c r="K1657">
        <v>2.0167926475121568E-4</v>
      </c>
      <c r="L1657" t="s">
        <v>159</v>
      </c>
      <c r="N1657" t="s">
        <v>237</v>
      </c>
      <c r="O1657" t="s">
        <v>360</v>
      </c>
      <c r="P1657">
        <v>9.6010729762454452E-6</v>
      </c>
      <c r="Q1657" t="s">
        <v>159</v>
      </c>
    </row>
    <row r="1658" spans="9:17" x14ac:dyDescent="0.45">
      <c r="I1658" t="s">
        <v>194</v>
      </c>
      <c r="J1658" t="s">
        <v>361</v>
      </c>
      <c r="K1658">
        <v>1.8949299944346238E-4</v>
      </c>
      <c r="L1658" t="s">
        <v>159</v>
      </c>
      <c r="N1658" t="s">
        <v>237</v>
      </c>
      <c r="O1658" t="s">
        <v>361</v>
      </c>
      <c r="P1658">
        <v>1.2884952907936056E-5</v>
      </c>
      <c r="Q1658" t="s">
        <v>159</v>
      </c>
    </row>
    <row r="1659" spans="9:17" x14ac:dyDescent="0.45">
      <c r="I1659" t="s">
        <v>194</v>
      </c>
      <c r="J1659" t="s">
        <v>362</v>
      </c>
      <c r="K1659">
        <v>1.9583191809412369E-4</v>
      </c>
      <c r="L1659" t="s">
        <v>159</v>
      </c>
      <c r="N1659" t="s">
        <v>237</v>
      </c>
      <c r="O1659" t="s">
        <v>362</v>
      </c>
      <c r="P1659">
        <v>1.2760567139682251E-5</v>
      </c>
      <c r="Q1659" t="s">
        <v>159</v>
      </c>
    </row>
    <row r="1660" spans="9:17" x14ac:dyDescent="0.45">
      <c r="I1660" t="s">
        <v>194</v>
      </c>
      <c r="J1660" t="s">
        <v>363</v>
      </c>
      <c r="K1660">
        <v>1.5768584026282508E-4</v>
      </c>
      <c r="L1660" t="s">
        <v>159</v>
      </c>
      <c r="N1660" t="s">
        <v>237</v>
      </c>
      <c r="O1660" t="s">
        <v>363</v>
      </c>
      <c r="P1660">
        <v>1.2302917983986843E-5</v>
      </c>
      <c r="Q1660" t="s">
        <v>159</v>
      </c>
    </row>
    <row r="1661" spans="9:17" x14ac:dyDescent="0.45">
      <c r="I1661" t="s">
        <v>194</v>
      </c>
      <c r="J1661" t="s">
        <v>364</v>
      </c>
      <c r="K1661">
        <v>0</v>
      </c>
      <c r="L1661" t="s">
        <v>159</v>
      </c>
      <c r="N1661" t="s">
        <v>237</v>
      </c>
      <c r="O1661" t="s">
        <v>364</v>
      </c>
      <c r="P1661">
        <v>2.1732206646866717E-5</v>
      </c>
      <c r="Q1661" t="s">
        <v>159</v>
      </c>
    </row>
    <row r="1662" spans="9:17" x14ac:dyDescent="0.45">
      <c r="I1662" t="s">
        <v>194</v>
      </c>
      <c r="J1662" t="s">
        <v>365</v>
      </c>
      <c r="K1662">
        <v>0</v>
      </c>
      <c r="L1662" t="s">
        <v>159</v>
      </c>
      <c r="N1662" t="s">
        <v>237</v>
      </c>
      <c r="O1662" t="s">
        <v>365</v>
      </c>
      <c r="P1662">
        <v>2.9567249669231659E-5</v>
      </c>
      <c r="Q1662" t="s">
        <v>159</v>
      </c>
    </row>
    <row r="1663" spans="9:17" x14ac:dyDescent="0.45">
      <c r="I1663" t="s">
        <v>194</v>
      </c>
      <c r="J1663" t="s">
        <v>366</v>
      </c>
      <c r="K1663">
        <v>0</v>
      </c>
      <c r="L1663" t="s">
        <v>159</v>
      </c>
      <c r="N1663" t="s">
        <v>237</v>
      </c>
      <c r="O1663" t="s">
        <v>366</v>
      </c>
      <c r="P1663">
        <v>3.4960149372544299E-5</v>
      </c>
      <c r="Q1663" t="s">
        <v>159</v>
      </c>
    </row>
    <row r="1664" spans="9:17" x14ac:dyDescent="0.45">
      <c r="I1664" t="s">
        <v>194</v>
      </c>
      <c r="J1664" t="s">
        <v>367</v>
      </c>
      <c r="K1664">
        <v>0</v>
      </c>
      <c r="L1664" t="s">
        <v>159</v>
      </c>
      <c r="N1664" t="s">
        <v>237</v>
      </c>
      <c r="O1664" t="s">
        <v>367</v>
      </c>
      <c r="P1664">
        <v>4.5632130297074555E-5</v>
      </c>
      <c r="Q1664" t="s">
        <v>159</v>
      </c>
    </row>
    <row r="1665" spans="9:17" x14ac:dyDescent="0.45">
      <c r="I1665" t="s">
        <v>194</v>
      </c>
      <c r="J1665" t="s">
        <v>368</v>
      </c>
      <c r="K1665">
        <v>0</v>
      </c>
      <c r="L1665" t="s">
        <v>159</v>
      </c>
      <c r="N1665" t="s">
        <v>237</v>
      </c>
      <c r="O1665" t="s">
        <v>368</v>
      </c>
      <c r="P1665">
        <v>6.7486476244815933E-5</v>
      </c>
      <c r="Q1665" t="s">
        <v>159</v>
      </c>
    </row>
    <row r="1666" spans="9:17" x14ac:dyDescent="0.45">
      <c r="I1666" t="s">
        <v>194</v>
      </c>
      <c r="J1666" t="s">
        <v>369</v>
      </c>
      <c r="K1666">
        <v>0</v>
      </c>
      <c r="L1666" t="s">
        <v>159</v>
      </c>
      <c r="N1666" t="s">
        <v>237</v>
      </c>
      <c r="O1666" t="s">
        <v>369</v>
      </c>
      <c r="P1666">
        <v>8.4675093932575312E-5</v>
      </c>
      <c r="Q1666" t="s">
        <v>159</v>
      </c>
    </row>
    <row r="1667" spans="9:17" x14ac:dyDescent="0.45">
      <c r="I1667" t="s">
        <v>194</v>
      </c>
      <c r="J1667" t="s">
        <v>165</v>
      </c>
      <c r="K1667">
        <v>0</v>
      </c>
      <c r="L1667" t="s">
        <v>159</v>
      </c>
      <c r="N1667" t="s">
        <v>237</v>
      </c>
      <c r="O1667" t="s">
        <v>165</v>
      </c>
      <c r="P1667">
        <v>3.12092342245829E-2</v>
      </c>
      <c r="Q1667" t="s">
        <v>159</v>
      </c>
    </row>
    <row r="1668" spans="9:17" x14ac:dyDescent="0.45">
      <c r="I1668" t="s">
        <v>194</v>
      </c>
      <c r="J1668" t="s">
        <v>166</v>
      </c>
      <c r="K1668">
        <v>2.5782690147812534E-4</v>
      </c>
      <c r="L1668" t="s">
        <v>159</v>
      </c>
      <c r="N1668" t="s">
        <v>237</v>
      </c>
      <c r="O1668" t="s">
        <v>166</v>
      </c>
      <c r="P1668">
        <v>3.8141989514722191E-3</v>
      </c>
      <c r="Q1668" t="s">
        <v>159</v>
      </c>
    </row>
    <row r="1669" spans="9:17" x14ac:dyDescent="0.45">
      <c r="I1669" t="s">
        <v>194</v>
      </c>
      <c r="J1669" t="s">
        <v>167</v>
      </c>
      <c r="K1669">
        <v>6.5004667648589434E-2</v>
      </c>
      <c r="L1669" t="s">
        <v>159</v>
      </c>
      <c r="N1669" t="s">
        <v>237</v>
      </c>
      <c r="O1669" t="s">
        <v>167</v>
      </c>
      <c r="P1669">
        <v>2.3817064685580498E-2</v>
      </c>
      <c r="Q1669" t="s">
        <v>159</v>
      </c>
    </row>
    <row r="1670" spans="9:17" x14ac:dyDescent="0.45">
      <c r="I1670" t="s">
        <v>194</v>
      </c>
      <c r="J1670" t="s">
        <v>291</v>
      </c>
      <c r="K1670">
        <v>5.2977811300254866E-3</v>
      </c>
      <c r="L1670" t="s">
        <v>159</v>
      </c>
      <c r="N1670" t="s">
        <v>237</v>
      </c>
      <c r="O1670" t="s">
        <v>291</v>
      </c>
      <c r="P1670">
        <v>2.8149432638857703E-3</v>
      </c>
      <c r="Q1670" t="s">
        <v>159</v>
      </c>
    </row>
    <row r="1671" spans="9:17" x14ac:dyDescent="0.45">
      <c r="I1671" t="s">
        <v>194</v>
      </c>
      <c r="J1671" t="s">
        <v>292</v>
      </c>
      <c r="K1671">
        <v>0</v>
      </c>
      <c r="L1671" t="s">
        <v>159</v>
      </c>
      <c r="N1671" t="s">
        <v>237</v>
      </c>
      <c r="O1671" t="s">
        <v>292</v>
      </c>
      <c r="P1671">
        <v>2.8835591636591179E-3</v>
      </c>
      <c r="Q1671" t="s">
        <v>159</v>
      </c>
    </row>
    <row r="1672" spans="9:17" x14ac:dyDescent="0.45">
      <c r="I1672" t="s">
        <v>194</v>
      </c>
      <c r="J1672" t="s">
        <v>310</v>
      </c>
      <c r="K1672">
        <v>0</v>
      </c>
      <c r="L1672" t="s">
        <v>159</v>
      </c>
      <c r="N1672" t="s">
        <v>237</v>
      </c>
      <c r="O1672" t="s">
        <v>310</v>
      </c>
      <c r="P1672">
        <v>2.0471083910715036E-2</v>
      </c>
      <c r="Q1672" t="s">
        <v>159</v>
      </c>
    </row>
    <row r="1673" spans="9:17" x14ac:dyDescent="0.45">
      <c r="I1673" t="s">
        <v>194</v>
      </c>
      <c r="J1673" t="s">
        <v>293</v>
      </c>
      <c r="K1673">
        <v>0</v>
      </c>
      <c r="L1673" t="s">
        <v>159</v>
      </c>
      <c r="N1673" t="s">
        <v>237</v>
      </c>
      <c r="O1673" t="s">
        <v>293</v>
      </c>
      <c r="P1673">
        <v>1.3564461540760143E-2</v>
      </c>
      <c r="Q1673" t="s">
        <v>159</v>
      </c>
    </row>
    <row r="1674" spans="9:17" x14ac:dyDescent="0.45">
      <c r="I1674" t="s">
        <v>194</v>
      </c>
      <c r="J1674" t="s">
        <v>294</v>
      </c>
      <c r="K1674">
        <v>1.0507708065816933E-3</v>
      </c>
      <c r="L1674" t="s">
        <v>159</v>
      </c>
      <c r="N1674" t="s">
        <v>237</v>
      </c>
      <c r="O1674" t="s">
        <v>294</v>
      </c>
      <c r="P1674">
        <v>1.7725324670625961E-3</v>
      </c>
      <c r="Q1674" t="s">
        <v>159</v>
      </c>
    </row>
    <row r="1675" spans="9:17" x14ac:dyDescent="0.45">
      <c r="I1675" t="s">
        <v>194</v>
      </c>
      <c r="J1675" t="s">
        <v>295</v>
      </c>
      <c r="K1675">
        <v>1.7437907413319145E-2</v>
      </c>
      <c r="L1675" t="s">
        <v>159</v>
      </c>
      <c r="N1675" t="s">
        <v>237</v>
      </c>
      <c r="O1675" t="s">
        <v>295</v>
      </c>
      <c r="P1675">
        <v>9.7986404059505778E-3</v>
      </c>
      <c r="Q1675" t="s">
        <v>159</v>
      </c>
    </row>
    <row r="1676" spans="9:17" x14ac:dyDescent="0.45">
      <c r="I1676" t="s">
        <v>194</v>
      </c>
      <c r="J1676" t="s">
        <v>296</v>
      </c>
      <c r="K1676">
        <v>1.4905912004813237E-3</v>
      </c>
      <c r="L1676" t="s">
        <v>159</v>
      </c>
      <c r="N1676" t="s">
        <v>237</v>
      </c>
      <c r="O1676" t="s">
        <v>296</v>
      </c>
      <c r="P1676">
        <v>5.3326279191543422E-4</v>
      </c>
      <c r="Q1676" t="s">
        <v>159</v>
      </c>
    </row>
    <row r="1677" spans="9:17" x14ac:dyDescent="0.45">
      <c r="I1677" t="s">
        <v>194</v>
      </c>
      <c r="J1677" t="s">
        <v>297</v>
      </c>
      <c r="K1677">
        <v>1.7624346261414792E-4</v>
      </c>
      <c r="L1677" t="s">
        <v>159</v>
      </c>
      <c r="N1677" t="s">
        <v>237</v>
      </c>
      <c r="O1677" t="s">
        <v>297</v>
      </c>
      <c r="P1677">
        <v>6.2300271571286787E-4</v>
      </c>
      <c r="Q1677" t="s">
        <v>159</v>
      </c>
    </row>
    <row r="1678" spans="9:17" x14ac:dyDescent="0.45">
      <c r="I1678" t="s">
        <v>194</v>
      </c>
      <c r="J1678" t="s">
        <v>311</v>
      </c>
      <c r="K1678">
        <v>0</v>
      </c>
      <c r="L1678" t="s">
        <v>159</v>
      </c>
      <c r="N1678" t="s">
        <v>237</v>
      </c>
      <c r="O1678" t="s">
        <v>311</v>
      </c>
      <c r="P1678">
        <v>7.4967736314404676E-3</v>
      </c>
      <c r="Q1678" t="s">
        <v>159</v>
      </c>
    </row>
    <row r="1679" spans="9:17" x14ac:dyDescent="0.45">
      <c r="I1679" t="s">
        <v>194</v>
      </c>
      <c r="J1679" t="s">
        <v>298</v>
      </c>
      <c r="K1679">
        <v>5.3083001517090266E-3</v>
      </c>
      <c r="L1679" t="s">
        <v>159</v>
      </c>
      <c r="N1679" t="s">
        <v>237</v>
      </c>
      <c r="O1679" t="s">
        <v>298</v>
      </c>
      <c r="P1679">
        <v>0.12725338899151373</v>
      </c>
      <c r="Q1679" t="s">
        <v>159</v>
      </c>
    </row>
    <row r="1680" spans="9:17" x14ac:dyDescent="0.45">
      <c r="I1680" t="s">
        <v>194</v>
      </c>
      <c r="J1680" t="s">
        <v>299</v>
      </c>
      <c r="K1680">
        <v>1.5556413515319303E-2</v>
      </c>
      <c r="L1680" t="s">
        <v>159</v>
      </c>
      <c r="N1680" t="s">
        <v>237</v>
      </c>
      <c r="O1680" t="s">
        <v>299</v>
      </c>
      <c r="P1680">
        <v>1.4546812210202285E-2</v>
      </c>
      <c r="Q1680" t="s">
        <v>159</v>
      </c>
    </row>
    <row r="1681" spans="9:17" x14ac:dyDescent="0.45">
      <c r="I1681" t="s">
        <v>194</v>
      </c>
      <c r="J1681" t="s">
        <v>300</v>
      </c>
      <c r="K1681">
        <v>0.24651371690414545</v>
      </c>
      <c r="L1681" t="s">
        <v>159</v>
      </c>
      <c r="N1681" t="s">
        <v>237</v>
      </c>
      <c r="O1681" t="s">
        <v>300</v>
      </c>
      <c r="P1681">
        <v>0.11603130458000435</v>
      </c>
      <c r="Q1681" t="s">
        <v>159</v>
      </c>
    </row>
    <row r="1682" spans="9:17" x14ac:dyDescent="0.45">
      <c r="I1682" t="s">
        <v>194</v>
      </c>
      <c r="J1682" t="s">
        <v>301</v>
      </c>
      <c r="K1682">
        <v>1.8818373872864998E-2</v>
      </c>
      <c r="L1682" t="s">
        <v>159</v>
      </c>
      <c r="N1682" t="s">
        <v>237</v>
      </c>
      <c r="O1682" t="s">
        <v>301</v>
      </c>
      <c r="P1682">
        <v>1.3080856037154176E-2</v>
      </c>
      <c r="Q1682" t="s">
        <v>159</v>
      </c>
    </row>
    <row r="1683" spans="9:17" x14ac:dyDescent="0.45">
      <c r="I1683" t="s">
        <v>194</v>
      </c>
      <c r="J1683" t="s">
        <v>302</v>
      </c>
      <c r="K1683">
        <v>1.1524203306720269E-2</v>
      </c>
      <c r="L1683" t="s">
        <v>159</v>
      </c>
      <c r="N1683" t="s">
        <v>237</v>
      </c>
      <c r="O1683" t="s">
        <v>302</v>
      </c>
      <c r="P1683">
        <v>1.1942225304474112E-2</v>
      </c>
      <c r="Q1683" t="s">
        <v>159</v>
      </c>
    </row>
    <row r="1684" spans="9:17" x14ac:dyDescent="0.45">
      <c r="I1684" t="s">
        <v>194</v>
      </c>
      <c r="J1684" t="s">
        <v>312</v>
      </c>
      <c r="K1684">
        <v>7.1587782278166294E-5</v>
      </c>
      <c r="L1684" t="s">
        <v>159</v>
      </c>
      <c r="N1684" t="s">
        <v>237</v>
      </c>
      <c r="O1684" t="s">
        <v>312</v>
      </c>
      <c r="P1684">
        <v>7.6737488689768721E-2</v>
      </c>
      <c r="Q1684" t="s">
        <v>159</v>
      </c>
    </row>
    <row r="1685" spans="9:17" x14ac:dyDescent="0.45">
      <c r="I1685" t="s">
        <v>194</v>
      </c>
      <c r="J1685" t="s">
        <v>313</v>
      </c>
      <c r="K1685">
        <v>1.9497109801532029E-3</v>
      </c>
      <c r="L1685" t="s">
        <v>159</v>
      </c>
      <c r="N1685" t="s">
        <v>237</v>
      </c>
      <c r="O1685" t="s">
        <v>313</v>
      </c>
      <c r="P1685">
        <v>2.0605020547404936E-2</v>
      </c>
      <c r="Q1685" t="s">
        <v>159</v>
      </c>
    </row>
    <row r="1686" spans="9:17" x14ac:dyDescent="0.45">
      <c r="I1686" t="s">
        <v>194</v>
      </c>
      <c r="J1686" t="s">
        <v>314</v>
      </c>
      <c r="K1686">
        <v>4.0692389214072727E-3</v>
      </c>
      <c r="L1686" t="s">
        <v>159</v>
      </c>
      <c r="N1686" t="s">
        <v>237</v>
      </c>
      <c r="O1686" t="s">
        <v>314</v>
      </c>
      <c r="P1686">
        <v>2.2370127020040517E-3</v>
      </c>
      <c r="Q1686" t="s">
        <v>159</v>
      </c>
    </row>
    <row r="1687" spans="9:17" x14ac:dyDescent="0.45">
      <c r="I1687" t="s">
        <v>194</v>
      </c>
      <c r="J1687" t="s">
        <v>315</v>
      </c>
      <c r="K1687">
        <v>7.5060204544676074E-2</v>
      </c>
      <c r="L1687" t="s">
        <v>159</v>
      </c>
      <c r="N1687" t="s">
        <v>237</v>
      </c>
      <c r="O1687" t="s">
        <v>315</v>
      </c>
      <c r="P1687">
        <v>1.922047477936803E-2</v>
      </c>
      <c r="Q1687" t="s">
        <v>159</v>
      </c>
    </row>
    <row r="1688" spans="9:17" x14ac:dyDescent="0.45">
      <c r="I1688" t="s">
        <v>194</v>
      </c>
      <c r="J1688" t="s">
        <v>316</v>
      </c>
      <c r="K1688">
        <v>4.9376581876485921E-3</v>
      </c>
      <c r="L1688" t="s">
        <v>159</v>
      </c>
      <c r="N1688" t="s">
        <v>237</v>
      </c>
      <c r="O1688" t="s">
        <v>316</v>
      </c>
      <c r="P1688">
        <v>2.0267781501475839E-3</v>
      </c>
      <c r="Q1688" t="s">
        <v>159</v>
      </c>
    </row>
    <row r="1689" spans="9:17" x14ac:dyDescent="0.45">
      <c r="I1689" t="s">
        <v>194</v>
      </c>
      <c r="J1689" t="s">
        <v>317</v>
      </c>
      <c r="K1689">
        <v>3.3168847905851975E-3</v>
      </c>
      <c r="L1689" t="s">
        <v>159</v>
      </c>
      <c r="N1689" t="s">
        <v>237</v>
      </c>
      <c r="O1689" t="s">
        <v>317</v>
      </c>
      <c r="P1689">
        <v>1.7950150924078943E-3</v>
      </c>
      <c r="Q1689" t="s">
        <v>159</v>
      </c>
    </row>
    <row r="1690" spans="9:17" x14ac:dyDescent="0.45">
      <c r="I1690" t="s">
        <v>194</v>
      </c>
      <c r="J1690" t="s">
        <v>318</v>
      </c>
      <c r="K1690">
        <v>1.544476965548901E-3</v>
      </c>
      <c r="L1690" t="s">
        <v>159</v>
      </c>
      <c r="N1690" t="s">
        <v>237</v>
      </c>
      <c r="O1690" t="s">
        <v>318</v>
      </c>
      <c r="P1690">
        <v>1.1483609695913206E-2</v>
      </c>
      <c r="Q1690" t="s">
        <v>159</v>
      </c>
    </row>
    <row r="1691" spans="9:17" x14ac:dyDescent="0.45">
      <c r="I1691" t="s">
        <v>195</v>
      </c>
      <c r="J1691" t="s">
        <v>158</v>
      </c>
      <c r="K1691">
        <v>1.8386249321436137E-3</v>
      </c>
      <c r="L1691" t="s">
        <v>159</v>
      </c>
      <c r="N1691" t="s">
        <v>238</v>
      </c>
      <c r="O1691" t="s">
        <v>158</v>
      </c>
      <c r="P1691">
        <v>0.15261132289222248</v>
      </c>
      <c r="Q1691" t="s">
        <v>159</v>
      </c>
    </row>
    <row r="1692" spans="9:17" x14ac:dyDescent="0.45">
      <c r="I1692" t="s">
        <v>195</v>
      </c>
      <c r="J1692" t="s">
        <v>160</v>
      </c>
      <c r="K1692">
        <v>1.4366360434725695E-2</v>
      </c>
      <c r="L1692" t="s">
        <v>159</v>
      </c>
      <c r="N1692" t="s">
        <v>238</v>
      </c>
      <c r="O1692" t="s">
        <v>160</v>
      </c>
      <c r="P1692">
        <v>1.6124576784146381E-2</v>
      </c>
      <c r="Q1692" t="s">
        <v>159</v>
      </c>
    </row>
    <row r="1693" spans="9:17" x14ac:dyDescent="0.45">
      <c r="I1693" t="s">
        <v>195</v>
      </c>
      <c r="J1693" t="s">
        <v>161</v>
      </c>
      <c r="K1693">
        <v>0.39852309851179563</v>
      </c>
      <c r="L1693" t="s">
        <v>159</v>
      </c>
      <c r="N1693" t="s">
        <v>238</v>
      </c>
      <c r="O1693" t="s">
        <v>161</v>
      </c>
      <c r="P1693">
        <v>0.12252386035810404</v>
      </c>
      <c r="Q1693" t="s">
        <v>159</v>
      </c>
    </row>
    <row r="1694" spans="9:17" x14ac:dyDescent="0.45">
      <c r="I1694" t="s">
        <v>195</v>
      </c>
      <c r="J1694" t="s">
        <v>287</v>
      </c>
      <c r="K1694">
        <v>3.184503781332236E-2</v>
      </c>
      <c r="L1694" t="s">
        <v>159</v>
      </c>
      <c r="N1694" t="s">
        <v>238</v>
      </c>
      <c r="O1694" t="s">
        <v>287</v>
      </c>
      <c r="P1694">
        <v>1.2995661493708809E-2</v>
      </c>
      <c r="Q1694" t="s">
        <v>159</v>
      </c>
    </row>
    <row r="1695" spans="9:17" x14ac:dyDescent="0.45">
      <c r="I1695" t="s">
        <v>195</v>
      </c>
      <c r="J1695" t="s">
        <v>288</v>
      </c>
      <c r="K1695">
        <v>1.4804622101144737E-2</v>
      </c>
      <c r="L1695" t="s">
        <v>159</v>
      </c>
      <c r="N1695" t="s">
        <v>238</v>
      </c>
      <c r="O1695" t="s">
        <v>288</v>
      </c>
      <c r="P1695">
        <v>1.4167688795096832E-2</v>
      </c>
      <c r="Q1695" t="s">
        <v>159</v>
      </c>
    </row>
    <row r="1696" spans="9:17" x14ac:dyDescent="0.45">
      <c r="I1696" t="s">
        <v>195</v>
      </c>
      <c r="J1696" t="s">
        <v>308</v>
      </c>
      <c r="K1696">
        <v>4.3661093529989842E-3</v>
      </c>
      <c r="L1696" t="s">
        <v>159</v>
      </c>
      <c r="N1696" t="s">
        <v>238</v>
      </c>
      <c r="O1696" t="s">
        <v>308</v>
      </c>
      <c r="P1696">
        <v>0.11192319425563303</v>
      </c>
      <c r="Q1696" t="s">
        <v>159</v>
      </c>
    </row>
    <row r="1697" spans="9:17" x14ac:dyDescent="0.45">
      <c r="I1697" t="s">
        <v>195</v>
      </c>
      <c r="J1697" t="s">
        <v>162</v>
      </c>
      <c r="K1697">
        <v>0</v>
      </c>
      <c r="L1697" t="s">
        <v>159</v>
      </c>
      <c r="N1697" t="s">
        <v>238</v>
      </c>
      <c r="O1697" t="s">
        <v>162</v>
      </c>
      <c r="P1697">
        <v>2.5161932643290495E-2</v>
      </c>
      <c r="Q1697" t="s">
        <v>159</v>
      </c>
    </row>
    <row r="1698" spans="9:17" x14ac:dyDescent="0.45">
      <c r="I1698" t="s">
        <v>195</v>
      </c>
      <c r="J1698" t="s">
        <v>163</v>
      </c>
      <c r="K1698">
        <v>0</v>
      </c>
      <c r="L1698" t="s">
        <v>159</v>
      </c>
      <c r="N1698" t="s">
        <v>238</v>
      </c>
      <c r="O1698" t="s">
        <v>163</v>
      </c>
      <c r="P1698">
        <v>3.6622662545476728E-3</v>
      </c>
      <c r="Q1698" t="s">
        <v>159</v>
      </c>
    </row>
    <row r="1699" spans="9:17" x14ac:dyDescent="0.45">
      <c r="I1699" t="s">
        <v>195</v>
      </c>
      <c r="J1699" t="s">
        <v>164</v>
      </c>
      <c r="K1699">
        <v>4.8124580598230556E-2</v>
      </c>
      <c r="L1699" t="s">
        <v>159</v>
      </c>
      <c r="N1699" t="s">
        <v>238</v>
      </c>
      <c r="O1699" t="s">
        <v>164</v>
      </c>
      <c r="P1699">
        <v>2.8257667309105297E-2</v>
      </c>
      <c r="Q1699" t="s">
        <v>159</v>
      </c>
    </row>
    <row r="1700" spans="9:17" x14ac:dyDescent="0.45">
      <c r="I1700" t="s">
        <v>195</v>
      </c>
      <c r="J1700" t="s">
        <v>289</v>
      </c>
      <c r="K1700">
        <v>4.0096093237786132E-3</v>
      </c>
      <c r="L1700" t="s">
        <v>159</v>
      </c>
      <c r="N1700" t="s">
        <v>238</v>
      </c>
      <c r="O1700" t="s">
        <v>289</v>
      </c>
      <c r="P1700">
        <v>2.8204830461490069E-3</v>
      </c>
      <c r="Q1700" t="s">
        <v>159</v>
      </c>
    </row>
    <row r="1701" spans="9:17" x14ac:dyDescent="0.45">
      <c r="I1701" t="s">
        <v>195</v>
      </c>
      <c r="J1701" t="s">
        <v>290</v>
      </c>
      <c r="K1701">
        <v>0</v>
      </c>
      <c r="L1701" t="s">
        <v>159</v>
      </c>
      <c r="N1701" t="s">
        <v>238</v>
      </c>
      <c r="O1701" t="s">
        <v>290</v>
      </c>
      <c r="P1701">
        <v>3.3428396994572428E-3</v>
      </c>
      <c r="Q1701" t="s">
        <v>159</v>
      </c>
    </row>
    <row r="1702" spans="9:17" x14ac:dyDescent="0.45">
      <c r="I1702" t="s">
        <v>195</v>
      </c>
      <c r="J1702" t="s">
        <v>309</v>
      </c>
      <c r="K1702">
        <v>0</v>
      </c>
      <c r="L1702" t="s">
        <v>159</v>
      </c>
      <c r="N1702" t="s">
        <v>238</v>
      </c>
      <c r="O1702" t="s">
        <v>309</v>
      </c>
      <c r="P1702">
        <v>2.0397272141136319E-2</v>
      </c>
      <c r="Q1702" t="s">
        <v>159</v>
      </c>
    </row>
    <row r="1703" spans="9:17" x14ac:dyDescent="0.45">
      <c r="I1703" t="s">
        <v>195</v>
      </c>
      <c r="J1703" t="s">
        <v>346</v>
      </c>
      <c r="K1703">
        <v>0</v>
      </c>
      <c r="L1703" t="s">
        <v>159</v>
      </c>
      <c r="N1703" t="s">
        <v>238</v>
      </c>
      <c r="O1703" t="s">
        <v>346</v>
      </c>
      <c r="P1703">
        <v>4.2119162451633947E-5</v>
      </c>
      <c r="Q1703" t="s">
        <v>159</v>
      </c>
    </row>
    <row r="1704" spans="9:17" x14ac:dyDescent="0.45">
      <c r="I1704" t="s">
        <v>195</v>
      </c>
      <c r="J1704" t="s">
        <v>347</v>
      </c>
      <c r="K1704">
        <v>0</v>
      </c>
      <c r="L1704" t="s">
        <v>159</v>
      </c>
      <c r="N1704" t="s">
        <v>238</v>
      </c>
      <c r="O1704" t="s">
        <v>347</v>
      </c>
      <c r="P1704">
        <v>3.591910143418451E-5</v>
      </c>
      <c r="Q1704" t="s">
        <v>159</v>
      </c>
    </row>
    <row r="1705" spans="9:17" x14ac:dyDescent="0.45">
      <c r="I1705" t="s">
        <v>195</v>
      </c>
      <c r="J1705" t="s">
        <v>348</v>
      </c>
      <c r="K1705">
        <v>0</v>
      </c>
      <c r="L1705" t="s">
        <v>159</v>
      </c>
      <c r="N1705" t="s">
        <v>238</v>
      </c>
      <c r="O1705" t="s">
        <v>348</v>
      </c>
      <c r="P1705">
        <v>3.6788369644132409E-5</v>
      </c>
      <c r="Q1705" t="s">
        <v>159</v>
      </c>
    </row>
    <row r="1706" spans="9:17" x14ac:dyDescent="0.45">
      <c r="I1706" t="s">
        <v>195</v>
      </c>
      <c r="J1706" t="s">
        <v>349</v>
      </c>
      <c r="K1706">
        <v>0</v>
      </c>
      <c r="L1706" t="s">
        <v>159</v>
      </c>
      <c r="N1706" t="s">
        <v>238</v>
      </c>
      <c r="O1706" t="s">
        <v>349</v>
      </c>
      <c r="P1706">
        <v>4.5963781088371269E-5</v>
      </c>
      <c r="Q1706" t="s">
        <v>159</v>
      </c>
    </row>
    <row r="1707" spans="9:17" x14ac:dyDescent="0.45">
      <c r="I1707" t="s">
        <v>195</v>
      </c>
      <c r="J1707" t="s">
        <v>350</v>
      </c>
      <c r="K1707">
        <v>0</v>
      </c>
      <c r="L1707" t="s">
        <v>159</v>
      </c>
      <c r="N1707" t="s">
        <v>238</v>
      </c>
      <c r="O1707" t="s">
        <v>350</v>
      </c>
      <c r="P1707">
        <v>5.760540374732461E-5</v>
      </c>
      <c r="Q1707" t="s">
        <v>159</v>
      </c>
    </row>
    <row r="1708" spans="9:17" x14ac:dyDescent="0.45">
      <c r="I1708" t="s">
        <v>195</v>
      </c>
      <c r="J1708" t="s">
        <v>351</v>
      </c>
      <c r="K1708">
        <v>0</v>
      </c>
      <c r="L1708" t="s">
        <v>159</v>
      </c>
      <c r="N1708" t="s">
        <v>238</v>
      </c>
      <c r="O1708" t="s">
        <v>351</v>
      </c>
      <c r="P1708">
        <v>6.2963033912120928E-5</v>
      </c>
      <c r="Q1708" t="s">
        <v>159</v>
      </c>
    </row>
    <row r="1709" spans="9:17" x14ac:dyDescent="0.45">
      <c r="I1709" t="s">
        <v>195</v>
      </c>
      <c r="J1709" t="s">
        <v>352</v>
      </c>
      <c r="K1709">
        <v>0</v>
      </c>
      <c r="L1709" t="s">
        <v>159</v>
      </c>
      <c r="N1709" t="s">
        <v>238</v>
      </c>
      <c r="O1709" t="s">
        <v>352</v>
      </c>
      <c r="P1709">
        <v>5.7120268773327002E-5</v>
      </c>
      <c r="Q1709" t="s">
        <v>159</v>
      </c>
    </row>
    <row r="1710" spans="9:17" x14ac:dyDescent="0.45">
      <c r="I1710" t="s">
        <v>195</v>
      </c>
      <c r="J1710" t="s">
        <v>353</v>
      </c>
      <c r="K1710">
        <v>0</v>
      </c>
      <c r="L1710" t="s">
        <v>159</v>
      </c>
      <c r="N1710" t="s">
        <v>238</v>
      </c>
      <c r="O1710" t="s">
        <v>353</v>
      </c>
      <c r="P1710">
        <v>4.6445656624457694E-5</v>
      </c>
      <c r="Q1710" t="s">
        <v>159</v>
      </c>
    </row>
    <row r="1711" spans="9:17" x14ac:dyDescent="0.45">
      <c r="I1711" t="s">
        <v>195</v>
      </c>
      <c r="J1711" t="s">
        <v>354</v>
      </c>
      <c r="K1711">
        <v>1.4637088086776534E-4</v>
      </c>
      <c r="L1711" t="s">
        <v>159</v>
      </c>
      <c r="N1711" t="s">
        <v>238</v>
      </c>
      <c r="O1711" t="s">
        <v>354</v>
      </c>
      <c r="P1711">
        <v>2.8212622152973817E-5</v>
      </c>
      <c r="Q1711" t="s">
        <v>159</v>
      </c>
    </row>
    <row r="1712" spans="9:17" x14ac:dyDescent="0.45">
      <c r="I1712" t="s">
        <v>195</v>
      </c>
      <c r="J1712" t="s">
        <v>355</v>
      </c>
      <c r="K1712">
        <v>1.9714007842721278E-4</v>
      </c>
      <c r="L1712" t="s">
        <v>159</v>
      </c>
      <c r="N1712" t="s">
        <v>238</v>
      </c>
      <c r="O1712" t="s">
        <v>355</v>
      </c>
      <c r="P1712">
        <v>7.4284458273026934E-6</v>
      </c>
      <c r="Q1712" t="s">
        <v>159</v>
      </c>
    </row>
    <row r="1713" spans="9:17" x14ac:dyDescent="0.45">
      <c r="I1713" t="s">
        <v>195</v>
      </c>
      <c r="J1713" t="s">
        <v>356</v>
      </c>
      <c r="K1713">
        <v>2.0762408398804398E-4</v>
      </c>
      <c r="L1713" t="s">
        <v>159</v>
      </c>
      <c r="N1713" t="s">
        <v>238</v>
      </c>
      <c r="O1713" t="s">
        <v>356</v>
      </c>
      <c r="P1713">
        <v>7.6613866322582509E-6</v>
      </c>
      <c r="Q1713" t="s">
        <v>159</v>
      </c>
    </row>
    <row r="1714" spans="9:17" x14ac:dyDescent="0.45">
      <c r="I1714" t="s">
        <v>195</v>
      </c>
      <c r="J1714" t="s">
        <v>357</v>
      </c>
      <c r="K1714">
        <v>2.1947997640361301E-4</v>
      </c>
      <c r="L1714" t="s">
        <v>159</v>
      </c>
      <c r="N1714" t="s">
        <v>238</v>
      </c>
      <c r="O1714" t="s">
        <v>357</v>
      </c>
      <c r="P1714">
        <v>1.4314754472307043E-5</v>
      </c>
      <c r="Q1714" t="s">
        <v>159</v>
      </c>
    </row>
    <row r="1715" spans="9:17" x14ac:dyDescent="0.45">
      <c r="I1715" t="s">
        <v>195</v>
      </c>
      <c r="J1715" t="s">
        <v>358</v>
      </c>
      <c r="K1715">
        <v>2.5999972774801741E-4</v>
      </c>
      <c r="L1715" t="s">
        <v>159</v>
      </c>
      <c r="N1715" t="s">
        <v>238</v>
      </c>
      <c r="O1715" t="s">
        <v>358</v>
      </c>
      <c r="P1715">
        <v>1.807633578042739E-5</v>
      </c>
      <c r="Q1715" t="s">
        <v>159</v>
      </c>
    </row>
    <row r="1716" spans="9:17" x14ac:dyDescent="0.45">
      <c r="I1716" t="s">
        <v>195</v>
      </c>
      <c r="J1716" t="s">
        <v>359</v>
      </c>
      <c r="K1716">
        <v>2.7031065241713047E-4</v>
      </c>
      <c r="L1716" t="s">
        <v>159</v>
      </c>
      <c r="N1716" t="s">
        <v>238</v>
      </c>
      <c r="O1716" t="s">
        <v>359</v>
      </c>
      <c r="P1716">
        <v>2.1322383044327366E-5</v>
      </c>
      <c r="Q1716" t="s">
        <v>159</v>
      </c>
    </row>
    <row r="1717" spans="9:17" x14ac:dyDescent="0.45">
      <c r="I1717" t="s">
        <v>195</v>
      </c>
      <c r="J1717" t="s">
        <v>360</v>
      </c>
      <c r="K1717">
        <v>2.1935770707218378E-4</v>
      </c>
      <c r="L1717" t="s">
        <v>159</v>
      </c>
      <c r="N1717" t="s">
        <v>238</v>
      </c>
      <c r="O1717" t="s">
        <v>360</v>
      </c>
      <c r="P1717">
        <v>1.6485785633883902E-5</v>
      </c>
      <c r="Q1717" t="s">
        <v>159</v>
      </c>
    </row>
    <row r="1718" spans="9:17" x14ac:dyDescent="0.45">
      <c r="I1718" t="s">
        <v>195</v>
      </c>
      <c r="J1718" t="s">
        <v>361</v>
      </c>
      <c r="K1718">
        <v>2.0573985669377032E-4</v>
      </c>
      <c r="L1718" t="s">
        <v>159</v>
      </c>
      <c r="N1718" t="s">
        <v>238</v>
      </c>
      <c r="O1718" t="s">
        <v>361</v>
      </c>
      <c r="P1718">
        <v>1.0765981338471379E-5</v>
      </c>
      <c r="Q1718" t="s">
        <v>159</v>
      </c>
    </row>
    <row r="1719" spans="9:17" x14ac:dyDescent="0.45">
      <c r="I1719" t="s">
        <v>195</v>
      </c>
      <c r="J1719" t="s">
        <v>362</v>
      </c>
      <c r="K1719">
        <v>2.0730206963705887E-4</v>
      </c>
      <c r="L1719" t="s">
        <v>159</v>
      </c>
      <c r="N1719" t="s">
        <v>238</v>
      </c>
      <c r="O1719" t="s">
        <v>362</v>
      </c>
      <c r="P1719">
        <v>3.4981141835080757E-6</v>
      </c>
      <c r="Q1719" t="s">
        <v>159</v>
      </c>
    </row>
    <row r="1720" spans="9:17" x14ac:dyDescent="0.45">
      <c r="I1720" t="s">
        <v>195</v>
      </c>
      <c r="J1720" t="s">
        <v>363</v>
      </c>
      <c r="K1720">
        <v>1.7004592429155133E-4</v>
      </c>
      <c r="L1720" t="s">
        <v>159</v>
      </c>
      <c r="N1720" t="s">
        <v>238</v>
      </c>
      <c r="O1720" t="s">
        <v>363</v>
      </c>
      <c r="P1720">
        <v>5.0392745476078548E-6</v>
      </c>
      <c r="Q1720" t="s">
        <v>159</v>
      </c>
    </row>
    <row r="1721" spans="9:17" x14ac:dyDescent="0.45">
      <c r="I1721" t="s">
        <v>195</v>
      </c>
      <c r="J1721" t="s">
        <v>364</v>
      </c>
      <c r="K1721">
        <v>0</v>
      </c>
      <c r="L1721" t="s">
        <v>159</v>
      </c>
      <c r="N1721" t="s">
        <v>238</v>
      </c>
      <c r="O1721" t="s">
        <v>364</v>
      </c>
      <c r="P1721">
        <v>9.8925415166434342E-6</v>
      </c>
      <c r="Q1721" t="s">
        <v>159</v>
      </c>
    </row>
    <row r="1722" spans="9:17" x14ac:dyDescent="0.45">
      <c r="I1722" t="s">
        <v>195</v>
      </c>
      <c r="J1722" t="s">
        <v>365</v>
      </c>
      <c r="K1722">
        <v>0</v>
      </c>
      <c r="L1722" t="s">
        <v>159</v>
      </c>
      <c r="N1722" t="s">
        <v>238</v>
      </c>
      <c r="O1722" t="s">
        <v>365</v>
      </c>
      <c r="P1722">
        <v>1.3656131016390624E-5</v>
      </c>
      <c r="Q1722" t="s">
        <v>159</v>
      </c>
    </row>
    <row r="1723" spans="9:17" x14ac:dyDescent="0.45">
      <c r="I1723" t="s">
        <v>195</v>
      </c>
      <c r="J1723" t="s">
        <v>366</v>
      </c>
      <c r="K1723">
        <v>0</v>
      </c>
      <c r="L1723" t="s">
        <v>159</v>
      </c>
      <c r="N1723" t="s">
        <v>238</v>
      </c>
      <c r="O1723" t="s">
        <v>366</v>
      </c>
      <c r="P1723">
        <v>1.4541624873130035E-5</v>
      </c>
      <c r="Q1723" t="s">
        <v>159</v>
      </c>
    </row>
    <row r="1724" spans="9:17" x14ac:dyDescent="0.45">
      <c r="I1724" t="s">
        <v>195</v>
      </c>
      <c r="J1724" t="s">
        <v>367</v>
      </c>
      <c r="K1724">
        <v>0</v>
      </c>
      <c r="L1724" t="s">
        <v>159</v>
      </c>
      <c r="N1724" t="s">
        <v>238</v>
      </c>
      <c r="O1724" t="s">
        <v>367</v>
      </c>
      <c r="P1724">
        <v>1.7754849694780465E-5</v>
      </c>
      <c r="Q1724" t="s">
        <v>159</v>
      </c>
    </row>
    <row r="1725" spans="9:17" x14ac:dyDescent="0.45">
      <c r="I1725" t="s">
        <v>195</v>
      </c>
      <c r="J1725" t="s">
        <v>368</v>
      </c>
      <c r="K1725">
        <v>0</v>
      </c>
      <c r="L1725" t="s">
        <v>159</v>
      </c>
      <c r="N1725" t="s">
        <v>238</v>
      </c>
      <c r="O1725" t="s">
        <v>368</v>
      </c>
      <c r="P1725">
        <v>2.0338792446804476E-5</v>
      </c>
      <c r="Q1725" t="s">
        <v>159</v>
      </c>
    </row>
    <row r="1726" spans="9:17" x14ac:dyDescent="0.45">
      <c r="I1726" t="s">
        <v>195</v>
      </c>
      <c r="J1726" t="s">
        <v>369</v>
      </c>
      <c r="K1726">
        <v>0</v>
      </c>
      <c r="L1726" t="s">
        <v>159</v>
      </c>
      <c r="N1726" t="s">
        <v>238</v>
      </c>
      <c r="O1726" t="s">
        <v>369</v>
      </c>
      <c r="P1726">
        <v>1.1119587002025202E-5</v>
      </c>
      <c r="Q1726" t="s">
        <v>159</v>
      </c>
    </row>
    <row r="1727" spans="9:17" x14ac:dyDescent="0.45">
      <c r="I1727" t="s">
        <v>195</v>
      </c>
      <c r="J1727" t="s">
        <v>165</v>
      </c>
      <c r="K1727">
        <v>0</v>
      </c>
      <c r="L1727" t="s">
        <v>159</v>
      </c>
      <c r="N1727" t="s">
        <v>238</v>
      </c>
      <c r="O1727" t="s">
        <v>165</v>
      </c>
      <c r="P1727">
        <v>2.4982748338918764E-2</v>
      </c>
      <c r="Q1727" t="s">
        <v>159</v>
      </c>
    </row>
    <row r="1728" spans="9:17" x14ac:dyDescent="0.45">
      <c r="I1728" t="s">
        <v>195</v>
      </c>
      <c r="J1728" t="s">
        <v>166</v>
      </c>
      <c r="K1728">
        <v>6.1474104006414651E-6</v>
      </c>
      <c r="L1728" t="s">
        <v>159</v>
      </c>
      <c r="N1728" t="s">
        <v>238</v>
      </c>
      <c r="O1728" t="s">
        <v>166</v>
      </c>
      <c r="P1728">
        <v>3.0671845515104494E-3</v>
      </c>
      <c r="Q1728" t="s">
        <v>159</v>
      </c>
    </row>
    <row r="1729" spans="9:17" x14ac:dyDescent="0.45">
      <c r="I1729" t="s">
        <v>195</v>
      </c>
      <c r="J1729" t="s">
        <v>167</v>
      </c>
      <c r="K1729">
        <v>6.8502013240732754E-2</v>
      </c>
      <c r="L1729" t="s">
        <v>159</v>
      </c>
      <c r="N1729" t="s">
        <v>238</v>
      </c>
      <c r="O1729" t="s">
        <v>167</v>
      </c>
      <c r="P1729">
        <v>2.7064073435720988E-2</v>
      </c>
      <c r="Q1729" t="s">
        <v>159</v>
      </c>
    </row>
    <row r="1730" spans="9:17" x14ac:dyDescent="0.45">
      <c r="I1730" t="s">
        <v>195</v>
      </c>
      <c r="J1730" t="s">
        <v>291</v>
      </c>
      <c r="K1730">
        <v>6.1571828374711608E-3</v>
      </c>
      <c r="L1730" t="s">
        <v>159</v>
      </c>
      <c r="N1730" t="s">
        <v>238</v>
      </c>
      <c r="O1730" t="s">
        <v>291</v>
      </c>
      <c r="P1730">
        <v>3.0731743673062736E-3</v>
      </c>
      <c r="Q1730" t="s">
        <v>159</v>
      </c>
    </row>
    <row r="1731" spans="9:17" x14ac:dyDescent="0.45">
      <c r="I1731" t="s">
        <v>195</v>
      </c>
      <c r="J1731" t="s">
        <v>292</v>
      </c>
      <c r="K1731">
        <v>2.2087766101491207E-4</v>
      </c>
      <c r="L1731" t="s">
        <v>159</v>
      </c>
      <c r="N1731" t="s">
        <v>238</v>
      </c>
      <c r="O1731" t="s">
        <v>292</v>
      </c>
      <c r="P1731">
        <v>3.4777549891446468E-3</v>
      </c>
      <c r="Q1731" t="s">
        <v>159</v>
      </c>
    </row>
    <row r="1732" spans="9:17" x14ac:dyDescent="0.45">
      <c r="I1732" t="s">
        <v>195</v>
      </c>
      <c r="J1732" t="s">
        <v>310</v>
      </c>
      <c r="K1732">
        <v>0</v>
      </c>
      <c r="L1732" t="s">
        <v>159</v>
      </c>
      <c r="N1732" t="s">
        <v>238</v>
      </c>
      <c r="O1732" t="s">
        <v>310</v>
      </c>
      <c r="P1732">
        <v>2.1879419669594533E-2</v>
      </c>
      <c r="Q1732" t="s">
        <v>159</v>
      </c>
    </row>
    <row r="1733" spans="9:17" x14ac:dyDescent="0.45">
      <c r="I1733" t="s">
        <v>195</v>
      </c>
      <c r="J1733" t="s">
        <v>293</v>
      </c>
      <c r="K1733">
        <v>0</v>
      </c>
      <c r="L1733" t="s">
        <v>159</v>
      </c>
      <c r="N1733" t="s">
        <v>238</v>
      </c>
      <c r="O1733" t="s">
        <v>293</v>
      </c>
      <c r="P1733">
        <v>1.0854855831033407E-2</v>
      </c>
      <c r="Q1733" t="s">
        <v>159</v>
      </c>
    </row>
    <row r="1734" spans="9:17" x14ac:dyDescent="0.45">
      <c r="I1734" t="s">
        <v>195</v>
      </c>
      <c r="J1734" t="s">
        <v>294</v>
      </c>
      <c r="K1734">
        <v>8.5768088003590525E-4</v>
      </c>
      <c r="L1734" t="s">
        <v>159</v>
      </c>
      <c r="N1734" t="s">
        <v>238</v>
      </c>
      <c r="O1734" t="s">
        <v>294</v>
      </c>
      <c r="P1734">
        <v>1.3481823988086233E-3</v>
      </c>
      <c r="Q1734" t="s">
        <v>159</v>
      </c>
    </row>
    <row r="1735" spans="9:17" x14ac:dyDescent="0.45">
      <c r="I1735" t="s">
        <v>195</v>
      </c>
      <c r="J1735" t="s">
        <v>295</v>
      </c>
      <c r="K1735">
        <v>1.7413969287236875E-2</v>
      </c>
      <c r="L1735" t="s">
        <v>159</v>
      </c>
      <c r="N1735" t="s">
        <v>238</v>
      </c>
      <c r="O1735" t="s">
        <v>295</v>
      </c>
      <c r="P1735">
        <v>1.0973915290955391E-2</v>
      </c>
      <c r="Q1735" t="s">
        <v>159</v>
      </c>
    </row>
    <row r="1736" spans="9:17" x14ac:dyDescent="0.45">
      <c r="I1736" t="s">
        <v>195</v>
      </c>
      <c r="J1736" t="s">
        <v>296</v>
      </c>
      <c r="K1736">
        <v>1.5005687636344385E-3</v>
      </c>
      <c r="L1736" t="s">
        <v>159</v>
      </c>
      <c r="N1736" t="s">
        <v>238</v>
      </c>
      <c r="O1736" t="s">
        <v>296</v>
      </c>
      <c r="P1736">
        <v>8.1202379003550494E-4</v>
      </c>
      <c r="Q1736" t="s">
        <v>159</v>
      </c>
    </row>
    <row r="1737" spans="9:17" x14ac:dyDescent="0.45">
      <c r="I1737" t="s">
        <v>195</v>
      </c>
      <c r="J1737" t="s">
        <v>297</v>
      </c>
      <c r="K1737">
        <v>1.1412372595299581E-3</v>
      </c>
      <c r="L1737" t="s">
        <v>159</v>
      </c>
      <c r="N1737" t="s">
        <v>238</v>
      </c>
      <c r="O1737" t="s">
        <v>297</v>
      </c>
      <c r="P1737">
        <v>8.0330870183604498E-4</v>
      </c>
      <c r="Q1737" t="s">
        <v>159</v>
      </c>
    </row>
    <row r="1738" spans="9:17" x14ac:dyDescent="0.45">
      <c r="I1738" t="s">
        <v>195</v>
      </c>
      <c r="J1738" t="s">
        <v>311</v>
      </c>
      <c r="K1738">
        <v>0</v>
      </c>
      <c r="L1738" t="s">
        <v>159</v>
      </c>
      <c r="N1738" t="s">
        <v>238</v>
      </c>
      <c r="O1738" t="s">
        <v>311</v>
      </c>
      <c r="P1738">
        <v>6.1671372841136211E-3</v>
      </c>
      <c r="Q1738" t="s">
        <v>159</v>
      </c>
    </row>
    <row r="1739" spans="9:17" x14ac:dyDescent="0.45">
      <c r="I1739" t="s">
        <v>195</v>
      </c>
      <c r="J1739" t="s">
        <v>298</v>
      </c>
      <c r="K1739">
        <v>4.0583970185494407E-3</v>
      </c>
      <c r="L1739" t="s">
        <v>159</v>
      </c>
      <c r="N1739" t="s">
        <v>238</v>
      </c>
      <c r="O1739" t="s">
        <v>298</v>
      </c>
      <c r="P1739">
        <v>8.5322637313787808E-2</v>
      </c>
      <c r="Q1739" t="s">
        <v>159</v>
      </c>
    </row>
    <row r="1740" spans="9:17" x14ac:dyDescent="0.45">
      <c r="I1740" t="s">
        <v>195</v>
      </c>
      <c r="J1740" t="s">
        <v>299</v>
      </c>
      <c r="K1740">
        <v>1.523949345280437E-2</v>
      </c>
      <c r="L1740" t="s">
        <v>159</v>
      </c>
      <c r="N1740" t="s">
        <v>238</v>
      </c>
      <c r="O1740" t="s">
        <v>299</v>
      </c>
      <c r="P1740">
        <v>8.4210879541220737E-3</v>
      </c>
      <c r="Q1740" t="s">
        <v>159</v>
      </c>
    </row>
    <row r="1741" spans="9:17" x14ac:dyDescent="0.45">
      <c r="I1741" t="s">
        <v>195</v>
      </c>
      <c r="J1741" t="s">
        <v>300</v>
      </c>
      <c r="K1741">
        <v>0.24488248613182187</v>
      </c>
      <c r="L1741" t="s">
        <v>159</v>
      </c>
      <c r="N1741" t="s">
        <v>238</v>
      </c>
      <c r="O1741" t="s">
        <v>300</v>
      </c>
      <c r="P1741">
        <v>0.10233909326202546</v>
      </c>
      <c r="Q1741" t="s">
        <v>159</v>
      </c>
    </row>
    <row r="1742" spans="9:17" x14ac:dyDescent="0.45">
      <c r="I1742" t="s">
        <v>195</v>
      </c>
      <c r="J1742" t="s">
        <v>301</v>
      </c>
      <c r="K1742">
        <v>1.8500219975349425E-2</v>
      </c>
      <c r="L1742" t="s">
        <v>159</v>
      </c>
      <c r="N1742" t="s">
        <v>238</v>
      </c>
      <c r="O1742" t="s">
        <v>301</v>
      </c>
      <c r="P1742">
        <v>1.3003111508048433E-2</v>
      </c>
      <c r="Q1742" t="s">
        <v>159</v>
      </c>
    </row>
    <row r="1743" spans="9:17" x14ac:dyDescent="0.45">
      <c r="I1743" t="s">
        <v>195</v>
      </c>
      <c r="J1743" t="s">
        <v>302</v>
      </c>
      <c r="K1743">
        <v>1.1778893828134117E-2</v>
      </c>
      <c r="L1743" t="s">
        <v>159</v>
      </c>
      <c r="N1743" t="s">
        <v>238</v>
      </c>
      <c r="O1743" t="s">
        <v>302</v>
      </c>
      <c r="P1743">
        <v>1.346359315517778E-2</v>
      </c>
      <c r="Q1743" t="s">
        <v>159</v>
      </c>
    </row>
    <row r="1744" spans="9:17" x14ac:dyDescent="0.45">
      <c r="I1744" t="s">
        <v>195</v>
      </c>
      <c r="J1744" t="s">
        <v>312</v>
      </c>
      <c r="K1744">
        <v>2.9749298362287315E-4</v>
      </c>
      <c r="L1744" t="s">
        <v>159</v>
      </c>
      <c r="N1744" t="s">
        <v>238</v>
      </c>
      <c r="O1744" t="s">
        <v>312</v>
      </c>
      <c r="P1744">
        <v>7.926668522810966E-2</v>
      </c>
      <c r="Q1744" t="s">
        <v>159</v>
      </c>
    </row>
    <row r="1745" spans="9:17" x14ac:dyDescent="0.45">
      <c r="I1745" t="s">
        <v>195</v>
      </c>
      <c r="J1745" t="s">
        <v>313</v>
      </c>
      <c r="K1745">
        <v>1.896284611903916E-3</v>
      </c>
      <c r="L1745" t="s">
        <v>159</v>
      </c>
      <c r="N1745" t="s">
        <v>238</v>
      </c>
      <c r="O1745" t="s">
        <v>313</v>
      </c>
      <c r="P1745">
        <v>2.1850345301369565E-2</v>
      </c>
      <c r="Q1745" t="s">
        <v>159</v>
      </c>
    </row>
    <row r="1746" spans="9:17" x14ac:dyDescent="0.45">
      <c r="I1746" t="s">
        <v>195</v>
      </c>
      <c r="J1746" t="s">
        <v>314</v>
      </c>
      <c r="K1746">
        <v>4.0281172505274195E-3</v>
      </c>
      <c r="L1746" t="s">
        <v>159</v>
      </c>
      <c r="N1746" t="s">
        <v>238</v>
      </c>
      <c r="O1746" t="s">
        <v>314</v>
      </c>
      <c r="P1746">
        <v>1.8449523381300758E-3</v>
      </c>
      <c r="Q1746" t="s">
        <v>159</v>
      </c>
    </row>
    <row r="1747" spans="9:17" x14ac:dyDescent="0.45">
      <c r="I1747" t="s">
        <v>195</v>
      </c>
      <c r="J1747" t="s">
        <v>315</v>
      </c>
      <c r="K1747">
        <v>7.4364319072806426E-2</v>
      </c>
      <c r="L1747" t="s">
        <v>159</v>
      </c>
      <c r="N1747" t="s">
        <v>238</v>
      </c>
      <c r="O1747" t="s">
        <v>315</v>
      </c>
      <c r="P1747">
        <v>1.7841372608262723E-2</v>
      </c>
      <c r="Q1747" t="s">
        <v>159</v>
      </c>
    </row>
    <row r="1748" spans="9:17" x14ac:dyDescent="0.45">
      <c r="I1748" t="s">
        <v>195</v>
      </c>
      <c r="J1748" t="s">
        <v>316</v>
      </c>
      <c r="K1748">
        <v>4.5911304176744381E-3</v>
      </c>
      <c r="L1748" t="s">
        <v>159</v>
      </c>
      <c r="N1748" t="s">
        <v>238</v>
      </c>
      <c r="O1748" t="s">
        <v>316</v>
      </c>
      <c r="P1748">
        <v>2.7222099327366064E-3</v>
      </c>
      <c r="Q1748" t="s">
        <v>159</v>
      </c>
    </row>
    <row r="1749" spans="9:17" x14ac:dyDescent="0.45">
      <c r="I1749" t="s">
        <v>195</v>
      </c>
      <c r="J1749" t="s">
        <v>317</v>
      </c>
      <c r="K1749">
        <v>3.0399857291813453E-3</v>
      </c>
      <c r="L1749" t="s">
        <v>159</v>
      </c>
      <c r="N1749" t="s">
        <v>238</v>
      </c>
      <c r="O1749" t="s">
        <v>317</v>
      </c>
      <c r="P1749">
        <v>2.7199992694406415E-3</v>
      </c>
      <c r="Q1749" t="s">
        <v>159</v>
      </c>
    </row>
    <row r="1750" spans="9:17" x14ac:dyDescent="0.45">
      <c r="I1750" t="s">
        <v>195</v>
      </c>
      <c r="J1750" t="s">
        <v>318</v>
      </c>
      <c r="K1750">
        <v>1.542088161880457E-3</v>
      </c>
      <c r="L1750" t="s">
        <v>159</v>
      </c>
      <c r="N1750" t="s">
        <v>238</v>
      </c>
      <c r="O1750" t="s">
        <v>318</v>
      </c>
      <c r="P1750">
        <v>2.2107334419373292E-2</v>
      </c>
      <c r="Q1750" t="s">
        <v>159</v>
      </c>
    </row>
    <row r="1751" spans="9:17" x14ac:dyDescent="0.45">
      <c r="I1751" t="s">
        <v>196</v>
      </c>
      <c r="J1751" t="s">
        <v>158</v>
      </c>
      <c r="K1751">
        <v>1.4011736761520702E-3</v>
      </c>
      <c r="L1751" t="s">
        <v>159</v>
      </c>
      <c r="N1751" t="s">
        <v>239</v>
      </c>
      <c r="O1751" t="s">
        <v>158</v>
      </c>
      <c r="P1751">
        <v>0.13183328589804105</v>
      </c>
      <c r="Q1751" t="s">
        <v>159</v>
      </c>
    </row>
    <row r="1752" spans="9:17" x14ac:dyDescent="0.45">
      <c r="I1752" t="s">
        <v>196</v>
      </c>
      <c r="J1752" t="s">
        <v>160</v>
      </c>
      <c r="K1752">
        <v>1.4132730334304094E-2</v>
      </c>
      <c r="L1752" t="s">
        <v>159</v>
      </c>
      <c r="N1752" t="s">
        <v>239</v>
      </c>
      <c r="O1752" t="s">
        <v>160</v>
      </c>
      <c r="P1752">
        <v>1.6886489068172646E-2</v>
      </c>
      <c r="Q1752" t="s">
        <v>159</v>
      </c>
    </row>
    <row r="1753" spans="9:17" x14ac:dyDescent="0.45">
      <c r="I1753" t="s">
        <v>196</v>
      </c>
      <c r="J1753" t="s">
        <v>161</v>
      </c>
      <c r="K1753">
        <v>0.40448070094829947</v>
      </c>
      <c r="L1753" t="s">
        <v>159</v>
      </c>
      <c r="N1753" t="s">
        <v>239</v>
      </c>
      <c r="O1753" t="s">
        <v>161</v>
      </c>
      <c r="P1753">
        <v>0.13239682569818695</v>
      </c>
      <c r="Q1753" t="s">
        <v>159</v>
      </c>
    </row>
    <row r="1754" spans="9:17" x14ac:dyDescent="0.45">
      <c r="I1754" t="s">
        <v>196</v>
      </c>
      <c r="J1754" t="s">
        <v>287</v>
      </c>
      <c r="K1754">
        <v>3.348677814854055E-2</v>
      </c>
      <c r="L1754" t="s">
        <v>159</v>
      </c>
      <c r="N1754" t="s">
        <v>239</v>
      </c>
      <c r="O1754" t="s">
        <v>287</v>
      </c>
      <c r="P1754">
        <v>1.349440877832853E-2</v>
      </c>
      <c r="Q1754" t="s">
        <v>159</v>
      </c>
    </row>
    <row r="1755" spans="9:17" x14ac:dyDescent="0.45">
      <c r="I1755" t="s">
        <v>196</v>
      </c>
      <c r="J1755" t="s">
        <v>288</v>
      </c>
      <c r="K1755">
        <v>1.6059162652008845E-2</v>
      </c>
      <c r="L1755" t="s">
        <v>159</v>
      </c>
      <c r="N1755" t="s">
        <v>239</v>
      </c>
      <c r="O1755" t="s">
        <v>288</v>
      </c>
      <c r="P1755">
        <v>1.3216152881597512E-2</v>
      </c>
      <c r="Q1755" t="s">
        <v>159</v>
      </c>
    </row>
    <row r="1756" spans="9:17" x14ac:dyDescent="0.45">
      <c r="I1756" t="s">
        <v>196</v>
      </c>
      <c r="J1756" t="s">
        <v>308</v>
      </c>
      <c r="K1756">
        <v>4.2988725822617046E-3</v>
      </c>
      <c r="L1756" t="s">
        <v>159</v>
      </c>
      <c r="N1756" t="s">
        <v>239</v>
      </c>
      <c r="O1756" t="s">
        <v>308</v>
      </c>
      <c r="P1756">
        <v>9.2049131128418865E-2</v>
      </c>
      <c r="Q1756" t="s">
        <v>159</v>
      </c>
    </row>
    <row r="1757" spans="9:17" x14ac:dyDescent="0.45">
      <c r="I1757" t="s">
        <v>196</v>
      </c>
      <c r="J1757" t="s">
        <v>162</v>
      </c>
      <c r="K1757">
        <v>0</v>
      </c>
      <c r="L1757" t="s">
        <v>159</v>
      </c>
      <c r="N1757" t="s">
        <v>239</v>
      </c>
      <c r="O1757" t="s">
        <v>162</v>
      </c>
      <c r="P1757">
        <v>2.764521963388181E-2</v>
      </c>
      <c r="Q1757" t="s">
        <v>159</v>
      </c>
    </row>
    <row r="1758" spans="9:17" x14ac:dyDescent="0.45">
      <c r="I1758" t="s">
        <v>196</v>
      </c>
      <c r="J1758" t="s">
        <v>163</v>
      </c>
      <c r="K1758">
        <v>0</v>
      </c>
      <c r="L1758" t="s">
        <v>159</v>
      </c>
      <c r="N1758" t="s">
        <v>239</v>
      </c>
      <c r="O1758" t="s">
        <v>163</v>
      </c>
      <c r="P1758">
        <v>4.0151175289475831E-3</v>
      </c>
      <c r="Q1758" t="s">
        <v>159</v>
      </c>
    </row>
    <row r="1759" spans="9:17" x14ac:dyDescent="0.45">
      <c r="I1759" t="s">
        <v>196</v>
      </c>
      <c r="J1759" t="s">
        <v>164</v>
      </c>
      <c r="K1759">
        <v>5.0966536805118881E-2</v>
      </c>
      <c r="L1759" t="s">
        <v>159</v>
      </c>
      <c r="N1759" t="s">
        <v>239</v>
      </c>
      <c r="O1759" t="s">
        <v>164</v>
      </c>
      <c r="P1759">
        <v>3.1814384148277391E-2</v>
      </c>
      <c r="Q1759" t="s">
        <v>159</v>
      </c>
    </row>
    <row r="1760" spans="9:17" x14ac:dyDescent="0.45">
      <c r="I1760" t="s">
        <v>196</v>
      </c>
      <c r="J1760" t="s">
        <v>289</v>
      </c>
      <c r="K1760">
        <v>4.1031893757419516E-3</v>
      </c>
      <c r="L1760" t="s">
        <v>159</v>
      </c>
      <c r="N1760" t="s">
        <v>239</v>
      </c>
      <c r="O1760" t="s">
        <v>289</v>
      </c>
      <c r="P1760">
        <v>3.047677954574687E-3</v>
      </c>
      <c r="Q1760" t="s">
        <v>159</v>
      </c>
    </row>
    <row r="1761" spans="9:17" x14ac:dyDescent="0.45">
      <c r="I1761" t="s">
        <v>196</v>
      </c>
      <c r="J1761" t="s">
        <v>290</v>
      </c>
      <c r="K1761">
        <v>0</v>
      </c>
      <c r="L1761" t="s">
        <v>159</v>
      </c>
      <c r="N1761" t="s">
        <v>239</v>
      </c>
      <c r="O1761" t="s">
        <v>290</v>
      </c>
      <c r="P1761">
        <v>2.9519572182102279E-3</v>
      </c>
      <c r="Q1761" t="s">
        <v>159</v>
      </c>
    </row>
    <row r="1762" spans="9:17" x14ac:dyDescent="0.45">
      <c r="I1762" t="s">
        <v>196</v>
      </c>
      <c r="J1762" t="s">
        <v>309</v>
      </c>
      <c r="K1762">
        <v>0</v>
      </c>
      <c r="L1762" t="s">
        <v>159</v>
      </c>
      <c r="N1762" t="s">
        <v>239</v>
      </c>
      <c r="O1762" t="s">
        <v>309</v>
      </c>
      <c r="P1762">
        <v>1.9463701367976417E-2</v>
      </c>
      <c r="Q1762" t="s">
        <v>159</v>
      </c>
    </row>
    <row r="1763" spans="9:17" x14ac:dyDescent="0.45">
      <c r="I1763" t="s">
        <v>196</v>
      </c>
      <c r="J1763" t="s">
        <v>346</v>
      </c>
      <c r="K1763">
        <v>0</v>
      </c>
      <c r="L1763" t="s">
        <v>159</v>
      </c>
      <c r="N1763" t="s">
        <v>239</v>
      </c>
      <c r="O1763" t="s">
        <v>346</v>
      </c>
      <c r="P1763">
        <v>6.5294762463394114E-5</v>
      </c>
      <c r="Q1763" t="s">
        <v>159</v>
      </c>
    </row>
    <row r="1764" spans="9:17" x14ac:dyDescent="0.45">
      <c r="I1764" t="s">
        <v>196</v>
      </c>
      <c r="J1764" t="s">
        <v>347</v>
      </c>
      <c r="K1764">
        <v>0</v>
      </c>
      <c r="L1764" t="s">
        <v>159</v>
      </c>
      <c r="N1764" t="s">
        <v>239</v>
      </c>
      <c r="O1764" t="s">
        <v>347</v>
      </c>
      <c r="P1764">
        <v>6.4242680402238091E-5</v>
      </c>
      <c r="Q1764" t="s">
        <v>159</v>
      </c>
    </row>
    <row r="1765" spans="9:17" x14ac:dyDescent="0.45">
      <c r="I1765" t="s">
        <v>196</v>
      </c>
      <c r="J1765" t="s">
        <v>348</v>
      </c>
      <c r="K1765">
        <v>0</v>
      </c>
      <c r="L1765" t="s">
        <v>159</v>
      </c>
      <c r="N1765" t="s">
        <v>239</v>
      </c>
      <c r="O1765" t="s">
        <v>348</v>
      </c>
      <c r="P1765">
        <v>6.1995227350963094E-5</v>
      </c>
      <c r="Q1765" t="s">
        <v>159</v>
      </c>
    </row>
    <row r="1766" spans="9:17" x14ac:dyDescent="0.45">
      <c r="I1766" t="s">
        <v>196</v>
      </c>
      <c r="J1766" t="s">
        <v>349</v>
      </c>
      <c r="K1766">
        <v>0</v>
      </c>
      <c r="L1766" t="s">
        <v>159</v>
      </c>
      <c r="N1766" t="s">
        <v>239</v>
      </c>
      <c r="O1766" t="s">
        <v>349</v>
      </c>
      <c r="P1766">
        <v>6.1253332242146736E-5</v>
      </c>
      <c r="Q1766" t="s">
        <v>159</v>
      </c>
    </row>
    <row r="1767" spans="9:17" x14ac:dyDescent="0.45">
      <c r="I1767" t="s">
        <v>196</v>
      </c>
      <c r="J1767" t="s">
        <v>350</v>
      </c>
      <c r="K1767">
        <v>0</v>
      </c>
      <c r="L1767" t="s">
        <v>159</v>
      </c>
      <c r="N1767" t="s">
        <v>239</v>
      </c>
      <c r="O1767" t="s">
        <v>350</v>
      </c>
      <c r="P1767">
        <v>6.8341093292551976E-5</v>
      </c>
      <c r="Q1767" t="s">
        <v>159</v>
      </c>
    </row>
    <row r="1768" spans="9:17" x14ac:dyDescent="0.45">
      <c r="I1768" t="s">
        <v>196</v>
      </c>
      <c r="J1768" t="s">
        <v>351</v>
      </c>
      <c r="K1768">
        <v>0</v>
      </c>
      <c r="L1768" t="s">
        <v>159</v>
      </c>
      <c r="N1768" t="s">
        <v>239</v>
      </c>
      <c r="O1768" t="s">
        <v>351</v>
      </c>
      <c r="P1768">
        <v>7.997076066372299E-5</v>
      </c>
      <c r="Q1768" t="s">
        <v>159</v>
      </c>
    </row>
    <row r="1769" spans="9:17" x14ac:dyDescent="0.45">
      <c r="I1769" t="s">
        <v>196</v>
      </c>
      <c r="J1769" t="s">
        <v>352</v>
      </c>
      <c r="K1769">
        <v>0</v>
      </c>
      <c r="L1769" t="s">
        <v>159</v>
      </c>
      <c r="N1769" t="s">
        <v>239</v>
      </c>
      <c r="O1769" t="s">
        <v>352</v>
      </c>
      <c r="P1769">
        <v>8.77395345585895E-5</v>
      </c>
      <c r="Q1769" t="s">
        <v>159</v>
      </c>
    </row>
    <row r="1770" spans="9:17" x14ac:dyDescent="0.45">
      <c r="I1770" t="s">
        <v>196</v>
      </c>
      <c r="J1770" t="s">
        <v>353</v>
      </c>
      <c r="K1770">
        <v>0</v>
      </c>
      <c r="L1770" t="s">
        <v>159</v>
      </c>
      <c r="N1770" t="s">
        <v>239</v>
      </c>
      <c r="O1770" t="s">
        <v>353</v>
      </c>
      <c r="P1770">
        <v>8.4865824522871848E-5</v>
      </c>
      <c r="Q1770" t="s">
        <v>159</v>
      </c>
    </row>
    <row r="1771" spans="9:17" x14ac:dyDescent="0.45">
      <c r="I1771" t="s">
        <v>196</v>
      </c>
      <c r="J1771" t="s">
        <v>354</v>
      </c>
      <c r="K1771">
        <v>7.3969654076487507E-5</v>
      </c>
      <c r="L1771" t="s">
        <v>159</v>
      </c>
      <c r="N1771" t="s">
        <v>239</v>
      </c>
      <c r="O1771" t="s">
        <v>354</v>
      </c>
      <c r="P1771">
        <v>7.1598736511892667E-5</v>
      </c>
      <c r="Q1771" t="s">
        <v>159</v>
      </c>
    </row>
    <row r="1772" spans="9:17" x14ac:dyDescent="0.45">
      <c r="I1772" t="s">
        <v>196</v>
      </c>
      <c r="J1772" t="s">
        <v>355</v>
      </c>
      <c r="K1772">
        <v>1.2497229980918344E-4</v>
      </c>
      <c r="L1772" t="s">
        <v>159</v>
      </c>
      <c r="N1772" t="s">
        <v>239</v>
      </c>
      <c r="O1772" t="s">
        <v>355</v>
      </c>
      <c r="P1772">
        <v>3.9201270381965555E-5</v>
      </c>
      <c r="Q1772" t="s">
        <v>159</v>
      </c>
    </row>
    <row r="1773" spans="9:17" x14ac:dyDescent="0.45">
      <c r="I1773" t="s">
        <v>196</v>
      </c>
      <c r="J1773" t="s">
        <v>356</v>
      </c>
      <c r="K1773">
        <v>2.064310383761989E-4</v>
      </c>
      <c r="L1773" t="s">
        <v>159</v>
      </c>
      <c r="N1773" t="s">
        <v>239</v>
      </c>
      <c r="O1773" t="s">
        <v>356</v>
      </c>
      <c r="P1773">
        <v>1.6513371177328656E-5</v>
      </c>
      <c r="Q1773" t="s">
        <v>159</v>
      </c>
    </row>
    <row r="1774" spans="9:17" x14ac:dyDescent="0.45">
      <c r="I1774" t="s">
        <v>196</v>
      </c>
      <c r="J1774" t="s">
        <v>357</v>
      </c>
      <c r="K1774">
        <v>2.2037462093624907E-4</v>
      </c>
      <c r="L1774" t="s">
        <v>159</v>
      </c>
      <c r="N1774" t="s">
        <v>239</v>
      </c>
      <c r="O1774" t="s">
        <v>357</v>
      </c>
      <c r="P1774">
        <v>1.6105476337308016E-5</v>
      </c>
      <c r="Q1774" t="s">
        <v>159</v>
      </c>
    </row>
    <row r="1775" spans="9:17" x14ac:dyDescent="0.45">
      <c r="I1775" t="s">
        <v>196</v>
      </c>
      <c r="J1775" t="s">
        <v>358</v>
      </c>
      <c r="K1775">
        <v>2.5062534283863463E-4</v>
      </c>
      <c r="L1775" t="s">
        <v>159</v>
      </c>
      <c r="N1775" t="s">
        <v>239</v>
      </c>
      <c r="O1775" t="s">
        <v>358</v>
      </c>
      <c r="P1775">
        <v>2.1514119489766149E-5</v>
      </c>
      <c r="Q1775" t="s">
        <v>159</v>
      </c>
    </row>
    <row r="1776" spans="9:17" x14ac:dyDescent="0.45">
      <c r="I1776" t="s">
        <v>196</v>
      </c>
      <c r="J1776" t="s">
        <v>359</v>
      </c>
      <c r="K1776">
        <v>2.4499087308826921E-4</v>
      </c>
      <c r="L1776" t="s">
        <v>159</v>
      </c>
      <c r="N1776" t="s">
        <v>239</v>
      </c>
      <c r="O1776" t="s">
        <v>359</v>
      </c>
      <c r="P1776">
        <v>2.1745736798553771E-5</v>
      </c>
      <c r="Q1776" t="s">
        <v>159</v>
      </c>
    </row>
    <row r="1777" spans="9:17" x14ac:dyDescent="0.45">
      <c r="I1777" t="s">
        <v>196</v>
      </c>
      <c r="J1777" t="s">
        <v>360</v>
      </c>
      <c r="K1777">
        <v>1.862895254197079E-4</v>
      </c>
      <c r="L1777" t="s">
        <v>159</v>
      </c>
      <c r="N1777" t="s">
        <v>239</v>
      </c>
      <c r="O1777" t="s">
        <v>360</v>
      </c>
      <c r="P1777">
        <v>2.0906078737416878E-5</v>
      </c>
      <c r="Q1777" t="s">
        <v>159</v>
      </c>
    </row>
    <row r="1778" spans="9:17" x14ac:dyDescent="0.45">
      <c r="I1778" t="s">
        <v>196</v>
      </c>
      <c r="J1778" t="s">
        <v>361</v>
      </c>
      <c r="K1778">
        <v>1.7118143052517824E-4</v>
      </c>
      <c r="L1778" t="s">
        <v>159</v>
      </c>
      <c r="N1778" t="s">
        <v>239</v>
      </c>
      <c r="O1778" t="s">
        <v>361</v>
      </c>
      <c r="P1778">
        <v>1.2291778010241102E-5</v>
      </c>
      <c r="Q1778" t="s">
        <v>159</v>
      </c>
    </row>
    <row r="1779" spans="9:17" x14ac:dyDescent="0.45">
      <c r="I1779" t="s">
        <v>196</v>
      </c>
      <c r="J1779" t="s">
        <v>362</v>
      </c>
      <c r="K1779">
        <v>1.4429548331404312E-4</v>
      </c>
      <c r="L1779" t="s">
        <v>159</v>
      </c>
      <c r="N1779" t="s">
        <v>239</v>
      </c>
      <c r="O1779" t="s">
        <v>362</v>
      </c>
      <c r="P1779">
        <v>5.6530082021905602E-6</v>
      </c>
      <c r="Q1779" t="s">
        <v>159</v>
      </c>
    </row>
    <row r="1780" spans="9:17" x14ac:dyDescent="0.45">
      <c r="I1780" t="s">
        <v>196</v>
      </c>
      <c r="J1780" t="s">
        <v>363</v>
      </c>
      <c r="K1780">
        <v>1.1351492834721763E-4</v>
      </c>
      <c r="L1780" t="s">
        <v>159</v>
      </c>
      <c r="N1780" t="s">
        <v>239</v>
      </c>
      <c r="O1780" t="s">
        <v>363</v>
      </c>
      <c r="P1780">
        <v>7.865301191813741E-7</v>
      </c>
      <c r="Q1780" t="s">
        <v>159</v>
      </c>
    </row>
    <row r="1781" spans="9:17" x14ac:dyDescent="0.45">
      <c r="I1781" t="s">
        <v>196</v>
      </c>
      <c r="J1781" t="s">
        <v>364</v>
      </c>
      <c r="K1781">
        <v>0</v>
      </c>
      <c r="L1781" t="s">
        <v>159</v>
      </c>
      <c r="N1781" t="s">
        <v>239</v>
      </c>
      <c r="O1781" t="s">
        <v>364</v>
      </c>
      <c r="P1781">
        <v>1.4315437191226233E-7</v>
      </c>
      <c r="Q1781" t="s">
        <v>159</v>
      </c>
    </row>
    <row r="1782" spans="9:17" x14ac:dyDescent="0.45">
      <c r="I1782" t="s">
        <v>196</v>
      </c>
      <c r="J1782" t="s">
        <v>365</v>
      </c>
      <c r="K1782">
        <v>0</v>
      </c>
      <c r="L1782" t="s">
        <v>159</v>
      </c>
      <c r="N1782" t="s">
        <v>239</v>
      </c>
      <c r="O1782" t="s">
        <v>365</v>
      </c>
      <c r="P1782">
        <v>1.1130865296822546E-7</v>
      </c>
      <c r="Q1782" t="s">
        <v>159</v>
      </c>
    </row>
    <row r="1783" spans="9:17" x14ac:dyDescent="0.45">
      <c r="I1783" t="s">
        <v>196</v>
      </c>
      <c r="J1783" t="s">
        <v>366</v>
      </c>
      <c r="K1783">
        <v>0</v>
      </c>
      <c r="L1783" t="s">
        <v>159</v>
      </c>
      <c r="N1783" t="s">
        <v>239</v>
      </c>
      <c r="O1783" t="s">
        <v>366</v>
      </c>
      <c r="P1783">
        <v>3.9022391860504541E-7</v>
      </c>
      <c r="Q1783" t="s">
        <v>159</v>
      </c>
    </row>
    <row r="1784" spans="9:17" x14ac:dyDescent="0.45">
      <c r="I1784" t="s">
        <v>196</v>
      </c>
      <c r="J1784" t="s">
        <v>367</v>
      </c>
      <c r="K1784">
        <v>0</v>
      </c>
      <c r="L1784" t="s">
        <v>159</v>
      </c>
      <c r="N1784" t="s">
        <v>239</v>
      </c>
      <c r="O1784" t="s">
        <v>367</v>
      </c>
      <c r="P1784">
        <v>3.5858530716405631E-6</v>
      </c>
      <c r="Q1784" t="s">
        <v>159</v>
      </c>
    </row>
    <row r="1785" spans="9:17" x14ac:dyDescent="0.45">
      <c r="I1785" t="s">
        <v>196</v>
      </c>
      <c r="J1785" t="s">
        <v>368</v>
      </c>
      <c r="K1785">
        <v>0</v>
      </c>
      <c r="L1785" t="s">
        <v>159</v>
      </c>
      <c r="N1785" t="s">
        <v>239</v>
      </c>
      <c r="O1785" t="s">
        <v>368</v>
      </c>
      <c r="P1785">
        <v>1.7210104767070124E-5</v>
      </c>
      <c r="Q1785" t="s">
        <v>159</v>
      </c>
    </row>
    <row r="1786" spans="9:17" x14ac:dyDescent="0.45">
      <c r="I1786" t="s">
        <v>196</v>
      </c>
      <c r="J1786" t="s">
        <v>369</v>
      </c>
      <c r="K1786">
        <v>0</v>
      </c>
      <c r="L1786" t="s">
        <v>159</v>
      </c>
      <c r="N1786" t="s">
        <v>239</v>
      </c>
      <c r="O1786" t="s">
        <v>369</v>
      </c>
      <c r="P1786">
        <v>3.7907887816389207E-5</v>
      </c>
      <c r="Q1786" t="s">
        <v>159</v>
      </c>
    </row>
    <row r="1787" spans="9:17" x14ac:dyDescent="0.45">
      <c r="I1787" t="s">
        <v>196</v>
      </c>
      <c r="J1787" t="s">
        <v>165</v>
      </c>
      <c r="K1787">
        <v>0</v>
      </c>
      <c r="L1787" t="s">
        <v>159</v>
      </c>
      <c r="N1787" t="s">
        <v>239</v>
      </c>
      <c r="O1787" t="s">
        <v>165</v>
      </c>
      <c r="P1787">
        <v>2.3424409443081353E-2</v>
      </c>
      <c r="Q1787" t="s">
        <v>159</v>
      </c>
    </row>
    <row r="1788" spans="9:17" x14ac:dyDescent="0.45">
      <c r="I1788" t="s">
        <v>196</v>
      </c>
      <c r="J1788" t="s">
        <v>166</v>
      </c>
      <c r="K1788">
        <v>2.0708751724862626E-4</v>
      </c>
      <c r="L1788" t="s">
        <v>159</v>
      </c>
      <c r="N1788" t="s">
        <v>239</v>
      </c>
      <c r="O1788" t="s">
        <v>166</v>
      </c>
      <c r="P1788">
        <v>3.3409687693984084E-3</v>
      </c>
      <c r="Q1788" t="s">
        <v>159</v>
      </c>
    </row>
    <row r="1789" spans="9:17" x14ac:dyDescent="0.45">
      <c r="I1789" t="s">
        <v>196</v>
      </c>
      <c r="J1789" t="s">
        <v>167</v>
      </c>
      <c r="K1789">
        <v>6.8641810144896065E-2</v>
      </c>
      <c r="L1789" t="s">
        <v>159</v>
      </c>
      <c r="N1789" t="s">
        <v>239</v>
      </c>
      <c r="O1789" t="s">
        <v>167</v>
      </c>
      <c r="P1789">
        <v>2.8826483702064871E-2</v>
      </c>
      <c r="Q1789" t="s">
        <v>159</v>
      </c>
    </row>
    <row r="1790" spans="9:17" x14ac:dyDescent="0.45">
      <c r="I1790" t="s">
        <v>196</v>
      </c>
      <c r="J1790" t="s">
        <v>291</v>
      </c>
      <c r="K1790">
        <v>6.011998727896606E-3</v>
      </c>
      <c r="L1790" t="s">
        <v>159</v>
      </c>
      <c r="N1790" t="s">
        <v>239</v>
      </c>
      <c r="O1790" t="s">
        <v>291</v>
      </c>
      <c r="P1790">
        <v>3.731215028336783E-3</v>
      </c>
      <c r="Q1790" t="s">
        <v>159</v>
      </c>
    </row>
    <row r="1791" spans="9:17" x14ac:dyDescent="0.45">
      <c r="I1791" t="s">
        <v>196</v>
      </c>
      <c r="J1791" t="s">
        <v>292</v>
      </c>
      <c r="K1791">
        <v>2.5357818873682832E-4</v>
      </c>
      <c r="L1791" t="s">
        <v>159</v>
      </c>
      <c r="N1791" t="s">
        <v>239</v>
      </c>
      <c r="O1791" t="s">
        <v>292</v>
      </c>
      <c r="P1791">
        <v>3.2653918572416022E-3</v>
      </c>
      <c r="Q1791" t="s">
        <v>159</v>
      </c>
    </row>
    <row r="1792" spans="9:17" x14ac:dyDescent="0.45">
      <c r="I1792" t="s">
        <v>196</v>
      </c>
      <c r="J1792" t="s">
        <v>310</v>
      </c>
      <c r="K1792">
        <v>0</v>
      </c>
      <c r="L1792" t="s">
        <v>159</v>
      </c>
      <c r="N1792" t="s">
        <v>239</v>
      </c>
      <c r="O1792" t="s">
        <v>310</v>
      </c>
      <c r="P1792">
        <v>1.8752878333933229E-2</v>
      </c>
      <c r="Q1792" t="s">
        <v>159</v>
      </c>
    </row>
    <row r="1793" spans="9:17" x14ac:dyDescent="0.45">
      <c r="I1793" t="s">
        <v>196</v>
      </c>
      <c r="J1793" t="s">
        <v>293</v>
      </c>
      <c r="K1793">
        <v>0</v>
      </c>
      <c r="L1793" t="s">
        <v>159</v>
      </c>
      <c r="N1793" t="s">
        <v>239</v>
      </c>
      <c r="O1793" t="s">
        <v>293</v>
      </c>
      <c r="P1793">
        <v>1.0734216538110049E-2</v>
      </c>
      <c r="Q1793" t="s">
        <v>159</v>
      </c>
    </row>
    <row r="1794" spans="9:17" x14ac:dyDescent="0.45">
      <c r="I1794" t="s">
        <v>196</v>
      </c>
      <c r="J1794" t="s">
        <v>294</v>
      </c>
      <c r="K1794">
        <v>1.0642671519283655E-3</v>
      </c>
      <c r="L1794" t="s">
        <v>159</v>
      </c>
      <c r="N1794" t="s">
        <v>239</v>
      </c>
      <c r="O1794" t="s">
        <v>294</v>
      </c>
      <c r="P1794">
        <v>1.523795713295237E-3</v>
      </c>
      <c r="Q1794" t="s">
        <v>159</v>
      </c>
    </row>
    <row r="1795" spans="9:17" x14ac:dyDescent="0.45">
      <c r="I1795" t="s">
        <v>196</v>
      </c>
      <c r="J1795" t="s">
        <v>295</v>
      </c>
      <c r="K1795">
        <v>1.6588047081399201E-2</v>
      </c>
      <c r="L1795" t="s">
        <v>159</v>
      </c>
      <c r="N1795" t="s">
        <v>239</v>
      </c>
      <c r="O1795" t="s">
        <v>295</v>
      </c>
      <c r="P1795">
        <v>1.0353152616886864E-2</v>
      </c>
      <c r="Q1795" t="s">
        <v>159</v>
      </c>
    </row>
    <row r="1796" spans="9:17" x14ac:dyDescent="0.45">
      <c r="I1796" t="s">
        <v>196</v>
      </c>
      <c r="J1796" t="s">
        <v>296</v>
      </c>
      <c r="K1796">
        <v>1.3028320979489129E-3</v>
      </c>
      <c r="L1796" t="s">
        <v>159</v>
      </c>
      <c r="N1796" t="s">
        <v>239</v>
      </c>
      <c r="O1796" t="s">
        <v>296</v>
      </c>
      <c r="P1796">
        <v>9.9631085768963441E-4</v>
      </c>
      <c r="Q1796" t="s">
        <v>159</v>
      </c>
    </row>
    <row r="1797" spans="9:17" x14ac:dyDescent="0.45">
      <c r="I1797" t="s">
        <v>196</v>
      </c>
      <c r="J1797" t="s">
        <v>297</v>
      </c>
      <c r="K1797">
        <v>9.6627248778520221E-4</v>
      </c>
      <c r="L1797" t="s">
        <v>159</v>
      </c>
      <c r="N1797" t="s">
        <v>239</v>
      </c>
      <c r="O1797" t="s">
        <v>297</v>
      </c>
      <c r="P1797">
        <v>7.3675740875014765E-4</v>
      </c>
      <c r="Q1797" t="s">
        <v>159</v>
      </c>
    </row>
    <row r="1798" spans="9:17" x14ac:dyDescent="0.45">
      <c r="I1798" t="s">
        <v>196</v>
      </c>
      <c r="J1798" t="s">
        <v>311</v>
      </c>
      <c r="K1798">
        <v>0</v>
      </c>
      <c r="L1798" t="s">
        <v>159</v>
      </c>
      <c r="N1798" t="s">
        <v>239</v>
      </c>
      <c r="O1798" t="s">
        <v>311</v>
      </c>
      <c r="P1798">
        <v>5.6141415019742413E-3</v>
      </c>
      <c r="Q1798" t="s">
        <v>159</v>
      </c>
    </row>
    <row r="1799" spans="9:17" x14ac:dyDescent="0.45">
      <c r="I1799" t="s">
        <v>196</v>
      </c>
      <c r="J1799" t="s">
        <v>298</v>
      </c>
      <c r="K1799">
        <v>3.4987641022269879E-3</v>
      </c>
      <c r="L1799" t="s">
        <v>159</v>
      </c>
      <c r="N1799" t="s">
        <v>239</v>
      </c>
      <c r="O1799" t="s">
        <v>298</v>
      </c>
      <c r="P1799">
        <v>9.4967337513492442E-2</v>
      </c>
      <c r="Q1799" t="s">
        <v>159</v>
      </c>
    </row>
    <row r="1800" spans="9:17" x14ac:dyDescent="0.45">
      <c r="I1800" t="s">
        <v>196</v>
      </c>
      <c r="J1800" t="s">
        <v>299</v>
      </c>
      <c r="K1800">
        <v>1.4488725898542025E-2</v>
      </c>
      <c r="L1800" t="s">
        <v>159</v>
      </c>
      <c r="N1800" t="s">
        <v>239</v>
      </c>
      <c r="O1800" t="s">
        <v>299</v>
      </c>
      <c r="P1800">
        <v>1.1097465894894762E-2</v>
      </c>
      <c r="Q1800" t="s">
        <v>159</v>
      </c>
    </row>
    <row r="1801" spans="9:17" x14ac:dyDescent="0.45">
      <c r="I1801" t="s">
        <v>196</v>
      </c>
      <c r="J1801" t="s">
        <v>300</v>
      </c>
      <c r="K1801">
        <v>0.24445014411272628</v>
      </c>
      <c r="L1801" t="s">
        <v>159</v>
      </c>
      <c r="N1801" t="s">
        <v>239</v>
      </c>
      <c r="O1801" t="s">
        <v>300</v>
      </c>
      <c r="P1801">
        <v>0.12378998192688366</v>
      </c>
      <c r="Q1801" t="s">
        <v>159</v>
      </c>
    </row>
    <row r="1802" spans="9:17" x14ac:dyDescent="0.45">
      <c r="I1802" t="s">
        <v>196</v>
      </c>
      <c r="J1802" t="s">
        <v>301</v>
      </c>
      <c r="K1802">
        <v>1.8928472147830073E-2</v>
      </c>
      <c r="L1802" t="s">
        <v>159</v>
      </c>
      <c r="N1802" t="s">
        <v>239</v>
      </c>
      <c r="O1802" t="s">
        <v>301</v>
      </c>
      <c r="P1802">
        <v>1.6500964670759524E-2</v>
      </c>
      <c r="Q1802" t="s">
        <v>159</v>
      </c>
    </row>
    <row r="1803" spans="9:17" x14ac:dyDescent="0.45">
      <c r="I1803" t="s">
        <v>196</v>
      </c>
      <c r="J1803" t="s">
        <v>302</v>
      </c>
      <c r="K1803">
        <v>1.1958609702241323E-2</v>
      </c>
      <c r="L1803" t="s">
        <v>159</v>
      </c>
      <c r="N1803" t="s">
        <v>239</v>
      </c>
      <c r="O1803" t="s">
        <v>302</v>
      </c>
      <c r="P1803">
        <v>1.4425500084818871E-2</v>
      </c>
      <c r="Q1803" t="s">
        <v>159</v>
      </c>
    </row>
    <row r="1804" spans="9:17" x14ac:dyDescent="0.45">
      <c r="I1804" t="s">
        <v>196</v>
      </c>
      <c r="J1804" t="s">
        <v>312</v>
      </c>
      <c r="K1804">
        <v>1.2752622135451557E-5</v>
      </c>
      <c r="L1804" t="s">
        <v>159</v>
      </c>
      <c r="N1804" t="s">
        <v>239</v>
      </c>
      <c r="O1804" t="s">
        <v>312</v>
      </c>
      <c r="P1804">
        <v>7.9790753668968206E-2</v>
      </c>
      <c r="Q1804" t="s">
        <v>159</v>
      </c>
    </row>
    <row r="1805" spans="9:17" x14ac:dyDescent="0.45">
      <c r="I1805" t="s">
        <v>196</v>
      </c>
      <c r="J1805" t="s">
        <v>313</v>
      </c>
      <c r="K1805">
        <v>1.1702635722747527E-3</v>
      </c>
      <c r="L1805" t="s">
        <v>159</v>
      </c>
      <c r="N1805" t="s">
        <v>239</v>
      </c>
      <c r="O1805" t="s">
        <v>313</v>
      </c>
      <c r="P1805">
        <v>1.8218499653342303E-2</v>
      </c>
      <c r="Q1805" t="s">
        <v>159</v>
      </c>
    </row>
    <row r="1806" spans="9:17" x14ac:dyDescent="0.45">
      <c r="I1806" t="s">
        <v>196</v>
      </c>
      <c r="J1806" t="s">
        <v>314</v>
      </c>
      <c r="K1806">
        <v>2.7869921293856709E-3</v>
      </c>
      <c r="L1806" t="s">
        <v>159</v>
      </c>
      <c r="N1806" t="s">
        <v>239</v>
      </c>
      <c r="O1806" t="s">
        <v>314</v>
      </c>
      <c r="P1806">
        <v>1.6506569782580392E-3</v>
      </c>
      <c r="Q1806" t="s">
        <v>159</v>
      </c>
    </row>
    <row r="1807" spans="9:17" x14ac:dyDescent="0.45">
      <c r="I1807" t="s">
        <v>196</v>
      </c>
      <c r="J1807" t="s">
        <v>315</v>
      </c>
      <c r="K1807">
        <v>6.8042857415190547E-2</v>
      </c>
      <c r="L1807" t="s">
        <v>159</v>
      </c>
      <c r="N1807" t="s">
        <v>239</v>
      </c>
      <c r="O1807" t="s">
        <v>315</v>
      </c>
      <c r="P1807">
        <v>1.749737688706168E-2</v>
      </c>
      <c r="Q1807" t="s">
        <v>159</v>
      </c>
    </row>
    <row r="1808" spans="9:17" x14ac:dyDescent="0.45">
      <c r="I1808" t="s">
        <v>196</v>
      </c>
      <c r="J1808" t="s">
        <v>316</v>
      </c>
      <c r="K1808">
        <v>4.5416015746014725E-3</v>
      </c>
      <c r="L1808" t="s">
        <v>159</v>
      </c>
      <c r="N1808" t="s">
        <v>239</v>
      </c>
      <c r="O1808" t="s">
        <v>316</v>
      </c>
      <c r="P1808">
        <v>2.5579534894355446E-3</v>
      </c>
      <c r="Q1808" t="s">
        <v>159</v>
      </c>
    </row>
    <row r="1809" spans="9:17" x14ac:dyDescent="0.45">
      <c r="I1809" t="s">
        <v>196</v>
      </c>
      <c r="J1809" t="s">
        <v>317</v>
      </c>
      <c r="K1809">
        <v>2.8775682820593395E-3</v>
      </c>
      <c r="L1809" t="s">
        <v>159</v>
      </c>
      <c r="N1809" t="s">
        <v>239</v>
      </c>
      <c r="O1809" t="s">
        <v>317</v>
      </c>
      <c r="P1809">
        <v>2.1802333880866615E-3</v>
      </c>
      <c r="Q1809" t="s">
        <v>159</v>
      </c>
    </row>
    <row r="1810" spans="9:17" x14ac:dyDescent="0.45">
      <c r="I1810" t="s">
        <v>196</v>
      </c>
      <c r="J1810" t="s">
        <v>318</v>
      </c>
      <c r="K1810">
        <v>1.5415653237864019E-3</v>
      </c>
      <c r="L1810" t="s">
        <v>159</v>
      </c>
      <c r="N1810" t="s">
        <v>239</v>
      </c>
      <c r="O1810" t="s">
        <v>318</v>
      </c>
      <c r="P1810">
        <v>1.6349834914761257E-2</v>
      </c>
      <c r="Q1810" t="s">
        <v>159</v>
      </c>
    </row>
    <row r="1811" spans="9:17" x14ac:dyDescent="0.45">
      <c r="I1811" t="s">
        <v>197</v>
      </c>
      <c r="J1811" t="s">
        <v>158</v>
      </c>
      <c r="K1811">
        <v>2.2684643880167103E-3</v>
      </c>
      <c r="L1811" t="s">
        <v>159</v>
      </c>
      <c r="N1811" t="s">
        <v>240</v>
      </c>
      <c r="O1811" t="s">
        <v>158</v>
      </c>
      <c r="P1811">
        <v>0.15678212210918158</v>
      </c>
      <c r="Q1811" t="s">
        <v>159</v>
      </c>
    </row>
    <row r="1812" spans="9:17" x14ac:dyDescent="0.45">
      <c r="I1812" t="s">
        <v>197</v>
      </c>
      <c r="J1812" t="s">
        <v>160</v>
      </c>
      <c r="K1812">
        <v>1.7496127057945308E-2</v>
      </c>
      <c r="L1812" t="s">
        <v>159</v>
      </c>
      <c r="N1812" t="s">
        <v>240</v>
      </c>
      <c r="O1812" t="s">
        <v>160</v>
      </c>
      <c r="P1812">
        <v>1.8706611154075761E-2</v>
      </c>
      <c r="Q1812" t="s">
        <v>159</v>
      </c>
    </row>
    <row r="1813" spans="9:17" x14ac:dyDescent="0.45">
      <c r="I1813" t="s">
        <v>197</v>
      </c>
      <c r="J1813" t="s">
        <v>161</v>
      </c>
      <c r="K1813">
        <v>0.40606496500689598</v>
      </c>
      <c r="L1813" t="s">
        <v>159</v>
      </c>
      <c r="N1813" t="s">
        <v>240</v>
      </c>
      <c r="O1813" t="s">
        <v>161</v>
      </c>
      <c r="P1813">
        <v>0.11364572519531504</v>
      </c>
      <c r="Q1813" t="s">
        <v>159</v>
      </c>
    </row>
    <row r="1814" spans="9:17" x14ac:dyDescent="0.45">
      <c r="I1814" t="s">
        <v>197</v>
      </c>
      <c r="J1814" t="s">
        <v>287</v>
      </c>
      <c r="K1814">
        <v>3.3156932188878607E-2</v>
      </c>
      <c r="L1814" t="s">
        <v>159</v>
      </c>
      <c r="N1814" t="s">
        <v>240</v>
      </c>
      <c r="O1814" t="s">
        <v>287</v>
      </c>
      <c r="P1814">
        <v>8.975984536688365E-3</v>
      </c>
      <c r="Q1814" t="s">
        <v>159</v>
      </c>
    </row>
    <row r="1815" spans="9:17" x14ac:dyDescent="0.45">
      <c r="I1815" t="s">
        <v>197</v>
      </c>
      <c r="J1815" t="s">
        <v>288</v>
      </c>
      <c r="K1815">
        <v>1.6029986658498283E-2</v>
      </c>
      <c r="L1815" t="s">
        <v>159</v>
      </c>
      <c r="N1815" t="s">
        <v>240</v>
      </c>
      <c r="O1815" t="s">
        <v>288</v>
      </c>
      <c r="P1815">
        <v>1.0809234633626425E-2</v>
      </c>
      <c r="Q1815" t="s">
        <v>159</v>
      </c>
    </row>
    <row r="1816" spans="9:17" x14ac:dyDescent="0.45">
      <c r="I1816" t="s">
        <v>197</v>
      </c>
      <c r="J1816" t="s">
        <v>308</v>
      </c>
      <c r="K1816">
        <v>4.274902393453137E-3</v>
      </c>
      <c r="L1816" t="s">
        <v>159</v>
      </c>
      <c r="N1816" t="s">
        <v>240</v>
      </c>
      <c r="O1816" t="s">
        <v>308</v>
      </c>
      <c r="P1816">
        <v>9.5909202089203019E-2</v>
      </c>
      <c r="Q1816" t="s">
        <v>159</v>
      </c>
    </row>
    <row r="1817" spans="9:17" x14ac:dyDescent="0.45">
      <c r="I1817" t="s">
        <v>197</v>
      </c>
      <c r="J1817" t="s">
        <v>162</v>
      </c>
      <c r="K1817">
        <v>0</v>
      </c>
      <c r="L1817" t="s">
        <v>159</v>
      </c>
      <c r="N1817" t="s">
        <v>240</v>
      </c>
      <c r="O1817" t="s">
        <v>162</v>
      </c>
      <c r="P1817">
        <v>3.4917594976925224E-2</v>
      </c>
      <c r="Q1817" t="s">
        <v>159</v>
      </c>
    </row>
    <row r="1818" spans="9:17" x14ac:dyDescent="0.45">
      <c r="I1818" t="s">
        <v>197</v>
      </c>
      <c r="J1818" t="s">
        <v>163</v>
      </c>
      <c r="K1818">
        <v>0</v>
      </c>
      <c r="L1818" t="s">
        <v>159</v>
      </c>
      <c r="N1818" t="s">
        <v>240</v>
      </c>
      <c r="O1818" t="s">
        <v>163</v>
      </c>
      <c r="P1818">
        <v>5.0254469954521359E-3</v>
      </c>
      <c r="Q1818" t="s">
        <v>159</v>
      </c>
    </row>
    <row r="1819" spans="9:17" x14ac:dyDescent="0.45">
      <c r="I1819" t="s">
        <v>197</v>
      </c>
      <c r="J1819" t="s">
        <v>164</v>
      </c>
      <c r="K1819">
        <v>4.8549675050938823E-2</v>
      </c>
      <c r="L1819" t="s">
        <v>159</v>
      </c>
      <c r="N1819" t="s">
        <v>240</v>
      </c>
      <c r="O1819" t="s">
        <v>164</v>
      </c>
      <c r="P1819">
        <v>3.3722843031232116E-2</v>
      </c>
      <c r="Q1819" t="s">
        <v>159</v>
      </c>
    </row>
    <row r="1820" spans="9:17" x14ac:dyDescent="0.45">
      <c r="I1820" t="s">
        <v>197</v>
      </c>
      <c r="J1820" t="s">
        <v>289</v>
      </c>
      <c r="K1820">
        <v>3.6862934528429782E-3</v>
      </c>
      <c r="L1820" t="s">
        <v>159</v>
      </c>
      <c r="N1820" t="s">
        <v>240</v>
      </c>
      <c r="O1820" t="s">
        <v>289</v>
      </c>
      <c r="P1820">
        <v>2.9285447645028052E-3</v>
      </c>
      <c r="Q1820" t="s">
        <v>159</v>
      </c>
    </row>
    <row r="1821" spans="9:17" x14ac:dyDescent="0.45">
      <c r="I1821" t="s">
        <v>197</v>
      </c>
      <c r="J1821" t="s">
        <v>290</v>
      </c>
      <c r="K1821">
        <v>0</v>
      </c>
      <c r="L1821" t="s">
        <v>159</v>
      </c>
      <c r="N1821" t="s">
        <v>240</v>
      </c>
      <c r="O1821" t="s">
        <v>290</v>
      </c>
      <c r="P1821">
        <v>3.5162205150490494E-3</v>
      </c>
      <c r="Q1821" t="s">
        <v>159</v>
      </c>
    </row>
    <row r="1822" spans="9:17" x14ac:dyDescent="0.45">
      <c r="I1822" t="s">
        <v>197</v>
      </c>
      <c r="J1822" t="s">
        <v>309</v>
      </c>
      <c r="K1822">
        <v>0</v>
      </c>
      <c r="L1822" t="s">
        <v>159</v>
      </c>
      <c r="N1822" t="s">
        <v>240</v>
      </c>
      <c r="O1822" t="s">
        <v>309</v>
      </c>
      <c r="P1822">
        <v>2.2818382599199126E-2</v>
      </c>
      <c r="Q1822" t="s">
        <v>159</v>
      </c>
    </row>
    <row r="1823" spans="9:17" x14ac:dyDescent="0.45">
      <c r="I1823" t="s">
        <v>197</v>
      </c>
      <c r="J1823" t="s">
        <v>346</v>
      </c>
      <c r="K1823">
        <v>0</v>
      </c>
      <c r="L1823" t="s">
        <v>159</v>
      </c>
      <c r="N1823" t="s">
        <v>240</v>
      </c>
      <c r="O1823" t="s">
        <v>346</v>
      </c>
      <c r="P1823">
        <v>1.0433213867698284E-4</v>
      </c>
      <c r="Q1823" t="s">
        <v>159</v>
      </c>
    </row>
    <row r="1824" spans="9:17" x14ac:dyDescent="0.45">
      <c r="I1824" t="s">
        <v>197</v>
      </c>
      <c r="J1824" t="s">
        <v>347</v>
      </c>
      <c r="K1824">
        <v>0</v>
      </c>
      <c r="L1824" t="s">
        <v>159</v>
      </c>
      <c r="N1824" t="s">
        <v>240</v>
      </c>
      <c r="O1824" t="s">
        <v>347</v>
      </c>
      <c r="P1824">
        <v>1.0562765421646426E-4</v>
      </c>
      <c r="Q1824" t="s">
        <v>159</v>
      </c>
    </row>
    <row r="1825" spans="9:17" x14ac:dyDescent="0.45">
      <c r="I1825" t="s">
        <v>197</v>
      </c>
      <c r="J1825" t="s">
        <v>348</v>
      </c>
      <c r="K1825">
        <v>0</v>
      </c>
      <c r="L1825" t="s">
        <v>159</v>
      </c>
      <c r="N1825" t="s">
        <v>240</v>
      </c>
      <c r="O1825" t="s">
        <v>348</v>
      </c>
      <c r="P1825">
        <v>1.0428842771602892E-4</v>
      </c>
      <c r="Q1825" t="s">
        <v>159</v>
      </c>
    </row>
    <row r="1826" spans="9:17" x14ac:dyDescent="0.45">
      <c r="I1826" t="s">
        <v>197</v>
      </c>
      <c r="J1826" t="s">
        <v>349</v>
      </c>
      <c r="K1826">
        <v>0</v>
      </c>
      <c r="L1826" t="s">
        <v>159</v>
      </c>
      <c r="N1826" t="s">
        <v>240</v>
      </c>
      <c r="O1826" t="s">
        <v>349</v>
      </c>
      <c r="P1826">
        <v>1.0438279297005605E-4</v>
      </c>
      <c r="Q1826" t="s">
        <v>159</v>
      </c>
    </row>
    <row r="1827" spans="9:17" x14ac:dyDescent="0.45">
      <c r="I1827" t="s">
        <v>197</v>
      </c>
      <c r="J1827" t="s">
        <v>350</v>
      </c>
      <c r="K1827">
        <v>0</v>
      </c>
      <c r="L1827" t="s">
        <v>159</v>
      </c>
      <c r="N1827" t="s">
        <v>240</v>
      </c>
      <c r="O1827" t="s">
        <v>350</v>
      </c>
      <c r="P1827">
        <v>1.0081568380731314E-4</v>
      </c>
      <c r="Q1827" t="s">
        <v>159</v>
      </c>
    </row>
    <row r="1828" spans="9:17" x14ac:dyDescent="0.45">
      <c r="I1828" t="s">
        <v>197</v>
      </c>
      <c r="J1828" t="s">
        <v>351</v>
      </c>
      <c r="K1828">
        <v>0</v>
      </c>
      <c r="L1828" t="s">
        <v>159</v>
      </c>
      <c r="N1828" t="s">
        <v>240</v>
      </c>
      <c r="O1828" t="s">
        <v>351</v>
      </c>
      <c r="P1828">
        <v>9.9128745314588465E-5</v>
      </c>
      <c r="Q1828" t="s">
        <v>159</v>
      </c>
    </row>
    <row r="1829" spans="9:17" x14ac:dyDescent="0.45">
      <c r="I1829" t="s">
        <v>197</v>
      </c>
      <c r="J1829" t="s">
        <v>352</v>
      </c>
      <c r="K1829">
        <v>0</v>
      </c>
      <c r="L1829" t="s">
        <v>159</v>
      </c>
      <c r="N1829" t="s">
        <v>240</v>
      </c>
      <c r="O1829" t="s">
        <v>352</v>
      </c>
      <c r="P1829">
        <v>8.9735227835083543E-5</v>
      </c>
      <c r="Q1829" t="s">
        <v>159</v>
      </c>
    </row>
    <row r="1830" spans="9:17" x14ac:dyDescent="0.45">
      <c r="I1830" t="s">
        <v>197</v>
      </c>
      <c r="J1830" t="s">
        <v>353</v>
      </c>
      <c r="K1830">
        <v>0</v>
      </c>
      <c r="L1830" t="s">
        <v>159</v>
      </c>
      <c r="N1830" t="s">
        <v>240</v>
      </c>
      <c r="O1830" t="s">
        <v>353</v>
      </c>
      <c r="P1830">
        <v>7.4497423350619753E-5</v>
      </c>
      <c r="Q1830" t="s">
        <v>159</v>
      </c>
    </row>
    <row r="1831" spans="9:17" x14ac:dyDescent="0.45">
      <c r="I1831" t="s">
        <v>197</v>
      </c>
      <c r="J1831" t="s">
        <v>354</v>
      </c>
      <c r="K1831">
        <v>1.1909558006694223E-4</v>
      </c>
      <c r="L1831" t="s">
        <v>159</v>
      </c>
      <c r="N1831" t="s">
        <v>240</v>
      </c>
      <c r="O1831" t="s">
        <v>354</v>
      </c>
      <c r="P1831">
        <v>3.5770263339953676E-5</v>
      </c>
      <c r="Q1831" t="s">
        <v>159</v>
      </c>
    </row>
    <row r="1832" spans="9:17" x14ac:dyDescent="0.45">
      <c r="I1832" t="s">
        <v>197</v>
      </c>
      <c r="J1832" t="s">
        <v>355</v>
      </c>
      <c r="K1832">
        <v>1.8330876392514897E-4</v>
      </c>
      <c r="L1832" t="s">
        <v>159</v>
      </c>
      <c r="N1832" t="s">
        <v>240</v>
      </c>
      <c r="O1832" t="s">
        <v>355</v>
      </c>
      <c r="P1832">
        <v>1.187137901697368E-5</v>
      </c>
      <c r="Q1832" t="s">
        <v>159</v>
      </c>
    </row>
    <row r="1833" spans="9:17" x14ac:dyDescent="0.45">
      <c r="I1833" t="s">
        <v>197</v>
      </c>
      <c r="J1833" t="s">
        <v>356</v>
      </c>
      <c r="K1833">
        <v>2.0509284339174954E-4</v>
      </c>
      <c r="L1833" t="s">
        <v>159</v>
      </c>
      <c r="N1833" t="s">
        <v>240</v>
      </c>
      <c r="O1833" t="s">
        <v>356</v>
      </c>
      <c r="P1833">
        <v>1.9412727510867656E-5</v>
      </c>
      <c r="Q1833" t="s">
        <v>159</v>
      </c>
    </row>
    <row r="1834" spans="9:17" x14ac:dyDescent="0.45">
      <c r="I1834" t="s">
        <v>197</v>
      </c>
      <c r="J1834" t="s">
        <v>357</v>
      </c>
      <c r="K1834">
        <v>2.1051413008622491E-4</v>
      </c>
      <c r="L1834" t="s">
        <v>159</v>
      </c>
      <c r="N1834" t="s">
        <v>240</v>
      </c>
      <c r="O1834" t="s">
        <v>357</v>
      </c>
      <c r="P1834">
        <v>2.9180295734623078E-5</v>
      </c>
      <c r="Q1834" t="s">
        <v>159</v>
      </c>
    </row>
    <row r="1835" spans="9:17" x14ac:dyDescent="0.45">
      <c r="I1835" t="s">
        <v>197</v>
      </c>
      <c r="J1835" t="s">
        <v>358</v>
      </c>
      <c r="K1835">
        <v>2.0386038905551951E-4</v>
      </c>
      <c r="L1835" t="s">
        <v>159</v>
      </c>
      <c r="N1835" t="s">
        <v>240</v>
      </c>
      <c r="O1835" t="s">
        <v>358</v>
      </c>
      <c r="P1835">
        <v>3.0495091762182032E-5</v>
      </c>
      <c r="Q1835" t="s">
        <v>159</v>
      </c>
    </row>
    <row r="1836" spans="9:17" x14ac:dyDescent="0.45">
      <c r="I1836" t="s">
        <v>197</v>
      </c>
      <c r="J1836" t="s">
        <v>359</v>
      </c>
      <c r="K1836">
        <v>1.9677995903597402E-4</v>
      </c>
      <c r="L1836" t="s">
        <v>159</v>
      </c>
      <c r="N1836" t="s">
        <v>240</v>
      </c>
      <c r="O1836" t="s">
        <v>359</v>
      </c>
      <c r="P1836">
        <v>3.7928919192505165E-5</v>
      </c>
      <c r="Q1836" t="s">
        <v>159</v>
      </c>
    </row>
    <row r="1837" spans="9:17" x14ac:dyDescent="0.45">
      <c r="I1837" t="s">
        <v>197</v>
      </c>
      <c r="J1837" t="s">
        <v>360</v>
      </c>
      <c r="K1837">
        <v>1.3820862943300262E-4</v>
      </c>
      <c r="L1837" t="s">
        <v>159</v>
      </c>
      <c r="N1837" t="s">
        <v>240</v>
      </c>
      <c r="O1837" t="s">
        <v>360</v>
      </c>
      <c r="P1837">
        <v>4.2710303588075085E-5</v>
      </c>
      <c r="Q1837" t="s">
        <v>159</v>
      </c>
    </row>
    <row r="1838" spans="9:17" x14ac:dyDescent="0.45">
      <c r="I1838" t="s">
        <v>197</v>
      </c>
      <c r="J1838" t="s">
        <v>361</v>
      </c>
      <c r="K1838">
        <v>1.1420077213935469E-4</v>
      </c>
      <c r="L1838" t="s">
        <v>159</v>
      </c>
      <c r="N1838" t="s">
        <v>240</v>
      </c>
      <c r="O1838" t="s">
        <v>361</v>
      </c>
      <c r="P1838">
        <v>4.1705675621973997E-5</v>
      </c>
      <c r="Q1838" t="s">
        <v>159</v>
      </c>
    </row>
    <row r="1839" spans="9:17" x14ac:dyDescent="0.45">
      <c r="I1839" t="s">
        <v>197</v>
      </c>
      <c r="J1839" t="s">
        <v>362</v>
      </c>
      <c r="K1839">
        <v>8.5742319025758142E-5</v>
      </c>
      <c r="L1839" t="s">
        <v>159</v>
      </c>
      <c r="N1839" t="s">
        <v>240</v>
      </c>
      <c r="O1839" t="s">
        <v>362</v>
      </c>
      <c r="P1839">
        <v>2.6713457495276505E-5</v>
      </c>
      <c r="Q1839" t="s">
        <v>159</v>
      </c>
    </row>
    <row r="1840" spans="9:17" x14ac:dyDescent="0.45">
      <c r="I1840" t="s">
        <v>197</v>
      </c>
      <c r="J1840" t="s">
        <v>363</v>
      </c>
      <c r="K1840">
        <v>8.0064902200816603E-5</v>
      </c>
      <c r="L1840" t="s">
        <v>159</v>
      </c>
      <c r="N1840" t="s">
        <v>240</v>
      </c>
      <c r="O1840" t="s">
        <v>363</v>
      </c>
      <c r="P1840">
        <v>2.3290228351239789E-5</v>
      </c>
      <c r="Q1840" t="s">
        <v>159</v>
      </c>
    </row>
    <row r="1841" spans="9:17" x14ac:dyDescent="0.45">
      <c r="I1841" t="s">
        <v>197</v>
      </c>
      <c r="J1841" t="s">
        <v>364</v>
      </c>
      <c r="K1841">
        <v>0</v>
      </c>
      <c r="L1841" t="s">
        <v>159</v>
      </c>
      <c r="N1841" t="s">
        <v>240</v>
      </c>
      <c r="O1841" t="s">
        <v>364</v>
      </c>
      <c r="P1841">
        <v>2.5617913117386132E-5</v>
      </c>
      <c r="Q1841" t="s">
        <v>159</v>
      </c>
    </row>
    <row r="1842" spans="9:17" x14ac:dyDescent="0.45">
      <c r="I1842" t="s">
        <v>197</v>
      </c>
      <c r="J1842" t="s">
        <v>365</v>
      </c>
      <c r="K1842">
        <v>0</v>
      </c>
      <c r="L1842" t="s">
        <v>159</v>
      </c>
      <c r="N1842" t="s">
        <v>240</v>
      </c>
      <c r="O1842" t="s">
        <v>365</v>
      </c>
      <c r="P1842">
        <v>2.7665025155716513E-5</v>
      </c>
      <c r="Q1842" t="s">
        <v>159</v>
      </c>
    </row>
    <row r="1843" spans="9:17" x14ac:dyDescent="0.45">
      <c r="I1843" t="s">
        <v>197</v>
      </c>
      <c r="J1843" t="s">
        <v>366</v>
      </c>
      <c r="K1843">
        <v>0</v>
      </c>
      <c r="L1843" t="s">
        <v>159</v>
      </c>
      <c r="N1843" t="s">
        <v>240</v>
      </c>
      <c r="O1843" t="s">
        <v>366</v>
      </c>
      <c r="P1843">
        <v>3.0132136063134344E-5</v>
      </c>
      <c r="Q1843" t="s">
        <v>159</v>
      </c>
    </row>
    <row r="1844" spans="9:17" x14ac:dyDescent="0.45">
      <c r="I1844" t="s">
        <v>197</v>
      </c>
      <c r="J1844" t="s">
        <v>367</v>
      </c>
      <c r="K1844">
        <v>0</v>
      </c>
      <c r="L1844" t="s">
        <v>159</v>
      </c>
      <c r="N1844" t="s">
        <v>240</v>
      </c>
      <c r="O1844" t="s">
        <v>367</v>
      </c>
      <c r="P1844">
        <v>3.3928627130139117E-5</v>
      </c>
      <c r="Q1844" t="s">
        <v>159</v>
      </c>
    </row>
    <row r="1845" spans="9:17" x14ac:dyDescent="0.45">
      <c r="I1845" t="s">
        <v>197</v>
      </c>
      <c r="J1845" t="s">
        <v>368</v>
      </c>
      <c r="K1845">
        <v>0</v>
      </c>
      <c r="L1845" t="s">
        <v>159</v>
      </c>
      <c r="N1845" t="s">
        <v>240</v>
      </c>
      <c r="O1845" t="s">
        <v>368</v>
      </c>
      <c r="P1845">
        <v>4.2344205878890352E-5</v>
      </c>
      <c r="Q1845" t="s">
        <v>159</v>
      </c>
    </row>
    <row r="1846" spans="9:17" x14ac:dyDescent="0.45">
      <c r="I1846" t="s">
        <v>197</v>
      </c>
      <c r="J1846" t="s">
        <v>369</v>
      </c>
      <c r="K1846">
        <v>0</v>
      </c>
      <c r="L1846" t="s">
        <v>159</v>
      </c>
      <c r="N1846" t="s">
        <v>240</v>
      </c>
      <c r="O1846" t="s">
        <v>369</v>
      </c>
      <c r="P1846">
        <v>4.5832179156052038E-5</v>
      </c>
      <c r="Q1846" t="s">
        <v>159</v>
      </c>
    </row>
    <row r="1847" spans="9:17" x14ac:dyDescent="0.45">
      <c r="I1847" t="s">
        <v>197</v>
      </c>
      <c r="J1847" t="s">
        <v>165</v>
      </c>
      <c r="K1847">
        <v>0</v>
      </c>
      <c r="L1847" t="s">
        <v>159</v>
      </c>
      <c r="N1847" t="s">
        <v>240</v>
      </c>
      <c r="O1847" t="s">
        <v>165</v>
      </c>
      <c r="P1847">
        <v>2.7515568754173513E-2</v>
      </c>
      <c r="Q1847" t="s">
        <v>159</v>
      </c>
    </row>
    <row r="1848" spans="9:17" x14ac:dyDescent="0.45">
      <c r="I1848" t="s">
        <v>197</v>
      </c>
      <c r="J1848" t="s">
        <v>166</v>
      </c>
      <c r="K1848">
        <v>8.5199709049969829E-4</v>
      </c>
      <c r="L1848" t="s">
        <v>159</v>
      </c>
      <c r="N1848" t="s">
        <v>240</v>
      </c>
      <c r="O1848" t="s">
        <v>166</v>
      </c>
      <c r="P1848">
        <v>3.7747654256377241E-3</v>
      </c>
      <c r="Q1848" t="s">
        <v>159</v>
      </c>
    </row>
    <row r="1849" spans="9:17" x14ac:dyDescent="0.45">
      <c r="I1849" t="s">
        <v>197</v>
      </c>
      <c r="J1849" t="s">
        <v>167</v>
      </c>
      <c r="K1849">
        <v>6.6601758344281559E-2</v>
      </c>
      <c r="L1849" t="s">
        <v>159</v>
      </c>
      <c r="N1849" t="s">
        <v>240</v>
      </c>
      <c r="O1849" t="s">
        <v>167</v>
      </c>
      <c r="P1849">
        <v>2.6829312193739196E-2</v>
      </c>
      <c r="Q1849" t="s">
        <v>159</v>
      </c>
    </row>
    <row r="1850" spans="9:17" x14ac:dyDescent="0.45">
      <c r="I1850" t="s">
        <v>197</v>
      </c>
      <c r="J1850" t="s">
        <v>291</v>
      </c>
      <c r="K1850">
        <v>5.3556598348633438E-3</v>
      </c>
      <c r="L1850" t="s">
        <v>159</v>
      </c>
      <c r="N1850" t="s">
        <v>240</v>
      </c>
      <c r="O1850" t="s">
        <v>291</v>
      </c>
      <c r="P1850">
        <v>2.6679505412336769E-3</v>
      </c>
      <c r="Q1850" t="s">
        <v>159</v>
      </c>
    </row>
    <row r="1851" spans="9:17" x14ac:dyDescent="0.45">
      <c r="I1851" t="s">
        <v>197</v>
      </c>
      <c r="J1851" t="s">
        <v>292</v>
      </c>
      <c r="K1851">
        <v>0</v>
      </c>
      <c r="L1851" t="s">
        <v>159</v>
      </c>
      <c r="N1851" t="s">
        <v>240</v>
      </c>
      <c r="O1851" t="s">
        <v>292</v>
      </c>
      <c r="P1851">
        <v>3.1533967843915046E-3</v>
      </c>
      <c r="Q1851" t="s">
        <v>159</v>
      </c>
    </row>
    <row r="1852" spans="9:17" x14ac:dyDescent="0.45">
      <c r="I1852" t="s">
        <v>197</v>
      </c>
      <c r="J1852" t="s">
        <v>310</v>
      </c>
      <c r="K1852">
        <v>0</v>
      </c>
      <c r="L1852" t="s">
        <v>159</v>
      </c>
      <c r="N1852" t="s">
        <v>240</v>
      </c>
      <c r="O1852" t="s">
        <v>310</v>
      </c>
      <c r="P1852">
        <v>2.1574220545763165E-2</v>
      </c>
      <c r="Q1852" t="s">
        <v>159</v>
      </c>
    </row>
    <row r="1853" spans="9:17" x14ac:dyDescent="0.45">
      <c r="I1853" t="s">
        <v>197</v>
      </c>
      <c r="J1853" t="s">
        <v>293</v>
      </c>
      <c r="K1853">
        <v>0</v>
      </c>
      <c r="L1853" t="s">
        <v>159</v>
      </c>
      <c r="N1853" t="s">
        <v>240</v>
      </c>
      <c r="O1853" t="s">
        <v>293</v>
      </c>
      <c r="P1853">
        <v>1.3315073604121328E-2</v>
      </c>
      <c r="Q1853" t="s">
        <v>159</v>
      </c>
    </row>
    <row r="1854" spans="9:17" x14ac:dyDescent="0.45">
      <c r="I1854" t="s">
        <v>197</v>
      </c>
      <c r="J1854" t="s">
        <v>294</v>
      </c>
      <c r="K1854">
        <v>9.6851627895289214E-4</v>
      </c>
      <c r="L1854" t="s">
        <v>159</v>
      </c>
      <c r="N1854" t="s">
        <v>240</v>
      </c>
      <c r="O1854" t="s">
        <v>294</v>
      </c>
      <c r="P1854">
        <v>1.6428717634849915E-3</v>
      </c>
      <c r="Q1854" t="s">
        <v>159</v>
      </c>
    </row>
    <row r="1855" spans="9:17" x14ac:dyDescent="0.45">
      <c r="I1855" t="s">
        <v>197</v>
      </c>
      <c r="J1855" t="s">
        <v>295</v>
      </c>
      <c r="K1855">
        <v>1.6800083075054959E-2</v>
      </c>
      <c r="L1855" t="s">
        <v>159</v>
      </c>
      <c r="N1855" t="s">
        <v>240</v>
      </c>
      <c r="O1855" t="s">
        <v>295</v>
      </c>
      <c r="P1855">
        <v>1.0532005417086855E-2</v>
      </c>
      <c r="Q1855" t="s">
        <v>159</v>
      </c>
    </row>
    <row r="1856" spans="9:17" x14ac:dyDescent="0.45">
      <c r="I1856" t="s">
        <v>197</v>
      </c>
      <c r="J1856" t="s">
        <v>296</v>
      </c>
      <c r="K1856">
        <v>1.4049502349219617E-3</v>
      </c>
      <c r="L1856" t="s">
        <v>159</v>
      </c>
      <c r="N1856" t="s">
        <v>240</v>
      </c>
      <c r="O1856" t="s">
        <v>296</v>
      </c>
      <c r="P1856">
        <v>6.281701207490742E-4</v>
      </c>
      <c r="Q1856" t="s">
        <v>159</v>
      </c>
    </row>
    <row r="1857" spans="9:17" x14ac:dyDescent="0.45">
      <c r="I1857" t="s">
        <v>197</v>
      </c>
      <c r="J1857" t="s">
        <v>297</v>
      </c>
      <c r="K1857">
        <v>1.6844547457916595E-4</v>
      </c>
      <c r="L1857" t="s">
        <v>159</v>
      </c>
      <c r="N1857" t="s">
        <v>240</v>
      </c>
      <c r="O1857" t="s">
        <v>297</v>
      </c>
      <c r="P1857">
        <v>8.4484068377726085E-4</v>
      </c>
      <c r="Q1857" t="s">
        <v>159</v>
      </c>
    </row>
    <row r="1858" spans="9:17" x14ac:dyDescent="0.45">
      <c r="I1858" t="s">
        <v>197</v>
      </c>
      <c r="J1858" t="s">
        <v>311</v>
      </c>
      <c r="K1858">
        <v>0</v>
      </c>
      <c r="L1858" t="s">
        <v>159</v>
      </c>
      <c r="N1858" t="s">
        <v>240</v>
      </c>
      <c r="O1858" t="s">
        <v>311</v>
      </c>
      <c r="P1858">
        <v>8.4629407476065135E-3</v>
      </c>
      <c r="Q1858" t="s">
        <v>159</v>
      </c>
    </row>
    <row r="1859" spans="9:17" x14ac:dyDescent="0.45">
      <c r="I1859" t="s">
        <v>197</v>
      </c>
      <c r="J1859" t="s">
        <v>298</v>
      </c>
      <c r="K1859">
        <v>5.0668435961412689E-3</v>
      </c>
      <c r="L1859" t="s">
        <v>159</v>
      </c>
      <c r="N1859" t="s">
        <v>240</v>
      </c>
      <c r="O1859" t="s">
        <v>298</v>
      </c>
      <c r="P1859">
        <v>0.10340094095561014</v>
      </c>
      <c r="Q1859" t="s">
        <v>159</v>
      </c>
    </row>
    <row r="1860" spans="9:17" x14ac:dyDescent="0.45">
      <c r="I1860" t="s">
        <v>197</v>
      </c>
      <c r="J1860" t="s">
        <v>299</v>
      </c>
      <c r="K1860">
        <v>1.5534651050565345E-2</v>
      </c>
      <c r="L1860" t="s">
        <v>159</v>
      </c>
      <c r="N1860" t="s">
        <v>240</v>
      </c>
      <c r="O1860" t="s">
        <v>299</v>
      </c>
      <c r="P1860">
        <v>1.126060938968689E-2</v>
      </c>
      <c r="Q1860" t="s">
        <v>159</v>
      </c>
    </row>
    <row r="1861" spans="9:17" x14ac:dyDescent="0.45">
      <c r="I1861" t="s">
        <v>197</v>
      </c>
      <c r="J1861" t="s">
        <v>300</v>
      </c>
      <c r="K1861">
        <v>0.24376465896163724</v>
      </c>
      <c r="L1861" t="s">
        <v>159</v>
      </c>
      <c r="N1861" t="s">
        <v>240</v>
      </c>
      <c r="O1861" t="s">
        <v>300</v>
      </c>
      <c r="P1861">
        <v>0.1046851067762363</v>
      </c>
      <c r="Q1861" t="s">
        <v>159</v>
      </c>
    </row>
    <row r="1862" spans="9:17" x14ac:dyDescent="0.45">
      <c r="I1862" t="s">
        <v>197</v>
      </c>
      <c r="J1862" t="s">
        <v>301</v>
      </c>
      <c r="K1862">
        <v>1.8128551501446988E-2</v>
      </c>
      <c r="L1862" t="s">
        <v>159</v>
      </c>
      <c r="N1862" t="s">
        <v>240</v>
      </c>
      <c r="O1862" t="s">
        <v>301</v>
      </c>
      <c r="P1862">
        <v>1.0513510056532021E-2</v>
      </c>
      <c r="Q1862" t="s">
        <v>159</v>
      </c>
    </row>
    <row r="1863" spans="9:17" x14ac:dyDescent="0.45">
      <c r="I1863" t="s">
        <v>197</v>
      </c>
      <c r="J1863" t="s">
        <v>302</v>
      </c>
      <c r="K1863">
        <v>1.136611133906487E-2</v>
      </c>
      <c r="L1863" t="s">
        <v>159</v>
      </c>
      <c r="N1863" t="s">
        <v>240</v>
      </c>
      <c r="O1863" t="s">
        <v>302</v>
      </c>
      <c r="P1863">
        <v>1.1452028835917219E-2</v>
      </c>
      <c r="Q1863" t="s">
        <v>159</v>
      </c>
    </row>
    <row r="1864" spans="9:17" x14ac:dyDescent="0.45">
      <c r="I1864" t="s">
        <v>197</v>
      </c>
      <c r="J1864" t="s">
        <v>312</v>
      </c>
      <c r="K1864">
        <v>0</v>
      </c>
      <c r="L1864" t="s">
        <v>159</v>
      </c>
      <c r="N1864" t="s">
        <v>240</v>
      </c>
      <c r="O1864" t="s">
        <v>312</v>
      </c>
      <c r="P1864">
        <v>7.6055181710855249E-2</v>
      </c>
      <c r="Q1864" t="s">
        <v>159</v>
      </c>
    </row>
    <row r="1865" spans="9:17" x14ac:dyDescent="0.45">
      <c r="I1865" t="s">
        <v>197</v>
      </c>
      <c r="J1865" t="s">
        <v>313</v>
      </c>
      <c r="K1865">
        <v>1.5837851432053591E-3</v>
      </c>
      <c r="L1865" t="s">
        <v>159</v>
      </c>
      <c r="N1865" t="s">
        <v>240</v>
      </c>
      <c r="O1865" t="s">
        <v>313</v>
      </c>
      <c r="P1865">
        <v>1.7766606145295297E-2</v>
      </c>
      <c r="Q1865" t="s">
        <v>159</v>
      </c>
    </row>
    <row r="1866" spans="9:17" x14ac:dyDescent="0.45">
      <c r="I1866" t="s">
        <v>197</v>
      </c>
      <c r="J1866" t="s">
        <v>314</v>
      </c>
      <c r="K1866">
        <v>3.1578789404314148E-3</v>
      </c>
      <c r="L1866" t="s">
        <v>159</v>
      </c>
      <c r="N1866" t="s">
        <v>240</v>
      </c>
      <c r="O1866" t="s">
        <v>314</v>
      </c>
      <c r="P1866">
        <v>1.5893123174772217E-3</v>
      </c>
      <c r="Q1866" t="s">
        <v>159</v>
      </c>
    </row>
    <row r="1867" spans="9:17" x14ac:dyDescent="0.45">
      <c r="I1867" t="s">
        <v>197</v>
      </c>
      <c r="J1867" t="s">
        <v>315</v>
      </c>
      <c r="K1867">
        <v>6.6454688844640397E-2</v>
      </c>
      <c r="L1867" t="s">
        <v>159</v>
      </c>
      <c r="N1867" t="s">
        <v>240</v>
      </c>
      <c r="O1867" t="s">
        <v>315</v>
      </c>
      <c r="P1867">
        <v>1.6561344818225143E-2</v>
      </c>
      <c r="Q1867" t="s">
        <v>159</v>
      </c>
    </row>
    <row r="1868" spans="9:17" x14ac:dyDescent="0.45">
      <c r="I1868" t="s">
        <v>197</v>
      </c>
      <c r="J1868" t="s">
        <v>316</v>
      </c>
      <c r="K1868">
        <v>4.8244488555640539E-3</v>
      </c>
      <c r="L1868" t="s">
        <v>159</v>
      </c>
      <c r="N1868" t="s">
        <v>240</v>
      </c>
      <c r="O1868" t="s">
        <v>316</v>
      </c>
      <c r="P1868">
        <v>1.8398133894223046E-3</v>
      </c>
      <c r="Q1868" t="s">
        <v>159</v>
      </c>
    </row>
    <row r="1869" spans="9:17" x14ac:dyDescent="0.45">
      <c r="I1869" t="s">
        <v>197</v>
      </c>
      <c r="J1869" t="s">
        <v>317</v>
      </c>
      <c r="K1869">
        <v>3.2354050326038044E-3</v>
      </c>
      <c r="L1869" t="s">
        <v>159</v>
      </c>
      <c r="N1869" t="s">
        <v>240</v>
      </c>
      <c r="O1869" t="s">
        <v>317</v>
      </c>
      <c r="P1869">
        <v>1.8303245448664687E-3</v>
      </c>
      <c r="Q1869" t="s">
        <v>159</v>
      </c>
    </row>
    <row r="1870" spans="9:17" x14ac:dyDescent="0.45">
      <c r="I1870" t="s">
        <v>197</v>
      </c>
      <c r="J1870" t="s">
        <v>318</v>
      </c>
      <c r="K1870">
        <v>1.6673519157128383E-3</v>
      </c>
      <c r="L1870" t="s">
        <v>159</v>
      </c>
      <c r="N1870" t="s">
        <v>240</v>
      </c>
      <c r="O1870" t="s">
        <v>318</v>
      </c>
      <c r="P1870">
        <v>1.3058785355657966E-2</v>
      </c>
      <c r="Q1870" t="s">
        <v>159</v>
      </c>
    </row>
    <row r="1871" spans="9:17" x14ac:dyDescent="0.45">
      <c r="I1871" t="s">
        <v>198</v>
      </c>
      <c r="J1871" t="s">
        <v>158</v>
      </c>
      <c r="K1871">
        <v>2.2887662839077517E-3</v>
      </c>
      <c r="L1871" t="s">
        <v>159</v>
      </c>
      <c r="N1871" t="s">
        <v>241</v>
      </c>
      <c r="O1871" t="s">
        <v>158</v>
      </c>
      <c r="P1871">
        <v>0.17204538112806925</v>
      </c>
      <c r="Q1871" t="s">
        <v>159</v>
      </c>
    </row>
    <row r="1872" spans="9:17" x14ac:dyDescent="0.45">
      <c r="I1872" t="s">
        <v>198</v>
      </c>
      <c r="J1872" t="s">
        <v>160</v>
      </c>
      <c r="K1872">
        <v>1.4837492277823661E-2</v>
      </c>
      <c r="L1872" t="s">
        <v>159</v>
      </c>
      <c r="N1872" t="s">
        <v>241</v>
      </c>
      <c r="O1872" t="s">
        <v>160</v>
      </c>
      <c r="P1872">
        <v>1.9646046665026375E-2</v>
      </c>
      <c r="Q1872" t="s">
        <v>159</v>
      </c>
    </row>
    <row r="1873" spans="9:17" x14ac:dyDescent="0.45">
      <c r="I1873" t="s">
        <v>198</v>
      </c>
      <c r="J1873" t="s">
        <v>161</v>
      </c>
      <c r="K1873">
        <v>0.39259354035948368</v>
      </c>
      <c r="L1873" t="s">
        <v>159</v>
      </c>
      <c r="N1873" t="s">
        <v>241</v>
      </c>
      <c r="O1873" t="s">
        <v>161</v>
      </c>
      <c r="P1873">
        <v>9.6230742225563298E-2</v>
      </c>
      <c r="Q1873" t="s">
        <v>159</v>
      </c>
    </row>
    <row r="1874" spans="9:17" x14ac:dyDescent="0.45">
      <c r="I1874" t="s">
        <v>198</v>
      </c>
      <c r="J1874" t="s">
        <v>287</v>
      </c>
      <c r="K1874">
        <v>3.1877372274317264E-2</v>
      </c>
      <c r="L1874" t="s">
        <v>159</v>
      </c>
      <c r="N1874" t="s">
        <v>241</v>
      </c>
      <c r="O1874" t="s">
        <v>287</v>
      </c>
      <c r="P1874">
        <v>7.30307769896767E-3</v>
      </c>
      <c r="Q1874" t="s">
        <v>159</v>
      </c>
    </row>
    <row r="1875" spans="9:17" x14ac:dyDescent="0.45">
      <c r="I1875" t="s">
        <v>198</v>
      </c>
      <c r="J1875" t="s">
        <v>288</v>
      </c>
      <c r="K1875">
        <v>1.4753194197132549E-2</v>
      </c>
      <c r="L1875" t="s">
        <v>159</v>
      </c>
      <c r="N1875" t="s">
        <v>241</v>
      </c>
      <c r="O1875" t="s">
        <v>288</v>
      </c>
      <c r="P1875">
        <v>9.4281802585894584E-3</v>
      </c>
      <c r="Q1875" t="s">
        <v>159</v>
      </c>
    </row>
    <row r="1876" spans="9:17" x14ac:dyDescent="0.45">
      <c r="I1876" t="s">
        <v>198</v>
      </c>
      <c r="J1876" t="s">
        <v>308</v>
      </c>
      <c r="K1876">
        <v>4.5033776170717004E-3</v>
      </c>
      <c r="L1876" t="s">
        <v>159</v>
      </c>
      <c r="N1876" t="s">
        <v>241</v>
      </c>
      <c r="O1876" t="s">
        <v>308</v>
      </c>
      <c r="P1876">
        <v>9.8898205256596039E-2</v>
      </c>
      <c r="Q1876" t="s">
        <v>159</v>
      </c>
    </row>
    <row r="1877" spans="9:17" x14ac:dyDescent="0.45">
      <c r="I1877" t="s">
        <v>198</v>
      </c>
      <c r="J1877" t="s">
        <v>162</v>
      </c>
      <c r="K1877">
        <v>0</v>
      </c>
      <c r="L1877" t="s">
        <v>159</v>
      </c>
      <c r="N1877" t="s">
        <v>241</v>
      </c>
      <c r="O1877" t="s">
        <v>162</v>
      </c>
      <c r="P1877">
        <v>3.6772083940842776E-2</v>
      </c>
      <c r="Q1877" t="s">
        <v>159</v>
      </c>
    </row>
    <row r="1878" spans="9:17" x14ac:dyDescent="0.45">
      <c r="I1878" t="s">
        <v>198</v>
      </c>
      <c r="J1878" t="s">
        <v>163</v>
      </c>
      <c r="K1878">
        <v>0</v>
      </c>
      <c r="L1878" t="s">
        <v>159</v>
      </c>
      <c r="N1878" t="s">
        <v>241</v>
      </c>
      <c r="O1878" t="s">
        <v>163</v>
      </c>
      <c r="P1878">
        <v>5.025182108598719E-3</v>
      </c>
      <c r="Q1878" t="s">
        <v>159</v>
      </c>
    </row>
    <row r="1879" spans="9:17" x14ac:dyDescent="0.45">
      <c r="I1879" t="s">
        <v>198</v>
      </c>
      <c r="J1879" t="s">
        <v>164</v>
      </c>
      <c r="K1879">
        <v>4.2568692524443619E-2</v>
      </c>
      <c r="L1879" t="s">
        <v>159</v>
      </c>
      <c r="N1879" t="s">
        <v>241</v>
      </c>
      <c r="O1879" t="s">
        <v>164</v>
      </c>
      <c r="P1879">
        <v>2.7201695453145481E-2</v>
      </c>
      <c r="Q1879" t="s">
        <v>159</v>
      </c>
    </row>
    <row r="1880" spans="9:17" x14ac:dyDescent="0.45">
      <c r="I1880" t="s">
        <v>198</v>
      </c>
      <c r="J1880" t="s">
        <v>289</v>
      </c>
      <c r="K1880">
        <v>3.1964146261262171E-3</v>
      </c>
      <c r="L1880" t="s">
        <v>159</v>
      </c>
      <c r="N1880" t="s">
        <v>241</v>
      </c>
      <c r="O1880" t="s">
        <v>289</v>
      </c>
      <c r="P1880">
        <v>2.1376286373035159E-3</v>
      </c>
      <c r="Q1880" t="s">
        <v>159</v>
      </c>
    </row>
    <row r="1881" spans="9:17" x14ac:dyDescent="0.45">
      <c r="I1881" t="s">
        <v>198</v>
      </c>
      <c r="J1881" t="s">
        <v>290</v>
      </c>
      <c r="K1881">
        <v>0</v>
      </c>
      <c r="L1881" t="s">
        <v>159</v>
      </c>
      <c r="N1881" t="s">
        <v>241</v>
      </c>
      <c r="O1881" t="s">
        <v>290</v>
      </c>
      <c r="P1881">
        <v>2.8355184610416384E-3</v>
      </c>
      <c r="Q1881" t="s">
        <v>159</v>
      </c>
    </row>
    <row r="1882" spans="9:17" x14ac:dyDescent="0.45">
      <c r="I1882" t="s">
        <v>198</v>
      </c>
      <c r="J1882" t="s">
        <v>309</v>
      </c>
      <c r="K1882">
        <v>0</v>
      </c>
      <c r="L1882" t="s">
        <v>159</v>
      </c>
      <c r="N1882" t="s">
        <v>241</v>
      </c>
      <c r="O1882" t="s">
        <v>309</v>
      </c>
      <c r="P1882">
        <v>2.3907595746776731E-2</v>
      </c>
      <c r="Q1882" t="s">
        <v>159</v>
      </c>
    </row>
    <row r="1883" spans="9:17" x14ac:dyDescent="0.45">
      <c r="I1883" t="s">
        <v>198</v>
      </c>
      <c r="J1883" t="s">
        <v>346</v>
      </c>
      <c r="K1883">
        <v>0</v>
      </c>
      <c r="L1883" t="s">
        <v>159</v>
      </c>
      <c r="N1883" t="s">
        <v>241</v>
      </c>
      <c r="O1883" t="s">
        <v>346</v>
      </c>
      <c r="P1883">
        <v>1.4025474631383512E-4</v>
      </c>
      <c r="Q1883" t="s">
        <v>159</v>
      </c>
    </row>
    <row r="1884" spans="9:17" x14ac:dyDescent="0.45">
      <c r="I1884" t="s">
        <v>198</v>
      </c>
      <c r="J1884" t="s">
        <v>347</v>
      </c>
      <c r="K1884">
        <v>0</v>
      </c>
      <c r="L1884" t="s">
        <v>159</v>
      </c>
      <c r="N1884" t="s">
        <v>241</v>
      </c>
      <c r="O1884" t="s">
        <v>347</v>
      </c>
      <c r="P1884">
        <v>1.296139264177543E-4</v>
      </c>
      <c r="Q1884" t="s">
        <v>159</v>
      </c>
    </row>
    <row r="1885" spans="9:17" x14ac:dyDescent="0.45">
      <c r="I1885" t="s">
        <v>198</v>
      </c>
      <c r="J1885" t="s">
        <v>348</v>
      </c>
      <c r="K1885">
        <v>0</v>
      </c>
      <c r="L1885" t="s">
        <v>159</v>
      </c>
      <c r="N1885" t="s">
        <v>241</v>
      </c>
      <c r="O1885" t="s">
        <v>348</v>
      </c>
      <c r="P1885">
        <v>1.0926389131068818E-4</v>
      </c>
      <c r="Q1885" t="s">
        <v>159</v>
      </c>
    </row>
    <row r="1886" spans="9:17" x14ac:dyDescent="0.45">
      <c r="I1886" t="s">
        <v>198</v>
      </c>
      <c r="J1886" t="s">
        <v>349</v>
      </c>
      <c r="K1886">
        <v>0</v>
      </c>
      <c r="L1886" t="s">
        <v>159</v>
      </c>
      <c r="N1886" t="s">
        <v>241</v>
      </c>
      <c r="O1886" t="s">
        <v>349</v>
      </c>
      <c r="P1886">
        <v>9.9533493525235352E-5</v>
      </c>
      <c r="Q1886" t="s">
        <v>159</v>
      </c>
    </row>
    <row r="1887" spans="9:17" x14ac:dyDescent="0.45">
      <c r="I1887" t="s">
        <v>198</v>
      </c>
      <c r="J1887" t="s">
        <v>350</v>
      </c>
      <c r="K1887">
        <v>0</v>
      </c>
      <c r="L1887" t="s">
        <v>159</v>
      </c>
      <c r="N1887" t="s">
        <v>241</v>
      </c>
      <c r="O1887" t="s">
        <v>350</v>
      </c>
      <c r="P1887">
        <v>9.1625929261686037E-5</v>
      </c>
      <c r="Q1887" t="s">
        <v>159</v>
      </c>
    </row>
    <row r="1888" spans="9:17" x14ac:dyDescent="0.45">
      <c r="I1888" t="s">
        <v>198</v>
      </c>
      <c r="J1888" t="s">
        <v>351</v>
      </c>
      <c r="K1888">
        <v>0</v>
      </c>
      <c r="L1888" t="s">
        <v>159</v>
      </c>
      <c r="N1888" t="s">
        <v>241</v>
      </c>
      <c r="O1888" t="s">
        <v>351</v>
      </c>
      <c r="P1888">
        <v>8.1010131171798506E-5</v>
      </c>
      <c r="Q1888" t="s">
        <v>159</v>
      </c>
    </row>
    <row r="1889" spans="9:17" x14ac:dyDescent="0.45">
      <c r="I1889" t="s">
        <v>198</v>
      </c>
      <c r="J1889" t="s">
        <v>352</v>
      </c>
      <c r="K1889">
        <v>0</v>
      </c>
      <c r="L1889" t="s">
        <v>159</v>
      </c>
      <c r="N1889" t="s">
        <v>241</v>
      </c>
      <c r="O1889" t="s">
        <v>352</v>
      </c>
      <c r="P1889">
        <v>7.0006147246300649E-5</v>
      </c>
      <c r="Q1889" t="s">
        <v>159</v>
      </c>
    </row>
    <row r="1890" spans="9:17" x14ac:dyDescent="0.45">
      <c r="I1890" t="s">
        <v>198</v>
      </c>
      <c r="J1890" t="s">
        <v>353</v>
      </c>
      <c r="K1890">
        <v>0</v>
      </c>
      <c r="L1890" t="s">
        <v>159</v>
      </c>
      <c r="N1890" t="s">
        <v>241</v>
      </c>
      <c r="O1890" t="s">
        <v>353</v>
      </c>
      <c r="P1890">
        <v>6.3699204920093346E-5</v>
      </c>
      <c r="Q1890" t="s">
        <v>159</v>
      </c>
    </row>
    <row r="1891" spans="9:17" x14ac:dyDescent="0.45">
      <c r="I1891" t="s">
        <v>198</v>
      </c>
      <c r="J1891" t="s">
        <v>354</v>
      </c>
      <c r="K1891">
        <v>1.382800910671232E-4</v>
      </c>
      <c r="L1891" t="s">
        <v>159</v>
      </c>
      <c r="N1891" t="s">
        <v>241</v>
      </c>
      <c r="O1891" t="s">
        <v>354</v>
      </c>
      <c r="P1891">
        <v>4.3404148069193957E-5</v>
      </c>
      <c r="Q1891" t="s">
        <v>159</v>
      </c>
    </row>
    <row r="1892" spans="9:17" x14ac:dyDescent="0.45">
      <c r="I1892" t="s">
        <v>198</v>
      </c>
      <c r="J1892" t="s">
        <v>355</v>
      </c>
      <c r="K1892">
        <v>1.9144313742502906E-4</v>
      </c>
      <c r="L1892" t="s">
        <v>159</v>
      </c>
      <c r="N1892" t="s">
        <v>241</v>
      </c>
      <c r="O1892" t="s">
        <v>355</v>
      </c>
      <c r="P1892">
        <v>1.8500962819479969E-5</v>
      </c>
      <c r="Q1892" t="s">
        <v>159</v>
      </c>
    </row>
    <row r="1893" spans="9:17" x14ac:dyDescent="0.45">
      <c r="I1893" t="s">
        <v>198</v>
      </c>
      <c r="J1893" t="s">
        <v>356</v>
      </c>
      <c r="K1893">
        <v>1.9372446118738103E-4</v>
      </c>
      <c r="L1893" t="s">
        <v>159</v>
      </c>
      <c r="N1893" t="s">
        <v>241</v>
      </c>
      <c r="O1893" t="s">
        <v>356</v>
      </c>
      <c r="P1893">
        <v>1.9689394143718586E-5</v>
      </c>
      <c r="Q1893" t="s">
        <v>159</v>
      </c>
    </row>
    <row r="1894" spans="9:17" x14ac:dyDescent="0.45">
      <c r="I1894" t="s">
        <v>198</v>
      </c>
      <c r="J1894" t="s">
        <v>357</v>
      </c>
      <c r="K1894">
        <v>1.9960593863904154E-4</v>
      </c>
      <c r="L1894" t="s">
        <v>159</v>
      </c>
      <c r="N1894" t="s">
        <v>241</v>
      </c>
      <c r="O1894" t="s">
        <v>357</v>
      </c>
      <c r="P1894">
        <v>2.4162316109170991E-5</v>
      </c>
      <c r="Q1894" t="s">
        <v>159</v>
      </c>
    </row>
    <row r="1895" spans="9:17" x14ac:dyDescent="0.45">
      <c r="I1895" t="s">
        <v>198</v>
      </c>
      <c r="J1895" t="s">
        <v>358</v>
      </c>
      <c r="K1895">
        <v>2.4558063736129082E-4</v>
      </c>
      <c r="L1895" t="s">
        <v>159</v>
      </c>
      <c r="N1895" t="s">
        <v>241</v>
      </c>
      <c r="O1895" t="s">
        <v>358</v>
      </c>
      <c r="P1895">
        <v>2.5260991953975586E-5</v>
      </c>
      <c r="Q1895" t="s">
        <v>159</v>
      </c>
    </row>
    <row r="1896" spans="9:17" x14ac:dyDescent="0.45">
      <c r="I1896" t="s">
        <v>198</v>
      </c>
      <c r="J1896" t="s">
        <v>359</v>
      </c>
      <c r="K1896">
        <v>2.5207294853175623E-4</v>
      </c>
      <c r="L1896" t="s">
        <v>159</v>
      </c>
      <c r="N1896" t="s">
        <v>241</v>
      </c>
      <c r="O1896" t="s">
        <v>359</v>
      </c>
      <c r="P1896">
        <v>2.5816294765119978E-5</v>
      </c>
      <c r="Q1896" t="s">
        <v>159</v>
      </c>
    </row>
    <row r="1897" spans="9:17" x14ac:dyDescent="0.45">
      <c r="I1897" t="s">
        <v>198</v>
      </c>
      <c r="J1897" t="s">
        <v>360</v>
      </c>
      <c r="K1897">
        <v>2.032196623865147E-4</v>
      </c>
      <c r="L1897" t="s">
        <v>159</v>
      </c>
      <c r="N1897" t="s">
        <v>241</v>
      </c>
      <c r="O1897" t="s">
        <v>360</v>
      </c>
      <c r="P1897">
        <v>2.3496632620559199E-5</v>
      </c>
      <c r="Q1897" t="s">
        <v>159</v>
      </c>
    </row>
    <row r="1898" spans="9:17" x14ac:dyDescent="0.45">
      <c r="I1898" t="s">
        <v>198</v>
      </c>
      <c r="J1898" t="s">
        <v>361</v>
      </c>
      <c r="K1898">
        <v>1.9502570674826282E-4</v>
      </c>
      <c r="L1898" t="s">
        <v>159</v>
      </c>
      <c r="N1898" t="s">
        <v>241</v>
      </c>
      <c r="O1898" t="s">
        <v>361</v>
      </c>
      <c r="P1898">
        <v>2.0390310788783123E-5</v>
      </c>
      <c r="Q1898" t="s">
        <v>159</v>
      </c>
    </row>
    <row r="1899" spans="9:17" x14ac:dyDescent="0.45">
      <c r="I1899" t="s">
        <v>198</v>
      </c>
      <c r="J1899" t="s">
        <v>362</v>
      </c>
      <c r="K1899">
        <v>1.9946775213954403E-4</v>
      </c>
      <c r="L1899" t="s">
        <v>159</v>
      </c>
      <c r="N1899" t="s">
        <v>241</v>
      </c>
      <c r="O1899" t="s">
        <v>362</v>
      </c>
      <c r="P1899">
        <v>1.7515750528733753E-5</v>
      </c>
      <c r="Q1899" t="s">
        <v>159</v>
      </c>
    </row>
    <row r="1900" spans="9:17" x14ac:dyDescent="0.45">
      <c r="I1900" t="s">
        <v>198</v>
      </c>
      <c r="J1900" t="s">
        <v>363</v>
      </c>
      <c r="K1900">
        <v>1.5253325314272537E-4</v>
      </c>
      <c r="L1900" t="s">
        <v>159</v>
      </c>
      <c r="N1900" t="s">
        <v>241</v>
      </c>
      <c r="O1900" t="s">
        <v>363</v>
      </c>
      <c r="P1900">
        <v>2.2682232178628385E-5</v>
      </c>
      <c r="Q1900" t="s">
        <v>159</v>
      </c>
    </row>
    <row r="1901" spans="9:17" x14ac:dyDescent="0.45">
      <c r="I1901" t="s">
        <v>198</v>
      </c>
      <c r="J1901" t="s">
        <v>364</v>
      </c>
      <c r="K1901">
        <v>0</v>
      </c>
      <c r="L1901" t="s">
        <v>159</v>
      </c>
      <c r="N1901" t="s">
        <v>241</v>
      </c>
      <c r="O1901" t="s">
        <v>364</v>
      </c>
      <c r="P1901">
        <v>3.6823011569661051E-5</v>
      </c>
      <c r="Q1901" t="s">
        <v>159</v>
      </c>
    </row>
    <row r="1902" spans="9:17" x14ac:dyDescent="0.45">
      <c r="I1902" t="s">
        <v>198</v>
      </c>
      <c r="J1902" t="s">
        <v>365</v>
      </c>
      <c r="K1902">
        <v>0</v>
      </c>
      <c r="L1902" t="s">
        <v>159</v>
      </c>
      <c r="N1902" t="s">
        <v>241</v>
      </c>
      <c r="O1902" t="s">
        <v>365</v>
      </c>
      <c r="P1902">
        <v>5.9370478335732191E-5</v>
      </c>
      <c r="Q1902" t="s">
        <v>159</v>
      </c>
    </row>
    <row r="1903" spans="9:17" x14ac:dyDescent="0.45">
      <c r="I1903" t="s">
        <v>198</v>
      </c>
      <c r="J1903" t="s">
        <v>366</v>
      </c>
      <c r="K1903">
        <v>0</v>
      </c>
      <c r="L1903" t="s">
        <v>159</v>
      </c>
      <c r="N1903" t="s">
        <v>241</v>
      </c>
      <c r="O1903" t="s">
        <v>366</v>
      </c>
      <c r="P1903">
        <v>8.4886085461062435E-5</v>
      </c>
      <c r="Q1903" t="s">
        <v>159</v>
      </c>
    </row>
    <row r="1904" spans="9:17" x14ac:dyDescent="0.45">
      <c r="I1904" t="s">
        <v>198</v>
      </c>
      <c r="J1904" t="s">
        <v>367</v>
      </c>
      <c r="K1904">
        <v>0</v>
      </c>
      <c r="L1904" t="s">
        <v>159</v>
      </c>
      <c r="N1904" t="s">
        <v>241</v>
      </c>
      <c r="O1904" t="s">
        <v>367</v>
      </c>
      <c r="P1904">
        <v>1.0989814773168191E-4</v>
      </c>
      <c r="Q1904" t="s">
        <v>159</v>
      </c>
    </row>
    <row r="1905" spans="9:17" x14ac:dyDescent="0.45">
      <c r="I1905" t="s">
        <v>198</v>
      </c>
      <c r="J1905" t="s">
        <v>368</v>
      </c>
      <c r="K1905">
        <v>0</v>
      </c>
      <c r="L1905" t="s">
        <v>159</v>
      </c>
      <c r="N1905" t="s">
        <v>241</v>
      </c>
      <c r="O1905" t="s">
        <v>368</v>
      </c>
      <c r="P1905">
        <v>1.4229247044172984E-4</v>
      </c>
      <c r="Q1905" t="s">
        <v>159</v>
      </c>
    </row>
    <row r="1906" spans="9:17" x14ac:dyDescent="0.45">
      <c r="I1906" t="s">
        <v>198</v>
      </c>
      <c r="J1906" t="s">
        <v>369</v>
      </c>
      <c r="K1906">
        <v>0</v>
      </c>
      <c r="L1906" t="s">
        <v>159</v>
      </c>
      <c r="N1906" t="s">
        <v>241</v>
      </c>
      <c r="O1906" t="s">
        <v>369</v>
      </c>
      <c r="P1906">
        <v>1.6101431655776705E-4</v>
      </c>
      <c r="Q1906" t="s">
        <v>159</v>
      </c>
    </row>
    <row r="1907" spans="9:17" x14ac:dyDescent="0.45">
      <c r="I1907" t="s">
        <v>198</v>
      </c>
      <c r="J1907" t="s">
        <v>165</v>
      </c>
      <c r="K1907">
        <v>0</v>
      </c>
      <c r="L1907" t="s">
        <v>159</v>
      </c>
      <c r="N1907" t="s">
        <v>241</v>
      </c>
      <c r="O1907" t="s">
        <v>165</v>
      </c>
      <c r="P1907">
        <v>3.3174596707733185E-2</v>
      </c>
      <c r="Q1907" t="s">
        <v>159</v>
      </c>
    </row>
    <row r="1908" spans="9:17" x14ac:dyDescent="0.45">
      <c r="I1908" t="s">
        <v>198</v>
      </c>
      <c r="J1908" t="s">
        <v>166</v>
      </c>
      <c r="K1908">
        <v>0</v>
      </c>
      <c r="L1908" t="s">
        <v>159</v>
      </c>
      <c r="N1908" t="s">
        <v>241</v>
      </c>
      <c r="O1908" t="s">
        <v>166</v>
      </c>
      <c r="P1908">
        <v>4.3555316919892733E-3</v>
      </c>
      <c r="Q1908" t="s">
        <v>159</v>
      </c>
    </row>
    <row r="1909" spans="9:17" x14ac:dyDescent="0.45">
      <c r="I1909" t="s">
        <v>198</v>
      </c>
      <c r="J1909" t="s">
        <v>167</v>
      </c>
      <c r="K1909">
        <v>6.5980166506954915E-2</v>
      </c>
      <c r="L1909" t="s">
        <v>159</v>
      </c>
      <c r="N1909" t="s">
        <v>241</v>
      </c>
      <c r="O1909" t="s">
        <v>167</v>
      </c>
      <c r="P1909">
        <v>2.3473593918932122E-2</v>
      </c>
      <c r="Q1909" t="s">
        <v>159</v>
      </c>
    </row>
    <row r="1910" spans="9:17" x14ac:dyDescent="0.45">
      <c r="I1910" t="s">
        <v>198</v>
      </c>
      <c r="J1910" t="s">
        <v>291</v>
      </c>
      <c r="K1910">
        <v>5.4687990843570664E-3</v>
      </c>
      <c r="L1910" t="s">
        <v>159</v>
      </c>
      <c r="N1910" t="s">
        <v>241</v>
      </c>
      <c r="O1910" t="s">
        <v>291</v>
      </c>
      <c r="P1910">
        <v>2.2120961341186188E-3</v>
      </c>
      <c r="Q1910" t="s">
        <v>159</v>
      </c>
    </row>
    <row r="1911" spans="9:17" x14ac:dyDescent="0.45">
      <c r="I1911" t="s">
        <v>198</v>
      </c>
      <c r="J1911" t="s">
        <v>292</v>
      </c>
      <c r="K1911">
        <v>6.5025514581587974E-5</v>
      </c>
      <c r="L1911" t="s">
        <v>159</v>
      </c>
      <c r="N1911" t="s">
        <v>241</v>
      </c>
      <c r="O1911" t="s">
        <v>292</v>
      </c>
      <c r="P1911">
        <v>2.6868029590994135E-3</v>
      </c>
      <c r="Q1911" t="s">
        <v>159</v>
      </c>
    </row>
    <row r="1912" spans="9:17" x14ac:dyDescent="0.45">
      <c r="I1912" t="s">
        <v>198</v>
      </c>
      <c r="J1912" t="s">
        <v>310</v>
      </c>
      <c r="K1912">
        <v>0</v>
      </c>
      <c r="L1912" t="s">
        <v>159</v>
      </c>
      <c r="N1912" t="s">
        <v>241</v>
      </c>
      <c r="O1912" t="s">
        <v>310</v>
      </c>
      <c r="P1912">
        <v>2.1918832715389438E-2</v>
      </c>
      <c r="Q1912" t="s">
        <v>159</v>
      </c>
    </row>
    <row r="1913" spans="9:17" x14ac:dyDescent="0.45">
      <c r="I1913" t="s">
        <v>198</v>
      </c>
      <c r="J1913" t="s">
        <v>293</v>
      </c>
      <c r="K1913">
        <v>0</v>
      </c>
      <c r="L1913" t="s">
        <v>159</v>
      </c>
      <c r="N1913" t="s">
        <v>241</v>
      </c>
      <c r="O1913" t="s">
        <v>293</v>
      </c>
      <c r="P1913">
        <v>1.3543794672233126E-2</v>
      </c>
      <c r="Q1913" t="s">
        <v>159</v>
      </c>
    </row>
    <row r="1914" spans="9:17" x14ac:dyDescent="0.45">
      <c r="I1914" t="s">
        <v>198</v>
      </c>
      <c r="J1914" t="s">
        <v>294</v>
      </c>
      <c r="K1914">
        <v>4.950440728222499E-4</v>
      </c>
      <c r="L1914" t="s">
        <v>159</v>
      </c>
      <c r="N1914" t="s">
        <v>241</v>
      </c>
      <c r="O1914" t="s">
        <v>294</v>
      </c>
      <c r="P1914">
        <v>1.7076466084675623E-3</v>
      </c>
      <c r="Q1914" t="s">
        <v>159</v>
      </c>
    </row>
    <row r="1915" spans="9:17" x14ac:dyDescent="0.45">
      <c r="I1915" t="s">
        <v>198</v>
      </c>
      <c r="J1915" t="s">
        <v>295</v>
      </c>
      <c r="K1915">
        <v>1.8171580776773773E-2</v>
      </c>
      <c r="L1915" t="s">
        <v>159</v>
      </c>
      <c r="N1915" t="s">
        <v>241</v>
      </c>
      <c r="O1915" t="s">
        <v>295</v>
      </c>
      <c r="P1915">
        <v>9.5502471877220232E-3</v>
      </c>
      <c r="Q1915" t="s">
        <v>159</v>
      </c>
    </row>
    <row r="1916" spans="9:17" x14ac:dyDescent="0.45">
      <c r="I1916" t="s">
        <v>198</v>
      </c>
      <c r="J1916" t="s">
        <v>296</v>
      </c>
      <c r="K1916">
        <v>1.4478568745777557E-3</v>
      </c>
      <c r="L1916" t="s">
        <v>159</v>
      </c>
      <c r="N1916" t="s">
        <v>241</v>
      </c>
      <c r="O1916" t="s">
        <v>296</v>
      </c>
      <c r="P1916">
        <v>6.1082101273011167E-4</v>
      </c>
      <c r="Q1916" t="s">
        <v>159</v>
      </c>
    </row>
    <row r="1917" spans="9:17" x14ac:dyDescent="0.45">
      <c r="I1917" t="s">
        <v>198</v>
      </c>
      <c r="J1917" t="s">
        <v>297</v>
      </c>
      <c r="K1917">
        <v>7.8455351865756525E-4</v>
      </c>
      <c r="L1917" t="s">
        <v>159</v>
      </c>
      <c r="N1917" t="s">
        <v>241</v>
      </c>
      <c r="O1917" t="s">
        <v>297</v>
      </c>
      <c r="P1917">
        <v>8.8461315388521406E-4</v>
      </c>
      <c r="Q1917" t="s">
        <v>159</v>
      </c>
    </row>
    <row r="1918" spans="9:17" x14ac:dyDescent="0.45">
      <c r="I1918" t="s">
        <v>198</v>
      </c>
      <c r="J1918" t="s">
        <v>311</v>
      </c>
      <c r="K1918">
        <v>0</v>
      </c>
      <c r="L1918" t="s">
        <v>159</v>
      </c>
      <c r="N1918" t="s">
        <v>241</v>
      </c>
      <c r="O1918" t="s">
        <v>311</v>
      </c>
      <c r="P1918">
        <v>8.4806773339857616E-3</v>
      </c>
      <c r="Q1918" t="s">
        <v>159</v>
      </c>
    </row>
    <row r="1919" spans="9:17" x14ac:dyDescent="0.45">
      <c r="I1919" t="s">
        <v>198</v>
      </c>
      <c r="J1919" t="s">
        <v>298</v>
      </c>
      <c r="K1919">
        <v>5.1371674241869501E-3</v>
      </c>
      <c r="L1919" t="s">
        <v>159</v>
      </c>
      <c r="N1919" t="s">
        <v>241</v>
      </c>
      <c r="O1919" t="s">
        <v>298</v>
      </c>
      <c r="P1919">
        <v>0.12046909532639739</v>
      </c>
      <c r="Q1919" t="s">
        <v>159</v>
      </c>
    </row>
    <row r="1920" spans="9:17" x14ac:dyDescent="0.45">
      <c r="I1920" t="s">
        <v>198</v>
      </c>
      <c r="J1920" t="s">
        <v>299</v>
      </c>
      <c r="K1920">
        <v>1.586202079661159E-2</v>
      </c>
      <c r="L1920" t="s">
        <v>159</v>
      </c>
      <c r="N1920" t="s">
        <v>241</v>
      </c>
      <c r="O1920" t="s">
        <v>299</v>
      </c>
      <c r="P1920">
        <v>1.251165894326514E-2</v>
      </c>
      <c r="Q1920" t="s">
        <v>159</v>
      </c>
    </row>
    <row r="1921" spans="9:17" x14ac:dyDescent="0.45">
      <c r="I1921" t="s">
        <v>198</v>
      </c>
      <c r="J1921" t="s">
        <v>300</v>
      </c>
      <c r="K1921">
        <v>0.25267932396711806</v>
      </c>
      <c r="L1921" t="s">
        <v>159</v>
      </c>
      <c r="N1921" t="s">
        <v>241</v>
      </c>
      <c r="O1921" t="s">
        <v>300</v>
      </c>
      <c r="P1921">
        <v>8.9578239820215955E-2</v>
      </c>
      <c r="Q1921" t="s">
        <v>159</v>
      </c>
    </row>
    <row r="1922" spans="9:17" x14ac:dyDescent="0.45">
      <c r="I1922" t="s">
        <v>198</v>
      </c>
      <c r="J1922" t="s">
        <v>301</v>
      </c>
      <c r="K1922">
        <v>1.8735215563707587E-2</v>
      </c>
      <c r="L1922" t="s">
        <v>159</v>
      </c>
      <c r="N1922" t="s">
        <v>241</v>
      </c>
      <c r="O1922" t="s">
        <v>301</v>
      </c>
      <c r="P1922">
        <v>9.5383772548197892E-3</v>
      </c>
      <c r="Q1922" t="s">
        <v>159</v>
      </c>
    </row>
    <row r="1923" spans="9:17" x14ac:dyDescent="0.45">
      <c r="I1923" t="s">
        <v>198</v>
      </c>
      <c r="J1923" t="s">
        <v>302</v>
      </c>
      <c r="K1923">
        <v>1.1749328950115651E-2</v>
      </c>
      <c r="L1923" t="s">
        <v>159</v>
      </c>
      <c r="N1923" t="s">
        <v>241</v>
      </c>
      <c r="O1923" t="s">
        <v>302</v>
      </c>
      <c r="P1923">
        <v>1.0671334114215334E-2</v>
      </c>
      <c r="Q1923" t="s">
        <v>159</v>
      </c>
    </row>
    <row r="1924" spans="9:17" x14ac:dyDescent="0.45">
      <c r="I1924" t="s">
        <v>198</v>
      </c>
      <c r="J1924" t="s">
        <v>312</v>
      </c>
      <c r="K1924">
        <v>6.5481250194211131E-4</v>
      </c>
      <c r="L1924" t="s">
        <v>159</v>
      </c>
      <c r="N1924" t="s">
        <v>241</v>
      </c>
      <c r="O1924" t="s">
        <v>312</v>
      </c>
      <c r="P1924">
        <v>7.653410871554342E-2</v>
      </c>
      <c r="Q1924" t="s">
        <v>159</v>
      </c>
    </row>
    <row r="1925" spans="9:17" x14ac:dyDescent="0.45">
      <c r="I1925" t="s">
        <v>198</v>
      </c>
      <c r="J1925" t="s">
        <v>313</v>
      </c>
      <c r="K1925">
        <v>2.5489265872553428E-3</v>
      </c>
      <c r="L1925" t="s">
        <v>159</v>
      </c>
      <c r="N1925" t="s">
        <v>241</v>
      </c>
      <c r="O1925" t="s">
        <v>313</v>
      </c>
      <c r="P1925">
        <v>2.0624576264473997E-2</v>
      </c>
      <c r="Q1925" t="s">
        <v>159</v>
      </c>
    </row>
    <row r="1926" spans="9:17" x14ac:dyDescent="0.45">
      <c r="I1926" t="s">
        <v>198</v>
      </c>
      <c r="J1926" t="s">
        <v>314</v>
      </c>
      <c r="K1926">
        <v>4.7829389384935351E-3</v>
      </c>
      <c r="L1926" t="s">
        <v>159</v>
      </c>
      <c r="N1926" t="s">
        <v>241</v>
      </c>
      <c r="O1926" t="s">
        <v>314</v>
      </c>
      <c r="P1926">
        <v>2.2875688241113996E-3</v>
      </c>
      <c r="Q1926" t="s">
        <v>159</v>
      </c>
    </row>
    <row r="1927" spans="9:17" x14ac:dyDescent="0.45">
      <c r="I1927" t="s">
        <v>198</v>
      </c>
      <c r="J1927" t="s">
        <v>315</v>
      </c>
      <c r="K1927">
        <v>7.6068542370230849E-2</v>
      </c>
      <c r="L1927" t="s">
        <v>159</v>
      </c>
      <c r="N1927" t="s">
        <v>241</v>
      </c>
      <c r="O1927" t="s">
        <v>315</v>
      </c>
      <c r="P1927">
        <v>1.397986791909985E-2</v>
      </c>
      <c r="Q1927" t="s">
        <v>159</v>
      </c>
    </row>
    <row r="1928" spans="9:17" x14ac:dyDescent="0.45">
      <c r="I1928" t="s">
        <v>198</v>
      </c>
      <c r="J1928" t="s">
        <v>316</v>
      </c>
      <c r="K1928">
        <v>5.1800880877994051E-3</v>
      </c>
      <c r="L1928" t="s">
        <v>159</v>
      </c>
      <c r="N1928" t="s">
        <v>241</v>
      </c>
      <c r="O1928" t="s">
        <v>316</v>
      </c>
      <c r="P1928">
        <v>1.4825580768623124E-3</v>
      </c>
      <c r="Q1928" t="s">
        <v>159</v>
      </c>
    </row>
    <row r="1929" spans="9:17" x14ac:dyDescent="0.45">
      <c r="I1929" t="s">
        <v>198</v>
      </c>
      <c r="J1929" t="s">
        <v>317</v>
      </c>
      <c r="K1929">
        <v>3.6443253457072887E-3</v>
      </c>
      <c r="L1929" t="s">
        <v>159</v>
      </c>
      <c r="N1929" t="s">
        <v>241</v>
      </c>
      <c r="O1929" t="s">
        <v>317</v>
      </c>
      <c r="P1929">
        <v>1.8416034797818703E-3</v>
      </c>
      <c r="Q1929" t="s">
        <v>159</v>
      </c>
    </row>
    <row r="1930" spans="9:17" x14ac:dyDescent="0.45">
      <c r="I1930" t="s">
        <v>198</v>
      </c>
      <c r="J1930" t="s">
        <v>318</v>
      </c>
      <c r="K1930">
        <v>1.9544793691761504E-3</v>
      </c>
      <c r="L1930" t="s">
        <v>159</v>
      </c>
      <c r="N1930" t="s">
        <v>241</v>
      </c>
      <c r="O1930" t="s">
        <v>318</v>
      </c>
      <c r="P1930">
        <v>1.483020857016161E-2</v>
      </c>
      <c r="Q1930" t="s">
        <v>159</v>
      </c>
    </row>
    <row r="1931" spans="9:17" x14ac:dyDescent="0.45">
      <c r="I1931" t="s">
        <v>199</v>
      </c>
      <c r="J1931" t="s">
        <v>158</v>
      </c>
      <c r="K1931">
        <v>1.7779559207773254E-3</v>
      </c>
      <c r="L1931" t="s">
        <v>159</v>
      </c>
      <c r="N1931" t="s">
        <v>242</v>
      </c>
      <c r="O1931" t="s">
        <v>158</v>
      </c>
      <c r="P1931">
        <v>0.17507117408146386</v>
      </c>
      <c r="Q1931" t="s">
        <v>159</v>
      </c>
    </row>
    <row r="1932" spans="9:17" x14ac:dyDescent="0.45">
      <c r="I1932" t="s">
        <v>199</v>
      </c>
      <c r="J1932" t="s">
        <v>160</v>
      </c>
      <c r="K1932">
        <v>1.4104062841396632E-2</v>
      </c>
      <c r="L1932" t="s">
        <v>159</v>
      </c>
      <c r="N1932" t="s">
        <v>242</v>
      </c>
      <c r="O1932" t="s">
        <v>160</v>
      </c>
      <c r="P1932">
        <v>2.1065920493742073E-2</v>
      </c>
      <c r="Q1932" t="s">
        <v>159</v>
      </c>
    </row>
    <row r="1933" spans="9:17" x14ac:dyDescent="0.45">
      <c r="I1933" t="s">
        <v>199</v>
      </c>
      <c r="J1933" t="s">
        <v>161</v>
      </c>
      <c r="K1933">
        <v>0.38609738534882759</v>
      </c>
      <c r="L1933" t="s">
        <v>159</v>
      </c>
      <c r="N1933" t="s">
        <v>242</v>
      </c>
      <c r="O1933" t="s">
        <v>161</v>
      </c>
      <c r="P1933">
        <v>0.1247388821353568</v>
      </c>
      <c r="Q1933" t="s">
        <v>159</v>
      </c>
    </row>
    <row r="1934" spans="9:17" x14ac:dyDescent="0.45">
      <c r="I1934" t="s">
        <v>199</v>
      </c>
      <c r="J1934" t="s">
        <v>287</v>
      </c>
      <c r="K1934">
        <v>3.1470979613426542E-2</v>
      </c>
      <c r="L1934" t="s">
        <v>159</v>
      </c>
      <c r="N1934" t="s">
        <v>242</v>
      </c>
      <c r="O1934" t="s">
        <v>287</v>
      </c>
      <c r="P1934">
        <v>9.6310347515321422E-3</v>
      </c>
      <c r="Q1934" t="s">
        <v>159</v>
      </c>
    </row>
    <row r="1935" spans="9:17" x14ac:dyDescent="0.45">
      <c r="I1935" t="s">
        <v>199</v>
      </c>
      <c r="J1935" t="s">
        <v>288</v>
      </c>
      <c r="K1935">
        <v>1.5083141187145132E-2</v>
      </c>
      <c r="L1935" t="s">
        <v>159</v>
      </c>
      <c r="N1935" t="s">
        <v>242</v>
      </c>
      <c r="O1935" t="s">
        <v>288</v>
      </c>
      <c r="P1935">
        <v>1.1020798660315486E-2</v>
      </c>
      <c r="Q1935" t="s">
        <v>159</v>
      </c>
    </row>
    <row r="1936" spans="9:17" x14ac:dyDescent="0.45">
      <c r="I1936" t="s">
        <v>199</v>
      </c>
      <c r="J1936" t="s">
        <v>308</v>
      </c>
      <c r="K1936">
        <v>5.4278135817539029E-3</v>
      </c>
      <c r="L1936" t="s">
        <v>159</v>
      </c>
      <c r="N1936" t="s">
        <v>242</v>
      </c>
      <c r="O1936" t="s">
        <v>308</v>
      </c>
      <c r="P1936">
        <v>0.1017629231048284</v>
      </c>
      <c r="Q1936" t="s">
        <v>159</v>
      </c>
    </row>
    <row r="1937" spans="9:17" x14ac:dyDescent="0.45">
      <c r="I1937" t="s">
        <v>199</v>
      </c>
      <c r="J1937" t="s">
        <v>162</v>
      </c>
      <c r="K1937">
        <v>0</v>
      </c>
      <c r="L1937" t="s">
        <v>159</v>
      </c>
      <c r="N1937" t="s">
        <v>242</v>
      </c>
      <c r="O1937" t="s">
        <v>162</v>
      </c>
      <c r="P1937">
        <v>3.2649462683736807E-2</v>
      </c>
      <c r="Q1937" t="s">
        <v>159</v>
      </c>
    </row>
    <row r="1938" spans="9:17" x14ac:dyDescent="0.45">
      <c r="I1938" t="s">
        <v>199</v>
      </c>
      <c r="J1938" t="s">
        <v>163</v>
      </c>
      <c r="K1938">
        <v>0</v>
      </c>
      <c r="L1938" t="s">
        <v>159</v>
      </c>
      <c r="N1938" t="s">
        <v>242</v>
      </c>
      <c r="O1938" t="s">
        <v>163</v>
      </c>
      <c r="P1938">
        <v>4.9243751811189332E-3</v>
      </c>
      <c r="Q1938" t="s">
        <v>159</v>
      </c>
    </row>
    <row r="1939" spans="9:17" x14ac:dyDescent="0.45">
      <c r="I1939" t="s">
        <v>199</v>
      </c>
      <c r="J1939" t="s">
        <v>164</v>
      </c>
      <c r="K1939">
        <v>4.6532475807490731E-2</v>
      </c>
      <c r="L1939" t="s">
        <v>159</v>
      </c>
      <c r="N1939" t="s">
        <v>242</v>
      </c>
      <c r="O1939" t="s">
        <v>164</v>
      </c>
      <c r="P1939">
        <v>3.2074367512753665E-2</v>
      </c>
      <c r="Q1939" t="s">
        <v>159</v>
      </c>
    </row>
    <row r="1940" spans="9:17" x14ac:dyDescent="0.45">
      <c r="I1940" t="s">
        <v>199</v>
      </c>
      <c r="J1940" t="s">
        <v>289</v>
      </c>
      <c r="K1940">
        <v>4.0503640627077451E-3</v>
      </c>
      <c r="L1940" t="s">
        <v>159</v>
      </c>
      <c r="N1940" t="s">
        <v>242</v>
      </c>
      <c r="O1940" t="s">
        <v>289</v>
      </c>
      <c r="P1940">
        <v>2.309911567297492E-3</v>
      </c>
      <c r="Q1940" t="s">
        <v>159</v>
      </c>
    </row>
    <row r="1941" spans="9:17" x14ac:dyDescent="0.45">
      <c r="I1941" t="s">
        <v>199</v>
      </c>
      <c r="J1941" t="s">
        <v>290</v>
      </c>
      <c r="K1941">
        <v>0</v>
      </c>
      <c r="L1941" t="s">
        <v>159</v>
      </c>
      <c r="N1941" t="s">
        <v>242</v>
      </c>
      <c r="O1941" t="s">
        <v>290</v>
      </c>
      <c r="P1941">
        <v>2.4991762391161419E-3</v>
      </c>
      <c r="Q1941" t="s">
        <v>159</v>
      </c>
    </row>
    <row r="1942" spans="9:17" x14ac:dyDescent="0.45">
      <c r="I1942" t="s">
        <v>199</v>
      </c>
      <c r="J1942" t="s">
        <v>309</v>
      </c>
      <c r="K1942">
        <v>0</v>
      </c>
      <c r="L1942" t="s">
        <v>159</v>
      </c>
      <c r="N1942" t="s">
        <v>242</v>
      </c>
      <c r="O1942" t="s">
        <v>309</v>
      </c>
      <c r="P1942">
        <v>1.833207523335225E-2</v>
      </c>
      <c r="Q1942" t="s">
        <v>159</v>
      </c>
    </row>
    <row r="1943" spans="9:17" x14ac:dyDescent="0.45">
      <c r="I1943" t="s">
        <v>199</v>
      </c>
      <c r="J1943" t="s">
        <v>346</v>
      </c>
      <c r="K1943">
        <v>0</v>
      </c>
      <c r="L1943" t="s">
        <v>159</v>
      </c>
      <c r="N1943" t="s">
        <v>242</v>
      </c>
      <c r="O1943" t="s">
        <v>346</v>
      </c>
      <c r="P1943">
        <v>1.7566806445321693E-5</v>
      </c>
      <c r="Q1943" t="s">
        <v>159</v>
      </c>
    </row>
    <row r="1944" spans="9:17" x14ac:dyDescent="0.45">
      <c r="I1944" t="s">
        <v>199</v>
      </c>
      <c r="J1944" t="s">
        <v>347</v>
      </c>
      <c r="K1944">
        <v>0</v>
      </c>
      <c r="L1944" t="s">
        <v>159</v>
      </c>
      <c r="N1944" t="s">
        <v>242</v>
      </c>
      <c r="O1944" t="s">
        <v>347</v>
      </c>
      <c r="P1944">
        <v>2.2022880435893415E-5</v>
      </c>
      <c r="Q1944" t="s">
        <v>159</v>
      </c>
    </row>
    <row r="1945" spans="9:17" x14ac:dyDescent="0.45">
      <c r="I1945" t="s">
        <v>199</v>
      </c>
      <c r="J1945" t="s">
        <v>348</v>
      </c>
      <c r="K1945">
        <v>0</v>
      </c>
      <c r="L1945" t="s">
        <v>159</v>
      </c>
      <c r="N1945" t="s">
        <v>242</v>
      </c>
      <c r="O1945" t="s">
        <v>348</v>
      </c>
      <c r="P1945">
        <v>2.5031197970639493E-5</v>
      </c>
      <c r="Q1945" t="s">
        <v>159</v>
      </c>
    </row>
    <row r="1946" spans="9:17" x14ac:dyDescent="0.45">
      <c r="I1946" t="s">
        <v>199</v>
      </c>
      <c r="J1946" t="s">
        <v>349</v>
      </c>
      <c r="K1946">
        <v>0</v>
      </c>
      <c r="L1946" t="s">
        <v>159</v>
      </c>
      <c r="N1946" t="s">
        <v>242</v>
      </c>
      <c r="O1946" t="s">
        <v>349</v>
      </c>
      <c r="P1946">
        <v>2.846465957566744E-5</v>
      </c>
      <c r="Q1946" t="s">
        <v>159</v>
      </c>
    </row>
    <row r="1947" spans="9:17" x14ac:dyDescent="0.45">
      <c r="I1947" t="s">
        <v>199</v>
      </c>
      <c r="J1947" t="s">
        <v>350</v>
      </c>
      <c r="K1947">
        <v>0</v>
      </c>
      <c r="L1947" t="s">
        <v>159</v>
      </c>
      <c r="N1947" t="s">
        <v>242</v>
      </c>
      <c r="O1947" t="s">
        <v>350</v>
      </c>
      <c r="P1947">
        <v>3.1998952059766962E-5</v>
      </c>
      <c r="Q1947" t="s">
        <v>159</v>
      </c>
    </row>
    <row r="1948" spans="9:17" x14ac:dyDescent="0.45">
      <c r="I1948" t="s">
        <v>199</v>
      </c>
      <c r="J1948" t="s">
        <v>351</v>
      </c>
      <c r="K1948">
        <v>0</v>
      </c>
      <c r="L1948" t="s">
        <v>159</v>
      </c>
      <c r="N1948" t="s">
        <v>242</v>
      </c>
      <c r="O1948" t="s">
        <v>351</v>
      </c>
      <c r="P1948">
        <v>3.5109920744005757E-5</v>
      </c>
      <c r="Q1948" t="s">
        <v>159</v>
      </c>
    </row>
    <row r="1949" spans="9:17" x14ac:dyDescent="0.45">
      <c r="I1949" t="s">
        <v>199</v>
      </c>
      <c r="J1949" t="s">
        <v>352</v>
      </c>
      <c r="K1949">
        <v>0</v>
      </c>
      <c r="L1949" t="s">
        <v>159</v>
      </c>
      <c r="N1949" t="s">
        <v>242</v>
      </c>
      <c r="O1949" t="s">
        <v>352</v>
      </c>
      <c r="P1949">
        <v>3.7396807835618887E-5</v>
      </c>
      <c r="Q1949" t="s">
        <v>159</v>
      </c>
    </row>
    <row r="1950" spans="9:17" x14ac:dyDescent="0.45">
      <c r="I1950" t="s">
        <v>199</v>
      </c>
      <c r="J1950" t="s">
        <v>353</v>
      </c>
      <c r="K1950">
        <v>0</v>
      </c>
      <c r="L1950" t="s">
        <v>159</v>
      </c>
      <c r="N1950" t="s">
        <v>242</v>
      </c>
      <c r="O1950" t="s">
        <v>353</v>
      </c>
      <c r="P1950">
        <v>3.7632887032872313E-5</v>
      </c>
      <c r="Q1950" t="s">
        <v>159</v>
      </c>
    </row>
    <row r="1951" spans="9:17" x14ac:dyDescent="0.45">
      <c r="I1951" t="s">
        <v>199</v>
      </c>
      <c r="J1951" t="s">
        <v>354</v>
      </c>
      <c r="K1951">
        <v>1.5741316394418743E-4</v>
      </c>
      <c r="L1951" t="s">
        <v>159</v>
      </c>
      <c r="N1951" t="s">
        <v>242</v>
      </c>
      <c r="O1951" t="s">
        <v>354</v>
      </c>
      <c r="P1951">
        <v>3.5592057748860524E-5</v>
      </c>
      <c r="Q1951" t="s">
        <v>159</v>
      </c>
    </row>
    <row r="1952" spans="9:17" x14ac:dyDescent="0.45">
      <c r="I1952" t="s">
        <v>199</v>
      </c>
      <c r="J1952" t="s">
        <v>355</v>
      </c>
      <c r="K1952">
        <v>1.9979400409903553E-4</v>
      </c>
      <c r="L1952" t="s">
        <v>159</v>
      </c>
      <c r="N1952" t="s">
        <v>242</v>
      </c>
      <c r="O1952" t="s">
        <v>355</v>
      </c>
      <c r="P1952">
        <v>2.4436138457554688E-5</v>
      </c>
      <c r="Q1952" t="s">
        <v>159</v>
      </c>
    </row>
    <row r="1953" spans="9:17" x14ac:dyDescent="0.45">
      <c r="I1953" t="s">
        <v>199</v>
      </c>
      <c r="J1953" t="s">
        <v>356</v>
      </c>
      <c r="K1953">
        <v>1.9163970055440329E-4</v>
      </c>
      <c r="L1953" t="s">
        <v>159</v>
      </c>
      <c r="N1953" t="s">
        <v>242</v>
      </c>
      <c r="O1953" t="s">
        <v>356</v>
      </c>
      <c r="P1953">
        <v>2.3038779041768519E-5</v>
      </c>
      <c r="Q1953" t="s">
        <v>159</v>
      </c>
    </row>
    <row r="1954" spans="9:17" x14ac:dyDescent="0.45">
      <c r="I1954" t="s">
        <v>199</v>
      </c>
      <c r="J1954" t="s">
        <v>357</v>
      </c>
      <c r="K1954">
        <v>1.9563617992500971E-4</v>
      </c>
      <c r="L1954" t="s">
        <v>159</v>
      </c>
      <c r="N1954" t="s">
        <v>242</v>
      </c>
      <c r="O1954" t="s">
        <v>357</v>
      </c>
      <c r="P1954">
        <v>2.3256601240486172E-5</v>
      </c>
      <c r="Q1954" t="s">
        <v>159</v>
      </c>
    </row>
    <row r="1955" spans="9:17" x14ac:dyDescent="0.45">
      <c r="I1955" t="s">
        <v>199</v>
      </c>
      <c r="J1955" t="s">
        <v>358</v>
      </c>
      <c r="K1955">
        <v>2.2913986869735732E-4</v>
      </c>
      <c r="L1955" t="s">
        <v>159</v>
      </c>
      <c r="N1955" t="s">
        <v>242</v>
      </c>
      <c r="O1955" t="s">
        <v>358</v>
      </c>
      <c r="P1955">
        <v>2.4713063971317839E-5</v>
      </c>
      <c r="Q1955" t="s">
        <v>159</v>
      </c>
    </row>
    <row r="1956" spans="9:17" x14ac:dyDescent="0.45">
      <c r="I1956" t="s">
        <v>199</v>
      </c>
      <c r="J1956" t="s">
        <v>359</v>
      </c>
      <c r="K1956">
        <v>2.4879645936382277E-4</v>
      </c>
      <c r="L1956" t="s">
        <v>159</v>
      </c>
      <c r="N1956" t="s">
        <v>242</v>
      </c>
      <c r="O1956" t="s">
        <v>359</v>
      </c>
      <c r="P1956">
        <v>2.7294966517019952E-5</v>
      </c>
      <c r="Q1956" t="s">
        <v>159</v>
      </c>
    </row>
    <row r="1957" spans="9:17" x14ac:dyDescent="0.45">
      <c r="I1957" t="s">
        <v>199</v>
      </c>
      <c r="J1957" t="s">
        <v>360</v>
      </c>
      <c r="K1957">
        <v>1.9859458172246039E-4</v>
      </c>
      <c r="L1957" t="s">
        <v>159</v>
      </c>
      <c r="N1957" t="s">
        <v>242</v>
      </c>
      <c r="O1957" t="s">
        <v>360</v>
      </c>
      <c r="P1957">
        <v>2.8362639173630758E-5</v>
      </c>
      <c r="Q1957" t="s">
        <v>159</v>
      </c>
    </row>
    <row r="1958" spans="9:17" x14ac:dyDescent="0.45">
      <c r="I1958" t="s">
        <v>199</v>
      </c>
      <c r="J1958" t="s">
        <v>361</v>
      </c>
      <c r="K1958">
        <v>1.8879911704502446E-4</v>
      </c>
      <c r="L1958" t="s">
        <v>159</v>
      </c>
      <c r="N1958" t="s">
        <v>242</v>
      </c>
      <c r="O1958" t="s">
        <v>361</v>
      </c>
      <c r="P1958">
        <v>2.5462600999561486E-5</v>
      </c>
      <c r="Q1958" t="s">
        <v>159</v>
      </c>
    </row>
    <row r="1959" spans="9:17" x14ac:dyDescent="0.45">
      <c r="I1959" t="s">
        <v>199</v>
      </c>
      <c r="J1959" t="s">
        <v>362</v>
      </c>
      <c r="K1959">
        <v>1.9168974828471006E-4</v>
      </c>
      <c r="L1959" t="s">
        <v>159</v>
      </c>
      <c r="N1959" t="s">
        <v>242</v>
      </c>
      <c r="O1959" t="s">
        <v>362</v>
      </c>
      <c r="P1959">
        <v>1.8598105746149088E-5</v>
      </c>
      <c r="Q1959" t="s">
        <v>159</v>
      </c>
    </row>
    <row r="1960" spans="9:17" x14ac:dyDescent="0.45">
      <c r="I1960" t="s">
        <v>199</v>
      </c>
      <c r="J1960" t="s">
        <v>363</v>
      </c>
      <c r="K1960">
        <v>1.7321656623353631E-4</v>
      </c>
      <c r="L1960" t="s">
        <v>159</v>
      </c>
      <c r="N1960" t="s">
        <v>242</v>
      </c>
      <c r="O1960" t="s">
        <v>363</v>
      </c>
      <c r="P1960">
        <v>1.484807670525937E-5</v>
      </c>
      <c r="Q1960" t="s">
        <v>159</v>
      </c>
    </row>
    <row r="1961" spans="9:17" x14ac:dyDescent="0.45">
      <c r="I1961" t="s">
        <v>199</v>
      </c>
      <c r="J1961" t="s">
        <v>364</v>
      </c>
      <c r="K1961">
        <v>0</v>
      </c>
      <c r="L1961" t="s">
        <v>159</v>
      </c>
      <c r="N1961" t="s">
        <v>242</v>
      </c>
      <c r="O1961" t="s">
        <v>364</v>
      </c>
      <c r="P1961">
        <v>2.0580692550929832E-5</v>
      </c>
      <c r="Q1961" t="s">
        <v>159</v>
      </c>
    </row>
    <row r="1962" spans="9:17" x14ac:dyDescent="0.45">
      <c r="I1962" t="s">
        <v>199</v>
      </c>
      <c r="J1962" t="s">
        <v>365</v>
      </c>
      <c r="K1962">
        <v>0</v>
      </c>
      <c r="L1962" t="s">
        <v>159</v>
      </c>
      <c r="N1962" t="s">
        <v>242</v>
      </c>
      <c r="O1962" t="s">
        <v>365</v>
      </c>
      <c r="P1962">
        <v>3.5303694826829256E-5</v>
      </c>
      <c r="Q1962" t="s">
        <v>159</v>
      </c>
    </row>
    <row r="1963" spans="9:17" x14ac:dyDescent="0.45">
      <c r="I1963" t="s">
        <v>199</v>
      </c>
      <c r="J1963" t="s">
        <v>366</v>
      </c>
      <c r="K1963">
        <v>0</v>
      </c>
      <c r="L1963" t="s">
        <v>159</v>
      </c>
      <c r="N1963" t="s">
        <v>242</v>
      </c>
      <c r="O1963" t="s">
        <v>366</v>
      </c>
      <c r="P1963">
        <v>5.1462273845076419E-5</v>
      </c>
      <c r="Q1963" t="s">
        <v>159</v>
      </c>
    </row>
    <row r="1964" spans="9:17" x14ac:dyDescent="0.45">
      <c r="I1964" t="s">
        <v>199</v>
      </c>
      <c r="J1964" t="s">
        <v>367</v>
      </c>
      <c r="K1964">
        <v>0</v>
      </c>
      <c r="L1964" t="s">
        <v>159</v>
      </c>
      <c r="N1964" t="s">
        <v>242</v>
      </c>
      <c r="O1964" t="s">
        <v>367</v>
      </c>
      <c r="P1964">
        <v>6.3446505201300013E-5</v>
      </c>
      <c r="Q1964" t="s">
        <v>159</v>
      </c>
    </row>
    <row r="1965" spans="9:17" x14ac:dyDescent="0.45">
      <c r="I1965" t="s">
        <v>199</v>
      </c>
      <c r="J1965" t="s">
        <v>368</v>
      </c>
      <c r="K1965">
        <v>0</v>
      </c>
      <c r="L1965" t="s">
        <v>159</v>
      </c>
      <c r="N1965" t="s">
        <v>242</v>
      </c>
      <c r="O1965" t="s">
        <v>368</v>
      </c>
      <c r="P1965">
        <v>7.0432943284844609E-5</v>
      </c>
      <c r="Q1965" t="s">
        <v>159</v>
      </c>
    </row>
    <row r="1966" spans="9:17" x14ac:dyDescent="0.45">
      <c r="I1966" t="s">
        <v>199</v>
      </c>
      <c r="J1966" t="s">
        <v>369</v>
      </c>
      <c r="K1966">
        <v>0</v>
      </c>
      <c r="L1966" t="s">
        <v>159</v>
      </c>
      <c r="N1966" t="s">
        <v>242</v>
      </c>
      <c r="O1966" t="s">
        <v>369</v>
      </c>
      <c r="P1966">
        <v>6.6973478661416869E-5</v>
      </c>
      <c r="Q1966" t="s">
        <v>159</v>
      </c>
    </row>
    <row r="1967" spans="9:17" x14ac:dyDescent="0.45">
      <c r="I1967" t="s">
        <v>199</v>
      </c>
      <c r="J1967" t="s">
        <v>165</v>
      </c>
      <c r="K1967">
        <v>0</v>
      </c>
      <c r="L1967" t="s">
        <v>159</v>
      </c>
      <c r="N1967" t="s">
        <v>242</v>
      </c>
      <c r="O1967" t="s">
        <v>165</v>
      </c>
      <c r="P1967">
        <v>3.0220333074240147E-2</v>
      </c>
      <c r="Q1967" t="s">
        <v>159</v>
      </c>
    </row>
    <row r="1968" spans="9:17" x14ac:dyDescent="0.45">
      <c r="I1968" t="s">
        <v>199</v>
      </c>
      <c r="J1968" t="s">
        <v>166</v>
      </c>
      <c r="K1968">
        <v>0</v>
      </c>
      <c r="L1968" t="s">
        <v>159</v>
      </c>
      <c r="N1968" t="s">
        <v>242</v>
      </c>
      <c r="O1968" t="s">
        <v>166</v>
      </c>
      <c r="P1968">
        <v>4.1476311003947174E-3</v>
      </c>
      <c r="Q1968" t="s">
        <v>159</v>
      </c>
    </row>
    <row r="1969" spans="9:17" x14ac:dyDescent="0.45">
      <c r="I1969" t="s">
        <v>199</v>
      </c>
      <c r="J1969" t="s">
        <v>167</v>
      </c>
      <c r="K1969">
        <v>6.6696736641517179E-2</v>
      </c>
      <c r="L1969" t="s">
        <v>159</v>
      </c>
      <c r="N1969" t="s">
        <v>242</v>
      </c>
      <c r="O1969" t="s">
        <v>167</v>
      </c>
      <c r="P1969">
        <v>2.5613988171085941E-2</v>
      </c>
      <c r="Q1969" t="s">
        <v>159</v>
      </c>
    </row>
    <row r="1970" spans="9:17" x14ac:dyDescent="0.45">
      <c r="I1970" t="s">
        <v>199</v>
      </c>
      <c r="J1970" t="s">
        <v>291</v>
      </c>
      <c r="K1970">
        <v>6.3655913487826038E-3</v>
      </c>
      <c r="L1970" t="s">
        <v>159</v>
      </c>
      <c r="N1970" t="s">
        <v>242</v>
      </c>
      <c r="O1970" t="s">
        <v>291</v>
      </c>
      <c r="P1970">
        <v>2.5125086056690059E-3</v>
      </c>
      <c r="Q1970" t="s">
        <v>159</v>
      </c>
    </row>
    <row r="1971" spans="9:17" x14ac:dyDescent="0.45">
      <c r="I1971" t="s">
        <v>199</v>
      </c>
      <c r="J1971" t="s">
        <v>292</v>
      </c>
      <c r="K1971">
        <v>1.5418727412841501E-3</v>
      </c>
      <c r="L1971" t="s">
        <v>159</v>
      </c>
      <c r="N1971" t="s">
        <v>242</v>
      </c>
      <c r="O1971" t="s">
        <v>292</v>
      </c>
      <c r="P1971">
        <v>2.8990610596775954E-3</v>
      </c>
      <c r="Q1971" t="s">
        <v>159</v>
      </c>
    </row>
    <row r="1972" spans="9:17" x14ac:dyDescent="0.45">
      <c r="I1972" t="s">
        <v>199</v>
      </c>
      <c r="J1972" t="s">
        <v>310</v>
      </c>
      <c r="K1972">
        <v>0</v>
      </c>
      <c r="L1972" t="s">
        <v>159</v>
      </c>
      <c r="N1972" t="s">
        <v>242</v>
      </c>
      <c r="O1972" t="s">
        <v>310</v>
      </c>
      <c r="P1972">
        <v>2.0117716566914697E-2</v>
      </c>
      <c r="Q1972" t="s">
        <v>159</v>
      </c>
    </row>
    <row r="1973" spans="9:17" x14ac:dyDescent="0.45">
      <c r="I1973" t="s">
        <v>199</v>
      </c>
      <c r="J1973" t="s">
        <v>293</v>
      </c>
      <c r="K1973">
        <v>0</v>
      </c>
      <c r="L1973" t="s">
        <v>159</v>
      </c>
      <c r="N1973" t="s">
        <v>242</v>
      </c>
      <c r="O1973" t="s">
        <v>293</v>
      </c>
      <c r="P1973">
        <v>1.1377326684686714E-2</v>
      </c>
      <c r="Q1973" t="s">
        <v>159</v>
      </c>
    </row>
    <row r="1974" spans="9:17" x14ac:dyDescent="0.45">
      <c r="I1974" t="s">
        <v>199</v>
      </c>
      <c r="J1974" t="s">
        <v>294</v>
      </c>
      <c r="K1974">
        <v>4.9481589419001762E-5</v>
      </c>
      <c r="L1974" t="s">
        <v>159</v>
      </c>
      <c r="N1974" t="s">
        <v>242</v>
      </c>
      <c r="O1974" t="s">
        <v>294</v>
      </c>
      <c r="P1974">
        <v>1.3791070788456762E-3</v>
      </c>
      <c r="Q1974" t="s">
        <v>159</v>
      </c>
    </row>
    <row r="1975" spans="9:17" x14ac:dyDescent="0.45">
      <c r="I1975" t="s">
        <v>199</v>
      </c>
      <c r="J1975" t="s">
        <v>295</v>
      </c>
      <c r="K1975">
        <v>1.7040794545696063E-2</v>
      </c>
      <c r="L1975" t="s">
        <v>159</v>
      </c>
      <c r="N1975" t="s">
        <v>242</v>
      </c>
      <c r="O1975" t="s">
        <v>295</v>
      </c>
      <c r="P1975">
        <v>1.0637349405477271E-2</v>
      </c>
      <c r="Q1975" t="s">
        <v>159</v>
      </c>
    </row>
    <row r="1976" spans="9:17" x14ac:dyDescent="0.45">
      <c r="I1976" t="s">
        <v>199</v>
      </c>
      <c r="J1976" t="s">
        <v>296</v>
      </c>
      <c r="K1976">
        <v>1.5390715171547352E-3</v>
      </c>
      <c r="L1976" t="s">
        <v>159</v>
      </c>
      <c r="N1976" t="s">
        <v>242</v>
      </c>
      <c r="O1976" t="s">
        <v>296</v>
      </c>
      <c r="P1976">
        <v>8.617887971417988E-4</v>
      </c>
      <c r="Q1976" t="s">
        <v>159</v>
      </c>
    </row>
    <row r="1977" spans="9:17" x14ac:dyDescent="0.45">
      <c r="I1977" t="s">
        <v>199</v>
      </c>
      <c r="J1977" t="s">
        <v>297</v>
      </c>
      <c r="K1977">
        <v>1.2441224184560949E-3</v>
      </c>
      <c r="L1977" t="s">
        <v>159</v>
      </c>
      <c r="N1977" t="s">
        <v>242</v>
      </c>
      <c r="O1977" t="s">
        <v>297</v>
      </c>
      <c r="P1977">
        <v>8.62414876161883E-4</v>
      </c>
      <c r="Q1977" t="s">
        <v>159</v>
      </c>
    </row>
    <row r="1978" spans="9:17" x14ac:dyDescent="0.45">
      <c r="I1978" t="s">
        <v>199</v>
      </c>
      <c r="J1978" t="s">
        <v>311</v>
      </c>
      <c r="K1978">
        <v>0</v>
      </c>
      <c r="L1978" t="s">
        <v>159</v>
      </c>
      <c r="N1978" t="s">
        <v>242</v>
      </c>
      <c r="O1978" t="s">
        <v>311</v>
      </c>
      <c r="P1978">
        <v>6.5639530972899313E-3</v>
      </c>
      <c r="Q1978" t="s">
        <v>159</v>
      </c>
    </row>
    <row r="1979" spans="9:17" x14ac:dyDescent="0.45">
      <c r="I1979" t="s">
        <v>199</v>
      </c>
      <c r="J1979" t="s">
        <v>298</v>
      </c>
      <c r="K1979">
        <v>4.5179473294284537E-3</v>
      </c>
      <c r="L1979" t="s">
        <v>159</v>
      </c>
      <c r="N1979" t="s">
        <v>242</v>
      </c>
      <c r="O1979" t="s">
        <v>298</v>
      </c>
      <c r="P1979">
        <v>0.10275538086202547</v>
      </c>
      <c r="Q1979" t="s">
        <v>159</v>
      </c>
    </row>
    <row r="1980" spans="9:17" x14ac:dyDescent="0.45">
      <c r="I1980" t="s">
        <v>199</v>
      </c>
      <c r="J1980" t="s">
        <v>299</v>
      </c>
      <c r="K1980">
        <v>1.6871546076392872E-2</v>
      </c>
      <c r="L1980" t="s">
        <v>159</v>
      </c>
      <c r="N1980" t="s">
        <v>242</v>
      </c>
      <c r="O1980" t="s">
        <v>299</v>
      </c>
      <c r="P1980">
        <v>1.0117607333159164E-2</v>
      </c>
      <c r="Q1980" t="s">
        <v>159</v>
      </c>
    </row>
    <row r="1981" spans="9:17" x14ac:dyDescent="0.45">
      <c r="I1981" t="s">
        <v>199</v>
      </c>
      <c r="J1981" t="s">
        <v>300</v>
      </c>
      <c r="K1981">
        <v>0.25182450337646117</v>
      </c>
      <c r="L1981" t="s">
        <v>159</v>
      </c>
      <c r="N1981" t="s">
        <v>242</v>
      </c>
      <c r="O1981" t="s">
        <v>300</v>
      </c>
      <c r="P1981">
        <v>8.0990190348909599E-2</v>
      </c>
      <c r="Q1981" t="s">
        <v>159</v>
      </c>
    </row>
    <row r="1982" spans="9:17" x14ac:dyDescent="0.45">
      <c r="I1982" t="s">
        <v>199</v>
      </c>
      <c r="J1982" t="s">
        <v>301</v>
      </c>
      <c r="K1982">
        <v>2.0083281506225834E-2</v>
      </c>
      <c r="L1982" t="s">
        <v>159</v>
      </c>
      <c r="N1982" t="s">
        <v>242</v>
      </c>
      <c r="O1982" t="s">
        <v>301</v>
      </c>
      <c r="P1982">
        <v>1.025030154789424E-2</v>
      </c>
      <c r="Q1982" t="s">
        <v>159</v>
      </c>
    </row>
    <row r="1983" spans="9:17" x14ac:dyDescent="0.45">
      <c r="I1983" t="s">
        <v>199</v>
      </c>
      <c r="J1983" t="s">
        <v>302</v>
      </c>
      <c r="K1983">
        <v>1.3682373327616952E-2</v>
      </c>
      <c r="L1983" t="s">
        <v>159</v>
      </c>
      <c r="N1983" t="s">
        <v>242</v>
      </c>
      <c r="O1983" t="s">
        <v>302</v>
      </c>
      <c r="P1983">
        <v>1.0486311978856747E-2</v>
      </c>
      <c r="Q1983" t="s">
        <v>159</v>
      </c>
    </row>
    <row r="1984" spans="9:17" x14ac:dyDescent="0.45">
      <c r="I1984" t="s">
        <v>199</v>
      </c>
      <c r="J1984" t="s">
        <v>312</v>
      </c>
      <c r="K1984">
        <v>8.9693267794155329E-4</v>
      </c>
      <c r="L1984" t="s">
        <v>159</v>
      </c>
      <c r="N1984" t="s">
        <v>242</v>
      </c>
      <c r="O1984" t="s">
        <v>312</v>
      </c>
      <c r="P1984">
        <v>6.8456251741493321E-2</v>
      </c>
      <c r="Q1984" t="s">
        <v>159</v>
      </c>
    </row>
    <row r="1985" spans="9:17" x14ac:dyDescent="0.45">
      <c r="I1985" t="s">
        <v>199</v>
      </c>
      <c r="J1985" t="s">
        <v>313</v>
      </c>
      <c r="K1985">
        <v>2.4046848273867254E-3</v>
      </c>
      <c r="L1985" t="s">
        <v>159</v>
      </c>
      <c r="N1985" t="s">
        <v>242</v>
      </c>
      <c r="O1985" t="s">
        <v>313</v>
      </c>
      <c r="P1985">
        <v>2.6085969351339805E-2</v>
      </c>
      <c r="Q1985" t="s">
        <v>159</v>
      </c>
    </row>
    <row r="1986" spans="9:17" x14ac:dyDescent="0.45">
      <c r="I1986" t="s">
        <v>199</v>
      </c>
      <c r="J1986" t="s">
        <v>314</v>
      </c>
      <c r="K1986">
        <v>4.6174433449915403E-3</v>
      </c>
      <c r="L1986" t="s">
        <v>159</v>
      </c>
      <c r="N1986" t="s">
        <v>242</v>
      </c>
      <c r="O1986" t="s">
        <v>314</v>
      </c>
      <c r="P1986">
        <v>2.2987352731578476E-3</v>
      </c>
      <c r="Q1986" t="s">
        <v>159</v>
      </c>
    </row>
    <row r="1987" spans="9:17" x14ac:dyDescent="0.45">
      <c r="I1987" t="s">
        <v>199</v>
      </c>
      <c r="J1987" t="s">
        <v>315</v>
      </c>
      <c r="K1987">
        <v>7.3875091092421796E-2</v>
      </c>
      <c r="L1987" t="s">
        <v>159</v>
      </c>
      <c r="N1987" t="s">
        <v>242</v>
      </c>
      <c r="O1987" t="s">
        <v>315</v>
      </c>
      <c r="P1987">
        <v>1.4071752038800308E-2</v>
      </c>
      <c r="Q1987" t="s">
        <v>159</v>
      </c>
    </row>
    <row r="1988" spans="9:17" x14ac:dyDescent="0.45">
      <c r="I1988" t="s">
        <v>199</v>
      </c>
      <c r="J1988" t="s">
        <v>316</v>
      </c>
      <c r="K1988">
        <v>4.8854110937656637E-3</v>
      </c>
      <c r="L1988" t="s">
        <v>159</v>
      </c>
      <c r="N1988" t="s">
        <v>242</v>
      </c>
      <c r="O1988" t="s">
        <v>316</v>
      </c>
      <c r="P1988">
        <v>1.6766713563553964E-3</v>
      </c>
      <c r="Q1988" t="s">
        <v>159</v>
      </c>
    </row>
    <row r="1989" spans="9:17" x14ac:dyDescent="0.45">
      <c r="I1989" t="s">
        <v>199</v>
      </c>
      <c r="J1989" t="s">
        <v>317</v>
      </c>
      <c r="K1989">
        <v>3.5307877081867047E-3</v>
      </c>
      <c r="L1989" t="s">
        <v>159</v>
      </c>
      <c r="N1989" t="s">
        <v>242</v>
      </c>
      <c r="O1989" t="s">
        <v>317</v>
      </c>
      <c r="P1989">
        <v>1.9421958239039302E-3</v>
      </c>
      <c r="Q1989" t="s">
        <v>159</v>
      </c>
    </row>
    <row r="1990" spans="9:17" x14ac:dyDescent="0.45">
      <c r="I1990" t="s">
        <v>199</v>
      </c>
      <c r="J1990" t="s">
        <v>318</v>
      </c>
      <c r="K1990">
        <v>1.8134290834749679E-3</v>
      </c>
      <c r="L1990" t="s">
        <v>159</v>
      </c>
      <c r="N1990" t="s">
        <v>242</v>
      </c>
      <c r="O1990" t="s">
        <v>318</v>
      </c>
      <c r="P1990">
        <v>1.6806325451832652E-2</v>
      </c>
      <c r="Q1990" t="s">
        <v>159</v>
      </c>
    </row>
    <row r="1991" spans="9:17" x14ac:dyDescent="0.45">
      <c r="I1991" t="s">
        <v>200</v>
      </c>
      <c r="J1991" t="s">
        <v>158</v>
      </c>
      <c r="K1991">
        <v>1.6412378011180526E-3</v>
      </c>
      <c r="L1991" t="s">
        <v>159</v>
      </c>
      <c r="N1991" t="s">
        <v>243</v>
      </c>
      <c r="O1991" t="s">
        <v>158</v>
      </c>
      <c r="P1991">
        <v>0.1588613773653639</v>
      </c>
      <c r="Q1991" t="s">
        <v>159</v>
      </c>
    </row>
    <row r="1992" spans="9:17" x14ac:dyDescent="0.45">
      <c r="I1992" t="s">
        <v>200</v>
      </c>
      <c r="J1992" t="s">
        <v>160</v>
      </c>
      <c r="K1992">
        <v>1.16205588274485E-2</v>
      </c>
      <c r="L1992" t="s">
        <v>159</v>
      </c>
      <c r="N1992" t="s">
        <v>243</v>
      </c>
      <c r="O1992" t="s">
        <v>160</v>
      </c>
      <c r="P1992">
        <v>2.0480534652001441E-2</v>
      </c>
      <c r="Q1992" t="s">
        <v>159</v>
      </c>
    </row>
    <row r="1993" spans="9:17" x14ac:dyDescent="0.45">
      <c r="I1993" t="s">
        <v>200</v>
      </c>
      <c r="J1993" t="s">
        <v>161</v>
      </c>
      <c r="K1993">
        <v>0.37825943623265146</v>
      </c>
      <c r="L1993" t="s">
        <v>159</v>
      </c>
      <c r="N1993" t="s">
        <v>243</v>
      </c>
      <c r="O1993" t="s">
        <v>161</v>
      </c>
      <c r="P1993">
        <v>0.15420836610977909</v>
      </c>
      <c r="Q1993" t="s">
        <v>159</v>
      </c>
    </row>
    <row r="1994" spans="9:17" x14ac:dyDescent="0.45">
      <c r="I1994" t="s">
        <v>200</v>
      </c>
      <c r="J1994" t="s">
        <v>287</v>
      </c>
      <c r="K1994">
        <v>3.2838004293692338E-2</v>
      </c>
      <c r="L1994" t="s">
        <v>159</v>
      </c>
      <c r="N1994" t="s">
        <v>243</v>
      </c>
      <c r="O1994" t="s">
        <v>287</v>
      </c>
      <c r="P1994">
        <v>1.3901719954538087E-2</v>
      </c>
      <c r="Q1994" t="s">
        <v>159</v>
      </c>
    </row>
    <row r="1995" spans="9:17" x14ac:dyDescent="0.45">
      <c r="I1995" t="s">
        <v>200</v>
      </c>
      <c r="J1995" t="s">
        <v>288</v>
      </c>
      <c r="K1995">
        <v>1.6647631067076753E-2</v>
      </c>
      <c r="L1995" t="s">
        <v>159</v>
      </c>
      <c r="N1995" t="s">
        <v>243</v>
      </c>
      <c r="O1995" t="s">
        <v>288</v>
      </c>
      <c r="P1995">
        <v>1.453391856674882E-2</v>
      </c>
      <c r="Q1995" t="s">
        <v>159</v>
      </c>
    </row>
    <row r="1996" spans="9:17" x14ac:dyDescent="0.45">
      <c r="I1996" t="s">
        <v>200</v>
      </c>
      <c r="J1996" t="s">
        <v>308</v>
      </c>
      <c r="K1996">
        <v>6.3052349182988092E-3</v>
      </c>
      <c r="L1996" t="s">
        <v>159</v>
      </c>
      <c r="N1996" t="s">
        <v>243</v>
      </c>
      <c r="O1996" t="s">
        <v>308</v>
      </c>
      <c r="P1996">
        <v>9.9519382664889244E-2</v>
      </c>
      <c r="Q1996" t="s">
        <v>159</v>
      </c>
    </row>
    <row r="1997" spans="9:17" x14ac:dyDescent="0.45">
      <c r="I1997" t="s">
        <v>200</v>
      </c>
      <c r="J1997" t="s">
        <v>162</v>
      </c>
      <c r="K1997">
        <v>0</v>
      </c>
      <c r="L1997" t="s">
        <v>159</v>
      </c>
      <c r="N1997" t="s">
        <v>243</v>
      </c>
      <c r="O1997" t="s">
        <v>162</v>
      </c>
      <c r="P1997">
        <v>2.7517020726480223E-2</v>
      </c>
      <c r="Q1997" t="s">
        <v>159</v>
      </c>
    </row>
    <row r="1998" spans="9:17" x14ac:dyDescent="0.45">
      <c r="I1998" t="s">
        <v>200</v>
      </c>
      <c r="J1998" t="s">
        <v>163</v>
      </c>
      <c r="K1998">
        <v>0</v>
      </c>
      <c r="L1998" t="s">
        <v>159</v>
      </c>
      <c r="N1998" t="s">
        <v>243</v>
      </c>
      <c r="O1998" t="s">
        <v>163</v>
      </c>
      <c r="P1998">
        <v>4.3276565848455895E-3</v>
      </c>
      <c r="Q1998" t="s">
        <v>159</v>
      </c>
    </row>
    <row r="1999" spans="9:17" x14ac:dyDescent="0.45">
      <c r="I1999" t="s">
        <v>200</v>
      </c>
      <c r="J1999" t="s">
        <v>164</v>
      </c>
      <c r="K1999">
        <v>4.1554108935252215E-2</v>
      </c>
      <c r="L1999" t="s">
        <v>159</v>
      </c>
      <c r="N1999" t="s">
        <v>243</v>
      </c>
      <c r="O1999" t="s">
        <v>164</v>
      </c>
      <c r="P1999">
        <v>3.4389662392020265E-2</v>
      </c>
      <c r="Q1999" t="s">
        <v>159</v>
      </c>
    </row>
    <row r="2000" spans="9:17" x14ac:dyDescent="0.45">
      <c r="I2000" t="s">
        <v>200</v>
      </c>
      <c r="J2000" t="s">
        <v>289</v>
      </c>
      <c r="K2000">
        <v>3.4980490754636922E-3</v>
      </c>
      <c r="L2000" t="s">
        <v>159</v>
      </c>
      <c r="N2000" t="s">
        <v>243</v>
      </c>
      <c r="O2000" t="s">
        <v>289</v>
      </c>
      <c r="P2000">
        <v>2.8992173853193953E-3</v>
      </c>
      <c r="Q2000" t="s">
        <v>159</v>
      </c>
    </row>
    <row r="2001" spans="9:17" x14ac:dyDescent="0.45">
      <c r="I2001" t="s">
        <v>200</v>
      </c>
      <c r="J2001" t="s">
        <v>290</v>
      </c>
      <c r="K2001">
        <v>0</v>
      </c>
      <c r="L2001" t="s">
        <v>159</v>
      </c>
      <c r="N2001" t="s">
        <v>243</v>
      </c>
      <c r="O2001" t="s">
        <v>290</v>
      </c>
      <c r="P2001">
        <v>3.0850506517999935E-3</v>
      </c>
      <c r="Q2001" t="s">
        <v>159</v>
      </c>
    </row>
    <row r="2002" spans="9:17" x14ac:dyDescent="0.45">
      <c r="I2002" t="s">
        <v>200</v>
      </c>
      <c r="J2002" t="s">
        <v>309</v>
      </c>
      <c r="K2002">
        <v>0</v>
      </c>
      <c r="L2002" t="s">
        <v>159</v>
      </c>
      <c r="N2002" t="s">
        <v>243</v>
      </c>
      <c r="O2002" t="s">
        <v>309</v>
      </c>
      <c r="P2002">
        <v>1.7500913882000358E-2</v>
      </c>
      <c r="Q2002" t="s">
        <v>159</v>
      </c>
    </row>
    <row r="2003" spans="9:17" x14ac:dyDescent="0.45">
      <c r="I2003" t="s">
        <v>200</v>
      </c>
      <c r="J2003" t="s">
        <v>346</v>
      </c>
      <c r="K2003">
        <v>0</v>
      </c>
      <c r="L2003" t="s">
        <v>159</v>
      </c>
      <c r="N2003" t="s">
        <v>243</v>
      </c>
      <c r="O2003" t="s">
        <v>346</v>
      </c>
      <c r="P2003">
        <v>6.9083123384494595E-6</v>
      </c>
      <c r="Q2003" t="s">
        <v>159</v>
      </c>
    </row>
    <row r="2004" spans="9:17" x14ac:dyDescent="0.45">
      <c r="I2004" t="s">
        <v>200</v>
      </c>
      <c r="J2004" t="s">
        <v>347</v>
      </c>
      <c r="K2004">
        <v>0</v>
      </c>
      <c r="L2004" t="s">
        <v>159</v>
      </c>
      <c r="N2004" t="s">
        <v>243</v>
      </c>
      <c r="O2004" t="s">
        <v>347</v>
      </c>
      <c r="P2004">
        <v>6.8390700176503073E-6</v>
      </c>
      <c r="Q2004" t="s">
        <v>159</v>
      </c>
    </row>
    <row r="2005" spans="9:17" x14ac:dyDescent="0.45">
      <c r="I2005" t="s">
        <v>200</v>
      </c>
      <c r="J2005" t="s">
        <v>348</v>
      </c>
      <c r="K2005">
        <v>0</v>
      </c>
      <c r="L2005" t="s">
        <v>159</v>
      </c>
      <c r="N2005" t="s">
        <v>243</v>
      </c>
      <c r="O2005" t="s">
        <v>348</v>
      </c>
      <c r="P2005">
        <v>8.6793571106971326E-6</v>
      </c>
      <c r="Q2005" t="s">
        <v>159</v>
      </c>
    </row>
    <row r="2006" spans="9:17" x14ac:dyDescent="0.45">
      <c r="I2006" t="s">
        <v>200</v>
      </c>
      <c r="J2006" t="s">
        <v>349</v>
      </c>
      <c r="K2006">
        <v>0</v>
      </c>
      <c r="L2006" t="s">
        <v>159</v>
      </c>
      <c r="N2006" t="s">
        <v>243</v>
      </c>
      <c r="O2006" t="s">
        <v>349</v>
      </c>
      <c r="P2006">
        <v>1.382076470081359E-5</v>
      </c>
      <c r="Q2006" t="s">
        <v>159</v>
      </c>
    </row>
    <row r="2007" spans="9:17" x14ac:dyDescent="0.45">
      <c r="I2007" t="s">
        <v>200</v>
      </c>
      <c r="J2007" t="s">
        <v>350</v>
      </c>
      <c r="K2007">
        <v>0</v>
      </c>
      <c r="L2007" t="s">
        <v>159</v>
      </c>
      <c r="N2007" t="s">
        <v>243</v>
      </c>
      <c r="O2007" t="s">
        <v>350</v>
      </c>
      <c r="P2007">
        <v>1.8675534902235047E-5</v>
      </c>
      <c r="Q2007" t="s">
        <v>159</v>
      </c>
    </row>
    <row r="2008" spans="9:17" x14ac:dyDescent="0.45">
      <c r="I2008" t="s">
        <v>200</v>
      </c>
      <c r="J2008" t="s">
        <v>351</v>
      </c>
      <c r="K2008">
        <v>0</v>
      </c>
      <c r="L2008" t="s">
        <v>159</v>
      </c>
      <c r="N2008" t="s">
        <v>243</v>
      </c>
      <c r="O2008" t="s">
        <v>351</v>
      </c>
      <c r="P2008">
        <v>2.2826120952040333E-5</v>
      </c>
      <c r="Q2008" t="s">
        <v>159</v>
      </c>
    </row>
    <row r="2009" spans="9:17" x14ac:dyDescent="0.45">
      <c r="I2009" t="s">
        <v>200</v>
      </c>
      <c r="J2009" t="s">
        <v>352</v>
      </c>
      <c r="K2009">
        <v>0</v>
      </c>
      <c r="L2009" t="s">
        <v>159</v>
      </c>
      <c r="N2009" t="s">
        <v>243</v>
      </c>
      <c r="O2009" t="s">
        <v>352</v>
      </c>
      <c r="P2009">
        <v>2.4497567970813484E-5</v>
      </c>
      <c r="Q2009" t="s">
        <v>159</v>
      </c>
    </row>
    <row r="2010" spans="9:17" x14ac:dyDescent="0.45">
      <c r="I2010" t="s">
        <v>200</v>
      </c>
      <c r="J2010" t="s">
        <v>353</v>
      </c>
      <c r="K2010">
        <v>0</v>
      </c>
      <c r="L2010" t="s">
        <v>159</v>
      </c>
      <c r="N2010" t="s">
        <v>243</v>
      </c>
      <c r="O2010" t="s">
        <v>353</v>
      </c>
      <c r="P2010">
        <v>2.6824665521535416E-5</v>
      </c>
      <c r="Q2010" t="s">
        <v>159</v>
      </c>
    </row>
    <row r="2011" spans="9:17" x14ac:dyDescent="0.45">
      <c r="I2011" t="s">
        <v>200</v>
      </c>
      <c r="J2011" t="s">
        <v>354</v>
      </c>
      <c r="K2011">
        <v>1.4357348549805853E-4</v>
      </c>
      <c r="L2011" t="s">
        <v>159</v>
      </c>
      <c r="N2011" t="s">
        <v>243</v>
      </c>
      <c r="O2011" t="s">
        <v>354</v>
      </c>
      <c r="P2011">
        <v>2.5910988898865929E-5</v>
      </c>
      <c r="Q2011" t="s">
        <v>159</v>
      </c>
    </row>
    <row r="2012" spans="9:17" x14ac:dyDescent="0.45">
      <c r="I2012" t="s">
        <v>200</v>
      </c>
      <c r="J2012" t="s">
        <v>355</v>
      </c>
      <c r="K2012">
        <v>1.932962887429318E-4</v>
      </c>
      <c r="L2012" t="s">
        <v>159</v>
      </c>
      <c r="N2012" t="s">
        <v>243</v>
      </c>
      <c r="O2012" t="s">
        <v>355</v>
      </c>
      <c r="P2012">
        <v>1.4228374978052183E-5</v>
      </c>
      <c r="Q2012" t="s">
        <v>159</v>
      </c>
    </row>
    <row r="2013" spans="9:17" x14ac:dyDescent="0.45">
      <c r="I2013" t="s">
        <v>200</v>
      </c>
      <c r="J2013" t="s">
        <v>356</v>
      </c>
      <c r="K2013">
        <v>1.9160766788418258E-4</v>
      </c>
      <c r="L2013" t="s">
        <v>159</v>
      </c>
      <c r="N2013" t="s">
        <v>243</v>
      </c>
      <c r="O2013" t="s">
        <v>356</v>
      </c>
      <c r="P2013">
        <v>1.6216536177586093E-5</v>
      </c>
      <c r="Q2013" t="s">
        <v>159</v>
      </c>
    </row>
    <row r="2014" spans="9:17" x14ac:dyDescent="0.45">
      <c r="I2014" t="s">
        <v>200</v>
      </c>
      <c r="J2014" t="s">
        <v>357</v>
      </c>
      <c r="K2014">
        <v>1.8579942419606188E-4</v>
      </c>
      <c r="L2014" t="s">
        <v>159</v>
      </c>
      <c r="N2014" t="s">
        <v>243</v>
      </c>
      <c r="O2014" t="s">
        <v>357</v>
      </c>
      <c r="P2014">
        <v>2.1097651033169948E-5</v>
      </c>
      <c r="Q2014" t="s">
        <v>159</v>
      </c>
    </row>
    <row r="2015" spans="9:17" x14ac:dyDescent="0.45">
      <c r="I2015" t="s">
        <v>200</v>
      </c>
      <c r="J2015" t="s">
        <v>358</v>
      </c>
      <c r="K2015">
        <v>2.2459792064793651E-4</v>
      </c>
      <c r="L2015" t="s">
        <v>159</v>
      </c>
      <c r="N2015" t="s">
        <v>243</v>
      </c>
      <c r="O2015" t="s">
        <v>358</v>
      </c>
      <c r="P2015">
        <v>2.3567710362554525E-5</v>
      </c>
      <c r="Q2015" t="s">
        <v>159</v>
      </c>
    </row>
    <row r="2016" spans="9:17" x14ac:dyDescent="0.45">
      <c r="I2016" t="s">
        <v>200</v>
      </c>
      <c r="J2016" t="s">
        <v>359</v>
      </c>
      <c r="K2016">
        <v>2.4817455576783376E-4</v>
      </c>
      <c r="L2016" t="s">
        <v>159</v>
      </c>
      <c r="N2016" t="s">
        <v>243</v>
      </c>
      <c r="O2016" t="s">
        <v>359</v>
      </c>
      <c r="P2016">
        <v>2.7123218044623895E-5</v>
      </c>
      <c r="Q2016" t="s">
        <v>159</v>
      </c>
    </row>
    <row r="2017" spans="9:17" x14ac:dyDescent="0.45">
      <c r="I2017" t="s">
        <v>200</v>
      </c>
      <c r="J2017" t="s">
        <v>360</v>
      </c>
      <c r="K2017">
        <v>1.9500673351538895E-4</v>
      </c>
      <c r="L2017" t="s">
        <v>159</v>
      </c>
      <c r="N2017" t="s">
        <v>243</v>
      </c>
      <c r="O2017" t="s">
        <v>360</v>
      </c>
      <c r="P2017">
        <v>2.6293751488902309E-5</v>
      </c>
      <c r="Q2017" t="s">
        <v>159</v>
      </c>
    </row>
    <row r="2018" spans="9:17" x14ac:dyDescent="0.45">
      <c r="I2018" t="s">
        <v>200</v>
      </c>
      <c r="J2018" t="s">
        <v>361</v>
      </c>
      <c r="K2018">
        <v>1.8465577635734615E-4</v>
      </c>
      <c r="L2018" t="s">
        <v>159</v>
      </c>
      <c r="N2018" t="s">
        <v>243</v>
      </c>
      <c r="O2018" t="s">
        <v>361</v>
      </c>
      <c r="P2018">
        <v>2.0011770152053732E-5</v>
      </c>
      <c r="Q2018" t="s">
        <v>159</v>
      </c>
    </row>
    <row r="2019" spans="9:17" x14ac:dyDescent="0.45">
      <c r="I2019" t="s">
        <v>200</v>
      </c>
      <c r="J2019" t="s">
        <v>362</v>
      </c>
      <c r="K2019">
        <v>1.9715966630141088E-4</v>
      </c>
      <c r="L2019" t="s">
        <v>159</v>
      </c>
      <c r="N2019" t="s">
        <v>243</v>
      </c>
      <c r="O2019" t="s">
        <v>362</v>
      </c>
      <c r="P2019">
        <v>1.0810714395445441E-5</v>
      </c>
      <c r="Q2019" t="s">
        <v>159</v>
      </c>
    </row>
    <row r="2020" spans="9:17" x14ac:dyDescent="0.45">
      <c r="I2020" t="s">
        <v>200</v>
      </c>
      <c r="J2020" t="s">
        <v>363</v>
      </c>
      <c r="K2020">
        <v>1.6848862028378614E-4</v>
      </c>
      <c r="L2020" t="s">
        <v>159</v>
      </c>
      <c r="N2020" t="s">
        <v>243</v>
      </c>
      <c r="O2020" t="s">
        <v>363</v>
      </c>
      <c r="P2020">
        <v>1.0360008655213215E-5</v>
      </c>
      <c r="Q2020" t="s">
        <v>159</v>
      </c>
    </row>
    <row r="2021" spans="9:17" x14ac:dyDescent="0.45">
      <c r="I2021" t="s">
        <v>200</v>
      </c>
      <c r="J2021" t="s">
        <v>364</v>
      </c>
      <c r="K2021">
        <v>0</v>
      </c>
      <c r="L2021" t="s">
        <v>159</v>
      </c>
      <c r="N2021" t="s">
        <v>243</v>
      </c>
      <c r="O2021" t="s">
        <v>364</v>
      </c>
      <c r="P2021">
        <v>7.854821848638719E-6</v>
      </c>
      <c r="Q2021" t="s">
        <v>159</v>
      </c>
    </row>
    <row r="2022" spans="9:17" x14ac:dyDescent="0.45">
      <c r="I2022" t="s">
        <v>200</v>
      </c>
      <c r="J2022" t="s">
        <v>365</v>
      </c>
      <c r="K2022">
        <v>0</v>
      </c>
      <c r="L2022" t="s">
        <v>159</v>
      </c>
      <c r="N2022" t="s">
        <v>243</v>
      </c>
      <c r="O2022" t="s">
        <v>365</v>
      </c>
      <c r="P2022">
        <v>4.7534864684773547E-6</v>
      </c>
      <c r="Q2022" t="s">
        <v>159</v>
      </c>
    </row>
    <row r="2023" spans="9:17" x14ac:dyDescent="0.45">
      <c r="I2023" t="s">
        <v>200</v>
      </c>
      <c r="J2023" t="s">
        <v>366</v>
      </c>
      <c r="K2023">
        <v>0</v>
      </c>
      <c r="L2023" t="s">
        <v>159</v>
      </c>
      <c r="N2023" t="s">
        <v>243</v>
      </c>
      <c r="O2023" t="s">
        <v>366</v>
      </c>
      <c r="P2023">
        <v>1.8873435470610217E-6</v>
      </c>
      <c r="Q2023" t="s">
        <v>159</v>
      </c>
    </row>
    <row r="2024" spans="9:17" x14ac:dyDescent="0.45">
      <c r="I2024" t="s">
        <v>200</v>
      </c>
      <c r="J2024" t="s">
        <v>367</v>
      </c>
      <c r="K2024">
        <v>0</v>
      </c>
      <c r="L2024" t="s">
        <v>159</v>
      </c>
      <c r="N2024" t="s">
        <v>243</v>
      </c>
      <c r="O2024" t="s">
        <v>367</v>
      </c>
      <c r="P2024">
        <v>1.5866501923546829E-6</v>
      </c>
      <c r="Q2024" t="s">
        <v>159</v>
      </c>
    </row>
    <row r="2025" spans="9:17" x14ac:dyDescent="0.45">
      <c r="I2025" t="s">
        <v>200</v>
      </c>
      <c r="J2025" t="s">
        <v>368</v>
      </c>
      <c r="K2025">
        <v>0</v>
      </c>
      <c r="L2025" t="s">
        <v>159</v>
      </c>
      <c r="N2025" t="s">
        <v>243</v>
      </c>
      <c r="O2025" t="s">
        <v>368</v>
      </c>
      <c r="P2025">
        <v>1.4891661906957152E-6</v>
      </c>
      <c r="Q2025" t="s">
        <v>159</v>
      </c>
    </row>
    <row r="2026" spans="9:17" x14ac:dyDescent="0.45">
      <c r="I2026" t="s">
        <v>200</v>
      </c>
      <c r="J2026" t="s">
        <v>369</v>
      </c>
      <c r="K2026">
        <v>0</v>
      </c>
      <c r="L2026" t="s">
        <v>159</v>
      </c>
      <c r="N2026" t="s">
        <v>243</v>
      </c>
      <c r="O2026" t="s">
        <v>369</v>
      </c>
      <c r="P2026">
        <v>1.951345102104638E-6</v>
      </c>
      <c r="Q2026" t="s">
        <v>159</v>
      </c>
    </row>
    <row r="2027" spans="9:17" x14ac:dyDescent="0.45">
      <c r="I2027" t="s">
        <v>200</v>
      </c>
      <c r="J2027" t="s">
        <v>165</v>
      </c>
      <c r="K2027">
        <v>0</v>
      </c>
      <c r="L2027" t="s">
        <v>159</v>
      </c>
      <c r="N2027" t="s">
        <v>243</v>
      </c>
      <c r="O2027" t="s">
        <v>165</v>
      </c>
      <c r="P2027">
        <v>2.5674253278091665E-2</v>
      </c>
      <c r="Q2027" t="s">
        <v>159</v>
      </c>
    </row>
    <row r="2028" spans="9:17" x14ac:dyDescent="0.45">
      <c r="I2028" t="s">
        <v>200</v>
      </c>
      <c r="J2028" t="s">
        <v>166</v>
      </c>
      <c r="K2028">
        <v>0</v>
      </c>
      <c r="L2028" t="s">
        <v>159</v>
      </c>
      <c r="N2028" t="s">
        <v>243</v>
      </c>
      <c r="O2028" t="s">
        <v>166</v>
      </c>
      <c r="P2028">
        <v>3.4815422973865102E-3</v>
      </c>
      <c r="Q2028" t="s">
        <v>159</v>
      </c>
    </row>
    <row r="2029" spans="9:17" x14ac:dyDescent="0.45">
      <c r="I2029" t="s">
        <v>200</v>
      </c>
      <c r="J2029" t="s">
        <v>167</v>
      </c>
      <c r="K2029">
        <v>6.479035968217231E-2</v>
      </c>
      <c r="L2029" t="s">
        <v>159</v>
      </c>
      <c r="N2029" t="s">
        <v>243</v>
      </c>
      <c r="O2029" t="s">
        <v>167</v>
      </c>
      <c r="P2029">
        <v>3.1127299569635797E-2</v>
      </c>
      <c r="Q2029" t="s">
        <v>159</v>
      </c>
    </row>
    <row r="2030" spans="9:17" x14ac:dyDescent="0.45">
      <c r="I2030" t="s">
        <v>200</v>
      </c>
      <c r="J2030" t="s">
        <v>291</v>
      </c>
      <c r="K2030">
        <v>5.8757051586167917E-3</v>
      </c>
      <c r="L2030" t="s">
        <v>159</v>
      </c>
      <c r="N2030" t="s">
        <v>243</v>
      </c>
      <c r="O2030" t="s">
        <v>291</v>
      </c>
      <c r="P2030">
        <v>3.2977713279310206E-3</v>
      </c>
      <c r="Q2030" t="s">
        <v>159</v>
      </c>
    </row>
    <row r="2031" spans="9:17" x14ac:dyDescent="0.45">
      <c r="I2031" t="s">
        <v>200</v>
      </c>
      <c r="J2031" t="s">
        <v>292</v>
      </c>
      <c r="K2031">
        <v>1.1292195744262113E-3</v>
      </c>
      <c r="L2031" t="s">
        <v>159</v>
      </c>
      <c r="N2031" t="s">
        <v>243</v>
      </c>
      <c r="O2031" t="s">
        <v>292</v>
      </c>
      <c r="P2031">
        <v>3.6024193474286431E-3</v>
      </c>
      <c r="Q2031" t="s">
        <v>159</v>
      </c>
    </row>
    <row r="2032" spans="9:17" x14ac:dyDescent="0.45">
      <c r="I2032" t="s">
        <v>200</v>
      </c>
      <c r="J2032" t="s">
        <v>310</v>
      </c>
      <c r="K2032">
        <v>0</v>
      </c>
      <c r="L2032" t="s">
        <v>159</v>
      </c>
      <c r="N2032" t="s">
        <v>243</v>
      </c>
      <c r="O2032" t="s">
        <v>310</v>
      </c>
      <c r="P2032">
        <v>2.0294668459760468E-2</v>
      </c>
      <c r="Q2032" t="s">
        <v>159</v>
      </c>
    </row>
    <row r="2033" spans="9:17" x14ac:dyDescent="0.45">
      <c r="I2033" t="s">
        <v>200</v>
      </c>
      <c r="J2033" t="s">
        <v>293</v>
      </c>
      <c r="K2033">
        <v>0</v>
      </c>
      <c r="L2033" t="s">
        <v>159</v>
      </c>
      <c r="N2033" t="s">
        <v>243</v>
      </c>
      <c r="O2033" t="s">
        <v>293</v>
      </c>
      <c r="P2033">
        <v>1.0240911844744554E-2</v>
      </c>
      <c r="Q2033" t="s">
        <v>159</v>
      </c>
    </row>
    <row r="2034" spans="9:17" x14ac:dyDescent="0.45">
      <c r="I2034" t="s">
        <v>200</v>
      </c>
      <c r="J2034" t="s">
        <v>294</v>
      </c>
      <c r="K2034">
        <v>0</v>
      </c>
      <c r="L2034" t="s">
        <v>159</v>
      </c>
      <c r="N2034" t="s">
        <v>243</v>
      </c>
      <c r="O2034" t="s">
        <v>294</v>
      </c>
      <c r="P2034">
        <v>1.4906169038461428E-3</v>
      </c>
      <c r="Q2034" t="s">
        <v>159</v>
      </c>
    </row>
    <row r="2035" spans="9:17" x14ac:dyDescent="0.45">
      <c r="I2035" t="s">
        <v>200</v>
      </c>
      <c r="J2035" t="s">
        <v>295</v>
      </c>
      <c r="K2035">
        <v>1.7559837947988963E-2</v>
      </c>
      <c r="L2035" t="s">
        <v>159</v>
      </c>
      <c r="N2035" t="s">
        <v>243</v>
      </c>
      <c r="O2035" t="s">
        <v>295</v>
      </c>
      <c r="P2035">
        <v>1.2381036585316868E-2</v>
      </c>
      <c r="Q2035" t="s">
        <v>159</v>
      </c>
    </row>
    <row r="2036" spans="9:17" x14ac:dyDescent="0.45">
      <c r="I2036" t="s">
        <v>200</v>
      </c>
      <c r="J2036" t="s">
        <v>296</v>
      </c>
      <c r="K2036">
        <v>1.6027077127917313E-3</v>
      </c>
      <c r="L2036" t="s">
        <v>159</v>
      </c>
      <c r="N2036" t="s">
        <v>243</v>
      </c>
      <c r="O2036" t="s">
        <v>296</v>
      </c>
      <c r="P2036">
        <v>1.0211250081032413E-3</v>
      </c>
      <c r="Q2036" t="s">
        <v>159</v>
      </c>
    </row>
    <row r="2037" spans="9:17" x14ac:dyDescent="0.45">
      <c r="I2037" t="s">
        <v>200</v>
      </c>
      <c r="J2037" t="s">
        <v>297</v>
      </c>
      <c r="K2037">
        <v>1.2483474376711805E-3</v>
      </c>
      <c r="L2037" t="s">
        <v>159</v>
      </c>
      <c r="N2037" t="s">
        <v>243</v>
      </c>
      <c r="O2037" t="s">
        <v>297</v>
      </c>
      <c r="P2037">
        <v>9.6510359295862321E-4</v>
      </c>
      <c r="Q2037" t="s">
        <v>159</v>
      </c>
    </row>
    <row r="2038" spans="9:17" x14ac:dyDescent="0.45">
      <c r="I2038" t="s">
        <v>200</v>
      </c>
      <c r="J2038" t="s">
        <v>311</v>
      </c>
      <c r="K2038">
        <v>0</v>
      </c>
      <c r="L2038" t="s">
        <v>159</v>
      </c>
      <c r="N2038" t="s">
        <v>243</v>
      </c>
      <c r="O2038" t="s">
        <v>311</v>
      </c>
      <c r="P2038">
        <v>5.9372387777397746E-3</v>
      </c>
      <c r="Q2038" t="s">
        <v>159</v>
      </c>
    </row>
    <row r="2039" spans="9:17" x14ac:dyDescent="0.45">
      <c r="I2039" t="s">
        <v>200</v>
      </c>
      <c r="J2039" t="s">
        <v>298</v>
      </c>
      <c r="K2039">
        <v>4.5012241939369601E-3</v>
      </c>
      <c r="L2039" t="s">
        <v>159</v>
      </c>
      <c r="N2039" t="s">
        <v>243</v>
      </c>
      <c r="O2039" t="s">
        <v>298</v>
      </c>
      <c r="P2039">
        <v>7.4452197105556728E-2</v>
      </c>
      <c r="Q2039" t="s">
        <v>159</v>
      </c>
    </row>
    <row r="2040" spans="9:17" x14ac:dyDescent="0.45">
      <c r="I2040" t="s">
        <v>200</v>
      </c>
      <c r="J2040" t="s">
        <v>299</v>
      </c>
      <c r="K2040">
        <v>1.5981116624419794E-2</v>
      </c>
      <c r="L2040" t="s">
        <v>159</v>
      </c>
      <c r="N2040" t="s">
        <v>243</v>
      </c>
      <c r="O2040" t="s">
        <v>299</v>
      </c>
      <c r="P2040">
        <v>7.9550900543161364E-3</v>
      </c>
      <c r="Q2040" t="s">
        <v>159</v>
      </c>
    </row>
    <row r="2041" spans="9:17" x14ac:dyDescent="0.45">
      <c r="I2041" t="s">
        <v>200</v>
      </c>
      <c r="J2041" t="s">
        <v>300</v>
      </c>
      <c r="K2041">
        <v>0.26084377267966075</v>
      </c>
      <c r="L2041" t="s">
        <v>159</v>
      </c>
      <c r="N2041" t="s">
        <v>243</v>
      </c>
      <c r="O2041" t="s">
        <v>300</v>
      </c>
      <c r="P2041">
        <v>9.7960288569003004E-2</v>
      </c>
      <c r="Q2041" t="s">
        <v>159</v>
      </c>
    </row>
    <row r="2042" spans="9:17" x14ac:dyDescent="0.45">
      <c r="I2042" t="s">
        <v>200</v>
      </c>
      <c r="J2042" t="s">
        <v>301</v>
      </c>
      <c r="K2042">
        <v>2.1489422169108409E-2</v>
      </c>
      <c r="L2042" t="s">
        <v>159</v>
      </c>
      <c r="N2042" t="s">
        <v>243</v>
      </c>
      <c r="O2042" t="s">
        <v>301</v>
      </c>
      <c r="P2042">
        <v>1.2134673830997261E-2</v>
      </c>
      <c r="Q2042" t="s">
        <v>159</v>
      </c>
    </row>
    <row r="2043" spans="9:17" x14ac:dyDescent="0.45">
      <c r="I2043" t="s">
        <v>200</v>
      </c>
      <c r="J2043" t="s">
        <v>302</v>
      </c>
      <c r="K2043">
        <v>1.4371871126766366E-2</v>
      </c>
      <c r="L2043" t="s">
        <v>159</v>
      </c>
      <c r="N2043" t="s">
        <v>243</v>
      </c>
      <c r="O2043" t="s">
        <v>302</v>
      </c>
      <c r="P2043">
        <v>1.1684904970212065E-2</v>
      </c>
      <c r="Q2043" t="s">
        <v>159</v>
      </c>
    </row>
    <row r="2044" spans="9:17" x14ac:dyDescent="0.45">
      <c r="I2044" t="s">
        <v>200</v>
      </c>
      <c r="J2044" t="s">
        <v>312</v>
      </c>
      <c r="K2044">
        <v>1.849213911604588E-3</v>
      </c>
      <c r="L2044" t="s">
        <v>159</v>
      </c>
      <c r="N2044" t="s">
        <v>243</v>
      </c>
      <c r="O2044" t="s">
        <v>312</v>
      </c>
      <c r="P2044">
        <v>6.0401277546067125E-2</v>
      </c>
      <c r="Q2044" t="s">
        <v>159</v>
      </c>
    </row>
    <row r="2045" spans="9:17" x14ac:dyDescent="0.45">
      <c r="I2045" t="s">
        <v>200</v>
      </c>
      <c r="J2045" t="s">
        <v>313</v>
      </c>
      <c r="K2045">
        <v>2.2690721788231161E-3</v>
      </c>
      <c r="L2045" t="s">
        <v>159</v>
      </c>
      <c r="N2045" t="s">
        <v>243</v>
      </c>
      <c r="O2045" t="s">
        <v>313</v>
      </c>
      <c r="P2045">
        <v>2.2928095625892746E-2</v>
      </c>
      <c r="Q2045" t="s">
        <v>159</v>
      </c>
    </row>
    <row r="2046" spans="9:17" x14ac:dyDescent="0.45">
      <c r="I2046" t="s">
        <v>200</v>
      </c>
      <c r="J2046" t="s">
        <v>314</v>
      </c>
      <c r="K2046">
        <v>4.2637846459628124E-3</v>
      </c>
      <c r="L2046" t="s">
        <v>159</v>
      </c>
      <c r="N2046" t="s">
        <v>243</v>
      </c>
      <c r="O2046" t="s">
        <v>314</v>
      </c>
      <c r="P2046">
        <v>2.0383025125902767E-3</v>
      </c>
      <c r="Q2046" t="s">
        <v>159</v>
      </c>
    </row>
    <row r="2047" spans="9:17" x14ac:dyDescent="0.45">
      <c r="I2047" t="s">
        <v>200</v>
      </c>
      <c r="J2047" t="s">
        <v>315</v>
      </c>
      <c r="K2047">
        <v>7.5266683278421329E-2</v>
      </c>
      <c r="L2047" t="s">
        <v>159</v>
      </c>
      <c r="N2047" t="s">
        <v>243</v>
      </c>
      <c r="O2047" t="s">
        <v>315</v>
      </c>
      <c r="P2047">
        <v>1.78866453417659E-2</v>
      </c>
      <c r="Q2047" t="s">
        <v>159</v>
      </c>
    </row>
    <row r="2048" spans="9:17" x14ac:dyDescent="0.45">
      <c r="I2048" t="s">
        <v>200</v>
      </c>
      <c r="J2048" t="s">
        <v>316</v>
      </c>
      <c r="K2048">
        <v>5.8403220941147709E-3</v>
      </c>
      <c r="L2048" t="s">
        <v>159</v>
      </c>
      <c r="N2048" t="s">
        <v>243</v>
      </c>
      <c r="O2048" t="s">
        <v>316</v>
      </c>
      <c r="P2048">
        <v>2.2570786438787047E-3</v>
      </c>
      <c r="Q2048" t="s">
        <v>159</v>
      </c>
    </row>
    <row r="2049" spans="9:17" x14ac:dyDescent="0.45">
      <c r="I2049" t="s">
        <v>200</v>
      </c>
      <c r="J2049" t="s">
        <v>317</v>
      </c>
      <c r="K2049">
        <v>4.4428596174907083E-3</v>
      </c>
      <c r="L2049" t="s">
        <v>159</v>
      </c>
      <c r="N2049" t="s">
        <v>243</v>
      </c>
      <c r="O2049" t="s">
        <v>317</v>
      </c>
      <c r="P2049">
        <v>2.1376037675016305E-3</v>
      </c>
      <c r="Q2049" t="s">
        <v>159</v>
      </c>
    </row>
    <row r="2050" spans="9:17" x14ac:dyDescent="0.45">
      <c r="I2050" t="s">
        <v>200</v>
      </c>
      <c r="J2050" t="s">
        <v>318</v>
      </c>
      <c r="K2050">
        <v>2.3778586758274843E-3</v>
      </c>
      <c r="L2050" t="s">
        <v>159</v>
      </c>
      <c r="N2050" t="s">
        <v>243</v>
      </c>
      <c r="O2050" t="s">
        <v>318</v>
      </c>
      <c r="P2050">
        <v>1.7080819172443234E-2</v>
      </c>
      <c r="Q2050" t="s">
        <v>159</v>
      </c>
    </row>
    <row r="2051" spans="9:17" x14ac:dyDescent="0.45">
      <c r="I2051" t="s">
        <v>201</v>
      </c>
      <c r="J2051" t="s">
        <v>158</v>
      </c>
      <c r="K2051">
        <v>1.4040280511980079E-3</v>
      </c>
      <c r="L2051" t="s">
        <v>159</v>
      </c>
      <c r="N2051" t="s">
        <v>244</v>
      </c>
      <c r="O2051" t="s">
        <v>158</v>
      </c>
      <c r="P2051">
        <v>0.12601068560665732</v>
      </c>
      <c r="Q2051" t="s">
        <v>159</v>
      </c>
    </row>
    <row r="2052" spans="9:17" x14ac:dyDescent="0.45">
      <c r="I2052" t="s">
        <v>201</v>
      </c>
      <c r="J2052" t="s">
        <v>160</v>
      </c>
      <c r="K2052">
        <v>1.2802900289808737E-2</v>
      </c>
      <c r="L2052" t="s">
        <v>159</v>
      </c>
      <c r="N2052" t="s">
        <v>244</v>
      </c>
      <c r="O2052" t="s">
        <v>160</v>
      </c>
      <c r="P2052">
        <v>1.5367015037103556E-2</v>
      </c>
      <c r="Q2052" t="s">
        <v>159</v>
      </c>
    </row>
    <row r="2053" spans="9:17" x14ac:dyDescent="0.45">
      <c r="I2053" t="s">
        <v>201</v>
      </c>
      <c r="J2053" t="s">
        <v>161</v>
      </c>
      <c r="K2053">
        <v>0.37314938942274811</v>
      </c>
      <c r="L2053" t="s">
        <v>159</v>
      </c>
      <c r="N2053" t="s">
        <v>244</v>
      </c>
      <c r="O2053" t="s">
        <v>161</v>
      </c>
      <c r="P2053">
        <v>0.16601111731078805</v>
      </c>
      <c r="Q2053" t="s">
        <v>159</v>
      </c>
    </row>
    <row r="2054" spans="9:17" x14ac:dyDescent="0.45">
      <c r="I2054" t="s">
        <v>201</v>
      </c>
      <c r="J2054" t="s">
        <v>287</v>
      </c>
      <c r="K2054">
        <v>3.4319158879023509E-2</v>
      </c>
      <c r="L2054" t="s">
        <v>159</v>
      </c>
      <c r="N2054" t="s">
        <v>244</v>
      </c>
      <c r="O2054" t="s">
        <v>287</v>
      </c>
      <c r="P2054">
        <v>2.5554764812006608E-2</v>
      </c>
      <c r="Q2054" t="s">
        <v>159</v>
      </c>
    </row>
    <row r="2055" spans="9:17" x14ac:dyDescent="0.45">
      <c r="I2055" t="s">
        <v>201</v>
      </c>
      <c r="J2055" t="s">
        <v>288</v>
      </c>
      <c r="K2055">
        <v>2.0193916374821094E-2</v>
      </c>
      <c r="L2055" t="s">
        <v>159</v>
      </c>
      <c r="N2055" t="s">
        <v>244</v>
      </c>
      <c r="O2055" t="s">
        <v>288</v>
      </c>
      <c r="P2055">
        <v>2.5363834424522058E-2</v>
      </c>
      <c r="Q2055" t="s">
        <v>159</v>
      </c>
    </row>
    <row r="2056" spans="9:17" x14ac:dyDescent="0.45">
      <c r="I2056" t="s">
        <v>201</v>
      </c>
      <c r="J2056" t="s">
        <v>308</v>
      </c>
      <c r="K2056">
        <v>9.2321684856701055E-3</v>
      </c>
      <c r="L2056" t="s">
        <v>159</v>
      </c>
      <c r="N2056" t="s">
        <v>244</v>
      </c>
      <c r="O2056" t="s">
        <v>308</v>
      </c>
      <c r="P2056">
        <v>0.11340829094061017</v>
      </c>
      <c r="Q2056" t="s">
        <v>159</v>
      </c>
    </row>
    <row r="2057" spans="9:17" x14ac:dyDescent="0.45">
      <c r="I2057" t="s">
        <v>201</v>
      </c>
      <c r="J2057" t="s">
        <v>162</v>
      </c>
      <c r="K2057">
        <v>0</v>
      </c>
      <c r="L2057" t="s">
        <v>159</v>
      </c>
      <c r="N2057" t="s">
        <v>244</v>
      </c>
      <c r="O2057" t="s">
        <v>162</v>
      </c>
      <c r="P2057">
        <v>1.9639330024803277E-2</v>
      </c>
      <c r="Q2057" t="s">
        <v>159</v>
      </c>
    </row>
    <row r="2058" spans="9:17" x14ac:dyDescent="0.45">
      <c r="I2058" t="s">
        <v>201</v>
      </c>
      <c r="J2058" t="s">
        <v>163</v>
      </c>
      <c r="K2058">
        <v>0</v>
      </c>
      <c r="L2058" t="s">
        <v>159</v>
      </c>
      <c r="N2058" t="s">
        <v>244</v>
      </c>
      <c r="O2058" t="s">
        <v>163</v>
      </c>
      <c r="P2058">
        <v>2.7590060499933507E-3</v>
      </c>
      <c r="Q2058" t="s">
        <v>159</v>
      </c>
    </row>
    <row r="2059" spans="9:17" x14ac:dyDescent="0.45">
      <c r="I2059" t="s">
        <v>201</v>
      </c>
      <c r="J2059" t="s">
        <v>164</v>
      </c>
      <c r="K2059">
        <v>4.1736009696917119E-2</v>
      </c>
      <c r="L2059" t="s">
        <v>159</v>
      </c>
      <c r="N2059" t="s">
        <v>244</v>
      </c>
      <c r="O2059" t="s">
        <v>164</v>
      </c>
      <c r="P2059">
        <v>2.5136400557345537E-2</v>
      </c>
      <c r="Q2059" t="s">
        <v>159</v>
      </c>
    </row>
    <row r="2060" spans="9:17" x14ac:dyDescent="0.45">
      <c r="I2060" t="s">
        <v>201</v>
      </c>
      <c r="J2060" t="s">
        <v>289</v>
      </c>
      <c r="K2060">
        <v>3.9529307862835291E-3</v>
      </c>
      <c r="L2060" t="s">
        <v>159</v>
      </c>
      <c r="N2060" t="s">
        <v>244</v>
      </c>
      <c r="O2060" t="s">
        <v>289</v>
      </c>
      <c r="P2060">
        <v>3.1947289475704565E-3</v>
      </c>
      <c r="Q2060" t="s">
        <v>159</v>
      </c>
    </row>
    <row r="2061" spans="9:17" x14ac:dyDescent="0.45">
      <c r="I2061" t="s">
        <v>201</v>
      </c>
      <c r="J2061" t="s">
        <v>290</v>
      </c>
      <c r="K2061">
        <v>0</v>
      </c>
      <c r="L2061" t="s">
        <v>159</v>
      </c>
      <c r="N2061" t="s">
        <v>244</v>
      </c>
      <c r="O2061" t="s">
        <v>290</v>
      </c>
      <c r="P2061">
        <v>3.2287351437500392E-3</v>
      </c>
      <c r="Q2061" t="s">
        <v>159</v>
      </c>
    </row>
    <row r="2062" spans="9:17" x14ac:dyDescent="0.45">
      <c r="I2062" t="s">
        <v>201</v>
      </c>
      <c r="J2062" t="s">
        <v>309</v>
      </c>
      <c r="K2062">
        <v>0</v>
      </c>
      <c r="L2062" t="s">
        <v>159</v>
      </c>
      <c r="N2062" t="s">
        <v>244</v>
      </c>
      <c r="O2062" t="s">
        <v>309</v>
      </c>
      <c r="P2062">
        <v>1.5376264328032333E-2</v>
      </c>
      <c r="Q2062" t="s">
        <v>159</v>
      </c>
    </row>
    <row r="2063" spans="9:17" x14ac:dyDescent="0.45">
      <c r="I2063" t="s">
        <v>201</v>
      </c>
      <c r="J2063" t="s">
        <v>346</v>
      </c>
      <c r="K2063">
        <v>0</v>
      </c>
      <c r="L2063" t="s">
        <v>159</v>
      </c>
      <c r="N2063" t="s">
        <v>244</v>
      </c>
      <c r="O2063" t="s">
        <v>346</v>
      </c>
      <c r="P2063">
        <v>3.3981756497470094E-5</v>
      </c>
      <c r="Q2063" t="s">
        <v>159</v>
      </c>
    </row>
    <row r="2064" spans="9:17" x14ac:dyDescent="0.45">
      <c r="I2064" t="s">
        <v>201</v>
      </c>
      <c r="J2064" t="s">
        <v>347</v>
      </c>
      <c r="K2064">
        <v>0</v>
      </c>
      <c r="L2064" t="s">
        <v>159</v>
      </c>
      <c r="N2064" t="s">
        <v>244</v>
      </c>
      <c r="O2064" t="s">
        <v>347</v>
      </c>
      <c r="P2064">
        <v>3.2420127253318984E-5</v>
      </c>
      <c r="Q2064" t="s">
        <v>159</v>
      </c>
    </row>
    <row r="2065" spans="9:17" x14ac:dyDescent="0.45">
      <c r="I2065" t="s">
        <v>201</v>
      </c>
      <c r="J2065" t="s">
        <v>348</v>
      </c>
      <c r="K2065">
        <v>0</v>
      </c>
      <c r="L2065" t="s">
        <v>159</v>
      </c>
      <c r="N2065" t="s">
        <v>244</v>
      </c>
      <c r="O2065" t="s">
        <v>348</v>
      </c>
      <c r="P2065">
        <v>2.7823081749821628E-5</v>
      </c>
      <c r="Q2065" t="s">
        <v>159</v>
      </c>
    </row>
    <row r="2066" spans="9:17" x14ac:dyDescent="0.45">
      <c r="I2066" t="s">
        <v>201</v>
      </c>
      <c r="J2066" t="s">
        <v>349</v>
      </c>
      <c r="K2066">
        <v>0</v>
      </c>
      <c r="L2066" t="s">
        <v>159</v>
      </c>
      <c r="N2066" t="s">
        <v>244</v>
      </c>
      <c r="O2066" t="s">
        <v>349</v>
      </c>
      <c r="P2066">
        <v>2.4060617221709388E-5</v>
      </c>
      <c r="Q2066" t="s">
        <v>159</v>
      </c>
    </row>
    <row r="2067" spans="9:17" x14ac:dyDescent="0.45">
      <c r="I2067" t="s">
        <v>201</v>
      </c>
      <c r="J2067" t="s">
        <v>350</v>
      </c>
      <c r="K2067">
        <v>0</v>
      </c>
      <c r="L2067" t="s">
        <v>159</v>
      </c>
      <c r="N2067" t="s">
        <v>244</v>
      </c>
      <c r="O2067" t="s">
        <v>350</v>
      </c>
      <c r="P2067">
        <v>2.0088497373122121E-5</v>
      </c>
      <c r="Q2067" t="s">
        <v>159</v>
      </c>
    </row>
    <row r="2068" spans="9:17" x14ac:dyDescent="0.45">
      <c r="I2068" t="s">
        <v>201</v>
      </c>
      <c r="J2068" t="s">
        <v>351</v>
      </c>
      <c r="K2068">
        <v>0</v>
      </c>
      <c r="L2068" t="s">
        <v>159</v>
      </c>
      <c r="N2068" t="s">
        <v>244</v>
      </c>
      <c r="O2068" t="s">
        <v>351</v>
      </c>
      <c r="P2068">
        <v>2.0217058835858643E-5</v>
      </c>
      <c r="Q2068" t="s">
        <v>159</v>
      </c>
    </row>
    <row r="2069" spans="9:17" x14ac:dyDescent="0.45">
      <c r="I2069" t="s">
        <v>201</v>
      </c>
      <c r="J2069" t="s">
        <v>352</v>
      </c>
      <c r="K2069">
        <v>0</v>
      </c>
      <c r="L2069" t="s">
        <v>159</v>
      </c>
      <c r="N2069" t="s">
        <v>244</v>
      </c>
      <c r="O2069" t="s">
        <v>352</v>
      </c>
      <c r="P2069">
        <v>2.1819949224799957E-5</v>
      </c>
      <c r="Q2069" t="s">
        <v>159</v>
      </c>
    </row>
    <row r="2070" spans="9:17" x14ac:dyDescent="0.45">
      <c r="I2070" t="s">
        <v>201</v>
      </c>
      <c r="J2070" t="s">
        <v>353</v>
      </c>
      <c r="K2070">
        <v>0</v>
      </c>
      <c r="L2070" t="s">
        <v>159</v>
      </c>
      <c r="N2070" t="s">
        <v>244</v>
      </c>
      <c r="O2070" t="s">
        <v>353</v>
      </c>
      <c r="P2070">
        <v>2.1315748599652985E-5</v>
      </c>
      <c r="Q2070" t="s">
        <v>159</v>
      </c>
    </row>
    <row r="2071" spans="9:17" x14ac:dyDescent="0.45">
      <c r="I2071" t="s">
        <v>201</v>
      </c>
      <c r="J2071" t="s">
        <v>354</v>
      </c>
      <c r="K2071">
        <v>1.2704131766639199E-4</v>
      </c>
      <c r="L2071" t="s">
        <v>159</v>
      </c>
      <c r="N2071" t="s">
        <v>244</v>
      </c>
      <c r="O2071" t="s">
        <v>354</v>
      </c>
      <c r="P2071">
        <v>2.0170578104669812E-5</v>
      </c>
      <c r="Q2071" t="s">
        <v>159</v>
      </c>
    </row>
    <row r="2072" spans="9:17" x14ac:dyDescent="0.45">
      <c r="I2072" t="s">
        <v>201</v>
      </c>
      <c r="J2072" t="s">
        <v>355</v>
      </c>
      <c r="K2072">
        <v>1.8513727904931982E-4</v>
      </c>
      <c r="L2072" t="s">
        <v>159</v>
      </c>
      <c r="N2072" t="s">
        <v>244</v>
      </c>
      <c r="O2072" t="s">
        <v>355</v>
      </c>
      <c r="P2072">
        <v>1.7198634268909916E-5</v>
      </c>
      <c r="Q2072" t="s">
        <v>159</v>
      </c>
    </row>
    <row r="2073" spans="9:17" x14ac:dyDescent="0.45">
      <c r="I2073" t="s">
        <v>201</v>
      </c>
      <c r="J2073" t="s">
        <v>356</v>
      </c>
      <c r="K2073">
        <v>1.7411038297199808E-4</v>
      </c>
      <c r="L2073" t="s">
        <v>159</v>
      </c>
      <c r="N2073" t="s">
        <v>244</v>
      </c>
      <c r="O2073" t="s">
        <v>356</v>
      </c>
      <c r="P2073">
        <v>1.6681750017812205E-5</v>
      </c>
      <c r="Q2073" t="s">
        <v>159</v>
      </c>
    </row>
    <row r="2074" spans="9:17" x14ac:dyDescent="0.45">
      <c r="I2074" t="s">
        <v>201</v>
      </c>
      <c r="J2074" t="s">
        <v>357</v>
      </c>
      <c r="K2074">
        <v>1.6972902267333359E-4</v>
      </c>
      <c r="L2074" t="s">
        <v>159</v>
      </c>
      <c r="N2074" t="s">
        <v>244</v>
      </c>
      <c r="O2074" t="s">
        <v>357</v>
      </c>
      <c r="P2074">
        <v>2.3387178264544807E-5</v>
      </c>
      <c r="Q2074" t="s">
        <v>159</v>
      </c>
    </row>
    <row r="2075" spans="9:17" x14ac:dyDescent="0.45">
      <c r="I2075" t="s">
        <v>201</v>
      </c>
      <c r="J2075" t="s">
        <v>358</v>
      </c>
      <c r="K2075">
        <v>1.9643532130594787E-4</v>
      </c>
      <c r="L2075" t="s">
        <v>159</v>
      </c>
      <c r="N2075" t="s">
        <v>244</v>
      </c>
      <c r="O2075" t="s">
        <v>358</v>
      </c>
      <c r="P2075">
        <v>2.6109842245992012E-5</v>
      </c>
      <c r="Q2075" t="s">
        <v>159</v>
      </c>
    </row>
    <row r="2076" spans="9:17" x14ac:dyDescent="0.45">
      <c r="I2076" t="s">
        <v>201</v>
      </c>
      <c r="J2076" t="s">
        <v>359</v>
      </c>
      <c r="K2076">
        <v>2.2867858040709151E-4</v>
      </c>
      <c r="L2076" t="s">
        <v>159</v>
      </c>
      <c r="N2076" t="s">
        <v>244</v>
      </c>
      <c r="O2076" t="s">
        <v>359</v>
      </c>
      <c r="P2076">
        <v>2.7049243851337629E-5</v>
      </c>
      <c r="Q2076" t="s">
        <v>159</v>
      </c>
    </row>
    <row r="2077" spans="9:17" x14ac:dyDescent="0.45">
      <c r="I2077" t="s">
        <v>201</v>
      </c>
      <c r="J2077" t="s">
        <v>360</v>
      </c>
      <c r="K2077">
        <v>1.8017614445081914E-4</v>
      </c>
      <c r="L2077" t="s">
        <v>159</v>
      </c>
      <c r="N2077" t="s">
        <v>244</v>
      </c>
      <c r="O2077" t="s">
        <v>360</v>
      </c>
      <c r="P2077">
        <v>3.1976535482798565E-5</v>
      </c>
      <c r="Q2077" t="s">
        <v>159</v>
      </c>
    </row>
    <row r="2078" spans="9:17" x14ac:dyDescent="0.45">
      <c r="I2078" t="s">
        <v>201</v>
      </c>
      <c r="J2078" t="s">
        <v>361</v>
      </c>
      <c r="K2078">
        <v>1.6761575899132124E-4</v>
      </c>
      <c r="L2078" t="s">
        <v>159</v>
      </c>
      <c r="N2078" t="s">
        <v>244</v>
      </c>
      <c r="O2078" t="s">
        <v>361</v>
      </c>
      <c r="P2078">
        <v>4.1351575813346525E-5</v>
      </c>
      <c r="Q2078" t="s">
        <v>159</v>
      </c>
    </row>
    <row r="2079" spans="9:17" x14ac:dyDescent="0.45">
      <c r="I2079" t="s">
        <v>201</v>
      </c>
      <c r="J2079" t="s">
        <v>362</v>
      </c>
      <c r="K2079">
        <v>1.8037785565182845E-4</v>
      </c>
      <c r="L2079" t="s">
        <v>159</v>
      </c>
      <c r="N2079" t="s">
        <v>244</v>
      </c>
      <c r="O2079" t="s">
        <v>362</v>
      </c>
      <c r="P2079">
        <v>5.9281625163812161E-5</v>
      </c>
      <c r="Q2079" t="s">
        <v>159</v>
      </c>
    </row>
    <row r="2080" spans="9:17" x14ac:dyDescent="0.45">
      <c r="I2080" t="s">
        <v>201</v>
      </c>
      <c r="J2080" t="s">
        <v>363</v>
      </c>
      <c r="K2080">
        <v>1.6709107355365827E-4</v>
      </c>
      <c r="L2080" t="s">
        <v>159</v>
      </c>
      <c r="N2080" t="s">
        <v>244</v>
      </c>
      <c r="O2080" t="s">
        <v>363</v>
      </c>
      <c r="P2080">
        <v>7.9143803969289794E-5</v>
      </c>
      <c r="Q2080" t="s">
        <v>159</v>
      </c>
    </row>
    <row r="2081" spans="9:17" x14ac:dyDescent="0.45">
      <c r="I2081" t="s">
        <v>201</v>
      </c>
      <c r="J2081" t="s">
        <v>364</v>
      </c>
      <c r="K2081">
        <v>0</v>
      </c>
      <c r="L2081" t="s">
        <v>159</v>
      </c>
      <c r="N2081" t="s">
        <v>244</v>
      </c>
      <c r="O2081" t="s">
        <v>364</v>
      </c>
      <c r="P2081">
        <v>9.3371621698881162E-5</v>
      </c>
      <c r="Q2081" t="s">
        <v>159</v>
      </c>
    </row>
    <row r="2082" spans="9:17" x14ac:dyDescent="0.45">
      <c r="I2082" t="s">
        <v>201</v>
      </c>
      <c r="J2082" t="s">
        <v>365</v>
      </c>
      <c r="K2082">
        <v>0</v>
      </c>
      <c r="L2082" t="s">
        <v>159</v>
      </c>
      <c r="N2082" t="s">
        <v>244</v>
      </c>
      <c r="O2082" t="s">
        <v>365</v>
      </c>
      <c r="P2082">
        <v>1.0255011949212461E-4</v>
      </c>
      <c r="Q2082" t="s">
        <v>159</v>
      </c>
    </row>
    <row r="2083" spans="9:17" x14ac:dyDescent="0.45">
      <c r="I2083" t="s">
        <v>201</v>
      </c>
      <c r="J2083" t="s">
        <v>366</v>
      </c>
      <c r="K2083">
        <v>0</v>
      </c>
      <c r="L2083" t="s">
        <v>159</v>
      </c>
      <c r="N2083" t="s">
        <v>244</v>
      </c>
      <c r="O2083" t="s">
        <v>366</v>
      </c>
      <c r="P2083">
        <v>1.0325192380751314E-4</v>
      </c>
      <c r="Q2083" t="s">
        <v>159</v>
      </c>
    </row>
    <row r="2084" spans="9:17" x14ac:dyDescent="0.45">
      <c r="I2084" t="s">
        <v>201</v>
      </c>
      <c r="J2084" t="s">
        <v>367</v>
      </c>
      <c r="K2084">
        <v>0</v>
      </c>
      <c r="L2084" t="s">
        <v>159</v>
      </c>
      <c r="N2084" t="s">
        <v>244</v>
      </c>
      <c r="O2084" t="s">
        <v>367</v>
      </c>
      <c r="P2084">
        <v>1.0224495002426112E-4</v>
      </c>
      <c r="Q2084" t="s">
        <v>159</v>
      </c>
    </row>
    <row r="2085" spans="9:17" x14ac:dyDescent="0.45">
      <c r="I2085" t="s">
        <v>201</v>
      </c>
      <c r="J2085" t="s">
        <v>368</v>
      </c>
      <c r="K2085">
        <v>0</v>
      </c>
      <c r="L2085" t="s">
        <v>159</v>
      </c>
      <c r="N2085" t="s">
        <v>244</v>
      </c>
      <c r="O2085" t="s">
        <v>368</v>
      </c>
      <c r="P2085">
        <v>9.5621374752272655E-5</v>
      </c>
      <c r="Q2085" t="s">
        <v>159</v>
      </c>
    </row>
    <row r="2086" spans="9:17" x14ac:dyDescent="0.45">
      <c r="I2086" t="s">
        <v>201</v>
      </c>
      <c r="J2086" t="s">
        <v>369</v>
      </c>
      <c r="K2086">
        <v>0</v>
      </c>
      <c r="L2086" t="s">
        <v>159</v>
      </c>
      <c r="N2086" t="s">
        <v>244</v>
      </c>
      <c r="O2086" t="s">
        <v>369</v>
      </c>
      <c r="P2086">
        <v>7.9114676788822198E-5</v>
      </c>
      <c r="Q2086" t="s">
        <v>159</v>
      </c>
    </row>
    <row r="2087" spans="9:17" x14ac:dyDescent="0.45">
      <c r="I2087" t="s">
        <v>201</v>
      </c>
      <c r="J2087" t="s">
        <v>165</v>
      </c>
      <c r="K2087">
        <v>0</v>
      </c>
      <c r="L2087" t="s">
        <v>159</v>
      </c>
      <c r="N2087" t="s">
        <v>244</v>
      </c>
      <c r="O2087" t="s">
        <v>165</v>
      </c>
      <c r="P2087">
        <v>2.3158949588777265E-2</v>
      </c>
      <c r="Q2087" t="s">
        <v>159</v>
      </c>
    </row>
    <row r="2088" spans="9:17" x14ac:dyDescent="0.45">
      <c r="I2088" t="s">
        <v>201</v>
      </c>
      <c r="J2088" t="s">
        <v>166</v>
      </c>
      <c r="K2088">
        <v>0</v>
      </c>
      <c r="L2088" t="s">
        <v>159</v>
      </c>
      <c r="N2088" t="s">
        <v>244</v>
      </c>
      <c r="O2088" t="s">
        <v>166</v>
      </c>
      <c r="P2088">
        <v>3.3238554692845289E-3</v>
      </c>
      <c r="Q2088" t="s">
        <v>159</v>
      </c>
    </row>
    <row r="2089" spans="9:17" x14ac:dyDescent="0.45">
      <c r="I2089" t="s">
        <v>201</v>
      </c>
      <c r="J2089" t="s">
        <v>167</v>
      </c>
      <c r="K2089">
        <v>6.0162686338172788E-2</v>
      </c>
      <c r="L2089" t="s">
        <v>159</v>
      </c>
      <c r="N2089" t="s">
        <v>244</v>
      </c>
      <c r="O2089" t="s">
        <v>167</v>
      </c>
      <c r="P2089">
        <v>2.8632369447362641E-2</v>
      </c>
      <c r="Q2089" t="s">
        <v>159</v>
      </c>
    </row>
    <row r="2090" spans="9:17" x14ac:dyDescent="0.45">
      <c r="I2090" t="s">
        <v>201</v>
      </c>
      <c r="J2090" t="s">
        <v>291</v>
      </c>
      <c r="K2090">
        <v>5.8527076844780458E-3</v>
      </c>
      <c r="L2090" t="s">
        <v>159</v>
      </c>
      <c r="N2090" t="s">
        <v>244</v>
      </c>
      <c r="O2090" t="s">
        <v>291</v>
      </c>
      <c r="P2090">
        <v>3.3049025310919471E-3</v>
      </c>
      <c r="Q2090" t="s">
        <v>159</v>
      </c>
    </row>
    <row r="2091" spans="9:17" x14ac:dyDescent="0.45">
      <c r="I2091" t="s">
        <v>201</v>
      </c>
      <c r="J2091" t="s">
        <v>292</v>
      </c>
      <c r="K2091">
        <v>2.7204160189414723E-3</v>
      </c>
      <c r="L2091" t="s">
        <v>159</v>
      </c>
      <c r="N2091" t="s">
        <v>244</v>
      </c>
      <c r="O2091" t="s">
        <v>292</v>
      </c>
      <c r="P2091">
        <v>3.2943797216164789E-3</v>
      </c>
      <c r="Q2091" t="s">
        <v>159</v>
      </c>
    </row>
    <row r="2092" spans="9:17" x14ac:dyDescent="0.45">
      <c r="I2092" t="s">
        <v>201</v>
      </c>
      <c r="J2092" t="s">
        <v>310</v>
      </c>
      <c r="K2092">
        <v>0</v>
      </c>
      <c r="L2092" t="s">
        <v>159</v>
      </c>
      <c r="N2092" t="s">
        <v>244</v>
      </c>
      <c r="O2092" t="s">
        <v>310</v>
      </c>
      <c r="P2092">
        <v>1.6029345766969273E-2</v>
      </c>
      <c r="Q2092" t="s">
        <v>159</v>
      </c>
    </row>
    <row r="2093" spans="9:17" x14ac:dyDescent="0.45">
      <c r="I2093" t="s">
        <v>201</v>
      </c>
      <c r="J2093" t="s">
        <v>293</v>
      </c>
      <c r="K2093">
        <v>0</v>
      </c>
      <c r="L2093" t="s">
        <v>159</v>
      </c>
      <c r="N2093" t="s">
        <v>244</v>
      </c>
      <c r="O2093" t="s">
        <v>293</v>
      </c>
      <c r="P2093">
        <v>4.4443083416529621E-3</v>
      </c>
      <c r="Q2093" t="s">
        <v>159</v>
      </c>
    </row>
    <row r="2094" spans="9:17" x14ac:dyDescent="0.45">
      <c r="I2094" t="s">
        <v>201</v>
      </c>
      <c r="J2094" t="s">
        <v>294</v>
      </c>
      <c r="K2094">
        <v>0</v>
      </c>
      <c r="L2094" t="s">
        <v>159</v>
      </c>
      <c r="N2094" t="s">
        <v>244</v>
      </c>
      <c r="O2094" t="s">
        <v>294</v>
      </c>
      <c r="P2094">
        <v>5.5641409956343679E-4</v>
      </c>
      <c r="Q2094" t="s">
        <v>159</v>
      </c>
    </row>
    <row r="2095" spans="9:17" x14ac:dyDescent="0.45">
      <c r="I2095" t="s">
        <v>201</v>
      </c>
      <c r="J2095" t="s">
        <v>295</v>
      </c>
      <c r="K2095">
        <v>1.6016852459858E-2</v>
      </c>
      <c r="L2095" t="s">
        <v>159</v>
      </c>
      <c r="N2095" t="s">
        <v>244</v>
      </c>
      <c r="O2095" t="s">
        <v>295</v>
      </c>
      <c r="P2095">
        <v>6.0107172636399394E-3</v>
      </c>
      <c r="Q2095" t="s">
        <v>159</v>
      </c>
    </row>
    <row r="2096" spans="9:17" x14ac:dyDescent="0.45">
      <c r="I2096" t="s">
        <v>201</v>
      </c>
      <c r="J2096" t="s">
        <v>296</v>
      </c>
      <c r="K2096">
        <v>1.6156587778338486E-3</v>
      </c>
      <c r="L2096" t="s">
        <v>159</v>
      </c>
      <c r="N2096" t="s">
        <v>244</v>
      </c>
      <c r="O2096" t="s">
        <v>296</v>
      </c>
      <c r="P2096">
        <v>9.2684363082791931E-4</v>
      </c>
      <c r="Q2096" t="s">
        <v>159</v>
      </c>
    </row>
    <row r="2097" spans="9:17" x14ac:dyDescent="0.45">
      <c r="I2097" t="s">
        <v>201</v>
      </c>
      <c r="J2097" t="s">
        <v>297</v>
      </c>
      <c r="K2097">
        <v>1.1531123996843813E-3</v>
      </c>
      <c r="L2097" t="s">
        <v>159</v>
      </c>
      <c r="N2097" t="s">
        <v>244</v>
      </c>
      <c r="O2097" t="s">
        <v>297</v>
      </c>
      <c r="P2097">
        <v>9.4358267425792282E-4</v>
      </c>
      <c r="Q2097" t="s">
        <v>159</v>
      </c>
    </row>
    <row r="2098" spans="9:17" x14ac:dyDescent="0.45">
      <c r="I2098" t="s">
        <v>201</v>
      </c>
      <c r="J2098" t="s">
        <v>311</v>
      </c>
      <c r="K2098">
        <v>0</v>
      </c>
      <c r="L2098" t="s">
        <v>159</v>
      </c>
      <c r="N2098" t="s">
        <v>244</v>
      </c>
      <c r="O2098" t="s">
        <v>311</v>
      </c>
      <c r="P2098">
        <v>4.2602366670802883E-3</v>
      </c>
      <c r="Q2098" t="s">
        <v>159</v>
      </c>
    </row>
    <row r="2099" spans="9:17" x14ac:dyDescent="0.45">
      <c r="I2099" t="s">
        <v>201</v>
      </c>
      <c r="J2099" t="s">
        <v>298</v>
      </c>
      <c r="K2099">
        <v>4.2341710520630875E-3</v>
      </c>
      <c r="L2099" t="s">
        <v>159</v>
      </c>
      <c r="N2099" t="s">
        <v>244</v>
      </c>
      <c r="O2099" t="s">
        <v>298</v>
      </c>
      <c r="P2099">
        <v>7.0425308185470242E-2</v>
      </c>
      <c r="Q2099" t="s">
        <v>159</v>
      </c>
    </row>
    <row r="2100" spans="9:17" x14ac:dyDescent="0.45">
      <c r="I2100" t="s">
        <v>201</v>
      </c>
      <c r="J2100" t="s">
        <v>299</v>
      </c>
      <c r="K2100">
        <v>1.5010043632133629E-2</v>
      </c>
      <c r="L2100" t="s">
        <v>159</v>
      </c>
      <c r="N2100" t="s">
        <v>244</v>
      </c>
      <c r="O2100" t="s">
        <v>299</v>
      </c>
      <c r="P2100">
        <v>8.6781102754526843E-3</v>
      </c>
      <c r="Q2100" t="s">
        <v>159</v>
      </c>
    </row>
    <row r="2101" spans="9:17" x14ac:dyDescent="0.45">
      <c r="I2101" t="s">
        <v>201</v>
      </c>
      <c r="J2101" t="s">
        <v>300</v>
      </c>
      <c r="K2101">
        <v>0.25179300503376578</v>
      </c>
      <c r="L2101" t="s">
        <v>159</v>
      </c>
      <c r="N2101" t="s">
        <v>244</v>
      </c>
      <c r="O2101" t="s">
        <v>300</v>
      </c>
      <c r="P2101">
        <v>0.10111290686557237</v>
      </c>
      <c r="Q2101" t="s">
        <v>159</v>
      </c>
    </row>
    <row r="2102" spans="9:17" x14ac:dyDescent="0.45">
      <c r="I2102" t="s">
        <v>201</v>
      </c>
      <c r="J2102" t="s">
        <v>301</v>
      </c>
      <c r="K2102">
        <v>2.2779741114134507E-2</v>
      </c>
      <c r="L2102" t="s">
        <v>159</v>
      </c>
      <c r="N2102" t="s">
        <v>244</v>
      </c>
      <c r="O2102" t="s">
        <v>301</v>
      </c>
      <c r="P2102">
        <v>1.4715973389981672E-2</v>
      </c>
      <c r="Q2102" t="s">
        <v>159</v>
      </c>
    </row>
    <row r="2103" spans="9:17" x14ac:dyDescent="0.45">
      <c r="I2103" t="s">
        <v>201</v>
      </c>
      <c r="J2103" t="s">
        <v>302</v>
      </c>
      <c r="K2103">
        <v>1.6514717746840869E-2</v>
      </c>
      <c r="L2103" t="s">
        <v>159</v>
      </c>
      <c r="N2103" t="s">
        <v>244</v>
      </c>
      <c r="O2103" t="s">
        <v>302</v>
      </c>
      <c r="P2103">
        <v>1.4437834328209788E-2</v>
      </c>
      <c r="Q2103" t="s">
        <v>159</v>
      </c>
    </row>
    <row r="2104" spans="9:17" x14ac:dyDescent="0.45">
      <c r="I2104" t="s">
        <v>201</v>
      </c>
      <c r="J2104" t="s">
        <v>312</v>
      </c>
      <c r="K2104">
        <v>3.3091046979570517E-3</v>
      </c>
      <c r="L2104" t="s">
        <v>159</v>
      </c>
      <c r="N2104" t="s">
        <v>244</v>
      </c>
      <c r="O2104" t="s">
        <v>312</v>
      </c>
      <c r="P2104">
        <v>6.2614563097023873E-2</v>
      </c>
      <c r="Q2104" t="s">
        <v>159</v>
      </c>
    </row>
    <row r="2105" spans="9:17" x14ac:dyDescent="0.45">
      <c r="I2105" t="s">
        <v>201</v>
      </c>
      <c r="J2105" t="s">
        <v>313</v>
      </c>
      <c r="K2105">
        <v>2.6228581060145509E-3</v>
      </c>
      <c r="L2105" t="s">
        <v>159</v>
      </c>
      <c r="N2105" t="s">
        <v>244</v>
      </c>
      <c r="O2105" t="s">
        <v>313</v>
      </c>
      <c r="P2105">
        <v>2.2213206384838011E-2</v>
      </c>
      <c r="Q2105" t="s">
        <v>159</v>
      </c>
    </row>
    <row r="2106" spans="9:17" x14ac:dyDescent="0.45">
      <c r="I2106" t="s">
        <v>201</v>
      </c>
      <c r="J2106" t="s">
        <v>314</v>
      </c>
      <c r="K2106">
        <v>4.9415057212127116E-3</v>
      </c>
      <c r="L2106" t="s">
        <v>159</v>
      </c>
      <c r="N2106" t="s">
        <v>244</v>
      </c>
      <c r="O2106" t="s">
        <v>314</v>
      </c>
      <c r="P2106">
        <v>2.4670917702511379E-3</v>
      </c>
      <c r="Q2106" t="s">
        <v>159</v>
      </c>
    </row>
    <row r="2107" spans="9:17" x14ac:dyDescent="0.45">
      <c r="I2107" t="s">
        <v>201</v>
      </c>
      <c r="J2107" t="s">
        <v>315</v>
      </c>
      <c r="K2107">
        <v>7.8153495470387344E-2</v>
      </c>
      <c r="L2107" t="s">
        <v>159</v>
      </c>
      <c r="N2107" t="s">
        <v>244</v>
      </c>
      <c r="O2107" t="s">
        <v>315</v>
      </c>
      <c r="P2107">
        <v>3.3084904185654199E-2</v>
      </c>
      <c r="Q2107" t="s">
        <v>159</v>
      </c>
    </row>
    <row r="2108" spans="9:17" x14ac:dyDescent="0.45">
      <c r="I2108" t="s">
        <v>201</v>
      </c>
      <c r="J2108" t="s">
        <v>316</v>
      </c>
      <c r="K2108">
        <v>6.4525698759402414E-3</v>
      </c>
      <c r="L2108" t="s">
        <v>159</v>
      </c>
      <c r="N2108" t="s">
        <v>244</v>
      </c>
      <c r="O2108" t="s">
        <v>316</v>
      </c>
      <c r="P2108">
        <v>5.3008887619870318E-3</v>
      </c>
      <c r="Q2108" t="s">
        <v>159</v>
      </c>
    </row>
    <row r="2109" spans="9:17" x14ac:dyDescent="0.45">
      <c r="I2109" t="s">
        <v>201</v>
      </c>
      <c r="J2109" t="s">
        <v>317</v>
      </c>
      <c r="K2109">
        <v>5.0171259079948086E-3</v>
      </c>
      <c r="L2109" t="s">
        <v>159</v>
      </c>
      <c r="N2109" t="s">
        <v>244</v>
      </c>
      <c r="O2109" t="s">
        <v>317</v>
      </c>
      <c r="P2109">
        <v>5.126292787811077E-3</v>
      </c>
      <c r="Q2109" t="s">
        <v>159</v>
      </c>
    </row>
    <row r="2110" spans="9:17" x14ac:dyDescent="0.45">
      <c r="I2110" t="s">
        <v>201</v>
      </c>
      <c r="J2110" t="s">
        <v>318</v>
      </c>
      <c r="K2110">
        <v>3.0833332393953288E-3</v>
      </c>
      <c r="L2110" t="s">
        <v>159</v>
      </c>
      <c r="N2110" t="s">
        <v>244</v>
      </c>
      <c r="O2110" t="s">
        <v>318</v>
      </c>
      <c r="P2110">
        <v>2.2766609311937584E-2</v>
      </c>
      <c r="Q2110" t="s">
        <v>159</v>
      </c>
    </row>
    <row r="2111" spans="9:17" x14ac:dyDescent="0.45">
      <c r="I2111" t="s">
        <v>202</v>
      </c>
      <c r="J2111" t="s">
        <v>158</v>
      </c>
      <c r="K2111">
        <v>1.5340943763234003E-3</v>
      </c>
      <c r="L2111" t="s">
        <v>159</v>
      </c>
      <c r="N2111" t="s">
        <v>245</v>
      </c>
      <c r="O2111" t="s">
        <v>158</v>
      </c>
      <c r="P2111">
        <v>0.13952031826423164</v>
      </c>
      <c r="Q2111" t="s">
        <v>159</v>
      </c>
    </row>
    <row r="2112" spans="9:17" x14ac:dyDescent="0.45">
      <c r="I2112" t="s">
        <v>202</v>
      </c>
      <c r="J2112" t="s">
        <v>160</v>
      </c>
      <c r="K2112">
        <v>1.2275542063182307E-2</v>
      </c>
      <c r="L2112" t="s">
        <v>159</v>
      </c>
      <c r="N2112" t="s">
        <v>245</v>
      </c>
      <c r="O2112" t="s">
        <v>160</v>
      </c>
      <c r="P2112">
        <v>1.7079363179097262E-2</v>
      </c>
      <c r="Q2112" t="s">
        <v>159</v>
      </c>
    </row>
    <row r="2113" spans="9:17" x14ac:dyDescent="0.45">
      <c r="I2113" t="s">
        <v>202</v>
      </c>
      <c r="J2113" t="s">
        <v>161</v>
      </c>
      <c r="K2113">
        <v>0.37104215760789216</v>
      </c>
      <c r="L2113" t="s">
        <v>159</v>
      </c>
      <c r="N2113" t="s">
        <v>245</v>
      </c>
      <c r="O2113" t="s">
        <v>161</v>
      </c>
      <c r="P2113">
        <v>0.14221258264622852</v>
      </c>
      <c r="Q2113" t="s">
        <v>159</v>
      </c>
    </row>
    <row r="2114" spans="9:17" x14ac:dyDescent="0.45">
      <c r="I2114" t="s">
        <v>202</v>
      </c>
      <c r="J2114" t="s">
        <v>287</v>
      </c>
      <c r="K2114">
        <v>3.41572286901769E-2</v>
      </c>
      <c r="L2114" t="s">
        <v>159</v>
      </c>
      <c r="N2114" t="s">
        <v>245</v>
      </c>
      <c r="O2114" t="s">
        <v>287</v>
      </c>
      <c r="P2114">
        <v>2.3075891073937475E-2</v>
      </c>
      <c r="Q2114" t="s">
        <v>159</v>
      </c>
    </row>
    <row r="2115" spans="9:17" x14ac:dyDescent="0.45">
      <c r="I2115" t="s">
        <v>202</v>
      </c>
      <c r="J2115" t="s">
        <v>288</v>
      </c>
      <c r="K2115">
        <v>2.0074119266278043E-2</v>
      </c>
      <c r="L2115" t="s">
        <v>159</v>
      </c>
      <c r="N2115" t="s">
        <v>245</v>
      </c>
      <c r="O2115" t="s">
        <v>288</v>
      </c>
      <c r="P2115">
        <v>2.7089333685282383E-2</v>
      </c>
      <c r="Q2115" t="s">
        <v>159</v>
      </c>
    </row>
    <row r="2116" spans="9:17" x14ac:dyDescent="0.45">
      <c r="I2116" t="s">
        <v>202</v>
      </c>
      <c r="J2116" t="s">
        <v>308</v>
      </c>
      <c r="K2116">
        <v>9.1040890935258773E-3</v>
      </c>
      <c r="L2116" t="s">
        <v>159</v>
      </c>
      <c r="N2116" t="s">
        <v>245</v>
      </c>
      <c r="O2116" t="s">
        <v>308</v>
      </c>
      <c r="P2116">
        <v>0.1367889313566383</v>
      </c>
      <c r="Q2116" t="s">
        <v>159</v>
      </c>
    </row>
    <row r="2117" spans="9:17" x14ac:dyDescent="0.45">
      <c r="I2117" t="s">
        <v>202</v>
      </c>
      <c r="J2117" t="s">
        <v>162</v>
      </c>
      <c r="K2117">
        <v>0</v>
      </c>
      <c r="L2117" t="s">
        <v>159</v>
      </c>
      <c r="N2117" t="s">
        <v>245</v>
      </c>
      <c r="O2117" t="s">
        <v>162</v>
      </c>
      <c r="P2117">
        <v>1.9090012540197439E-2</v>
      </c>
      <c r="Q2117" t="s">
        <v>159</v>
      </c>
    </row>
    <row r="2118" spans="9:17" x14ac:dyDescent="0.45">
      <c r="I2118" t="s">
        <v>202</v>
      </c>
      <c r="J2118" t="s">
        <v>163</v>
      </c>
      <c r="K2118">
        <v>0</v>
      </c>
      <c r="L2118" t="s">
        <v>159</v>
      </c>
      <c r="N2118" t="s">
        <v>245</v>
      </c>
      <c r="O2118" t="s">
        <v>163</v>
      </c>
      <c r="P2118">
        <v>2.6937657879265451E-3</v>
      </c>
      <c r="Q2118" t="s">
        <v>159</v>
      </c>
    </row>
    <row r="2119" spans="9:17" x14ac:dyDescent="0.45">
      <c r="I2119" t="s">
        <v>202</v>
      </c>
      <c r="J2119" t="s">
        <v>164</v>
      </c>
      <c r="K2119">
        <v>3.8374876121196902E-2</v>
      </c>
      <c r="L2119" t="s">
        <v>159</v>
      </c>
      <c r="N2119" t="s">
        <v>245</v>
      </c>
      <c r="O2119" t="s">
        <v>164</v>
      </c>
      <c r="P2119">
        <v>2.3405272381341956E-2</v>
      </c>
      <c r="Q2119" t="s">
        <v>159</v>
      </c>
    </row>
    <row r="2120" spans="9:17" x14ac:dyDescent="0.45">
      <c r="I2120" t="s">
        <v>202</v>
      </c>
      <c r="J2120" t="s">
        <v>289</v>
      </c>
      <c r="K2120">
        <v>3.3895522250232727E-3</v>
      </c>
      <c r="L2120" t="s">
        <v>159</v>
      </c>
      <c r="N2120" t="s">
        <v>245</v>
      </c>
      <c r="O2120" t="s">
        <v>289</v>
      </c>
      <c r="P2120">
        <v>2.6291382281913838E-3</v>
      </c>
      <c r="Q2120" t="s">
        <v>159</v>
      </c>
    </row>
    <row r="2121" spans="9:17" x14ac:dyDescent="0.45">
      <c r="I2121" t="s">
        <v>202</v>
      </c>
      <c r="J2121" t="s">
        <v>290</v>
      </c>
      <c r="K2121">
        <v>0</v>
      </c>
      <c r="L2121" t="s">
        <v>159</v>
      </c>
      <c r="N2121" t="s">
        <v>245</v>
      </c>
      <c r="O2121" t="s">
        <v>290</v>
      </c>
      <c r="P2121">
        <v>2.8259052754258207E-3</v>
      </c>
      <c r="Q2121" t="s">
        <v>159</v>
      </c>
    </row>
    <row r="2122" spans="9:17" x14ac:dyDescent="0.45">
      <c r="I2122" t="s">
        <v>202</v>
      </c>
      <c r="J2122" t="s">
        <v>309</v>
      </c>
      <c r="K2122">
        <v>0</v>
      </c>
      <c r="L2122" t="s">
        <v>159</v>
      </c>
      <c r="N2122" t="s">
        <v>245</v>
      </c>
      <c r="O2122" t="s">
        <v>309</v>
      </c>
      <c r="P2122">
        <v>1.5298303037480426E-2</v>
      </c>
      <c r="Q2122" t="s">
        <v>159</v>
      </c>
    </row>
    <row r="2123" spans="9:17" x14ac:dyDescent="0.45">
      <c r="I2123" t="s">
        <v>202</v>
      </c>
      <c r="J2123" t="s">
        <v>346</v>
      </c>
      <c r="K2123">
        <v>0</v>
      </c>
      <c r="L2123" t="s">
        <v>159</v>
      </c>
      <c r="N2123" t="s">
        <v>245</v>
      </c>
      <c r="O2123" t="s">
        <v>346</v>
      </c>
      <c r="P2123">
        <v>5.8395675336656483E-6</v>
      </c>
      <c r="Q2123" t="s">
        <v>159</v>
      </c>
    </row>
    <row r="2124" spans="9:17" x14ac:dyDescent="0.45">
      <c r="I2124" t="s">
        <v>202</v>
      </c>
      <c r="J2124" t="s">
        <v>347</v>
      </c>
      <c r="K2124">
        <v>0</v>
      </c>
      <c r="L2124" t="s">
        <v>159</v>
      </c>
      <c r="N2124" t="s">
        <v>245</v>
      </c>
      <c r="O2124" t="s">
        <v>347</v>
      </c>
      <c r="P2124">
        <v>3.1534068662184526E-6</v>
      </c>
      <c r="Q2124" t="s">
        <v>159</v>
      </c>
    </row>
    <row r="2125" spans="9:17" x14ac:dyDescent="0.45">
      <c r="I2125" t="s">
        <v>202</v>
      </c>
      <c r="J2125" t="s">
        <v>348</v>
      </c>
      <c r="K2125">
        <v>0</v>
      </c>
      <c r="L2125" t="s">
        <v>159</v>
      </c>
      <c r="N2125" t="s">
        <v>245</v>
      </c>
      <c r="O2125" t="s">
        <v>348</v>
      </c>
      <c r="P2125">
        <v>1.4828019249032939E-6</v>
      </c>
      <c r="Q2125" t="s">
        <v>159</v>
      </c>
    </row>
    <row r="2126" spans="9:17" x14ac:dyDescent="0.45">
      <c r="I2126" t="s">
        <v>202</v>
      </c>
      <c r="J2126" t="s">
        <v>349</v>
      </c>
      <c r="K2126">
        <v>0</v>
      </c>
      <c r="L2126" t="s">
        <v>159</v>
      </c>
      <c r="N2126" t="s">
        <v>245</v>
      </c>
      <c r="O2126" t="s">
        <v>349</v>
      </c>
      <c r="P2126">
        <v>7.8229140878614501E-7</v>
      </c>
      <c r="Q2126" t="s">
        <v>159</v>
      </c>
    </row>
    <row r="2127" spans="9:17" x14ac:dyDescent="0.45">
      <c r="I2127" t="s">
        <v>202</v>
      </c>
      <c r="J2127" t="s">
        <v>350</v>
      </c>
      <c r="K2127">
        <v>0</v>
      </c>
      <c r="L2127" t="s">
        <v>159</v>
      </c>
      <c r="N2127" t="s">
        <v>245</v>
      </c>
      <c r="O2127" t="s">
        <v>350</v>
      </c>
      <c r="P2127">
        <v>2.4210738465989126E-6</v>
      </c>
      <c r="Q2127" t="s">
        <v>159</v>
      </c>
    </row>
    <row r="2128" spans="9:17" x14ac:dyDescent="0.45">
      <c r="I2128" t="s">
        <v>202</v>
      </c>
      <c r="J2128" t="s">
        <v>351</v>
      </c>
      <c r="K2128">
        <v>0</v>
      </c>
      <c r="L2128" t="s">
        <v>159</v>
      </c>
      <c r="N2128" t="s">
        <v>245</v>
      </c>
      <c r="O2128" t="s">
        <v>351</v>
      </c>
      <c r="P2128">
        <v>6.7774404335482185E-6</v>
      </c>
      <c r="Q2128" t="s">
        <v>159</v>
      </c>
    </row>
    <row r="2129" spans="9:17" x14ac:dyDescent="0.45">
      <c r="I2129" t="s">
        <v>202</v>
      </c>
      <c r="J2129" t="s">
        <v>352</v>
      </c>
      <c r="K2129">
        <v>0</v>
      </c>
      <c r="L2129" t="s">
        <v>159</v>
      </c>
      <c r="N2129" t="s">
        <v>245</v>
      </c>
      <c r="O2129" t="s">
        <v>352</v>
      </c>
      <c r="P2129">
        <v>1.0645606089428615E-5</v>
      </c>
      <c r="Q2129" t="s">
        <v>159</v>
      </c>
    </row>
    <row r="2130" spans="9:17" x14ac:dyDescent="0.45">
      <c r="I2130" t="s">
        <v>202</v>
      </c>
      <c r="J2130" t="s">
        <v>353</v>
      </c>
      <c r="K2130">
        <v>0</v>
      </c>
      <c r="L2130" t="s">
        <v>159</v>
      </c>
      <c r="N2130" t="s">
        <v>245</v>
      </c>
      <c r="O2130" t="s">
        <v>353</v>
      </c>
      <c r="P2130">
        <v>1.097010041095023E-5</v>
      </c>
      <c r="Q2130" t="s">
        <v>159</v>
      </c>
    </row>
    <row r="2131" spans="9:17" x14ac:dyDescent="0.45">
      <c r="I2131" t="s">
        <v>202</v>
      </c>
      <c r="J2131" t="s">
        <v>354</v>
      </c>
      <c r="K2131">
        <v>8.3152107490323398E-5</v>
      </c>
      <c r="L2131" t="s">
        <v>159</v>
      </c>
      <c r="N2131" t="s">
        <v>245</v>
      </c>
      <c r="O2131" t="s">
        <v>354</v>
      </c>
      <c r="P2131">
        <v>8.0994798365285954E-6</v>
      </c>
      <c r="Q2131" t="s">
        <v>159</v>
      </c>
    </row>
    <row r="2132" spans="9:17" x14ac:dyDescent="0.45">
      <c r="I2132" t="s">
        <v>202</v>
      </c>
      <c r="J2132" t="s">
        <v>355</v>
      </c>
      <c r="K2132">
        <v>1.4680074658471524E-4</v>
      </c>
      <c r="L2132" t="s">
        <v>159</v>
      </c>
      <c r="N2132" t="s">
        <v>245</v>
      </c>
      <c r="O2132" t="s">
        <v>355</v>
      </c>
      <c r="P2132">
        <v>4.4591044718423023E-6</v>
      </c>
      <c r="Q2132" t="s">
        <v>159</v>
      </c>
    </row>
    <row r="2133" spans="9:17" x14ac:dyDescent="0.45">
      <c r="I2133" t="s">
        <v>202</v>
      </c>
      <c r="J2133" t="s">
        <v>356</v>
      </c>
      <c r="K2133">
        <v>1.7778613952372863E-4</v>
      </c>
      <c r="L2133" t="s">
        <v>159</v>
      </c>
      <c r="N2133" t="s">
        <v>245</v>
      </c>
      <c r="O2133" t="s">
        <v>356</v>
      </c>
      <c r="P2133">
        <v>1.3040824151599522E-6</v>
      </c>
      <c r="Q2133" t="s">
        <v>159</v>
      </c>
    </row>
    <row r="2134" spans="9:17" x14ac:dyDescent="0.45">
      <c r="I2134" t="s">
        <v>202</v>
      </c>
      <c r="J2134" t="s">
        <v>357</v>
      </c>
      <c r="K2134">
        <v>1.7342113883968448E-4</v>
      </c>
      <c r="L2134" t="s">
        <v>159</v>
      </c>
      <c r="N2134" t="s">
        <v>245</v>
      </c>
      <c r="O2134" t="s">
        <v>357</v>
      </c>
      <c r="P2134">
        <v>3.4119651772512172E-6</v>
      </c>
      <c r="Q2134" t="s">
        <v>159</v>
      </c>
    </row>
    <row r="2135" spans="9:17" x14ac:dyDescent="0.45">
      <c r="I2135" t="s">
        <v>202</v>
      </c>
      <c r="J2135" t="s">
        <v>358</v>
      </c>
      <c r="K2135">
        <v>2.0383410090370909E-4</v>
      </c>
      <c r="L2135" t="s">
        <v>159</v>
      </c>
      <c r="N2135" t="s">
        <v>245</v>
      </c>
      <c r="O2135" t="s">
        <v>358</v>
      </c>
      <c r="P2135">
        <v>1.7967924301334256E-6</v>
      </c>
      <c r="Q2135" t="s">
        <v>159</v>
      </c>
    </row>
    <row r="2136" spans="9:17" x14ac:dyDescent="0.45">
      <c r="I2136" t="s">
        <v>202</v>
      </c>
      <c r="J2136" t="s">
        <v>359</v>
      </c>
      <c r="K2136">
        <v>2.3995469509901815E-4</v>
      </c>
      <c r="L2136" t="s">
        <v>159</v>
      </c>
      <c r="N2136" t="s">
        <v>245</v>
      </c>
      <c r="O2136" t="s">
        <v>359</v>
      </c>
      <c r="P2136">
        <v>1.6475885625256355E-6</v>
      </c>
      <c r="Q2136" t="s">
        <v>159</v>
      </c>
    </row>
    <row r="2137" spans="9:17" x14ac:dyDescent="0.45">
      <c r="I2137" t="s">
        <v>202</v>
      </c>
      <c r="J2137" t="s">
        <v>360</v>
      </c>
      <c r="K2137">
        <v>1.8410277336482539E-4</v>
      </c>
      <c r="L2137" t="s">
        <v>159</v>
      </c>
      <c r="N2137" t="s">
        <v>245</v>
      </c>
      <c r="O2137" t="s">
        <v>360</v>
      </c>
      <c r="P2137">
        <v>1.147521248865148E-6</v>
      </c>
      <c r="Q2137" t="s">
        <v>159</v>
      </c>
    </row>
    <row r="2138" spans="9:17" x14ac:dyDescent="0.45">
      <c r="I2138" t="s">
        <v>202</v>
      </c>
      <c r="J2138" t="s">
        <v>361</v>
      </c>
      <c r="K2138">
        <v>1.7297220622958869E-4</v>
      </c>
      <c r="L2138" t="s">
        <v>159</v>
      </c>
      <c r="N2138" t="s">
        <v>245</v>
      </c>
      <c r="O2138" t="s">
        <v>361</v>
      </c>
      <c r="P2138">
        <v>8.3219064664164048E-7</v>
      </c>
      <c r="Q2138" t="s">
        <v>159</v>
      </c>
    </row>
    <row r="2139" spans="9:17" x14ac:dyDescent="0.45">
      <c r="I2139" t="s">
        <v>202</v>
      </c>
      <c r="J2139" t="s">
        <v>362</v>
      </c>
      <c r="K2139">
        <v>1.8920070194961155E-4</v>
      </c>
      <c r="L2139" t="s">
        <v>159</v>
      </c>
      <c r="N2139" t="s">
        <v>245</v>
      </c>
      <c r="O2139" t="s">
        <v>362</v>
      </c>
      <c r="P2139">
        <v>1.1370806678149109E-6</v>
      </c>
      <c r="Q2139" t="s">
        <v>159</v>
      </c>
    </row>
    <row r="2140" spans="9:17" x14ac:dyDescent="0.45">
      <c r="I2140" t="s">
        <v>202</v>
      </c>
      <c r="J2140" t="s">
        <v>363</v>
      </c>
      <c r="K2140">
        <v>1.695966303950737E-4</v>
      </c>
      <c r="L2140" t="s">
        <v>159</v>
      </c>
      <c r="N2140" t="s">
        <v>245</v>
      </c>
      <c r="O2140" t="s">
        <v>363</v>
      </c>
      <c r="P2140">
        <v>4.2296339417984678E-6</v>
      </c>
      <c r="Q2140" t="s">
        <v>159</v>
      </c>
    </row>
    <row r="2141" spans="9:17" x14ac:dyDescent="0.45">
      <c r="I2141" t="s">
        <v>202</v>
      </c>
      <c r="J2141" t="s">
        <v>364</v>
      </c>
      <c r="K2141">
        <v>0</v>
      </c>
      <c r="L2141" t="s">
        <v>159</v>
      </c>
      <c r="N2141" t="s">
        <v>245</v>
      </c>
      <c r="O2141" t="s">
        <v>364</v>
      </c>
      <c r="P2141">
        <v>8.1264479004704052E-6</v>
      </c>
      <c r="Q2141" t="s">
        <v>159</v>
      </c>
    </row>
    <row r="2142" spans="9:17" x14ac:dyDescent="0.45">
      <c r="I2142" t="s">
        <v>202</v>
      </c>
      <c r="J2142" t="s">
        <v>365</v>
      </c>
      <c r="K2142">
        <v>0</v>
      </c>
      <c r="L2142" t="s">
        <v>159</v>
      </c>
      <c r="N2142" t="s">
        <v>245</v>
      </c>
      <c r="O2142" t="s">
        <v>365</v>
      </c>
      <c r="P2142">
        <v>1.046551315352707E-5</v>
      </c>
      <c r="Q2142" t="s">
        <v>159</v>
      </c>
    </row>
    <row r="2143" spans="9:17" x14ac:dyDescent="0.45">
      <c r="I2143" t="s">
        <v>202</v>
      </c>
      <c r="J2143" t="s">
        <v>366</v>
      </c>
      <c r="K2143">
        <v>0</v>
      </c>
      <c r="L2143" t="s">
        <v>159</v>
      </c>
      <c r="N2143" t="s">
        <v>245</v>
      </c>
      <c r="O2143" t="s">
        <v>366</v>
      </c>
      <c r="P2143">
        <v>1.1334873813343735E-5</v>
      </c>
      <c r="Q2143" t="s">
        <v>159</v>
      </c>
    </row>
    <row r="2144" spans="9:17" x14ac:dyDescent="0.45">
      <c r="I2144" t="s">
        <v>202</v>
      </c>
      <c r="J2144" t="s">
        <v>367</v>
      </c>
      <c r="K2144">
        <v>0</v>
      </c>
      <c r="L2144" t="s">
        <v>159</v>
      </c>
      <c r="N2144" t="s">
        <v>245</v>
      </c>
      <c r="O2144" t="s">
        <v>367</v>
      </c>
      <c r="P2144">
        <v>1.1916385260212342E-5</v>
      </c>
      <c r="Q2144" t="s">
        <v>159</v>
      </c>
    </row>
    <row r="2145" spans="9:17" x14ac:dyDescent="0.45">
      <c r="I2145" t="s">
        <v>202</v>
      </c>
      <c r="J2145" t="s">
        <v>368</v>
      </c>
      <c r="K2145">
        <v>0</v>
      </c>
      <c r="L2145" t="s">
        <v>159</v>
      </c>
      <c r="N2145" t="s">
        <v>245</v>
      </c>
      <c r="O2145" t="s">
        <v>368</v>
      </c>
      <c r="P2145">
        <v>1.3188315362040038E-5</v>
      </c>
      <c r="Q2145" t="s">
        <v>159</v>
      </c>
    </row>
    <row r="2146" spans="9:17" x14ac:dyDescent="0.45">
      <c r="I2146" t="s">
        <v>202</v>
      </c>
      <c r="J2146" t="s">
        <v>369</v>
      </c>
      <c r="K2146">
        <v>0</v>
      </c>
      <c r="L2146" t="s">
        <v>159</v>
      </c>
      <c r="N2146" t="s">
        <v>245</v>
      </c>
      <c r="O2146" t="s">
        <v>369</v>
      </c>
      <c r="P2146">
        <v>1.2291449096929678E-5</v>
      </c>
      <c r="Q2146" t="s">
        <v>159</v>
      </c>
    </row>
    <row r="2147" spans="9:17" x14ac:dyDescent="0.45">
      <c r="I2147" t="s">
        <v>202</v>
      </c>
      <c r="J2147" t="s">
        <v>165</v>
      </c>
      <c r="K2147">
        <v>0</v>
      </c>
      <c r="L2147" t="s">
        <v>159</v>
      </c>
      <c r="N2147" t="s">
        <v>245</v>
      </c>
      <c r="O2147" t="s">
        <v>165</v>
      </c>
      <c r="P2147">
        <v>2.5202046767975529E-2</v>
      </c>
      <c r="Q2147" t="s">
        <v>159</v>
      </c>
    </row>
    <row r="2148" spans="9:17" x14ac:dyDescent="0.45">
      <c r="I2148" t="s">
        <v>202</v>
      </c>
      <c r="J2148" t="s">
        <v>166</v>
      </c>
      <c r="K2148">
        <v>0</v>
      </c>
      <c r="L2148" t="s">
        <v>159</v>
      </c>
      <c r="N2148" t="s">
        <v>245</v>
      </c>
      <c r="O2148" t="s">
        <v>166</v>
      </c>
      <c r="P2148">
        <v>3.8369410712096328E-3</v>
      </c>
      <c r="Q2148" t="s">
        <v>159</v>
      </c>
    </row>
    <row r="2149" spans="9:17" x14ac:dyDescent="0.45">
      <c r="I2149" t="s">
        <v>202</v>
      </c>
      <c r="J2149" t="s">
        <v>167</v>
      </c>
      <c r="K2149">
        <v>5.9119657153771932E-2</v>
      </c>
      <c r="L2149" t="s">
        <v>159</v>
      </c>
      <c r="N2149" t="s">
        <v>245</v>
      </c>
      <c r="O2149" t="s">
        <v>167</v>
      </c>
      <c r="P2149">
        <v>3.8754969265370184E-2</v>
      </c>
      <c r="Q2149" t="s">
        <v>159</v>
      </c>
    </row>
    <row r="2150" spans="9:17" x14ac:dyDescent="0.45">
      <c r="I2150" t="s">
        <v>202</v>
      </c>
      <c r="J2150" t="s">
        <v>291</v>
      </c>
      <c r="K2150">
        <v>5.520916099555199E-3</v>
      </c>
      <c r="L2150" t="s">
        <v>159</v>
      </c>
      <c r="N2150" t="s">
        <v>245</v>
      </c>
      <c r="O2150" t="s">
        <v>291</v>
      </c>
      <c r="P2150">
        <v>4.0500352430912125E-3</v>
      </c>
      <c r="Q2150" t="s">
        <v>159</v>
      </c>
    </row>
    <row r="2151" spans="9:17" x14ac:dyDescent="0.45">
      <c r="I2151" t="s">
        <v>202</v>
      </c>
      <c r="J2151" t="s">
        <v>292</v>
      </c>
      <c r="K2151">
        <v>1.7794772137642535E-3</v>
      </c>
      <c r="L2151" t="s">
        <v>159</v>
      </c>
      <c r="N2151" t="s">
        <v>245</v>
      </c>
      <c r="O2151" t="s">
        <v>292</v>
      </c>
      <c r="P2151">
        <v>4.0056097862163935E-3</v>
      </c>
      <c r="Q2151" t="s">
        <v>159</v>
      </c>
    </row>
    <row r="2152" spans="9:17" x14ac:dyDescent="0.45">
      <c r="I2152" t="s">
        <v>202</v>
      </c>
      <c r="J2152" t="s">
        <v>310</v>
      </c>
      <c r="K2152">
        <v>0</v>
      </c>
      <c r="L2152" t="s">
        <v>159</v>
      </c>
      <c r="N2152" t="s">
        <v>245</v>
      </c>
      <c r="O2152" t="s">
        <v>310</v>
      </c>
      <c r="P2152">
        <v>1.9216507954209178E-2</v>
      </c>
      <c r="Q2152" t="s">
        <v>159</v>
      </c>
    </row>
    <row r="2153" spans="9:17" x14ac:dyDescent="0.45">
      <c r="I2153" t="s">
        <v>202</v>
      </c>
      <c r="J2153" t="s">
        <v>293</v>
      </c>
      <c r="K2153">
        <v>0</v>
      </c>
      <c r="L2153" t="s">
        <v>159</v>
      </c>
      <c r="N2153" t="s">
        <v>245</v>
      </c>
      <c r="O2153" t="s">
        <v>293</v>
      </c>
      <c r="P2153">
        <v>4.2711972935661428E-3</v>
      </c>
      <c r="Q2153" t="s">
        <v>159</v>
      </c>
    </row>
    <row r="2154" spans="9:17" x14ac:dyDescent="0.45">
      <c r="I2154" t="s">
        <v>202</v>
      </c>
      <c r="J2154" t="s">
        <v>294</v>
      </c>
      <c r="K2154">
        <v>0</v>
      </c>
      <c r="L2154" t="s">
        <v>159</v>
      </c>
      <c r="N2154" t="s">
        <v>245</v>
      </c>
      <c r="O2154" t="s">
        <v>294</v>
      </c>
      <c r="P2154">
        <v>7.317324939277312E-4</v>
      </c>
      <c r="Q2154" t="s">
        <v>159</v>
      </c>
    </row>
    <row r="2155" spans="9:17" x14ac:dyDescent="0.45">
      <c r="I2155" t="s">
        <v>202</v>
      </c>
      <c r="J2155" t="s">
        <v>295</v>
      </c>
      <c r="K2155">
        <v>1.625681075146472E-2</v>
      </c>
      <c r="L2155" t="s">
        <v>159</v>
      </c>
      <c r="N2155" t="s">
        <v>245</v>
      </c>
      <c r="O2155" t="s">
        <v>295</v>
      </c>
      <c r="P2155">
        <v>5.0942928241156666E-3</v>
      </c>
      <c r="Q2155" t="s">
        <v>159</v>
      </c>
    </row>
    <row r="2156" spans="9:17" x14ac:dyDescent="0.45">
      <c r="I2156" t="s">
        <v>202</v>
      </c>
      <c r="J2156" t="s">
        <v>296</v>
      </c>
      <c r="K2156">
        <v>1.5551827605032893E-3</v>
      </c>
      <c r="L2156" t="s">
        <v>159</v>
      </c>
      <c r="N2156" t="s">
        <v>245</v>
      </c>
      <c r="O2156" t="s">
        <v>296</v>
      </c>
      <c r="P2156">
        <v>5.6788153835126993E-4</v>
      </c>
      <c r="Q2156" t="s">
        <v>159</v>
      </c>
    </row>
    <row r="2157" spans="9:17" x14ac:dyDescent="0.45">
      <c r="I2157" t="s">
        <v>202</v>
      </c>
      <c r="J2157" t="s">
        <v>297</v>
      </c>
      <c r="K2157">
        <v>1.120575707462546E-3</v>
      </c>
      <c r="L2157" t="s">
        <v>159</v>
      </c>
      <c r="N2157" t="s">
        <v>245</v>
      </c>
      <c r="O2157" t="s">
        <v>297</v>
      </c>
      <c r="P2157">
        <v>6.7106590756257022E-4</v>
      </c>
      <c r="Q2157" t="s">
        <v>159</v>
      </c>
    </row>
    <row r="2158" spans="9:17" x14ac:dyDescent="0.45">
      <c r="I2158" t="s">
        <v>202</v>
      </c>
      <c r="J2158" t="s">
        <v>311</v>
      </c>
      <c r="K2158">
        <v>0</v>
      </c>
      <c r="L2158" t="s">
        <v>159</v>
      </c>
      <c r="N2158" t="s">
        <v>245</v>
      </c>
      <c r="O2158" t="s">
        <v>311</v>
      </c>
      <c r="P2158">
        <v>3.5355534692396535E-3</v>
      </c>
      <c r="Q2158" t="s">
        <v>159</v>
      </c>
    </row>
    <row r="2159" spans="9:17" x14ac:dyDescent="0.45">
      <c r="I2159" t="s">
        <v>202</v>
      </c>
      <c r="J2159" t="s">
        <v>298</v>
      </c>
      <c r="K2159">
        <v>4.5282319868970317E-3</v>
      </c>
      <c r="L2159" t="s">
        <v>159</v>
      </c>
      <c r="N2159" t="s">
        <v>245</v>
      </c>
      <c r="O2159" t="s">
        <v>298</v>
      </c>
      <c r="P2159">
        <v>6.6423969603362679E-2</v>
      </c>
      <c r="Q2159" t="s">
        <v>159</v>
      </c>
    </row>
    <row r="2160" spans="9:17" x14ac:dyDescent="0.45">
      <c r="I2160" t="s">
        <v>202</v>
      </c>
      <c r="J2160" t="s">
        <v>299</v>
      </c>
      <c r="K2160">
        <v>1.5594912506953384E-2</v>
      </c>
      <c r="L2160" t="s">
        <v>159</v>
      </c>
      <c r="N2160" t="s">
        <v>245</v>
      </c>
      <c r="O2160" t="s">
        <v>299</v>
      </c>
      <c r="P2160">
        <v>7.5753593583702079E-3</v>
      </c>
      <c r="Q2160" t="s">
        <v>159</v>
      </c>
    </row>
    <row r="2161" spans="9:17" x14ac:dyDescent="0.45">
      <c r="I2161" t="s">
        <v>202</v>
      </c>
      <c r="J2161" t="s">
        <v>300</v>
      </c>
      <c r="K2161">
        <v>0.25693328829042522</v>
      </c>
      <c r="L2161" t="s">
        <v>159</v>
      </c>
      <c r="N2161" t="s">
        <v>245</v>
      </c>
      <c r="O2161" t="s">
        <v>300</v>
      </c>
      <c r="P2161">
        <v>7.800810728279764E-2</v>
      </c>
      <c r="Q2161" t="s">
        <v>159</v>
      </c>
    </row>
    <row r="2162" spans="9:17" x14ac:dyDescent="0.45">
      <c r="I2162" t="s">
        <v>202</v>
      </c>
      <c r="J2162" t="s">
        <v>301</v>
      </c>
      <c r="K2162">
        <v>2.3055064184837486E-2</v>
      </c>
      <c r="L2162" t="s">
        <v>159</v>
      </c>
      <c r="N2162" t="s">
        <v>245</v>
      </c>
      <c r="O2162" t="s">
        <v>301</v>
      </c>
      <c r="P2162">
        <v>1.4266343198222906E-2</v>
      </c>
      <c r="Q2162" t="s">
        <v>159</v>
      </c>
    </row>
    <row r="2163" spans="9:17" x14ac:dyDescent="0.45">
      <c r="I2163" t="s">
        <v>202</v>
      </c>
      <c r="J2163" t="s">
        <v>302</v>
      </c>
      <c r="K2163">
        <v>1.6631064867145703E-2</v>
      </c>
      <c r="L2163" t="s">
        <v>159</v>
      </c>
      <c r="N2163" t="s">
        <v>245</v>
      </c>
      <c r="O2163" t="s">
        <v>302</v>
      </c>
      <c r="P2163">
        <v>1.6550883443045662E-2</v>
      </c>
      <c r="Q2163" t="s">
        <v>159</v>
      </c>
    </row>
    <row r="2164" spans="9:17" x14ac:dyDescent="0.45">
      <c r="I2164" t="s">
        <v>202</v>
      </c>
      <c r="J2164" t="s">
        <v>312</v>
      </c>
      <c r="K2164">
        <v>3.7257944362485418E-3</v>
      </c>
      <c r="L2164" t="s">
        <v>159</v>
      </c>
      <c r="N2164" t="s">
        <v>245</v>
      </c>
      <c r="O2164" t="s">
        <v>312</v>
      </c>
      <c r="P2164">
        <v>7.6488315178006819E-2</v>
      </c>
      <c r="Q2164" t="s">
        <v>159</v>
      </c>
    </row>
    <row r="2165" spans="9:17" x14ac:dyDescent="0.45">
      <c r="I2165" t="s">
        <v>202</v>
      </c>
      <c r="J2165" t="s">
        <v>313</v>
      </c>
      <c r="K2165">
        <v>2.5294190343726074E-3</v>
      </c>
      <c r="L2165" t="s">
        <v>159</v>
      </c>
      <c r="N2165" t="s">
        <v>245</v>
      </c>
      <c r="O2165" t="s">
        <v>313</v>
      </c>
      <c r="P2165">
        <v>2.2113830489601739E-2</v>
      </c>
      <c r="Q2165" t="s">
        <v>159</v>
      </c>
    </row>
    <row r="2166" spans="9:17" x14ac:dyDescent="0.45">
      <c r="I2166" t="s">
        <v>202</v>
      </c>
      <c r="J2166" t="s">
        <v>314</v>
      </c>
      <c r="K2166">
        <v>4.4750108796242126E-3</v>
      </c>
      <c r="L2166" t="s">
        <v>159</v>
      </c>
      <c r="N2166" t="s">
        <v>245</v>
      </c>
      <c r="O2166" t="s">
        <v>314</v>
      </c>
      <c r="P2166">
        <v>2.3229647466937158E-3</v>
      </c>
      <c r="Q2166" t="s">
        <v>159</v>
      </c>
    </row>
    <row r="2167" spans="9:17" x14ac:dyDescent="0.45">
      <c r="I2167" t="s">
        <v>202</v>
      </c>
      <c r="J2167" t="s">
        <v>315</v>
      </c>
      <c r="K2167">
        <v>7.9216873834546314E-2</v>
      </c>
      <c r="L2167" t="s">
        <v>159</v>
      </c>
      <c r="N2167" t="s">
        <v>245</v>
      </c>
      <c r="O2167" t="s">
        <v>315</v>
      </c>
      <c r="P2167">
        <v>1.743933863060227E-2</v>
      </c>
      <c r="Q2167" t="s">
        <v>159</v>
      </c>
    </row>
    <row r="2168" spans="9:17" x14ac:dyDescent="0.45">
      <c r="I2168" t="s">
        <v>202</v>
      </c>
      <c r="J2168" t="s">
        <v>316</v>
      </c>
      <c r="K2168">
        <v>7.2429355060314353E-3</v>
      </c>
      <c r="L2168" t="s">
        <v>159</v>
      </c>
      <c r="N2168" t="s">
        <v>245</v>
      </c>
      <c r="O2168" t="s">
        <v>316</v>
      </c>
      <c r="P2168">
        <v>4.5751109107194949E-3</v>
      </c>
      <c r="Q2168" t="s">
        <v>159</v>
      </c>
    </row>
    <row r="2169" spans="9:17" x14ac:dyDescent="0.45">
      <c r="I2169" t="s">
        <v>202</v>
      </c>
      <c r="J2169" t="s">
        <v>317</v>
      </c>
      <c r="K2169">
        <v>5.6175073634851958E-3</v>
      </c>
      <c r="L2169" t="s">
        <v>159</v>
      </c>
      <c r="N2169" t="s">
        <v>245</v>
      </c>
      <c r="O2169" t="s">
        <v>317</v>
      </c>
      <c r="P2169">
        <v>5.7196469711032231E-3</v>
      </c>
      <c r="Q2169" t="s">
        <v>159</v>
      </c>
    </row>
    <row r="2170" spans="9:17" x14ac:dyDescent="0.45">
      <c r="I2170" t="s">
        <v>202</v>
      </c>
      <c r="J2170" t="s">
        <v>318</v>
      </c>
      <c r="K2170">
        <v>3.4047967389312056E-3</v>
      </c>
      <c r="L2170" t="s">
        <v>159</v>
      </c>
      <c r="N2170" t="s">
        <v>245</v>
      </c>
      <c r="O2170" t="s">
        <v>318</v>
      </c>
      <c r="P2170">
        <v>2.6732018404158991E-2</v>
      </c>
      <c r="Q2170" t="s">
        <v>159</v>
      </c>
    </row>
    <row r="2171" spans="9:17" x14ac:dyDescent="0.45">
      <c r="I2171" t="s">
        <v>203</v>
      </c>
      <c r="J2171" t="s">
        <v>158</v>
      </c>
      <c r="K2171">
        <v>0</v>
      </c>
      <c r="L2171" t="s">
        <v>159</v>
      </c>
      <c r="N2171" t="s">
        <v>246</v>
      </c>
      <c r="O2171" t="s">
        <v>158</v>
      </c>
      <c r="P2171">
        <v>0.10824387026480406</v>
      </c>
      <c r="Q2171" t="s">
        <v>159</v>
      </c>
    </row>
    <row r="2172" spans="9:17" x14ac:dyDescent="0.45">
      <c r="I2172" t="s">
        <v>203</v>
      </c>
      <c r="J2172" t="s">
        <v>160</v>
      </c>
      <c r="K2172">
        <v>1.5290886039481616E-2</v>
      </c>
      <c r="L2172" t="s">
        <v>159</v>
      </c>
      <c r="N2172" t="s">
        <v>246</v>
      </c>
      <c r="O2172" t="s">
        <v>160</v>
      </c>
      <c r="P2172">
        <v>1.6661942102198173E-2</v>
      </c>
      <c r="Q2172" t="s">
        <v>159</v>
      </c>
    </row>
    <row r="2173" spans="9:17" x14ac:dyDescent="0.45">
      <c r="I2173" t="s">
        <v>203</v>
      </c>
      <c r="J2173" t="s">
        <v>161</v>
      </c>
      <c r="K2173">
        <v>0.38591072408335558</v>
      </c>
      <c r="L2173" t="s">
        <v>159</v>
      </c>
      <c r="N2173" t="s">
        <v>246</v>
      </c>
      <c r="O2173" t="s">
        <v>161</v>
      </c>
      <c r="P2173">
        <v>0.18749264608811292</v>
      </c>
      <c r="Q2173" t="s">
        <v>159</v>
      </c>
    </row>
    <row r="2174" spans="9:17" x14ac:dyDescent="0.45">
      <c r="I2174" t="s">
        <v>203</v>
      </c>
      <c r="J2174" t="s">
        <v>287</v>
      </c>
      <c r="K2174">
        <v>3.4524977071121739E-2</v>
      </c>
      <c r="L2174" t="s">
        <v>159</v>
      </c>
      <c r="N2174" t="s">
        <v>246</v>
      </c>
      <c r="O2174" t="s">
        <v>287</v>
      </c>
      <c r="P2174">
        <v>3.3739717221020399E-2</v>
      </c>
      <c r="Q2174" t="s">
        <v>159</v>
      </c>
    </row>
    <row r="2175" spans="9:17" x14ac:dyDescent="0.45">
      <c r="I2175" t="s">
        <v>203</v>
      </c>
      <c r="J2175" t="s">
        <v>288</v>
      </c>
      <c r="K2175">
        <v>2.1896988950728391E-2</v>
      </c>
      <c r="L2175" t="s">
        <v>159</v>
      </c>
      <c r="N2175" t="s">
        <v>246</v>
      </c>
      <c r="O2175" t="s">
        <v>288</v>
      </c>
      <c r="P2175">
        <v>3.2615567819523399E-2</v>
      </c>
      <c r="Q2175" t="s">
        <v>159</v>
      </c>
    </row>
    <row r="2176" spans="9:17" x14ac:dyDescent="0.45">
      <c r="I2176" t="s">
        <v>203</v>
      </c>
      <c r="J2176" t="s">
        <v>308</v>
      </c>
      <c r="K2176">
        <v>7.5370209939194313E-3</v>
      </c>
      <c r="L2176" t="s">
        <v>159</v>
      </c>
      <c r="N2176" t="s">
        <v>246</v>
      </c>
      <c r="O2176" t="s">
        <v>308</v>
      </c>
      <c r="P2176">
        <v>9.7907884959439709E-2</v>
      </c>
      <c r="Q2176" t="s">
        <v>159</v>
      </c>
    </row>
    <row r="2177" spans="9:17" x14ac:dyDescent="0.45">
      <c r="I2177" t="s">
        <v>203</v>
      </c>
      <c r="J2177" t="s">
        <v>162</v>
      </c>
      <c r="K2177">
        <v>0</v>
      </c>
      <c r="L2177" t="s">
        <v>159</v>
      </c>
      <c r="N2177" t="s">
        <v>246</v>
      </c>
      <c r="O2177" t="s">
        <v>162</v>
      </c>
      <c r="P2177">
        <v>2.0850045837445767E-2</v>
      </c>
      <c r="Q2177" t="s">
        <v>159</v>
      </c>
    </row>
    <row r="2178" spans="9:17" x14ac:dyDescent="0.45">
      <c r="I2178" t="s">
        <v>203</v>
      </c>
      <c r="J2178" t="s">
        <v>163</v>
      </c>
      <c r="K2178">
        <v>0</v>
      </c>
      <c r="L2178" t="s">
        <v>159</v>
      </c>
      <c r="N2178" t="s">
        <v>246</v>
      </c>
      <c r="O2178" t="s">
        <v>163</v>
      </c>
      <c r="P2178">
        <v>3.0802700000464888E-3</v>
      </c>
      <c r="Q2178" t="s">
        <v>159</v>
      </c>
    </row>
    <row r="2179" spans="9:17" x14ac:dyDescent="0.45">
      <c r="I2179" t="s">
        <v>203</v>
      </c>
      <c r="J2179" t="s">
        <v>164</v>
      </c>
      <c r="K2179">
        <v>5.0572218433570765E-2</v>
      </c>
      <c r="L2179" t="s">
        <v>159</v>
      </c>
      <c r="N2179" t="s">
        <v>246</v>
      </c>
      <c r="O2179" t="s">
        <v>164</v>
      </c>
      <c r="P2179">
        <v>2.8650175720336239E-2</v>
      </c>
      <c r="Q2179" t="s">
        <v>159</v>
      </c>
    </row>
    <row r="2180" spans="9:17" x14ac:dyDescent="0.45">
      <c r="I2180" t="s">
        <v>203</v>
      </c>
      <c r="J2180" t="s">
        <v>289</v>
      </c>
      <c r="K2180">
        <v>4.5317043701456243E-3</v>
      </c>
      <c r="L2180" t="s">
        <v>159</v>
      </c>
      <c r="N2180" t="s">
        <v>246</v>
      </c>
      <c r="O2180" t="s">
        <v>289</v>
      </c>
      <c r="P2180">
        <v>3.0324204458054772E-3</v>
      </c>
      <c r="Q2180" t="s">
        <v>159</v>
      </c>
    </row>
    <row r="2181" spans="9:17" x14ac:dyDescent="0.45">
      <c r="I2181" t="s">
        <v>203</v>
      </c>
      <c r="J2181" t="s">
        <v>290</v>
      </c>
      <c r="K2181">
        <v>1.5006263592343264E-3</v>
      </c>
      <c r="L2181" t="s">
        <v>159</v>
      </c>
      <c r="N2181" t="s">
        <v>246</v>
      </c>
      <c r="O2181" t="s">
        <v>290</v>
      </c>
      <c r="P2181">
        <v>2.9571466641119112E-3</v>
      </c>
      <c r="Q2181" t="s">
        <v>159</v>
      </c>
    </row>
    <row r="2182" spans="9:17" x14ac:dyDescent="0.45">
      <c r="I2182" t="s">
        <v>203</v>
      </c>
      <c r="J2182" t="s">
        <v>309</v>
      </c>
      <c r="K2182">
        <v>0</v>
      </c>
      <c r="L2182" t="s">
        <v>159</v>
      </c>
      <c r="N2182" t="s">
        <v>246</v>
      </c>
      <c r="O2182" t="s">
        <v>309</v>
      </c>
      <c r="P2182">
        <v>1.5074872702261514E-2</v>
      </c>
      <c r="Q2182" t="s">
        <v>159</v>
      </c>
    </row>
    <row r="2183" spans="9:17" x14ac:dyDescent="0.45">
      <c r="I2183" t="s">
        <v>203</v>
      </c>
      <c r="J2183" t="s">
        <v>346</v>
      </c>
      <c r="K2183">
        <v>0</v>
      </c>
      <c r="L2183" t="s">
        <v>159</v>
      </c>
      <c r="N2183" t="s">
        <v>246</v>
      </c>
      <c r="O2183" t="s">
        <v>346</v>
      </c>
      <c r="P2183">
        <v>5.6904331947800188E-6</v>
      </c>
      <c r="Q2183" t="s">
        <v>159</v>
      </c>
    </row>
    <row r="2184" spans="9:17" x14ac:dyDescent="0.45">
      <c r="I2184" t="s">
        <v>203</v>
      </c>
      <c r="J2184" t="s">
        <v>347</v>
      </c>
      <c r="K2184">
        <v>0</v>
      </c>
      <c r="L2184" t="s">
        <v>159</v>
      </c>
      <c r="N2184" t="s">
        <v>246</v>
      </c>
      <c r="O2184" t="s">
        <v>347</v>
      </c>
      <c r="P2184">
        <v>4.6573762503744653E-6</v>
      </c>
      <c r="Q2184" t="s">
        <v>159</v>
      </c>
    </row>
    <row r="2185" spans="9:17" x14ac:dyDescent="0.45">
      <c r="I2185" t="s">
        <v>203</v>
      </c>
      <c r="J2185" t="s">
        <v>348</v>
      </c>
      <c r="K2185">
        <v>0</v>
      </c>
      <c r="L2185" t="s">
        <v>159</v>
      </c>
      <c r="N2185" t="s">
        <v>246</v>
      </c>
      <c r="O2185" t="s">
        <v>348</v>
      </c>
      <c r="P2185">
        <v>3.1881080959093621E-6</v>
      </c>
      <c r="Q2185" t="s">
        <v>159</v>
      </c>
    </row>
    <row r="2186" spans="9:17" x14ac:dyDescent="0.45">
      <c r="I2186" t="s">
        <v>203</v>
      </c>
      <c r="J2186" t="s">
        <v>349</v>
      </c>
      <c r="K2186">
        <v>0</v>
      </c>
      <c r="L2186" t="s">
        <v>159</v>
      </c>
      <c r="N2186" t="s">
        <v>246</v>
      </c>
      <c r="O2186" t="s">
        <v>349</v>
      </c>
      <c r="P2186">
        <v>4.0496527406914775E-6</v>
      </c>
      <c r="Q2186" t="s">
        <v>159</v>
      </c>
    </row>
    <row r="2187" spans="9:17" x14ac:dyDescent="0.45">
      <c r="I2187" t="s">
        <v>203</v>
      </c>
      <c r="J2187" t="s">
        <v>350</v>
      </c>
      <c r="K2187">
        <v>0</v>
      </c>
      <c r="L2187" t="s">
        <v>159</v>
      </c>
      <c r="N2187" t="s">
        <v>246</v>
      </c>
      <c r="O2187" t="s">
        <v>350</v>
      </c>
      <c r="P2187">
        <v>4.7075065190827008E-6</v>
      </c>
      <c r="Q2187" t="s">
        <v>159</v>
      </c>
    </row>
    <row r="2188" spans="9:17" x14ac:dyDescent="0.45">
      <c r="I2188" t="s">
        <v>203</v>
      </c>
      <c r="J2188" t="s">
        <v>351</v>
      </c>
      <c r="K2188">
        <v>0</v>
      </c>
      <c r="L2188" t="s">
        <v>159</v>
      </c>
      <c r="N2188" t="s">
        <v>246</v>
      </c>
      <c r="O2188" t="s">
        <v>351</v>
      </c>
      <c r="P2188">
        <v>6.2413919215789664E-6</v>
      </c>
      <c r="Q2188" t="s">
        <v>159</v>
      </c>
    </row>
    <row r="2189" spans="9:17" x14ac:dyDescent="0.45">
      <c r="I2189" t="s">
        <v>203</v>
      </c>
      <c r="J2189" t="s">
        <v>352</v>
      </c>
      <c r="K2189">
        <v>0</v>
      </c>
      <c r="L2189" t="s">
        <v>159</v>
      </c>
      <c r="N2189" t="s">
        <v>246</v>
      </c>
      <c r="O2189" t="s">
        <v>352</v>
      </c>
      <c r="P2189">
        <v>5.3732961589328693E-6</v>
      </c>
      <c r="Q2189" t="s">
        <v>159</v>
      </c>
    </row>
    <row r="2190" spans="9:17" x14ac:dyDescent="0.45">
      <c r="I2190" t="s">
        <v>203</v>
      </c>
      <c r="J2190" t="s">
        <v>353</v>
      </c>
      <c r="K2190">
        <v>0</v>
      </c>
      <c r="L2190" t="s">
        <v>159</v>
      </c>
      <c r="N2190" t="s">
        <v>246</v>
      </c>
      <c r="O2190" t="s">
        <v>353</v>
      </c>
      <c r="P2190">
        <v>4.4919591484083554E-6</v>
      </c>
      <c r="Q2190" t="s">
        <v>159</v>
      </c>
    </row>
    <row r="2191" spans="9:17" x14ac:dyDescent="0.45">
      <c r="I2191" t="s">
        <v>203</v>
      </c>
      <c r="J2191" t="s">
        <v>354</v>
      </c>
      <c r="K2191">
        <v>1.3081623920938287E-4</v>
      </c>
      <c r="L2191" t="s">
        <v>159</v>
      </c>
      <c r="N2191" t="s">
        <v>246</v>
      </c>
      <c r="O2191" t="s">
        <v>354</v>
      </c>
      <c r="P2191">
        <v>4.50036397086779E-6</v>
      </c>
      <c r="Q2191" t="s">
        <v>159</v>
      </c>
    </row>
    <row r="2192" spans="9:17" x14ac:dyDescent="0.45">
      <c r="I2192" t="s">
        <v>203</v>
      </c>
      <c r="J2192" t="s">
        <v>355</v>
      </c>
      <c r="K2192">
        <v>1.8242222779379447E-4</v>
      </c>
      <c r="L2192" t="s">
        <v>159</v>
      </c>
      <c r="N2192" t="s">
        <v>246</v>
      </c>
      <c r="O2192" t="s">
        <v>355</v>
      </c>
      <c r="P2192">
        <v>7.7933661666874588E-6</v>
      </c>
      <c r="Q2192" t="s">
        <v>159</v>
      </c>
    </row>
    <row r="2193" spans="9:17" x14ac:dyDescent="0.45">
      <c r="I2193" t="s">
        <v>203</v>
      </c>
      <c r="J2193" t="s">
        <v>356</v>
      </c>
      <c r="K2193">
        <v>1.9176846176486662E-4</v>
      </c>
      <c r="L2193" t="s">
        <v>159</v>
      </c>
      <c r="N2193" t="s">
        <v>246</v>
      </c>
      <c r="O2193" t="s">
        <v>356</v>
      </c>
      <c r="P2193">
        <v>3.2323737234442614E-6</v>
      </c>
      <c r="Q2193" t="s">
        <v>159</v>
      </c>
    </row>
    <row r="2194" spans="9:17" x14ac:dyDescent="0.45">
      <c r="I2194" t="s">
        <v>203</v>
      </c>
      <c r="J2194" t="s">
        <v>357</v>
      </c>
      <c r="K2194">
        <v>2.0577985607054641E-4</v>
      </c>
      <c r="L2194" t="s">
        <v>159</v>
      </c>
      <c r="N2194" t="s">
        <v>246</v>
      </c>
      <c r="O2194" t="s">
        <v>357</v>
      </c>
      <c r="P2194">
        <v>5.4288971497401242E-6</v>
      </c>
      <c r="Q2194" t="s">
        <v>159</v>
      </c>
    </row>
    <row r="2195" spans="9:17" x14ac:dyDescent="0.45">
      <c r="I2195" t="s">
        <v>203</v>
      </c>
      <c r="J2195" t="s">
        <v>358</v>
      </c>
      <c r="K2195">
        <v>2.3476761870868765E-4</v>
      </c>
      <c r="L2195" t="s">
        <v>159</v>
      </c>
      <c r="N2195" t="s">
        <v>246</v>
      </c>
      <c r="O2195" t="s">
        <v>358</v>
      </c>
      <c r="P2195">
        <v>3.7481624184593102E-6</v>
      </c>
      <c r="Q2195" t="s">
        <v>159</v>
      </c>
    </row>
    <row r="2196" spans="9:17" x14ac:dyDescent="0.45">
      <c r="I2196" t="s">
        <v>203</v>
      </c>
      <c r="J2196" t="s">
        <v>359</v>
      </c>
      <c r="K2196">
        <v>2.574276562673301E-4</v>
      </c>
      <c r="L2196" t="s">
        <v>159</v>
      </c>
      <c r="N2196" t="s">
        <v>246</v>
      </c>
      <c r="O2196" t="s">
        <v>359</v>
      </c>
      <c r="P2196">
        <v>3.1924491424793578E-6</v>
      </c>
      <c r="Q2196" t="s">
        <v>159</v>
      </c>
    </row>
    <row r="2197" spans="9:17" x14ac:dyDescent="0.45">
      <c r="I2197" t="s">
        <v>203</v>
      </c>
      <c r="J2197" t="s">
        <v>360</v>
      </c>
      <c r="K2197">
        <v>2.1630188843130255E-4</v>
      </c>
      <c r="L2197" t="s">
        <v>159</v>
      </c>
      <c r="N2197" t="s">
        <v>246</v>
      </c>
      <c r="O2197" t="s">
        <v>360</v>
      </c>
      <c r="P2197">
        <v>2.5281161236288149E-6</v>
      </c>
      <c r="Q2197" t="s">
        <v>159</v>
      </c>
    </row>
    <row r="2198" spans="9:17" x14ac:dyDescent="0.45">
      <c r="I2198" t="s">
        <v>203</v>
      </c>
      <c r="J2198" t="s">
        <v>361</v>
      </c>
      <c r="K2198">
        <v>1.8743170261487592E-4</v>
      </c>
      <c r="L2198" t="s">
        <v>159</v>
      </c>
      <c r="N2198" t="s">
        <v>246</v>
      </c>
      <c r="O2198" t="s">
        <v>361</v>
      </c>
      <c r="P2198">
        <v>5.5786516562154916E-6</v>
      </c>
      <c r="Q2198" t="s">
        <v>159</v>
      </c>
    </row>
    <row r="2199" spans="9:17" x14ac:dyDescent="0.45">
      <c r="I2199" t="s">
        <v>203</v>
      </c>
      <c r="J2199" t="s">
        <v>362</v>
      </c>
      <c r="K2199">
        <v>1.8073880104879197E-4</v>
      </c>
      <c r="L2199" t="s">
        <v>159</v>
      </c>
      <c r="N2199" t="s">
        <v>246</v>
      </c>
      <c r="O2199" t="s">
        <v>362</v>
      </c>
      <c r="P2199">
        <v>1.8943446914448809E-5</v>
      </c>
      <c r="Q2199" t="s">
        <v>159</v>
      </c>
    </row>
    <row r="2200" spans="9:17" x14ac:dyDescent="0.45">
      <c r="I2200" t="s">
        <v>203</v>
      </c>
      <c r="J2200" t="s">
        <v>363</v>
      </c>
      <c r="K2200">
        <v>1.5667804756722554E-4</v>
      </c>
      <c r="L2200" t="s">
        <v>159</v>
      </c>
      <c r="N2200" t="s">
        <v>246</v>
      </c>
      <c r="O2200" t="s">
        <v>363</v>
      </c>
      <c r="P2200">
        <v>3.9548019129264119E-5</v>
      </c>
      <c r="Q2200" t="s">
        <v>159</v>
      </c>
    </row>
    <row r="2201" spans="9:17" x14ac:dyDescent="0.45">
      <c r="I2201" t="s">
        <v>203</v>
      </c>
      <c r="J2201" t="s">
        <v>364</v>
      </c>
      <c r="K2201">
        <v>6.214680347633398E-5</v>
      </c>
      <c r="L2201" t="s">
        <v>159</v>
      </c>
      <c r="N2201" t="s">
        <v>246</v>
      </c>
      <c r="O2201" t="s">
        <v>364</v>
      </c>
      <c r="P2201">
        <v>5.2211958844394297E-5</v>
      </c>
      <c r="Q2201" t="s">
        <v>159</v>
      </c>
    </row>
    <row r="2202" spans="9:17" x14ac:dyDescent="0.45">
      <c r="I2202" t="s">
        <v>203</v>
      </c>
      <c r="J2202" t="s">
        <v>365</v>
      </c>
      <c r="K2202">
        <v>0</v>
      </c>
      <c r="L2202" t="s">
        <v>159</v>
      </c>
      <c r="N2202" t="s">
        <v>246</v>
      </c>
      <c r="O2202" t="s">
        <v>365</v>
      </c>
      <c r="P2202">
        <v>5.6603907923861324E-5</v>
      </c>
      <c r="Q2202" t="s">
        <v>159</v>
      </c>
    </row>
    <row r="2203" spans="9:17" x14ac:dyDescent="0.45">
      <c r="I2203" t="s">
        <v>203</v>
      </c>
      <c r="J2203" t="s">
        <v>366</v>
      </c>
      <c r="K2203">
        <v>0</v>
      </c>
      <c r="L2203" t="s">
        <v>159</v>
      </c>
      <c r="N2203" t="s">
        <v>246</v>
      </c>
      <c r="O2203" t="s">
        <v>366</v>
      </c>
      <c r="P2203">
        <v>5.1640454226106008E-5</v>
      </c>
      <c r="Q2203" t="s">
        <v>159</v>
      </c>
    </row>
    <row r="2204" spans="9:17" x14ac:dyDescent="0.45">
      <c r="I2204" t="s">
        <v>203</v>
      </c>
      <c r="J2204" t="s">
        <v>367</v>
      </c>
      <c r="K2204">
        <v>0</v>
      </c>
      <c r="L2204" t="s">
        <v>159</v>
      </c>
      <c r="N2204" t="s">
        <v>246</v>
      </c>
      <c r="O2204" t="s">
        <v>367</v>
      </c>
      <c r="P2204">
        <v>4.0924705355984927E-5</v>
      </c>
      <c r="Q2204" t="s">
        <v>159</v>
      </c>
    </row>
    <row r="2205" spans="9:17" x14ac:dyDescent="0.45">
      <c r="I2205" t="s">
        <v>203</v>
      </c>
      <c r="J2205" t="s">
        <v>368</v>
      </c>
      <c r="K2205">
        <v>0</v>
      </c>
      <c r="L2205" t="s">
        <v>159</v>
      </c>
      <c r="N2205" t="s">
        <v>246</v>
      </c>
      <c r="O2205" t="s">
        <v>368</v>
      </c>
      <c r="P2205">
        <v>2.4669378293784929E-5</v>
      </c>
      <c r="Q2205" t="s">
        <v>159</v>
      </c>
    </row>
    <row r="2206" spans="9:17" x14ac:dyDescent="0.45">
      <c r="I2206" t="s">
        <v>203</v>
      </c>
      <c r="J2206" t="s">
        <v>369</v>
      </c>
      <c r="K2206">
        <v>0</v>
      </c>
      <c r="L2206" t="s">
        <v>159</v>
      </c>
      <c r="N2206" t="s">
        <v>246</v>
      </c>
      <c r="O2206" t="s">
        <v>369</v>
      </c>
      <c r="P2206">
        <v>1.2031782303384008E-5</v>
      </c>
      <c r="Q2206" t="s">
        <v>159</v>
      </c>
    </row>
    <row r="2207" spans="9:17" x14ac:dyDescent="0.45">
      <c r="I2207" t="s">
        <v>203</v>
      </c>
      <c r="J2207" t="s">
        <v>165</v>
      </c>
      <c r="K2207">
        <v>0</v>
      </c>
      <c r="L2207" t="s">
        <v>159</v>
      </c>
      <c r="N2207" t="s">
        <v>246</v>
      </c>
      <c r="O2207" t="s">
        <v>165</v>
      </c>
      <c r="P2207">
        <v>2.859503354949449E-2</v>
      </c>
      <c r="Q2207" t="s">
        <v>159</v>
      </c>
    </row>
    <row r="2208" spans="9:17" x14ac:dyDescent="0.45">
      <c r="I2208" t="s">
        <v>203</v>
      </c>
      <c r="J2208" t="s">
        <v>166</v>
      </c>
      <c r="K2208">
        <v>0</v>
      </c>
      <c r="L2208" t="s">
        <v>159</v>
      </c>
      <c r="N2208" t="s">
        <v>246</v>
      </c>
      <c r="O2208" t="s">
        <v>166</v>
      </c>
      <c r="P2208">
        <v>4.9728374284399197E-3</v>
      </c>
      <c r="Q2208" t="s">
        <v>159</v>
      </c>
    </row>
    <row r="2209" spans="9:17" x14ac:dyDescent="0.45">
      <c r="I2209" t="s">
        <v>203</v>
      </c>
      <c r="J2209" t="s">
        <v>167</v>
      </c>
      <c r="K2209">
        <v>6.379836595853737E-2</v>
      </c>
      <c r="L2209" t="s">
        <v>159</v>
      </c>
      <c r="N2209" t="s">
        <v>246</v>
      </c>
      <c r="O2209" t="s">
        <v>167</v>
      </c>
      <c r="P2209">
        <v>4.7282150101361262E-2</v>
      </c>
      <c r="Q2209" t="s">
        <v>159</v>
      </c>
    </row>
    <row r="2210" spans="9:17" x14ac:dyDescent="0.45">
      <c r="I2210" t="s">
        <v>203</v>
      </c>
      <c r="J2210" t="s">
        <v>291</v>
      </c>
      <c r="K2210">
        <v>5.7461454722289888E-3</v>
      </c>
      <c r="L2210" t="s">
        <v>159</v>
      </c>
      <c r="N2210" t="s">
        <v>246</v>
      </c>
      <c r="O2210" t="s">
        <v>291</v>
      </c>
      <c r="P2210">
        <v>4.4331551360060383E-3</v>
      </c>
      <c r="Q2210" t="s">
        <v>159</v>
      </c>
    </row>
    <row r="2211" spans="9:17" x14ac:dyDescent="0.45">
      <c r="I2211" t="s">
        <v>203</v>
      </c>
      <c r="J2211" t="s">
        <v>292</v>
      </c>
      <c r="K2211">
        <v>3.8689791568126512E-3</v>
      </c>
      <c r="L2211" t="s">
        <v>159</v>
      </c>
      <c r="N2211" t="s">
        <v>246</v>
      </c>
      <c r="O2211" t="s">
        <v>292</v>
      </c>
      <c r="P2211">
        <v>3.9506840624239925E-3</v>
      </c>
      <c r="Q2211" t="s">
        <v>159</v>
      </c>
    </row>
    <row r="2212" spans="9:17" x14ac:dyDescent="0.45">
      <c r="I2212" t="s">
        <v>203</v>
      </c>
      <c r="J2212" t="s">
        <v>310</v>
      </c>
      <c r="K2212">
        <v>0</v>
      </c>
      <c r="L2212" t="s">
        <v>159</v>
      </c>
      <c r="N2212" t="s">
        <v>246</v>
      </c>
      <c r="O2212" t="s">
        <v>310</v>
      </c>
      <c r="P2212">
        <v>1.6032524195228708E-2</v>
      </c>
      <c r="Q2212" t="s">
        <v>159</v>
      </c>
    </row>
    <row r="2213" spans="9:17" x14ac:dyDescent="0.45">
      <c r="I2213" t="s">
        <v>203</v>
      </c>
      <c r="J2213" t="s">
        <v>293</v>
      </c>
      <c r="K2213">
        <v>0</v>
      </c>
      <c r="L2213" t="s">
        <v>159</v>
      </c>
      <c r="N2213" t="s">
        <v>246</v>
      </c>
      <c r="O2213" t="s">
        <v>293</v>
      </c>
      <c r="P2213">
        <v>2.2405727320463876E-3</v>
      </c>
      <c r="Q2213" t="s">
        <v>159</v>
      </c>
    </row>
    <row r="2214" spans="9:17" x14ac:dyDescent="0.45">
      <c r="I2214" t="s">
        <v>203</v>
      </c>
      <c r="J2214" t="s">
        <v>294</v>
      </c>
      <c r="K2214">
        <v>0</v>
      </c>
      <c r="L2214" t="s">
        <v>159</v>
      </c>
      <c r="N2214" t="s">
        <v>246</v>
      </c>
      <c r="O2214" t="s">
        <v>294</v>
      </c>
      <c r="P2214">
        <v>5.6118142368039286E-4</v>
      </c>
      <c r="Q2214" t="s">
        <v>159</v>
      </c>
    </row>
    <row r="2215" spans="9:17" x14ac:dyDescent="0.45">
      <c r="I2215" t="s">
        <v>203</v>
      </c>
      <c r="J2215" t="s">
        <v>295</v>
      </c>
      <c r="K2215">
        <v>1.5176506250990552E-2</v>
      </c>
      <c r="L2215" t="s">
        <v>159</v>
      </c>
      <c r="N2215" t="s">
        <v>246</v>
      </c>
      <c r="O2215" t="s">
        <v>295</v>
      </c>
      <c r="P2215">
        <v>6.0964859394740624E-3</v>
      </c>
      <c r="Q2215" t="s">
        <v>159</v>
      </c>
    </row>
    <row r="2216" spans="9:17" x14ac:dyDescent="0.45">
      <c r="I2216" t="s">
        <v>203</v>
      </c>
      <c r="J2216" t="s">
        <v>296</v>
      </c>
      <c r="K2216">
        <v>1.4925371816135583E-3</v>
      </c>
      <c r="L2216" t="s">
        <v>159</v>
      </c>
      <c r="N2216" t="s">
        <v>246</v>
      </c>
      <c r="O2216" t="s">
        <v>296</v>
      </c>
      <c r="P2216">
        <v>8.8062482373109103E-4</v>
      </c>
      <c r="Q2216" t="s">
        <v>159</v>
      </c>
    </row>
    <row r="2217" spans="9:17" x14ac:dyDescent="0.45">
      <c r="I2217" t="s">
        <v>203</v>
      </c>
      <c r="J2217" t="s">
        <v>297</v>
      </c>
      <c r="K2217">
        <v>9.2127490765374928E-4</v>
      </c>
      <c r="L2217" t="s">
        <v>159</v>
      </c>
      <c r="N2217" t="s">
        <v>246</v>
      </c>
      <c r="O2217" t="s">
        <v>297</v>
      </c>
      <c r="P2217">
        <v>9.4194271598479064E-4</v>
      </c>
      <c r="Q2217" t="s">
        <v>159</v>
      </c>
    </row>
    <row r="2218" spans="9:17" x14ac:dyDescent="0.45">
      <c r="I2218" t="s">
        <v>203</v>
      </c>
      <c r="J2218" t="s">
        <v>311</v>
      </c>
      <c r="K2218">
        <v>0</v>
      </c>
      <c r="L2218" t="s">
        <v>159</v>
      </c>
      <c r="N2218" t="s">
        <v>246</v>
      </c>
      <c r="O2218" t="s">
        <v>311</v>
      </c>
      <c r="P2218">
        <v>2.6481323286850406E-3</v>
      </c>
      <c r="Q2218" t="s">
        <v>159</v>
      </c>
    </row>
    <row r="2219" spans="9:17" x14ac:dyDescent="0.45">
      <c r="I2219" t="s">
        <v>203</v>
      </c>
      <c r="J2219" t="s">
        <v>298</v>
      </c>
      <c r="K2219">
        <v>2.7055439539450379E-3</v>
      </c>
      <c r="L2219" t="s">
        <v>159</v>
      </c>
      <c r="N2219" t="s">
        <v>246</v>
      </c>
      <c r="O2219" t="s">
        <v>298</v>
      </c>
      <c r="P2219">
        <v>4.9925495264632053E-2</v>
      </c>
      <c r="Q2219" t="s">
        <v>159</v>
      </c>
    </row>
    <row r="2220" spans="9:17" x14ac:dyDescent="0.45">
      <c r="I2220" t="s">
        <v>203</v>
      </c>
      <c r="J2220" t="s">
        <v>299</v>
      </c>
      <c r="K2220">
        <v>1.5336083135820619E-2</v>
      </c>
      <c r="L2220" t="s">
        <v>159</v>
      </c>
      <c r="N2220" t="s">
        <v>246</v>
      </c>
      <c r="O2220" t="s">
        <v>299</v>
      </c>
      <c r="P2220">
        <v>7.5166988952134941E-3</v>
      </c>
      <c r="Q2220" t="s">
        <v>159</v>
      </c>
    </row>
    <row r="2221" spans="9:17" x14ac:dyDescent="0.45">
      <c r="I2221" t="s">
        <v>203</v>
      </c>
      <c r="J2221" t="s">
        <v>300</v>
      </c>
      <c r="K2221">
        <v>0.25169899458433764</v>
      </c>
      <c r="L2221" t="s">
        <v>159</v>
      </c>
      <c r="N2221" t="s">
        <v>246</v>
      </c>
      <c r="O2221" t="s">
        <v>300</v>
      </c>
      <c r="P2221">
        <v>0.10445218011936751</v>
      </c>
      <c r="Q2221" t="s">
        <v>159</v>
      </c>
    </row>
    <row r="2222" spans="9:17" x14ac:dyDescent="0.45">
      <c r="I2222" t="s">
        <v>203</v>
      </c>
      <c r="J2222" t="s">
        <v>301</v>
      </c>
      <c r="K2222">
        <v>2.1610666039871541E-2</v>
      </c>
      <c r="L2222" t="s">
        <v>159</v>
      </c>
      <c r="N2222" t="s">
        <v>246</v>
      </c>
      <c r="O2222" t="s">
        <v>301</v>
      </c>
      <c r="P2222">
        <v>2.0011156960031508E-2</v>
      </c>
      <c r="Q2222" t="s">
        <v>159</v>
      </c>
    </row>
    <row r="2223" spans="9:17" x14ac:dyDescent="0.45">
      <c r="I2223" t="s">
        <v>203</v>
      </c>
      <c r="J2223" t="s">
        <v>302</v>
      </c>
      <c r="K2223">
        <v>1.3782599176400352E-2</v>
      </c>
      <c r="L2223" t="s">
        <v>159</v>
      </c>
      <c r="N2223" t="s">
        <v>246</v>
      </c>
      <c r="O2223" t="s">
        <v>302</v>
      </c>
      <c r="P2223">
        <v>1.8731004348972145E-2</v>
      </c>
      <c r="Q2223" t="s">
        <v>159</v>
      </c>
    </row>
    <row r="2224" spans="9:17" x14ac:dyDescent="0.45">
      <c r="I2224" t="s">
        <v>203</v>
      </c>
      <c r="J2224" t="s">
        <v>312</v>
      </c>
      <c r="K2224">
        <v>7.4172548688530013E-4</v>
      </c>
      <c r="L2224" t="s">
        <v>159</v>
      </c>
      <c r="N2224" t="s">
        <v>246</v>
      </c>
      <c r="O2224" t="s">
        <v>312</v>
      </c>
      <c r="P2224">
        <v>4.8694775414895086E-2</v>
      </c>
      <c r="Q2224" t="s">
        <v>159</v>
      </c>
    </row>
    <row r="2225" spans="9:17" x14ac:dyDescent="0.45">
      <c r="I2225" t="s">
        <v>203</v>
      </c>
      <c r="J2225" t="s">
        <v>313</v>
      </c>
      <c r="K2225">
        <v>1.7153987774918265E-3</v>
      </c>
      <c r="L2225" t="s">
        <v>159</v>
      </c>
      <c r="N2225" t="s">
        <v>246</v>
      </c>
      <c r="O2225" t="s">
        <v>313</v>
      </c>
      <c r="P2225">
        <v>1.5061713940561307E-2</v>
      </c>
      <c r="Q2225" t="s">
        <v>159</v>
      </c>
    </row>
    <row r="2226" spans="9:17" x14ac:dyDescent="0.45">
      <c r="I2226" t="s">
        <v>203</v>
      </c>
      <c r="J2226" t="s">
        <v>314</v>
      </c>
      <c r="K2226">
        <v>3.8228029627597705E-3</v>
      </c>
      <c r="L2226" t="s">
        <v>159</v>
      </c>
      <c r="N2226" t="s">
        <v>246</v>
      </c>
      <c r="O2226" t="s">
        <v>314</v>
      </c>
      <c r="P2226">
        <v>2.1977480719474292E-3</v>
      </c>
      <c r="Q2226" t="s">
        <v>159</v>
      </c>
    </row>
    <row r="2227" spans="9:17" x14ac:dyDescent="0.45">
      <c r="I2227" t="s">
        <v>203</v>
      </c>
      <c r="J2227" t="s">
        <v>315</v>
      </c>
      <c r="K2227">
        <v>6.2714151981477256E-2</v>
      </c>
      <c r="L2227" t="s">
        <v>159</v>
      </c>
      <c r="N2227" t="s">
        <v>246</v>
      </c>
      <c r="O2227" t="s">
        <v>315</v>
      </c>
      <c r="P2227">
        <v>3.2412521933536331E-2</v>
      </c>
      <c r="Q2227" t="s">
        <v>159</v>
      </c>
    </row>
    <row r="2228" spans="9:17" x14ac:dyDescent="0.45">
      <c r="I2228" t="s">
        <v>203</v>
      </c>
      <c r="J2228" t="s">
        <v>316</v>
      </c>
      <c r="K2228">
        <v>5.0062441907600388E-3</v>
      </c>
      <c r="L2228" t="s">
        <v>159</v>
      </c>
      <c r="N2228" t="s">
        <v>246</v>
      </c>
      <c r="O2228" t="s">
        <v>316</v>
      </c>
      <c r="P2228">
        <v>7.5200948899643277E-3</v>
      </c>
      <c r="Q2228" t="s">
        <v>159</v>
      </c>
    </row>
    <row r="2229" spans="9:17" x14ac:dyDescent="0.45">
      <c r="I2229" t="s">
        <v>203</v>
      </c>
      <c r="J2229" t="s">
        <v>317</v>
      </c>
      <c r="K2229">
        <v>3.8222967514860706E-3</v>
      </c>
      <c r="L2229" t="s">
        <v>159</v>
      </c>
      <c r="N2229" t="s">
        <v>246</v>
      </c>
      <c r="O2229" t="s">
        <v>317</v>
      </c>
      <c r="P2229">
        <v>6.9535010209381531E-3</v>
      </c>
      <c r="Q2229" t="s">
        <v>159</v>
      </c>
    </row>
    <row r="2230" spans="9:17" x14ac:dyDescent="0.45">
      <c r="I2230" t="s">
        <v>203</v>
      </c>
      <c r="J2230" t="s">
        <v>318</v>
      </c>
      <c r="K2230">
        <v>2.2682584264190767E-3</v>
      </c>
      <c r="L2230" t="s">
        <v>159</v>
      </c>
      <c r="N2230" t="s">
        <v>246</v>
      </c>
      <c r="O2230" t="s">
        <v>318</v>
      </c>
      <c r="P2230">
        <v>1.7210249120904395E-2</v>
      </c>
      <c r="Q2230" t="s">
        <v>159</v>
      </c>
    </row>
    <row r="2231" spans="9:17" x14ac:dyDescent="0.45">
      <c r="I2231" t="s">
        <v>204</v>
      </c>
      <c r="J2231" t="s">
        <v>158</v>
      </c>
      <c r="K2231">
        <v>1.5124999044531718E-4</v>
      </c>
      <c r="L2231" t="s">
        <v>159</v>
      </c>
      <c r="N2231" t="s">
        <v>247</v>
      </c>
      <c r="O2231" t="s">
        <v>158</v>
      </c>
      <c r="P2231">
        <v>9.2754604245286934E-2</v>
      </c>
      <c r="Q2231" t="s">
        <v>159</v>
      </c>
    </row>
    <row r="2232" spans="9:17" x14ac:dyDescent="0.45">
      <c r="I2232" t="s">
        <v>204</v>
      </c>
      <c r="J2232" t="s">
        <v>160</v>
      </c>
      <c r="K2232">
        <v>1.4675436000427453E-2</v>
      </c>
      <c r="L2232" t="s">
        <v>159</v>
      </c>
      <c r="N2232" t="s">
        <v>247</v>
      </c>
      <c r="O2232" t="s">
        <v>160</v>
      </c>
      <c r="P2232">
        <v>1.3946490840891067E-2</v>
      </c>
      <c r="Q2232" t="s">
        <v>159</v>
      </c>
    </row>
    <row r="2233" spans="9:17" x14ac:dyDescent="0.45">
      <c r="I2233" t="s">
        <v>204</v>
      </c>
      <c r="J2233" t="s">
        <v>161</v>
      </c>
      <c r="K2233">
        <v>0.38559586023089226</v>
      </c>
      <c r="L2233" t="s">
        <v>159</v>
      </c>
      <c r="N2233" t="s">
        <v>247</v>
      </c>
      <c r="O2233" t="s">
        <v>161</v>
      </c>
      <c r="P2233">
        <v>0.20137161519001751</v>
      </c>
      <c r="Q2233" t="s">
        <v>159</v>
      </c>
    </row>
    <row r="2234" spans="9:17" x14ac:dyDescent="0.45">
      <c r="I2234" t="s">
        <v>204</v>
      </c>
      <c r="J2234" t="s">
        <v>287</v>
      </c>
      <c r="K2234">
        <v>3.500371244716325E-2</v>
      </c>
      <c r="L2234" t="s">
        <v>159</v>
      </c>
      <c r="N2234" t="s">
        <v>247</v>
      </c>
      <c r="O2234" t="s">
        <v>287</v>
      </c>
      <c r="P2234">
        <v>3.6841567352360473E-2</v>
      </c>
      <c r="Q2234" t="s">
        <v>159</v>
      </c>
    </row>
    <row r="2235" spans="9:17" x14ac:dyDescent="0.45">
      <c r="I2235" t="s">
        <v>204</v>
      </c>
      <c r="J2235" t="s">
        <v>288</v>
      </c>
      <c r="K2235">
        <v>2.1768499684367063E-2</v>
      </c>
      <c r="L2235" t="s">
        <v>159</v>
      </c>
      <c r="N2235" t="s">
        <v>247</v>
      </c>
      <c r="O2235" t="s">
        <v>288</v>
      </c>
      <c r="P2235">
        <v>3.3615899731397877E-2</v>
      </c>
      <c r="Q2235" t="s">
        <v>159</v>
      </c>
    </row>
    <row r="2236" spans="9:17" x14ac:dyDescent="0.45">
      <c r="I2236" t="s">
        <v>204</v>
      </c>
      <c r="J2236" t="s">
        <v>308</v>
      </c>
      <c r="K2236">
        <v>7.8250628481517596E-3</v>
      </c>
      <c r="L2236" t="s">
        <v>159</v>
      </c>
      <c r="N2236" t="s">
        <v>247</v>
      </c>
      <c r="O2236" t="s">
        <v>308</v>
      </c>
      <c r="P2236">
        <v>0.10399997253909878</v>
      </c>
      <c r="Q2236" t="s">
        <v>159</v>
      </c>
    </row>
    <row r="2237" spans="9:17" x14ac:dyDescent="0.45">
      <c r="I2237" t="s">
        <v>204</v>
      </c>
      <c r="J2237" t="s">
        <v>162</v>
      </c>
      <c r="K2237">
        <v>0</v>
      </c>
      <c r="L2237" t="s">
        <v>159</v>
      </c>
      <c r="N2237" t="s">
        <v>247</v>
      </c>
      <c r="O2237" t="s">
        <v>162</v>
      </c>
      <c r="P2237">
        <v>1.633257619027572E-2</v>
      </c>
      <c r="Q2237" t="s">
        <v>159</v>
      </c>
    </row>
    <row r="2238" spans="9:17" x14ac:dyDescent="0.45">
      <c r="I2238" t="s">
        <v>204</v>
      </c>
      <c r="J2238" t="s">
        <v>163</v>
      </c>
      <c r="K2238">
        <v>0</v>
      </c>
      <c r="L2238" t="s">
        <v>159</v>
      </c>
      <c r="N2238" t="s">
        <v>247</v>
      </c>
      <c r="O2238" t="s">
        <v>163</v>
      </c>
      <c r="P2238">
        <v>2.6498721192197193E-3</v>
      </c>
      <c r="Q2238" t="s">
        <v>159</v>
      </c>
    </row>
    <row r="2239" spans="9:17" x14ac:dyDescent="0.45">
      <c r="I2239" t="s">
        <v>204</v>
      </c>
      <c r="J2239" t="s">
        <v>164</v>
      </c>
      <c r="K2239">
        <v>4.9437240226678628E-2</v>
      </c>
      <c r="L2239" t="s">
        <v>159</v>
      </c>
      <c r="N2239" t="s">
        <v>247</v>
      </c>
      <c r="O2239" t="s">
        <v>164</v>
      </c>
      <c r="P2239">
        <v>2.3284685283690893E-2</v>
      </c>
      <c r="Q2239" t="s">
        <v>159</v>
      </c>
    </row>
    <row r="2240" spans="9:17" x14ac:dyDescent="0.45">
      <c r="I2240" t="s">
        <v>204</v>
      </c>
      <c r="J2240" t="s">
        <v>289</v>
      </c>
      <c r="K2240">
        <v>4.3873861457998532E-3</v>
      </c>
      <c r="L2240" t="s">
        <v>159</v>
      </c>
      <c r="N2240" t="s">
        <v>247</v>
      </c>
      <c r="O2240" t="s">
        <v>289</v>
      </c>
      <c r="P2240">
        <v>2.5477223838560018E-3</v>
      </c>
      <c r="Q2240" t="s">
        <v>159</v>
      </c>
    </row>
    <row r="2241" spans="9:17" x14ac:dyDescent="0.45">
      <c r="I2241" t="s">
        <v>204</v>
      </c>
      <c r="J2241" t="s">
        <v>290</v>
      </c>
      <c r="K2241">
        <v>8.4285925680423711E-4</v>
      </c>
      <c r="L2241" t="s">
        <v>159</v>
      </c>
      <c r="N2241" t="s">
        <v>247</v>
      </c>
      <c r="O2241" t="s">
        <v>290</v>
      </c>
      <c r="P2241">
        <v>2.4380536029841174E-3</v>
      </c>
      <c r="Q2241" t="s">
        <v>159</v>
      </c>
    </row>
    <row r="2242" spans="9:17" x14ac:dyDescent="0.45">
      <c r="I2242" t="s">
        <v>204</v>
      </c>
      <c r="J2242" t="s">
        <v>309</v>
      </c>
      <c r="K2242">
        <v>0</v>
      </c>
      <c r="L2242" t="s">
        <v>159</v>
      </c>
      <c r="N2242" t="s">
        <v>247</v>
      </c>
      <c r="O2242" t="s">
        <v>309</v>
      </c>
      <c r="P2242">
        <v>1.0999755404453537E-2</v>
      </c>
      <c r="Q2242" t="s">
        <v>159</v>
      </c>
    </row>
    <row r="2243" spans="9:17" x14ac:dyDescent="0.45">
      <c r="I2243" t="s">
        <v>204</v>
      </c>
      <c r="J2243" t="s">
        <v>346</v>
      </c>
      <c r="K2243">
        <v>0</v>
      </c>
      <c r="L2243" t="s">
        <v>159</v>
      </c>
      <c r="N2243" t="s">
        <v>247</v>
      </c>
      <c r="O2243" t="s">
        <v>346</v>
      </c>
      <c r="P2243">
        <v>1.1893197757532805E-5</v>
      </c>
      <c r="Q2243" t="s">
        <v>159</v>
      </c>
    </row>
    <row r="2244" spans="9:17" x14ac:dyDescent="0.45">
      <c r="I2244" t="s">
        <v>204</v>
      </c>
      <c r="J2244" t="s">
        <v>347</v>
      </c>
      <c r="K2244">
        <v>0</v>
      </c>
      <c r="L2244" t="s">
        <v>159</v>
      </c>
      <c r="N2244" t="s">
        <v>247</v>
      </c>
      <c r="O2244" t="s">
        <v>347</v>
      </c>
      <c r="P2244">
        <v>9.5593797623428658E-6</v>
      </c>
      <c r="Q2244" t="s">
        <v>159</v>
      </c>
    </row>
    <row r="2245" spans="9:17" x14ac:dyDescent="0.45">
      <c r="I2245" t="s">
        <v>204</v>
      </c>
      <c r="J2245" t="s">
        <v>348</v>
      </c>
      <c r="K2245">
        <v>0</v>
      </c>
      <c r="L2245" t="s">
        <v>159</v>
      </c>
      <c r="N2245" t="s">
        <v>247</v>
      </c>
      <c r="O2245" t="s">
        <v>348</v>
      </c>
      <c r="P2245">
        <v>7.6426295179135874E-6</v>
      </c>
      <c r="Q2245" t="s">
        <v>159</v>
      </c>
    </row>
    <row r="2246" spans="9:17" x14ac:dyDescent="0.45">
      <c r="I2246" t="s">
        <v>204</v>
      </c>
      <c r="J2246" t="s">
        <v>349</v>
      </c>
      <c r="K2246">
        <v>0</v>
      </c>
      <c r="L2246" t="s">
        <v>159</v>
      </c>
      <c r="N2246" t="s">
        <v>247</v>
      </c>
      <c r="O2246" t="s">
        <v>349</v>
      </c>
      <c r="P2246">
        <v>6.3791738011955985E-6</v>
      </c>
      <c r="Q2246" t="s">
        <v>159</v>
      </c>
    </row>
    <row r="2247" spans="9:17" x14ac:dyDescent="0.45">
      <c r="I2247" t="s">
        <v>204</v>
      </c>
      <c r="J2247" t="s">
        <v>350</v>
      </c>
      <c r="K2247">
        <v>0</v>
      </c>
      <c r="L2247" t="s">
        <v>159</v>
      </c>
      <c r="N2247" t="s">
        <v>247</v>
      </c>
      <c r="O2247" t="s">
        <v>350</v>
      </c>
      <c r="P2247">
        <v>2.7680390323567226E-6</v>
      </c>
      <c r="Q2247" t="s">
        <v>159</v>
      </c>
    </row>
    <row r="2248" spans="9:17" x14ac:dyDescent="0.45">
      <c r="I2248" t="s">
        <v>204</v>
      </c>
      <c r="J2248" t="s">
        <v>351</v>
      </c>
      <c r="K2248">
        <v>0</v>
      </c>
      <c r="L2248" t="s">
        <v>159</v>
      </c>
      <c r="N2248" t="s">
        <v>247</v>
      </c>
      <c r="O2248" t="s">
        <v>351</v>
      </c>
      <c r="P2248">
        <v>2.987603243923155E-6</v>
      </c>
      <c r="Q2248" t="s">
        <v>159</v>
      </c>
    </row>
    <row r="2249" spans="9:17" x14ac:dyDescent="0.45">
      <c r="I2249" t="s">
        <v>204</v>
      </c>
      <c r="J2249" t="s">
        <v>352</v>
      </c>
      <c r="K2249">
        <v>0</v>
      </c>
      <c r="L2249" t="s">
        <v>159</v>
      </c>
      <c r="N2249" t="s">
        <v>247</v>
      </c>
      <c r="O2249" t="s">
        <v>352</v>
      </c>
      <c r="P2249">
        <v>4.7409512333775569E-6</v>
      </c>
      <c r="Q2249" t="s">
        <v>159</v>
      </c>
    </row>
    <row r="2250" spans="9:17" x14ac:dyDescent="0.45">
      <c r="I2250" t="s">
        <v>204</v>
      </c>
      <c r="J2250" t="s">
        <v>353</v>
      </c>
      <c r="K2250">
        <v>0</v>
      </c>
      <c r="L2250" t="s">
        <v>159</v>
      </c>
      <c r="N2250" t="s">
        <v>247</v>
      </c>
      <c r="O2250" t="s">
        <v>353</v>
      </c>
      <c r="P2250">
        <v>7.2783537132033021E-6</v>
      </c>
      <c r="Q2250" t="s">
        <v>159</v>
      </c>
    </row>
    <row r="2251" spans="9:17" x14ac:dyDescent="0.45">
      <c r="I2251" t="s">
        <v>204</v>
      </c>
      <c r="J2251" t="s">
        <v>354</v>
      </c>
      <c r="K2251">
        <v>1.3049249092530947E-4</v>
      </c>
      <c r="L2251" t="s">
        <v>159</v>
      </c>
      <c r="N2251" t="s">
        <v>247</v>
      </c>
      <c r="O2251" t="s">
        <v>354</v>
      </c>
      <c r="P2251">
        <v>1.1257235565075505E-5</v>
      </c>
      <c r="Q2251" t="s">
        <v>159</v>
      </c>
    </row>
    <row r="2252" spans="9:17" x14ac:dyDescent="0.45">
      <c r="I2252" t="s">
        <v>204</v>
      </c>
      <c r="J2252" t="s">
        <v>355</v>
      </c>
      <c r="K2252">
        <v>1.8237209839133274E-4</v>
      </c>
      <c r="L2252" t="s">
        <v>159</v>
      </c>
      <c r="N2252" t="s">
        <v>247</v>
      </c>
      <c r="O2252" t="s">
        <v>355</v>
      </c>
      <c r="P2252">
        <v>9.7433133096876233E-6</v>
      </c>
      <c r="Q2252" t="s">
        <v>159</v>
      </c>
    </row>
    <row r="2253" spans="9:17" x14ac:dyDescent="0.45">
      <c r="I2253" t="s">
        <v>204</v>
      </c>
      <c r="J2253" t="s">
        <v>356</v>
      </c>
      <c r="K2253">
        <v>1.8896870180093155E-4</v>
      </c>
      <c r="L2253" t="s">
        <v>159</v>
      </c>
      <c r="N2253" t="s">
        <v>247</v>
      </c>
      <c r="O2253" t="s">
        <v>356</v>
      </c>
      <c r="P2253">
        <v>3.6042637875172491E-6</v>
      </c>
      <c r="Q2253" t="s">
        <v>159</v>
      </c>
    </row>
    <row r="2254" spans="9:17" x14ac:dyDescent="0.45">
      <c r="I2254" t="s">
        <v>204</v>
      </c>
      <c r="J2254" t="s">
        <v>357</v>
      </c>
      <c r="K2254">
        <v>1.9805736894092885E-4</v>
      </c>
      <c r="L2254" t="s">
        <v>159</v>
      </c>
      <c r="N2254" t="s">
        <v>247</v>
      </c>
      <c r="O2254" t="s">
        <v>357</v>
      </c>
      <c r="P2254">
        <v>7.213674862433446E-6</v>
      </c>
      <c r="Q2254" t="s">
        <v>159</v>
      </c>
    </row>
    <row r="2255" spans="9:17" x14ac:dyDescent="0.45">
      <c r="I2255" t="s">
        <v>204</v>
      </c>
      <c r="J2255" t="s">
        <v>358</v>
      </c>
      <c r="K2255">
        <v>2.2816093019644473E-4</v>
      </c>
      <c r="L2255" t="s">
        <v>159</v>
      </c>
      <c r="N2255" t="s">
        <v>247</v>
      </c>
      <c r="O2255" t="s">
        <v>358</v>
      </c>
      <c r="P2255">
        <v>1.6683868215455356E-5</v>
      </c>
      <c r="Q2255" t="s">
        <v>159</v>
      </c>
    </row>
    <row r="2256" spans="9:17" x14ac:dyDescent="0.45">
      <c r="I2256" t="s">
        <v>204</v>
      </c>
      <c r="J2256" t="s">
        <v>359</v>
      </c>
      <c r="K2256">
        <v>2.4936795037863979E-4</v>
      </c>
      <c r="L2256" t="s">
        <v>159</v>
      </c>
      <c r="N2256" t="s">
        <v>247</v>
      </c>
      <c r="O2256" t="s">
        <v>359</v>
      </c>
      <c r="P2256">
        <v>2.1066768997861108E-5</v>
      </c>
      <c r="Q2256" t="s">
        <v>159</v>
      </c>
    </row>
    <row r="2257" spans="9:17" x14ac:dyDescent="0.45">
      <c r="I2257" t="s">
        <v>204</v>
      </c>
      <c r="J2257" t="s">
        <v>360</v>
      </c>
      <c r="K2257">
        <v>2.0855592697740607E-4</v>
      </c>
      <c r="L2257" t="s">
        <v>159</v>
      </c>
      <c r="N2257" t="s">
        <v>247</v>
      </c>
      <c r="O2257" t="s">
        <v>360</v>
      </c>
      <c r="P2257">
        <v>2.8647020876461027E-5</v>
      </c>
      <c r="Q2257" t="s">
        <v>159</v>
      </c>
    </row>
    <row r="2258" spans="9:17" x14ac:dyDescent="0.45">
      <c r="I2258" t="s">
        <v>204</v>
      </c>
      <c r="J2258" t="s">
        <v>361</v>
      </c>
      <c r="K2258">
        <v>1.8297361312921435E-4</v>
      </c>
      <c r="L2258" t="s">
        <v>159</v>
      </c>
      <c r="N2258" t="s">
        <v>247</v>
      </c>
      <c r="O2258" t="s">
        <v>361</v>
      </c>
      <c r="P2258">
        <v>4.0676918937170364E-5</v>
      </c>
      <c r="Q2258" t="s">
        <v>159</v>
      </c>
    </row>
    <row r="2259" spans="9:17" x14ac:dyDescent="0.45">
      <c r="I2259" t="s">
        <v>204</v>
      </c>
      <c r="J2259" t="s">
        <v>362</v>
      </c>
      <c r="K2259">
        <v>1.7334802424731017E-4</v>
      </c>
      <c r="L2259" t="s">
        <v>159</v>
      </c>
      <c r="N2259" t="s">
        <v>247</v>
      </c>
      <c r="O2259" t="s">
        <v>362</v>
      </c>
      <c r="P2259">
        <v>5.532234238064043E-5</v>
      </c>
      <c r="Q2259" t="s">
        <v>159</v>
      </c>
    </row>
    <row r="2260" spans="9:17" x14ac:dyDescent="0.45">
      <c r="I2260" t="s">
        <v>204</v>
      </c>
      <c r="J2260" t="s">
        <v>363</v>
      </c>
      <c r="K2260">
        <v>1.3863323047172413E-4</v>
      </c>
      <c r="L2260" t="s">
        <v>159</v>
      </c>
      <c r="N2260" t="s">
        <v>247</v>
      </c>
      <c r="O2260" t="s">
        <v>363</v>
      </c>
      <c r="P2260">
        <v>7.5280254471411985E-5</v>
      </c>
      <c r="Q2260" t="s">
        <v>159</v>
      </c>
    </row>
    <row r="2261" spans="9:17" x14ac:dyDescent="0.45">
      <c r="I2261" t="s">
        <v>204</v>
      </c>
      <c r="J2261" t="s">
        <v>364</v>
      </c>
      <c r="K2261">
        <v>2.4244433837021744E-5</v>
      </c>
      <c r="L2261" t="s">
        <v>159</v>
      </c>
      <c r="N2261" t="s">
        <v>247</v>
      </c>
      <c r="O2261" t="s">
        <v>364</v>
      </c>
      <c r="P2261">
        <v>8.5843985917167498E-5</v>
      </c>
      <c r="Q2261" t="s">
        <v>159</v>
      </c>
    </row>
    <row r="2262" spans="9:17" x14ac:dyDescent="0.45">
      <c r="I2262" t="s">
        <v>204</v>
      </c>
      <c r="J2262" t="s">
        <v>365</v>
      </c>
      <c r="K2262">
        <v>0</v>
      </c>
      <c r="L2262" t="s">
        <v>159</v>
      </c>
      <c r="N2262" t="s">
        <v>247</v>
      </c>
      <c r="O2262" t="s">
        <v>365</v>
      </c>
      <c r="P2262">
        <v>8.0120233550247228E-5</v>
      </c>
      <c r="Q2262" t="s">
        <v>159</v>
      </c>
    </row>
    <row r="2263" spans="9:17" x14ac:dyDescent="0.45">
      <c r="I2263" t="s">
        <v>204</v>
      </c>
      <c r="J2263" t="s">
        <v>366</v>
      </c>
      <c r="K2263">
        <v>0</v>
      </c>
      <c r="L2263" t="s">
        <v>159</v>
      </c>
      <c r="N2263" t="s">
        <v>247</v>
      </c>
      <c r="O2263" t="s">
        <v>366</v>
      </c>
      <c r="P2263">
        <v>6.8620250653414803E-5</v>
      </c>
      <c r="Q2263" t="s">
        <v>159</v>
      </c>
    </row>
    <row r="2264" spans="9:17" x14ac:dyDescent="0.45">
      <c r="I2264" t="s">
        <v>204</v>
      </c>
      <c r="J2264" t="s">
        <v>367</v>
      </c>
      <c r="K2264">
        <v>0</v>
      </c>
      <c r="L2264" t="s">
        <v>159</v>
      </c>
      <c r="N2264" t="s">
        <v>247</v>
      </c>
      <c r="O2264" t="s">
        <v>367</v>
      </c>
      <c r="P2264">
        <v>6.9702351072772068E-5</v>
      </c>
      <c r="Q2264" t="s">
        <v>159</v>
      </c>
    </row>
    <row r="2265" spans="9:17" x14ac:dyDescent="0.45">
      <c r="I2265" t="s">
        <v>204</v>
      </c>
      <c r="J2265" t="s">
        <v>368</v>
      </c>
      <c r="K2265">
        <v>0</v>
      </c>
      <c r="L2265" t="s">
        <v>159</v>
      </c>
      <c r="N2265" t="s">
        <v>247</v>
      </c>
      <c r="O2265" t="s">
        <v>368</v>
      </c>
      <c r="P2265">
        <v>7.2457964575514366E-5</v>
      </c>
      <c r="Q2265" t="s">
        <v>159</v>
      </c>
    </row>
    <row r="2266" spans="9:17" x14ac:dyDescent="0.45">
      <c r="I2266" t="s">
        <v>204</v>
      </c>
      <c r="J2266" t="s">
        <v>369</v>
      </c>
      <c r="K2266">
        <v>0</v>
      </c>
      <c r="L2266" t="s">
        <v>159</v>
      </c>
      <c r="N2266" t="s">
        <v>247</v>
      </c>
      <c r="O2266" t="s">
        <v>369</v>
      </c>
      <c r="P2266">
        <v>5.8429305773326153E-5</v>
      </c>
      <c r="Q2266" t="s">
        <v>159</v>
      </c>
    </row>
    <row r="2267" spans="9:17" x14ac:dyDescent="0.45">
      <c r="I2267" t="s">
        <v>204</v>
      </c>
      <c r="J2267" t="s">
        <v>165</v>
      </c>
      <c r="K2267">
        <v>0</v>
      </c>
      <c r="L2267" t="s">
        <v>159</v>
      </c>
      <c r="N2267" t="s">
        <v>247</v>
      </c>
      <c r="O2267" t="s">
        <v>165</v>
      </c>
      <c r="P2267">
        <v>2.7389587032442559E-2</v>
      </c>
      <c r="Q2267" t="s">
        <v>159</v>
      </c>
    </row>
    <row r="2268" spans="9:17" x14ac:dyDescent="0.45">
      <c r="I2268" t="s">
        <v>204</v>
      </c>
      <c r="J2268" t="s">
        <v>166</v>
      </c>
      <c r="K2268">
        <v>0</v>
      </c>
      <c r="L2268" t="s">
        <v>159</v>
      </c>
      <c r="N2268" t="s">
        <v>247</v>
      </c>
      <c r="O2268" t="s">
        <v>166</v>
      </c>
      <c r="P2268">
        <v>4.4523296715133897E-3</v>
      </c>
      <c r="Q2268" t="s">
        <v>159</v>
      </c>
    </row>
    <row r="2269" spans="9:17" x14ac:dyDescent="0.45">
      <c r="I2269" t="s">
        <v>204</v>
      </c>
      <c r="J2269" t="s">
        <v>167</v>
      </c>
      <c r="K2269">
        <v>6.4058520894143503E-2</v>
      </c>
      <c r="L2269" t="s">
        <v>159</v>
      </c>
      <c r="N2269" t="s">
        <v>247</v>
      </c>
      <c r="O2269" t="s">
        <v>167</v>
      </c>
      <c r="P2269">
        <v>4.2423254543367692E-2</v>
      </c>
      <c r="Q2269" t="s">
        <v>159</v>
      </c>
    </row>
    <row r="2270" spans="9:17" x14ac:dyDescent="0.45">
      <c r="I2270" t="s">
        <v>204</v>
      </c>
      <c r="J2270" t="s">
        <v>291</v>
      </c>
      <c r="K2270">
        <v>5.9692627087153298E-3</v>
      </c>
      <c r="L2270" t="s">
        <v>159</v>
      </c>
      <c r="N2270" t="s">
        <v>247</v>
      </c>
      <c r="O2270" t="s">
        <v>291</v>
      </c>
      <c r="P2270">
        <v>4.1901326779760807E-3</v>
      </c>
      <c r="Q2270" t="s">
        <v>159</v>
      </c>
    </row>
    <row r="2271" spans="9:17" x14ac:dyDescent="0.45">
      <c r="I2271" t="s">
        <v>204</v>
      </c>
      <c r="J2271" t="s">
        <v>292</v>
      </c>
      <c r="K2271">
        <v>3.9280230668461182E-3</v>
      </c>
      <c r="L2271" t="s">
        <v>159</v>
      </c>
      <c r="N2271" t="s">
        <v>247</v>
      </c>
      <c r="O2271" t="s">
        <v>292</v>
      </c>
      <c r="P2271">
        <v>3.9892905762090227E-3</v>
      </c>
      <c r="Q2271" t="s">
        <v>159</v>
      </c>
    </row>
    <row r="2272" spans="9:17" x14ac:dyDescent="0.45">
      <c r="I2272" t="s">
        <v>204</v>
      </c>
      <c r="J2272" t="s">
        <v>310</v>
      </c>
      <c r="K2272">
        <v>0</v>
      </c>
      <c r="L2272" t="s">
        <v>159</v>
      </c>
      <c r="N2272" t="s">
        <v>247</v>
      </c>
      <c r="O2272" t="s">
        <v>310</v>
      </c>
      <c r="P2272">
        <v>1.7120102908908176E-2</v>
      </c>
      <c r="Q2272" t="s">
        <v>159</v>
      </c>
    </row>
    <row r="2273" spans="9:17" x14ac:dyDescent="0.45">
      <c r="I2273" t="s">
        <v>204</v>
      </c>
      <c r="J2273" t="s">
        <v>293</v>
      </c>
      <c r="K2273">
        <v>0</v>
      </c>
      <c r="L2273" t="s">
        <v>159</v>
      </c>
      <c r="N2273" t="s">
        <v>247</v>
      </c>
      <c r="O2273" t="s">
        <v>293</v>
      </c>
      <c r="P2273">
        <v>3.8882845451412604E-3</v>
      </c>
      <c r="Q2273" t="s">
        <v>159</v>
      </c>
    </row>
    <row r="2274" spans="9:17" x14ac:dyDescent="0.45">
      <c r="I2274" t="s">
        <v>204</v>
      </c>
      <c r="J2274" t="s">
        <v>294</v>
      </c>
      <c r="K2274">
        <v>5.4207721575277697E-5</v>
      </c>
      <c r="L2274" t="s">
        <v>159</v>
      </c>
      <c r="N2274" t="s">
        <v>247</v>
      </c>
      <c r="O2274" t="s">
        <v>294</v>
      </c>
      <c r="P2274">
        <v>6.716484688981105E-4</v>
      </c>
      <c r="Q2274" t="s">
        <v>159</v>
      </c>
    </row>
    <row r="2275" spans="9:17" x14ac:dyDescent="0.45">
      <c r="I2275" t="s">
        <v>204</v>
      </c>
      <c r="J2275" t="s">
        <v>295</v>
      </c>
      <c r="K2275">
        <v>1.5407652619258609E-2</v>
      </c>
      <c r="L2275" t="s">
        <v>159</v>
      </c>
      <c r="N2275" t="s">
        <v>247</v>
      </c>
      <c r="O2275" t="s">
        <v>295</v>
      </c>
      <c r="P2275">
        <v>6.4822670098619488E-3</v>
      </c>
      <c r="Q2275" t="s">
        <v>159</v>
      </c>
    </row>
    <row r="2276" spans="9:17" x14ac:dyDescent="0.45">
      <c r="I2276" t="s">
        <v>204</v>
      </c>
      <c r="J2276" t="s">
        <v>296</v>
      </c>
      <c r="K2276">
        <v>1.4540588618790118E-3</v>
      </c>
      <c r="L2276" t="s">
        <v>159</v>
      </c>
      <c r="N2276" t="s">
        <v>247</v>
      </c>
      <c r="O2276" t="s">
        <v>296</v>
      </c>
      <c r="P2276">
        <v>9.5871852168521359E-4</v>
      </c>
      <c r="Q2276" t="s">
        <v>159</v>
      </c>
    </row>
    <row r="2277" spans="9:17" x14ac:dyDescent="0.45">
      <c r="I2277" t="s">
        <v>204</v>
      </c>
      <c r="J2277" t="s">
        <v>297</v>
      </c>
      <c r="K2277">
        <v>9.2139029661773885E-4</v>
      </c>
      <c r="L2277" t="s">
        <v>159</v>
      </c>
      <c r="N2277" t="s">
        <v>247</v>
      </c>
      <c r="O2277" t="s">
        <v>297</v>
      </c>
      <c r="P2277">
        <v>9.2304734807938907E-4</v>
      </c>
      <c r="Q2277" t="s">
        <v>159</v>
      </c>
    </row>
    <row r="2278" spans="9:17" x14ac:dyDescent="0.45">
      <c r="I2278" t="s">
        <v>204</v>
      </c>
      <c r="J2278" t="s">
        <v>311</v>
      </c>
      <c r="K2278">
        <v>0</v>
      </c>
      <c r="L2278" t="s">
        <v>159</v>
      </c>
      <c r="N2278" t="s">
        <v>247</v>
      </c>
      <c r="O2278" t="s">
        <v>311</v>
      </c>
      <c r="P2278">
        <v>3.4112300169221502E-3</v>
      </c>
      <c r="Q2278" t="s">
        <v>159</v>
      </c>
    </row>
    <row r="2279" spans="9:17" x14ac:dyDescent="0.45">
      <c r="I2279" t="s">
        <v>204</v>
      </c>
      <c r="J2279" t="s">
        <v>298</v>
      </c>
      <c r="K2279">
        <v>3.0607558023827246E-3</v>
      </c>
      <c r="L2279" t="s">
        <v>159</v>
      </c>
      <c r="N2279" t="s">
        <v>247</v>
      </c>
      <c r="O2279" t="s">
        <v>298</v>
      </c>
      <c r="P2279">
        <v>4.2731493736410178E-2</v>
      </c>
      <c r="Q2279" t="s">
        <v>159</v>
      </c>
    </row>
    <row r="2280" spans="9:17" x14ac:dyDescent="0.45">
      <c r="I2280" t="s">
        <v>204</v>
      </c>
      <c r="J2280" t="s">
        <v>299</v>
      </c>
      <c r="K2280">
        <v>1.5606043831591193E-2</v>
      </c>
      <c r="L2280" t="s">
        <v>159</v>
      </c>
      <c r="N2280" t="s">
        <v>247</v>
      </c>
      <c r="O2280" t="s">
        <v>299</v>
      </c>
      <c r="P2280">
        <v>5.1892766172819986E-3</v>
      </c>
      <c r="Q2280" t="s">
        <v>159</v>
      </c>
    </row>
    <row r="2281" spans="9:17" x14ac:dyDescent="0.45">
      <c r="I2281" t="s">
        <v>204</v>
      </c>
      <c r="J2281" t="s">
        <v>300</v>
      </c>
      <c r="K2281">
        <v>0.2480307308149898</v>
      </c>
      <c r="L2281" t="s">
        <v>159</v>
      </c>
      <c r="N2281" t="s">
        <v>247</v>
      </c>
      <c r="O2281" t="s">
        <v>300</v>
      </c>
      <c r="P2281">
        <v>0.11497356046651915</v>
      </c>
      <c r="Q2281" t="s">
        <v>159</v>
      </c>
    </row>
    <row r="2282" spans="9:17" x14ac:dyDescent="0.45">
      <c r="I2282" t="s">
        <v>204</v>
      </c>
      <c r="J2282" t="s">
        <v>301</v>
      </c>
      <c r="K2282">
        <v>2.099903932770484E-2</v>
      </c>
      <c r="L2282" t="s">
        <v>159</v>
      </c>
      <c r="N2282" t="s">
        <v>247</v>
      </c>
      <c r="O2282" t="s">
        <v>301</v>
      </c>
      <c r="P2282">
        <v>2.2905427418638203E-2</v>
      </c>
      <c r="Q2282" t="s">
        <v>159</v>
      </c>
    </row>
    <row r="2283" spans="9:17" x14ac:dyDescent="0.45">
      <c r="I2283" t="s">
        <v>204</v>
      </c>
      <c r="J2283" t="s">
        <v>302</v>
      </c>
      <c r="K2283">
        <v>1.3703760452473219E-2</v>
      </c>
      <c r="L2283" t="s">
        <v>159</v>
      </c>
      <c r="N2283" t="s">
        <v>247</v>
      </c>
      <c r="O2283" t="s">
        <v>302</v>
      </c>
      <c r="P2283">
        <v>2.0498277357392455E-2</v>
      </c>
      <c r="Q2283" t="s">
        <v>159</v>
      </c>
    </row>
    <row r="2284" spans="9:17" x14ac:dyDescent="0.45">
      <c r="I2284" t="s">
        <v>204</v>
      </c>
      <c r="J2284" t="s">
        <v>312</v>
      </c>
      <c r="K2284">
        <v>7.7686653988583111E-4</v>
      </c>
      <c r="L2284" t="s">
        <v>159</v>
      </c>
      <c r="N2284" t="s">
        <v>247</v>
      </c>
      <c r="O2284" t="s">
        <v>312</v>
      </c>
      <c r="P2284">
        <v>5.9765196733331694E-2</v>
      </c>
      <c r="Q2284" t="s">
        <v>159</v>
      </c>
    </row>
    <row r="2285" spans="9:17" x14ac:dyDescent="0.45">
      <c r="I2285" t="s">
        <v>204</v>
      </c>
      <c r="J2285" t="s">
        <v>313</v>
      </c>
      <c r="K2285">
        <v>1.870940781822356E-3</v>
      </c>
      <c r="L2285" t="s">
        <v>159</v>
      </c>
      <c r="N2285" t="s">
        <v>247</v>
      </c>
      <c r="O2285" t="s">
        <v>313</v>
      </c>
      <c r="P2285">
        <v>7.9738212202468267E-3</v>
      </c>
      <c r="Q2285" t="s">
        <v>159</v>
      </c>
    </row>
    <row r="2286" spans="9:17" x14ac:dyDescent="0.45">
      <c r="I2286" t="s">
        <v>204</v>
      </c>
      <c r="J2286" t="s">
        <v>314</v>
      </c>
      <c r="K2286">
        <v>3.9461369275982259E-3</v>
      </c>
      <c r="L2286" t="s">
        <v>159</v>
      </c>
      <c r="N2286" t="s">
        <v>247</v>
      </c>
      <c r="O2286" t="s">
        <v>314</v>
      </c>
      <c r="P2286">
        <v>8.970720313796883E-4</v>
      </c>
      <c r="Q2286" t="s">
        <v>159</v>
      </c>
    </row>
    <row r="2287" spans="9:17" x14ac:dyDescent="0.45">
      <c r="I2287" t="s">
        <v>204</v>
      </c>
      <c r="J2287" t="s">
        <v>315</v>
      </c>
      <c r="K2287">
        <v>6.638251356746476E-2</v>
      </c>
      <c r="L2287" t="s">
        <v>159</v>
      </c>
      <c r="N2287" t="s">
        <v>247</v>
      </c>
      <c r="O2287" t="s">
        <v>315</v>
      </c>
      <c r="P2287">
        <v>3.5182894055108833E-2</v>
      </c>
      <c r="Q2287" t="s">
        <v>159</v>
      </c>
    </row>
    <row r="2288" spans="9:17" x14ac:dyDescent="0.45">
      <c r="I2288" t="s">
        <v>204</v>
      </c>
      <c r="J2288" t="s">
        <v>316</v>
      </c>
      <c r="K2288">
        <v>5.6943331856629783E-3</v>
      </c>
      <c r="L2288" t="s">
        <v>159</v>
      </c>
      <c r="N2288" t="s">
        <v>247</v>
      </c>
      <c r="O2288" t="s">
        <v>316</v>
      </c>
      <c r="P2288">
        <v>8.6168079015103722E-3</v>
      </c>
      <c r="Q2288" t="s">
        <v>159</v>
      </c>
    </row>
    <row r="2289" spans="9:17" x14ac:dyDescent="0.45">
      <c r="I2289" t="s">
        <v>204</v>
      </c>
      <c r="J2289" t="s">
        <v>317</v>
      </c>
      <c r="K2289">
        <v>4.2271383420280188E-3</v>
      </c>
      <c r="L2289" t="s">
        <v>159</v>
      </c>
      <c r="N2289" t="s">
        <v>247</v>
      </c>
      <c r="O2289" t="s">
        <v>317</v>
      </c>
      <c r="P2289">
        <v>7.2517346784705967E-3</v>
      </c>
      <c r="Q2289" t="s">
        <v>159</v>
      </c>
    </row>
    <row r="2290" spans="9:17" x14ac:dyDescent="0.45">
      <c r="I2290" t="s">
        <v>204</v>
      </c>
      <c r="J2290" t="s">
        <v>318</v>
      </c>
      <c r="K2290">
        <v>2.3161426573358812E-3</v>
      </c>
      <c r="L2290" t="s">
        <v>159</v>
      </c>
      <c r="N2290" t="s">
        <v>247</v>
      </c>
      <c r="O2290" t="s">
        <v>318</v>
      </c>
      <c r="P2290">
        <v>1.6573810498163328E-2</v>
      </c>
      <c r="Q2290" t="s">
        <v>159</v>
      </c>
    </row>
    <row r="2291" spans="9:17" x14ac:dyDescent="0.45">
      <c r="I2291" t="s">
        <v>205</v>
      </c>
      <c r="J2291" t="s">
        <v>158</v>
      </c>
      <c r="K2291">
        <v>5.5513204474363692E-5</v>
      </c>
      <c r="L2291" t="s">
        <v>159</v>
      </c>
      <c r="N2291" t="s">
        <v>248</v>
      </c>
      <c r="O2291" t="s">
        <v>158</v>
      </c>
      <c r="P2291">
        <v>0.14911682755400094</v>
      </c>
      <c r="Q2291" t="s">
        <v>159</v>
      </c>
    </row>
    <row r="2292" spans="9:17" x14ac:dyDescent="0.45">
      <c r="I2292" t="s">
        <v>205</v>
      </c>
      <c r="J2292" t="s">
        <v>160</v>
      </c>
      <c r="K2292">
        <v>1.7500427891911186E-2</v>
      </c>
      <c r="L2292" t="s">
        <v>159</v>
      </c>
      <c r="N2292" t="s">
        <v>248</v>
      </c>
      <c r="O2292" t="s">
        <v>160</v>
      </c>
      <c r="P2292">
        <v>1.7109192499504374E-2</v>
      </c>
      <c r="Q2292" t="s">
        <v>159</v>
      </c>
    </row>
    <row r="2293" spans="9:17" x14ac:dyDescent="0.45">
      <c r="I2293" t="s">
        <v>205</v>
      </c>
      <c r="J2293" t="s">
        <v>161</v>
      </c>
      <c r="K2293">
        <v>0.38886140983129575</v>
      </c>
      <c r="L2293" t="s">
        <v>159</v>
      </c>
      <c r="N2293" t="s">
        <v>248</v>
      </c>
      <c r="O2293" t="s">
        <v>161</v>
      </c>
      <c r="P2293">
        <v>0.14765711638985576</v>
      </c>
      <c r="Q2293" t="s">
        <v>159</v>
      </c>
    </row>
    <row r="2294" spans="9:17" x14ac:dyDescent="0.45">
      <c r="I2294" t="s">
        <v>205</v>
      </c>
      <c r="J2294" t="s">
        <v>287</v>
      </c>
      <c r="K2294">
        <v>3.4860413564796869E-2</v>
      </c>
      <c r="L2294" t="s">
        <v>159</v>
      </c>
      <c r="N2294" t="s">
        <v>248</v>
      </c>
      <c r="O2294" t="s">
        <v>287</v>
      </c>
      <c r="P2294">
        <v>1.8872503736247707E-2</v>
      </c>
      <c r="Q2294" t="s">
        <v>159</v>
      </c>
    </row>
    <row r="2295" spans="9:17" x14ac:dyDescent="0.45">
      <c r="I2295" t="s">
        <v>205</v>
      </c>
      <c r="J2295" t="s">
        <v>288</v>
      </c>
      <c r="K2295">
        <v>2.1019885868655823E-2</v>
      </c>
      <c r="L2295" t="s">
        <v>159</v>
      </c>
      <c r="N2295" t="s">
        <v>248</v>
      </c>
      <c r="O2295" t="s">
        <v>288</v>
      </c>
      <c r="P2295">
        <v>2.02630337343623E-2</v>
      </c>
      <c r="Q2295" t="s">
        <v>159</v>
      </c>
    </row>
    <row r="2296" spans="9:17" x14ac:dyDescent="0.45">
      <c r="I2296" t="s">
        <v>205</v>
      </c>
      <c r="J2296" t="s">
        <v>308</v>
      </c>
      <c r="K2296">
        <v>6.4699445458925794E-3</v>
      </c>
      <c r="L2296" t="s">
        <v>159</v>
      </c>
      <c r="N2296" t="s">
        <v>248</v>
      </c>
      <c r="O2296" t="s">
        <v>308</v>
      </c>
      <c r="P2296">
        <v>0.1233876276596431</v>
      </c>
      <c r="Q2296" t="s">
        <v>159</v>
      </c>
    </row>
    <row r="2297" spans="9:17" x14ac:dyDescent="0.45">
      <c r="I2297" t="s">
        <v>205</v>
      </c>
      <c r="J2297" t="s">
        <v>162</v>
      </c>
      <c r="K2297">
        <v>0</v>
      </c>
      <c r="L2297" t="s">
        <v>159</v>
      </c>
      <c r="N2297" t="s">
        <v>248</v>
      </c>
      <c r="O2297" t="s">
        <v>162</v>
      </c>
      <c r="P2297">
        <v>2.2333988559790349E-2</v>
      </c>
      <c r="Q2297" t="s">
        <v>159</v>
      </c>
    </row>
    <row r="2298" spans="9:17" x14ac:dyDescent="0.45">
      <c r="I2298" t="s">
        <v>205</v>
      </c>
      <c r="J2298" t="s">
        <v>163</v>
      </c>
      <c r="K2298">
        <v>0</v>
      </c>
      <c r="L2298" t="s">
        <v>159</v>
      </c>
      <c r="N2298" t="s">
        <v>248</v>
      </c>
      <c r="O2298" t="s">
        <v>163</v>
      </c>
      <c r="P2298">
        <v>3.1004816648689463E-3</v>
      </c>
      <c r="Q2298" t="s">
        <v>159</v>
      </c>
    </row>
    <row r="2299" spans="9:17" x14ac:dyDescent="0.45">
      <c r="I2299" t="s">
        <v>205</v>
      </c>
      <c r="J2299" t="s">
        <v>164</v>
      </c>
      <c r="K2299">
        <v>5.1009168467523819E-2</v>
      </c>
      <c r="L2299" t="s">
        <v>159</v>
      </c>
      <c r="N2299" t="s">
        <v>248</v>
      </c>
      <c r="O2299" t="s">
        <v>164</v>
      </c>
      <c r="P2299">
        <v>2.6038998019060275E-2</v>
      </c>
      <c r="Q2299" t="s">
        <v>159</v>
      </c>
    </row>
    <row r="2300" spans="9:17" x14ac:dyDescent="0.45">
      <c r="I2300" t="s">
        <v>205</v>
      </c>
      <c r="J2300" t="s">
        <v>289</v>
      </c>
      <c r="K2300">
        <v>4.3448135682919555E-3</v>
      </c>
      <c r="L2300" t="s">
        <v>159</v>
      </c>
      <c r="N2300" t="s">
        <v>248</v>
      </c>
      <c r="O2300" t="s">
        <v>289</v>
      </c>
      <c r="P2300">
        <v>2.7840397084024646E-3</v>
      </c>
      <c r="Q2300" t="s">
        <v>159</v>
      </c>
    </row>
    <row r="2301" spans="9:17" x14ac:dyDescent="0.45">
      <c r="I2301" t="s">
        <v>205</v>
      </c>
      <c r="J2301" t="s">
        <v>290</v>
      </c>
      <c r="K2301">
        <v>4.486269406963119E-4</v>
      </c>
      <c r="L2301" t="s">
        <v>159</v>
      </c>
      <c r="N2301" t="s">
        <v>248</v>
      </c>
      <c r="O2301" t="s">
        <v>290</v>
      </c>
      <c r="P2301">
        <v>2.8785034343106297E-3</v>
      </c>
      <c r="Q2301" t="s">
        <v>159</v>
      </c>
    </row>
    <row r="2302" spans="9:17" x14ac:dyDescent="0.45">
      <c r="I2302" t="s">
        <v>205</v>
      </c>
      <c r="J2302" t="s">
        <v>309</v>
      </c>
      <c r="K2302">
        <v>0</v>
      </c>
      <c r="L2302" t="s">
        <v>159</v>
      </c>
      <c r="N2302" t="s">
        <v>248</v>
      </c>
      <c r="O2302" t="s">
        <v>309</v>
      </c>
      <c r="P2302">
        <v>1.5930320058627045E-2</v>
      </c>
      <c r="Q2302" t="s">
        <v>159</v>
      </c>
    </row>
    <row r="2303" spans="9:17" x14ac:dyDescent="0.45">
      <c r="I2303" t="s">
        <v>205</v>
      </c>
      <c r="J2303" t="s">
        <v>346</v>
      </c>
      <c r="K2303">
        <v>0</v>
      </c>
      <c r="L2303" t="s">
        <v>159</v>
      </c>
      <c r="N2303" t="s">
        <v>248</v>
      </c>
      <c r="O2303" t="s">
        <v>346</v>
      </c>
      <c r="P2303">
        <v>4.027199204678195E-6</v>
      </c>
      <c r="Q2303" t="s">
        <v>159</v>
      </c>
    </row>
    <row r="2304" spans="9:17" x14ac:dyDescent="0.45">
      <c r="I2304" t="s">
        <v>205</v>
      </c>
      <c r="J2304" t="s">
        <v>347</v>
      </c>
      <c r="K2304">
        <v>0</v>
      </c>
      <c r="L2304" t="s">
        <v>159</v>
      </c>
      <c r="N2304" t="s">
        <v>248</v>
      </c>
      <c r="O2304" t="s">
        <v>347</v>
      </c>
      <c r="P2304">
        <v>3.96615787890517E-6</v>
      </c>
      <c r="Q2304" t="s">
        <v>159</v>
      </c>
    </row>
    <row r="2305" spans="9:17" x14ac:dyDescent="0.45">
      <c r="I2305" t="s">
        <v>205</v>
      </c>
      <c r="J2305" t="s">
        <v>348</v>
      </c>
      <c r="K2305">
        <v>0</v>
      </c>
      <c r="L2305" t="s">
        <v>159</v>
      </c>
      <c r="N2305" t="s">
        <v>248</v>
      </c>
      <c r="O2305" t="s">
        <v>348</v>
      </c>
      <c r="P2305">
        <v>2.6445428840425295E-6</v>
      </c>
      <c r="Q2305" t="s">
        <v>159</v>
      </c>
    </row>
    <row r="2306" spans="9:17" x14ac:dyDescent="0.45">
      <c r="I2306" t="s">
        <v>205</v>
      </c>
      <c r="J2306" t="s">
        <v>349</v>
      </c>
      <c r="K2306">
        <v>0</v>
      </c>
      <c r="L2306" t="s">
        <v>159</v>
      </c>
      <c r="N2306" t="s">
        <v>248</v>
      </c>
      <c r="O2306" t="s">
        <v>349</v>
      </c>
      <c r="P2306">
        <v>1.6228875705183132E-6</v>
      </c>
      <c r="Q2306" t="s">
        <v>159</v>
      </c>
    </row>
    <row r="2307" spans="9:17" x14ac:dyDescent="0.45">
      <c r="I2307" t="s">
        <v>205</v>
      </c>
      <c r="J2307" t="s">
        <v>350</v>
      </c>
      <c r="K2307">
        <v>0</v>
      </c>
      <c r="L2307" t="s">
        <v>159</v>
      </c>
      <c r="N2307" t="s">
        <v>248</v>
      </c>
      <c r="O2307" t="s">
        <v>350</v>
      </c>
      <c r="P2307">
        <v>1.5492483703072416E-6</v>
      </c>
      <c r="Q2307" t="s">
        <v>159</v>
      </c>
    </row>
    <row r="2308" spans="9:17" x14ac:dyDescent="0.45">
      <c r="I2308" t="s">
        <v>205</v>
      </c>
      <c r="J2308" t="s">
        <v>351</v>
      </c>
      <c r="K2308">
        <v>0</v>
      </c>
      <c r="L2308" t="s">
        <v>159</v>
      </c>
      <c r="N2308" t="s">
        <v>248</v>
      </c>
      <c r="O2308" t="s">
        <v>351</v>
      </c>
      <c r="P2308">
        <v>1.9333110761502324E-6</v>
      </c>
      <c r="Q2308" t="s">
        <v>159</v>
      </c>
    </row>
    <row r="2309" spans="9:17" x14ac:dyDescent="0.45">
      <c r="I2309" t="s">
        <v>205</v>
      </c>
      <c r="J2309" t="s">
        <v>352</v>
      </c>
      <c r="K2309">
        <v>0</v>
      </c>
      <c r="L2309" t="s">
        <v>159</v>
      </c>
      <c r="N2309" t="s">
        <v>248</v>
      </c>
      <c r="O2309" t="s">
        <v>352</v>
      </c>
      <c r="P2309">
        <v>2.8040343268922183E-6</v>
      </c>
      <c r="Q2309" t="s">
        <v>159</v>
      </c>
    </row>
    <row r="2310" spans="9:17" x14ac:dyDescent="0.45">
      <c r="I2310" t="s">
        <v>205</v>
      </c>
      <c r="J2310" t="s">
        <v>353</v>
      </c>
      <c r="K2310">
        <v>0</v>
      </c>
      <c r="L2310" t="s">
        <v>159</v>
      </c>
      <c r="N2310" t="s">
        <v>248</v>
      </c>
      <c r="O2310" t="s">
        <v>353</v>
      </c>
      <c r="P2310">
        <v>5.4417698660667842E-6</v>
      </c>
      <c r="Q2310" t="s">
        <v>159</v>
      </c>
    </row>
    <row r="2311" spans="9:17" x14ac:dyDescent="0.45">
      <c r="I2311" t="s">
        <v>205</v>
      </c>
      <c r="J2311" t="s">
        <v>354</v>
      </c>
      <c r="K2311">
        <v>1.417333872353894E-4</v>
      </c>
      <c r="L2311" t="s">
        <v>159</v>
      </c>
      <c r="N2311" t="s">
        <v>248</v>
      </c>
      <c r="O2311" t="s">
        <v>354</v>
      </c>
      <c r="P2311">
        <v>7.1755250850446196E-6</v>
      </c>
      <c r="Q2311" t="s">
        <v>159</v>
      </c>
    </row>
    <row r="2312" spans="9:17" x14ac:dyDescent="0.45">
      <c r="I2312" t="s">
        <v>205</v>
      </c>
      <c r="J2312" t="s">
        <v>355</v>
      </c>
      <c r="K2312">
        <v>1.9307800905594134E-4</v>
      </c>
      <c r="L2312" t="s">
        <v>159</v>
      </c>
      <c r="N2312" t="s">
        <v>248</v>
      </c>
      <c r="O2312" t="s">
        <v>355</v>
      </c>
      <c r="P2312">
        <v>4.1127030698033401E-6</v>
      </c>
      <c r="Q2312" t="s">
        <v>159</v>
      </c>
    </row>
    <row r="2313" spans="9:17" x14ac:dyDescent="0.45">
      <c r="I2313" t="s">
        <v>205</v>
      </c>
      <c r="J2313" t="s">
        <v>356</v>
      </c>
      <c r="K2313">
        <v>2.0207597972495505E-4</v>
      </c>
      <c r="L2313" t="s">
        <v>159</v>
      </c>
      <c r="N2313" t="s">
        <v>248</v>
      </c>
      <c r="O2313" t="s">
        <v>356</v>
      </c>
      <c r="P2313">
        <v>2.3447912164265666E-7</v>
      </c>
      <c r="Q2313" t="s">
        <v>159</v>
      </c>
    </row>
    <row r="2314" spans="9:17" x14ac:dyDescent="0.45">
      <c r="I2314" t="s">
        <v>205</v>
      </c>
      <c r="J2314" t="s">
        <v>357</v>
      </c>
      <c r="K2314">
        <v>2.17907355190475E-4</v>
      </c>
      <c r="L2314" t="s">
        <v>159</v>
      </c>
      <c r="N2314" t="s">
        <v>248</v>
      </c>
      <c r="O2314" t="s">
        <v>357</v>
      </c>
      <c r="P2314">
        <v>2.2159253802679849E-7</v>
      </c>
      <c r="Q2314" t="s">
        <v>159</v>
      </c>
    </row>
    <row r="2315" spans="9:17" x14ac:dyDescent="0.45">
      <c r="I2315" t="s">
        <v>205</v>
      </c>
      <c r="J2315" t="s">
        <v>358</v>
      </c>
      <c r="K2315">
        <v>2.4946726321097896E-4</v>
      </c>
      <c r="L2315" t="s">
        <v>159</v>
      </c>
      <c r="N2315" t="s">
        <v>248</v>
      </c>
      <c r="O2315" t="s">
        <v>358</v>
      </c>
      <c r="P2315">
        <v>4.5654691485940663E-8</v>
      </c>
      <c r="Q2315" t="s">
        <v>159</v>
      </c>
    </row>
    <row r="2316" spans="9:17" x14ac:dyDescent="0.45">
      <c r="I2316" t="s">
        <v>205</v>
      </c>
      <c r="J2316" t="s">
        <v>359</v>
      </c>
      <c r="K2316">
        <v>2.6450069454748163E-4</v>
      </c>
      <c r="L2316" t="s">
        <v>159</v>
      </c>
      <c r="N2316" t="s">
        <v>248</v>
      </c>
      <c r="O2316" t="s">
        <v>359</v>
      </c>
      <c r="P2316">
        <v>2.8964734769938681E-8</v>
      </c>
      <c r="Q2316" t="s">
        <v>159</v>
      </c>
    </row>
    <row r="2317" spans="9:17" x14ac:dyDescent="0.45">
      <c r="I2317" t="s">
        <v>205</v>
      </c>
      <c r="J2317" t="s">
        <v>360</v>
      </c>
      <c r="K2317">
        <v>2.2472711134485232E-4</v>
      </c>
      <c r="L2317" t="s">
        <v>159</v>
      </c>
      <c r="N2317" t="s">
        <v>248</v>
      </c>
      <c r="O2317" t="s">
        <v>360</v>
      </c>
      <c r="P2317">
        <v>3.0226493335891885E-8</v>
      </c>
      <c r="Q2317" t="s">
        <v>159</v>
      </c>
    </row>
    <row r="2318" spans="9:17" x14ac:dyDescent="0.45">
      <c r="I2318" t="s">
        <v>205</v>
      </c>
      <c r="J2318" t="s">
        <v>361</v>
      </c>
      <c r="K2318">
        <v>1.9760827734391327E-4</v>
      </c>
      <c r="L2318" t="s">
        <v>159</v>
      </c>
      <c r="N2318" t="s">
        <v>248</v>
      </c>
      <c r="O2318" t="s">
        <v>361</v>
      </c>
      <c r="P2318">
        <v>3.5813460124087857E-8</v>
      </c>
      <c r="Q2318" t="s">
        <v>159</v>
      </c>
    </row>
    <row r="2319" spans="9:17" x14ac:dyDescent="0.45">
      <c r="I2319" t="s">
        <v>205</v>
      </c>
      <c r="J2319" t="s">
        <v>362</v>
      </c>
      <c r="K2319">
        <v>1.6945504945821972E-4</v>
      </c>
      <c r="L2319" t="s">
        <v>159</v>
      </c>
      <c r="N2319" t="s">
        <v>248</v>
      </c>
      <c r="O2319" t="s">
        <v>362</v>
      </c>
      <c r="P2319">
        <v>4.1365506294153111E-8</v>
      </c>
      <c r="Q2319" t="s">
        <v>159</v>
      </c>
    </row>
    <row r="2320" spans="9:17" x14ac:dyDescent="0.45">
      <c r="I2320" t="s">
        <v>205</v>
      </c>
      <c r="J2320" t="s">
        <v>363</v>
      </c>
      <c r="K2320">
        <v>1.4841101322041306E-4</v>
      </c>
      <c r="L2320" t="s">
        <v>159</v>
      </c>
      <c r="N2320" t="s">
        <v>248</v>
      </c>
      <c r="O2320" t="s">
        <v>363</v>
      </c>
      <c r="P2320">
        <v>1.3083786399329487E-7</v>
      </c>
      <c r="Q2320" t="s">
        <v>159</v>
      </c>
    </row>
    <row r="2321" spans="9:17" x14ac:dyDescent="0.45">
      <c r="I2321" t="s">
        <v>205</v>
      </c>
      <c r="J2321" t="s">
        <v>364</v>
      </c>
      <c r="K2321">
        <v>2.6766578247573542E-6</v>
      </c>
      <c r="L2321" t="s">
        <v>159</v>
      </c>
      <c r="N2321" t="s">
        <v>248</v>
      </c>
      <c r="O2321" t="s">
        <v>364</v>
      </c>
      <c r="P2321">
        <v>5.3211799604585181E-7</v>
      </c>
      <c r="Q2321" t="s">
        <v>159</v>
      </c>
    </row>
    <row r="2322" spans="9:17" x14ac:dyDescent="0.45">
      <c r="I2322" t="s">
        <v>205</v>
      </c>
      <c r="J2322" t="s">
        <v>365</v>
      </c>
      <c r="K2322">
        <v>0</v>
      </c>
      <c r="L2322" t="s">
        <v>159</v>
      </c>
      <c r="N2322" t="s">
        <v>248</v>
      </c>
      <c r="O2322" t="s">
        <v>365</v>
      </c>
      <c r="P2322">
        <v>1.4678961656509015E-6</v>
      </c>
      <c r="Q2322" t="s">
        <v>159</v>
      </c>
    </row>
    <row r="2323" spans="9:17" x14ac:dyDescent="0.45">
      <c r="I2323" t="s">
        <v>205</v>
      </c>
      <c r="J2323" t="s">
        <v>366</v>
      </c>
      <c r="K2323">
        <v>0</v>
      </c>
      <c r="L2323" t="s">
        <v>159</v>
      </c>
      <c r="N2323" t="s">
        <v>248</v>
      </c>
      <c r="O2323" t="s">
        <v>366</v>
      </c>
      <c r="P2323">
        <v>2.5016017070527243E-6</v>
      </c>
      <c r="Q2323" t="s">
        <v>159</v>
      </c>
    </row>
    <row r="2324" spans="9:17" x14ac:dyDescent="0.45">
      <c r="I2324" t="s">
        <v>205</v>
      </c>
      <c r="J2324" t="s">
        <v>367</v>
      </c>
      <c r="K2324">
        <v>0</v>
      </c>
      <c r="L2324" t="s">
        <v>159</v>
      </c>
      <c r="N2324" t="s">
        <v>248</v>
      </c>
      <c r="O2324" t="s">
        <v>367</v>
      </c>
      <c r="P2324">
        <v>3.0922191868830024E-6</v>
      </c>
      <c r="Q2324" t="s">
        <v>159</v>
      </c>
    </row>
    <row r="2325" spans="9:17" x14ac:dyDescent="0.45">
      <c r="I2325" t="s">
        <v>205</v>
      </c>
      <c r="J2325" t="s">
        <v>368</v>
      </c>
      <c r="K2325">
        <v>0</v>
      </c>
      <c r="L2325" t="s">
        <v>159</v>
      </c>
      <c r="N2325" t="s">
        <v>248</v>
      </c>
      <c r="O2325" t="s">
        <v>368</v>
      </c>
      <c r="P2325">
        <v>2.873496113498793E-6</v>
      </c>
      <c r="Q2325" t="s">
        <v>159</v>
      </c>
    </row>
    <row r="2326" spans="9:17" x14ac:dyDescent="0.45">
      <c r="I2326" t="s">
        <v>205</v>
      </c>
      <c r="J2326" t="s">
        <v>369</v>
      </c>
      <c r="K2326">
        <v>0</v>
      </c>
      <c r="L2326" t="s">
        <v>159</v>
      </c>
      <c r="N2326" t="s">
        <v>248</v>
      </c>
      <c r="O2326" t="s">
        <v>369</v>
      </c>
      <c r="P2326">
        <v>2.0798586429768012E-6</v>
      </c>
      <c r="Q2326" t="s">
        <v>159</v>
      </c>
    </row>
    <row r="2327" spans="9:17" x14ac:dyDescent="0.45">
      <c r="I2327" t="s">
        <v>205</v>
      </c>
      <c r="J2327" t="s">
        <v>165</v>
      </c>
      <c r="K2327">
        <v>0</v>
      </c>
      <c r="L2327" t="s">
        <v>159</v>
      </c>
      <c r="N2327" t="s">
        <v>248</v>
      </c>
      <c r="O2327" t="s">
        <v>165</v>
      </c>
      <c r="P2327">
        <v>2.1221411128739567E-2</v>
      </c>
      <c r="Q2327" t="s">
        <v>159</v>
      </c>
    </row>
    <row r="2328" spans="9:17" x14ac:dyDescent="0.45">
      <c r="I2328" t="s">
        <v>205</v>
      </c>
      <c r="J2328" t="s">
        <v>166</v>
      </c>
      <c r="K2328">
        <v>4.0803535280736333E-6</v>
      </c>
      <c r="L2328" t="s">
        <v>159</v>
      </c>
      <c r="N2328" t="s">
        <v>248</v>
      </c>
      <c r="O2328" t="s">
        <v>166</v>
      </c>
      <c r="P2328">
        <v>2.8881727009211111E-3</v>
      </c>
      <c r="Q2328" t="s">
        <v>159</v>
      </c>
    </row>
    <row r="2329" spans="9:17" x14ac:dyDescent="0.45">
      <c r="I2329" t="s">
        <v>205</v>
      </c>
      <c r="J2329" t="s">
        <v>167</v>
      </c>
      <c r="K2329">
        <v>6.2172265567863642E-2</v>
      </c>
      <c r="L2329" t="s">
        <v>159</v>
      </c>
      <c r="N2329" t="s">
        <v>248</v>
      </c>
      <c r="O2329" t="s">
        <v>167</v>
      </c>
      <c r="P2329">
        <v>3.5263974606656159E-2</v>
      </c>
      <c r="Q2329" t="s">
        <v>159</v>
      </c>
    </row>
    <row r="2330" spans="9:17" x14ac:dyDescent="0.45">
      <c r="I2330" t="s">
        <v>205</v>
      </c>
      <c r="J2330" t="s">
        <v>291</v>
      </c>
      <c r="K2330">
        <v>5.280401750397911E-3</v>
      </c>
      <c r="L2330" t="s">
        <v>159</v>
      </c>
      <c r="N2330" t="s">
        <v>248</v>
      </c>
      <c r="O2330" t="s">
        <v>291</v>
      </c>
      <c r="P2330">
        <v>4.1348054317815507E-3</v>
      </c>
      <c r="Q2330" t="s">
        <v>159</v>
      </c>
    </row>
    <row r="2331" spans="9:17" x14ac:dyDescent="0.45">
      <c r="I2331" t="s">
        <v>205</v>
      </c>
      <c r="J2331" t="s">
        <v>292</v>
      </c>
      <c r="K2331">
        <v>3.6904315531979363E-3</v>
      </c>
      <c r="L2331" t="s">
        <v>159</v>
      </c>
      <c r="N2331" t="s">
        <v>248</v>
      </c>
      <c r="O2331" t="s">
        <v>292</v>
      </c>
      <c r="P2331">
        <v>4.0226814414240806E-3</v>
      </c>
      <c r="Q2331" t="s">
        <v>159</v>
      </c>
    </row>
    <row r="2332" spans="9:17" x14ac:dyDescent="0.45">
      <c r="I2332" t="s">
        <v>205</v>
      </c>
      <c r="J2332" t="s">
        <v>310</v>
      </c>
      <c r="K2332">
        <v>0</v>
      </c>
      <c r="L2332" t="s">
        <v>159</v>
      </c>
      <c r="N2332" t="s">
        <v>248</v>
      </c>
      <c r="O2332" t="s">
        <v>310</v>
      </c>
      <c r="P2332">
        <v>1.8577722310937381E-2</v>
      </c>
      <c r="Q2332" t="s">
        <v>159</v>
      </c>
    </row>
    <row r="2333" spans="9:17" x14ac:dyDescent="0.45">
      <c r="I2333" t="s">
        <v>205</v>
      </c>
      <c r="J2333" t="s">
        <v>293</v>
      </c>
      <c r="K2333">
        <v>0</v>
      </c>
      <c r="L2333" t="s">
        <v>159</v>
      </c>
      <c r="N2333" t="s">
        <v>248</v>
      </c>
      <c r="O2333" t="s">
        <v>293</v>
      </c>
      <c r="P2333">
        <v>4.3823020551392328E-3</v>
      </c>
      <c r="Q2333" t="s">
        <v>159</v>
      </c>
    </row>
    <row r="2334" spans="9:17" x14ac:dyDescent="0.45">
      <c r="I2334" t="s">
        <v>205</v>
      </c>
      <c r="J2334" t="s">
        <v>294</v>
      </c>
      <c r="K2334">
        <v>4.2348754721427428E-4</v>
      </c>
      <c r="L2334" t="s">
        <v>159</v>
      </c>
      <c r="N2334" t="s">
        <v>248</v>
      </c>
      <c r="O2334" t="s">
        <v>294</v>
      </c>
      <c r="P2334">
        <v>7.5643787381197937E-4</v>
      </c>
      <c r="Q2334" t="s">
        <v>159</v>
      </c>
    </row>
    <row r="2335" spans="9:17" x14ac:dyDescent="0.45">
      <c r="I2335" t="s">
        <v>205</v>
      </c>
      <c r="J2335" t="s">
        <v>295</v>
      </c>
      <c r="K2335">
        <v>1.5389262559294774E-2</v>
      </c>
      <c r="L2335" t="s">
        <v>159</v>
      </c>
      <c r="N2335" t="s">
        <v>248</v>
      </c>
      <c r="O2335" t="s">
        <v>295</v>
      </c>
      <c r="P2335">
        <v>7.5641526325008817E-3</v>
      </c>
      <c r="Q2335" t="s">
        <v>159</v>
      </c>
    </row>
    <row r="2336" spans="9:17" x14ac:dyDescent="0.45">
      <c r="I2336" t="s">
        <v>205</v>
      </c>
      <c r="J2336" t="s">
        <v>296</v>
      </c>
      <c r="K2336">
        <v>1.4621479977275031E-3</v>
      </c>
      <c r="L2336" t="s">
        <v>159</v>
      </c>
      <c r="N2336" t="s">
        <v>248</v>
      </c>
      <c r="O2336" t="s">
        <v>296</v>
      </c>
      <c r="P2336">
        <v>7.4306327135250229E-4</v>
      </c>
      <c r="Q2336" t="s">
        <v>159</v>
      </c>
    </row>
    <row r="2337" spans="9:17" x14ac:dyDescent="0.45">
      <c r="I2337" t="s">
        <v>205</v>
      </c>
      <c r="J2337" t="s">
        <v>297</v>
      </c>
      <c r="K2337">
        <v>9.1548934298922222E-4</v>
      </c>
      <c r="L2337" t="s">
        <v>159</v>
      </c>
      <c r="N2337" t="s">
        <v>248</v>
      </c>
      <c r="O2337" t="s">
        <v>297</v>
      </c>
      <c r="P2337">
        <v>6.9375045832191051E-4</v>
      </c>
      <c r="Q2337" t="s">
        <v>159</v>
      </c>
    </row>
    <row r="2338" spans="9:17" x14ac:dyDescent="0.45">
      <c r="I2338" t="s">
        <v>205</v>
      </c>
      <c r="J2338" t="s">
        <v>311</v>
      </c>
      <c r="K2338">
        <v>0</v>
      </c>
      <c r="L2338" t="s">
        <v>159</v>
      </c>
      <c r="N2338" t="s">
        <v>248</v>
      </c>
      <c r="O2338" t="s">
        <v>311</v>
      </c>
      <c r="P2338">
        <v>3.3532262186014455E-3</v>
      </c>
      <c r="Q2338" t="s">
        <v>159</v>
      </c>
    </row>
    <row r="2339" spans="9:17" x14ac:dyDescent="0.45">
      <c r="I2339" t="s">
        <v>205</v>
      </c>
      <c r="J2339" t="s">
        <v>298</v>
      </c>
      <c r="K2339">
        <v>3.6470061014117414E-3</v>
      </c>
      <c r="L2339" t="s">
        <v>159</v>
      </c>
      <c r="N2339" t="s">
        <v>248</v>
      </c>
      <c r="O2339" t="s">
        <v>298</v>
      </c>
      <c r="P2339">
        <v>7.6651668844340257E-2</v>
      </c>
      <c r="Q2339" t="s">
        <v>159</v>
      </c>
    </row>
    <row r="2340" spans="9:17" x14ac:dyDescent="0.45">
      <c r="I2340" t="s">
        <v>205</v>
      </c>
      <c r="J2340" t="s">
        <v>299</v>
      </c>
      <c r="K2340">
        <v>1.5556967348496282E-2</v>
      </c>
      <c r="L2340" t="s">
        <v>159</v>
      </c>
      <c r="N2340" t="s">
        <v>248</v>
      </c>
      <c r="O2340" t="s">
        <v>299</v>
      </c>
      <c r="P2340">
        <v>8.8356799955103833E-3</v>
      </c>
      <c r="Q2340" t="s">
        <v>159</v>
      </c>
    </row>
    <row r="2341" spans="9:17" x14ac:dyDescent="0.45">
      <c r="I2341" t="s">
        <v>205</v>
      </c>
      <c r="J2341" t="s">
        <v>300</v>
      </c>
      <c r="K2341">
        <v>0.24815041636957397</v>
      </c>
      <c r="L2341" t="s">
        <v>159</v>
      </c>
      <c r="N2341" t="s">
        <v>248</v>
      </c>
      <c r="O2341" t="s">
        <v>300</v>
      </c>
      <c r="P2341">
        <v>9.0967680871839984E-2</v>
      </c>
      <c r="Q2341" t="s">
        <v>159</v>
      </c>
    </row>
    <row r="2342" spans="9:17" x14ac:dyDescent="0.45">
      <c r="I2342" t="s">
        <v>205</v>
      </c>
      <c r="J2342" t="s">
        <v>301</v>
      </c>
      <c r="K2342">
        <v>2.1413441794287016E-2</v>
      </c>
      <c r="L2342" t="s">
        <v>159</v>
      </c>
      <c r="N2342" t="s">
        <v>248</v>
      </c>
      <c r="O2342" t="s">
        <v>301</v>
      </c>
      <c r="P2342">
        <v>1.2194204335100572E-2</v>
      </c>
      <c r="Q2342" t="s">
        <v>159</v>
      </c>
    </row>
    <row r="2343" spans="9:17" x14ac:dyDescent="0.45">
      <c r="I2343" t="s">
        <v>205</v>
      </c>
      <c r="J2343" t="s">
        <v>302</v>
      </c>
      <c r="K2343">
        <v>1.3349154049470499E-2</v>
      </c>
      <c r="L2343" t="s">
        <v>159</v>
      </c>
      <c r="N2343" t="s">
        <v>248</v>
      </c>
      <c r="O2343" t="s">
        <v>302</v>
      </c>
      <c r="P2343">
        <v>1.2494073938908537E-2</v>
      </c>
      <c r="Q2343" t="s">
        <v>159</v>
      </c>
    </row>
    <row r="2344" spans="9:17" x14ac:dyDescent="0.45">
      <c r="I2344" t="s">
        <v>205</v>
      </c>
      <c r="J2344" t="s">
        <v>312</v>
      </c>
      <c r="K2344">
        <v>1.4995024872703616E-4</v>
      </c>
      <c r="L2344" t="s">
        <v>159</v>
      </c>
      <c r="N2344" t="s">
        <v>248</v>
      </c>
      <c r="O2344" t="s">
        <v>312</v>
      </c>
      <c r="P2344">
        <v>6.8965110969486251E-2</v>
      </c>
      <c r="Q2344" t="s">
        <v>159</v>
      </c>
    </row>
    <row r="2345" spans="9:17" x14ac:dyDescent="0.45">
      <c r="I2345" t="s">
        <v>205</v>
      </c>
      <c r="J2345" t="s">
        <v>313</v>
      </c>
      <c r="K2345">
        <v>2.165805520593817E-3</v>
      </c>
      <c r="L2345" t="s">
        <v>159</v>
      </c>
      <c r="N2345" t="s">
        <v>248</v>
      </c>
      <c r="O2345" t="s">
        <v>313</v>
      </c>
      <c r="P2345">
        <v>2.6066597921501868E-2</v>
      </c>
      <c r="Q2345" t="s">
        <v>159</v>
      </c>
    </row>
    <row r="2346" spans="9:17" x14ac:dyDescent="0.45">
      <c r="I2346" t="s">
        <v>205</v>
      </c>
      <c r="J2346" t="s">
        <v>314</v>
      </c>
      <c r="K2346">
        <v>3.9920911044802948E-3</v>
      </c>
      <c r="L2346" t="s">
        <v>159</v>
      </c>
      <c r="N2346" t="s">
        <v>248</v>
      </c>
      <c r="O2346" t="s">
        <v>314</v>
      </c>
      <c r="P2346">
        <v>2.4061251616798061E-3</v>
      </c>
      <c r="Q2346" t="s">
        <v>159</v>
      </c>
    </row>
    <row r="2347" spans="9:17" x14ac:dyDescent="0.45">
      <c r="I2347" t="s">
        <v>205</v>
      </c>
      <c r="J2347" t="s">
        <v>315</v>
      </c>
      <c r="K2347">
        <v>6.4115260667153576E-2</v>
      </c>
      <c r="L2347" t="s">
        <v>159</v>
      </c>
      <c r="N2347" t="s">
        <v>248</v>
      </c>
      <c r="O2347" t="s">
        <v>315</v>
      </c>
      <c r="P2347">
        <v>1.7609519353173564E-2</v>
      </c>
      <c r="Q2347" t="s">
        <v>159</v>
      </c>
    </row>
    <row r="2348" spans="9:17" x14ac:dyDescent="0.45">
      <c r="I2348" t="s">
        <v>205</v>
      </c>
      <c r="J2348" t="s">
        <v>316</v>
      </c>
      <c r="K2348">
        <v>5.269888556695683E-3</v>
      </c>
      <c r="L2348" t="s">
        <v>159</v>
      </c>
      <c r="N2348" t="s">
        <v>248</v>
      </c>
      <c r="O2348" t="s">
        <v>316</v>
      </c>
      <c r="P2348">
        <v>2.8529464442633612E-3</v>
      </c>
      <c r="Q2348" t="s">
        <v>159</v>
      </c>
    </row>
    <row r="2349" spans="9:17" x14ac:dyDescent="0.45">
      <c r="I2349" t="s">
        <v>205</v>
      </c>
      <c r="J2349" t="s">
        <v>317</v>
      </c>
      <c r="K2349">
        <v>3.780574270239341E-3</v>
      </c>
      <c r="L2349" t="s">
        <v>159</v>
      </c>
      <c r="N2349" t="s">
        <v>248</v>
      </c>
      <c r="O2349" t="s">
        <v>317</v>
      </c>
      <c r="P2349">
        <v>3.3831975564062372E-3</v>
      </c>
      <c r="Q2349" t="s">
        <v>159</v>
      </c>
    </row>
    <row r="2350" spans="9:17" x14ac:dyDescent="0.45">
      <c r="I2350" t="s">
        <v>205</v>
      </c>
      <c r="J2350" t="s">
        <v>318</v>
      </c>
      <c r="K2350">
        <v>2.4900326149633789E-3</v>
      </c>
      <c r="L2350" t="s">
        <v>159</v>
      </c>
      <c r="N2350" t="s">
        <v>248</v>
      </c>
      <c r="O2350" t="s">
        <v>318</v>
      </c>
      <c r="P2350">
        <v>2.4450267955369649E-2</v>
      </c>
      <c r="Q2350" t="s">
        <v>159</v>
      </c>
    </row>
    <row r="2351" spans="9:17" x14ac:dyDescent="0.45">
      <c r="I2351" t="s">
        <v>206</v>
      </c>
      <c r="J2351" t="s">
        <v>158</v>
      </c>
      <c r="K2351">
        <v>8.3985325403761451E-4</v>
      </c>
      <c r="L2351" t="s">
        <v>159</v>
      </c>
      <c r="N2351" t="s">
        <v>249</v>
      </c>
      <c r="O2351" t="s">
        <v>158</v>
      </c>
      <c r="P2351">
        <v>0.13950628934517048</v>
      </c>
      <c r="Q2351" t="s">
        <v>159</v>
      </c>
    </row>
    <row r="2352" spans="9:17" x14ac:dyDescent="0.45">
      <c r="I2352" t="s">
        <v>206</v>
      </c>
      <c r="J2352" t="s">
        <v>160</v>
      </c>
      <c r="K2352">
        <v>1.722294595528891E-2</v>
      </c>
      <c r="L2352" t="s">
        <v>159</v>
      </c>
      <c r="N2352" t="s">
        <v>249</v>
      </c>
      <c r="O2352" t="s">
        <v>160</v>
      </c>
      <c r="P2352">
        <v>1.5256670870797446E-2</v>
      </c>
      <c r="Q2352" t="s">
        <v>159</v>
      </c>
    </row>
    <row r="2353" spans="9:17" x14ac:dyDescent="0.45">
      <c r="I2353" t="s">
        <v>206</v>
      </c>
      <c r="J2353" t="s">
        <v>161</v>
      </c>
      <c r="K2353">
        <v>0.3916072402027384</v>
      </c>
      <c r="L2353" t="s">
        <v>159</v>
      </c>
      <c r="N2353" t="s">
        <v>249</v>
      </c>
      <c r="O2353" t="s">
        <v>161</v>
      </c>
      <c r="P2353">
        <v>0.14385736044576869</v>
      </c>
      <c r="Q2353" t="s">
        <v>159</v>
      </c>
    </row>
    <row r="2354" spans="9:17" x14ac:dyDescent="0.45">
      <c r="I2354" t="s">
        <v>206</v>
      </c>
      <c r="J2354" t="s">
        <v>287</v>
      </c>
      <c r="K2354">
        <v>3.3686699456725581E-2</v>
      </c>
      <c r="L2354" t="s">
        <v>159</v>
      </c>
      <c r="N2354" t="s">
        <v>249</v>
      </c>
      <c r="O2354" t="s">
        <v>287</v>
      </c>
      <c r="P2354">
        <v>1.7294718528847182E-2</v>
      </c>
      <c r="Q2354" t="s">
        <v>159</v>
      </c>
    </row>
    <row r="2355" spans="9:17" x14ac:dyDescent="0.45">
      <c r="I2355" t="s">
        <v>206</v>
      </c>
      <c r="J2355" t="s">
        <v>288</v>
      </c>
      <c r="K2355">
        <v>1.8449712114689345E-2</v>
      </c>
      <c r="L2355" t="s">
        <v>159</v>
      </c>
      <c r="N2355" t="s">
        <v>249</v>
      </c>
      <c r="O2355" t="s">
        <v>288</v>
      </c>
      <c r="P2355">
        <v>1.8183903921583651E-2</v>
      </c>
      <c r="Q2355" t="s">
        <v>159</v>
      </c>
    </row>
    <row r="2356" spans="9:17" x14ac:dyDescent="0.45">
      <c r="I2356" t="s">
        <v>206</v>
      </c>
      <c r="J2356" t="s">
        <v>308</v>
      </c>
      <c r="K2356">
        <v>5.8074244942595129E-3</v>
      </c>
      <c r="L2356" t="s">
        <v>159</v>
      </c>
      <c r="N2356" t="s">
        <v>249</v>
      </c>
      <c r="O2356" t="s">
        <v>308</v>
      </c>
      <c r="P2356">
        <v>0.11991488299415583</v>
      </c>
      <c r="Q2356" t="s">
        <v>159</v>
      </c>
    </row>
    <row r="2357" spans="9:17" x14ac:dyDescent="0.45">
      <c r="I2357" t="s">
        <v>206</v>
      </c>
      <c r="J2357" t="s">
        <v>162</v>
      </c>
      <c r="K2357">
        <v>0</v>
      </c>
      <c r="L2357" t="s">
        <v>159</v>
      </c>
      <c r="N2357" t="s">
        <v>249</v>
      </c>
      <c r="O2357" t="s">
        <v>162</v>
      </c>
      <c r="P2357">
        <v>2.1390741592450746E-2</v>
      </c>
      <c r="Q2357" t="s">
        <v>159</v>
      </c>
    </row>
    <row r="2358" spans="9:17" x14ac:dyDescent="0.45">
      <c r="I2358" t="s">
        <v>206</v>
      </c>
      <c r="J2358" t="s">
        <v>163</v>
      </c>
      <c r="K2358">
        <v>0</v>
      </c>
      <c r="L2358" t="s">
        <v>159</v>
      </c>
      <c r="N2358" t="s">
        <v>249</v>
      </c>
      <c r="O2358" t="s">
        <v>163</v>
      </c>
      <c r="P2358">
        <v>2.9700363384880584E-3</v>
      </c>
      <c r="Q2358" t="s">
        <v>159</v>
      </c>
    </row>
    <row r="2359" spans="9:17" x14ac:dyDescent="0.45">
      <c r="I2359" t="s">
        <v>206</v>
      </c>
      <c r="J2359" t="s">
        <v>164</v>
      </c>
      <c r="K2359">
        <v>5.0223330327100087E-2</v>
      </c>
      <c r="L2359" t="s">
        <v>159</v>
      </c>
      <c r="N2359" t="s">
        <v>249</v>
      </c>
      <c r="O2359" t="s">
        <v>164</v>
      </c>
      <c r="P2359">
        <v>2.578060226940632E-2</v>
      </c>
      <c r="Q2359" t="s">
        <v>159</v>
      </c>
    </row>
    <row r="2360" spans="9:17" x14ac:dyDescent="0.45">
      <c r="I2360" t="s">
        <v>206</v>
      </c>
      <c r="J2360" t="s">
        <v>289</v>
      </c>
      <c r="K2360">
        <v>4.2356125875124082E-3</v>
      </c>
      <c r="L2360" t="s">
        <v>159</v>
      </c>
      <c r="N2360" t="s">
        <v>249</v>
      </c>
      <c r="O2360" t="s">
        <v>289</v>
      </c>
      <c r="P2360">
        <v>2.7053464203508756E-3</v>
      </c>
      <c r="Q2360" t="s">
        <v>159</v>
      </c>
    </row>
    <row r="2361" spans="9:17" x14ac:dyDescent="0.45">
      <c r="I2361" t="s">
        <v>206</v>
      </c>
      <c r="J2361" t="s">
        <v>290</v>
      </c>
      <c r="K2361">
        <v>1.8918761797084221E-6</v>
      </c>
      <c r="L2361" t="s">
        <v>159</v>
      </c>
      <c r="N2361" t="s">
        <v>249</v>
      </c>
      <c r="O2361" t="s">
        <v>290</v>
      </c>
      <c r="P2361">
        <v>2.8888794987612758E-3</v>
      </c>
      <c r="Q2361" t="s">
        <v>159</v>
      </c>
    </row>
    <row r="2362" spans="9:17" x14ac:dyDescent="0.45">
      <c r="I2362" t="s">
        <v>206</v>
      </c>
      <c r="J2362" t="s">
        <v>309</v>
      </c>
      <c r="K2362">
        <v>0</v>
      </c>
      <c r="L2362" t="s">
        <v>159</v>
      </c>
      <c r="N2362" t="s">
        <v>249</v>
      </c>
      <c r="O2362" t="s">
        <v>309</v>
      </c>
      <c r="P2362">
        <v>1.606508053694233E-2</v>
      </c>
      <c r="Q2362" t="s">
        <v>159</v>
      </c>
    </row>
    <row r="2363" spans="9:17" x14ac:dyDescent="0.45">
      <c r="I2363" t="s">
        <v>206</v>
      </c>
      <c r="J2363" t="s">
        <v>346</v>
      </c>
      <c r="K2363">
        <v>0</v>
      </c>
      <c r="L2363" t="s">
        <v>159</v>
      </c>
      <c r="N2363" t="s">
        <v>249</v>
      </c>
      <c r="O2363" t="s">
        <v>346</v>
      </c>
      <c r="P2363">
        <v>5.8923095513866374E-6</v>
      </c>
      <c r="Q2363" t="s">
        <v>159</v>
      </c>
    </row>
    <row r="2364" spans="9:17" x14ac:dyDescent="0.45">
      <c r="I2364" t="s">
        <v>206</v>
      </c>
      <c r="J2364" t="s">
        <v>347</v>
      </c>
      <c r="K2364">
        <v>0</v>
      </c>
      <c r="L2364" t="s">
        <v>159</v>
      </c>
      <c r="N2364" t="s">
        <v>249</v>
      </c>
      <c r="O2364" t="s">
        <v>347</v>
      </c>
      <c r="P2364">
        <v>6.7256758581637036E-6</v>
      </c>
      <c r="Q2364" t="s">
        <v>159</v>
      </c>
    </row>
    <row r="2365" spans="9:17" x14ac:dyDescent="0.45">
      <c r="I2365" t="s">
        <v>206</v>
      </c>
      <c r="J2365" t="s">
        <v>348</v>
      </c>
      <c r="K2365">
        <v>0</v>
      </c>
      <c r="L2365" t="s">
        <v>159</v>
      </c>
      <c r="N2365" t="s">
        <v>249</v>
      </c>
      <c r="O2365" t="s">
        <v>348</v>
      </c>
      <c r="P2365">
        <v>1.4798478494686175E-5</v>
      </c>
      <c r="Q2365" t="s">
        <v>159</v>
      </c>
    </row>
    <row r="2366" spans="9:17" x14ac:dyDescent="0.45">
      <c r="I2366" t="s">
        <v>206</v>
      </c>
      <c r="J2366" t="s">
        <v>349</v>
      </c>
      <c r="K2366">
        <v>0</v>
      </c>
      <c r="L2366" t="s">
        <v>159</v>
      </c>
      <c r="N2366" t="s">
        <v>249</v>
      </c>
      <c r="O2366" t="s">
        <v>349</v>
      </c>
      <c r="P2366">
        <v>2.1440099792225052E-5</v>
      </c>
      <c r="Q2366" t="s">
        <v>159</v>
      </c>
    </row>
    <row r="2367" spans="9:17" x14ac:dyDescent="0.45">
      <c r="I2367" t="s">
        <v>206</v>
      </c>
      <c r="J2367" t="s">
        <v>350</v>
      </c>
      <c r="K2367">
        <v>0</v>
      </c>
      <c r="L2367" t="s">
        <v>159</v>
      </c>
      <c r="N2367" t="s">
        <v>249</v>
      </c>
      <c r="O2367" t="s">
        <v>350</v>
      </c>
      <c r="P2367">
        <v>2.1569368071545939E-5</v>
      </c>
      <c r="Q2367" t="s">
        <v>159</v>
      </c>
    </row>
    <row r="2368" spans="9:17" x14ac:dyDescent="0.45">
      <c r="I2368" t="s">
        <v>206</v>
      </c>
      <c r="J2368" t="s">
        <v>351</v>
      </c>
      <c r="K2368">
        <v>0</v>
      </c>
      <c r="L2368" t="s">
        <v>159</v>
      </c>
      <c r="N2368" t="s">
        <v>249</v>
      </c>
      <c r="O2368" t="s">
        <v>351</v>
      </c>
      <c r="P2368">
        <v>1.8496328244239458E-5</v>
      </c>
      <c r="Q2368" t="s">
        <v>159</v>
      </c>
    </row>
    <row r="2369" spans="9:17" x14ac:dyDescent="0.45">
      <c r="I2369" t="s">
        <v>206</v>
      </c>
      <c r="J2369" t="s">
        <v>352</v>
      </c>
      <c r="K2369">
        <v>0</v>
      </c>
      <c r="L2369" t="s">
        <v>159</v>
      </c>
      <c r="N2369" t="s">
        <v>249</v>
      </c>
      <c r="O2369" t="s">
        <v>352</v>
      </c>
      <c r="P2369">
        <v>1.5214574711997163E-5</v>
      </c>
      <c r="Q2369" t="s">
        <v>159</v>
      </c>
    </row>
    <row r="2370" spans="9:17" x14ac:dyDescent="0.45">
      <c r="I2370" t="s">
        <v>206</v>
      </c>
      <c r="J2370" t="s">
        <v>353</v>
      </c>
      <c r="K2370">
        <v>0</v>
      </c>
      <c r="L2370" t="s">
        <v>159</v>
      </c>
      <c r="N2370" t="s">
        <v>249</v>
      </c>
      <c r="O2370" t="s">
        <v>353</v>
      </c>
      <c r="P2370">
        <v>1.3703821799532339E-5</v>
      </c>
      <c r="Q2370" t="s">
        <v>159</v>
      </c>
    </row>
    <row r="2371" spans="9:17" x14ac:dyDescent="0.45">
      <c r="I2371" t="s">
        <v>206</v>
      </c>
      <c r="J2371" t="s">
        <v>354</v>
      </c>
      <c r="K2371">
        <v>1.2501139217304909E-4</v>
      </c>
      <c r="L2371" t="s">
        <v>159</v>
      </c>
      <c r="N2371" t="s">
        <v>249</v>
      </c>
      <c r="O2371" t="s">
        <v>354</v>
      </c>
      <c r="P2371">
        <v>1.1972568384263614E-5</v>
      </c>
      <c r="Q2371" t="s">
        <v>159</v>
      </c>
    </row>
    <row r="2372" spans="9:17" x14ac:dyDescent="0.45">
      <c r="I2372" t="s">
        <v>206</v>
      </c>
      <c r="J2372" t="s">
        <v>355</v>
      </c>
      <c r="K2372">
        <v>1.6521217860322412E-4</v>
      </c>
      <c r="L2372" t="s">
        <v>159</v>
      </c>
      <c r="N2372" t="s">
        <v>249</v>
      </c>
      <c r="O2372" t="s">
        <v>355</v>
      </c>
      <c r="P2372">
        <v>5.8690360875431804E-6</v>
      </c>
      <c r="Q2372" t="s">
        <v>159</v>
      </c>
    </row>
    <row r="2373" spans="9:17" x14ac:dyDescent="0.45">
      <c r="I2373" t="s">
        <v>206</v>
      </c>
      <c r="J2373" t="s">
        <v>356</v>
      </c>
      <c r="K2373">
        <v>1.9341897806949727E-4</v>
      </c>
      <c r="L2373" t="s">
        <v>159</v>
      </c>
      <c r="N2373" t="s">
        <v>249</v>
      </c>
      <c r="O2373" t="s">
        <v>356</v>
      </c>
      <c r="P2373">
        <v>3.1665560687244484E-6</v>
      </c>
      <c r="Q2373" t="s">
        <v>159</v>
      </c>
    </row>
    <row r="2374" spans="9:17" x14ac:dyDescent="0.45">
      <c r="I2374" t="s">
        <v>206</v>
      </c>
      <c r="J2374" t="s">
        <v>357</v>
      </c>
      <c r="K2374">
        <v>2.1091402586322338E-4</v>
      </c>
      <c r="L2374" t="s">
        <v>159</v>
      </c>
      <c r="N2374" t="s">
        <v>249</v>
      </c>
      <c r="O2374" t="s">
        <v>357</v>
      </c>
      <c r="P2374">
        <v>5.8938261782590685E-6</v>
      </c>
      <c r="Q2374" t="s">
        <v>159</v>
      </c>
    </row>
    <row r="2375" spans="9:17" x14ac:dyDescent="0.45">
      <c r="I2375" t="s">
        <v>206</v>
      </c>
      <c r="J2375" t="s">
        <v>358</v>
      </c>
      <c r="K2375">
        <v>2.4464283509145361E-4</v>
      </c>
      <c r="L2375" t="s">
        <v>159</v>
      </c>
      <c r="N2375" t="s">
        <v>249</v>
      </c>
      <c r="O2375" t="s">
        <v>358</v>
      </c>
      <c r="P2375">
        <v>7.7781300495418353E-6</v>
      </c>
      <c r="Q2375" t="s">
        <v>159</v>
      </c>
    </row>
    <row r="2376" spans="9:17" x14ac:dyDescent="0.45">
      <c r="I2376" t="s">
        <v>206</v>
      </c>
      <c r="J2376" t="s">
        <v>359</v>
      </c>
      <c r="K2376">
        <v>2.5371694588780804E-4</v>
      </c>
      <c r="L2376" t="s">
        <v>159</v>
      </c>
      <c r="N2376" t="s">
        <v>249</v>
      </c>
      <c r="O2376" t="s">
        <v>359</v>
      </c>
      <c r="P2376">
        <v>6.5639158976621285E-6</v>
      </c>
      <c r="Q2376" t="s">
        <v>159</v>
      </c>
    </row>
    <row r="2377" spans="9:17" x14ac:dyDescent="0.45">
      <c r="I2377" t="s">
        <v>206</v>
      </c>
      <c r="J2377" t="s">
        <v>360</v>
      </c>
      <c r="K2377">
        <v>2.0819583968802326E-4</v>
      </c>
      <c r="L2377" t="s">
        <v>159</v>
      </c>
      <c r="N2377" t="s">
        <v>249</v>
      </c>
      <c r="O2377" t="s">
        <v>360</v>
      </c>
      <c r="P2377">
        <v>3.6302234362452405E-6</v>
      </c>
      <c r="Q2377" t="s">
        <v>159</v>
      </c>
    </row>
    <row r="2378" spans="9:17" x14ac:dyDescent="0.45">
      <c r="I2378" t="s">
        <v>206</v>
      </c>
      <c r="J2378" t="s">
        <v>361</v>
      </c>
      <c r="K2378">
        <v>1.7379711061742568E-4</v>
      </c>
      <c r="L2378" t="s">
        <v>159</v>
      </c>
      <c r="N2378" t="s">
        <v>249</v>
      </c>
      <c r="O2378" t="s">
        <v>361</v>
      </c>
      <c r="P2378">
        <v>1.0719230084549203E-6</v>
      </c>
      <c r="Q2378" t="s">
        <v>159</v>
      </c>
    </row>
    <row r="2379" spans="9:17" x14ac:dyDescent="0.45">
      <c r="I2379" t="s">
        <v>206</v>
      </c>
      <c r="J2379" t="s">
        <v>362</v>
      </c>
      <c r="K2379">
        <v>1.5993685129292104E-4</v>
      </c>
      <c r="L2379" t="s">
        <v>159</v>
      </c>
      <c r="N2379" t="s">
        <v>249</v>
      </c>
      <c r="O2379" t="s">
        <v>362</v>
      </c>
      <c r="P2379">
        <v>1.1060292115482512E-7</v>
      </c>
      <c r="Q2379" t="s">
        <v>159</v>
      </c>
    </row>
    <row r="2380" spans="9:17" x14ac:dyDescent="0.45">
      <c r="I2380" t="s">
        <v>206</v>
      </c>
      <c r="J2380" t="s">
        <v>363</v>
      </c>
      <c r="K2380">
        <v>1.3494170873633299E-4</v>
      </c>
      <c r="L2380" t="s">
        <v>159</v>
      </c>
      <c r="N2380" t="s">
        <v>249</v>
      </c>
      <c r="O2380" t="s">
        <v>363</v>
      </c>
      <c r="P2380">
        <v>1.0343583503569586E-6</v>
      </c>
      <c r="Q2380" t="s">
        <v>159</v>
      </c>
    </row>
    <row r="2381" spans="9:17" x14ac:dyDescent="0.45">
      <c r="I2381" t="s">
        <v>206</v>
      </c>
      <c r="J2381" t="s">
        <v>364</v>
      </c>
      <c r="K2381">
        <v>0</v>
      </c>
      <c r="L2381" t="s">
        <v>159</v>
      </c>
      <c r="N2381" t="s">
        <v>249</v>
      </c>
      <c r="O2381" t="s">
        <v>364</v>
      </c>
      <c r="P2381">
        <v>2.436510610866796E-6</v>
      </c>
      <c r="Q2381" t="s">
        <v>159</v>
      </c>
    </row>
    <row r="2382" spans="9:17" x14ac:dyDescent="0.45">
      <c r="I2382" t="s">
        <v>206</v>
      </c>
      <c r="J2382" t="s">
        <v>365</v>
      </c>
      <c r="K2382">
        <v>0</v>
      </c>
      <c r="L2382" t="s">
        <v>159</v>
      </c>
      <c r="N2382" t="s">
        <v>249</v>
      </c>
      <c r="O2382" t="s">
        <v>365</v>
      </c>
      <c r="P2382">
        <v>2.8683167767244359E-6</v>
      </c>
      <c r="Q2382" t="s">
        <v>159</v>
      </c>
    </row>
    <row r="2383" spans="9:17" x14ac:dyDescent="0.45">
      <c r="I2383" t="s">
        <v>206</v>
      </c>
      <c r="J2383" t="s">
        <v>366</v>
      </c>
      <c r="K2383">
        <v>0</v>
      </c>
      <c r="L2383" t="s">
        <v>159</v>
      </c>
      <c r="N2383" t="s">
        <v>249</v>
      </c>
      <c r="O2383" t="s">
        <v>366</v>
      </c>
      <c r="P2383">
        <v>2.4488904659639459E-6</v>
      </c>
      <c r="Q2383" t="s">
        <v>159</v>
      </c>
    </row>
    <row r="2384" spans="9:17" x14ac:dyDescent="0.45">
      <c r="I2384" t="s">
        <v>206</v>
      </c>
      <c r="J2384" t="s">
        <v>367</v>
      </c>
      <c r="K2384">
        <v>0</v>
      </c>
      <c r="L2384" t="s">
        <v>159</v>
      </c>
      <c r="N2384" t="s">
        <v>249</v>
      </c>
      <c r="O2384" t="s">
        <v>367</v>
      </c>
      <c r="P2384">
        <v>2.6977407704712856E-6</v>
      </c>
      <c r="Q2384" t="s">
        <v>159</v>
      </c>
    </row>
    <row r="2385" spans="9:17" x14ac:dyDescent="0.45">
      <c r="I2385" t="s">
        <v>206</v>
      </c>
      <c r="J2385" t="s">
        <v>368</v>
      </c>
      <c r="K2385">
        <v>0</v>
      </c>
      <c r="L2385" t="s">
        <v>159</v>
      </c>
      <c r="N2385" t="s">
        <v>249</v>
      </c>
      <c r="O2385" t="s">
        <v>368</v>
      </c>
      <c r="P2385">
        <v>3.0233361477984838E-6</v>
      </c>
      <c r="Q2385" t="s">
        <v>159</v>
      </c>
    </row>
    <row r="2386" spans="9:17" x14ac:dyDescent="0.45">
      <c r="I2386" t="s">
        <v>206</v>
      </c>
      <c r="J2386" t="s">
        <v>369</v>
      </c>
      <c r="K2386">
        <v>0</v>
      </c>
      <c r="L2386" t="s">
        <v>159</v>
      </c>
      <c r="N2386" t="s">
        <v>249</v>
      </c>
      <c r="O2386" t="s">
        <v>369</v>
      </c>
      <c r="P2386">
        <v>2.5872008668301668E-6</v>
      </c>
      <c r="Q2386" t="s">
        <v>159</v>
      </c>
    </row>
    <row r="2387" spans="9:17" x14ac:dyDescent="0.45">
      <c r="I2387" t="s">
        <v>206</v>
      </c>
      <c r="J2387" t="s">
        <v>165</v>
      </c>
      <c r="K2387">
        <v>0</v>
      </c>
      <c r="L2387" t="s">
        <v>159</v>
      </c>
      <c r="N2387" t="s">
        <v>249</v>
      </c>
      <c r="O2387" t="s">
        <v>165</v>
      </c>
      <c r="P2387">
        <v>2.3451190968031131E-2</v>
      </c>
      <c r="Q2387" t="s">
        <v>159</v>
      </c>
    </row>
    <row r="2388" spans="9:17" x14ac:dyDescent="0.45">
      <c r="I2388" t="s">
        <v>206</v>
      </c>
      <c r="J2388" t="s">
        <v>166</v>
      </c>
      <c r="K2388">
        <v>3.5441307422666725E-5</v>
      </c>
      <c r="L2388" t="s">
        <v>159</v>
      </c>
      <c r="N2388" t="s">
        <v>249</v>
      </c>
      <c r="O2388" t="s">
        <v>166</v>
      </c>
      <c r="P2388">
        <v>2.7340279029704592E-3</v>
      </c>
      <c r="Q2388" t="s">
        <v>159</v>
      </c>
    </row>
    <row r="2389" spans="9:17" x14ac:dyDescent="0.45">
      <c r="I2389" t="s">
        <v>206</v>
      </c>
      <c r="J2389" t="s">
        <v>167</v>
      </c>
      <c r="K2389">
        <v>6.3923437730064425E-2</v>
      </c>
      <c r="L2389" t="s">
        <v>159</v>
      </c>
      <c r="N2389" t="s">
        <v>249</v>
      </c>
      <c r="O2389" t="s">
        <v>167</v>
      </c>
      <c r="P2389">
        <v>3.2692001334394594E-2</v>
      </c>
      <c r="Q2389" t="s">
        <v>159</v>
      </c>
    </row>
    <row r="2390" spans="9:17" x14ac:dyDescent="0.45">
      <c r="I2390" t="s">
        <v>206</v>
      </c>
      <c r="J2390" t="s">
        <v>291</v>
      </c>
      <c r="K2390">
        <v>5.6066531477893117E-3</v>
      </c>
      <c r="L2390" t="s">
        <v>159</v>
      </c>
      <c r="N2390" t="s">
        <v>249</v>
      </c>
      <c r="O2390" t="s">
        <v>291</v>
      </c>
      <c r="P2390">
        <v>3.9704680224454574E-3</v>
      </c>
      <c r="Q2390" t="s">
        <v>159</v>
      </c>
    </row>
    <row r="2391" spans="9:17" x14ac:dyDescent="0.45">
      <c r="I2391" t="s">
        <v>206</v>
      </c>
      <c r="J2391" t="s">
        <v>292</v>
      </c>
      <c r="K2391">
        <v>2.9682230827329701E-3</v>
      </c>
      <c r="L2391" t="s">
        <v>159</v>
      </c>
      <c r="N2391" t="s">
        <v>249</v>
      </c>
      <c r="O2391" t="s">
        <v>292</v>
      </c>
      <c r="P2391">
        <v>3.8952888056482068E-3</v>
      </c>
      <c r="Q2391" t="s">
        <v>159</v>
      </c>
    </row>
    <row r="2392" spans="9:17" x14ac:dyDescent="0.45">
      <c r="I2392" t="s">
        <v>206</v>
      </c>
      <c r="J2392" t="s">
        <v>310</v>
      </c>
      <c r="K2392">
        <v>0</v>
      </c>
      <c r="L2392" t="s">
        <v>159</v>
      </c>
      <c r="N2392" t="s">
        <v>249</v>
      </c>
      <c r="O2392" t="s">
        <v>310</v>
      </c>
      <c r="P2392">
        <v>2.134166439451694E-2</v>
      </c>
      <c r="Q2392" t="s">
        <v>159</v>
      </c>
    </row>
    <row r="2393" spans="9:17" x14ac:dyDescent="0.45">
      <c r="I2393" t="s">
        <v>206</v>
      </c>
      <c r="J2393" t="s">
        <v>293</v>
      </c>
      <c r="K2393">
        <v>0</v>
      </c>
      <c r="L2393" t="s">
        <v>159</v>
      </c>
      <c r="N2393" t="s">
        <v>249</v>
      </c>
      <c r="O2393" t="s">
        <v>293</v>
      </c>
      <c r="P2393">
        <v>7.3314738814494627E-3</v>
      </c>
      <c r="Q2393" t="s">
        <v>159</v>
      </c>
    </row>
    <row r="2394" spans="9:17" x14ac:dyDescent="0.45">
      <c r="I2394" t="s">
        <v>206</v>
      </c>
      <c r="J2394" t="s">
        <v>294</v>
      </c>
      <c r="K2394">
        <v>6.7718184456776556E-4</v>
      </c>
      <c r="L2394" t="s">
        <v>159</v>
      </c>
      <c r="N2394" t="s">
        <v>249</v>
      </c>
      <c r="O2394" t="s">
        <v>294</v>
      </c>
      <c r="P2394">
        <v>1.0269484034943234E-3</v>
      </c>
      <c r="Q2394" t="s">
        <v>159</v>
      </c>
    </row>
    <row r="2395" spans="9:17" x14ac:dyDescent="0.45">
      <c r="I2395" t="s">
        <v>206</v>
      </c>
      <c r="J2395" t="s">
        <v>295</v>
      </c>
      <c r="K2395">
        <v>1.5775713563425886E-2</v>
      </c>
      <c r="L2395" t="s">
        <v>159</v>
      </c>
      <c r="N2395" t="s">
        <v>249</v>
      </c>
      <c r="O2395" t="s">
        <v>295</v>
      </c>
      <c r="P2395">
        <v>9.7946119690471532E-3</v>
      </c>
      <c r="Q2395" t="s">
        <v>159</v>
      </c>
    </row>
    <row r="2396" spans="9:17" x14ac:dyDescent="0.45">
      <c r="I2396" t="s">
        <v>206</v>
      </c>
      <c r="J2396" t="s">
        <v>296</v>
      </c>
      <c r="K2396">
        <v>1.3721177205919585E-3</v>
      </c>
      <c r="L2396" t="s">
        <v>159</v>
      </c>
      <c r="N2396" t="s">
        <v>249</v>
      </c>
      <c r="O2396" t="s">
        <v>296</v>
      </c>
      <c r="P2396">
        <v>9.4657500940853814E-4</v>
      </c>
      <c r="Q2396" t="s">
        <v>159</v>
      </c>
    </row>
    <row r="2397" spans="9:17" x14ac:dyDescent="0.45">
      <c r="I2397" t="s">
        <v>206</v>
      </c>
      <c r="J2397" t="s">
        <v>297</v>
      </c>
      <c r="K2397">
        <v>8.9792010624945386E-4</v>
      </c>
      <c r="L2397" t="s">
        <v>159</v>
      </c>
      <c r="N2397" t="s">
        <v>249</v>
      </c>
      <c r="O2397" t="s">
        <v>297</v>
      </c>
      <c r="P2397">
        <v>8.4925596916488044E-4</v>
      </c>
      <c r="Q2397" t="s">
        <v>159</v>
      </c>
    </row>
    <row r="2398" spans="9:17" x14ac:dyDescent="0.45">
      <c r="I2398" t="s">
        <v>206</v>
      </c>
      <c r="J2398" t="s">
        <v>311</v>
      </c>
      <c r="K2398">
        <v>0</v>
      </c>
      <c r="L2398" t="s">
        <v>159</v>
      </c>
      <c r="N2398" t="s">
        <v>249</v>
      </c>
      <c r="O2398" t="s">
        <v>311</v>
      </c>
      <c r="P2398">
        <v>4.691682898879156E-3</v>
      </c>
      <c r="Q2398" t="s">
        <v>159</v>
      </c>
    </row>
    <row r="2399" spans="9:17" x14ac:dyDescent="0.45">
      <c r="I2399" t="s">
        <v>206</v>
      </c>
      <c r="J2399" t="s">
        <v>298</v>
      </c>
      <c r="K2399">
        <v>4.1558804487899581E-3</v>
      </c>
      <c r="L2399" t="s">
        <v>159</v>
      </c>
      <c r="N2399" t="s">
        <v>249</v>
      </c>
      <c r="O2399" t="s">
        <v>298</v>
      </c>
      <c r="P2399">
        <v>7.4306736431639722E-2</v>
      </c>
      <c r="Q2399" t="s">
        <v>159</v>
      </c>
    </row>
    <row r="2400" spans="9:17" x14ac:dyDescent="0.45">
      <c r="I2400" t="s">
        <v>206</v>
      </c>
      <c r="J2400" t="s">
        <v>299</v>
      </c>
      <c r="K2400">
        <v>1.666334207822277E-2</v>
      </c>
      <c r="L2400" t="s">
        <v>159</v>
      </c>
      <c r="N2400" t="s">
        <v>249</v>
      </c>
      <c r="O2400" t="s">
        <v>299</v>
      </c>
      <c r="P2400">
        <v>7.9440526070793105E-3</v>
      </c>
      <c r="Q2400" t="s">
        <v>159</v>
      </c>
    </row>
    <row r="2401" spans="9:17" x14ac:dyDescent="0.45">
      <c r="I2401" t="s">
        <v>206</v>
      </c>
      <c r="J2401" t="s">
        <v>300</v>
      </c>
      <c r="K2401">
        <v>0.24865272726464527</v>
      </c>
      <c r="L2401" t="s">
        <v>159</v>
      </c>
      <c r="N2401" t="s">
        <v>249</v>
      </c>
      <c r="O2401" t="s">
        <v>300</v>
      </c>
      <c r="P2401">
        <v>0.10499642809045102</v>
      </c>
      <c r="Q2401" t="s">
        <v>159</v>
      </c>
    </row>
    <row r="2402" spans="9:17" x14ac:dyDescent="0.45">
      <c r="I2402" t="s">
        <v>206</v>
      </c>
      <c r="J2402" t="s">
        <v>301</v>
      </c>
      <c r="K2402">
        <v>1.9895452530478652E-2</v>
      </c>
      <c r="L2402" t="s">
        <v>159</v>
      </c>
      <c r="N2402" t="s">
        <v>249</v>
      </c>
      <c r="O2402" t="s">
        <v>301</v>
      </c>
      <c r="P2402">
        <v>1.4006717234881422E-2</v>
      </c>
      <c r="Q2402" t="s">
        <v>159</v>
      </c>
    </row>
    <row r="2403" spans="9:17" x14ac:dyDescent="0.45">
      <c r="I2403" t="s">
        <v>206</v>
      </c>
      <c r="J2403" t="s">
        <v>302</v>
      </c>
      <c r="K2403">
        <v>1.272429389615885E-2</v>
      </c>
      <c r="L2403" t="s">
        <v>159</v>
      </c>
      <c r="N2403" t="s">
        <v>249</v>
      </c>
      <c r="O2403" t="s">
        <v>302</v>
      </c>
      <c r="P2403">
        <v>1.3714616852342819E-2</v>
      </c>
      <c r="Q2403" t="s">
        <v>159</v>
      </c>
    </row>
    <row r="2404" spans="9:17" x14ac:dyDescent="0.45">
      <c r="I2404" t="s">
        <v>206</v>
      </c>
      <c r="J2404" t="s">
        <v>312</v>
      </c>
      <c r="K2404">
        <v>1.2054383022088355E-4</v>
      </c>
      <c r="L2404" t="s">
        <v>159</v>
      </c>
      <c r="N2404" t="s">
        <v>249</v>
      </c>
      <c r="O2404" t="s">
        <v>312</v>
      </c>
      <c r="P2404">
        <v>7.6800915496178845E-2</v>
      </c>
      <c r="Q2404" t="s">
        <v>159</v>
      </c>
    </row>
    <row r="2405" spans="9:17" x14ac:dyDescent="0.45">
      <c r="I2405" t="s">
        <v>206</v>
      </c>
      <c r="J2405" t="s">
        <v>313</v>
      </c>
      <c r="K2405">
        <v>2.0490646559659224E-3</v>
      </c>
      <c r="L2405" t="s">
        <v>159</v>
      </c>
      <c r="N2405" t="s">
        <v>249</v>
      </c>
      <c r="O2405" t="s">
        <v>313</v>
      </c>
      <c r="P2405">
        <v>2.1956943499028336E-2</v>
      </c>
      <c r="Q2405" t="s">
        <v>159</v>
      </c>
    </row>
    <row r="2406" spans="9:17" x14ac:dyDescent="0.45">
      <c r="I2406" t="s">
        <v>206</v>
      </c>
      <c r="J2406" t="s">
        <v>314</v>
      </c>
      <c r="K2406">
        <v>4.0810236491048103E-3</v>
      </c>
      <c r="L2406" t="s">
        <v>159</v>
      </c>
      <c r="N2406" t="s">
        <v>249</v>
      </c>
      <c r="O2406" t="s">
        <v>314</v>
      </c>
      <c r="P2406">
        <v>1.7342375303876019E-3</v>
      </c>
      <c r="Q2406" t="s">
        <v>159</v>
      </c>
    </row>
    <row r="2407" spans="9:17" x14ac:dyDescent="0.45">
      <c r="I2407" t="s">
        <v>206</v>
      </c>
      <c r="J2407" t="s">
        <v>315</v>
      </c>
      <c r="K2407">
        <v>6.4985932893281542E-2</v>
      </c>
      <c r="L2407" t="s">
        <v>159</v>
      </c>
      <c r="N2407" t="s">
        <v>249</v>
      </c>
      <c r="O2407" t="s">
        <v>315</v>
      </c>
      <c r="P2407">
        <v>1.4921923579987749E-2</v>
      </c>
      <c r="Q2407" t="s">
        <v>159</v>
      </c>
    </row>
    <row r="2408" spans="9:17" x14ac:dyDescent="0.45">
      <c r="I2408" t="s">
        <v>206</v>
      </c>
      <c r="J2408" t="s">
        <v>316</v>
      </c>
      <c r="K2408">
        <v>5.3596116309258934E-3</v>
      </c>
      <c r="L2408" t="s">
        <v>159</v>
      </c>
      <c r="N2408" t="s">
        <v>249</v>
      </c>
      <c r="O2408" t="s">
        <v>316</v>
      </c>
      <c r="P2408">
        <v>2.9518650698849482E-3</v>
      </c>
      <c r="Q2408" t="s">
        <v>159</v>
      </c>
    </row>
    <row r="2409" spans="9:17" x14ac:dyDescent="0.45">
      <c r="I2409" t="s">
        <v>206</v>
      </c>
      <c r="J2409" t="s">
        <v>317</v>
      </c>
      <c r="K2409">
        <v>3.8516755300203715E-3</v>
      </c>
      <c r="L2409" t="s">
        <v>159</v>
      </c>
      <c r="N2409" t="s">
        <v>249</v>
      </c>
      <c r="O2409" t="s">
        <v>317</v>
      </c>
      <c r="P2409">
        <v>3.3321495529072703E-3</v>
      </c>
      <c r="Q2409" t="s">
        <v>159</v>
      </c>
    </row>
    <row r="2410" spans="9:17" x14ac:dyDescent="0.45">
      <c r="I2410" t="s">
        <v>206</v>
      </c>
      <c r="J2410" t="s">
        <v>318</v>
      </c>
      <c r="K2410">
        <v>2.2592649547855392E-3</v>
      </c>
      <c r="L2410" t="s">
        <v>159</v>
      </c>
      <c r="N2410" t="s">
        <v>249</v>
      </c>
      <c r="O2410" t="s">
        <v>318</v>
      </c>
      <c r="P2410">
        <v>2.4612717940513583E-2</v>
      </c>
      <c r="Q2410" t="s">
        <v>159</v>
      </c>
    </row>
    <row r="2411" spans="9:17" x14ac:dyDescent="0.45">
      <c r="I2411" t="s">
        <v>207</v>
      </c>
      <c r="J2411" t="s">
        <v>158</v>
      </c>
      <c r="K2411">
        <v>1.0022052096170327E-3</v>
      </c>
      <c r="L2411" t="s">
        <v>159</v>
      </c>
      <c r="N2411" t="s">
        <v>250</v>
      </c>
      <c r="O2411" t="s">
        <v>158</v>
      </c>
      <c r="P2411">
        <v>0.17121089024118102</v>
      </c>
      <c r="Q2411" t="s">
        <v>159</v>
      </c>
    </row>
    <row r="2412" spans="9:17" x14ac:dyDescent="0.45">
      <c r="I2412" t="s">
        <v>207</v>
      </c>
      <c r="J2412" t="s">
        <v>160</v>
      </c>
      <c r="K2412">
        <v>1.5142999062213208E-2</v>
      </c>
      <c r="L2412" t="s">
        <v>159</v>
      </c>
      <c r="N2412" t="s">
        <v>250</v>
      </c>
      <c r="O2412" t="s">
        <v>160</v>
      </c>
      <c r="P2412">
        <v>1.9325750039226292E-2</v>
      </c>
      <c r="Q2412" t="s">
        <v>159</v>
      </c>
    </row>
    <row r="2413" spans="9:17" x14ac:dyDescent="0.45">
      <c r="I2413" t="s">
        <v>207</v>
      </c>
      <c r="J2413" t="s">
        <v>161</v>
      </c>
      <c r="K2413">
        <v>0.37346580995454937</v>
      </c>
      <c r="L2413" t="s">
        <v>159</v>
      </c>
      <c r="N2413" t="s">
        <v>250</v>
      </c>
      <c r="O2413" t="s">
        <v>161</v>
      </c>
      <c r="P2413">
        <v>0.13267284183805775</v>
      </c>
      <c r="Q2413" t="s">
        <v>159</v>
      </c>
    </row>
    <row r="2414" spans="9:17" x14ac:dyDescent="0.45">
      <c r="I2414" t="s">
        <v>207</v>
      </c>
      <c r="J2414" t="s">
        <v>287</v>
      </c>
      <c r="K2414">
        <v>3.4307594676627674E-2</v>
      </c>
      <c r="L2414" t="s">
        <v>159</v>
      </c>
      <c r="N2414" t="s">
        <v>250</v>
      </c>
      <c r="O2414" t="s">
        <v>287</v>
      </c>
      <c r="P2414">
        <v>1.5235982763199946E-2</v>
      </c>
      <c r="Q2414" t="s">
        <v>159</v>
      </c>
    </row>
    <row r="2415" spans="9:17" x14ac:dyDescent="0.45">
      <c r="I2415" t="s">
        <v>207</v>
      </c>
      <c r="J2415" t="s">
        <v>288</v>
      </c>
      <c r="K2415">
        <v>2.0742480089319098E-2</v>
      </c>
      <c r="L2415" t="s">
        <v>159</v>
      </c>
      <c r="N2415" t="s">
        <v>250</v>
      </c>
      <c r="O2415" t="s">
        <v>288</v>
      </c>
      <c r="P2415">
        <v>1.7090478777200536E-2</v>
      </c>
      <c r="Q2415" t="s">
        <v>159</v>
      </c>
    </row>
    <row r="2416" spans="9:17" x14ac:dyDescent="0.45">
      <c r="I2416" t="s">
        <v>207</v>
      </c>
      <c r="J2416" t="s">
        <v>308</v>
      </c>
      <c r="K2416">
        <v>8.7953484993314839E-3</v>
      </c>
      <c r="L2416" t="s">
        <v>159</v>
      </c>
      <c r="N2416" t="s">
        <v>250</v>
      </c>
      <c r="O2416" t="s">
        <v>308</v>
      </c>
      <c r="P2416">
        <v>0.12450544190315291</v>
      </c>
      <c r="Q2416" t="s">
        <v>159</v>
      </c>
    </row>
    <row r="2417" spans="9:17" x14ac:dyDescent="0.45">
      <c r="I2417" t="s">
        <v>207</v>
      </c>
      <c r="J2417" t="s">
        <v>162</v>
      </c>
      <c r="K2417">
        <v>0</v>
      </c>
      <c r="L2417" t="s">
        <v>159</v>
      </c>
      <c r="N2417" t="s">
        <v>250</v>
      </c>
      <c r="O2417" t="s">
        <v>162</v>
      </c>
      <c r="P2417">
        <v>2.4405485831774813E-2</v>
      </c>
      <c r="Q2417" t="s">
        <v>159</v>
      </c>
    </row>
    <row r="2418" spans="9:17" x14ac:dyDescent="0.45">
      <c r="I2418" t="s">
        <v>207</v>
      </c>
      <c r="J2418" t="s">
        <v>163</v>
      </c>
      <c r="K2418">
        <v>0</v>
      </c>
      <c r="L2418" t="s">
        <v>159</v>
      </c>
      <c r="N2418" t="s">
        <v>250</v>
      </c>
      <c r="O2418" t="s">
        <v>163</v>
      </c>
      <c r="P2418">
        <v>3.5560295790562461E-3</v>
      </c>
      <c r="Q2418" t="s">
        <v>159</v>
      </c>
    </row>
    <row r="2419" spans="9:17" x14ac:dyDescent="0.45">
      <c r="I2419" t="s">
        <v>207</v>
      </c>
      <c r="J2419" t="s">
        <v>164</v>
      </c>
      <c r="K2419">
        <v>4.4256918100252812E-2</v>
      </c>
      <c r="L2419" t="s">
        <v>159</v>
      </c>
      <c r="N2419" t="s">
        <v>250</v>
      </c>
      <c r="O2419" t="s">
        <v>164</v>
      </c>
      <c r="P2419">
        <v>2.4402180096381967E-2</v>
      </c>
      <c r="Q2419" t="s">
        <v>159</v>
      </c>
    </row>
    <row r="2420" spans="9:17" x14ac:dyDescent="0.45">
      <c r="I2420" t="s">
        <v>207</v>
      </c>
      <c r="J2420" t="s">
        <v>289</v>
      </c>
      <c r="K2420">
        <v>4.093011366828052E-3</v>
      </c>
      <c r="L2420" t="s">
        <v>159</v>
      </c>
      <c r="N2420" t="s">
        <v>250</v>
      </c>
      <c r="O2420" t="s">
        <v>289</v>
      </c>
      <c r="P2420">
        <v>2.3738012273974429E-3</v>
      </c>
      <c r="Q2420" t="s">
        <v>159</v>
      </c>
    </row>
    <row r="2421" spans="9:17" x14ac:dyDescent="0.45">
      <c r="I2421" t="s">
        <v>207</v>
      </c>
      <c r="J2421" t="s">
        <v>290</v>
      </c>
      <c r="K2421">
        <v>3.1513439372254855E-5</v>
      </c>
      <c r="L2421" t="s">
        <v>159</v>
      </c>
      <c r="N2421" t="s">
        <v>250</v>
      </c>
      <c r="O2421" t="s">
        <v>290</v>
      </c>
      <c r="P2421">
        <v>2.7149885879644759E-3</v>
      </c>
      <c r="Q2421" t="s">
        <v>159</v>
      </c>
    </row>
    <row r="2422" spans="9:17" x14ac:dyDescent="0.45">
      <c r="I2422" t="s">
        <v>207</v>
      </c>
      <c r="J2422" t="s">
        <v>309</v>
      </c>
      <c r="K2422">
        <v>0</v>
      </c>
      <c r="L2422" t="s">
        <v>159</v>
      </c>
      <c r="N2422" t="s">
        <v>250</v>
      </c>
      <c r="O2422" t="s">
        <v>309</v>
      </c>
      <c r="P2422">
        <v>1.6723272782758928E-2</v>
      </c>
      <c r="Q2422" t="s">
        <v>159</v>
      </c>
    </row>
    <row r="2423" spans="9:17" x14ac:dyDescent="0.45">
      <c r="I2423" t="s">
        <v>207</v>
      </c>
      <c r="J2423" t="s">
        <v>346</v>
      </c>
      <c r="K2423">
        <v>0</v>
      </c>
      <c r="L2423" t="s">
        <v>159</v>
      </c>
      <c r="N2423" t="s">
        <v>250</v>
      </c>
      <c r="O2423" t="s">
        <v>346</v>
      </c>
      <c r="P2423">
        <v>1.4311037961996687E-6</v>
      </c>
      <c r="Q2423" t="s">
        <v>159</v>
      </c>
    </row>
    <row r="2424" spans="9:17" x14ac:dyDescent="0.45">
      <c r="I2424" t="s">
        <v>207</v>
      </c>
      <c r="J2424" t="s">
        <v>347</v>
      </c>
      <c r="K2424">
        <v>0</v>
      </c>
      <c r="L2424" t="s">
        <v>159</v>
      </c>
      <c r="N2424" t="s">
        <v>250</v>
      </c>
      <c r="O2424" t="s">
        <v>347</v>
      </c>
      <c r="P2424">
        <v>1.4410906505689633E-6</v>
      </c>
      <c r="Q2424" t="s">
        <v>159</v>
      </c>
    </row>
    <row r="2425" spans="9:17" x14ac:dyDescent="0.45">
      <c r="I2425" t="s">
        <v>207</v>
      </c>
      <c r="J2425" t="s">
        <v>348</v>
      </c>
      <c r="K2425">
        <v>0</v>
      </c>
      <c r="L2425" t="s">
        <v>159</v>
      </c>
      <c r="N2425" t="s">
        <v>250</v>
      </c>
      <c r="O2425" t="s">
        <v>348</v>
      </c>
      <c r="P2425">
        <v>1.2094563785512486E-6</v>
      </c>
      <c r="Q2425" t="s">
        <v>159</v>
      </c>
    </row>
    <row r="2426" spans="9:17" x14ac:dyDescent="0.45">
      <c r="I2426" t="s">
        <v>207</v>
      </c>
      <c r="J2426" t="s">
        <v>349</v>
      </c>
      <c r="K2426">
        <v>0</v>
      </c>
      <c r="L2426" t="s">
        <v>159</v>
      </c>
      <c r="N2426" t="s">
        <v>250</v>
      </c>
      <c r="O2426" t="s">
        <v>349</v>
      </c>
      <c r="P2426">
        <v>1.6326012923878095E-6</v>
      </c>
      <c r="Q2426" t="s">
        <v>159</v>
      </c>
    </row>
    <row r="2427" spans="9:17" x14ac:dyDescent="0.45">
      <c r="I2427" t="s">
        <v>207</v>
      </c>
      <c r="J2427" t="s">
        <v>350</v>
      </c>
      <c r="K2427">
        <v>0</v>
      </c>
      <c r="L2427" t="s">
        <v>159</v>
      </c>
      <c r="N2427" t="s">
        <v>250</v>
      </c>
      <c r="O2427" t="s">
        <v>350</v>
      </c>
      <c r="P2427">
        <v>2.2549415113693124E-6</v>
      </c>
      <c r="Q2427" t="s">
        <v>159</v>
      </c>
    </row>
    <row r="2428" spans="9:17" x14ac:dyDescent="0.45">
      <c r="I2428" t="s">
        <v>207</v>
      </c>
      <c r="J2428" t="s">
        <v>351</v>
      </c>
      <c r="K2428">
        <v>0</v>
      </c>
      <c r="L2428" t="s">
        <v>159</v>
      </c>
      <c r="N2428" t="s">
        <v>250</v>
      </c>
      <c r="O2428" t="s">
        <v>351</v>
      </c>
      <c r="P2428">
        <v>3.4519533711767589E-6</v>
      </c>
      <c r="Q2428" t="s">
        <v>159</v>
      </c>
    </row>
    <row r="2429" spans="9:17" x14ac:dyDescent="0.45">
      <c r="I2429" t="s">
        <v>207</v>
      </c>
      <c r="J2429" t="s">
        <v>352</v>
      </c>
      <c r="K2429">
        <v>0</v>
      </c>
      <c r="L2429" t="s">
        <v>159</v>
      </c>
      <c r="N2429" t="s">
        <v>250</v>
      </c>
      <c r="O2429" t="s">
        <v>352</v>
      </c>
      <c r="P2429">
        <v>7.5128922816772892E-6</v>
      </c>
      <c r="Q2429" t="s">
        <v>159</v>
      </c>
    </row>
    <row r="2430" spans="9:17" x14ac:dyDescent="0.45">
      <c r="I2430" t="s">
        <v>207</v>
      </c>
      <c r="J2430" t="s">
        <v>353</v>
      </c>
      <c r="K2430">
        <v>0</v>
      </c>
      <c r="L2430" t="s">
        <v>159</v>
      </c>
      <c r="N2430" t="s">
        <v>250</v>
      </c>
      <c r="O2430" t="s">
        <v>353</v>
      </c>
      <c r="P2430">
        <v>1.2937114273439661E-5</v>
      </c>
      <c r="Q2430" t="s">
        <v>159</v>
      </c>
    </row>
    <row r="2431" spans="9:17" x14ac:dyDescent="0.45">
      <c r="I2431" t="s">
        <v>207</v>
      </c>
      <c r="J2431" t="s">
        <v>354</v>
      </c>
      <c r="K2431">
        <v>9.3339185351398558E-5</v>
      </c>
      <c r="L2431" t="s">
        <v>159</v>
      </c>
      <c r="N2431" t="s">
        <v>250</v>
      </c>
      <c r="O2431" t="s">
        <v>354</v>
      </c>
      <c r="P2431">
        <v>1.6411573860384646E-5</v>
      </c>
      <c r="Q2431" t="s">
        <v>159</v>
      </c>
    </row>
    <row r="2432" spans="9:17" x14ac:dyDescent="0.45">
      <c r="I2432" t="s">
        <v>207</v>
      </c>
      <c r="J2432" t="s">
        <v>355</v>
      </c>
      <c r="K2432">
        <v>1.4861575547877036E-4</v>
      </c>
      <c r="L2432" t="s">
        <v>159</v>
      </c>
      <c r="N2432" t="s">
        <v>250</v>
      </c>
      <c r="O2432" t="s">
        <v>355</v>
      </c>
      <c r="P2432">
        <v>1.0839206886740511E-5</v>
      </c>
      <c r="Q2432" t="s">
        <v>159</v>
      </c>
    </row>
    <row r="2433" spans="9:17" x14ac:dyDescent="0.45">
      <c r="I2433" t="s">
        <v>207</v>
      </c>
      <c r="J2433" t="s">
        <v>356</v>
      </c>
      <c r="K2433">
        <v>1.4949048475397099E-4</v>
      </c>
      <c r="L2433" t="s">
        <v>159</v>
      </c>
      <c r="N2433" t="s">
        <v>250</v>
      </c>
      <c r="O2433" t="s">
        <v>356</v>
      </c>
      <c r="P2433">
        <v>5.9602635201083162E-7</v>
      </c>
      <c r="Q2433" t="s">
        <v>159</v>
      </c>
    </row>
    <row r="2434" spans="9:17" x14ac:dyDescent="0.45">
      <c r="I2434" t="s">
        <v>207</v>
      </c>
      <c r="J2434" t="s">
        <v>357</v>
      </c>
      <c r="K2434">
        <v>1.6126237458469718E-4</v>
      </c>
      <c r="L2434" t="s">
        <v>159</v>
      </c>
      <c r="N2434" t="s">
        <v>250</v>
      </c>
      <c r="O2434" t="s">
        <v>357</v>
      </c>
      <c r="P2434">
        <v>1.4343837415955935E-7</v>
      </c>
      <c r="Q2434" t="s">
        <v>159</v>
      </c>
    </row>
    <row r="2435" spans="9:17" x14ac:dyDescent="0.45">
      <c r="I2435" t="s">
        <v>207</v>
      </c>
      <c r="J2435" t="s">
        <v>358</v>
      </c>
      <c r="K2435">
        <v>1.8811636660146227E-4</v>
      </c>
      <c r="L2435" t="s">
        <v>159</v>
      </c>
      <c r="N2435" t="s">
        <v>250</v>
      </c>
      <c r="O2435" t="s">
        <v>358</v>
      </c>
      <c r="P2435">
        <v>1.6228705234405873E-7</v>
      </c>
      <c r="Q2435" t="s">
        <v>159</v>
      </c>
    </row>
    <row r="2436" spans="9:17" x14ac:dyDescent="0.45">
      <c r="I2436" t="s">
        <v>207</v>
      </c>
      <c r="J2436" t="s">
        <v>359</v>
      </c>
      <c r="K2436">
        <v>2.2063040281816273E-4</v>
      </c>
      <c r="L2436" t="s">
        <v>159</v>
      </c>
      <c r="N2436" t="s">
        <v>250</v>
      </c>
      <c r="O2436" t="s">
        <v>359</v>
      </c>
      <c r="P2436">
        <v>2.426021448309046E-7</v>
      </c>
      <c r="Q2436" t="s">
        <v>159</v>
      </c>
    </row>
    <row r="2437" spans="9:17" x14ac:dyDescent="0.45">
      <c r="I2437" t="s">
        <v>207</v>
      </c>
      <c r="J2437" t="s">
        <v>360</v>
      </c>
      <c r="K2437">
        <v>1.7786768913643459E-4</v>
      </c>
      <c r="L2437" t="s">
        <v>159</v>
      </c>
      <c r="N2437" t="s">
        <v>250</v>
      </c>
      <c r="O2437" t="s">
        <v>360</v>
      </c>
      <c r="P2437">
        <v>3.568930587905928E-7</v>
      </c>
      <c r="Q2437" t="s">
        <v>159</v>
      </c>
    </row>
    <row r="2438" spans="9:17" x14ac:dyDescent="0.45">
      <c r="I2438" t="s">
        <v>207</v>
      </c>
      <c r="J2438" t="s">
        <v>361</v>
      </c>
      <c r="K2438">
        <v>1.5997473746748057E-4</v>
      </c>
      <c r="L2438" t="s">
        <v>159</v>
      </c>
      <c r="N2438" t="s">
        <v>250</v>
      </c>
      <c r="O2438" t="s">
        <v>361</v>
      </c>
      <c r="P2438">
        <v>4.3024657360121894E-7</v>
      </c>
      <c r="Q2438" t="s">
        <v>159</v>
      </c>
    </row>
    <row r="2439" spans="9:17" x14ac:dyDescent="0.45">
      <c r="I2439" t="s">
        <v>207</v>
      </c>
      <c r="J2439" t="s">
        <v>362</v>
      </c>
      <c r="K2439">
        <v>1.6573111464145081E-4</v>
      </c>
      <c r="L2439" t="s">
        <v>159</v>
      </c>
      <c r="N2439" t="s">
        <v>250</v>
      </c>
      <c r="O2439" t="s">
        <v>362</v>
      </c>
      <c r="P2439">
        <v>1.4992944212366678E-6</v>
      </c>
      <c r="Q2439" t="s">
        <v>159</v>
      </c>
    </row>
    <row r="2440" spans="9:17" x14ac:dyDescent="0.45">
      <c r="I2440" t="s">
        <v>207</v>
      </c>
      <c r="J2440" t="s">
        <v>363</v>
      </c>
      <c r="K2440">
        <v>1.5256295814559866E-4</v>
      </c>
      <c r="L2440" t="s">
        <v>159</v>
      </c>
      <c r="N2440" t="s">
        <v>250</v>
      </c>
      <c r="O2440" t="s">
        <v>363</v>
      </c>
      <c r="P2440">
        <v>6.4484586231638421E-6</v>
      </c>
      <c r="Q2440" t="s">
        <v>159</v>
      </c>
    </row>
    <row r="2441" spans="9:17" x14ac:dyDescent="0.45">
      <c r="I2441" t="s">
        <v>207</v>
      </c>
      <c r="J2441" t="s">
        <v>364</v>
      </c>
      <c r="K2441">
        <v>0</v>
      </c>
      <c r="L2441" t="s">
        <v>159</v>
      </c>
      <c r="N2441" t="s">
        <v>250</v>
      </c>
      <c r="O2441" t="s">
        <v>364</v>
      </c>
      <c r="P2441">
        <v>1.2759585290772587E-5</v>
      </c>
      <c r="Q2441" t="s">
        <v>159</v>
      </c>
    </row>
    <row r="2442" spans="9:17" x14ac:dyDescent="0.45">
      <c r="I2442" t="s">
        <v>207</v>
      </c>
      <c r="J2442" t="s">
        <v>365</v>
      </c>
      <c r="K2442">
        <v>0</v>
      </c>
      <c r="L2442" t="s">
        <v>159</v>
      </c>
      <c r="N2442" t="s">
        <v>250</v>
      </c>
      <c r="O2442" t="s">
        <v>365</v>
      </c>
      <c r="P2442">
        <v>2.0869258019813516E-5</v>
      </c>
      <c r="Q2442" t="s">
        <v>159</v>
      </c>
    </row>
    <row r="2443" spans="9:17" x14ac:dyDescent="0.45">
      <c r="I2443" t="s">
        <v>207</v>
      </c>
      <c r="J2443" t="s">
        <v>366</v>
      </c>
      <c r="K2443">
        <v>0</v>
      </c>
      <c r="L2443" t="s">
        <v>159</v>
      </c>
      <c r="N2443" t="s">
        <v>250</v>
      </c>
      <c r="O2443" t="s">
        <v>366</v>
      </c>
      <c r="P2443">
        <v>2.5806591378444241E-5</v>
      </c>
      <c r="Q2443" t="s">
        <v>159</v>
      </c>
    </row>
    <row r="2444" spans="9:17" x14ac:dyDescent="0.45">
      <c r="I2444" t="s">
        <v>207</v>
      </c>
      <c r="J2444" t="s">
        <v>367</v>
      </c>
      <c r="K2444">
        <v>0</v>
      </c>
      <c r="L2444" t="s">
        <v>159</v>
      </c>
      <c r="N2444" t="s">
        <v>250</v>
      </c>
      <c r="O2444" t="s">
        <v>367</v>
      </c>
      <c r="P2444">
        <v>3.0317866699768873E-5</v>
      </c>
      <c r="Q2444" t="s">
        <v>159</v>
      </c>
    </row>
    <row r="2445" spans="9:17" x14ac:dyDescent="0.45">
      <c r="I2445" t="s">
        <v>207</v>
      </c>
      <c r="J2445" t="s">
        <v>368</v>
      </c>
      <c r="K2445">
        <v>0</v>
      </c>
      <c r="L2445" t="s">
        <v>159</v>
      </c>
      <c r="N2445" t="s">
        <v>250</v>
      </c>
      <c r="O2445" t="s">
        <v>368</v>
      </c>
      <c r="P2445">
        <v>3.2626596055534305E-5</v>
      </c>
      <c r="Q2445" t="s">
        <v>159</v>
      </c>
    </row>
    <row r="2446" spans="9:17" x14ac:dyDescent="0.45">
      <c r="I2446" t="s">
        <v>207</v>
      </c>
      <c r="J2446" t="s">
        <v>369</v>
      </c>
      <c r="K2446">
        <v>0</v>
      </c>
      <c r="L2446" t="s">
        <v>159</v>
      </c>
      <c r="N2446" t="s">
        <v>250</v>
      </c>
      <c r="O2446" t="s">
        <v>369</v>
      </c>
      <c r="P2446">
        <v>3.3206305240908436E-5</v>
      </c>
      <c r="Q2446" t="s">
        <v>159</v>
      </c>
    </row>
    <row r="2447" spans="9:17" x14ac:dyDescent="0.45">
      <c r="I2447" t="s">
        <v>207</v>
      </c>
      <c r="J2447" t="s">
        <v>165</v>
      </c>
      <c r="K2447">
        <v>0</v>
      </c>
      <c r="L2447" t="s">
        <v>159</v>
      </c>
      <c r="N2447" t="s">
        <v>250</v>
      </c>
      <c r="O2447" t="s">
        <v>165</v>
      </c>
      <c r="P2447">
        <v>2.4728271911021386E-2</v>
      </c>
      <c r="Q2447" t="s">
        <v>159</v>
      </c>
    </row>
    <row r="2448" spans="9:17" x14ac:dyDescent="0.45">
      <c r="I2448" t="s">
        <v>207</v>
      </c>
      <c r="J2448" t="s">
        <v>166</v>
      </c>
      <c r="K2448">
        <v>0</v>
      </c>
      <c r="L2448" t="s">
        <v>159</v>
      </c>
      <c r="N2448" t="s">
        <v>250</v>
      </c>
      <c r="O2448" t="s">
        <v>166</v>
      </c>
      <c r="P2448">
        <v>3.3551623086705111E-3</v>
      </c>
      <c r="Q2448" t="s">
        <v>159</v>
      </c>
    </row>
    <row r="2449" spans="9:17" x14ac:dyDescent="0.45">
      <c r="I2449" t="s">
        <v>207</v>
      </c>
      <c r="J2449" t="s">
        <v>167</v>
      </c>
      <c r="K2449">
        <v>5.9847485164521042E-2</v>
      </c>
      <c r="L2449" t="s">
        <v>159</v>
      </c>
      <c r="N2449" t="s">
        <v>250</v>
      </c>
      <c r="O2449" t="s">
        <v>167</v>
      </c>
      <c r="P2449">
        <v>2.9834637404644163E-2</v>
      </c>
      <c r="Q2449" t="s">
        <v>159</v>
      </c>
    </row>
    <row r="2450" spans="9:17" x14ac:dyDescent="0.45">
      <c r="I2450" t="s">
        <v>207</v>
      </c>
      <c r="J2450" t="s">
        <v>291</v>
      </c>
      <c r="K2450">
        <v>5.8578933023436201E-3</v>
      </c>
      <c r="L2450" t="s">
        <v>159</v>
      </c>
      <c r="N2450" t="s">
        <v>250</v>
      </c>
      <c r="O2450" t="s">
        <v>291</v>
      </c>
      <c r="P2450">
        <v>3.4686646312344599E-3</v>
      </c>
      <c r="Q2450" t="s">
        <v>159</v>
      </c>
    </row>
    <row r="2451" spans="9:17" x14ac:dyDescent="0.45">
      <c r="I2451" t="s">
        <v>207</v>
      </c>
      <c r="J2451" t="s">
        <v>292</v>
      </c>
      <c r="K2451">
        <v>3.5822407339167455E-3</v>
      </c>
      <c r="L2451" t="s">
        <v>159</v>
      </c>
      <c r="N2451" t="s">
        <v>250</v>
      </c>
      <c r="O2451" t="s">
        <v>292</v>
      </c>
      <c r="P2451">
        <v>3.5774591583824524E-3</v>
      </c>
      <c r="Q2451" t="s">
        <v>159</v>
      </c>
    </row>
    <row r="2452" spans="9:17" x14ac:dyDescent="0.45">
      <c r="I2452" t="s">
        <v>207</v>
      </c>
      <c r="J2452" t="s">
        <v>310</v>
      </c>
      <c r="K2452">
        <v>0</v>
      </c>
      <c r="L2452" t="s">
        <v>159</v>
      </c>
      <c r="N2452" t="s">
        <v>250</v>
      </c>
      <c r="O2452" t="s">
        <v>310</v>
      </c>
      <c r="P2452">
        <v>2.0346604195022919E-2</v>
      </c>
      <c r="Q2452" t="s">
        <v>159</v>
      </c>
    </row>
    <row r="2453" spans="9:17" x14ac:dyDescent="0.45">
      <c r="I2453" t="s">
        <v>207</v>
      </c>
      <c r="J2453" t="s">
        <v>293</v>
      </c>
      <c r="K2453">
        <v>0</v>
      </c>
      <c r="L2453" t="s">
        <v>159</v>
      </c>
      <c r="N2453" t="s">
        <v>250</v>
      </c>
      <c r="O2453" t="s">
        <v>293</v>
      </c>
      <c r="P2453">
        <v>6.2738576574089579E-3</v>
      </c>
      <c r="Q2453" t="s">
        <v>159</v>
      </c>
    </row>
    <row r="2454" spans="9:17" x14ac:dyDescent="0.45">
      <c r="I2454" t="s">
        <v>207</v>
      </c>
      <c r="J2454" t="s">
        <v>294</v>
      </c>
      <c r="K2454">
        <v>0</v>
      </c>
      <c r="L2454" t="s">
        <v>159</v>
      </c>
      <c r="N2454" t="s">
        <v>250</v>
      </c>
      <c r="O2454" t="s">
        <v>294</v>
      </c>
      <c r="P2454">
        <v>8.5802995144900721E-4</v>
      </c>
      <c r="Q2454" t="s">
        <v>159</v>
      </c>
    </row>
    <row r="2455" spans="9:17" x14ac:dyDescent="0.45">
      <c r="I2455" t="s">
        <v>207</v>
      </c>
      <c r="J2455" t="s">
        <v>295</v>
      </c>
      <c r="K2455">
        <v>1.4969201232285895E-2</v>
      </c>
      <c r="L2455" t="s">
        <v>159</v>
      </c>
      <c r="N2455" t="s">
        <v>250</v>
      </c>
      <c r="O2455" t="s">
        <v>295</v>
      </c>
      <c r="P2455">
        <v>6.5880782645266764E-3</v>
      </c>
      <c r="Q2455" t="s">
        <v>159</v>
      </c>
    </row>
    <row r="2456" spans="9:17" x14ac:dyDescent="0.45">
      <c r="I2456" t="s">
        <v>207</v>
      </c>
      <c r="J2456" t="s">
        <v>296</v>
      </c>
      <c r="K2456">
        <v>1.4700198035441775E-3</v>
      </c>
      <c r="L2456" t="s">
        <v>159</v>
      </c>
      <c r="N2456" t="s">
        <v>250</v>
      </c>
      <c r="O2456" t="s">
        <v>296</v>
      </c>
      <c r="P2456">
        <v>7.1652147806755898E-4</v>
      </c>
      <c r="Q2456" t="s">
        <v>159</v>
      </c>
    </row>
    <row r="2457" spans="9:17" x14ac:dyDescent="0.45">
      <c r="I2457" t="s">
        <v>207</v>
      </c>
      <c r="J2457" t="s">
        <v>297</v>
      </c>
      <c r="K2457">
        <v>1.0216610501830926E-3</v>
      </c>
      <c r="L2457" t="s">
        <v>159</v>
      </c>
      <c r="N2457" t="s">
        <v>250</v>
      </c>
      <c r="O2457" t="s">
        <v>297</v>
      </c>
      <c r="P2457">
        <v>7.1708903967941347E-4</v>
      </c>
      <c r="Q2457" t="s">
        <v>159</v>
      </c>
    </row>
    <row r="2458" spans="9:17" x14ac:dyDescent="0.45">
      <c r="I2458" t="s">
        <v>207</v>
      </c>
      <c r="J2458" t="s">
        <v>311</v>
      </c>
      <c r="K2458">
        <v>0</v>
      </c>
      <c r="L2458" t="s">
        <v>159</v>
      </c>
      <c r="N2458" t="s">
        <v>250</v>
      </c>
      <c r="O2458" t="s">
        <v>311</v>
      </c>
      <c r="P2458">
        <v>3.6502736385391117E-3</v>
      </c>
      <c r="Q2458" t="s">
        <v>159</v>
      </c>
    </row>
    <row r="2459" spans="9:17" x14ac:dyDescent="0.45">
      <c r="I2459" t="s">
        <v>207</v>
      </c>
      <c r="J2459" t="s">
        <v>298</v>
      </c>
      <c r="K2459">
        <v>4.4106854398792868E-3</v>
      </c>
      <c r="L2459" t="s">
        <v>159</v>
      </c>
      <c r="N2459" t="s">
        <v>250</v>
      </c>
      <c r="O2459" t="s">
        <v>298</v>
      </c>
      <c r="P2459">
        <v>8.7487533644487706E-2</v>
      </c>
      <c r="Q2459" t="s">
        <v>159</v>
      </c>
    </row>
    <row r="2460" spans="9:17" x14ac:dyDescent="0.45">
      <c r="I2460" t="s">
        <v>207</v>
      </c>
      <c r="J2460" t="s">
        <v>299</v>
      </c>
      <c r="K2460">
        <v>1.6509602357393443E-2</v>
      </c>
      <c r="L2460" t="s">
        <v>159</v>
      </c>
      <c r="N2460" t="s">
        <v>250</v>
      </c>
      <c r="O2460" t="s">
        <v>299</v>
      </c>
      <c r="P2460">
        <v>8.1124482565629614E-3</v>
      </c>
      <c r="Q2460" t="s">
        <v>159</v>
      </c>
    </row>
    <row r="2461" spans="9:17" x14ac:dyDescent="0.45">
      <c r="I2461" t="s">
        <v>207</v>
      </c>
      <c r="J2461" t="s">
        <v>300</v>
      </c>
      <c r="K2461">
        <v>0.2492961123450724</v>
      </c>
      <c r="L2461" t="s">
        <v>159</v>
      </c>
      <c r="N2461" t="s">
        <v>250</v>
      </c>
      <c r="O2461" t="s">
        <v>300</v>
      </c>
      <c r="P2461">
        <v>7.0846105744910889E-2</v>
      </c>
      <c r="Q2461" t="s">
        <v>159</v>
      </c>
    </row>
    <row r="2462" spans="9:17" x14ac:dyDescent="0.45">
      <c r="I2462" t="s">
        <v>207</v>
      </c>
      <c r="J2462" t="s">
        <v>301</v>
      </c>
      <c r="K2462">
        <v>2.2324591225627563E-2</v>
      </c>
      <c r="L2462" t="s">
        <v>159</v>
      </c>
      <c r="N2462" t="s">
        <v>250</v>
      </c>
      <c r="O2462" t="s">
        <v>301</v>
      </c>
      <c r="P2462">
        <v>1.0454793743987277E-2</v>
      </c>
      <c r="Q2462" t="s">
        <v>159</v>
      </c>
    </row>
    <row r="2463" spans="9:17" x14ac:dyDescent="0.45">
      <c r="I2463" t="s">
        <v>207</v>
      </c>
      <c r="J2463" t="s">
        <v>302</v>
      </c>
      <c r="K2463">
        <v>1.5922466303076723E-2</v>
      </c>
      <c r="L2463" t="s">
        <v>159</v>
      </c>
      <c r="N2463" t="s">
        <v>250</v>
      </c>
      <c r="O2463" t="s">
        <v>302</v>
      </c>
      <c r="P2463">
        <v>1.1052517616296413E-2</v>
      </c>
      <c r="Q2463" t="s">
        <v>159</v>
      </c>
    </row>
    <row r="2464" spans="9:17" x14ac:dyDescent="0.45">
      <c r="I2464" t="s">
        <v>207</v>
      </c>
      <c r="J2464" t="s">
        <v>312</v>
      </c>
      <c r="K2464">
        <v>2.3904706227481491E-3</v>
      </c>
      <c r="L2464" t="s">
        <v>159</v>
      </c>
      <c r="N2464" t="s">
        <v>250</v>
      </c>
      <c r="O2464" t="s">
        <v>312</v>
      </c>
      <c r="P2464">
        <v>7.2817399185788043E-2</v>
      </c>
      <c r="Q2464" t="s">
        <v>159</v>
      </c>
    </row>
    <row r="2465" spans="9:17" x14ac:dyDescent="0.45">
      <c r="I2465" t="s">
        <v>207</v>
      </c>
      <c r="J2465" t="s">
        <v>313</v>
      </c>
      <c r="K2465">
        <v>2.9167858168616377E-3</v>
      </c>
      <c r="L2465" t="s">
        <v>159</v>
      </c>
      <c r="N2465" t="s">
        <v>250</v>
      </c>
      <c r="O2465" t="s">
        <v>313</v>
      </c>
      <c r="P2465">
        <v>3.0683285491837447E-2</v>
      </c>
      <c r="Q2465" t="s">
        <v>159</v>
      </c>
    </row>
    <row r="2466" spans="9:17" x14ac:dyDescent="0.45">
      <c r="I2466" t="s">
        <v>207</v>
      </c>
      <c r="J2466" t="s">
        <v>314</v>
      </c>
      <c r="K2466">
        <v>5.1230156258903438E-3</v>
      </c>
      <c r="L2466" t="s">
        <v>159</v>
      </c>
      <c r="N2466" t="s">
        <v>250</v>
      </c>
      <c r="O2466" t="s">
        <v>314</v>
      </c>
      <c r="P2466">
        <v>2.8876423054336152E-3</v>
      </c>
      <c r="Q2466" t="s">
        <v>159</v>
      </c>
    </row>
    <row r="2467" spans="9:17" x14ac:dyDescent="0.45">
      <c r="I2467" t="s">
        <v>207</v>
      </c>
      <c r="J2467" t="s">
        <v>315</v>
      </c>
      <c r="K2467">
        <v>7.5647506402395981E-2</v>
      </c>
      <c r="L2467" t="s">
        <v>159</v>
      </c>
      <c r="N2467" t="s">
        <v>250</v>
      </c>
      <c r="O2467" t="s">
        <v>315</v>
      </c>
      <c r="P2467">
        <v>1.7147843528127531E-2</v>
      </c>
      <c r="Q2467" t="s">
        <v>159</v>
      </c>
    </row>
    <row r="2468" spans="9:17" x14ac:dyDescent="0.45">
      <c r="I2468" t="s">
        <v>207</v>
      </c>
      <c r="J2468" t="s">
        <v>316</v>
      </c>
      <c r="K2468">
        <v>6.7683867982337815E-3</v>
      </c>
      <c r="L2468" t="s">
        <v>159</v>
      </c>
      <c r="N2468" t="s">
        <v>250</v>
      </c>
      <c r="O2468" t="s">
        <v>316</v>
      </c>
      <c r="P2468">
        <v>2.4813349753702611E-3</v>
      </c>
      <c r="Q2468" t="s">
        <v>159</v>
      </c>
    </row>
    <row r="2469" spans="9:17" x14ac:dyDescent="0.45">
      <c r="I2469" t="s">
        <v>207</v>
      </c>
      <c r="J2469" t="s">
        <v>317</v>
      </c>
      <c r="K2469">
        <v>5.2762937105977504E-3</v>
      </c>
      <c r="L2469" t="s">
        <v>159</v>
      </c>
      <c r="N2469" t="s">
        <v>250</v>
      </c>
      <c r="O2469" t="s">
        <v>317</v>
      </c>
      <c r="P2469">
        <v>2.8207310415729243E-3</v>
      </c>
      <c r="Q2469" t="s">
        <v>159</v>
      </c>
    </row>
    <row r="2470" spans="9:17" x14ac:dyDescent="0.45">
      <c r="I2470" t="s">
        <v>207</v>
      </c>
      <c r="J2470" t="s">
        <v>318</v>
      </c>
      <c r="K2470">
        <v>3.2101105983362906E-3</v>
      </c>
      <c r="L2470" t="s">
        <v>159</v>
      </c>
      <c r="N2470" t="s">
        <v>250</v>
      </c>
      <c r="O2470" t="s">
        <v>318</v>
      </c>
      <c r="P2470">
        <v>2.4651983776038448E-2</v>
      </c>
      <c r="Q2470" t="s">
        <v>159</v>
      </c>
    </row>
    <row r="2471" spans="9:17" x14ac:dyDescent="0.45">
      <c r="I2471" t="s">
        <v>208</v>
      </c>
      <c r="J2471" t="s">
        <v>158</v>
      </c>
      <c r="K2471">
        <v>1.8531836683473584E-4</v>
      </c>
      <c r="L2471" t="s">
        <v>159</v>
      </c>
      <c r="N2471" t="s">
        <v>251</v>
      </c>
      <c r="O2471" t="s">
        <v>158</v>
      </c>
      <c r="P2471">
        <v>0.18845305372165341</v>
      </c>
      <c r="Q2471" t="s">
        <v>159</v>
      </c>
    </row>
    <row r="2472" spans="9:17" x14ac:dyDescent="0.45">
      <c r="I2472" t="s">
        <v>208</v>
      </c>
      <c r="J2472" t="s">
        <v>160</v>
      </c>
      <c r="K2472">
        <v>1.4558662350115232E-2</v>
      </c>
      <c r="L2472" t="s">
        <v>159</v>
      </c>
      <c r="N2472" t="s">
        <v>251</v>
      </c>
      <c r="O2472" t="s">
        <v>160</v>
      </c>
      <c r="P2472">
        <v>2.0864581638101169E-2</v>
      </c>
      <c r="Q2472" t="s">
        <v>159</v>
      </c>
    </row>
    <row r="2473" spans="9:17" x14ac:dyDescent="0.45">
      <c r="I2473" t="s">
        <v>208</v>
      </c>
      <c r="J2473" t="s">
        <v>161</v>
      </c>
      <c r="K2473">
        <v>0.3802612169020273</v>
      </c>
      <c r="L2473" t="s">
        <v>159</v>
      </c>
      <c r="N2473" t="s">
        <v>251</v>
      </c>
      <c r="O2473" t="s">
        <v>161</v>
      </c>
      <c r="P2473">
        <v>0.11181548875999875</v>
      </c>
      <c r="Q2473" t="s">
        <v>159</v>
      </c>
    </row>
    <row r="2474" spans="9:17" x14ac:dyDescent="0.45">
      <c r="I2474" t="s">
        <v>208</v>
      </c>
      <c r="J2474" t="s">
        <v>287</v>
      </c>
      <c r="K2474">
        <v>3.4757119747626672E-2</v>
      </c>
      <c r="L2474" t="s">
        <v>159</v>
      </c>
      <c r="N2474" t="s">
        <v>251</v>
      </c>
      <c r="O2474" t="s">
        <v>287</v>
      </c>
      <c r="P2474">
        <v>9.4594337686959469E-3</v>
      </c>
      <c r="Q2474" t="s">
        <v>159</v>
      </c>
    </row>
    <row r="2475" spans="9:17" x14ac:dyDescent="0.45">
      <c r="I2475" t="s">
        <v>208</v>
      </c>
      <c r="J2475" t="s">
        <v>288</v>
      </c>
      <c r="K2475">
        <v>2.1253191625419054E-2</v>
      </c>
      <c r="L2475" t="s">
        <v>159</v>
      </c>
      <c r="N2475" t="s">
        <v>251</v>
      </c>
      <c r="O2475" t="s">
        <v>288</v>
      </c>
      <c r="P2475">
        <v>1.2282950357302884E-2</v>
      </c>
      <c r="Q2475" t="s">
        <v>159</v>
      </c>
    </row>
    <row r="2476" spans="9:17" x14ac:dyDescent="0.45">
      <c r="I2476" t="s">
        <v>208</v>
      </c>
      <c r="J2476" t="s">
        <v>308</v>
      </c>
      <c r="K2476">
        <v>7.8211732564363763E-3</v>
      </c>
      <c r="L2476" t="s">
        <v>159</v>
      </c>
      <c r="N2476" t="s">
        <v>251</v>
      </c>
      <c r="O2476" t="s">
        <v>308</v>
      </c>
      <c r="P2476">
        <v>0.12065131501002133</v>
      </c>
      <c r="Q2476" t="s">
        <v>159</v>
      </c>
    </row>
    <row r="2477" spans="9:17" x14ac:dyDescent="0.45">
      <c r="I2477" t="s">
        <v>208</v>
      </c>
      <c r="J2477" t="s">
        <v>162</v>
      </c>
      <c r="K2477">
        <v>0</v>
      </c>
      <c r="L2477" t="s">
        <v>159</v>
      </c>
      <c r="N2477" t="s">
        <v>251</v>
      </c>
      <c r="O2477" t="s">
        <v>162</v>
      </c>
      <c r="P2477">
        <v>2.8236368647085956E-2</v>
      </c>
      <c r="Q2477" t="s">
        <v>159</v>
      </c>
    </row>
    <row r="2478" spans="9:17" x14ac:dyDescent="0.45">
      <c r="I2478" t="s">
        <v>208</v>
      </c>
      <c r="J2478" t="s">
        <v>163</v>
      </c>
      <c r="K2478">
        <v>0</v>
      </c>
      <c r="L2478" t="s">
        <v>159</v>
      </c>
      <c r="N2478" t="s">
        <v>251</v>
      </c>
      <c r="O2478" t="s">
        <v>163</v>
      </c>
      <c r="P2478">
        <v>3.8634833055426802E-3</v>
      </c>
      <c r="Q2478" t="s">
        <v>159</v>
      </c>
    </row>
    <row r="2479" spans="9:17" x14ac:dyDescent="0.45">
      <c r="I2479" t="s">
        <v>208</v>
      </c>
      <c r="J2479" t="s">
        <v>164</v>
      </c>
      <c r="K2479">
        <v>4.7542877754109231E-2</v>
      </c>
      <c r="L2479" t="s">
        <v>159</v>
      </c>
      <c r="N2479" t="s">
        <v>251</v>
      </c>
      <c r="O2479" t="s">
        <v>164</v>
      </c>
      <c r="P2479">
        <v>2.1227938176879756E-2</v>
      </c>
      <c r="Q2479" t="s">
        <v>159</v>
      </c>
    </row>
    <row r="2480" spans="9:17" x14ac:dyDescent="0.45">
      <c r="I2480" t="s">
        <v>208</v>
      </c>
      <c r="J2480" t="s">
        <v>289</v>
      </c>
      <c r="K2480">
        <v>4.4561225687888345E-3</v>
      </c>
      <c r="L2480" t="s">
        <v>159</v>
      </c>
      <c r="N2480" t="s">
        <v>251</v>
      </c>
      <c r="O2480" t="s">
        <v>289</v>
      </c>
      <c r="P2480">
        <v>1.6949156973883443E-3</v>
      </c>
      <c r="Q2480" t="s">
        <v>159</v>
      </c>
    </row>
    <row r="2481" spans="9:17" x14ac:dyDescent="0.45">
      <c r="I2481" t="s">
        <v>208</v>
      </c>
      <c r="J2481" t="s">
        <v>290</v>
      </c>
      <c r="K2481">
        <v>4.5045096642165795E-4</v>
      </c>
      <c r="L2481" t="s">
        <v>159</v>
      </c>
      <c r="N2481" t="s">
        <v>251</v>
      </c>
      <c r="O2481" t="s">
        <v>290</v>
      </c>
      <c r="P2481">
        <v>2.3038270230821083E-3</v>
      </c>
      <c r="Q2481" t="s">
        <v>159</v>
      </c>
    </row>
    <row r="2482" spans="9:17" x14ac:dyDescent="0.45">
      <c r="I2482" t="s">
        <v>208</v>
      </c>
      <c r="J2482" t="s">
        <v>309</v>
      </c>
      <c r="K2482">
        <v>0</v>
      </c>
      <c r="L2482" t="s">
        <v>159</v>
      </c>
      <c r="N2482" t="s">
        <v>251</v>
      </c>
      <c r="O2482" t="s">
        <v>309</v>
      </c>
      <c r="P2482">
        <v>1.8989407103325757E-2</v>
      </c>
      <c r="Q2482" t="s">
        <v>159</v>
      </c>
    </row>
    <row r="2483" spans="9:17" x14ac:dyDescent="0.45">
      <c r="I2483" t="s">
        <v>208</v>
      </c>
      <c r="J2483" t="s">
        <v>346</v>
      </c>
      <c r="K2483">
        <v>0</v>
      </c>
      <c r="L2483" t="s">
        <v>159</v>
      </c>
      <c r="N2483" t="s">
        <v>251</v>
      </c>
      <c r="O2483" t="s">
        <v>346</v>
      </c>
      <c r="P2483">
        <v>3.0035346644015649E-5</v>
      </c>
      <c r="Q2483" t="s">
        <v>159</v>
      </c>
    </row>
    <row r="2484" spans="9:17" x14ac:dyDescent="0.45">
      <c r="I2484" t="s">
        <v>208</v>
      </c>
      <c r="J2484" t="s">
        <v>347</v>
      </c>
      <c r="K2484">
        <v>0</v>
      </c>
      <c r="L2484" t="s">
        <v>159</v>
      </c>
      <c r="N2484" t="s">
        <v>251</v>
      </c>
      <c r="O2484" t="s">
        <v>347</v>
      </c>
      <c r="P2484">
        <v>3.2949083331401112E-5</v>
      </c>
      <c r="Q2484" t="s">
        <v>159</v>
      </c>
    </row>
    <row r="2485" spans="9:17" x14ac:dyDescent="0.45">
      <c r="I2485" t="s">
        <v>208</v>
      </c>
      <c r="J2485" t="s">
        <v>348</v>
      </c>
      <c r="K2485">
        <v>0</v>
      </c>
      <c r="L2485" t="s">
        <v>159</v>
      </c>
      <c r="N2485" t="s">
        <v>251</v>
      </c>
      <c r="O2485" t="s">
        <v>348</v>
      </c>
      <c r="P2485">
        <v>3.6019314697472544E-5</v>
      </c>
      <c r="Q2485" t="s">
        <v>159</v>
      </c>
    </row>
    <row r="2486" spans="9:17" x14ac:dyDescent="0.45">
      <c r="I2486" t="s">
        <v>208</v>
      </c>
      <c r="J2486" t="s">
        <v>349</v>
      </c>
      <c r="K2486">
        <v>0</v>
      </c>
      <c r="L2486" t="s">
        <v>159</v>
      </c>
      <c r="N2486" t="s">
        <v>251</v>
      </c>
      <c r="O2486" t="s">
        <v>349</v>
      </c>
      <c r="P2486">
        <v>3.8580047998010866E-5</v>
      </c>
      <c r="Q2486" t="s">
        <v>159</v>
      </c>
    </row>
    <row r="2487" spans="9:17" x14ac:dyDescent="0.45">
      <c r="I2487" t="s">
        <v>208</v>
      </c>
      <c r="J2487" t="s">
        <v>350</v>
      </c>
      <c r="K2487">
        <v>0</v>
      </c>
      <c r="L2487" t="s">
        <v>159</v>
      </c>
      <c r="N2487" t="s">
        <v>251</v>
      </c>
      <c r="O2487" t="s">
        <v>350</v>
      </c>
      <c r="P2487">
        <v>3.8053607311351886E-5</v>
      </c>
      <c r="Q2487" t="s">
        <v>159</v>
      </c>
    </row>
    <row r="2488" spans="9:17" x14ac:dyDescent="0.45">
      <c r="I2488" t="s">
        <v>208</v>
      </c>
      <c r="J2488" t="s">
        <v>351</v>
      </c>
      <c r="K2488">
        <v>0</v>
      </c>
      <c r="L2488" t="s">
        <v>159</v>
      </c>
      <c r="N2488" t="s">
        <v>251</v>
      </c>
      <c r="O2488" t="s">
        <v>351</v>
      </c>
      <c r="P2488">
        <v>3.2928352007962405E-5</v>
      </c>
      <c r="Q2488" t="s">
        <v>159</v>
      </c>
    </row>
    <row r="2489" spans="9:17" x14ac:dyDescent="0.45">
      <c r="I2489" t="s">
        <v>208</v>
      </c>
      <c r="J2489" t="s">
        <v>352</v>
      </c>
      <c r="K2489">
        <v>0</v>
      </c>
      <c r="L2489" t="s">
        <v>159</v>
      </c>
      <c r="N2489" t="s">
        <v>251</v>
      </c>
      <c r="O2489" t="s">
        <v>352</v>
      </c>
      <c r="P2489">
        <v>3.0309727600217629E-5</v>
      </c>
      <c r="Q2489" t="s">
        <v>159</v>
      </c>
    </row>
    <row r="2490" spans="9:17" x14ac:dyDescent="0.45">
      <c r="I2490" t="s">
        <v>208</v>
      </c>
      <c r="J2490" t="s">
        <v>353</v>
      </c>
      <c r="K2490">
        <v>0</v>
      </c>
      <c r="L2490" t="s">
        <v>159</v>
      </c>
      <c r="N2490" t="s">
        <v>251</v>
      </c>
      <c r="O2490" t="s">
        <v>353</v>
      </c>
      <c r="P2490">
        <v>3.0157711752686217E-5</v>
      </c>
      <c r="Q2490" t="s">
        <v>159</v>
      </c>
    </row>
    <row r="2491" spans="9:17" x14ac:dyDescent="0.45">
      <c r="I2491" t="s">
        <v>208</v>
      </c>
      <c r="J2491" t="s">
        <v>354</v>
      </c>
      <c r="K2491">
        <v>1.2862102387551749E-4</v>
      </c>
      <c r="L2491" t="s">
        <v>159</v>
      </c>
      <c r="N2491" t="s">
        <v>251</v>
      </c>
      <c r="O2491" t="s">
        <v>354</v>
      </c>
      <c r="P2491">
        <v>3.2801284480235856E-5</v>
      </c>
      <c r="Q2491" t="s">
        <v>159</v>
      </c>
    </row>
    <row r="2492" spans="9:17" x14ac:dyDescent="0.45">
      <c r="I2492" t="s">
        <v>208</v>
      </c>
      <c r="J2492" t="s">
        <v>355</v>
      </c>
      <c r="K2492">
        <v>1.7782412633456478E-4</v>
      </c>
      <c r="L2492" t="s">
        <v>159</v>
      </c>
      <c r="N2492" t="s">
        <v>251</v>
      </c>
      <c r="O2492" t="s">
        <v>355</v>
      </c>
      <c r="P2492">
        <v>2.1372447667682331E-5</v>
      </c>
      <c r="Q2492" t="s">
        <v>159</v>
      </c>
    </row>
    <row r="2493" spans="9:17" x14ac:dyDescent="0.45">
      <c r="I2493" t="s">
        <v>208</v>
      </c>
      <c r="J2493" t="s">
        <v>356</v>
      </c>
      <c r="K2493">
        <v>1.8092058489401286E-4</v>
      </c>
      <c r="L2493" t="s">
        <v>159</v>
      </c>
      <c r="N2493" t="s">
        <v>251</v>
      </c>
      <c r="O2493" t="s">
        <v>356</v>
      </c>
      <c r="P2493">
        <v>7.8657707452183619E-6</v>
      </c>
      <c r="Q2493" t="s">
        <v>159</v>
      </c>
    </row>
    <row r="2494" spans="9:17" x14ac:dyDescent="0.45">
      <c r="I2494" t="s">
        <v>208</v>
      </c>
      <c r="J2494" t="s">
        <v>357</v>
      </c>
      <c r="K2494">
        <v>1.8536540874550193E-4</v>
      </c>
      <c r="L2494" t="s">
        <v>159</v>
      </c>
      <c r="N2494" t="s">
        <v>251</v>
      </c>
      <c r="O2494" t="s">
        <v>357</v>
      </c>
      <c r="P2494">
        <v>5.3036639873271551E-6</v>
      </c>
      <c r="Q2494" t="s">
        <v>159</v>
      </c>
    </row>
    <row r="2495" spans="9:17" x14ac:dyDescent="0.45">
      <c r="I2495" t="s">
        <v>208</v>
      </c>
      <c r="J2495" t="s">
        <v>358</v>
      </c>
      <c r="K2495">
        <v>2.1235004074092895E-4</v>
      </c>
      <c r="L2495" t="s">
        <v>159</v>
      </c>
      <c r="N2495" t="s">
        <v>251</v>
      </c>
      <c r="O2495" t="s">
        <v>358</v>
      </c>
      <c r="P2495">
        <v>3.8321407713880757E-6</v>
      </c>
      <c r="Q2495" t="s">
        <v>159</v>
      </c>
    </row>
    <row r="2496" spans="9:17" x14ac:dyDescent="0.45">
      <c r="I2496" t="s">
        <v>208</v>
      </c>
      <c r="J2496" t="s">
        <v>359</v>
      </c>
      <c r="K2496">
        <v>2.3718668675598098E-4</v>
      </c>
      <c r="L2496" t="s">
        <v>159</v>
      </c>
      <c r="N2496" t="s">
        <v>251</v>
      </c>
      <c r="O2496" t="s">
        <v>359</v>
      </c>
      <c r="P2496">
        <v>2.4770395594566217E-6</v>
      </c>
      <c r="Q2496" t="s">
        <v>159</v>
      </c>
    </row>
    <row r="2497" spans="9:17" x14ac:dyDescent="0.45">
      <c r="I2497" t="s">
        <v>208</v>
      </c>
      <c r="J2497" t="s">
        <v>360</v>
      </c>
      <c r="K2497">
        <v>1.9386593501384786E-4</v>
      </c>
      <c r="L2497" t="s">
        <v>159</v>
      </c>
      <c r="N2497" t="s">
        <v>251</v>
      </c>
      <c r="O2497" t="s">
        <v>360</v>
      </c>
      <c r="P2497">
        <v>2.6654463461423961E-6</v>
      </c>
      <c r="Q2497" t="s">
        <v>159</v>
      </c>
    </row>
    <row r="2498" spans="9:17" x14ac:dyDescent="0.45">
      <c r="I2498" t="s">
        <v>208</v>
      </c>
      <c r="J2498" t="s">
        <v>361</v>
      </c>
      <c r="K2498">
        <v>1.6703764975592859E-4</v>
      </c>
      <c r="L2498" t="s">
        <v>159</v>
      </c>
      <c r="N2498" t="s">
        <v>251</v>
      </c>
      <c r="O2498" t="s">
        <v>361</v>
      </c>
      <c r="P2498">
        <v>3.3330774098015032E-6</v>
      </c>
      <c r="Q2498" t="s">
        <v>159</v>
      </c>
    </row>
    <row r="2499" spans="9:17" x14ac:dyDescent="0.45">
      <c r="I2499" t="s">
        <v>208</v>
      </c>
      <c r="J2499" t="s">
        <v>362</v>
      </c>
      <c r="K2499">
        <v>1.6233889004141168E-4</v>
      </c>
      <c r="L2499" t="s">
        <v>159</v>
      </c>
      <c r="N2499" t="s">
        <v>251</v>
      </c>
      <c r="O2499" t="s">
        <v>362</v>
      </c>
      <c r="P2499">
        <v>6.3326722134673405E-6</v>
      </c>
      <c r="Q2499" t="s">
        <v>159</v>
      </c>
    </row>
    <row r="2500" spans="9:17" x14ac:dyDescent="0.45">
      <c r="I2500" t="s">
        <v>208</v>
      </c>
      <c r="J2500" t="s">
        <v>363</v>
      </c>
      <c r="K2500">
        <v>1.4813375182912174E-4</v>
      </c>
      <c r="L2500" t="s">
        <v>159</v>
      </c>
      <c r="N2500" t="s">
        <v>251</v>
      </c>
      <c r="O2500" t="s">
        <v>363</v>
      </c>
      <c r="P2500">
        <v>2.0032722280891913E-5</v>
      </c>
      <c r="Q2500" t="s">
        <v>159</v>
      </c>
    </row>
    <row r="2501" spans="9:17" x14ac:dyDescent="0.45">
      <c r="I2501" t="s">
        <v>208</v>
      </c>
      <c r="J2501" t="s">
        <v>364</v>
      </c>
      <c r="K2501">
        <v>0</v>
      </c>
      <c r="L2501" t="s">
        <v>159</v>
      </c>
      <c r="N2501" t="s">
        <v>251</v>
      </c>
      <c r="O2501" t="s">
        <v>364</v>
      </c>
      <c r="P2501">
        <v>4.327595631901151E-5</v>
      </c>
      <c r="Q2501" t="s">
        <v>159</v>
      </c>
    </row>
    <row r="2502" spans="9:17" x14ac:dyDescent="0.45">
      <c r="I2502" t="s">
        <v>208</v>
      </c>
      <c r="J2502" t="s">
        <v>365</v>
      </c>
      <c r="K2502">
        <v>0</v>
      </c>
      <c r="L2502" t="s">
        <v>159</v>
      </c>
      <c r="N2502" t="s">
        <v>251</v>
      </c>
      <c r="O2502" t="s">
        <v>365</v>
      </c>
      <c r="P2502">
        <v>6.468099818547015E-5</v>
      </c>
      <c r="Q2502" t="s">
        <v>159</v>
      </c>
    </row>
    <row r="2503" spans="9:17" x14ac:dyDescent="0.45">
      <c r="I2503" t="s">
        <v>208</v>
      </c>
      <c r="J2503" t="s">
        <v>366</v>
      </c>
      <c r="K2503">
        <v>0</v>
      </c>
      <c r="L2503" t="s">
        <v>159</v>
      </c>
      <c r="N2503" t="s">
        <v>251</v>
      </c>
      <c r="O2503" t="s">
        <v>366</v>
      </c>
      <c r="P2503">
        <v>7.4355612441686939E-5</v>
      </c>
      <c r="Q2503" t="s">
        <v>159</v>
      </c>
    </row>
    <row r="2504" spans="9:17" x14ac:dyDescent="0.45">
      <c r="I2504" t="s">
        <v>208</v>
      </c>
      <c r="J2504" t="s">
        <v>367</v>
      </c>
      <c r="K2504">
        <v>0</v>
      </c>
      <c r="L2504" t="s">
        <v>159</v>
      </c>
      <c r="N2504" t="s">
        <v>251</v>
      </c>
      <c r="O2504" t="s">
        <v>367</v>
      </c>
      <c r="P2504">
        <v>7.6610323099584793E-5</v>
      </c>
      <c r="Q2504" t="s">
        <v>159</v>
      </c>
    </row>
    <row r="2505" spans="9:17" x14ac:dyDescent="0.45">
      <c r="I2505" t="s">
        <v>208</v>
      </c>
      <c r="J2505" t="s">
        <v>368</v>
      </c>
      <c r="K2505">
        <v>0</v>
      </c>
      <c r="L2505" t="s">
        <v>159</v>
      </c>
      <c r="N2505" t="s">
        <v>251</v>
      </c>
      <c r="O2505" t="s">
        <v>368</v>
      </c>
      <c r="P2505">
        <v>7.4283565104218892E-5</v>
      </c>
      <c r="Q2505" t="s">
        <v>159</v>
      </c>
    </row>
    <row r="2506" spans="9:17" x14ac:dyDescent="0.45">
      <c r="I2506" t="s">
        <v>208</v>
      </c>
      <c r="J2506" t="s">
        <v>369</v>
      </c>
      <c r="K2506">
        <v>0</v>
      </c>
      <c r="L2506" t="s">
        <v>159</v>
      </c>
      <c r="N2506" t="s">
        <v>251</v>
      </c>
      <c r="O2506" t="s">
        <v>369</v>
      </c>
      <c r="P2506">
        <v>7.7001902566740547E-5</v>
      </c>
      <c r="Q2506" t="s">
        <v>159</v>
      </c>
    </row>
    <row r="2507" spans="9:17" x14ac:dyDescent="0.45">
      <c r="I2507" t="s">
        <v>208</v>
      </c>
      <c r="J2507" t="s">
        <v>165</v>
      </c>
      <c r="K2507">
        <v>0</v>
      </c>
      <c r="L2507" t="s">
        <v>159</v>
      </c>
      <c r="N2507" t="s">
        <v>251</v>
      </c>
      <c r="O2507" t="s">
        <v>165</v>
      </c>
      <c r="P2507">
        <v>3.2557856776908797E-2</v>
      </c>
      <c r="Q2507" t="s">
        <v>159</v>
      </c>
    </row>
    <row r="2508" spans="9:17" x14ac:dyDescent="0.45">
      <c r="I2508" t="s">
        <v>208</v>
      </c>
      <c r="J2508" t="s">
        <v>166</v>
      </c>
      <c r="K2508">
        <v>0</v>
      </c>
      <c r="L2508" t="s">
        <v>159</v>
      </c>
      <c r="N2508" t="s">
        <v>251</v>
      </c>
      <c r="O2508" t="s">
        <v>166</v>
      </c>
      <c r="P2508">
        <v>4.1795296147187598E-3</v>
      </c>
      <c r="Q2508" t="s">
        <v>159</v>
      </c>
    </row>
    <row r="2509" spans="9:17" x14ac:dyDescent="0.45">
      <c r="I2509" t="s">
        <v>208</v>
      </c>
      <c r="J2509" t="s">
        <v>167</v>
      </c>
      <c r="K2509">
        <v>6.2866670051391613E-2</v>
      </c>
      <c r="L2509" t="s">
        <v>159</v>
      </c>
      <c r="N2509" t="s">
        <v>251</v>
      </c>
      <c r="O2509" t="s">
        <v>167</v>
      </c>
      <c r="P2509">
        <v>2.4360979192050429E-2</v>
      </c>
      <c r="Q2509" t="s">
        <v>159</v>
      </c>
    </row>
    <row r="2510" spans="9:17" x14ac:dyDescent="0.45">
      <c r="I2510" t="s">
        <v>208</v>
      </c>
      <c r="J2510" t="s">
        <v>291</v>
      </c>
      <c r="K2510">
        <v>5.9334194132136331E-3</v>
      </c>
      <c r="L2510" t="s">
        <v>159</v>
      </c>
      <c r="N2510" t="s">
        <v>251</v>
      </c>
      <c r="O2510" t="s">
        <v>291</v>
      </c>
      <c r="P2510">
        <v>2.3772491960205012E-3</v>
      </c>
      <c r="Q2510" t="s">
        <v>159</v>
      </c>
    </row>
    <row r="2511" spans="9:17" x14ac:dyDescent="0.45">
      <c r="I2511" t="s">
        <v>208</v>
      </c>
      <c r="J2511" t="s">
        <v>292</v>
      </c>
      <c r="K2511">
        <v>4.0868235743722735E-3</v>
      </c>
      <c r="L2511" t="s">
        <v>159</v>
      </c>
      <c r="N2511" t="s">
        <v>251</v>
      </c>
      <c r="O2511" t="s">
        <v>292</v>
      </c>
      <c r="P2511">
        <v>3.026228998373418E-3</v>
      </c>
      <c r="Q2511" t="s">
        <v>159</v>
      </c>
    </row>
    <row r="2512" spans="9:17" x14ac:dyDescent="0.45">
      <c r="I2512" t="s">
        <v>208</v>
      </c>
      <c r="J2512" t="s">
        <v>310</v>
      </c>
      <c r="K2512">
        <v>0</v>
      </c>
      <c r="L2512" t="s">
        <v>159</v>
      </c>
      <c r="N2512" t="s">
        <v>251</v>
      </c>
      <c r="O2512" t="s">
        <v>310</v>
      </c>
      <c r="P2512">
        <v>2.3997810031763513E-2</v>
      </c>
      <c r="Q2512" t="s">
        <v>159</v>
      </c>
    </row>
    <row r="2513" spans="9:17" x14ac:dyDescent="0.45">
      <c r="I2513" t="s">
        <v>208</v>
      </c>
      <c r="J2513" t="s">
        <v>293</v>
      </c>
      <c r="K2513">
        <v>0</v>
      </c>
      <c r="L2513" t="s">
        <v>159</v>
      </c>
      <c r="N2513" t="s">
        <v>251</v>
      </c>
      <c r="O2513" t="s">
        <v>293</v>
      </c>
      <c r="P2513">
        <v>8.2236244912412271E-3</v>
      </c>
      <c r="Q2513" t="s">
        <v>159</v>
      </c>
    </row>
    <row r="2514" spans="9:17" x14ac:dyDescent="0.45">
      <c r="I2514" t="s">
        <v>208</v>
      </c>
      <c r="J2514" t="s">
        <v>294</v>
      </c>
      <c r="K2514">
        <v>0</v>
      </c>
      <c r="L2514" t="s">
        <v>159</v>
      </c>
      <c r="N2514" t="s">
        <v>251</v>
      </c>
      <c r="O2514" t="s">
        <v>294</v>
      </c>
      <c r="P2514">
        <v>9.7529978902229141E-4</v>
      </c>
      <c r="Q2514" t="s">
        <v>159</v>
      </c>
    </row>
    <row r="2515" spans="9:17" x14ac:dyDescent="0.45">
      <c r="I2515" t="s">
        <v>208</v>
      </c>
      <c r="J2515" t="s">
        <v>295</v>
      </c>
      <c r="K2515">
        <v>1.5388241606248007E-2</v>
      </c>
      <c r="L2515" t="s">
        <v>159</v>
      </c>
      <c r="N2515" t="s">
        <v>251</v>
      </c>
      <c r="O2515" t="s">
        <v>295</v>
      </c>
      <c r="P2515">
        <v>7.8775448830878253E-3</v>
      </c>
      <c r="Q2515" t="s">
        <v>159</v>
      </c>
    </row>
    <row r="2516" spans="9:17" x14ac:dyDescent="0.45">
      <c r="I2516" t="s">
        <v>208</v>
      </c>
      <c r="J2516" t="s">
        <v>296</v>
      </c>
      <c r="K2516">
        <v>1.4240341605334019E-3</v>
      </c>
      <c r="L2516" t="s">
        <v>159</v>
      </c>
      <c r="N2516" t="s">
        <v>251</v>
      </c>
      <c r="O2516" t="s">
        <v>296</v>
      </c>
      <c r="P2516">
        <v>7.0594377855973871E-4</v>
      </c>
      <c r="Q2516" t="s">
        <v>159</v>
      </c>
    </row>
    <row r="2517" spans="9:17" x14ac:dyDescent="0.45">
      <c r="I2517" t="s">
        <v>208</v>
      </c>
      <c r="J2517" t="s">
        <v>297</v>
      </c>
      <c r="K2517">
        <v>9.4614243550728374E-4</v>
      </c>
      <c r="L2517" t="s">
        <v>159</v>
      </c>
      <c r="N2517" t="s">
        <v>251</v>
      </c>
      <c r="O2517" t="s">
        <v>297</v>
      </c>
      <c r="P2517">
        <v>7.2655313084473122E-4</v>
      </c>
      <c r="Q2517" t="s">
        <v>159</v>
      </c>
    </row>
    <row r="2518" spans="9:17" x14ac:dyDescent="0.45">
      <c r="I2518" t="s">
        <v>208</v>
      </c>
      <c r="J2518" t="s">
        <v>311</v>
      </c>
      <c r="K2518">
        <v>0</v>
      </c>
      <c r="L2518" t="s">
        <v>159</v>
      </c>
      <c r="N2518" t="s">
        <v>251</v>
      </c>
      <c r="O2518" t="s">
        <v>311</v>
      </c>
      <c r="P2518">
        <v>5.7707588424291707E-3</v>
      </c>
      <c r="Q2518" t="s">
        <v>159</v>
      </c>
    </row>
    <row r="2519" spans="9:17" x14ac:dyDescent="0.45">
      <c r="I2519" t="s">
        <v>208</v>
      </c>
      <c r="J2519" t="s">
        <v>298</v>
      </c>
      <c r="K2519">
        <v>3.1884871355869122E-3</v>
      </c>
      <c r="L2519" t="s">
        <v>159</v>
      </c>
      <c r="N2519" t="s">
        <v>251</v>
      </c>
      <c r="O2519" t="s">
        <v>298</v>
      </c>
      <c r="P2519">
        <v>0.10635348953631275</v>
      </c>
      <c r="Q2519" t="s">
        <v>159</v>
      </c>
    </row>
    <row r="2520" spans="9:17" x14ac:dyDescent="0.45">
      <c r="I2520" t="s">
        <v>208</v>
      </c>
      <c r="J2520" t="s">
        <v>299</v>
      </c>
      <c r="K2520">
        <v>1.5558659143405951E-2</v>
      </c>
      <c r="L2520" t="s">
        <v>159</v>
      </c>
      <c r="N2520" t="s">
        <v>251</v>
      </c>
      <c r="O2520" t="s">
        <v>299</v>
      </c>
      <c r="P2520">
        <v>8.6363896650023704E-3</v>
      </c>
      <c r="Q2520" t="s">
        <v>159</v>
      </c>
    </row>
    <row r="2521" spans="9:17" x14ac:dyDescent="0.45">
      <c r="I2521" t="s">
        <v>208</v>
      </c>
      <c r="J2521" t="s">
        <v>300</v>
      </c>
      <c r="K2521">
        <v>0.24858518894954776</v>
      </c>
      <c r="L2521" t="s">
        <v>159</v>
      </c>
      <c r="N2521" t="s">
        <v>251</v>
      </c>
      <c r="O2521" t="s">
        <v>300</v>
      </c>
      <c r="P2521">
        <v>6.0585569053691529E-2</v>
      </c>
      <c r="Q2521" t="s">
        <v>159</v>
      </c>
    </row>
    <row r="2522" spans="9:17" x14ac:dyDescent="0.45">
      <c r="I2522" t="s">
        <v>208</v>
      </c>
      <c r="J2522" t="s">
        <v>301</v>
      </c>
      <c r="K2522">
        <v>2.121807391938196E-2</v>
      </c>
      <c r="L2522" t="s">
        <v>159</v>
      </c>
      <c r="N2522" t="s">
        <v>251</v>
      </c>
      <c r="O2522" t="s">
        <v>301</v>
      </c>
      <c r="P2522">
        <v>8.2686735751276372E-3</v>
      </c>
      <c r="Q2522" t="s">
        <v>159</v>
      </c>
    </row>
    <row r="2523" spans="9:17" x14ac:dyDescent="0.45">
      <c r="I2523" t="s">
        <v>208</v>
      </c>
      <c r="J2523" t="s">
        <v>302</v>
      </c>
      <c r="K2523">
        <v>1.4614164311550921E-2</v>
      </c>
      <c r="L2523" t="s">
        <v>159</v>
      </c>
      <c r="N2523" t="s">
        <v>251</v>
      </c>
      <c r="O2523" t="s">
        <v>302</v>
      </c>
      <c r="P2523">
        <v>9.4579443598343405E-3</v>
      </c>
      <c r="Q2523" t="s">
        <v>159</v>
      </c>
    </row>
    <row r="2524" spans="9:17" x14ac:dyDescent="0.45">
      <c r="I2524" t="s">
        <v>208</v>
      </c>
      <c r="J2524" t="s">
        <v>312</v>
      </c>
      <c r="K2524">
        <v>1.2655886745206457E-3</v>
      </c>
      <c r="L2524" t="s">
        <v>159</v>
      </c>
      <c r="N2524" t="s">
        <v>251</v>
      </c>
      <c r="O2524" t="s">
        <v>312</v>
      </c>
      <c r="P2524">
        <v>8.1395680657364758E-2</v>
      </c>
      <c r="Q2524" t="s">
        <v>159</v>
      </c>
    </row>
    <row r="2525" spans="9:17" x14ac:dyDescent="0.45">
      <c r="I2525" t="s">
        <v>208</v>
      </c>
      <c r="J2525" t="s">
        <v>313</v>
      </c>
      <c r="K2525">
        <v>2.2822951989201587E-3</v>
      </c>
      <c r="L2525" t="s">
        <v>159</v>
      </c>
      <c r="N2525" t="s">
        <v>251</v>
      </c>
      <c r="O2525" t="s">
        <v>313</v>
      </c>
      <c r="P2525">
        <v>3.0844517669950135E-2</v>
      </c>
      <c r="Q2525" t="s">
        <v>159</v>
      </c>
    </row>
    <row r="2526" spans="9:17" x14ac:dyDescent="0.45">
      <c r="I2526" t="s">
        <v>208</v>
      </c>
      <c r="J2526" t="s">
        <v>314</v>
      </c>
      <c r="K2526">
        <v>4.427567166795222E-3</v>
      </c>
      <c r="L2526" t="s">
        <v>159</v>
      </c>
      <c r="N2526" t="s">
        <v>251</v>
      </c>
      <c r="O2526" t="s">
        <v>314</v>
      </c>
      <c r="P2526">
        <v>2.6741161234404873E-3</v>
      </c>
      <c r="Q2526" t="s">
        <v>159</v>
      </c>
    </row>
    <row r="2527" spans="9:17" x14ac:dyDescent="0.45">
      <c r="I2527" t="s">
        <v>208</v>
      </c>
      <c r="J2527" t="s">
        <v>315</v>
      </c>
      <c r="K2527">
        <v>7.1339561134916102E-2</v>
      </c>
      <c r="L2527" t="s">
        <v>159</v>
      </c>
      <c r="N2527" t="s">
        <v>251</v>
      </c>
      <c r="O2527" t="s">
        <v>315</v>
      </c>
      <c r="P2527">
        <v>1.392683410898117E-2</v>
      </c>
      <c r="Q2527" t="s">
        <v>159</v>
      </c>
    </row>
    <row r="2528" spans="9:17" x14ac:dyDescent="0.45">
      <c r="I2528" t="s">
        <v>208</v>
      </c>
      <c r="J2528" t="s">
        <v>316</v>
      </c>
      <c r="K2528">
        <v>6.335067161763637E-3</v>
      </c>
      <c r="L2528" t="s">
        <v>159</v>
      </c>
      <c r="N2528" t="s">
        <v>251</v>
      </c>
      <c r="O2528" t="s">
        <v>316</v>
      </c>
      <c r="P2528">
        <v>1.259026175026024E-3</v>
      </c>
      <c r="Q2528" t="s">
        <v>159</v>
      </c>
    </row>
    <row r="2529" spans="9:17" x14ac:dyDescent="0.45">
      <c r="I2529" t="s">
        <v>208</v>
      </c>
      <c r="J2529" t="s">
        <v>317</v>
      </c>
      <c r="K2529">
        <v>4.7146832820996083E-3</v>
      </c>
      <c r="L2529" t="s">
        <v>159</v>
      </c>
      <c r="N2529" t="s">
        <v>251</v>
      </c>
      <c r="O2529" t="s">
        <v>317</v>
      </c>
      <c r="P2529">
        <v>1.577565416611528E-3</v>
      </c>
      <c r="Q2529" t="s">
        <v>159</v>
      </c>
    </row>
    <row r="2530" spans="9:17" x14ac:dyDescent="0.45">
      <c r="I2530" t="s">
        <v>208</v>
      </c>
      <c r="J2530" t="s">
        <v>318</v>
      </c>
      <c r="K2530">
        <v>2.7455550444823377E-3</v>
      </c>
      <c r="L2530" t="s">
        <v>159</v>
      </c>
      <c r="N2530" t="s">
        <v>251</v>
      </c>
      <c r="O2530" t="s">
        <v>318</v>
      </c>
      <c r="P2530">
        <v>1.9612793910038093E-2</v>
      </c>
      <c r="Q2530" t="s">
        <v>159</v>
      </c>
    </row>
    <row r="2531" spans="9:17" x14ac:dyDescent="0.45">
      <c r="I2531" t="s">
        <v>209</v>
      </c>
      <c r="J2531" t="s">
        <v>158</v>
      </c>
      <c r="K2531">
        <v>1.0449113922378658E-3</v>
      </c>
      <c r="L2531" t="s">
        <v>159</v>
      </c>
    </row>
    <row r="2532" spans="9:17" x14ac:dyDescent="0.45">
      <c r="I2532" t="s">
        <v>209</v>
      </c>
      <c r="J2532" t="s">
        <v>160</v>
      </c>
      <c r="K2532">
        <v>1.4024774081668681E-2</v>
      </c>
      <c r="L2532" t="s">
        <v>159</v>
      </c>
    </row>
    <row r="2533" spans="9:17" x14ac:dyDescent="0.45">
      <c r="I2533" t="s">
        <v>209</v>
      </c>
      <c r="J2533" t="s">
        <v>161</v>
      </c>
      <c r="K2533">
        <v>0.38387320844105183</v>
      </c>
      <c r="L2533" t="s">
        <v>159</v>
      </c>
    </row>
    <row r="2534" spans="9:17" x14ac:dyDescent="0.45">
      <c r="I2534" t="s">
        <v>209</v>
      </c>
      <c r="J2534" t="s">
        <v>287</v>
      </c>
      <c r="K2534">
        <v>3.4304461764467435E-2</v>
      </c>
      <c r="L2534" t="s">
        <v>159</v>
      </c>
    </row>
    <row r="2535" spans="9:17" x14ac:dyDescent="0.45">
      <c r="I2535" t="s">
        <v>209</v>
      </c>
      <c r="J2535" t="s">
        <v>288</v>
      </c>
      <c r="K2535">
        <v>1.8471383336725336E-2</v>
      </c>
      <c r="L2535" t="s">
        <v>159</v>
      </c>
    </row>
    <row r="2536" spans="9:17" x14ac:dyDescent="0.45">
      <c r="I2536" t="s">
        <v>209</v>
      </c>
      <c r="J2536" t="s">
        <v>308</v>
      </c>
      <c r="K2536">
        <v>6.8783471758101337E-3</v>
      </c>
      <c r="L2536" t="s">
        <v>159</v>
      </c>
    </row>
    <row r="2537" spans="9:17" x14ac:dyDescent="0.45">
      <c r="I2537" t="s">
        <v>209</v>
      </c>
      <c r="J2537" t="s">
        <v>162</v>
      </c>
      <c r="K2537">
        <v>0</v>
      </c>
      <c r="L2537" t="s">
        <v>159</v>
      </c>
    </row>
    <row r="2538" spans="9:17" x14ac:dyDescent="0.45">
      <c r="I2538" t="s">
        <v>209</v>
      </c>
      <c r="J2538" t="s">
        <v>163</v>
      </c>
      <c r="K2538">
        <v>0</v>
      </c>
      <c r="L2538" t="s">
        <v>159</v>
      </c>
    </row>
    <row r="2539" spans="9:17" x14ac:dyDescent="0.45">
      <c r="I2539" t="s">
        <v>209</v>
      </c>
      <c r="J2539" t="s">
        <v>164</v>
      </c>
      <c r="K2539">
        <v>4.8431669381584767E-2</v>
      </c>
      <c r="L2539" t="s">
        <v>159</v>
      </c>
    </row>
    <row r="2540" spans="9:17" x14ac:dyDescent="0.45">
      <c r="I2540" t="s">
        <v>209</v>
      </c>
      <c r="J2540" t="s">
        <v>289</v>
      </c>
      <c r="K2540">
        <v>4.5027121749765288E-3</v>
      </c>
      <c r="L2540" t="s">
        <v>159</v>
      </c>
    </row>
    <row r="2541" spans="9:17" x14ac:dyDescent="0.45">
      <c r="I2541" t="s">
        <v>209</v>
      </c>
      <c r="J2541" t="s">
        <v>290</v>
      </c>
      <c r="K2541">
        <v>0</v>
      </c>
      <c r="L2541" t="s">
        <v>159</v>
      </c>
    </row>
    <row r="2542" spans="9:17" x14ac:dyDescent="0.45">
      <c r="I2542" t="s">
        <v>209</v>
      </c>
      <c r="J2542" t="s">
        <v>309</v>
      </c>
      <c r="K2542">
        <v>0</v>
      </c>
      <c r="L2542" t="s">
        <v>159</v>
      </c>
    </row>
    <row r="2543" spans="9:17" x14ac:dyDescent="0.45">
      <c r="I2543" t="s">
        <v>209</v>
      </c>
      <c r="J2543" t="s">
        <v>346</v>
      </c>
      <c r="K2543">
        <v>0</v>
      </c>
      <c r="L2543" t="s">
        <v>159</v>
      </c>
    </row>
    <row r="2544" spans="9:17" x14ac:dyDescent="0.45">
      <c r="I2544" t="s">
        <v>209</v>
      </c>
      <c r="J2544" t="s">
        <v>347</v>
      </c>
      <c r="K2544">
        <v>0</v>
      </c>
      <c r="L2544" t="s">
        <v>159</v>
      </c>
    </row>
    <row r="2545" spans="9:12" x14ac:dyDescent="0.45">
      <c r="I2545" t="s">
        <v>209</v>
      </c>
      <c r="J2545" t="s">
        <v>348</v>
      </c>
      <c r="K2545">
        <v>0</v>
      </c>
      <c r="L2545" t="s">
        <v>159</v>
      </c>
    </row>
    <row r="2546" spans="9:12" x14ac:dyDescent="0.45">
      <c r="I2546" t="s">
        <v>209</v>
      </c>
      <c r="J2546" t="s">
        <v>349</v>
      </c>
      <c r="K2546">
        <v>0</v>
      </c>
      <c r="L2546" t="s">
        <v>159</v>
      </c>
    </row>
    <row r="2547" spans="9:12" x14ac:dyDescent="0.45">
      <c r="I2547" t="s">
        <v>209</v>
      </c>
      <c r="J2547" t="s">
        <v>350</v>
      </c>
      <c r="K2547">
        <v>0</v>
      </c>
      <c r="L2547" t="s">
        <v>159</v>
      </c>
    </row>
    <row r="2548" spans="9:12" x14ac:dyDescent="0.45">
      <c r="I2548" t="s">
        <v>209</v>
      </c>
      <c r="J2548" t="s">
        <v>351</v>
      </c>
      <c r="K2548">
        <v>0</v>
      </c>
      <c r="L2548" t="s">
        <v>159</v>
      </c>
    </row>
    <row r="2549" spans="9:12" x14ac:dyDescent="0.45">
      <c r="I2549" t="s">
        <v>209</v>
      </c>
      <c r="J2549" t="s">
        <v>352</v>
      </c>
      <c r="K2549">
        <v>0</v>
      </c>
      <c r="L2549" t="s">
        <v>159</v>
      </c>
    </row>
    <row r="2550" spans="9:12" x14ac:dyDescent="0.45">
      <c r="I2550" t="s">
        <v>209</v>
      </c>
      <c r="J2550" t="s">
        <v>353</v>
      </c>
      <c r="K2550">
        <v>0</v>
      </c>
      <c r="L2550" t="s">
        <v>159</v>
      </c>
    </row>
    <row r="2551" spans="9:12" x14ac:dyDescent="0.45">
      <c r="I2551" t="s">
        <v>209</v>
      </c>
      <c r="J2551" t="s">
        <v>354</v>
      </c>
      <c r="K2551">
        <v>1.075345953440315E-4</v>
      </c>
      <c r="L2551" t="s">
        <v>159</v>
      </c>
    </row>
    <row r="2552" spans="9:12" x14ac:dyDescent="0.45">
      <c r="I2552" t="s">
        <v>209</v>
      </c>
      <c r="J2552" t="s">
        <v>355</v>
      </c>
      <c r="K2552">
        <v>1.4375608098322369E-4</v>
      </c>
      <c r="L2552" t="s">
        <v>159</v>
      </c>
    </row>
    <row r="2553" spans="9:12" x14ac:dyDescent="0.45">
      <c r="I2553" t="s">
        <v>209</v>
      </c>
      <c r="J2553" t="s">
        <v>356</v>
      </c>
      <c r="K2553">
        <v>1.5530925537221688E-4</v>
      </c>
      <c r="L2553" t="s">
        <v>159</v>
      </c>
    </row>
    <row r="2554" spans="9:12" x14ac:dyDescent="0.45">
      <c r="I2554" t="s">
        <v>209</v>
      </c>
      <c r="J2554" t="s">
        <v>357</v>
      </c>
      <c r="K2554">
        <v>1.7573028408701343E-4</v>
      </c>
      <c r="L2554" t="s">
        <v>159</v>
      </c>
    </row>
    <row r="2555" spans="9:12" x14ac:dyDescent="0.45">
      <c r="I2555" t="s">
        <v>209</v>
      </c>
      <c r="J2555" t="s">
        <v>358</v>
      </c>
      <c r="K2555">
        <v>2.0096679948219997E-4</v>
      </c>
      <c r="L2555" t="s">
        <v>159</v>
      </c>
    </row>
    <row r="2556" spans="9:12" x14ac:dyDescent="0.45">
      <c r="I2556" t="s">
        <v>209</v>
      </c>
      <c r="J2556" t="s">
        <v>359</v>
      </c>
      <c r="K2556">
        <v>2.3224038790100096E-4</v>
      </c>
      <c r="L2556" t="s">
        <v>159</v>
      </c>
    </row>
    <row r="2557" spans="9:12" x14ac:dyDescent="0.45">
      <c r="I2557" t="s">
        <v>209</v>
      </c>
      <c r="J2557" t="s">
        <v>360</v>
      </c>
      <c r="K2557">
        <v>1.9201036853751477E-4</v>
      </c>
      <c r="L2557" t="s">
        <v>159</v>
      </c>
    </row>
    <row r="2558" spans="9:12" x14ac:dyDescent="0.45">
      <c r="I2558" t="s">
        <v>209</v>
      </c>
      <c r="J2558" t="s">
        <v>361</v>
      </c>
      <c r="K2558">
        <v>1.7945879039861677E-4</v>
      </c>
      <c r="L2558" t="s">
        <v>159</v>
      </c>
    </row>
    <row r="2559" spans="9:12" x14ac:dyDescent="0.45">
      <c r="I2559" t="s">
        <v>209</v>
      </c>
      <c r="J2559" t="s">
        <v>362</v>
      </c>
      <c r="K2559">
        <v>1.7932570329168643E-4</v>
      </c>
      <c r="L2559" t="s">
        <v>159</v>
      </c>
    </row>
    <row r="2560" spans="9:12" x14ac:dyDescent="0.45">
      <c r="I2560" t="s">
        <v>209</v>
      </c>
      <c r="J2560" t="s">
        <v>363</v>
      </c>
      <c r="K2560">
        <v>1.6086663163490116E-4</v>
      </c>
      <c r="L2560" t="s">
        <v>159</v>
      </c>
    </row>
    <row r="2561" spans="9:12" x14ac:dyDescent="0.45">
      <c r="I2561" t="s">
        <v>209</v>
      </c>
      <c r="J2561" t="s">
        <v>364</v>
      </c>
      <c r="K2561">
        <v>0</v>
      </c>
      <c r="L2561" t="s">
        <v>159</v>
      </c>
    </row>
    <row r="2562" spans="9:12" x14ac:dyDescent="0.45">
      <c r="I2562" t="s">
        <v>209</v>
      </c>
      <c r="J2562" t="s">
        <v>365</v>
      </c>
      <c r="K2562">
        <v>0</v>
      </c>
      <c r="L2562" t="s">
        <v>159</v>
      </c>
    </row>
    <row r="2563" spans="9:12" x14ac:dyDescent="0.45">
      <c r="I2563" t="s">
        <v>209</v>
      </c>
      <c r="J2563" t="s">
        <v>366</v>
      </c>
      <c r="K2563">
        <v>0</v>
      </c>
      <c r="L2563" t="s">
        <v>159</v>
      </c>
    </row>
    <row r="2564" spans="9:12" x14ac:dyDescent="0.45">
      <c r="I2564" t="s">
        <v>209</v>
      </c>
      <c r="J2564" t="s">
        <v>367</v>
      </c>
      <c r="K2564">
        <v>0</v>
      </c>
      <c r="L2564" t="s">
        <v>159</v>
      </c>
    </row>
    <row r="2565" spans="9:12" x14ac:dyDescent="0.45">
      <c r="I2565" t="s">
        <v>209</v>
      </c>
      <c r="J2565" t="s">
        <v>368</v>
      </c>
      <c r="K2565">
        <v>0</v>
      </c>
      <c r="L2565" t="s">
        <v>159</v>
      </c>
    </row>
    <row r="2566" spans="9:12" x14ac:dyDescent="0.45">
      <c r="I2566" t="s">
        <v>209</v>
      </c>
      <c r="J2566" t="s">
        <v>369</v>
      </c>
      <c r="K2566">
        <v>0</v>
      </c>
      <c r="L2566" t="s">
        <v>159</v>
      </c>
    </row>
    <row r="2567" spans="9:12" x14ac:dyDescent="0.45">
      <c r="I2567" t="s">
        <v>209</v>
      </c>
      <c r="J2567" t="s">
        <v>165</v>
      </c>
      <c r="K2567">
        <v>0</v>
      </c>
      <c r="L2567" t="s">
        <v>159</v>
      </c>
    </row>
    <row r="2568" spans="9:12" x14ac:dyDescent="0.45">
      <c r="I2568" t="s">
        <v>209</v>
      </c>
      <c r="J2568" t="s">
        <v>166</v>
      </c>
      <c r="K2568">
        <v>0</v>
      </c>
      <c r="L2568" t="s">
        <v>159</v>
      </c>
    </row>
    <row r="2569" spans="9:12" x14ac:dyDescent="0.45">
      <c r="I2569" t="s">
        <v>209</v>
      </c>
      <c r="J2569" t="s">
        <v>167</v>
      </c>
      <c r="K2569">
        <v>6.4225923262173967E-2</v>
      </c>
      <c r="L2569" t="s">
        <v>159</v>
      </c>
    </row>
    <row r="2570" spans="9:12" x14ac:dyDescent="0.45">
      <c r="I2570" t="s">
        <v>209</v>
      </c>
      <c r="J2570" t="s">
        <v>291</v>
      </c>
      <c r="K2570">
        <v>6.1358790750335752E-3</v>
      </c>
      <c r="L2570" t="s">
        <v>159</v>
      </c>
    </row>
    <row r="2571" spans="9:12" x14ac:dyDescent="0.45">
      <c r="I2571" t="s">
        <v>209</v>
      </c>
      <c r="J2571" t="s">
        <v>292</v>
      </c>
      <c r="K2571">
        <v>2.7297310829428596E-3</v>
      </c>
      <c r="L2571" t="s">
        <v>159</v>
      </c>
    </row>
    <row r="2572" spans="9:12" x14ac:dyDescent="0.45">
      <c r="I2572" t="s">
        <v>209</v>
      </c>
      <c r="J2572" t="s">
        <v>310</v>
      </c>
      <c r="K2572">
        <v>0</v>
      </c>
      <c r="L2572" t="s">
        <v>159</v>
      </c>
    </row>
    <row r="2573" spans="9:12" x14ac:dyDescent="0.45">
      <c r="I2573" t="s">
        <v>209</v>
      </c>
      <c r="J2573" t="s">
        <v>293</v>
      </c>
      <c r="K2573">
        <v>0</v>
      </c>
      <c r="L2573" t="s">
        <v>159</v>
      </c>
    </row>
    <row r="2574" spans="9:12" x14ac:dyDescent="0.45">
      <c r="I2574" t="s">
        <v>209</v>
      </c>
      <c r="J2574" t="s">
        <v>294</v>
      </c>
      <c r="K2574">
        <v>3.9088071635345824E-5</v>
      </c>
      <c r="L2574" t="s">
        <v>159</v>
      </c>
    </row>
    <row r="2575" spans="9:12" x14ac:dyDescent="0.45">
      <c r="I2575" t="s">
        <v>209</v>
      </c>
      <c r="J2575" t="s">
        <v>295</v>
      </c>
      <c r="K2575">
        <v>1.5768926981049321E-2</v>
      </c>
      <c r="L2575" t="s">
        <v>159</v>
      </c>
    </row>
    <row r="2576" spans="9:12" x14ac:dyDescent="0.45">
      <c r="I2576" t="s">
        <v>209</v>
      </c>
      <c r="J2576" t="s">
        <v>296</v>
      </c>
      <c r="K2576">
        <v>1.4353318936169619E-3</v>
      </c>
      <c r="L2576" t="s">
        <v>159</v>
      </c>
    </row>
    <row r="2577" spans="9:12" x14ac:dyDescent="0.45">
      <c r="I2577" t="s">
        <v>209</v>
      </c>
      <c r="J2577" t="s">
        <v>297</v>
      </c>
      <c r="K2577">
        <v>9.9634224009412372E-4</v>
      </c>
      <c r="L2577" t="s">
        <v>159</v>
      </c>
    </row>
    <row r="2578" spans="9:12" x14ac:dyDescent="0.45">
      <c r="I2578" t="s">
        <v>209</v>
      </c>
      <c r="J2578" t="s">
        <v>311</v>
      </c>
      <c r="K2578">
        <v>0</v>
      </c>
      <c r="L2578" t="s">
        <v>159</v>
      </c>
    </row>
    <row r="2579" spans="9:12" x14ac:dyDescent="0.45">
      <c r="I2579" t="s">
        <v>209</v>
      </c>
      <c r="J2579" t="s">
        <v>298</v>
      </c>
      <c r="K2579">
        <v>3.5349027398481102E-3</v>
      </c>
      <c r="L2579" t="s">
        <v>159</v>
      </c>
    </row>
    <row r="2580" spans="9:12" x14ac:dyDescent="0.45">
      <c r="I2580" t="s">
        <v>209</v>
      </c>
      <c r="J2580" t="s">
        <v>299</v>
      </c>
      <c r="K2580">
        <v>1.5300074409488213E-2</v>
      </c>
      <c r="L2580" t="s">
        <v>159</v>
      </c>
    </row>
    <row r="2581" spans="9:12" x14ac:dyDescent="0.45">
      <c r="I2581" t="s">
        <v>209</v>
      </c>
      <c r="J2581" t="s">
        <v>300</v>
      </c>
      <c r="K2581">
        <v>0.24962682249798962</v>
      </c>
      <c r="L2581" t="s">
        <v>159</v>
      </c>
    </row>
    <row r="2582" spans="9:12" x14ac:dyDescent="0.45">
      <c r="I2582" t="s">
        <v>209</v>
      </c>
      <c r="J2582" t="s">
        <v>301</v>
      </c>
      <c r="K2582">
        <v>2.1081945459930265E-2</v>
      </c>
      <c r="L2582" t="s">
        <v>159</v>
      </c>
    </row>
    <row r="2583" spans="9:12" x14ac:dyDescent="0.45">
      <c r="I2583" t="s">
        <v>209</v>
      </c>
      <c r="J2583" t="s">
        <v>302</v>
      </c>
      <c r="K2583">
        <v>1.3926869417777167E-2</v>
      </c>
      <c r="L2583" t="s">
        <v>159</v>
      </c>
    </row>
    <row r="2584" spans="9:12" x14ac:dyDescent="0.45">
      <c r="I2584" t="s">
        <v>209</v>
      </c>
      <c r="J2584" t="s">
        <v>312</v>
      </c>
      <c r="K2584">
        <v>6.7392005154998222E-4</v>
      </c>
      <c r="L2584" t="s">
        <v>159</v>
      </c>
    </row>
    <row r="2585" spans="9:12" x14ac:dyDescent="0.45">
      <c r="I2585" t="s">
        <v>209</v>
      </c>
      <c r="J2585" t="s">
        <v>313</v>
      </c>
      <c r="K2585">
        <v>1.8123409362595174E-3</v>
      </c>
      <c r="L2585" t="s">
        <v>159</v>
      </c>
    </row>
    <row r="2586" spans="9:12" x14ac:dyDescent="0.45">
      <c r="I2586" t="s">
        <v>209</v>
      </c>
      <c r="J2586" t="s">
        <v>314</v>
      </c>
      <c r="K2586">
        <v>3.6501484131306206E-3</v>
      </c>
      <c r="L2586" t="s">
        <v>159</v>
      </c>
    </row>
    <row r="2587" spans="9:12" x14ac:dyDescent="0.45">
      <c r="I2587" t="s">
        <v>209</v>
      </c>
      <c r="J2587" t="s">
        <v>315</v>
      </c>
      <c r="K2587">
        <v>7.2551401948808658E-2</v>
      </c>
      <c r="L2587" t="s">
        <v>159</v>
      </c>
    </row>
    <row r="2588" spans="9:12" x14ac:dyDescent="0.45">
      <c r="I2588" t="s">
        <v>209</v>
      </c>
      <c r="J2588" t="s">
        <v>316</v>
      </c>
      <c r="K2588">
        <v>6.2214068747342569E-3</v>
      </c>
      <c r="L2588" t="s">
        <v>159</v>
      </c>
    </row>
    <row r="2589" spans="9:12" x14ac:dyDescent="0.45">
      <c r="I2589" t="s">
        <v>209</v>
      </c>
      <c r="J2589" t="s">
        <v>317</v>
      </c>
      <c r="K2589">
        <v>4.490257942920046E-3</v>
      </c>
      <c r="L2589" t="s">
        <v>159</v>
      </c>
    </row>
    <row r="2590" spans="9:12" x14ac:dyDescent="0.45">
      <c r="I2590" t="s">
        <v>209</v>
      </c>
      <c r="J2590" t="s">
        <v>318</v>
      </c>
      <c r="K2590">
        <v>2.5400200554622312E-3</v>
      </c>
      <c r="L2590" t="s">
        <v>159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C61E5-B408-477E-82A1-E5A05388BF04}">
  <dimension ref="A9:AN36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272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278</v>
      </c>
      <c r="AK10" t="s">
        <v>47</v>
      </c>
      <c r="AL10" t="s">
        <v>115</v>
      </c>
      <c r="AM10" t="s">
        <v>279</v>
      </c>
      <c r="AN10" t="s">
        <v>280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321</v>
      </c>
      <c r="F11" t="s">
        <v>305</v>
      </c>
      <c r="G11" t="s">
        <v>322</v>
      </c>
      <c r="I11" t="s">
        <v>157</v>
      </c>
      <c r="J11" t="s">
        <v>158</v>
      </c>
      <c r="K11">
        <v>1.2144033916198926E-2</v>
      </c>
      <c r="L11" t="s">
        <v>159</v>
      </c>
      <c r="N11" t="s">
        <v>210</v>
      </c>
      <c r="O11" t="s">
        <v>158</v>
      </c>
      <c r="P11">
        <v>0.10171069035691183</v>
      </c>
      <c r="Q11" t="s">
        <v>159</v>
      </c>
      <c r="S11" t="s">
        <v>252</v>
      </c>
      <c r="T11" t="s">
        <v>158</v>
      </c>
      <c r="U11">
        <v>0.14449435058643345</v>
      </c>
      <c r="V11" t="s">
        <v>159</v>
      </c>
      <c r="X11">
        <v>0.13744292237442923</v>
      </c>
      <c r="Y11">
        <v>5.4278729416834481E-2</v>
      </c>
      <c r="Z11" t="s">
        <v>158</v>
      </c>
      <c r="AA11" t="s">
        <v>25</v>
      </c>
      <c r="AC11" t="s">
        <v>22</v>
      </c>
      <c r="AD11" t="s">
        <v>158</v>
      </c>
      <c r="AE11">
        <v>0.1012182061335965</v>
      </c>
      <c r="AG11" t="s">
        <v>96</v>
      </c>
      <c r="AH11" t="s">
        <v>158</v>
      </c>
      <c r="AI11">
        <v>0.34256742981394095</v>
      </c>
      <c r="AK11">
        <v>2020</v>
      </c>
      <c r="AL11" t="s">
        <v>148</v>
      </c>
      <c r="AM11">
        <v>0.12519740727008058</v>
      </c>
      <c r="AN11" t="s">
        <v>281</v>
      </c>
    </row>
    <row r="12" spans="1:40" x14ac:dyDescent="0.45">
      <c r="C12" t="s">
        <v>152</v>
      </c>
      <c r="D12" t="s">
        <v>322</v>
      </c>
      <c r="E12" t="s">
        <v>323</v>
      </c>
      <c r="F12" t="s">
        <v>152</v>
      </c>
      <c r="G12" t="s">
        <v>322</v>
      </c>
      <c r="I12" t="s">
        <v>157</v>
      </c>
      <c r="J12" t="s">
        <v>160</v>
      </c>
      <c r="K12">
        <v>3.3488257328594478E-2</v>
      </c>
      <c r="L12" t="s">
        <v>159</v>
      </c>
      <c r="N12" t="s">
        <v>210</v>
      </c>
      <c r="O12" t="s">
        <v>160</v>
      </c>
      <c r="P12">
        <v>1.632292177116124E-2</v>
      </c>
      <c r="Q12" t="s">
        <v>159</v>
      </c>
      <c r="S12" t="s">
        <v>252</v>
      </c>
      <c r="T12" t="s">
        <v>160</v>
      </c>
      <c r="U12">
        <v>1.884009136133017E-2</v>
      </c>
      <c r="V12" t="s">
        <v>159</v>
      </c>
      <c r="X12">
        <v>1.9634703196347032E-2</v>
      </c>
      <c r="Y12">
        <v>3.2783896443991413E-2</v>
      </c>
      <c r="Z12" t="s">
        <v>160</v>
      </c>
      <c r="AA12" t="s">
        <v>25</v>
      </c>
      <c r="AC12" t="s">
        <v>22</v>
      </c>
      <c r="AD12" t="s">
        <v>160</v>
      </c>
      <c r="AE12">
        <v>2.1592867420078855E-2</v>
      </c>
      <c r="AG12" t="s">
        <v>96</v>
      </c>
      <c r="AH12" t="s">
        <v>160</v>
      </c>
      <c r="AI12">
        <v>0.18121507519696411</v>
      </c>
      <c r="AK12">
        <v>2020</v>
      </c>
      <c r="AL12" t="s">
        <v>152</v>
      </c>
      <c r="AM12">
        <v>7.2879330943846993E-2</v>
      </c>
      <c r="AN12" t="s">
        <v>281</v>
      </c>
    </row>
    <row r="13" spans="1:40" x14ac:dyDescent="0.45">
      <c r="C13" t="s">
        <v>154</v>
      </c>
      <c r="D13" t="s">
        <v>372</v>
      </c>
      <c r="E13" t="s">
        <v>324</v>
      </c>
      <c r="F13" t="s">
        <v>285</v>
      </c>
      <c r="G13" t="s">
        <v>322</v>
      </c>
      <c r="I13" t="s">
        <v>157</v>
      </c>
      <c r="J13" t="s">
        <v>161</v>
      </c>
      <c r="K13">
        <v>0.38154535090250319</v>
      </c>
      <c r="L13" t="s">
        <v>159</v>
      </c>
      <c r="N13" t="s">
        <v>210</v>
      </c>
      <c r="O13" t="s">
        <v>161</v>
      </c>
      <c r="P13">
        <v>0.19465463039690284</v>
      </c>
      <c r="Q13" t="s">
        <v>159</v>
      </c>
      <c r="S13" t="s">
        <v>252</v>
      </c>
      <c r="T13" t="s">
        <v>161</v>
      </c>
      <c r="U13">
        <v>0.16224235093411832</v>
      </c>
      <c r="V13" t="s">
        <v>159</v>
      </c>
      <c r="X13">
        <v>0.17671232876712328</v>
      </c>
      <c r="Y13">
        <v>0.24220172538100099</v>
      </c>
      <c r="Z13" t="s">
        <v>161</v>
      </c>
      <c r="AA13" t="s">
        <v>25</v>
      </c>
      <c r="AC13" t="s">
        <v>22</v>
      </c>
      <c r="AD13" t="s">
        <v>161</v>
      </c>
      <c r="AE13">
        <v>0.20517562009007539</v>
      </c>
      <c r="AG13" t="s">
        <v>96</v>
      </c>
      <c r="AH13" t="s">
        <v>161</v>
      </c>
      <c r="AI13">
        <v>0.17511388648499726</v>
      </c>
      <c r="AK13">
        <v>2020</v>
      </c>
      <c r="AL13" t="s">
        <v>154</v>
      </c>
      <c r="AM13">
        <v>8.0645161290322509E-2</v>
      </c>
      <c r="AN13" t="s">
        <v>281</v>
      </c>
    </row>
    <row r="14" spans="1:40" x14ac:dyDescent="0.45">
      <c r="C14" t="s">
        <v>283</v>
      </c>
      <c r="E14" t="s">
        <v>325</v>
      </c>
      <c r="G14" t="s">
        <v>322</v>
      </c>
      <c r="I14" t="s">
        <v>157</v>
      </c>
      <c r="J14" t="s">
        <v>287</v>
      </c>
      <c r="K14">
        <v>2.5924766238327249E-2</v>
      </c>
      <c r="L14" t="s">
        <v>159</v>
      </c>
      <c r="N14" t="s">
        <v>210</v>
      </c>
      <c r="O14" t="s">
        <v>287</v>
      </c>
      <c r="P14">
        <v>2.3008452611532084E-2</v>
      </c>
      <c r="Q14" t="s">
        <v>159</v>
      </c>
      <c r="S14" t="s">
        <v>252</v>
      </c>
      <c r="T14" t="s">
        <v>287</v>
      </c>
      <c r="U14">
        <v>2.0824068388506929E-2</v>
      </c>
      <c r="V14" t="s">
        <v>159</v>
      </c>
      <c r="X14">
        <v>1.9634703196347032E-2</v>
      </c>
      <c r="Y14">
        <v>3.8200366291259565E-2</v>
      </c>
      <c r="Z14" t="s">
        <v>287</v>
      </c>
      <c r="AA14" t="s">
        <v>25</v>
      </c>
      <c r="AC14" t="s">
        <v>22</v>
      </c>
      <c r="AD14" t="s">
        <v>287</v>
      </c>
      <c r="AE14">
        <v>2.3519594686122372E-2</v>
      </c>
      <c r="AG14" t="s">
        <v>96</v>
      </c>
      <c r="AH14" t="s">
        <v>287</v>
      </c>
      <c r="AI14">
        <v>0.19023837153022982</v>
      </c>
      <c r="AK14">
        <v>2020</v>
      </c>
      <c r="AL14" t="s">
        <v>283</v>
      </c>
      <c r="AM14">
        <v>8.9605734767025005E-2</v>
      </c>
      <c r="AN14" t="s">
        <v>281</v>
      </c>
    </row>
    <row r="15" spans="1:40" x14ac:dyDescent="0.45">
      <c r="C15" t="s">
        <v>285</v>
      </c>
      <c r="E15" t="s">
        <v>326</v>
      </c>
      <c r="G15" t="s">
        <v>322</v>
      </c>
      <c r="I15" t="s">
        <v>157</v>
      </c>
      <c r="J15" t="s">
        <v>288</v>
      </c>
      <c r="K15">
        <v>9.9655950017744285E-3</v>
      </c>
      <c r="L15" t="s">
        <v>159</v>
      </c>
      <c r="N15" t="s">
        <v>210</v>
      </c>
      <c r="O15" t="s">
        <v>288</v>
      </c>
      <c r="P15">
        <v>2.2459190847282016E-2</v>
      </c>
      <c r="Q15" t="s">
        <v>159</v>
      </c>
      <c r="S15" t="s">
        <v>252</v>
      </c>
      <c r="T15" t="s">
        <v>288</v>
      </c>
      <c r="U15">
        <v>2.1196411632751277E-2</v>
      </c>
      <c r="V15" t="s">
        <v>159</v>
      </c>
      <c r="X15">
        <v>1.9634703196347032E-2</v>
      </c>
      <c r="Y15">
        <v>2.9648045479783537E-2</v>
      </c>
      <c r="Z15" t="s">
        <v>288</v>
      </c>
      <c r="AA15" t="s">
        <v>25</v>
      </c>
      <c r="AC15" t="s">
        <v>22</v>
      </c>
      <c r="AD15" t="s">
        <v>288</v>
      </c>
      <c r="AE15">
        <v>2.3622140886225447E-2</v>
      </c>
      <c r="AG15" t="s">
        <v>96</v>
      </c>
      <c r="AH15" t="s">
        <v>288</v>
      </c>
      <c r="AI15">
        <v>0.18149986904884519</v>
      </c>
      <c r="AK15">
        <v>2020</v>
      </c>
      <c r="AL15" t="s">
        <v>285</v>
      </c>
      <c r="AM15">
        <v>0.10896057347670247</v>
      </c>
      <c r="AN15" t="s">
        <v>281</v>
      </c>
    </row>
    <row r="16" spans="1:40" x14ac:dyDescent="0.45">
      <c r="C16" t="s">
        <v>306</v>
      </c>
      <c r="E16" t="s">
        <v>327</v>
      </c>
      <c r="G16" t="s">
        <v>322</v>
      </c>
      <c r="I16" t="s">
        <v>157</v>
      </c>
      <c r="J16" t="s">
        <v>308</v>
      </c>
      <c r="K16">
        <v>0</v>
      </c>
      <c r="L16" t="s">
        <v>159</v>
      </c>
      <c r="N16" t="s">
        <v>210</v>
      </c>
      <c r="O16" t="s">
        <v>308</v>
      </c>
      <c r="P16">
        <v>8.330194625813174E-2</v>
      </c>
      <c r="Q16" t="s">
        <v>159</v>
      </c>
      <c r="S16" t="s">
        <v>252</v>
      </c>
      <c r="T16" t="s">
        <v>308</v>
      </c>
      <c r="U16">
        <v>0.10723572043552911</v>
      </c>
      <c r="V16" t="s">
        <v>159</v>
      </c>
      <c r="X16">
        <v>9.8173515981735154E-2</v>
      </c>
      <c r="Y16">
        <v>7.4120113699458839E-2</v>
      </c>
      <c r="Z16" t="s">
        <v>308</v>
      </c>
      <c r="AA16" t="s">
        <v>25</v>
      </c>
      <c r="AC16" t="s">
        <v>22</v>
      </c>
      <c r="AD16" t="s">
        <v>308</v>
      </c>
      <c r="AE16">
        <v>9.4177559096817604E-2</v>
      </c>
      <c r="AG16" t="s">
        <v>96</v>
      </c>
      <c r="AH16" t="s">
        <v>308</v>
      </c>
      <c r="AI16">
        <v>0.2574676103357334</v>
      </c>
      <c r="AK16">
        <v>2020</v>
      </c>
      <c r="AL16" t="s">
        <v>306</v>
      </c>
      <c r="AM16">
        <v>0.1075268817204301</v>
      </c>
      <c r="AN16" t="s">
        <v>281</v>
      </c>
    </row>
    <row r="17" spans="5:40" x14ac:dyDescent="0.45">
      <c r="E17" t="s">
        <v>328</v>
      </c>
      <c r="G17" t="s">
        <v>322</v>
      </c>
      <c r="I17" t="s">
        <v>157</v>
      </c>
      <c r="J17" t="s">
        <v>162</v>
      </c>
      <c r="K17">
        <v>0</v>
      </c>
      <c r="L17" t="s">
        <v>159</v>
      </c>
      <c r="N17" t="s">
        <v>210</v>
      </c>
      <c r="O17" t="s">
        <v>162</v>
      </c>
      <c r="P17">
        <v>2.1962824095446695E-2</v>
      </c>
      <c r="Q17" t="s">
        <v>159</v>
      </c>
      <c r="S17" t="s">
        <v>252</v>
      </c>
      <c r="T17" t="s">
        <v>162</v>
      </c>
      <c r="U17">
        <v>2.1078152903484797E-2</v>
      </c>
      <c r="V17" t="s">
        <v>159</v>
      </c>
      <c r="X17">
        <v>2.3173515981735161E-2</v>
      </c>
      <c r="Y17">
        <v>9.151646238884887E-3</v>
      </c>
      <c r="Z17" t="s">
        <v>162</v>
      </c>
      <c r="AA17" t="s">
        <v>25</v>
      </c>
      <c r="AC17" t="s">
        <v>22</v>
      </c>
      <c r="AD17" t="s">
        <v>162</v>
      </c>
      <c r="AE17">
        <v>1.8479312345862229E-2</v>
      </c>
      <c r="AG17" t="s">
        <v>96</v>
      </c>
      <c r="AH17" t="s">
        <v>162</v>
      </c>
      <c r="AI17">
        <v>0.27258673246716114</v>
      </c>
      <c r="AK17">
        <v>2021</v>
      </c>
      <c r="AL17" t="s">
        <v>148</v>
      </c>
      <c r="AM17">
        <v>0.30278204471752851</v>
      </c>
      <c r="AN17" t="s">
        <v>281</v>
      </c>
    </row>
    <row r="18" spans="5:40" x14ac:dyDescent="0.45">
      <c r="E18" t="s">
        <v>329</v>
      </c>
      <c r="G18" t="s">
        <v>322</v>
      </c>
      <c r="I18" t="s">
        <v>157</v>
      </c>
      <c r="J18" t="s">
        <v>163</v>
      </c>
      <c r="K18">
        <v>3.3819392032530668E-3</v>
      </c>
      <c r="L18" t="s">
        <v>159</v>
      </c>
      <c r="N18" t="s">
        <v>210</v>
      </c>
      <c r="O18" t="s">
        <v>163</v>
      </c>
      <c r="P18">
        <v>3.0523597462209988E-3</v>
      </c>
      <c r="Q18" t="s">
        <v>159</v>
      </c>
      <c r="S18" t="s">
        <v>252</v>
      </c>
      <c r="T18" t="s">
        <v>163</v>
      </c>
      <c r="U18">
        <v>2.7377893105096631E-3</v>
      </c>
      <c r="V18" t="s">
        <v>159</v>
      </c>
      <c r="X18">
        <v>3.3105022831050228E-3</v>
      </c>
      <c r="Y18">
        <v>5.5275174236962274E-3</v>
      </c>
      <c r="Z18" t="s">
        <v>163</v>
      </c>
      <c r="AA18" t="s">
        <v>25</v>
      </c>
      <c r="AC18" t="s">
        <v>22</v>
      </c>
      <c r="AD18" t="s">
        <v>163</v>
      </c>
      <c r="AE18">
        <v>4.1630633089424322E-3</v>
      </c>
      <c r="AG18" t="s">
        <v>96</v>
      </c>
      <c r="AH18" t="s">
        <v>163</v>
      </c>
      <c r="AI18">
        <v>7.9449015915598276E-2</v>
      </c>
      <c r="AK18">
        <v>2021</v>
      </c>
      <c r="AL18" t="s">
        <v>152</v>
      </c>
      <c r="AM18">
        <v>6.3620071684587748E-2</v>
      </c>
      <c r="AN18" t="s">
        <v>281</v>
      </c>
    </row>
    <row r="19" spans="5:40" x14ac:dyDescent="0.45">
      <c r="E19" t="s">
        <v>330</v>
      </c>
      <c r="G19" t="s">
        <v>322</v>
      </c>
      <c r="I19" t="s">
        <v>157</v>
      </c>
      <c r="J19" t="s">
        <v>164</v>
      </c>
      <c r="K19">
        <v>4.7253695010368101E-2</v>
      </c>
      <c r="L19" t="s">
        <v>159</v>
      </c>
      <c r="N19" t="s">
        <v>210</v>
      </c>
      <c r="O19" t="s">
        <v>164</v>
      </c>
      <c r="P19">
        <v>3.8248342233248432E-2</v>
      </c>
      <c r="Q19" t="s">
        <v>159</v>
      </c>
      <c r="S19" t="s">
        <v>252</v>
      </c>
      <c r="T19" t="s">
        <v>164</v>
      </c>
      <c r="U19">
        <v>2.5203563058095152E-2</v>
      </c>
      <c r="V19" t="s">
        <v>159</v>
      </c>
      <c r="X19">
        <v>2.9794520547945205E-2</v>
      </c>
      <c r="Y19">
        <v>4.0836337418889694E-2</v>
      </c>
      <c r="Z19" t="s">
        <v>164</v>
      </c>
      <c r="AA19" t="s">
        <v>25</v>
      </c>
      <c r="AC19" t="s">
        <v>22</v>
      </c>
      <c r="AD19" t="s">
        <v>164</v>
      </c>
      <c r="AE19">
        <v>3.6284594841451086E-2</v>
      </c>
      <c r="AG19" t="s">
        <v>96</v>
      </c>
      <c r="AH19" t="s">
        <v>164</v>
      </c>
      <c r="AI19">
        <v>0.10416956440087444</v>
      </c>
      <c r="AK19">
        <v>2021</v>
      </c>
      <c r="AL19" t="s">
        <v>154</v>
      </c>
      <c r="AM19">
        <v>7.1684587813619999E-2</v>
      </c>
      <c r="AN19" t="s">
        <v>281</v>
      </c>
    </row>
    <row r="20" spans="5:40" x14ac:dyDescent="0.45">
      <c r="E20" t="s">
        <v>331</v>
      </c>
      <c r="G20" t="s">
        <v>322</v>
      </c>
      <c r="I20" t="s">
        <v>157</v>
      </c>
      <c r="J20" t="s">
        <v>289</v>
      </c>
      <c r="K20">
        <v>2.6615483727744885E-3</v>
      </c>
      <c r="L20" t="s">
        <v>159</v>
      </c>
      <c r="N20" t="s">
        <v>210</v>
      </c>
      <c r="O20" t="s">
        <v>289</v>
      </c>
      <c r="P20">
        <v>3.7537082540406398E-3</v>
      </c>
      <c r="Q20" t="s">
        <v>159</v>
      </c>
      <c r="S20" t="s">
        <v>252</v>
      </c>
      <c r="T20" t="s">
        <v>289</v>
      </c>
      <c r="U20">
        <v>2.9131263041323636E-3</v>
      </c>
      <c r="V20" t="s">
        <v>159</v>
      </c>
      <c r="X20">
        <v>3.3105022831050228E-3</v>
      </c>
      <c r="Y20">
        <v>6.4407594328286487E-3</v>
      </c>
      <c r="Z20" t="s">
        <v>289</v>
      </c>
      <c r="AA20" t="s">
        <v>25</v>
      </c>
      <c r="AC20" t="s">
        <v>22</v>
      </c>
      <c r="AD20" t="s">
        <v>289</v>
      </c>
      <c r="AE20">
        <v>4.6536089747458475E-3</v>
      </c>
      <c r="AG20" t="s">
        <v>96</v>
      </c>
      <c r="AH20" t="s">
        <v>289</v>
      </c>
      <c r="AI20">
        <v>6.1841620836389444E-2</v>
      </c>
      <c r="AK20">
        <v>2021</v>
      </c>
      <c r="AL20" t="s">
        <v>283</v>
      </c>
      <c r="AM20">
        <v>7.1684587813619999E-2</v>
      </c>
      <c r="AN20" t="s">
        <v>281</v>
      </c>
    </row>
    <row r="21" spans="5:40" x14ac:dyDescent="0.45">
      <c r="E21" t="s">
        <v>332</v>
      </c>
      <c r="G21" t="s">
        <v>322</v>
      </c>
      <c r="I21" t="s">
        <v>157</v>
      </c>
      <c r="J21" t="s">
        <v>290</v>
      </c>
      <c r="K21">
        <v>0</v>
      </c>
      <c r="L21" t="s">
        <v>159</v>
      </c>
      <c r="N21" t="s">
        <v>210</v>
      </c>
      <c r="O21" t="s">
        <v>290</v>
      </c>
      <c r="P21">
        <v>3.5207257975832925E-3</v>
      </c>
      <c r="Q21" t="s">
        <v>159</v>
      </c>
      <c r="S21" t="s">
        <v>252</v>
      </c>
      <c r="T21" t="s">
        <v>290</v>
      </c>
      <c r="U21">
        <v>2.9981025224388377E-3</v>
      </c>
      <c r="V21" t="s">
        <v>159</v>
      </c>
      <c r="X21">
        <v>3.3105022831050228E-3</v>
      </c>
      <c r="Y21">
        <v>4.9987983657774574E-3</v>
      </c>
      <c r="Z21" t="s">
        <v>290</v>
      </c>
      <c r="AA21" t="s">
        <v>25</v>
      </c>
      <c r="AC21" t="s">
        <v>22</v>
      </c>
      <c r="AD21" t="s">
        <v>290</v>
      </c>
      <c r="AE21">
        <v>4.6015454303184791E-3</v>
      </c>
      <c r="AG21" t="s">
        <v>96</v>
      </c>
      <c r="AH21" t="s">
        <v>290</v>
      </c>
      <c r="AI21">
        <v>7.1719529629371781E-2</v>
      </c>
      <c r="AK21">
        <v>2021</v>
      </c>
      <c r="AL21" t="s">
        <v>285</v>
      </c>
      <c r="AM21">
        <v>0.20573476702508958</v>
      </c>
      <c r="AN21" t="s">
        <v>281</v>
      </c>
    </row>
    <row r="22" spans="5:40" x14ac:dyDescent="0.45">
      <c r="E22" t="s">
        <v>333</v>
      </c>
      <c r="G22" t="s">
        <v>322</v>
      </c>
      <c r="I22" t="s">
        <v>157</v>
      </c>
      <c r="J22" t="s">
        <v>309</v>
      </c>
      <c r="K22">
        <v>0</v>
      </c>
      <c r="L22" t="s">
        <v>159</v>
      </c>
      <c r="N22" t="s">
        <v>210</v>
      </c>
      <c r="O22" t="s">
        <v>309</v>
      </c>
      <c r="P22">
        <v>1.5225265413302E-2</v>
      </c>
      <c r="Q22" t="s">
        <v>159</v>
      </c>
      <c r="S22" t="s">
        <v>252</v>
      </c>
      <c r="T22" t="s">
        <v>309</v>
      </c>
      <c r="U22">
        <v>1.6010950352849121E-2</v>
      </c>
      <c r="V22" t="s">
        <v>159</v>
      </c>
      <c r="X22">
        <v>1.6552511415525113E-2</v>
      </c>
      <c r="Y22">
        <v>1.2496995914443643E-2</v>
      </c>
      <c r="Z22" t="s">
        <v>309</v>
      </c>
      <c r="AA22" t="s">
        <v>25</v>
      </c>
      <c r="AC22" t="s">
        <v>22</v>
      </c>
      <c r="AD22" t="s">
        <v>309</v>
      </c>
      <c r="AE22">
        <v>1.7345383273014072E-2</v>
      </c>
      <c r="AG22" t="s">
        <v>96</v>
      </c>
      <c r="AH22" t="s">
        <v>309</v>
      </c>
      <c r="AI22">
        <v>0.19328644964837238</v>
      </c>
      <c r="AK22">
        <v>2021</v>
      </c>
      <c r="AL22" t="s">
        <v>306</v>
      </c>
      <c r="AM22">
        <v>0.60931899641577059</v>
      </c>
      <c r="AN22" t="s">
        <v>281</v>
      </c>
    </row>
    <row r="23" spans="5:40" x14ac:dyDescent="0.45">
      <c r="E23" t="s">
        <v>334</v>
      </c>
      <c r="G23" t="s">
        <v>322</v>
      </c>
      <c r="I23" t="s">
        <v>157</v>
      </c>
      <c r="J23" t="s">
        <v>346</v>
      </c>
      <c r="K23">
        <v>0</v>
      </c>
      <c r="L23" t="s">
        <v>159</v>
      </c>
      <c r="N23" t="s">
        <v>210</v>
      </c>
      <c r="O23" t="s">
        <v>346</v>
      </c>
      <c r="P23">
        <v>1.2212841400342936E-5</v>
      </c>
      <c r="Q23" t="s">
        <v>159</v>
      </c>
      <c r="S23" t="s">
        <v>252</v>
      </c>
      <c r="T23" t="s">
        <v>346</v>
      </c>
      <c r="U23">
        <v>5.9352950666410445E-5</v>
      </c>
      <c r="V23" t="s">
        <v>159</v>
      </c>
      <c r="X23">
        <v>1.1415525114155251E-4</v>
      </c>
      <c r="Y23">
        <v>2.1546544680075254E-5</v>
      </c>
      <c r="Z23" t="s">
        <v>346</v>
      </c>
      <c r="AA23" t="s">
        <v>25</v>
      </c>
      <c r="AC23" t="s">
        <v>22</v>
      </c>
      <c r="AD23" t="s">
        <v>346</v>
      </c>
      <c r="AE23">
        <v>7.4782946915671569E-5</v>
      </c>
      <c r="AG23" t="s">
        <v>96</v>
      </c>
      <c r="AH23" t="s">
        <v>346</v>
      </c>
      <c r="AI23">
        <v>0</v>
      </c>
      <c r="AK23">
        <v>2022</v>
      </c>
      <c r="AL23" t="s">
        <v>148</v>
      </c>
      <c r="AM23">
        <v>0.64720230983671845</v>
      </c>
      <c r="AN23" t="s">
        <v>281</v>
      </c>
    </row>
    <row r="24" spans="5:40" x14ac:dyDescent="0.45">
      <c r="E24" t="s">
        <v>335</v>
      </c>
      <c r="G24" t="s">
        <v>322</v>
      </c>
      <c r="I24" t="s">
        <v>157</v>
      </c>
      <c r="J24" t="s">
        <v>347</v>
      </c>
      <c r="K24">
        <v>0</v>
      </c>
      <c r="L24" t="s">
        <v>159</v>
      </c>
      <c r="N24" t="s">
        <v>210</v>
      </c>
      <c r="O24" t="s">
        <v>347</v>
      </c>
      <c r="P24">
        <v>2.4164004112886594E-5</v>
      </c>
      <c r="Q24" t="s">
        <v>159</v>
      </c>
      <c r="S24" t="s">
        <v>252</v>
      </c>
      <c r="T24" t="s">
        <v>347</v>
      </c>
      <c r="U24">
        <v>4.8495257022845616E-5</v>
      </c>
      <c r="V24" t="s">
        <v>159</v>
      </c>
      <c r="X24">
        <v>1.1415525114155251E-4</v>
      </c>
      <c r="Y24">
        <v>1.4916838624667481E-5</v>
      </c>
      <c r="Z24" t="s">
        <v>347</v>
      </c>
      <c r="AA24" t="s">
        <v>25</v>
      </c>
      <c r="AC24" t="s">
        <v>22</v>
      </c>
      <c r="AD24" t="s">
        <v>347</v>
      </c>
      <c r="AE24">
        <v>7.3954302625767629E-5</v>
      </c>
      <c r="AG24" t="s">
        <v>96</v>
      </c>
      <c r="AH24" t="s">
        <v>347</v>
      </c>
      <c r="AI24">
        <v>0</v>
      </c>
      <c r="AK24">
        <v>2022</v>
      </c>
      <c r="AL24" t="s">
        <v>152</v>
      </c>
      <c r="AM24">
        <v>0.20161290322580638</v>
      </c>
      <c r="AN24" t="s">
        <v>281</v>
      </c>
    </row>
    <row r="25" spans="5:40" x14ac:dyDescent="0.45">
      <c r="E25" t="s">
        <v>336</v>
      </c>
      <c r="G25" t="s">
        <v>322</v>
      </c>
      <c r="I25" t="s">
        <v>157</v>
      </c>
      <c r="J25" t="s">
        <v>348</v>
      </c>
      <c r="K25">
        <v>0</v>
      </c>
      <c r="L25" t="s">
        <v>159</v>
      </c>
      <c r="N25" t="s">
        <v>210</v>
      </c>
      <c r="O25" t="s">
        <v>348</v>
      </c>
      <c r="P25">
        <v>3.5997670561784587E-5</v>
      </c>
      <c r="Q25" t="s">
        <v>159</v>
      </c>
      <c r="S25" t="s">
        <v>252</v>
      </c>
      <c r="T25" t="s">
        <v>348</v>
      </c>
      <c r="U25">
        <v>3.9027150487935851E-5</v>
      </c>
      <c r="V25" t="s">
        <v>159</v>
      </c>
      <c r="X25">
        <v>1.1415525114155251E-4</v>
      </c>
      <c r="Y25">
        <v>1.6574265138519424E-5</v>
      </c>
      <c r="Z25" t="s">
        <v>348</v>
      </c>
      <c r="AA25" t="s">
        <v>25</v>
      </c>
      <c r="AC25" t="s">
        <v>22</v>
      </c>
      <c r="AD25" t="s">
        <v>348</v>
      </c>
      <c r="AE25">
        <v>7.3954302625767629E-5</v>
      </c>
      <c r="AG25" t="s">
        <v>96</v>
      </c>
      <c r="AH25" t="s">
        <v>348</v>
      </c>
      <c r="AI25">
        <v>0</v>
      </c>
      <c r="AK25">
        <v>2022</v>
      </c>
      <c r="AL25" t="s">
        <v>154</v>
      </c>
      <c r="AM25">
        <v>0.12544802867383509</v>
      </c>
      <c r="AN25" t="s">
        <v>281</v>
      </c>
    </row>
    <row r="26" spans="5:40" x14ac:dyDescent="0.45">
      <c r="E26" t="s">
        <v>337</v>
      </c>
      <c r="G26" t="s">
        <v>322</v>
      </c>
      <c r="I26" t="s">
        <v>157</v>
      </c>
      <c r="J26" t="s">
        <v>349</v>
      </c>
      <c r="K26">
        <v>0</v>
      </c>
      <c r="L26" t="s">
        <v>159</v>
      </c>
      <c r="N26" t="s">
        <v>210</v>
      </c>
      <c r="O26" t="s">
        <v>349</v>
      </c>
      <c r="P26">
        <v>3.9985635128079406E-5</v>
      </c>
      <c r="Q26" t="s">
        <v>159</v>
      </c>
      <c r="S26" t="s">
        <v>252</v>
      </c>
      <c r="T26" t="s">
        <v>349</v>
      </c>
      <c r="U26">
        <v>3.4616291772290338E-5</v>
      </c>
      <c r="V26" t="s">
        <v>159</v>
      </c>
      <c r="X26">
        <v>1.1415525114155251E-4</v>
      </c>
      <c r="Y26">
        <v>1.4585353321897093E-5</v>
      </c>
      <c r="Z26" t="s">
        <v>349</v>
      </c>
      <c r="AA26" t="s">
        <v>25</v>
      </c>
      <c r="AC26" t="s">
        <v>22</v>
      </c>
      <c r="AD26" t="s">
        <v>349</v>
      </c>
      <c r="AE26">
        <v>7.8679338151177303E-5</v>
      </c>
      <c r="AG26" t="s">
        <v>96</v>
      </c>
      <c r="AH26" t="s">
        <v>349</v>
      </c>
      <c r="AI26">
        <v>0</v>
      </c>
      <c r="AK26">
        <v>2022</v>
      </c>
      <c r="AL26" t="s">
        <v>283</v>
      </c>
      <c r="AM26">
        <v>0.12544802867383509</v>
      </c>
      <c r="AN26" t="s">
        <v>281</v>
      </c>
    </row>
    <row r="27" spans="5:40" x14ac:dyDescent="0.45">
      <c r="E27" t="s">
        <v>338</v>
      </c>
      <c r="G27" t="s">
        <v>322</v>
      </c>
      <c r="I27" t="s">
        <v>157</v>
      </c>
      <c r="J27" t="s">
        <v>350</v>
      </c>
      <c r="K27">
        <v>0</v>
      </c>
      <c r="L27" t="s">
        <v>159</v>
      </c>
      <c r="N27" t="s">
        <v>210</v>
      </c>
      <c r="O27" t="s">
        <v>350</v>
      </c>
      <c r="P27">
        <v>3.6644508510243994E-5</v>
      </c>
      <c r="Q27" t="s">
        <v>159</v>
      </c>
      <c r="S27" t="s">
        <v>252</v>
      </c>
      <c r="T27" t="s">
        <v>350</v>
      </c>
      <c r="U27">
        <v>2.9659688238076605E-5</v>
      </c>
      <c r="V27" t="s">
        <v>159</v>
      </c>
      <c r="X27">
        <v>1.1415525114155251E-4</v>
      </c>
      <c r="Y27">
        <v>2.1215059377304864E-5</v>
      </c>
      <c r="Z27" t="s">
        <v>350</v>
      </c>
      <c r="AA27" t="s">
        <v>25</v>
      </c>
      <c r="AC27" t="s">
        <v>22</v>
      </c>
      <c r="AD27" t="s">
        <v>350</v>
      </c>
      <c r="AE27">
        <v>1.0045328917312115E-4</v>
      </c>
      <c r="AG27" t="s">
        <v>96</v>
      </c>
      <c r="AH27" t="s">
        <v>350</v>
      </c>
      <c r="AI27">
        <v>0</v>
      </c>
      <c r="AK27">
        <v>2022</v>
      </c>
      <c r="AL27" t="s">
        <v>285</v>
      </c>
      <c r="AM27">
        <v>0.34528076463560331</v>
      </c>
      <c r="AN27" t="s">
        <v>281</v>
      </c>
    </row>
    <row r="28" spans="5:40" x14ac:dyDescent="0.45">
      <c r="E28" t="s">
        <v>339</v>
      </c>
      <c r="G28" t="s">
        <v>322</v>
      </c>
      <c r="I28" t="s">
        <v>157</v>
      </c>
      <c r="J28" t="s">
        <v>351</v>
      </c>
      <c r="K28">
        <v>0</v>
      </c>
      <c r="L28" t="s">
        <v>159</v>
      </c>
      <c r="N28" t="s">
        <v>210</v>
      </c>
      <c r="O28" t="s">
        <v>351</v>
      </c>
      <c r="P28">
        <v>3.2058883316759591E-5</v>
      </c>
      <c r="Q28" t="s">
        <v>159</v>
      </c>
      <c r="S28" t="s">
        <v>252</v>
      </c>
      <c r="T28" t="s">
        <v>351</v>
      </c>
      <c r="U28">
        <v>2.1489398589724574E-5</v>
      </c>
      <c r="V28" t="s">
        <v>159</v>
      </c>
      <c r="X28">
        <v>1.1415525114155251E-4</v>
      </c>
      <c r="Y28">
        <v>5.7678442682047593E-5</v>
      </c>
      <c r="Z28" t="s">
        <v>351</v>
      </c>
      <c r="AA28" t="s">
        <v>25</v>
      </c>
      <c r="AC28" t="s">
        <v>22</v>
      </c>
      <c r="AD28" t="s">
        <v>351</v>
      </c>
      <c r="AE28">
        <v>1.1989410698164751E-4</v>
      </c>
      <c r="AG28" t="s">
        <v>96</v>
      </c>
      <c r="AH28" t="s">
        <v>351</v>
      </c>
      <c r="AI28">
        <v>0</v>
      </c>
      <c r="AK28">
        <v>2022</v>
      </c>
      <c r="AL28" t="s">
        <v>306</v>
      </c>
      <c r="AM28">
        <v>0.73476702508960567</v>
      </c>
      <c r="AN28" t="s">
        <v>281</v>
      </c>
    </row>
    <row r="29" spans="5:40" x14ac:dyDescent="0.45">
      <c r="E29" t="s">
        <v>340</v>
      </c>
      <c r="G29" t="s">
        <v>322</v>
      </c>
      <c r="I29" t="s">
        <v>157</v>
      </c>
      <c r="J29" t="s">
        <v>352</v>
      </c>
      <c r="K29">
        <v>0</v>
      </c>
      <c r="L29" t="s">
        <v>159</v>
      </c>
      <c r="N29" t="s">
        <v>210</v>
      </c>
      <c r="O29" t="s">
        <v>352</v>
      </c>
      <c r="P29">
        <v>2.6123799151961444E-5</v>
      </c>
      <c r="Q29" t="s">
        <v>159</v>
      </c>
      <c r="S29" t="s">
        <v>252</v>
      </c>
      <c r="T29" t="s">
        <v>352</v>
      </c>
      <c r="U29">
        <v>1.3575356178352492E-5</v>
      </c>
      <c r="V29" t="s">
        <v>159</v>
      </c>
      <c r="X29">
        <v>1.1415525114155251E-4</v>
      </c>
      <c r="Y29">
        <v>1.6905750441289813E-4</v>
      </c>
      <c r="Z29" t="s">
        <v>352</v>
      </c>
      <c r="AA29" t="s">
        <v>25</v>
      </c>
      <c r="AC29" t="s">
        <v>22</v>
      </c>
      <c r="AD29" t="s">
        <v>352</v>
      </c>
      <c r="AE29">
        <v>1.4286107070465872E-4</v>
      </c>
      <c r="AG29" t="s">
        <v>96</v>
      </c>
      <c r="AH29" t="s">
        <v>352</v>
      </c>
      <c r="AI29">
        <v>0</v>
      </c>
      <c r="AK29">
        <v>2025</v>
      </c>
      <c r="AL29" t="s">
        <v>148</v>
      </c>
      <c r="AM29">
        <v>0.31746666666666667</v>
      </c>
      <c r="AN29" t="s">
        <v>281</v>
      </c>
    </row>
    <row r="30" spans="5:40" x14ac:dyDescent="0.45">
      <c r="E30" t="s">
        <v>341</v>
      </c>
      <c r="G30" t="s">
        <v>322</v>
      </c>
      <c r="I30" t="s">
        <v>157</v>
      </c>
      <c r="J30" t="s">
        <v>353</v>
      </c>
      <c r="K30">
        <v>1.1865007553254227E-4</v>
      </c>
      <c r="L30" t="s">
        <v>159</v>
      </c>
      <c r="N30" t="s">
        <v>210</v>
      </c>
      <c r="O30" t="s">
        <v>353</v>
      </c>
      <c r="P30">
        <v>2.5140759141360918E-5</v>
      </c>
      <c r="Q30" t="s">
        <v>159</v>
      </c>
      <c r="S30" t="s">
        <v>252</v>
      </c>
      <c r="T30" t="s">
        <v>353</v>
      </c>
      <c r="U30">
        <v>7.4359247814341656E-6</v>
      </c>
      <c r="V30" t="s">
        <v>159</v>
      </c>
      <c r="X30">
        <v>1.1415525114155251E-4</v>
      </c>
      <c r="Y30">
        <v>1.9060404909297337E-4</v>
      </c>
      <c r="Z30" t="s">
        <v>353</v>
      </c>
      <c r="AA30" t="s">
        <v>25</v>
      </c>
      <c r="AC30" t="s">
        <v>22</v>
      </c>
      <c r="AD30" t="s">
        <v>353</v>
      </c>
      <c r="AE30">
        <v>1.5921651083801089E-4</v>
      </c>
      <c r="AG30" t="s">
        <v>96</v>
      </c>
      <c r="AH30" t="s">
        <v>353</v>
      </c>
      <c r="AI30">
        <v>0</v>
      </c>
      <c r="AK30">
        <v>2025</v>
      </c>
      <c r="AL30" t="s">
        <v>152</v>
      </c>
      <c r="AM30">
        <v>0.11524999999999999</v>
      </c>
      <c r="AN30" t="s">
        <v>281</v>
      </c>
    </row>
    <row r="31" spans="5:40" x14ac:dyDescent="0.45">
      <c r="E31" t="s">
        <v>342</v>
      </c>
      <c r="G31" t="s">
        <v>322</v>
      </c>
      <c r="I31" t="s">
        <v>157</v>
      </c>
      <c r="J31" t="s">
        <v>354</v>
      </c>
      <c r="K31">
        <v>1.6887171747241567E-4</v>
      </c>
      <c r="L31" t="s">
        <v>159</v>
      </c>
      <c r="N31" t="s">
        <v>210</v>
      </c>
      <c r="O31" t="s">
        <v>354</v>
      </c>
      <c r="P31">
        <v>2.4980156571578929E-5</v>
      </c>
      <c r="Q31" t="s">
        <v>159</v>
      </c>
      <c r="S31" t="s">
        <v>252</v>
      </c>
      <c r="T31" t="s">
        <v>354</v>
      </c>
      <c r="U31">
        <v>4.5365614401397077E-6</v>
      </c>
      <c r="V31" t="s">
        <v>159</v>
      </c>
      <c r="X31">
        <v>1.1415525114155251E-4</v>
      </c>
      <c r="Y31">
        <v>1.4585353321897094E-4</v>
      </c>
      <c r="Z31" t="s">
        <v>354</v>
      </c>
      <c r="AA31" t="s">
        <v>25</v>
      </c>
      <c r="AC31" t="s">
        <v>22</v>
      </c>
      <c r="AD31" t="s">
        <v>354</v>
      </c>
      <c r="AE31">
        <v>1.5644848629514031E-4</v>
      </c>
      <c r="AG31" t="s">
        <v>96</v>
      </c>
      <c r="AH31" t="s">
        <v>354</v>
      </c>
      <c r="AI31">
        <v>0</v>
      </c>
      <c r="AK31">
        <v>2025</v>
      </c>
      <c r="AL31" t="s">
        <v>154</v>
      </c>
      <c r="AM31">
        <v>9.7500000000000003E-2</v>
      </c>
      <c r="AN31" t="s">
        <v>281</v>
      </c>
    </row>
    <row r="32" spans="5:40" x14ac:dyDescent="0.45">
      <c r="E32" t="s">
        <v>343</v>
      </c>
      <c r="G32" t="s">
        <v>322</v>
      </c>
      <c r="I32" t="s">
        <v>157</v>
      </c>
      <c r="J32" t="s">
        <v>355</v>
      </c>
      <c r="K32">
        <v>1.7422535120753305E-4</v>
      </c>
      <c r="L32" t="s">
        <v>159</v>
      </c>
      <c r="N32" t="s">
        <v>210</v>
      </c>
      <c r="O32" t="s">
        <v>355</v>
      </c>
      <c r="P32">
        <v>2.253025218822845E-5</v>
      </c>
      <c r="Q32" t="s">
        <v>159</v>
      </c>
      <c r="S32" t="s">
        <v>252</v>
      </c>
      <c r="T32" t="s">
        <v>355</v>
      </c>
      <c r="U32">
        <v>4.212018661401211E-6</v>
      </c>
      <c r="V32" t="s">
        <v>159</v>
      </c>
      <c r="X32">
        <v>1.1415525114155251E-4</v>
      </c>
      <c r="Y32">
        <v>1.4452759200788939E-4</v>
      </c>
      <c r="Z32" t="s">
        <v>355</v>
      </c>
      <c r="AA32" t="s">
        <v>25</v>
      </c>
      <c r="AC32" t="s">
        <v>22</v>
      </c>
      <c r="AD32" t="s">
        <v>355</v>
      </c>
      <c r="AE32">
        <v>1.4437143653802975E-4</v>
      </c>
      <c r="AG32" t="s">
        <v>96</v>
      </c>
      <c r="AH32" t="s">
        <v>355</v>
      </c>
      <c r="AI32">
        <v>0</v>
      </c>
      <c r="AK32">
        <v>2025</v>
      </c>
      <c r="AL32" t="s">
        <v>283</v>
      </c>
      <c r="AM32">
        <v>0.1051</v>
      </c>
      <c r="AN32" t="s">
        <v>281</v>
      </c>
    </row>
    <row r="33" spans="5:40" x14ac:dyDescent="0.45">
      <c r="E33" t="s">
        <v>344</v>
      </c>
      <c r="G33" t="s">
        <v>322</v>
      </c>
      <c r="I33" t="s">
        <v>157</v>
      </c>
      <c r="J33" t="s">
        <v>356</v>
      </c>
      <c r="K33">
        <v>1.7664016663530168E-4</v>
      </c>
      <c r="L33" t="s">
        <v>159</v>
      </c>
      <c r="N33" t="s">
        <v>210</v>
      </c>
      <c r="O33" t="s">
        <v>356</v>
      </c>
      <c r="P33">
        <v>5.7034376407578349E-6</v>
      </c>
      <c r="Q33" t="s">
        <v>159</v>
      </c>
      <c r="S33" t="s">
        <v>252</v>
      </c>
      <c r="T33" t="s">
        <v>356</v>
      </c>
      <c r="U33">
        <v>4.627317736273848E-6</v>
      </c>
      <c r="V33" t="s">
        <v>159</v>
      </c>
      <c r="X33">
        <v>1.1415525114155251E-4</v>
      </c>
      <c r="Y33">
        <v>1.408812536774151E-4</v>
      </c>
      <c r="Z33" t="s">
        <v>356</v>
      </c>
      <c r="AA33" t="s">
        <v>25</v>
      </c>
      <c r="AC33" t="s">
        <v>22</v>
      </c>
      <c r="AD33" t="s">
        <v>356</v>
      </c>
      <c r="AE33">
        <v>1.4274940941736675E-4</v>
      </c>
      <c r="AG33" t="s">
        <v>96</v>
      </c>
      <c r="AH33" t="s">
        <v>356</v>
      </c>
      <c r="AI33">
        <v>0</v>
      </c>
      <c r="AK33">
        <v>2025</v>
      </c>
      <c r="AL33" t="s">
        <v>285</v>
      </c>
      <c r="AM33">
        <v>0.16148000000000001</v>
      </c>
      <c r="AN33" t="s">
        <v>281</v>
      </c>
    </row>
    <row r="34" spans="5:40" x14ac:dyDescent="0.45">
      <c r="E34" t="s">
        <v>345</v>
      </c>
      <c r="G34" t="s">
        <v>322</v>
      </c>
      <c r="I34" t="s">
        <v>157</v>
      </c>
      <c r="J34" t="s">
        <v>357</v>
      </c>
      <c r="K34">
        <v>1.9212365324954077E-4</v>
      </c>
      <c r="L34" t="s">
        <v>159</v>
      </c>
      <c r="N34" t="s">
        <v>210</v>
      </c>
      <c r="O34" t="s">
        <v>357</v>
      </c>
      <c r="P34">
        <v>6.6069555934007912E-6</v>
      </c>
      <c r="Q34" t="s">
        <v>159</v>
      </c>
      <c r="S34" t="s">
        <v>252</v>
      </c>
      <c r="T34" t="s">
        <v>357</v>
      </c>
      <c r="U34">
        <v>6.4663249384127793E-6</v>
      </c>
      <c r="V34" t="s">
        <v>159</v>
      </c>
      <c r="X34">
        <v>1.1415525114155251E-4</v>
      </c>
      <c r="Y34">
        <v>1.4054976837464471E-4</v>
      </c>
      <c r="Z34" t="s">
        <v>357</v>
      </c>
      <c r="AA34" t="s">
        <v>25</v>
      </c>
      <c r="AC34" t="s">
        <v>22</v>
      </c>
      <c r="AD34" t="s">
        <v>357</v>
      </c>
      <c r="AE34">
        <v>1.4311965473838765E-4</v>
      </c>
      <c r="AG34" t="s">
        <v>96</v>
      </c>
      <c r="AH34" t="s">
        <v>357</v>
      </c>
      <c r="AI34">
        <v>0</v>
      </c>
      <c r="AK34">
        <v>2025</v>
      </c>
      <c r="AL34" t="s">
        <v>306</v>
      </c>
      <c r="AM34">
        <v>0.29599999999999999</v>
      </c>
      <c r="AN34" t="s">
        <v>281</v>
      </c>
    </row>
    <row r="35" spans="5:40" x14ac:dyDescent="0.45">
      <c r="E35" t="s">
        <v>373</v>
      </c>
      <c r="G35" t="s">
        <v>372</v>
      </c>
      <c r="I35" t="s">
        <v>157</v>
      </c>
      <c r="J35" t="s">
        <v>358</v>
      </c>
      <c r="K35">
        <v>2.2764983457238114E-4</v>
      </c>
      <c r="L35" t="s">
        <v>159</v>
      </c>
      <c r="N35" t="s">
        <v>210</v>
      </c>
      <c r="O35" t="s">
        <v>358</v>
      </c>
      <c r="P35">
        <v>1.7222112360081433E-5</v>
      </c>
      <c r="Q35" t="s">
        <v>159</v>
      </c>
      <c r="S35" t="s">
        <v>252</v>
      </c>
      <c r="T35" t="s">
        <v>358</v>
      </c>
      <c r="U35">
        <v>5.6401219898496423E-6</v>
      </c>
      <c r="V35" t="s">
        <v>159</v>
      </c>
      <c r="X35">
        <v>1.1415525114155251E-4</v>
      </c>
      <c r="Y35">
        <v>1.4253868019126702E-4</v>
      </c>
      <c r="Z35" t="s">
        <v>358</v>
      </c>
      <c r="AA35" t="s">
        <v>25</v>
      </c>
      <c r="AC35" t="s">
        <v>22</v>
      </c>
      <c r="AD35" t="s">
        <v>358</v>
      </c>
      <c r="AE35">
        <v>1.4311965473838765E-4</v>
      </c>
      <c r="AG35" t="s">
        <v>96</v>
      </c>
      <c r="AH35" t="s">
        <v>358</v>
      </c>
      <c r="AI35">
        <v>0</v>
      </c>
      <c r="AK35">
        <v>2026</v>
      </c>
      <c r="AL35" t="s">
        <v>148</v>
      </c>
      <c r="AM35">
        <v>0.30671666666666669</v>
      </c>
      <c r="AN35" t="s">
        <v>281</v>
      </c>
    </row>
    <row r="36" spans="5:40" x14ac:dyDescent="0.45">
      <c r="E36" t="s">
        <v>374</v>
      </c>
      <c r="G36" t="s">
        <v>372</v>
      </c>
      <c r="I36" t="s">
        <v>157</v>
      </c>
      <c r="J36" t="s">
        <v>359</v>
      </c>
      <c r="K36">
        <v>1.8957624546424865E-4</v>
      </c>
      <c r="L36" t="s">
        <v>159</v>
      </c>
      <c r="N36" t="s">
        <v>210</v>
      </c>
      <c r="O36" t="s">
        <v>359</v>
      </c>
      <c r="P36">
        <v>1.9698476563522054E-5</v>
      </c>
      <c r="Q36" t="s">
        <v>159</v>
      </c>
      <c r="S36" t="s">
        <v>252</v>
      </c>
      <c r="T36" t="s">
        <v>359</v>
      </c>
      <c r="U36">
        <v>4.2423226378863292E-6</v>
      </c>
      <c r="V36" t="s">
        <v>159</v>
      </c>
      <c r="X36">
        <v>1.1415525114155251E-4</v>
      </c>
      <c r="Y36">
        <v>1.4883690094390442E-4</v>
      </c>
      <c r="Z36" t="s">
        <v>359</v>
      </c>
      <c r="AA36" t="s">
        <v>25</v>
      </c>
      <c r="AC36" t="s">
        <v>22</v>
      </c>
      <c r="AD36" t="s">
        <v>359</v>
      </c>
      <c r="AE36">
        <v>1.4288457834408865E-4</v>
      </c>
      <c r="AG36" t="s">
        <v>96</v>
      </c>
      <c r="AH36" t="s">
        <v>359</v>
      </c>
      <c r="AI36">
        <v>0</v>
      </c>
      <c r="AK36">
        <v>2026</v>
      </c>
      <c r="AL36" t="s">
        <v>152</v>
      </c>
      <c r="AM36">
        <v>0.1206</v>
      </c>
      <c r="AN36" t="s">
        <v>281</v>
      </c>
    </row>
    <row r="37" spans="5:40" x14ac:dyDescent="0.45">
      <c r="E37" t="s">
        <v>375</v>
      </c>
      <c r="G37" t="s">
        <v>372</v>
      </c>
      <c r="I37" t="s">
        <v>157</v>
      </c>
      <c r="J37" t="s">
        <v>360</v>
      </c>
      <c r="K37">
        <v>1.5758115591993236E-4</v>
      </c>
      <c r="L37" t="s">
        <v>159</v>
      </c>
      <c r="N37" t="s">
        <v>210</v>
      </c>
      <c r="O37" t="s">
        <v>360</v>
      </c>
      <c r="P37">
        <v>2.0573604679079948E-5</v>
      </c>
      <c r="Q37" t="s">
        <v>159</v>
      </c>
      <c r="S37" t="s">
        <v>252</v>
      </c>
      <c r="T37" t="s">
        <v>360</v>
      </c>
      <c r="U37">
        <v>4.0653456545595945E-6</v>
      </c>
      <c r="V37" t="s">
        <v>159</v>
      </c>
      <c r="X37">
        <v>1.1415525114155251E-4</v>
      </c>
      <c r="Y37">
        <v>1.5049432745775637E-4</v>
      </c>
      <c r="Z37" t="s">
        <v>360</v>
      </c>
      <c r="AA37" t="s">
        <v>25</v>
      </c>
      <c r="AC37" t="s">
        <v>22</v>
      </c>
      <c r="AD37" t="s">
        <v>360</v>
      </c>
      <c r="AE37">
        <v>1.4288457834408868E-4</v>
      </c>
      <c r="AG37" t="s">
        <v>96</v>
      </c>
      <c r="AH37" t="s">
        <v>360</v>
      </c>
      <c r="AI37">
        <v>0</v>
      </c>
      <c r="AK37">
        <v>2026</v>
      </c>
      <c r="AL37" t="s">
        <v>154</v>
      </c>
      <c r="AM37">
        <v>9.5500000000000002E-2</v>
      </c>
      <c r="AN37" t="s">
        <v>281</v>
      </c>
    </row>
    <row r="38" spans="5:40" x14ac:dyDescent="0.45">
      <c r="E38" t="s">
        <v>376</v>
      </c>
      <c r="G38" t="s">
        <v>372</v>
      </c>
      <c r="I38" t="s">
        <v>157</v>
      </c>
      <c r="J38" t="s">
        <v>361</v>
      </c>
      <c r="K38">
        <v>1.5250920501521276E-4</v>
      </c>
      <c r="L38" t="s">
        <v>159</v>
      </c>
      <c r="N38" t="s">
        <v>210</v>
      </c>
      <c r="O38" t="s">
        <v>361</v>
      </c>
      <c r="P38">
        <v>1.9104308865280989E-5</v>
      </c>
      <c r="Q38" t="s">
        <v>159</v>
      </c>
      <c r="S38" t="s">
        <v>252</v>
      </c>
      <c r="T38" t="s">
        <v>361</v>
      </c>
      <c r="U38">
        <v>6.605950224617037E-6</v>
      </c>
      <c r="V38" t="s">
        <v>159</v>
      </c>
      <c r="X38">
        <v>1.1415525114155251E-4</v>
      </c>
      <c r="Y38">
        <v>1.7237235744060203E-4</v>
      </c>
      <c r="Z38" t="s">
        <v>361</v>
      </c>
      <c r="AA38" t="s">
        <v>25</v>
      </c>
      <c r="AC38" t="s">
        <v>22</v>
      </c>
      <c r="AD38" t="s">
        <v>361</v>
      </c>
      <c r="AE38">
        <v>1.4689263086688643E-4</v>
      </c>
      <c r="AG38" t="s">
        <v>96</v>
      </c>
      <c r="AH38" t="s">
        <v>361</v>
      </c>
      <c r="AI38">
        <v>0</v>
      </c>
      <c r="AK38">
        <v>2026</v>
      </c>
      <c r="AL38" t="s">
        <v>283</v>
      </c>
      <c r="AM38">
        <v>0.1013</v>
      </c>
      <c r="AN38" t="s">
        <v>281</v>
      </c>
    </row>
    <row r="39" spans="5:40" x14ac:dyDescent="0.45">
      <c r="E39" t="s">
        <v>377</v>
      </c>
      <c r="G39" t="s">
        <v>372</v>
      </c>
      <c r="I39" t="s">
        <v>157</v>
      </c>
      <c r="J39" t="s">
        <v>362</v>
      </c>
      <c r="K39">
        <v>1.2760832525159701E-4</v>
      </c>
      <c r="L39" t="s">
        <v>159</v>
      </c>
      <c r="N39" t="s">
        <v>210</v>
      </c>
      <c r="O39" t="s">
        <v>362</v>
      </c>
      <c r="P39">
        <v>3.4155552784442238E-5</v>
      </c>
      <c r="Q39" t="s">
        <v>159</v>
      </c>
      <c r="S39" t="s">
        <v>252</v>
      </c>
      <c r="T39" t="s">
        <v>362</v>
      </c>
      <c r="U39">
        <v>7.8959657365602281E-6</v>
      </c>
      <c r="V39" t="s">
        <v>159</v>
      </c>
      <c r="X39">
        <v>1.1415525114155251E-4</v>
      </c>
      <c r="Y39">
        <v>2.2209515285616027E-4</v>
      </c>
      <c r="Z39" t="s">
        <v>362</v>
      </c>
      <c r="AA39" t="s">
        <v>25</v>
      </c>
      <c r="AC39" t="s">
        <v>22</v>
      </c>
      <c r="AD39" t="s">
        <v>362</v>
      </c>
      <c r="AE39">
        <v>1.4904945678457965E-4</v>
      </c>
      <c r="AG39" t="s">
        <v>96</v>
      </c>
      <c r="AH39" t="s">
        <v>362</v>
      </c>
      <c r="AI39">
        <v>0</v>
      </c>
      <c r="AK39">
        <v>2026</v>
      </c>
      <c r="AL39" t="s">
        <v>285</v>
      </c>
      <c r="AM39">
        <v>0.15833999999999998</v>
      </c>
      <c r="AN39" t="s">
        <v>281</v>
      </c>
    </row>
    <row r="40" spans="5:40" x14ac:dyDescent="0.45">
      <c r="E40" t="s">
        <v>378</v>
      </c>
      <c r="G40" t="s">
        <v>372</v>
      </c>
      <c r="I40" t="s">
        <v>157</v>
      </c>
      <c r="J40" t="s">
        <v>363</v>
      </c>
      <c r="K40">
        <v>8.6574381665743526E-5</v>
      </c>
      <c r="L40" t="s">
        <v>159</v>
      </c>
      <c r="N40" t="s">
        <v>210</v>
      </c>
      <c r="O40" t="s">
        <v>363</v>
      </c>
      <c r="P40">
        <v>8.1035151028636509E-5</v>
      </c>
      <c r="Q40" t="s">
        <v>159</v>
      </c>
      <c r="S40" t="s">
        <v>252</v>
      </c>
      <c r="T40" t="s">
        <v>363</v>
      </c>
      <c r="U40">
        <v>6.8145463548955882E-6</v>
      </c>
      <c r="V40" t="s">
        <v>159</v>
      </c>
      <c r="X40">
        <v>1.1415525114155251E-4</v>
      </c>
      <c r="Y40">
        <v>2.2209515285616027E-4</v>
      </c>
      <c r="Z40" t="s">
        <v>363</v>
      </c>
      <c r="AA40" t="s">
        <v>25</v>
      </c>
      <c r="AC40" t="s">
        <v>22</v>
      </c>
      <c r="AD40" t="s">
        <v>363</v>
      </c>
      <c r="AE40">
        <v>1.5790008302993657E-4</v>
      </c>
      <c r="AG40" t="s">
        <v>96</v>
      </c>
      <c r="AH40" t="s">
        <v>363</v>
      </c>
      <c r="AI40">
        <v>0</v>
      </c>
      <c r="AK40">
        <v>2026</v>
      </c>
      <c r="AL40" t="s">
        <v>306</v>
      </c>
      <c r="AM40">
        <v>0.27510000000000001</v>
      </c>
      <c r="AN40" t="s">
        <v>281</v>
      </c>
    </row>
    <row r="41" spans="5:40" x14ac:dyDescent="0.45">
      <c r="E41" t="s">
        <v>379</v>
      </c>
      <c r="G41" t="s">
        <v>372</v>
      </c>
      <c r="I41" t="s">
        <v>157</v>
      </c>
      <c r="J41" t="s">
        <v>364</v>
      </c>
      <c r="K41">
        <v>0</v>
      </c>
      <c r="L41" t="s">
        <v>159</v>
      </c>
      <c r="N41" t="s">
        <v>210</v>
      </c>
      <c r="O41" t="s">
        <v>364</v>
      </c>
      <c r="P41">
        <v>9.1319557475260966E-5</v>
      </c>
      <c r="Q41" t="s">
        <v>159</v>
      </c>
      <c r="S41" t="s">
        <v>252</v>
      </c>
      <c r="T41" t="s">
        <v>364</v>
      </c>
      <c r="U41">
        <v>4.851643478841167E-6</v>
      </c>
      <c r="V41" t="s">
        <v>159</v>
      </c>
      <c r="X41">
        <v>1.1415525114155251E-4</v>
      </c>
      <c r="Y41">
        <v>1.7237235744060203E-4</v>
      </c>
      <c r="Z41" t="s">
        <v>364</v>
      </c>
      <c r="AA41" t="s">
        <v>25</v>
      </c>
      <c r="AC41" t="s">
        <v>22</v>
      </c>
      <c r="AD41" t="s">
        <v>364</v>
      </c>
      <c r="AE41">
        <v>1.592400184774408E-4</v>
      </c>
      <c r="AG41" t="s">
        <v>96</v>
      </c>
      <c r="AH41" t="s">
        <v>364</v>
      </c>
      <c r="AI41">
        <v>0</v>
      </c>
      <c r="AK41">
        <v>2027</v>
      </c>
      <c r="AL41" t="s">
        <v>148</v>
      </c>
      <c r="AM41">
        <v>0.31265000000000004</v>
      </c>
      <c r="AN41" t="s">
        <v>281</v>
      </c>
    </row>
    <row r="42" spans="5:40" x14ac:dyDescent="0.45">
      <c r="E42" t="s">
        <v>380</v>
      </c>
      <c r="G42" t="s">
        <v>372</v>
      </c>
      <c r="I42" t="s">
        <v>157</v>
      </c>
      <c r="J42" t="s">
        <v>365</v>
      </c>
      <c r="K42">
        <v>0</v>
      </c>
      <c r="L42" t="s">
        <v>159</v>
      </c>
      <c r="N42" t="s">
        <v>210</v>
      </c>
      <c r="O42" t="s">
        <v>365</v>
      </c>
      <c r="P42">
        <v>4.8164232304989293E-5</v>
      </c>
      <c r="Q42" t="s">
        <v>159</v>
      </c>
      <c r="S42" t="s">
        <v>252</v>
      </c>
      <c r="T42" t="s">
        <v>365</v>
      </c>
      <c r="U42">
        <v>3.4230751636957411E-6</v>
      </c>
      <c r="V42" t="s">
        <v>159</v>
      </c>
      <c r="X42">
        <v>1.1415525114155251E-4</v>
      </c>
      <c r="Y42">
        <v>1.5579809230208258E-4</v>
      </c>
      <c r="Z42" t="s">
        <v>365</v>
      </c>
      <c r="AA42" t="s">
        <v>25</v>
      </c>
      <c r="AC42" t="s">
        <v>22</v>
      </c>
      <c r="AD42" t="s">
        <v>365</v>
      </c>
      <c r="AE42">
        <v>1.5157652802329379E-4</v>
      </c>
      <c r="AG42" t="s">
        <v>96</v>
      </c>
      <c r="AH42" t="s">
        <v>365</v>
      </c>
      <c r="AI42">
        <v>0</v>
      </c>
      <c r="AK42">
        <v>2027</v>
      </c>
      <c r="AL42" t="s">
        <v>152</v>
      </c>
      <c r="AM42">
        <v>0.11085</v>
      </c>
      <c r="AN42" t="s">
        <v>281</v>
      </c>
    </row>
    <row r="43" spans="5:40" x14ac:dyDescent="0.45">
      <c r="E43" t="s">
        <v>381</v>
      </c>
      <c r="G43" t="s">
        <v>372</v>
      </c>
      <c r="I43" t="s">
        <v>157</v>
      </c>
      <c r="J43" t="s">
        <v>366</v>
      </c>
      <c r="K43">
        <v>0</v>
      </c>
      <c r="L43" t="s">
        <v>159</v>
      </c>
      <c r="N43" t="s">
        <v>210</v>
      </c>
      <c r="O43" t="s">
        <v>366</v>
      </c>
      <c r="P43">
        <v>2.2522368881733081E-5</v>
      </c>
      <c r="Q43" t="s">
        <v>159</v>
      </c>
      <c r="S43" t="s">
        <v>252</v>
      </c>
      <c r="T43" t="s">
        <v>366</v>
      </c>
      <c r="U43">
        <v>3.5142212600025134E-6</v>
      </c>
      <c r="V43" t="s">
        <v>159</v>
      </c>
      <c r="X43">
        <v>1.1415525114155251E-4</v>
      </c>
      <c r="Y43">
        <v>1.093901499142282E-4</v>
      </c>
      <c r="Z43" t="s">
        <v>366</v>
      </c>
      <c r="AA43" t="s">
        <v>25</v>
      </c>
      <c r="AC43" t="s">
        <v>22</v>
      </c>
      <c r="AD43" t="s">
        <v>366</v>
      </c>
      <c r="AE43">
        <v>1.3988147740691908E-4</v>
      </c>
      <c r="AG43" t="s">
        <v>96</v>
      </c>
      <c r="AH43" t="s">
        <v>366</v>
      </c>
      <c r="AI43">
        <v>0</v>
      </c>
      <c r="AK43">
        <v>2027</v>
      </c>
      <c r="AL43" t="s">
        <v>154</v>
      </c>
      <c r="AM43">
        <v>9.5799999999999996E-2</v>
      </c>
      <c r="AN43" t="s">
        <v>281</v>
      </c>
    </row>
    <row r="44" spans="5:40" x14ac:dyDescent="0.45">
      <c r="E44" t="s">
        <v>382</v>
      </c>
      <c r="G44" t="s">
        <v>372</v>
      </c>
      <c r="I44" t="s">
        <v>157</v>
      </c>
      <c r="J44" t="s">
        <v>367</v>
      </c>
      <c r="K44">
        <v>0</v>
      </c>
      <c r="L44" t="s">
        <v>159</v>
      </c>
      <c r="N44" t="s">
        <v>210</v>
      </c>
      <c r="O44" t="s">
        <v>367</v>
      </c>
      <c r="P44">
        <v>1.1025893952071129E-5</v>
      </c>
      <c r="Q44" t="s">
        <v>159</v>
      </c>
      <c r="S44" t="s">
        <v>252</v>
      </c>
      <c r="T44" t="s">
        <v>367</v>
      </c>
      <c r="U44">
        <v>4.7243812700659441E-6</v>
      </c>
      <c r="V44" t="s">
        <v>159</v>
      </c>
      <c r="X44">
        <v>1.1415525114155251E-4</v>
      </c>
      <c r="Y44">
        <v>7.9556472664893237E-5</v>
      </c>
      <c r="Z44" t="s">
        <v>367</v>
      </c>
      <c r="AA44" t="s">
        <v>25</v>
      </c>
      <c r="AC44" t="s">
        <v>22</v>
      </c>
      <c r="AD44" t="s">
        <v>367</v>
      </c>
      <c r="AE44">
        <v>1.2355542182285428E-4</v>
      </c>
      <c r="AG44" t="s">
        <v>96</v>
      </c>
      <c r="AH44" t="s">
        <v>367</v>
      </c>
      <c r="AI44">
        <v>0</v>
      </c>
      <c r="AK44">
        <v>2027</v>
      </c>
      <c r="AL44" t="s">
        <v>283</v>
      </c>
      <c r="AM44">
        <v>9.9099999999999994E-2</v>
      </c>
      <c r="AN44" t="s">
        <v>281</v>
      </c>
    </row>
    <row r="45" spans="5:40" x14ac:dyDescent="0.45">
      <c r="E45" t="s">
        <v>383</v>
      </c>
      <c r="G45" t="s">
        <v>372</v>
      </c>
      <c r="I45" t="s">
        <v>157</v>
      </c>
      <c r="J45" t="s">
        <v>368</v>
      </c>
      <c r="K45">
        <v>0</v>
      </c>
      <c r="L45" t="s">
        <v>159</v>
      </c>
      <c r="N45" t="s">
        <v>210</v>
      </c>
      <c r="O45" t="s">
        <v>368</v>
      </c>
      <c r="P45">
        <v>6.2068331293221552E-6</v>
      </c>
      <c r="Q45" t="s">
        <v>159</v>
      </c>
      <c r="S45" t="s">
        <v>252</v>
      </c>
      <c r="T45" t="s">
        <v>368</v>
      </c>
      <c r="U45">
        <v>4.3786427519990886E-6</v>
      </c>
      <c r="V45" t="s">
        <v>159</v>
      </c>
      <c r="X45">
        <v>1.1415525114155251E-4</v>
      </c>
      <c r="Y45">
        <v>5.6352501470966035E-5</v>
      </c>
      <c r="Z45" t="s">
        <v>368</v>
      </c>
      <c r="AA45" t="s">
        <v>25</v>
      </c>
      <c r="AC45" t="s">
        <v>22</v>
      </c>
      <c r="AD45" t="s">
        <v>368</v>
      </c>
      <c r="AE45">
        <v>9.7744033728825307E-5</v>
      </c>
      <c r="AG45" t="s">
        <v>96</v>
      </c>
      <c r="AH45" t="s">
        <v>368</v>
      </c>
      <c r="AI45">
        <v>0</v>
      </c>
      <c r="AK45">
        <v>2027</v>
      </c>
      <c r="AL45" t="s">
        <v>285</v>
      </c>
      <c r="AM45">
        <v>0.16108</v>
      </c>
      <c r="AN45" t="s">
        <v>281</v>
      </c>
    </row>
    <row r="46" spans="5:40" x14ac:dyDescent="0.45">
      <c r="E46" t="s">
        <v>384</v>
      </c>
      <c r="G46" t="s">
        <v>372</v>
      </c>
      <c r="I46" t="s">
        <v>157</v>
      </c>
      <c r="J46" t="s">
        <v>369</v>
      </c>
      <c r="K46">
        <v>0</v>
      </c>
      <c r="L46" t="s">
        <v>159</v>
      </c>
      <c r="N46" t="s">
        <v>210</v>
      </c>
      <c r="O46" t="s">
        <v>369</v>
      </c>
      <c r="P46">
        <v>2.1638936655537829E-6</v>
      </c>
      <c r="Q46" t="s">
        <v>159</v>
      </c>
      <c r="S46" t="s">
        <v>252</v>
      </c>
      <c r="T46" t="s">
        <v>369</v>
      </c>
      <c r="U46">
        <v>3.946465651888598E-6</v>
      </c>
      <c r="V46" t="s">
        <v>159</v>
      </c>
      <c r="X46">
        <v>1.1415525114155251E-4</v>
      </c>
      <c r="Y46">
        <v>2.9833677249334962E-5</v>
      </c>
      <c r="Z46" t="s">
        <v>369</v>
      </c>
      <c r="AA46" t="s">
        <v>25</v>
      </c>
      <c r="AC46" t="s">
        <v>22</v>
      </c>
      <c r="AD46" t="s">
        <v>369</v>
      </c>
      <c r="AE46">
        <v>8.4997016247962651E-5</v>
      </c>
      <c r="AG46" t="s">
        <v>96</v>
      </c>
      <c r="AH46" t="s">
        <v>369</v>
      </c>
      <c r="AI46">
        <v>0</v>
      </c>
      <c r="AK46">
        <v>2027</v>
      </c>
      <c r="AL46" t="s">
        <v>306</v>
      </c>
      <c r="AM46">
        <v>0.29189999999999999</v>
      </c>
      <c r="AN46" t="s">
        <v>281</v>
      </c>
    </row>
    <row r="47" spans="5:40" x14ac:dyDescent="0.45">
      <c r="E47" t="s">
        <v>385</v>
      </c>
      <c r="G47" t="s">
        <v>372</v>
      </c>
      <c r="I47" t="s">
        <v>157</v>
      </c>
      <c r="J47" t="s">
        <v>165</v>
      </c>
      <c r="K47">
        <v>0</v>
      </c>
      <c r="L47" t="s">
        <v>159</v>
      </c>
      <c r="N47" t="s">
        <v>210</v>
      </c>
      <c r="O47" t="s">
        <v>165</v>
      </c>
      <c r="P47">
        <v>3.8709182052173149E-2</v>
      </c>
      <c r="Q47" t="s">
        <v>159</v>
      </c>
      <c r="S47" t="s">
        <v>252</v>
      </c>
      <c r="T47" t="s">
        <v>165</v>
      </c>
      <c r="U47">
        <v>2.4735179124504913E-2</v>
      </c>
      <c r="V47" t="s">
        <v>159</v>
      </c>
      <c r="X47">
        <v>2.4771689497716895E-2</v>
      </c>
      <c r="Y47">
        <v>9.7827942553597048E-3</v>
      </c>
      <c r="Z47" t="s">
        <v>165</v>
      </c>
      <c r="AA47" t="s">
        <v>25</v>
      </c>
      <c r="AC47" t="s">
        <v>22</v>
      </c>
      <c r="AD47" t="s">
        <v>165</v>
      </c>
      <c r="AE47">
        <v>1.9868368849186947E-2</v>
      </c>
      <c r="AG47" t="s">
        <v>96</v>
      </c>
      <c r="AH47" t="s">
        <v>165</v>
      </c>
      <c r="AI47">
        <v>0.28762997520818501</v>
      </c>
      <c r="AK47">
        <v>2028</v>
      </c>
      <c r="AL47" t="s">
        <v>148</v>
      </c>
      <c r="AM47">
        <v>0.26011666666666666</v>
      </c>
      <c r="AN47" t="s">
        <v>281</v>
      </c>
    </row>
    <row r="48" spans="5:40" x14ac:dyDescent="0.45">
      <c r="E48" t="s">
        <v>386</v>
      </c>
      <c r="G48" t="s">
        <v>372</v>
      </c>
      <c r="I48" t="s">
        <v>157</v>
      </c>
      <c r="J48" t="s">
        <v>166</v>
      </c>
      <c r="K48">
        <v>4.3964299837989298E-3</v>
      </c>
      <c r="L48" t="s">
        <v>159</v>
      </c>
      <c r="N48" t="s">
        <v>210</v>
      </c>
      <c r="O48" t="s">
        <v>166</v>
      </c>
      <c r="P48">
        <v>6.4271136940718451E-3</v>
      </c>
      <c r="Q48" t="s">
        <v>159</v>
      </c>
      <c r="S48" t="s">
        <v>252</v>
      </c>
      <c r="T48" t="s">
        <v>166</v>
      </c>
      <c r="U48">
        <v>3.5708273260968834E-3</v>
      </c>
      <c r="V48" t="s">
        <v>159</v>
      </c>
      <c r="X48">
        <v>3.5388127853881279E-3</v>
      </c>
      <c r="Y48">
        <v>5.9087255218821738E-3</v>
      </c>
      <c r="Z48" t="s">
        <v>166</v>
      </c>
      <c r="AA48" t="s">
        <v>25</v>
      </c>
      <c r="AC48" t="s">
        <v>22</v>
      </c>
      <c r="AD48" t="s">
        <v>166</v>
      </c>
      <c r="AE48">
        <v>4.5044003736932382E-3</v>
      </c>
      <c r="AG48" t="s">
        <v>96</v>
      </c>
      <c r="AH48" t="s">
        <v>166</v>
      </c>
      <c r="AI48">
        <v>7.9490680016605308E-2</v>
      </c>
      <c r="AK48">
        <v>2028</v>
      </c>
      <c r="AL48" t="s">
        <v>152</v>
      </c>
      <c r="AM48">
        <v>9.7799999999999998E-2</v>
      </c>
      <c r="AN48" t="s">
        <v>281</v>
      </c>
    </row>
    <row r="49" spans="5:40" x14ac:dyDescent="0.45">
      <c r="E49" t="s">
        <v>387</v>
      </c>
      <c r="G49" t="s">
        <v>372</v>
      </c>
      <c r="I49" t="s">
        <v>157</v>
      </c>
      <c r="J49" t="s">
        <v>167</v>
      </c>
      <c r="K49">
        <v>6.165422446698942E-2</v>
      </c>
      <c r="L49" t="s">
        <v>159</v>
      </c>
      <c r="N49" t="s">
        <v>210</v>
      </c>
      <c r="O49" t="s">
        <v>167</v>
      </c>
      <c r="P49">
        <v>6.8786089220085667E-2</v>
      </c>
      <c r="Q49" t="s">
        <v>159</v>
      </c>
      <c r="S49" t="s">
        <v>252</v>
      </c>
      <c r="T49" t="s">
        <v>167</v>
      </c>
      <c r="U49">
        <v>2.8186811749447368E-2</v>
      </c>
      <c r="V49" t="s">
        <v>159</v>
      </c>
      <c r="X49">
        <v>3.1849315068493152E-2</v>
      </c>
      <c r="Y49">
        <v>4.365263655122692E-2</v>
      </c>
      <c r="Z49" t="s">
        <v>167</v>
      </c>
      <c r="AA49" t="s">
        <v>25</v>
      </c>
      <c r="AC49" t="s">
        <v>22</v>
      </c>
      <c r="AD49" t="s">
        <v>167</v>
      </c>
      <c r="AE49">
        <v>3.9054731564829859E-2</v>
      </c>
      <c r="AG49" t="s">
        <v>96</v>
      </c>
      <c r="AH49" t="s">
        <v>167</v>
      </c>
      <c r="AI49">
        <v>0.15214676873187183</v>
      </c>
      <c r="AK49">
        <v>2028</v>
      </c>
      <c r="AL49" t="s">
        <v>154</v>
      </c>
      <c r="AM49">
        <v>7.8E-2</v>
      </c>
      <c r="AN49" t="s">
        <v>281</v>
      </c>
    </row>
    <row r="50" spans="5:40" x14ac:dyDescent="0.45">
      <c r="E50" t="s">
        <v>388</v>
      </c>
      <c r="G50" t="s">
        <v>372</v>
      </c>
      <c r="I50" t="s">
        <v>157</v>
      </c>
      <c r="J50" t="s">
        <v>291</v>
      </c>
      <c r="K50">
        <v>3.9669284532207047E-3</v>
      </c>
      <c r="L50" t="s">
        <v>159</v>
      </c>
      <c r="N50" t="s">
        <v>210</v>
      </c>
      <c r="O50" t="s">
        <v>291</v>
      </c>
      <c r="P50">
        <v>5.6054464280996374E-3</v>
      </c>
      <c r="Q50" t="s">
        <v>159</v>
      </c>
      <c r="S50" t="s">
        <v>252</v>
      </c>
      <c r="T50" t="s">
        <v>291</v>
      </c>
      <c r="U50">
        <v>3.0721437437134227E-3</v>
      </c>
      <c r="V50" t="s">
        <v>159</v>
      </c>
      <c r="X50">
        <v>3.5388127853881279E-3</v>
      </c>
      <c r="Y50">
        <v>6.8849497385409693E-3</v>
      </c>
      <c r="Z50" t="s">
        <v>291</v>
      </c>
      <c r="AA50" t="s">
        <v>25</v>
      </c>
      <c r="AC50" t="s">
        <v>22</v>
      </c>
      <c r="AD50" t="s">
        <v>291</v>
      </c>
      <c r="AE50">
        <v>5.0187886627884272E-3</v>
      </c>
      <c r="AG50" t="s">
        <v>96</v>
      </c>
      <c r="AH50" t="s">
        <v>291</v>
      </c>
      <c r="AI50">
        <v>8.5214025863671328E-2</v>
      </c>
      <c r="AK50">
        <v>2028</v>
      </c>
      <c r="AL50" t="s">
        <v>283</v>
      </c>
      <c r="AM50">
        <v>8.1299999999999997E-2</v>
      </c>
      <c r="AN50" t="s">
        <v>281</v>
      </c>
    </row>
    <row r="51" spans="5:40" x14ac:dyDescent="0.45">
      <c r="E51" t="s">
        <v>389</v>
      </c>
      <c r="G51" t="s">
        <v>372</v>
      </c>
      <c r="I51" t="s">
        <v>157</v>
      </c>
      <c r="J51" t="s">
        <v>292</v>
      </c>
      <c r="K51">
        <v>0</v>
      </c>
      <c r="L51" t="s">
        <v>159</v>
      </c>
      <c r="N51" t="s">
        <v>210</v>
      </c>
      <c r="O51" t="s">
        <v>292</v>
      </c>
      <c r="P51">
        <v>4.6692013730693146E-3</v>
      </c>
      <c r="Q51" t="s">
        <v>159</v>
      </c>
      <c r="S51" t="s">
        <v>252</v>
      </c>
      <c r="T51" t="s">
        <v>292</v>
      </c>
      <c r="U51">
        <v>3.0725532923284726E-3</v>
      </c>
      <c r="V51" t="s">
        <v>159</v>
      </c>
      <c r="X51">
        <v>3.5388127853881279E-3</v>
      </c>
      <c r="Y51">
        <v>5.3435430806586613E-3</v>
      </c>
      <c r="Z51" t="s">
        <v>292</v>
      </c>
      <c r="AA51" t="s">
        <v>25</v>
      </c>
      <c r="AC51" t="s">
        <v>22</v>
      </c>
      <c r="AD51" t="s">
        <v>292</v>
      </c>
      <c r="AE51">
        <v>4.953302256246587E-3</v>
      </c>
      <c r="AG51" t="s">
        <v>96</v>
      </c>
      <c r="AH51" t="s">
        <v>292</v>
      </c>
      <c r="AI51">
        <v>8.5423052306120129E-2</v>
      </c>
      <c r="AK51">
        <v>2028</v>
      </c>
      <c r="AL51" t="s">
        <v>285</v>
      </c>
      <c r="AM51">
        <v>0.14872000000000002</v>
      </c>
      <c r="AN51" t="s">
        <v>281</v>
      </c>
    </row>
    <row r="52" spans="5:40" x14ac:dyDescent="0.45">
      <c r="E52" t="s">
        <v>390</v>
      </c>
      <c r="G52" t="s">
        <v>372</v>
      </c>
      <c r="I52" t="s">
        <v>157</v>
      </c>
      <c r="J52" t="s">
        <v>310</v>
      </c>
      <c r="K52">
        <v>0</v>
      </c>
      <c r="L52" t="s">
        <v>159</v>
      </c>
      <c r="N52" t="s">
        <v>210</v>
      </c>
      <c r="O52" t="s">
        <v>310</v>
      </c>
      <c r="P52">
        <v>2.0093652542073747E-2</v>
      </c>
      <c r="Q52" t="s">
        <v>159</v>
      </c>
      <c r="S52" t="s">
        <v>252</v>
      </c>
      <c r="T52" t="s">
        <v>310</v>
      </c>
      <c r="U52">
        <v>1.5762011655508255E-2</v>
      </c>
      <c r="V52" t="s">
        <v>159</v>
      </c>
      <c r="X52">
        <v>1.7694063926940638E-2</v>
      </c>
      <c r="Y52">
        <v>1.3358857701646654E-2</v>
      </c>
      <c r="Z52" t="s">
        <v>310</v>
      </c>
      <c r="AA52" t="s">
        <v>25</v>
      </c>
      <c r="AC52" t="s">
        <v>22</v>
      </c>
      <c r="AD52" t="s">
        <v>310</v>
      </c>
      <c r="AE52">
        <v>1.8403222487043746E-2</v>
      </c>
      <c r="AG52" t="s">
        <v>96</v>
      </c>
      <c r="AH52" t="s">
        <v>310</v>
      </c>
      <c r="AI52">
        <v>0.20681980140534106</v>
      </c>
      <c r="AK52">
        <v>2028</v>
      </c>
      <c r="AL52" t="s">
        <v>306</v>
      </c>
      <c r="AM52">
        <v>0.28339999999999999</v>
      </c>
      <c r="AN52" t="s">
        <v>281</v>
      </c>
    </row>
    <row r="53" spans="5:40" x14ac:dyDescent="0.45">
      <c r="E53" t="s">
        <v>391</v>
      </c>
      <c r="G53" t="s">
        <v>372</v>
      </c>
      <c r="I53" t="s">
        <v>157</v>
      </c>
      <c r="J53" t="s">
        <v>293</v>
      </c>
      <c r="K53">
        <v>0</v>
      </c>
      <c r="L53" t="s">
        <v>159</v>
      </c>
      <c r="N53" t="s">
        <v>210</v>
      </c>
      <c r="O53" t="s">
        <v>293</v>
      </c>
      <c r="P53">
        <v>8.1771757410565079E-3</v>
      </c>
      <c r="Q53" t="s">
        <v>159</v>
      </c>
      <c r="S53" t="s">
        <v>252</v>
      </c>
      <c r="T53" t="s">
        <v>293</v>
      </c>
      <c r="U53">
        <v>3.1547799907673856E-3</v>
      </c>
      <c r="V53" t="s">
        <v>159</v>
      </c>
      <c r="X53">
        <v>5.5936073059360729E-3</v>
      </c>
      <c r="Y53">
        <v>2.2090180576618689E-3</v>
      </c>
      <c r="Z53" t="s">
        <v>293</v>
      </c>
      <c r="AA53" t="s">
        <v>25</v>
      </c>
      <c r="AC53" t="s">
        <v>22</v>
      </c>
      <c r="AD53" t="s">
        <v>293</v>
      </c>
      <c r="AE53">
        <v>4.3872536714012278E-3</v>
      </c>
      <c r="AG53" t="s">
        <v>96</v>
      </c>
      <c r="AH53" t="s">
        <v>293</v>
      </c>
      <c r="AI53">
        <v>0.24227028784070814</v>
      </c>
      <c r="AK53">
        <v>2029</v>
      </c>
      <c r="AL53" t="s">
        <v>148</v>
      </c>
      <c r="AM53">
        <v>0.36823333333333336</v>
      </c>
      <c r="AN53" t="s">
        <v>281</v>
      </c>
    </row>
    <row r="54" spans="5:40" x14ac:dyDescent="0.45">
      <c r="E54" t="s">
        <v>392</v>
      </c>
      <c r="G54" t="s">
        <v>372</v>
      </c>
      <c r="I54" t="s">
        <v>157</v>
      </c>
      <c r="J54" t="s">
        <v>294</v>
      </c>
      <c r="K54">
        <v>1.1332973668603155E-3</v>
      </c>
      <c r="L54" t="s">
        <v>159</v>
      </c>
      <c r="N54" t="s">
        <v>210</v>
      </c>
      <c r="O54" t="s">
        <v>294</v>
      </c>
      <c r="P54">
        <v>1.594181142220183E-3</v>
      </c>
      <c r="Q54" t="s">
        <v>159</v>
      </c>
      <c r="S54" t="s">
        <v>252</v>
      </c>
      <c r="T54" t="s">
        <v>294</v>
      </c>
      <c r="U54">
        <v>4.0559208371572823E-4</v>
      </c>
      <c r="V54" t="s">
        <v>159</v>
      </c>
      <c r="X54">
        <v>7.9908675799086762E-4</v>
      </c>
      <c r="Y54">
        <v>1.3342283436508136E-3</v>
      </c>
      <c r="Z54" t="s">
        <v>294</v>
      </c>
      <c r="AA54" t="s">
        <v>25</v>
      </c>
      <c r="AC54" t="s">
        <v>22</v>
      </c>
      <c r="AD54" t="s">
        <v>294</v>
      </c>
      <c r="AE54">
        <v>9.7246898199590212E-4</v>
      </c>
      <c r="AG54" t="s">
        <v>96</v>
      </c>
      <c r="AH54" t="s">
        <v>294</v>
      </c>
      <c r="AI54">
        <v>7.9341283869957202E-2</v>
      </c>
      <c r="AK54">
        <v>2029</v>
      </c>
      <c r="AL54" t="s">
        <v>152</v>
      </c>
      <c r="AM54">
        <v>0.14224999999999999</v>
      </c>
      <c r="AN54" t="s">
        <v>281</v>
      </c>
    </row>
    <row r="55" spans="5:40" x14ac:dyDescent="0.45">
      <c r="E55" t="s">
        <v>393</v>
      </c>
      <c r="G55" t="s">
        <v>372</v>
      </c>
      <c r="I55" t="s">
        <v>157</v>
      </c>
      <c r="J55" t="s">
        <v>295</v>
      </c>
      <c r="K55">
        <v>1.5158952185182989E-2</v>
      </c>
      <c r="L55" t="s">
        <v>159</v>
      </c>
      <c r="N55" t="s">
        <v>210</v>
      </c>
      <c r="O55" t="s">
        <v>295</v>
      </c>
      <c r="P55">
        <v>1.6159362140203228E-2</v>
      </c>
      <c r="Q55" t="s">
        <v>159</v>
      </c>
      <c r="S55" t="s">
        <v>252</v>
      </c>
      <c r="T55" t="s">
        <v>295</v>
      </c>
      <c r="U55">
        <v>3.8217159678022553E-3</v>
      </c>
      <c r="V55" t="s">
        <v>159</v>
      </c>
      <c r="X55">
        <v>7.1917808219178082E-3</v>
      </c>
      <c r="Y55">
        <v>9.8570469631802712E-3</v>
      </c>
      <c r="Z55" t="s">
        <v>295</v>
      </c>
      <c r="AA55" t="s">
        <v>25</v>
      </c>
      <c r="AC55" t="s">
        <v>22</v>
      </c>
      <c r="AD55" t="s">
        <v>295</v>
      </c>
      <c r="AE55">
        <v>8.5745030838730828E-3</v>
      </c>
      <c r="AG55" t="s">
        <v>96</v>
      </c>
      <c r="AH55" t="s">
        <v>295</v>
      </c>
      <c r="AI55">
        <v>0.15350688711464944</v>
      </c>
      <c r="AK55">
        <v>2029</v>
      </c>
      <c r="AL55" t="s">
        <v>154</v>
      </c>
      <c r="AM55">
        <v>0.10744999999999999</v>
      </c>
      <c r="AN55" t="s">
        <v>281</v>
      </c>
    </row>
    <row r="56" spans="5:40" x14ac:dyDescent="0.45">
      <c r="E56" t="s">
        <v>394</v>
      </c>
      <c r="G56" t="s">
        <v>372</v>
      </c>
      <c r="I56" t="s">
        <v>157</v>
      </c>
      <c r="J56" t="s">
        <v>296</v>
      </c>
      <c r="K56">
        <v>9.7001450480800968E-4</v>
      </c>
      <c r="L56" t="s">
        <v>159</v>
      </c>
      <c r="N56" t="s">
        <v>210</v>
      </c>
      <c r="O56" t="s">
        <v>296</v>
      </c>
      <c r="P56">
        <v>1.1352435683927723E-3</v>
      </c>
      <c r="Q56" t="s">
        <v>159</v>
      </c>
      <c r="S56" t="s">
        <v>252</v>
      </c>
      <c r="T56" t="s">
        <v>296</v>
      </c>
      <c r="U56">
        <v>6.297621016459644E-4</v>
      </c>
      <c r="V56" t="s">
        <v>159</v>
      </c>
      <c r="X56">
        <v>7.9908675799086762E-4</v>
      </c>
      <c r="Y56">
        <v>1.5546660699931219E-3</v>
      </c>
      <c r="Z56" t="s">
        <v>296</v>
      </c>
      <c r="AA56" t="s">
        <v>25</v>
      </c>
      <c r="AC56" t="s">
        <v>22</v>
      </c>
      <c r="AD56" t="s">
        <v>296</v>
      </c>
      <c r="AE56">
        <v>1.0504026836158742E-3</v>
      </c>
      <c r="AG56" t="s">
        <v>96</v>
      </c>
      <c r="AH56" t="s">
        <v>296</v>
      </c>
      <c r="AI56">
        <v>0.1068865911098027</v>
      </c>
      <c r="AK56">
        <v>2029</v>
      </c>
      <c r="AL56" t="s">
        <v>283</v>
      </c>
      <c r="AM56">
        <v>0.1021</v>
      </c>
      <c r="AN56" t="s">
        <v>281</v>
      </c>
    </row>
    <row r="57" spans="5:40" x14ac:dyDescent="0.45">
      <c r="E57" t="s">
        <v>395</v>
      </c>
      <c r="G57" t="s">
        <v>372</v>
      </c>
      <c r="I57" t="s">
        <v>157</v>
      </c>
      <c r="J57" t="s">
        <v>297</v>
      </c>
      <c r="K57">
        <v>0</v>
      </c>
      <c r="L57" t="s">
        <v>159</v>
      </c>
      <c r="N57" t="s">
        <v>210</v>
      </c>
      <c r="O57" t="s">
        <v>297</v>
      </c>
      <c r="P57">
        <v>7.976843006722434E-4</v>
      </c>
      <c r="Q57" t="s">
        <v>159</v>
      </c>
      <c r="S57" t="s">
        <v>252</v>
      </c>
      <c r="T57" t="s">
        <v>297</v>
      </c>
      <c r="U57">
        <v>6.8756519677693145E-4</v>
      </c>
      <c r="V57" t="s">
        <v>159</v>
      </c>
      <c r="X57">
        <v>7.9908675799086762E-4</v>
      </c>
      <c r="Y57">
        <v>1.2066065020842141E-3</v>
      </c>
      <c r="Z57" t="s">
        <v>297</v>
      </c>
      <c r="AA57" t="s">
        <v>25</v>
      </c>
      <c r="AC57" t="s">
        <v>22</v>
      </c>
      <c r="AD57" t="s">
        <v>297</v>
      </c>
      <c r="AE57">
        <v>1.0384314182361985E-3</v>
      </c>
      <c r="AG57" t="s">
        <v>96</v>
      </c>
      <c r="AH57" t="s">
        <v>297</v>
      </c>
      <c r="AI57">
        <v>9.9782457764406418E-2</v>
      </c>
      <c r="AK57">
        <v>2029</v>
      </c>
      <c r="AL57" t="s">
        <v>285</v>
      </c>
      <c r="AM57">
        <v>0.18934000000000001</v>
      </c>
      <c r="AN57" t="s">
        <v>281</v>
      </c>
    </row>
    <row r="58" spans="5:40" x14ac:dyDescent="0.45">
      <c r="E58" t="s">
        <v>396</v>
      </c>
      <c r="G58" t="s">
        <v>372</v>
      </c>
      <c r="I58" t="s">
        <v>157</v>
      </c>
      <c r="J58" t="s">
        <v>311</v>
      </c>
      <c r="K58">
        <v>0</v>
      </c>
      <c r="L58" t="s">
        <v>159</v>
      </c>
      <c r="N58" t="s">
        <v>210</v>
      </c>
      <c r="O58" t="s">
        <v>311</v>
      </c>
      <c r="P58">
        <v>2.4673681086572349E-3</v>
      </c>
      <c r="Q58" t="s">
        <v>159</v>
      </c>
      <c r="S58" t="s">
        <v>252</v>
      </c>
      <c r="T58" t="s">
        <v>311</v>
      </c>
      <c r="U58">
        <v>3.3166105643069378E-3</v>
      </c>
      <c r="V58" t="s">
        <v>159</v>
      </c>
      <c r="X58">
        <v>3.9954337899543377E-3</v>
      </c>
      <c r="Y58">
        <v>3.0165162552105353E-3</v>
      </c>
      <c r="Z58" t="s">
        <v>311</v>
      </c>
      <c r="AA58" t="s">
        <v>25</v>
      </c>
      <c r="AC58" t="s">
        <v>22</v>
      </c>
      <c r="AD58" t="s">
        <v>311</v>
      </c>
      <c r="AE58">
        <v>4.0540641127317246E-3</v>
      </c>
      <c r="AG58" t="s">
        <v>96</v>
      </c>
      <c r="AH58" t="s">
        <v>311</v>
      </c>
      <c r="AI58">
        <v>0.19774027139172357</v>
      </c>
      <c r="AK58">
        <v>2029</v>
      </c>
      <c r="AL58" t="s">
        <v>306</v>
      </c>
      <c r="AM58">
        <v>0.36059999999999998</v>
      </c>
      <c r="AN58" t="s">
        <v>281</v>
      </c>
    </row>
    <row r="59" spans="5:40" x14ac:dyDescent="0.45">
      <c r="E59" t="s">
        <v>150</v>
      </c>
      <c r="G59" t="s">
        <v>149</v>
      </c>
      <c r="I59" t="s">
        <v>157</v>
      </c>
      <c r="J59" t="s">
        <v>298</v>
      </c>
      <c r="K59">
        <v>1.429746277035996E-2</v>
      </c>
      <c r="L59" t="s">
        <v>159</v>
      </c>
      <c r="N59" t="s">
        <v>210</v>
      </c>
      <c r="O59" t="s">
        <v>298</v>
      </c>
      <c r="P59">
        <v>4.6892716362517468E-2</v>
      </c>
      <c r="Q59" t="s">
        <v>159</v>
      </c>
      <c r="S59" t="s">
        <v>252</v>
      </c>
      <c r="T59" t="s">
        <v>298</v>
      </c>
      <c r="U59">
        <v>7.6490440196588252E-2</v>
      </c>
      <c r="V59" t="s">
        <v>159</v>
      </c>
      <c r="X59">
        <v>7.5913242009132423E-2</v>
      </c>
      <c r="Y59">
        <v>2.9979530782553932E-2</v>
      </c>
      <c r="Z59" t="s">
        <v>298</v>
      </c>
      <c r="AA59" t="s">
        <v>25</v>
      </c>
      <c r="AC59" t="s">
        <v>22</v>
      </c>
      <c r="AD59" t="s">
        <v>298</v>
      </c>
      <c r="AE59">
        <v>5.2852248440113089E-2</v>
      </c>
      <c r="AG59" t="s">
        <v>96</v>
      </c>
      <c r="AH59" t="s">
        <v>298</v>
      </c>
      <c r="AI59">
        <v>0.26209397407311474</v>
      </c>
      <c r="AK59">
        <v>2030</v>
      </c>
      <c r="AL59" t="s">
        <v>148</v>
      </c>
      <c r="AM59">
        <v>0.26701666666666668</v>
      </c>
      <c r="AN59" t="s">
        <v>281</v>
      </c>
    </row>
    <row r="60" spans="5:40" x14ac:dyDescent="0.45">
      <c r="E60" t="s">
        <v>153</v>
      </c>
      <c r="G60" t="s">
        <v>149</v>
      </c>
      <c r="I60" t="s">
        <v>157</v>
      </c>
      <c r="J60" t="s">
        <v>299</v>
      </c>
      <c r="K60">
        <v>2.2572887978814328E-2</v>
      </c>
      <c r="L60" t="s">
        <v>159</v>
      </c>
      <c r="N60" t="s">
        <v>210</v>
      </c>
      <c r="O60" t="s">
        <v>299</v>
      </c>
      <c r="P60">
        <v>7.369134875074985E-3</v>
      </c>
      <c r="Q60" t="s">
        <v>159</v>
      </c>
      <c r="S60" t="s">
        <v>252</v>
      </c>
      <c r="T60" t="s">
        <v>299</v>
      </c>
      <c r="U60">
        <v>1.0224727566468826E-2</v>
      </c>
      <c r="V60" t="s">
        <v>159</v>
      </c>
      <c r="X60">
        <v>1.0844748858447488E-2</v>
      </c>
      <c r="Y60">
        <v>1.8107384663832465E-2</v>
      </c>
      <c r="Z60" t="s">
        <v>299</v>
      </c>
      <c r="AA60" t="s">
        <v>25</v>
      </c>
      <c r="AC60" t="s">
        <v>22</v>
      </c>
      <c r="AD60" t="s">
        <v>299</v>
      </c>
      <c r="AE60">
        <v>1.1402992429689326E-2</v>
      </c>
      <c r="AG60" t="s">
        <v>96</v>
      </c>
      <c r="AH60" t="s">
        <v>299</v>
      </c>
      <c r="AI60">
        <v>9.7730183892906553E-2</v>
      </c>
      <c r="AK60">
        <v>2030</v>
      </c>
      <c r="AL60" t="s">
        <v>152</v>
      </c>
      <c r="AM60">
        <v>0.10249999999999999</v>
      </c>
      <c r="AN60" t="s">
        <v>281</v>
      </c>
    </row>
    <row r="61" spans="5:40" x14ac:dyDescent="0.45">
      <c r="E61" t="s">
        <v>155</v>
      </c>
      <c r="G61" t="s">
        <v>149</v>
      </c>
      <c r="I61" t="s">
        <v>157</v>
      </c>
      <c r="J61" t="s">
        <v>300</v>
      </c>
      <c r="K61">
        <v>0.24557227328870226</v>
      </c>
      <c r="L61" t="s">
        <v>159</v>
      </c>
      <c r="N61" t="s">
        <v>210</v>
      </c>
      <c r="O61" t="s">
        <v>300</v>
      </c>
      <c r="P61">
        <v>0.12662441041883085</v>
      </c>
      <c r="Q61" t="s">
        <v>159</v>
      </c>
      <c r="S61" t="s">
        <v>252</v>
      </c>
      <c r="T61" t="s">
        <v>300</v>
      </c>
      <c r="U61">
        <v>9.295650076873882E-2</v>
      </c>
      <c r="V61" t="s">
        <v>159</v>
      </c>
      <c r="X61">
        <v>9.7602739726027399E-2</v>
      </c>
      <c r="Y61">
        <v>0.13377420878601798</v>
      </c>
      <c r="Z61" t="s">
        <v>300</v>
      </c>
      <c r="AA61" t="s">
        <v>25</v>
      </c>
      <c r="AC61" t="s">
        <v>22</v>
      </c>
      <c r="AD61" t="s">
        <v>300</v>
      </c>
      <c r="AE61">
        <v>0.1100360637858096</v>
      </c>
      <c r="AG61" t="s">
        <v>96</v>
      </c>
      <c r="AH61" t="s">
        <v>300</v>
      </c>
      <c r="AI61">
        <v>0.1290755139681723</v>
      </c>
      <c r="AK61">
        <v>2030</v>
      </c>
      <c r="AL61" t="s">
        <v>154</v>
      </c>
      <c r="AM61">
        <v>7.569999999999999E-2</v>
      </c>
      <c r="AN61" t="s">
        <v>281</v>
      </c>
    </row>
    <row r="62" spans="5:40" x14ac:dyDescent="0.45">
      <c r="E62" t="s">
        <v>284</v>
      </c>
      <c r="G62" t="s">
        <v>149</v>
      </c>
      <c r="I62" t="s">
        <v>157</v>
      </c>
      <c r="J62" t="s">
        <v>301</v>
      </c>
      <c r="K62">
        <v>1.587195627307433E-2</v>
      </c>
      <c r="L62" t="s">
        <v>159</v>
      </c>
      <c r="N62" t="s">
        <v>210</v>
      </c>
      <c r="O62" t="s">
        <v>301</v>
      </c>
      <c r="P62">
        <v>1.7834916658194051E-2</v>
      </c>
      <c r="Q62" t="s">
        <v>159</v>
      </c>
      <c r="S62" t="s">
        <v>252</v>
      </c>
      <c r="T62" t="s">
        <v>301</v>
      </c>
      <c r="U62">
        <v>1.1890497096763196E-2</v>
      </c>
      <c r="V62" t="s">
        <v>159</v>
      </c>
      <c r="X62">
        <v>1.0844748858447488E-2</v>
      </c>
      <c r="Y62">
        <v>2.1099039521335222E-2</v>
      </c>
      <c r="Z62" t="s">
        <v>301</v>
      </c>
      <c r="AA62" t="s">
        <v>25</v>
      </c>
      <c r="AC62" t="s">
        <v>22</v>
      </c>
      <c r="AD62" t="s">
        <v>301</v>
      </c>
      <c r="AE62">
        <v>1.2460377805065894E-2</v>
      </c>
      <c r="AG62" t="s">
        <v>96</v>
      </c>
      <c r="AH62" t="s">
        <v>301</v>
      </c>
      <c r="AI62">
        <v>0.13555101419099724</v>
      </c>
      <c r="AK62">
        <v>2030</v>
      </c>
      <c r="AL62" t="s">
        <v>283</v>
      </c>
      <c r="AM62">
        <v>7.6999999999999999E-2</v>
      </c>
      <c r="AN62" t="s">
        <v>281</v>
      </c>
    </row>
    <row r="63" spans="5:40" x14ac:dyDescent="0.45">
      <c r="E63" t="s">
        <v>286</v>
      </c>
      <c r="G63" t="s">
        <v>149</v>
      </c>
      <c r="I63" t="s">
        <v>157</v>
      </c>
      <c r="J63" t="s">
        <v>302</v>
      </c>
      <c r="K63">
        <v>2.7110060881124528E-3</v>
      </c>
      <c r="L63" t="s">
        <v>159</v>
      </c>
      <c r="N63" t="s">
        <v>210</v>
      </c>
      <c r="O63" t="s">
        <v>302</v>
      </c>
      <c r="P63">
        <v>1.6400998433570187E-2</v>
      </c>
      <c r="Q63" t="s">
        <v>159</v>
      </c>
      <c r="S63" t="s">
        <v>252</v>
      </c>
      <c r="T63" t="s">
        <v>302</v>
      </c>
      <c r="U63">
        <v>1.2041350146938494E-2</v>
      </c>
      <c r="V63" t="s">
        <v>159</v>
      </c>
      <c r="X63">
        <v>1.0844748858447488E-2</v>
      </c>
      <c r="Y63">
        <v>1.6375373956857182E-2</v>
      </c>
      <c r="Z63" t="s">
        <v>302</v>
      </c>
      <c r="AA63" t="s">
        <v>25</v>
      </c>
      <c r="AC63" t="s">
        <v>22</v>
      </c>
      <c r="AD63" t="s">
        <v>302</v>
      </c>
      <c r="AE63">
        <v>1.2536630710466628E-2</v>
      </c>
      <c r="AG63" t="s">
        <v>96</v>
      </c>
      <c r="AH63" t="s">
        <v>302</v>
      </c>
      <c r="AI63">
        <v>0.11704161621311582</v>
      </c>
      <c r="AK63">
        <v>2030</v>
      </c>
      <c r="AL63" t="s">
        <v>285</v>
      </c>
      <c r="AM63">
        <v>0.14948</v>
      </c>
      <c r="AN63" t="s">
        <v>281</v>
      </c>
    </row>
    <row r="64" spans="5:40" x14ac:dyDescent="0.45">
      <c r="E64" t="s">
        <v>307</v>
      </c>
      <c r="G64" t="s">
        <v>149</v>
      </c>
      <c r="I64" t="s">
        <v>157</v>
      </c>
      <c r="J64" t="s">
        <v>312</v>
      </c>
      <c r="K64">
        <v>0</v>
      </c>
      <c r="L64" t="s">
        <v>159</v>
      </c>
      <c r="N64" t="s">
        <v>210</v>
      </c>
      <c r="O64" t="s">
        <v>312</v>
      </c>
      <c r="P64">
        <v>4.418743847791852E-2</v>
      </c>
      <c r="Q64" t="s">
        <v>159</v>
      </c>
      <c r="S64" t="s">
        <v>252</v>
      </c>
      <c r="T64" t="s">
        <v>312</v>
      </c>
      <c r="U64">
        <v>5.7400378990870964E-2</v>
      </c>
      <c r="V64" t="s">
        <v>159</v>
      </c>
      <c r="X64">
        <v>5.422374429223744E-2</v>
      </c>
      <c r="Y64">
        <v>4.0938434892142966E-2</v>
      </c>
      <c r="Z64" t="s">
        <v>312</v>
      </c>
      <c r="AA64" t="s">
        <v>25</v>
      </c>
      <c r="AC64" t="s">
        <v>22</v>
      </c>
      <c r="AD64" t="s">
        <v>312</v>
      </c>
      <c r="AE64">
        <v>5.0552823730454721E-2</v>
      </c>
      <c r="AG64" t="s">
        <v>96</v>
      </c>
      <c r="AH64" t="s">
        <v>312</v>
      </c>
      <c r="AI64">
        <v>0.21796086605068821</v>
      </c>
      <c r="AK64">
        <v>2030</v>
      </c>
      <c r="AL64" t="s">
        <v>306</v>
      </c>
      <c r="AM64">
        <v>0.27779999999999999</v>
      </c>
      <c r="AN64" t="s">
        <v>281</v>
      </c>
    </row>
    <row r="65" spans="9:40" x14ac:dyDescent="0.45">
      <c r="I65" t="s">
        <v>157</v>
      </c>
      <c r="J65" t="s">
        <v>397</v>
      </c>
      <c r="K65">
        <v>0</v>
      </c>
      <c r="L65" t="s">
        <v>159</v>
      </c>
      <c r="N65" t="s">
        <v>210</v>
      </c>
      <c r="O65" t="s">
        <v>397</v>
      </c>
      <c r="P65">
        <v>2.6383965907318527E-6</v>
      </c>
      <c r="Q65" t="s">
        <v>159</v>
      </c>
      <c r="S65" t="s">
        <v>252</v>
      </c>
      <c r="T65" t="s">
        <v>397</v>
      </c>
      <c r="U65">
        <v>4.4937093707246031E-5</v>
      </c>
      <c r="V65" t="s">
        <v>159</v>
      </c>
      <c r="X65">
        <v>1.1415525114155251E-4</v>
      </c>
      <c r="Y65">
        <v>2.1546544680075254E-5</v>
      </c>
      <c r="Z65" t="s">
        <v>397</v>
      </c>
      <c r="AA65" t="s">
        <v>25</v>
      </c>
      <c r="AC65" t="s">
        <v>22</v>
      </c>
      <c r="AD65" t="s">
        <v>397</v>
      </c>
      <c r="AE65">
        <v>7.167778576921197E-5</v>
      </c>
      <c r="AG65" t="s">
        <v>96</v>
      </c>
      <c r="AH65" t="s">
        <v>397</v>
      </c>
      <c r="AI65">
        <v>0</v>
      </c>
      <c r="AK65">
        <v>2031</v>
      </c>
      <c r="AL65" t="s">
        <v>148</v>
      </c>
      <c r="AM65">
        <v>0.27793333333333331</v>
      </c>
      <c r="AN65" t="s">
        <v>281</v>
      </c>
    </row>
    <row r="66" spans="9:40" x14ac:dyDescent="0.45">
      <c r="I66" t="s">
        <v>157</v>
      </c>
      <c r="J66" t="s">
        <v>398</v>
      </c>
      <c r="K66">
        <v>0</v>
      </c>
      <c r="L66" t="s">
        <v>159</v>
      </c>
      <c r="N66" t="s">
        <v>210</v>
      </c>
      <c r="O66" t="s">
        <v>398</v>
      </c>
      <c r="P66">
        <v>1.882136972220924E-6</v>
      </c>
      <c r="Q66" t="s">
        <v>159</v>
      </c>
      <c r="S66" t="s">
        <v>252</v>
      </c>
      <c r="T66" t="s">
        <v>398</v>
      </c>
      <c r="U66">
        <v>3.985934222324969E-5</v>
      </c>
      <c r="V66" t="s">
        <v>159</v>
      </c>
      <c r="X66">
        <v>1.1415525114155251E-4</v>
      </c>
      <c r="Y66">
        <v>1.4916838624667481E-5</v>
      </c>
      <c r="Z66" t="s">
        <v>398</v>
      </c>
      <c r="AA66" t="s">
        <v>25</v>
      </c>
      <c r="AC66" t="s">
        <v>22</v>
      </c>
      <c r="AD66" t="s">
        <v>398</v>
      </c>
      <c r="AE66">
        <v>6.9967605000686826E-5</v>
      </c>
      <c r="AG66" t="s">
        <v>96</v>
      </c>
      <c r="AH66" t="s">
        <v>398</v>
      </c>
      <c r="AI66">
        <v>0</v>
      </c>
      <c r="AK66">
        <v>2031</v>
      </c>
      <c r="AL66" t="s">
        <v>152</v>
      </c>
      <c r="AM66">
        <v>0.10115</v>
      </c>
      <c r="AN66" t="s">
        <v>281</v>
      </c>
    </row>
    <row r="67" spans="9:40" x14ac:dyDescent="0.45">
      <c r="I67" t="s">
        <v>157</v>
      </c>
      <c r="J67" t="s">
        <v>399</v>
      </c>
      <c r="K67">
        <v>0</v>
      </c>
      <c r="L67" t="s">
        <v>159</v>
      </c>
      <c r="N67" t="s">
        <v>210</v>
      </c>
      <c r="O67" t="s">
        <v>399</v>
      </c>
      <c r="P67">
        <v>2.2321479304719085E-6</v>
      </c>
      <c r="Q67" t="s">
        <v>159</v>
      </c>
      <c r="S67" t="s">
        <v>252</v>
      </c>
      <c r="T67" t="s">
        <v>399</v>
      </c>
      <c r="U67">
        <v>4.5875678259459621E-5</v>
      </c>
      <c r="V67" t="s">
        <v>159</v>
      </c>
      <c r="X67">
        <v>1.1415525114155251E-4</v>
      </c>
      <c r="Y67">
        <v>1.6574265138519424E-5</v>
      </c>
      <c r="Z67" t="s">
        <v>399</v>
      </c>
      <c r="AA67" t="s">
        <v>25</v>
      </c>
      <c r="AC67" t="s">
        <v>22</v>
      </c>
      <c r="AD67" t="s">
        <v>399</v>
      </c>
      <c r="AE67">
        <v>6.9967605000686826E-5</v>
      </c>
      <c r="AG67" t="s">
        <v>96</v>
      </c>
      <c r="AH67" t="s">
        <v>399</v>
      </c>
      <c r="AI67">
        <v>0</v>
      </c>
      <c r="AK67">
        <v>2031</v>
      </c>
      <c r="AL67" t="s">
        <v>154</v>
      </c>
      <c r="AM67">
        <v>7.6950000000000005E-2</v>
      </c>
      <c r="AN67" t="s">
        <v>281</v>
      </c>
    </row>
    <row r="68" spans="9:40" x14ac:dyDescent="0.45">
      <c r="I68" t="s">
        <v>157</v>
      </c>
      <c r="J68" t="s">
        <v>400</v>
      </c>
      <c r="K68">
        <v>0</v>
      </c>
      <c r="L68" t="s">
        <v>159</v>
      </c>
      <c r="N68" t="s">
        <v>210</v>
      </c>
      <c r="O68" t="s">
        <v>400</v>
      </c>
      <c r="P68">
        <v>2.7893836725025794E-6</v>
      </c>
      <c r="Q68" t="s">
        <v>159</v>
      </c>
      <c r="S68" t="s">
        <v>252</v>
      </c>
      <c r="T68" t="s">
        <v>400</v>
      </c>
      <c r="U68">
        <v>5.9147541871564852E-5</v>
      </c>
      <c r="V68" t="s">
        <v>159</v>
      </c>
      <c r="X68">
        <v>1.1415525114155251E-4</v>
      </c>
      <c r="Y68">
        <v>1.4585353321897093E-5</v>
      </c>
      <c r="Z68" t="s">
        <v>400</v>
      </c>
      <c r="AA68" t="s">
        <v>25</v>
      </c>
      <c r="AC68" t="s">
        <v>22</v>
      </c>
      <c r="AD68" t="s">
        <v>400</v>
      </c>
      <c r="AE68">
        <v>7.1901108343796013E-5</v>
      </c>
      <c r="AG68" t="s">
        <v>96</v>
      </c>
      <c r="AH68" t="s">
        <v>400</v>
      </c>
      <c r="AI68">
        <v>0</v>
      </c>
      <c r="AK68">
        <v>2031</v>
      </c>
      <c r="AL68" t="s">
        <v>283</v>
      </c>
      <c r="AM68">
        <v>7.9100000000000004E-2</v>
      </c>
      <c r="AN68" t="s">
        <v>281</v>
      </c>
    </row>
    <row r="69" spans="9:40" x14ac:dyDescent="0.45">
      <c r="I69" t="s">
        <v>157</v>
      </c>
      <c r="J69" t="s">
        <v>401</v>
      </c>
      <c r="K69">
        <v>0</v>
      </c>
      <c r="L69" t="s">
        <v>159</v>
      </c>
      <c r="N69" t="s">
        <v>210</v>
      </c>
      <c r="O69" t="s">
        <v>401</v>
      </c>
      <c r="P69">
        <v>2.3566779376752451E-6</v>
      </c>
      <c r="Q69" t="s">
        <v>159</v>
      </c>
      <c r="S69" t="s">
        <v>252</v>
      </c>
      <c r="T69" t="s">
        <v>401</v>
      </c>
      <c r="U69">
        <v>6.7635824028533246E-5</v>
      </c>
      <c r="V69" t="s">
        <v>159</v>
      </c>
      <c r="X69">
        <v>1.1415525114155251E-4</v>
      </c>
      <c r="Y69">
        <v>2.1215059377304864E-5</v>
      </c>
      <c r="Z69" t="s">
        <v>401</v>
      </c>
      <c r="AA69" t="s">
        <v>25</v>
      </c>
      <c r="AC69" t="s">
        <v>22</v>
      </c>
      <c r="AD69" t="s">
        <v>401</v>
      </c>
      <c r="AE69">
        <v>8.3249421278579704E-5</v>
      </c>
      <c r="AG69" t="s">
        <v>96</v>
      </c>
      <c r="AH69" t="s">
        <v>401</v>
      </c>
      <c r="AI69">
        <v>0</v>
      </c>
      <c r="AK69">
        <v>2031</v>
      </c>
      <c r="AL69" t="s">
        <v>285</v>
      </c>
      <c r="AM69">
        <v>0.14069999999999999</v>
      </c>
      <c r="AN69" t="s">
        <v>281</v>
      </c>
    </row>
    <row r="70" spans="9:40" x14ac:dyDescent="0.45">
      <c r="I70" t="s">
        <v>157</v>
      </c>
      <c r="J70" t="s">
        <v>402</v>
      </c>
      <c r="K70">
        <v>0</v>
      </c>
      <c r="L70" t="s">
        <v>159</v>
      </c>
      <c r="N70" t="s">
        <v>210</v>
      </c>
      <c r="O70" t="s">
        <v>402</v>
      </c>
      <c r="P70">
        <v>2.0632572309930223E-6</v>
      </c>
      <c r="Q70" t="s">
        <v>159</v>
      </c>
      <c r="S70" t="s">
        <v>252</v>
      </c>
      <c r="T70" t="s">
        <v>402</v>
      </c>
      <c r="U70">
        <v>6.6590420416372462E-5</v>
      </c>
      <c r="V70" t="s">
        <v>159</v>
      </c>
      <c r="X70">
        <v>1.1415525114155251E-4</v>
      </c>
      <c r="Y70">
        <v>5.7678442682047593E-5</v>
      </c>
      <c r="Z70" t="s">
        <v>402</v>
      </c>
      <c r="AA70" t="s">
        <v>25</v>
      </c>
      <c r="AC70" t="s">
        <v>22</v>
      </c>
      <c r="AD70" t="s">
        <v>402</v>
      </c>
      <c r="AE70">
        <v>9.5796623824288235E-5</v>
      </c>
      <c r="AG70" t="s">
        <v>96</v>
      </c>
      <c r="AH70" t="s">
        <v>402</v>
      </c>
      <c r="AI70">
        <v>0</v>
      </c>
      <c r="AK70">
        <v>2031</v>
      </c>
      <c r="AL70" t="s">
        <v>306</v>
      </c>
      <c r="AM70">
        <v>0.26429999999999998</v>
      </c>
      <c r="AN70" t="s">
        <v>281</v>
      </c>
    </row>
    <row r="71" spans="9:40" x14ac:dyDescent="0.45">
      <c r="I71" t="s">
        <v>157</v>
      </c>
      <c r="J71" t="s">
        <v>403</v>
      </c>
      <c r="K71">
        <v>1.5897911421616708E-4</v>
      </c>
      <c r="L71" t="s">
        <v>159</v>
      </c>
      <c r="N71" t="s">
        <v>210</v>
      </c>
      <c r="O71" t="s">
        <v>403</v>
      </c>
      <c r="P71">
        <v>1.9792966563587705E-6</v>
      </c>
      <c r="Q71" t="s">
        <v>159</v>
      </c>
      <c r="S71" t="s">
        <v>252</v>
      </c>
      <c r="T71" t="s">
        <v>403</v>
      </c>
      <c r="U71">
        <v>5.8232580177646825E-5</v>
      </c>
      <c r="V71" t="s">
        <v>159</v>
      </c>
      <c r="X71">
        <v>1.1415525114155251E-4</v>
      </c>
      <c r="Y71">
        <v>1.6905750441289813E-4</v>
      </c>
      <c r="Z71" t="s">
        <v>403</v>
      </c>
      <c r="AA71" t="s">
        <v>25</v>
      </c>
      <c r="AC71" t="s">
        <v>22</v>
      </c>
      <c r="AD71" t="s">
        <v>403</v>
      </c>
      <c r="AE71">
        <v>1.1667140763803843E-4</v>
      </c>
      <c r="AG71" t="s">
        <v>96</v>
      </c>
      <c r="AH71" t="s">
        <v>403</v>
      </c>
      <c r="AI71">
        <v>0</v>
      </c>
      <c r="AK71">
        <v>2032</v>
      </c>
      <c r="AL71" t="s">
        <v>148</v>
      </c>
      <c r="AM71">
        <v>0.27374999999999999</v>
      </c>
      <c r="AN71" t="s">
        <v>281</v>
      </c>
    </row>
    <row r="72" spans="9:40" x14ac:dyDescent="0.45">
      <c r="I72" t="s">
        <v>157</v>
      </c>
      <c r="J72" t="s">
        <v>404</v>
      </c>
      <c r="K72">
        <v>2.3501565857375677E-4</v>
      </c>
      <c r="L72" t="s">
        <v>159</v>
      </c>
      <c r="N72" t="s">
        <v>210</v>
      </c>
      <c r="O72" t="s">
        <v>404</v>
      </c>
      <c r="P72">
        <v>3.6200751871196991E-6</v>
      </c>
      <c r="Q72" t="s">
        <v>159</v>
      </c>
      <c r="S72" t="s">
        <v>252</v>
      </c>
      <c r="T72" t="s">
        <v>404</v>
      </c>
      <c r="U72">
        <v>5.0245156826864928E-5</v>
      </c>
      <c r="V72" t="s">
        <v>159</v>
      </c>
      <c r="X72">
        <v>1.1415525114155251E-4</v>
      </c>
      <c r="Y72">
        <v>1.9060404909297337E-4</v>
      </c>
      <c r="Z72" t="s">
        <v>404</v>
      </c>
      <c r="AA72" t="s">
        <v>25</v>
      </c>
      <c r="AC72" t="s">
        <v>22</v>
      </c>
      <c r="AD72" t="s">
        <v>404</v>
      </c>
      <c r="AE72">
        <v>1.3095229859170203E-4</v>
      </c>
      <c r="AG72" t="s">
        <v>96</v>
      </c>
      <c r="AH72" t="s">
        <v>404</v>
      </c>
      <c r="AI72">
        <v>0</v>
      </c>
      <c r="AK72">
        <v>2032</v>
      </c>
      <c r="AL72" t="s">
        <v>152</v>
      </c>
      <c r="AM72">
        <v>0.1003</v>
      </c>
      <c r="AN72" t="s">
        <v>281</v>
      </c>
    </row>
    <row r="73" spans="9:40" x14ac:dyDescent="0.45">
      <c r="I73" t="s">
        <v>157</v>
      </c>
      <c r="J73" t="s">
        <v>405</v>
      </c>
      <c r="K73">
        <v>2.7550343376587735E-4</v>
      </c>
      <c r="L73" t="s">
        <v>159</v>
      </c>
      <c r="N73" t="s">
        <v>210</v>
      </c>
      <c r="O73" t="s">
        <v>405</v>
      </c>
      <c r="P73">
        <v>4.1745498201365556E-6</v>
      </c>
      <c r="Q73" t="s">
        <v>159</v>
      </c>
      <c r="S73" t="s">
        <v>252</v>
      </c>
      <c r="T73" t="s">
        <v>405</v>
      </c>
      <c r="U73">
        <v>4.3026856719365783E-5</v>
      </c>
      <c r="V73" t="s">
        <v>159</v>
      </c>
      <c r="X73">
        <v>1.1415525114155251E-4</v>
      </c>
      <c r="Y73">
        <v>1.4585353321897094E-4</v>
      </c>
      <c r="Z73" t="s">
        <v>405</v>
      </c>
      <c r="AA73" t="s">
        <v>25</v>
      </c>
      <c r="AC73" t="s">
        <v>22</v>
      </c>
      <c r="AD73" t="s">
        <v>405</v>
      </c>
      <c r="AE73">
        <v>1.3551278064110242E-4</v>
      </c>
      <c r="AG73" t="s">
        <v>96</v>
      </c>
      <c r="AH73" t="s">
        <v>405</v>
      </c>
      <c r="AI73">
        <v>0</v>
      </c>
      <c r="AK73">
        <v>2032</v>
      </c>
      <c r="AL73" t="s">
        <v>154</v>
      </c>
      <c r="AM73">
        <v>7.7699999999999991E-2</v>
      </c>
      <c r="AN73" t="s">
        <v>281</v>
      </c>
    </row>
    <row r="74" spans="9:40" x14ac:dyDescent="0.45">
      <c r="I74" t="s">
        <v>157</v>
      </c>
      <c r="J74" t="s">
        <v>406</v>
      </c>
      <c r="K74">
        <v>2.807401210523542E-4</v>
      </c>
      <c r="L74" t="s">
        <v>159</v>
      </c>
      <c r="N74" t="s">
        <v>210</v>
      </c>
      <c r="O74" t="s">
        <v>406</v>
      </c>
      <c r="P74">
        <v>6.5385131386057236E-6</v>
      </c>
      <c r="Q74" t="s">
        <v>159</v>
      </c>
      <c r="S74" t="s">
        <v>252</v>
      </c>
      <c r="T74" t="s">
        <v>406</v>
      </c>
      <c r="U74">
        <v>3.612990278160056E-5</v>
      </c>
      <c r="V74" t="s">
        <v>159</v>
      </c>
      <c r="X74">
        <v>1.1415525114155251E-4</v>
      </c>
      <c r="Y74">
        <v>1.4452759200788939E-4</v>
      </c>
      <c r="Z74" t="s">
        <v>406</v>
      </c>
      <c r="AA74" t="s">
        <v>25</v>
      </c>
      <c r="AC74" t="s">
        <v>22</v>
      </c>
      <c r="AD74" t="s">
        <v>406</v>
      </c>
      <c r="AE74">
        <v>1.3634142493100634E-4</v>
      </c>
      <c r="AG74" t="s">
        <v>96</v>
      </c>
      <c r="AH74" t="s">
        <v>406</v>
      </c>
      <c r="AI74">
        <v>0</v>
      </c>
      <c r="AK74">
        <v>2032</v>
      </c>
      <c r="AL74" t="s">
        <v>283</v>
      </c>
      <c r="AM74">
        <v>7.5700000000000003E-2</v>
      </c>
      <c r="AN74" t="s">
        <v>281</v>
      </c>
    </row>
    <row r="75" spans="9:40" x14ac:dyDescent="0.45">
      <c r="I75" t="s">
        <v>157</v>
      </c>
      <c r="J75" t="s">
        <v>407</v>
      </c>
      <c r="K75">
        <v>2.8922317358775779E-4</v>
      </c>
      <c r="L75" t="s">
        <v>159</v>
      </c>
      <c r="N75" t="s">
        <v>210</v>
      </c>
      <c r="O75" t="s">
        <v>407</v>
      </c>
      <c r="P75">
        <v>3.4283624464000797E-5</v>
      </c>
      <c r="Q75" t="s">
        <v>159</v>
      </c>
      <c r="S75" t="s">
        <v>252</v>
      </c>
      <c r="T75" t="s">
        <v>407</v>
      </c>
      <c r="U75">
        <v>2.8662111601362457E-5</v>
      </c>
      <c r="V75" t="s">
        <v>159</v>
      </c>
      <c r="X75">
        <v>1.1415525114155251E-4</v>
      </c>
      <c r="Y75">
        <v>1.408812536774151E-4</v>
      </c>
      <c r="Z75" t="s">
        <v>407</v>
      </c>
      <c r="AA75" t="s">
        <v>25</v>
      </c>
      <c r="AC75" t="s">
        <v>22</v>
      </c>
      <c r="AD75" t="s">
        <v>407</v>
      </c>
      <c r="AE75">
        <v>1.3646484003801331E-4</v>
      </c>
      <c r="AG75" t="s">
        <v>96</v>
      </c>
      <c r="AH75" t="s">
        <v>407</v>
      </c>
      <c r="AI75">
        <v>0</v>
      </c>
      <c r="AK75">
        <v>2032</v>
      </c>
      <c r="AL75" t="s">
        <v>285</v>
      </c>
      <c r="AM75">
        <v>0.13972000000000001</v>
      </c>
      <c r="AN75" t="s">
        <v>281</v>
      </c>
    </row>
    <row r="76" spans="9:40" x14ac:dyDescent="0.45">
      <c r="I76" t="s">
        <v>157</v>
      </c>
      <c r="J76" t="s">
        <v>408</v>
      </c>
      <c r="K76">
        <v>3.0273177475848419E-4</v>
      </c>
      <c r="L76" t="s">
        <v>159</v>
      </c>
      <c r="N76" t="s">
        <v>210</v>
      </c>
      <c r="O76" t="s">
        <v>408</v>
      </c>
      <c r="P76">
        <v>6.511952427986255E-5</v>
      </c>
      <c r="Q76" t="s">
        <v>159</v>
      </c>
      <c r="S76" t="s">
        <v>252</v>
      </c>
      <c r="T76" t="s">
        <v>408</v>
      </c>
      <c r="U76">
        <v>3.9324258073449578E-5</v>
      </c>
      <c r="V76" t="s">
        <v>159</v>
      </c>
      <c r="X76">
        <v>1.1415525114155251E-4</v>
      </c>
      <c r="Y76">
        <v>1.4054976837464471E-4</v>
      </c>
      <c r="Z76" t="s">
        <v>408</v>
      </c>
      <c r="AA76" t="s">
        <v>25</v>
      </c>
      <c r="AC76" t="s">
        <v>22</v>
      </c>
      <c r="AD76" t="s">
        <v>408</v>
      </c>
      <c r="AE76">
        <v>1.3724059213919999E-4</v>
      </c>
      <c r="AG76" t="s">
        <v>96</v>
      </c>
      <c r="AH76" t="s">
        <v>408</v>
      </c>
      <c r="AI76">
        <v>0</v>
      </c>
      <c r="AK76">
        <v>2032</v>
      </c>
      <c r="AL76" t="s">
        <v>306</v>
      </c>
      <c r="AM76">
        <v>0.26200000000000001</v>
      </c>
      <c r="AN76" t="s">
        <v>281</v>
      </c>
    </row>
    <row r="77" spans="9:40" x14ac:dyDescent="0.45">
      <c r="I77" t="s">
        <v>157</v>
      </c>
      <c r="J77" t="s">
        <v>409</v>
      </c>
      <c r="K77">
        <v>3.1089142202963356E-4</v>
      </c>
      <c r="L77" t="s">
        <v>159</v>
      </c>
      <c r="N77" t="s">
        <v>210</v>
      </c>
      <c r="O77" t="s">
        <v>409</v>
      </c>
      <c r="P77">
        <v>8.3678593075982538E-5</v>
      </c>
      <c r="Q77" t="s">
        <v>159</v>
      </c>
      <c r="S77" t="s">
        <v>252</v>
      </c>
      <c r="T77" t="s">
        <v>409</v>
      </c>
      <c r="U77">
        <v>4.7564966721599257E-5</v>
      </c>
      <c r="V77" t="s">
        <v>159</v>
      </c>
      <c r="X77">
        <v>1.1415525114155251E-4</v>
      </c>
      <c r="Y77">
        <v>1.4253868019126702E-4</v>
      </c>
      <c r="Z77" t="s">
        <v>409</v>
      </c>
      <c r="AA77" t="s">
        <v>25</v>
      </c>
      <c r="AC77" t="s">
        <v>22</v>
      </c>
      <c r="AD77" t="s">
        <v>409</v>
      </c>
      <c r="AE77">
        <v>1.3724059213920001E-4</v>
      </c>
      <c r="AG77" t="s">
        <v>96</v>
      </c>
      <c r="AH77" t="s">
        <v>409</v>
      </c>
      <c r="AI77">
        <v>0</v>
      </c>
      <c r="AK77">
        <v>2033</v>
      </c>
      <c r="AL77" t="s">
        <v>148</v>
      </c>
      <c r="AM77">
        <v>0.26978333333333332</v>
      </c>
      <c r="AN77" t="s">
        <v>281</v>
      </c>
    </row>
    <row r="78" spans="9:40" x14ac:dyDescent="0.45">
      <c r="I78" t="s">
        <v>157</v>
      </c>
      <c r="J78" t="s">
        <v>410</v>
      </c>
      <c r="K78">
        <v>2.8616593266123856E-4</v>
      </c>
      <c r="L78" t="s">
        <v>159</v>
      </c>
      <c r="N78" t="s">
        <v>210</v>
      </c>
      <c r="O78" t="s">
        <v>410</v>
      </c>
      <c r="P78">
        <v>8.9754791361213086E-5</v>
      </c>
      <c r="Q78" t="s">
        <v>159</v>
      </c>
      <c r="S78" t="s">
        <v>252</v>
      </c>
      <c r="T78" t="s">
        <v>410</v>
      </c>
      <c r="U78">
        <v>6.4134068408000286E-5</v>
      </c>
      <c r="V78" t="s">
        <v>159</v>
      </c>
      <c r="X78">
        <v>1.1415525114155251E-4</v>
      </c>
      <c r="Y78">
        <v>1.4883690094390442E-4</v>
      </c>
      <c r="Z78" t="s">
        <v>410</v>
      </c>
      <c r="AA78" t="s">
        <v>25</v>
      </c>
      <c r="AC78" t="s">
        <v>22</v>
      </c>
      <c r="AD78" t="s">
        <v>410</v>
      </c>
      <c r="AE78">
        <v>1.3699963883504355E-4</v>
      </c>
      <c r="AG78" t="s">
        <v>96</v>
      </c>
      <c r="AH78" t="s">
        <v>410</v>
      </c>
      <c r="AI78">
        <v>0</v>
      </c>
      <c r="AK78">
        <v>2033</v>
      </c>
      <c r="AL78" t="s">
        <v>152</v>
      </c>
      <c r="AM78">
        <v>9.7200000000000009E-2</v>
      </c>
      <c r="AN78" t="s">
        <v>281</v>
      </c>
    </row>
    <row r="79" spans="9:40" x14ac:dyDescent="0.45">
      <c r="I79" t="s">
        <v>157</v>
      </c>
      <c r="J79" t="s">
        <v>411</v>
      </c>
      <c r="K79">
        <v>2.6556115937989387E-4</v>
      </c>
      <c r="L79" t="s">
        <v>159</v>
      </c>
      <c r="N79" t="s">
        <v>210</v>
      </c>
      <c r="O79" t="s">
        <v>411</v>
      </c>
      <c r="P79">
        <v>1.0519020098097088E-4</v>
      </c>
      <c r="Q79" t="s">
        <v>159</v>
      </c>
      <c r="S79" t="s">
        <v>252</v>
      </c>
      <c r="T79" t="s">
        <v>411</v>
      </c>
      <c r="U79">
        <v>7.1861256412310013E-5</v>
      </c>
      <c r="V79" t="s">
        <v>159</v>
      </c>
      <c r="X79">
        <v>1.1415525114155251E-4</v>
      </c>
      <c r="Y79">
        <v>1.5049432745775637E-4</v>
      </c>
      <c r="Z79" t="s">
        <v>411</v>
      </c>
      <c r="AA79" t="s">
        <v>25</v>
      </c>
      <c r="AC79" t="s">
        <v>22</v>
      </c>
      <c r="AD79" t="s">
        <v>411</v>
      </c>
      <c r="AE79">
        <v>1.3699963883504355E-4</v>
      </c>
      <c r="AG79" t="s">
        <v>96</v>
      </c>
      <c r="AH79" t="s">
        <v>411</v>
      </c>
      <c r="AI79">
        <v>0</v>
      </c>
      <c r="AK79">
        <v>2033</v>
      </c>
      <c r="AL79" t="s">
        <v>154</v>
      </c>
      <c r="AM79">
        <v>8.6800000000000002E-2</v>
      </c>
      <c r="AN79" t="s">
        <v>281</v>
      </c>
    </row>
    <row r="80" spans="9:40" x14ac:dyDescent="0.45">
      <c r="I80" t="s">
        <v>157</v>
      </c>
      <c r="J80" t="s">
        <v>412</v>
      </c>
      <c r="K80">
        <v>2.5541305350934411E-4</v>
      </c>
      <c r="L80" t="s">
        <v>159</v>
      </c>
      <c r="N80" t="s">
        <v>210</v>
      </c>
      <c r="O80" t="s">
        <v>412</v>
      </c>
      <c r="P80">
        <v>1.4227496402208965E-4</v>
      </c>
      <c r="Q80" t="s">
        <v>159</v>
      </c>
      <c r="S80" t="s">
        <v>252</v>
      </c>
      <c r="T80" t="s">
        <v>412</v>
      </c>
      <c r="U80">
        <v>6.9401402382625722E-5</v>
      </c>
      <c r="V80" t="s">
        <v>159</v>
      </c>
      <c r="X80">
        <v>1.1415525114155251E-4</v>
      </c>
      <c r="Y80">
        <v>1.7237235744060203E-4</v>
      </c>
      <c r="Z80" t="s">
        <v>412</v>
      </c>
      <c r="AA80" t="s">
        <v>25</v>
      </c>
      <c r="AC80" t="s">
        <v>22</v>
      </c>
      <c r="AD80" t="s">
        <v>412</v>
      </c>
      <c r="AE80">
        <v>1.3508376622150674E-4</v>
      </c>
      <c r="AG80" t="s">
        <v>96</v>
      </c>
      <c r="AH80" t="s">
        <v>412</v>
      </c>
      <c r="AI80">
        <v>0</v>
      </c>
      <c r="AK80">
        <v>2033</v>
      </c>
      <c r="AL80" t="s">
        <v>283</v>
      </c>
      <c r="AM80">
        <v>8.8400000000000006E-2</v>
      </c>
      <c r="AN80" t="s">
        <v>281</v>
      </c>
    </row>
    <row r="81" spans="9:40" x14ac:dyDescent="0.45">
      <c r="I81" t="s">
        <v>157</v>
      </c>
      <c r="J81" t="s">
        <v>413</v>
      </c>
      <c r="K81">
        <v>2.3283410933775233E-4</v>
      </c>
      <c r="L81" t="s">
        <v>159</v>
      </c>
      <c r="N81" t="s">
        <v>210</v>
      </c>
      <c r="O81" t="s">
        <v>413</v>
      </c>
      <c r="P81">
        <v>1.8934339214170904E-4</v>
      </c>
      <c r="Q81" t="s">
        <v>159</v>
      </c>
      <c r="S81" t="s">
        <v>252</v>
      </c>
      <c r="T81" t="s">
        <v>413</v>
      </c>
      <c r="U81">
        <v>6.1992687506215869E-5</v>
      </c>
      <c r="V81" t="s">
        <v>159</v>
      </c>
      <c r="X81">
        <v>1.1415525114155251E-4</v>
      </c>
      <c r="Y81">
        <v>2.2209515285616027E-4</v>
      </c>
      <c r="Z81" t="s">
        <v>413</v>
      </c>
      <c r="AA81" t="s">
        <v>25</v>
      </c>
      <c r="AC81" t="s">
        <v>22</v>
      </c>
      <c r="AD81" t="s">
        <v>413</v>
      </c>
      <c r="AE81">
        <v>1.3724059213919999E-4</v>
      </c>
      <c r="AG81" t="s">
        <v>96</v>
      </c>
      <c r="AH81" t="s">
        <v>413</v>
      </c>
      <c r="AI81">
        <v>0</v>
      </c>
      <c r="AK81">
        <v>2033</v>
      </c>
      <c r="AL81" t="s">
        <v>285</v>
      </c>
      <c r="AM81">
        <v>0.14872000000000002</v>
      </c>
      <c r="AN81" t="s">
        <v>281</v>
      </c>
    </row>
    <row r="82" spans="9:40" x14ac:dyDescent="0.45">
      <c r="I82" t="s">
        <v>157</v>
      </c>
      <c r="J82" t="s">
        <v>414</v>
      </c>
      <c r="K82">
        <v>1.6212346263088411E-4</v>
      </c>
      <c r="L82" t="s">
        <v>159</v>
      </c>
      <c r="N82" t="s">
        <v>210</v>
      </c>
      <c r="O82" t="s">
        <v>414</v>
      </c>
      <c r="P82">
        <v>2.0029112375155299E-4</v>
      </c>
      <c r="Q82" t="s">
        <v>159</v>
      </c>
      <c r="S82" t="s">
        <v>252</v>
      </c>
      <c r="T82" t="s">
        <v>414</v>
      </c>
      <c r="U82">
        <v>5.9464930595814599E-5</v>
      </c>
      <c r="V82" t="s">
        <v>159</v>
      </c>
      <c r="X82">
        <v>1.1415525114155251E-4</v>
      </c>
      <c r="Y82">
        <v>2.2209515285616027E-4</v>
      </c>
      <c r="Z82" t="s">
        <v>414</v>
      </c>
      <c r="AA82" t="s">
        <v>25</v>
      </c>
      <c r="AC82" t="s">
        <v>22</v>
      </c>
      <c r="AD82" t="s">
        <v>414</v>
      </c>
      <c r="AE82">
        <v>1.3724059213920001E-4</v>
      </c>
      <c r="AG82" t="s">
        <v>96</v>
      </c>
      <c r="AH82" t="s">
        <v>414</v>
      </c>
      <c r="AI82">
        <v>0</v>
      </c>
      <c r="AK82">
        <v>2033</v>
      </c>
      <c r="AL82" t="s">
        <v>306</v>
      </c>
      <c r="AM82">
        <v>0.28260000000000002</v>
      </c>
      <c r="AN82" t="s">
        <v>281</v>
      </c>
    </row>
    <row r="83" spans="9:40" x14ac:dyDescent="0.45">
      <c r="I83" t="s">
        <v>157</v>
      </c>
      <c r="J83" t="s">
        <v>415</v>
      </c>
      <c r="K83">
        <v>0</v>
      </c>
      <c r="L83" t="s">
        <v>159</v>
      </c>
      <c r="N83" t="s">
        <v>210</v>
      </c>
      <c r="O83" t="s">
        <v>415</v>
      </c>
      <c r="P83">
        <v>1.9807406469191796E-4</v>
      </c>
      <c r="Q83" t="s">
        <v>159</v>
      </c>
      <c r="S83" t="s">
        <v>252</v>
      </c>
      <c r="T83" t="s">
        <v>415</v>
      </c>
      <c r="U83">
        <v>6.0533679992429916E-5</v>
      </c>
      <c r="V83" t="s">
        <v>159</v>
      </c>
      <c r="X83">
        <v>1.1415525114155251E-4</v>
      </c>
      <c r="Y83">
        <v>1.7237235744060203E-4</v>
      </c>
      <c r="Z83" t="s">
        <v>415</v>
      </c>
      <c r="AA83" t="s">
        <v>25</v>
      </c>
      <c r="AC83" t="s">
        <v>22</v>
      </c>
      <c r="AD83" t="s">
        <v>415</v>
      </c>
      <c r="AE83">
        <v>1.38392466471265E-4</v>
      </c>
      <c r="AG83" t="s">
        <v>96</v>
      </c>
      <c r="AH83" t="s">
        <v>415</v>
      </c>
      <c r="AI83">
        <v>0</v>
      </c>
      <c r="AK83">
        <v>2034</v>
      </c>
      <c r="AL83" t="s">
        <v>148</v>
      </c>
      <c r="AM83">
        <v>0.26903333333333329</v>
      </c>
      <c r="AN83" t="s">
        <v>281</v>
      </c>
    </row>
    <row r="84" spans="9:40" x14ac:dyDescent="0.45">
      <c r="I84" t="s">
        <v>157</v>
      </c>
      <c r="J84" t="s">
        <v>416</v>
      </c>
      <c r="K84">
        <v>0</v>
      </c>
      <c r="L84" t="s">
        <v>159</v>
      </c>
      <c r="N84" t="s">
        <v>210</v>
      </c>
      <c r="O84" t="s">
        <v>416</v>
      </c>
      <c r="P84">
        <v>1.3741128593369107E-4</v>
      </c>
      <c r="Q84" t="s">
        <v>159</v>
      </c>
      <c r="S84" t="s">
        <v>252</v>
      </c>
      <c r="T84" t="s">
        <v>416</v>
      </c>
      <c r="U84">
        <v>6.504053342937916E-5</v>
      </c>
      <c r="V84" t="s">
        <v>159</v>
      </c>
      <c r="X84">
        <v>1.1415525114155251E-4</v>
      </c>
      <c r="Y84">
        <v>1.5579809230208258E-4</v>
      </c>
      <c r="Z84" t="s">
        <v>416</v>
      </c>
      <c r="AA84" t="s">
        <v>25</v>
      </c>
      <c r="AC84" t="s">
        <v>22</v>
      </c>
      <c r="AD84" t="s">
        <v>416</v>
      </c>
      <c r="AE84">
        <v>1.3533059643552068E-4</v>
      </c>
      <c r="AG84" t="s">
        <v>96</v>
      </c>
      <c r="AH84" t="s">
        <v>416</v>
      </c>
      <c r="AI84">
        <v>0</v>
      </c>
      <c r="AK84">
        <v>2034</v>
      </c>
      <c r="AL84" t="s">
        <v>152</v>
      </c>
      <c r="AM84">
        <v>9.715E-2</v>
      </c>
      <c r="AN84" t="s">
        <v>281</v>
      </c>
    </row>
    <row r="85" spans="9:40" x14ac:dyDescent="0.45">
      <c r="I85" t="s">
        <v>157</v>
      </c>
      <c r="J85" t="s">
        <v>417</v>
      </c>
      <c r="K85">
        <v>0</v>
      </c>
      <c r="L85" t="s">
        <v>159</v>
      </c>
      <c r="N85" t="s">
        <v>210</v>
      </c>
      <c r="O85" t="s">
        <v>417</v>
      </c>
      <c r="P85">
        <v>8.8652233761158994E-5</v>
      </c>
      <c r="Q85" t="s">
        <v>159</v>
      </c>
      <c r="S85" t="s">
        <v>252</v>
      </c>
      <c r="T85" t="s">
        <v>417</v>
      </c>
      <c r="U85">
        <v>7.5789060088144003E-5</v>
      </c>
      <c r="V85" t="s">
        <v>159</v>
      </c>
      <c r="X85">
        <v>1.1415525114155251E-4</v>
      </c>
      <c r="Y85">
        <v>1.093901499142282E-4</v>
      </c>
      <c r="Z85" t="s">
        <v>417</v>
      </c>
      <c r="AA85" t="s">
        <v>25</v>
      </c>
      <c r="AC85" t="s">
        <v>22</v>
      </c>
      <c r="AD85" t="s">
        <v>417</v>
      </c>
      <c r="AE85">
        <v>1.2630366289443951E-4</v>
      </c>
      <c r="AG85" t="s">
        <v>96</v>
      </c>
      <c r="AH85" t="s">
        <v>417</v>
      </c>
      <c r="AI85">
        <v>0</v>
      </c>
      <c r="AK85">
        <v>2034</v>
      </c>
      <c r="AL85" t="s">
        <v>154</v>
      </c>
      <c r="AM85">
        <v>7.9949999999999993E-2</v>
      </c>
      <c r="AN85" t="s">
        <v>281</v>
      </c>
    </row>
    <row r="86" spans="9:40" x14ac:dyDescent="0.45">
      <c r="I86" t="s">
        <v>157</v>
      </c>
      <c r="J86" t="s">
        <v>418</v>
      </c>
      <c r="K86">
        <v>0</v>
      </c>
      <c r="L86" t="s">
        <v>159</v>
      </c>
      <c r="N86" t="s">
        <v>210</v>
      </c>
      <c r="O86" t="s">
        <v>418</v>
      </c>
      <c r="P86">
        <v>6.5121311366557499E-5</v>
      </c>
      <c r="Q86" t="s">
        <v>159</v>
      </c>
      <c r="S86" t="s">
        <v>252</v>
      </c>
      <c r="T86" t="s">
        <v>418</v>
      </c>
      <c r="U86">
        <v>9.0869821699535386E-5</v>
      </c>
      <c r="V86" t="s">
        <v>159</v>
      </c>
      <c r="X86">
        <v>1.1415525114155251E-4</v>
      </c>
      <c r="Y86">
        <v>7.9556472664893237E-5</v>
      </c>
      <c r="Z86" t="s">
        <v>418</v>
      </c>
      <c r="AA86" t="s">
        <v>25</v>
      </c>
      <c r="AC86" t="s">
        <v>22</v>
      </c>
      <c r="AD86" t="s">
        <v>418</v>
      </c>
      <c r="AE86">
        <v>1.1543725656796876E-4</v>
      </c>
      <c r="AG86" t="s">
        <v>96</v>
      </c>
      <c r="AH86" t="s">
        <v>418</v>
      </c>
      <c r="AI86">
        <v>0</v>
      </c>
      <c r="AK86">
        <v>2034</v>
      </c>
      <c r="AL86" t="s">
        <v>283</v>
      </c>
      <c r="AM86">
        <v>8.0600000000000005E-2</v>
      </c>
      <c r="AN86" t="s">
        <v>281</v>
      </c>
    </row>
    <row r="87" spans="9:40" x14ac:dyDescent="0.45">
      <c r="I87" t="s">
        <v>157</v>
      </c>
      <c r="J87" t="s">
        <v>419</v>
      </c>
      <c r="K87">
        <v>0</v>
      </c>
      <c r="L87" t="s">
        <v>159</v>
      </c>
      <c r="N87" t="s">
        <v>210</v>
      </c>
      <c r="O87" t="s">
        <v>419</v>
      </c>
      <c r="P87">
        <v>4.6101905341403541E-5</v>
      </c>
      <c r="Q87" t="s">
        <v>159</v>
      </c>
      <c r="S87" t="s">
        <v>252</v>
      </c>
      <c r="T87" t="s">
        <v>419</v>
      </c>
      <c r="U87">
        <v>1.1185870783119533E-4</v>
      </c>
      <c r="V87" t="s">
        <v>159</v>
      </c>
      <c r="X87">
        <v>1.1415525114155251E-4</v>
      </c>
      <c r="Y87">
        <v>5.6352501470966035E-5</v>
      </c>
      <c r="Z87" t="s">
        <v>419</v>
      </c>
      <c r="AA87" t="s">
        <v>25</v>
      </c>
      <c r="AC87" t="s">
        <v>22</v>
      </c>
      <c r="AD87" t="s">
        <v>419</v>
      </c>
      <c r="AE87">
        <v>9.0242944008974636E-5</v>
      </c>
      <c r="AG87" t="s">
        <v>96</v>
      </c>
      <c r="AH87" t="s">
        <v>419</v>
      </c>
      <c r="AI87">
        <v>0</v>
      </c>
      <c r="AK87">
        <v>2034</v>
      </c>
      <c r="AL87" t="s">
        <v>285</v>
      </c>
      <c r="AM87">
        <v>0.14486000000000002</v>
      </c>
      <c r="AN87" t="s">
        <v>281</v>
      </c>
    </row>
    <row r="88" spans="9:40" x14ac:dyDescent="0.45">
      <c r="I88" t="s">
        <v>157</v>
      </c>
      <c r="J88" t="s">
        <v>420</v>
      </c>
      <c r="K88">
        <v>0</v>
      </c>
      <c r="L88" t="s">
        <v>159</v>
      </c>
      <c r="N88" t="s">
        <v>210</v>
      </c>
      <c r="O88" t="s">
        <v>420</v>
      </c>
      <c r="P88">
        <v>3.9300785312807608E-5</v>
      </c>
      <c r="Q88" t="s">
        <v>159</v>
      </c>
      <c r="S88" t="s">
        <v>252</v>
      </c>
      <c r="T88" t="s">
        <v>420</v>
      </c>
      <c r="U88">
        <v>1.5663771361674913E-4</v>
      </c>
      <c r="V88" t="s">
        <v>159</v>
      </c>
      <c r="X88">
        <v>1.1415525114155251E-4</v>
      </c>
      <c r="Y88">
        <v>2.9833677249334962E-5</v>
      </c>
      <c r="Z88" t="s">
        <v>420</v>
      </c>
      <c r="AA88" t="s">
        <v>25</v>
      </c>
      <c r="AC88" t="s">
        <v>22</v>
      </c>
      <c r="AD88" t="s">
        <v>420</v>
      </c>
      <c r="AE88">
        <v>7.9670383175377591E-5</v>
      </c>
      <c r="AG88" t="s">
        <v>96</v>
      </c>
      <c r="AH88" t="s">
        <v>420</v>
      </c>
      <c r="AI88">
        <v>0</v>
      </c>
      <c r="AK88">
        <v>2034</v>
      </c>
      <c r="AL88" t="s">
        <v>306</v>
      </c>
      <c r="AM88">
        <v>0.28010000000000002</v>
      </c>
      <c r="AN88" t="s">
        <v>281</v>
      </c>
    </row>
    <row r="89" spans="9:40" x14ac:dyDescent="0.45">
      <c r="I89" t="s">
        <v>157</v>
      </c>
      <c r="J89" t="s">
        <v>313</v>
      </c>
      <c r="K89">
        <v>5.2653233641909965E-3</v>
      </c>
      <c r="L89" t="s">
        <v>159</v>
      </c>
      <c r="N89" t="s">
        <v>210</v>
      </c>
      <c r="O89" t="s">
        <v>313</v>
      </c>
      <c r="P89">
        <v>3.5830771600039979E-3</v>
      </c>
      <c r="Q89" t="s">
        <v>159</v>
      </c>
      <c r="S89" t="s">
        <v>252</v>
      </c>
      <c r="T89" t="s">
        <v>313</v>
      </c>
      <c r="U89">
        <v>2.874195239319241E-2</v>
      </c>
      <c r="V89" t="s">
        <v>159</v>
      </c>
      <c r="X89">
        <v>2.3173515981735161E-2</v>
      </c>
      <c r="Y89">
        <v>9.151646238884887E-3</v>
      </c>
      <c r="Z89" t="s">
        <v>313</v>
      </c>
      <c r="AA89" t="s">
        <v>25</v>
      </c>
      <c r="AC89" t="s">
        <v>22</v>
      </c>
      <c r="AD89" t="s">
        <v>313</v>
      </c>
      <c r="AE89">
        <v>1.669309114777583E-2</v>
      </c>
      <c r="AG89" t="s">
        <v>96</v>
      </c>
      <c r="AH89" t="s">
        <v>313</v>
      </c>
      <c r="AI89">
        <v>0.18651642444106487</v>
      </c>
      <c r="AK89">
        <v>2035</v>
      </c>
      <c r="AL89" t="s">
        <v>148</v>
      </c>
      <c r="AM89">
        <v>0.32013333333333333</v>
      </c>
      <c r="AN89" t="s">
        <v>281</v>
      </c>
    </row>
    <row r="90" spans="9:40" x14ac:dyDescent="0.45">
      <c r="I90" t="s">
        <v>157</v>
      </c>
      <c r="J90" t="s">
        <v>314</v>
      </c>
      <c r="K90">
        <v>6.4312540617603433E-3</v>
      </c>
      <c r="L90" t="s">
        <v>159</v>
      </c>
      <c r="N90" t="s">
        <v>210</v>
      </c>
      <c r="O90" t="s">
        <v>314</v>
      </c>
      <c r="P90">
        <v>4.2030648901021471E-4</v>
      </c>
      <c r="Q90" t="s">
        <v>159</v>
      </c>
      <c r="S90" t="s">
        <v>252</v>
      </c>
      <c r="T90" t="s">
        <v>314</v>
      </c>
      <c r="U90">
        <v>3.937914115563667E-3</v>
      </c>
      <c r="V90" t="s">
        <v>159</v>
      </c>
      <c r="X90">
        <v>3.3105022831050228E-3</v>
      </c>
      <c r="Y90">
        <v>5.5275174236962274E-3</v>
      </c>
      <c r="Z90" t="s">
        <v>314</v>
      </c>
      <c r="AA90" t="s">
        <v>25</v>
      </c>
      <c r="AC90" t="s">
        <v>22</v>
      </c>
      <c r="AD90" t="s">
        <v>314</v>
      </c>
      <c r="AE90">
        <v>3.5022418656291631E-3</v>
      </c>
      <c r="AG90" t="s">
        <v>96</v>
      </c>
      <c r="AH90" t="s">
        <v>314</v>
      </c>
      <c r="AI90">
        <v>5.6453587440236985E-2</v>
      </c>
      <c r="AK90">
        <v>2035</v>
      </c>
      <c r="AL90" t="s">
        <v>152</v>
      </c>
      <c r="AM90">
        <v>0.11874999999999999</v>
      </c>
      <c r="AN90" t="s">
        <v>281</v>
      </c>
    </row>
    <row r="91" spans="9:40" x14ac:dyDescent="0.45">
      <c r="I91" t="s">
        <v>157</v>
      </c>
      <c r="J91" t="s">
        <v>315</v>
      </c>
      <c r="K91">
        <v>7.0657989787924411E-2</v>
      </c>
      <c r="L91" t="s">
        <v>159</v>
      </c>
      <c r="N91" t="s">
        <v>210</v>
      </c>
      <c r="O91" t="s">
        <v>315</v>
      </c>
      <c r="P91">
        <v>1.5466429345293284E-2</v>
      </c>
      <c r="Q91" t="s">
        <v>159</v>
      </c>
      <c r="S91" t="s">
        <v>252</v>
      </c>
      <c r="T91" t="s">
        <v>315</v>
      </c>
      <c r="U91">
        <v>3.504266777504806E-2</v>
      </c>
      <c r="V91" t="s">
        <v>159</v>
      </c>
      <c r="X91">
        <v>2.9794520547945205E-2</v>
      </c>
      <c r="Y91">
        <v>4.0836337418889694E-2</v>
      </c>
      <c r="Z91" t="s">
        <v>315</v>
      </c>
      <c r="AA91" t="s">
        <v>25</v>
      </c>
      <c r="AC91" t="s">
        <v>22</v>
      </c>
      <c r="AD91" t="s">
        <v>315</v>
      </c>
      <c r="AE91">
        <v>3.422313806450096E-2</v>
      </c>
      <c r="AG91" t="s">
        <v>96</v>
      </c>
      <c r="AH91" t="s">
        <v>315</v>
      </c>
      <c r="AI91">
        <v>0.11183566983460613</v>
      </c>
      <c r="AK91">
        <v>2035</v>
      </c>
      <c r="AL91" t="s">
        <v>154</v>
      </c>
      <c r="AM91">
        <v>9.1600000000000001E-2</v>
      </c>
      <c r="AN91" t="s">
        <v>281</v>
      </c>
    </row>
    <row r="92" spans="9:40" x14ac:dyDescent="0.45">
      <c r="I92" t="s">
        <v>157</v>
      </c>
      <c r="J92" t="s">
        <v>316</v>
      </c>
      <c r="K92">
        <v>5.03506992590307E-3</v>
      </c>
      <c r="L92" t="s">
        <v>159</v>
      </c>
      <c r="N92" t="s">
        <v>210</v>
      </c>
      <c r="O92" t="s">
        <v>316</v>
      </c>
      <c r="P92">
        <v>4.0422506989602515E-3</v>
      </c>
      <c r="Q92" t="s">
        <v>159</v>
      </c>
      <c r="S92" t="s">
        <v>252</v>
      </c>
      <c r="T92" t="s">
        <v>316</v>
      </c>
      <c r="U92">
        <v>4.6067498494471639E-3</v>
      </c>
      <c r="V92" t="s">
        <v>159</v>
      </c>
      <c r="X92">
        <v>3.3105022831050228E-3</v>
      </c>
      <c r="Y92">
        <v>6.4407594328286487E-3</v>
      </c>
      <c r="Z92" t="s">
        <v>316</v>
      </c>
      <c r="AA92" t="s">
        <v>25</v>
      </c>
      <c r="AC92" t="s">
        <v>22</v>
      </c>
      <c r="AD92" t="s">
        <v>316</v>
      </c>
      <c r="AE92">
        <v>3.7912859231493423E-3</v>
      </c>
      <c r="AG92" t="s">
        <v>96</v>
      </c>
      <c r="AH92" t="s">
        <v>316</v>
      </c>
      <c r="AI92">
        <v>3.5323255357385674E-2</v>
      </c>
      <c r="AK92">
        <v>2035</v>
      </c>
      <c r="AL92" t="s">
        <v>283</v>
      </c>
      <c r="AM92">
        <v>9.9400000000000002E-2</v>
      </c>
      <c r="AN92" t="s">
        <v>281</v>
      </c>
    </row>
    <row r="93" spans="9:40" x14ac:dyDescent="0.45">
      <c r="I93" t="s">
        <v>157</v>
      </c>
      <c r="J93" t="s">
        <v>317</v>
      </c>
      <c r="K93">
        <v>3.1125509990158635E-3</v>
      </c>
      <c r="L93" t="s">
        <v>159</v>
      </c>
      <c r="N93" t="s">
        <v>210</v>
      </c>
      <c r="O93" t="s">
        <v>317</v>
      </c>
      <c r="P93">
        <v>3.8008437915563473E-3</v>
      </c>
      <c r="Q93" t="s">
        <v>159</v>
      </c>
      <c r="S93" t="s">
        <v>252</v>
      </c>
      <c r="T93" t="s">
        <v>317</v>
      </c>
      <c r="U93">
        <v>4.7240641402747892E-3</v>
      </c>
      <c r="V93" t="s">
        <v>159</v>
      </c>
      <c r="X93">
        <v>3.3105022831050228E-3</v>
      </c>
      <c r="Y93">
        <v>4.9987983657774574E-3</v>
      </c>
      <c r="Z93" t="s">
        <v>317</v>
      </c>
      <c r="AA93" t="s">
        <v>25</v>
      </c>
      <c r="AC93" t="s">
        <v>22</v>
      </c>
      <c r="AD93" t="s">
        <v>317</v>
      </c>
      <c r="AE93">
        <v>3.8224041608446711E-3</v>
      </c>
      <c r="AG93" t="s">
        <v>96</v>
      </c>
      <c r="AH93" t="s">
        <v>317</v>
      </c>
      <c r="AI93">
        <v>3.4404290583164077E-2</v>
      </c>
      <c r="AK93">
        <v>2035</v>
      </c>
      <c r="AL93" t="s">
        <v>285</v>
      </c>
      <c r="AM93">
        <v>0.17097999999999999</v>
      </c>
      <c r="AN93" t="s">
        <v>281</v>
      </c>
    </row>
    <row r="94" spans="9:40" x14ac:dyDescent="0.45">
      <c r="I94" t="s">
        <v>157</v>
      </c>
      <c r="J94" t="s">
        <v>318</v>
      </c>
      <c r="K94">
        <v>0</v>
      </c>
      <c r="L94" t="s">
        <v>159</v>
      </c>
      <c r="N94" t="s">
        <v>210</v>
      </c>
      <c r="O94" t="s">
        <v>318</v>
      </c>
      <c r="P94">
        <v>9.3545060719017626E-3</v>
      </c>
      <c r="Q94" t="s">
        <v>159</v>
      </c>
      <c r="S94" t="s">
        <v>252</v>
      </c>
      <c r="T94" t="s">
        <v>318</v>
      </c>
      <c r="U94">
        <v>2.3904113855251107E-2</v>
      </c>
      <c r="V94" t="s">
        <v>159</v>
      </c>
      <c r="X94">
        <v>1.6552511415525113E-2</v>
      </c>
      <c r="Y94">
        <v>1.2496995914443643E-2</v>
      </c>
      <c r="Z94" t="s">
        <v>318</v>
      </c>
      <c r="AA94" t="s">
        <v>25</v>
      </c>
      <c r="AC94" t="s">
        <v>22</v>
      </c>
      <c r="AD94" t="s">
        <v>318</v>
      </c>
      <c r="AE94">
        <v>1.5601131347728524E-2</v>
      </c>
      <c r="AG94" t="s">
        <v>96</v>
      </c>
      <c r="AH94" t="s">
        <v>318</v>
      </c>
      <c r="AI94">
        <v>0.12923681474822235</v>
      </c>
      <c r="AK94">
        <v>2035</v>
      </c>
      <c r="AL94" t="s">
        <v>306</v>
      </c>
      <c r="AM94">
        <v>0.29139999999999999</v>
      </c>
      <c r="AN94" t="s">
        <v>281</v>
      </c>
    </row>
    <row r="95" spans="9:40" x14ac:dyDescent="0.45">
      <c r="I95" t="s">
        <v>168</v>
      </c>
      <c r="J95" t="s">
        <v>158</v>
      </c>
      <c r="K95">
        <v>1.1038188482767521E-2</v>
      </c>
      <c r="L95" t="s">
        <v>159</v>
      </c>
      <c r="N95" t="s">
        <v>211</v>
      </c>
      <c r="O95" t="s">
        <v>158</v>
      </c>
      <c r="P95">
        <v>9.9312322061314323E-2</v>
      </c>
      <c r="Q95" t="s">
        <v>159</v>
      </c>
      <c r="S95" t="s">
        <v>253</v>
      </c>
      <c r="T95" t="s">
        <v>158</v>
      </c>
      <c r="U95">
        <v>0.14406437260083843</v>
      </c>
      <c r="V95" t="s">
        <v>159</v>
      </c>
      <c r="AC95" t="s">
        <v>19</v>
      </c>
      <c r="AD95" t="s">
        <v>158</v>
      </c>
      <c r="AE95">
        <v>0.13573818333269982</v>
      </c>
      <c r="AK95">
        <v>2036</v>
      </c>
      <c r="AL95" t="s">
        <v>148</v>
      </c>
      <c r="AM95">
        <v>0.3082333333333333</v>
      </c>
      <c r="AN95" t="s">
        <v>281</v>
      </c>
    </row>
    <row r="96" spans="9:40" x14ac:dyDescent="0.45">
      <c r="I96" t="s">
        <v>168</v>
      </c>
      <c r="J96" t="s">
        <v>160</v>
      </c>
      <c r="K96">
        <v>3.3262239881269084E-2</v>
      </c>
      <c r="L96" t="s">
        <v>159</v>
      </c>
      <c r="N96" t="s">
        <v>211</v>
      </c>
      <c r="O96" t="s">
        <v>160</v>
      </c>
      <c r="P96">
        <v>1.4597265227862012E-2</v>
      </c>
      <c r="Q96" t="s">
        <v>159</v>
      </c>
      <c r="S96" t="s">
        <v>253</v>
      </c>
      <c r="T96" t="s">
        <v>160</v>
      </c>
      <c r="U96">
        <v>1.8134904106446661E-2</v>
      </c>
      <c r="V96" t="s">
        <v>159</v>
      </c>
      <c r="AC96" t="s">
        <v>19</v>
      </c>
      <c r="AD96" t="s">
        <v>160</v>
      </c>
      <c r="AE96">
        <v>1.9732971880100592E-2</v>
      </c>
      <c r="AK96">
        <v>2036</v>
      </c>
      <c r="AL96" t="s">
        <v>152</v>
      </c>
      <c r="AM96">
        <v>0.1222</v>
      </c>
      <c r="AN96" t="s">
        <v>281</v>
      </c>
    </row>
    <row r="97" spans="9:40" x14ac:dyDescent="0.45">
      <c r="I97" t="s">
        <v>168</v>
      </c>
      <c r="J97" t="s">
        <v>161</v>
      </c>
      <c r="K97">
        <v>0.37453754636170189</v>
      </c>
      <c r="L97" t="s">
        <v>159</v>
      </c>
      <c r="N97" t="s">
        <v>211</v>
      </c>
      <c r="O97" t="s">
        <v>161</v>
      </c>
      <c r="P97">
        <v>0.19570418457600958</v>
      </c>
      <c r="Q97" t="s">
        <v>159</v>
      </c>
      <c r="S97" t="s">
        <v>253</v>
      </c>
      <c r="T97" t="s">
        <v>161</v>
      </c>
      <c r="U97">
        <v>0.16172345543284128</v>
      </c>
      <c r="V97" t="s">
        <v>159</v>
      </c>
      <c r="AC97" t="s">
        <v>19</v>
      </c>
      <c r="AD97" t="s">
        <v>161</v>
      </c>
      <c r="AE97">
        <v>0.17811616576970474</v>
      </c>
      <c r="AK97">
        <v>2036</v>
      </c>
      <c r="AL97" t="s">
        <v>154</v>
      </c>
      <c r="AM97">
        <v>9.6700000000000008E-2</v>
      </c>
      <c r="AN97" t="s">
        <v>281</v>
      </c>
    </row>
    <row r="98" spans="9:40" x14ac:dyDescent="0.45">
      <c r="I98" t="s">
        <v>168</v>
      </c>
      <c r="J98" t="s">
        <v>287</v>
      </c>
      <c r="K98">
        <v>2.7885936038220337E-2</v>
      </c>
      <c r="L98" t="s">
        <v>159</v>
      </c>
      <c r="N98" t="s">
        <v>211</v>
      </c>
      <c r="O98" t="s">
        <v>287</v>
      </c>
      <c r="P98">
        <v>2.2808847380707147E-2</v>
      </c>
      <c r="Q98" t="s">
        <v>159</v>
      </c>
      <c r="S98" t="s">
        <v>253</v>
      </c>
      <c r="T98" t="s">
        <v>287</v>
      </c>
      <c r="U98">
        <v>2.2604543772491596E-2</v>
      </c>
      <c r="V98" t="s">
        <v>159</v>
      </c>
      <c r="AC98" t="s">
        <v>19</v>
      </c>
      <c r="AD98" t="s">
        <v>287</v>
      </c>
      <c r="AE98">
        <v>1.9825296206167537E-2</v>
      </c>
      <c r="AK98">
        <v>2036</v>
      </c>
      <c r="AL98" t="s">
        <v>283</v>
      </c>
      <c r="AM98">
        <v>9.2999999999999999E-2</v>
      </c>
      <c r="AN98" t="s">
        <v>281</v>
      </c>
    </row>
    <row r="99" spans="9:40" x14ac:dyDescent="0.45">
      <c r="I99" t="s">
        <v>168</v>
      </c>
      <c r="J99" t="s">
        <v>288</v>
      </c>
      <c r="K99">
        <v>1.2149619814640506E-2</v>
      </c>
      <c r="L99" t="s">
        <v>159</v>
      </c>
      <c r="N99" t="s">
        <v>211</v>
      </c>
      <c r="O99" t="s">
        <v>288</v>
      </c>
      <c r="P99">
        <v>2.3330971128320714E-2</v>
      </c>
      <c r="Q99" t="s">
        <v>159</v>
      </c>
      <c r="S99" t="s">
        <v>253</v>
      </c>
      <c r="T99" t="s">
        <v>288</v>
      </c>
      <c r="U99">
        <v>2.3316179652172291E-2</v>
      </c>
      <c r="V99" t="s">
        <v>159</v>
      </c>
      <c r="AC99" t="s">
        <v>19</v>
      </c>
      <c r="AD99" t="s">
        <v>288</v>
      </c>
      <c r="AE99">
        <v>1.9830209983525703E-2</v>
      </c>
      <c r="AK99">
        <v>2036</v>
      </c>
      <c r="AL99" t="s">
        <v>285</v>
      </c>
      <c r="AM99">
        <v>0.16763999999999998</v>
      </c>
      <c r="AN99" t="s">
        <v>281</v>
      </c>
    </row>
    <row r="100" spans="9:40" x14ac:dyDescent="0.45">
      <c r="I100" t="s">
        <v>168</v>
      </c>
      <c r="J100" t="s">
        <v>308</v>
      </c>
      <c r="K100">
        <v>0</v>
      </c>
      <c r="L100" t="s">
        <v>159</v>
      </c>
      <c r="N100" t="s">
        <v>211</v>
      </c>
      <c r="O100" t="s">
        <v>308</v>
      </c>
      <c r="P100">
        <v>9.695345943829721E-2</v>
      </c>
      <c r="Q100" t="s">
        <v>159</v>
      </c>
      <c r="S100" t="s">
        <v>253</v>
      </c>
      <c r="T100" t="s">
        <v>308</v>
      </c>
      <c r="U100">
        <v>0.11532383753848326</v>
      </c>
      <c r="V100" t="s">
        <v>159</v>
      </c>
      <c r="AC100" t="s">
        <v>19</v>
      </c>
      <c r="AD100" t="s">
        <v>308</v>
      </c>
      <c r="AE100">
        <v>9.8004228801534699E-2</v>
      </c>
      <c r="AK100">
        <v>2036</v>
      </c>
      <c r="AL100" t="s">
        <v>306</v>
      </c>
      <c r="AM100">
        <v>0.30549999999999999</v>
      </c>
      <c r="AN100" t="s">
        <v>281</v>
      </c>
    </row>
    <row r="101" spans="9:40" x14ac:dyDescent="0.45">
      <c r="I101" t="s">
        <v>168</v>
      </c>
      <c r="J101" t="s">
        <v>162</v>
      </c>
      <c r="K101">
        <v>0</v>
      </c>
      <c r="L101" t="s">
        <v>159</v>
      </c>
      <c r="N101" t="s">
        <v>211</v>
      </c>
      <c r="O101" t="s">
        <v>162</v>
      </c>
      <c r="P101">
        <v>2.0857618066984367E-2</v>
      </c>
      <c r="Q101" t="s">
        <v>159</v>
      </c>
      <c r="S101" t="s">
        <v>253</v>
      </c>
      <c r="T101" t="s">
        <v>162</v>
      </c>
      <c r="U101">
        <v>1.942101073806158E-2</v>
      </c>
      <c r="V101" t="s">
        <v>159</v>
      </c>
      <c r="AC101" t="s">
        <v>19</v>
      </c>
      <c r="AD101" t="s">
        <v>162</v>
      </c>
      <c r="AE101">
        <v>2.2856226989434885E-2</v>
      </c>
      <c r="AK101">
        <v>2037</v>
      </c>
      <c r="AL101" t="s">
        <v>148</v>
      </c>
      <c r="AM101">
        <v>0.32333333333333331</v>
      </c>
      <c r="AN101" t="s">
        <v>281</v>
      </c>
    </row>
    <row r="102" spans="9:40" x14ac:dyDescent="0.45">
      <c r="I102" t="s">
        <v>168</v>
      </c>
      <c r="J102" t="s">
        <v>163</v>
      </c>
      <c r="K102">
        <v>3.5635209983616036E-3</v>
      </c>
      <c r="L102" t="s">
        <v>159</v>
      </c>
      <c r="N102" t="s">
        <v>211</v>
      </c>
      <c r="O102" t="s">
        <v>163</v>
      </c>
      <c r="P102">
        <v>3.2913323785634272E-3</v>
      </c>
      <c r="Q102" t="s">
        <v>159</v>
      </c>
      <c r="S102" t="s">
        <v>253</v>
      </c>
      <c r="T102" t="s">
        <v>163</v>
      </c>
      <c r="U102">
        <v>2.6972428651617425E-3</v>
      </c>
      <c r="V102" t="s">
        <v>159</v>
      </c>
      <c r="AC102" t="s">
        <v>19</v>
      </c>
      <c r="AD102" t="s">
        <v>163</v>
      </c>
      <c r="AE102">
        <v>3.3381616718657866E-3</v>
      </c>
      <c r="AK102">
        <v>2037</v>
      </c>
      <c r="AL102" t="s">
        <v>152</v>
      </c>
      <c r="AM102">
        <v>0.1106</v>
      </c>
      <c r="AN102" t="s">
        <v>281</v>
      </c>
    </row>
    <row r="103" spans="9:40" x14ac:dyDescent="0.45">
      <c r="I103" t="s">
        <v>168</v>
      </c>
      <c r="J103" t="s">
        <v>164</v>
      </c>
      <c r="K103">
        <v>4.5174777402247013E-2</v>
      </c>
      <c r="L103" t="s">
        <v>159</v>
      </c>
      <c r="N103" t="s">
        <v>211</v>
      </c>
      <c r="O103" t="s">
        <v>164</v>
      </c>
      <c r="P103">
        <v>3.9025749358794236E-2</v>
      </c>
      <c r="Q103" t="s">
        <v>159</v>
      </c>
      <c r="S103" t="s">
        <v>253</v>
      </c>
      <c r="T103" t="s">
        <v>164</v>
      </c>
      <c r="U103">
        <v>2.4603556850170214E-2</v>
      </c>
      <c r="V103" t="s">
        <v>159</v>
      </c>
      <c r="AC103" t="s">
        <v>19</v>
      </c>
      <c r="AD103" t="s">
        <v>164</v>
      </c>
      <c r="AE103">
        <v>2.9986769616568022E-2</v>
      </c>
      <c r="AK103">
        <v>2037</v>
      </c>
      <c r="AL103" t="s">
        <v>154</v>
      </c>
      <c r="AM103">
        <v>9.4799999999999995E-2</v>
      </c>
      <c r="AN103" t="s">
        <v>281</v>
      </c>
    </row>
    <row r="104" spans="9:40" x14ac:dyDescent="0.45">
      <c r="I104" t="s">
        <v>168</v>
      </c>
      <c r="J104" t="s">
        <v>289</v>
      </c>
      <c r="K104">
        <v>2.9953383273213013E-3</v>
      </c>
      <c r="L104" t="s">
        <v>159</v>
      </c>
      <c r="N104" t="s">
        <v>211</v>
      </c>
      <c r="O104" t="s">
        <v>289</v>
      </c>
      <c r="P104">
        <v>3.7239487689515603E-3</v>
      </c>
      <c r="Q104" t="s">
        <v>159</v>
      </c>
      <c r="S104" t="s">
        <v>253</v>
      </c>
      <c r="T104" t="s">
        <v>289</v>
      </c>
      <c r="U104">
        <v>2.9312381983165182E-3</v>
      </c>
      <c r="V104" t="s">
        <v>159</v>
      </c>
      <c r="AC104" t="s">
        <v>19</v>
      </c>
      <c r="AD104" t="s">
        <v>289</v>
      </c>
      <c r="AE104">
        <v>3.3616674885937358E-3</v>
      </c>
      <c r="AK104">
        <v>2037</v>
      </c>
      <c r="AL104" t="s">
        <v>283</v>
      </c>
      <c r="AM104">
        <v>0.1012</v>
      </c>
      <c r="AN104" t="s">
        <v>281</v>
      </c>
    </row>
    <row r="105" spans="9:40" x14ac:dyDescent="0.45">
      <c r="I105" t="s">
        <v>168</v>
      </c>
      <c r="J105" t="s">
        <v>290</v>
      </c>
      <c r="K105">
        <v>0</v>
      </c>
      <c r="L105" t="s">
        <v>159</v>
      </c>
      <c r="N105" t="s">
        <v>211</v>
      </c>
      <c r="O105" t="s">
        <v>290</v>
      </c>
      <c r="P105">
        <v>3.5180751016816838E-3</v>
      </c>
      <c r="Q105" t="s">
        <v>159</v>
      </c>
      <c r="S105" t="s">
        <v>253</v>
      </c>
      <c r="T105" t="s">
        <v>290</v>
      </c>
      <c r="U105">
        <v>2.9941492507715196E-3</v>
      </c>
      <c r="V105" t="s">
        <v>159</v>
      </c>
      <c r="AC105" t="s">
        <v>19</v>
      </c>
      <c r="AD105" t="s">
        <v>290</v>
      </c>
      <c r="AE105">
        <v>3.3591727236435393E-3</v>
      </c>
      <c r="AK105">
        <v>2037</v>
      </c>
      <c r="AL105" t="s">
        <v>285</v>
      </c>
      <c r="AM105">
        <v>0.16955999999999999</v>
      </c>
      <c r="AN105" t="s">
        <v>281</v>
      </c>
    </row>
    <row r="106" spans="9:40" x14ac:dyDescent="0.45">
      <c r="I106" t="s">
        <v>168</v>
      </c>
      <c r="J106" t="s">
        <v>309</v>
      </c>
      <c r="K106">
        <v>0</v>
      </c>
      <c r="L106" t="s">
        <v>159</v>
      </c>
      <c r="N106" t="s">
        <v>211</v>
      </c>
      <c r="O106" t="s">
        <v>309</v>
      </c>
      <c r="P106">
        <v>1.5140074075007181E-2</v>
      </c>
      <c r="Q106" t="s">
        <v>159</v>
      </c>
      <c r="S106" t="s">
        <v>253</v>
      </c>
      <c r="T106" t="s">
        <v>309</v>
      </c>
      <c r="U106">
        <v>1.527612448378329E-2</v>
      </c>
      <c r="V106" t="s">
        <v>159</v>
      </c>
      <c r="AC106" t="s">
        <v>19</v>
      </c>
      <c r="AD106" t="s">
        <v>309</v>
      </c>
      <c r="AE106">
        <v>1.652453716129651E-2</v>
      </c>
      <c r="AK106">
        <v>2037</v>
      </c>
      <c r="AL106" t="s">
        <v>306</v>
      </c>
      <c r="AM106">
        <v>0.32590000000000002</v>
      </c>
      <c r="AN106" t="s">
        <v>281</v>
      </c>
    </row>
    <row r="107" spans="9:40" x14ac:dyDescent="0.45">
      <c r="I107" t="s">
        <v>168</v>
      </c>
      <c r="J107" t="s">
        <v>346</v>
      </c>
      <c r="K107">
        <v>0</v>
      </c>
      <c r="L107" t="s">
        <v>159</v>
      </c>
      <c r="N107" t="s">
        <v>211</v>
      </c>
      <c r="O107" t="s">
        <v>346</v>
      </c>
      <c r="P107">
        <v>1.3801320547924833E-5</v>
      </c>
      <c r="Q107" t="s">
        <v>159</v>
      </c>
      <c r="S107" t="s">
        <v>253</v>
      </c>
      <c r="T107" t="s">
        <v>346</v>
      </c>
      <c r="U107">
        <v>1.102134374019484E-5</v>
      </c>
      <c r="V107" t="s">
        <v>159</v>
      </c>
      <c r="AC107" t="s">
        <v>19</v>
      </c>
      <c r="AD107" t="s">
        <v>346</v>
      </c>
      <c r="AE107">
        <v>1.1181329529002723E-4</v>
      </c>
      <c r="AK107">
        <v>2038</v>
      </c>
      <c r="AL107" t="s">
        <v>148</v>
      </c>
      <c r="AM107">
        <v>0.29701666666666665</v>
      </c>
      <c r="AN107" t="s">
        <v>281</v>
      </c>
    </row>
    <row r="108" spans="9:40" x14ac:dyDescent="0.45">
      <c r="I108" t="s">
        <v>168</v>
      </c>
      <c r="J108" t="s">
        <v>347</v>
      </c>
      <c r="K108">
        <v>0</v>
      </c>
      <c r="L108" t="s">
        <v>159</v>
      </c>
      <c r="N108" t="s">
        <v>211</v>
      </c>
      <c r="O108" t="s">
        <v>347</v>
      </c>
      <c r="P108">
        <v>2.1114955354901788E-5</v>
      </c>
      <c r="Q108" t="s">
        <v>159</v>
      </c>
      <c r="S108" t="s">
        <v>253</v>
      </c>
      <c r="T108" t="s">
        <v>347</v>
      </c>
      <c r="U108">
        <v>7.4626251044150274E-6</v>
      </c>
      <c r="V108" t="s">
        <v>159</v>
      </c>
      <c r="AC108" t="s">
        <v>19</v>
      </c>
      <c r="AD108" t="s">
        <v>347</v>
      </c>
      <c r="AE108">
        <v>1.1177358856714907E-4</v>
      </c>
      <c r="AK108">
        <v>2038</v>
      </c>
      <c r="AL108" t="s">
        <v>152</v>
      </c>
      <c r="AM108">
        <v>0.108</v>
      </c>
      <c r="AN108" t="s">
        <v>281</v>
      </c>
    </row>
    <row r="109" spans="9:40" x14ac:dyDescent="0.45">
      <c r="I109" t="s">
        <v>168</v>
      </c>
      <c r="J109" t="s">
        <v>348</v>
      </c>
      <c r="K109">
        <v>0</v>
      </c>
      <c r="L109" t="s">
        <v>159</v>
      </c>
      <c r="N109" t="s">
        <v>211</v>
      </c>
      <c r="O109" t="s">
        <v>348</v>
      </c>
      <c r="P109">
        <v>2.7799429789570371E-5</v>
      </c>
      <c r="Q109" t="s">
        <v>159</v>
      </c>
      <c r="S109" t="s">
        <v>253</v>
      </c>
      <c r="T109" t="s">
        <v>348</v>
      </c>
      <c r="U109">
        <v>6.4642021834465929E-6</v>
      </c>
      <c r="V109" t="s">
        <v>159</v>
      </c>
      <c r="AC109" t="s">
        <v>19</v>
      </c>
      <c r="AD109" t="s">
        <v>348</v>
      </c>
      <c r="AE109">
        <v>1.1177358856714907E-4</v>
      </c>
      <c r="AK109">
        <v>2038</v>
      </c>
      <c r="AL109" t="s">
        <v>154</v>
      </c>
      <c r="AM109">
        <v>8.9200000000000002E-2</v>
      </c>
      <c r="AN109" t="s">
        <v>281</v>
      </c>
    </row>
    <row r="110" spans="9:40" x14ac:dyDescent="0.45">
      <c r="I110" t="s">
        <v>168</v>
      </c>
      <c r="J110" t="s">
        <v>349</v>
      </c>
      <c r="K110">
        <v>0</v>
      </c>
      <c r="L110" t="s">
        <v>159</v>
      </c>
      <c r="N110" t="s">
        <v>211</v>
      </c>
      <c r="O110" t="s">
        <v>349</v>
      </c>
      <c r="P110">
        <v>3.0931427187099279E-5</v>
      </c>
      <c r="Q110" t="s">
        <v>159</v>
      </c>
      <c r="S110" t="s">
        <v>253</v>
      </c>
      <c r="T110" t="s">
        <v>349</v>
      </c>
      <c r="U110">
        <v>8.0311267556995609E-6</v>
      </c>
      <c r="V110" t="s">
        <v>159</v>
      </c>
      <c r="AC110" t="s">
        <v>19</v>
      </c>
      <c r="AD110" t="s">
        <v>349</v>
      </c>
      <c r="AE110">
        <v>1.1200000136994373E-4</v>
      </c>
      <c r="AK110">
        <v>2038</v>
      </c>
      <c r="AL110" t="s">
        <v>283</v>
      </c>
      <c r="AM110">
        <v>9.1399999999999995E-2</v>
      </c>
      <c r="AN110" t="s">
        <v>281</v>
      </c>
    </row>
    <row r="111" spans="9:40" x14ac:dyDescent="0.45">
      <c r="I111" t="s">
        <v>168</v>
      </c>
      <c r="J111" t="s">
        <v>350</v>
      </c>
      <c r="K111">
        <v>0</v>
      </c>
      <c r="L111" t="s">
        <v>159</v>
      </c>
      <c r="N111" t="s">
        <v>211</v>
      </c>
      <c r="O111" t="s">
        <v>350</v>
      </c>
      <c r="P111">
        <v>3.3416094520568991E-5</v>
      </c>
      <c r="Q111" t="s">
        <v>159</v>
      </c>
      <c r="S111" t="s">
        <v>253</v>
      </c>
      <c r="T111" t="s">
        <v>350</v>
      </c>
      <c r="U111">
        <v>6.7319659104129771E-6</v>
      </c>
      <c r="V111" t="s">
        <v>159</v>
      </c>
      <c r="AC111" t="s">
        <v>19</v>
      </c>
      <c r="AD111" t="s">
        <v>350</v>
      </c>
      <c r="AE111">
        <v>1.1304335887535946E-4</v>
      </c>
      <c r="AK111">
        <v>2038</v>
      </c>
      <c r="AL111" t="s">
        <v>285</v>
      </c>
      <c r="AM111">
        <v>0.16020000000000001</v>
      </c>
      <c r="AN111" t="s">
        <v>281</v>
      </c>
    </row>
    <row r="112" spans="9:40" x14ac:dyDescent="0.45">
      <c r="I112" t="s">
        <v>168</v>
      </c>
      <c r="J112" t="s">
        <v>351</v>
      </c>
      <c r="K112">
        <v>0</v>
      </c>
      <c r="L112" t="s">
        <v>159</v>
      </c>
      <c r="N112" t="s">
        <v>211</v>
      </c>
      <c r="O112" t="s">
        <v>351</v>
      </c>
      <c r="P112">
        <v>3.4658943961088209E-5</v>
      </c>
      <c r="Q112" t="s">
        <v>159</v>
      </c>
      <c r="S112" t="s">
        <v>253</v>
      </c>
      <c r="T112" t="s">
        <v>351</v>
      </c>
      <c r="U112">
        <v>3.8265096657460737E-6</v>
      </c>
      <c r="V112" t="s">
        <v>159</v>
      </c>
      <c r="AC112" t="s">
        <v>19</v>
      </c>
      <c r="AD112" t="s">
        <v>351</v>
      </c>
      <c r="AE112">
        <v>1.1397491801919624E-4</v>
      </c>
      <c r="AK112">
        <v>2038</v>
      </c>
      <c r="AL112" t="s">
        <v>306</v>
      </c>
      <c r="AM112">
        <v>0.27379999999999999</v>
      </c>
      <c r="AN112" t="s">
        <v>281</v>
      </c>
    </row>
    <row r="113" spans="9:40" x14ac:dyDescent="0.45">
      <c r="I113" t="s">
        <v>168</v>
      </c>
      <c r="J113" t="s">
        <v>352</v>
      </c>
      <c r="K113">
        <v>0</v>
      </c>
      <c r="L113" t="s">
        <v>159</v>
      </c>
      <c r="N113" t="s">
        <v>211</v>
      </c>
      <c r="O113" t="s">
        <v>352</v>
      </c>
      <c r="P113">
        <v>3.2642489046374608E-5</v>
      </c>
      <c r="Q113" t="s">
        <v>159</v>
      </c>
      <c r="S113" t="s">
        <v>253</v>
      </c>
      <c r="T113" t="s">
        <v>352</v>
      </c>
      <c r="U113">
        <v>1.8462632311721604E-6</v>
      </c>
      <c r="V113" t="s">
        <v>159</v>
      </c>
      <c r="AC113" t="s">
        <v>19</v>
      </c>
      <c r="AD113" t="s">
        <v>352</v>
      </c>
      <c r="AE113">
        <v>1.1507544194123799E-4</v>
      </c>
      <c r="AK113">
        <v>2039</v>
      </c>
      <c r="AL113" t="s">
        <v>148</v>
      </c>
      <c r="AM113">
        <v>0.30709999999999998</v>
      </c>
      <c r="AN113" t="s">
        <v>281</v>
      </c>
    </row>
    <row r="114" spans="9:40" x14ac:dyDescent="0.45">
      <c r="I114" t="s">
        <v>168</v>
      </c>
      <c r="J114" t="s">
        <v>353</v>
      </c>
      <c r="K114">
        <v>1.2082611624175542E-4</v>
      </c>
      <c r="L114" t="s">
        <v>159</v>
      </c>
      <c r="N114" t="s">
        <v>211</v>
      </c>
      <c r="O114" t="s">
        <v>353</v>
      </c>
      <c r="P114">
        <v>2.8196048683145147E-5</v>
      </c>
      <c r="Q114" t="s">
        <v>159</v>
      </c>
      <c r="S114" t="s">
        <v>253</v>
      </c>
      <c r="T114" t="s">
        <v>353</v>
      </c>
      <c r="U114">
        <v>3.8403807538253818E-7</v>
      </c>
      <c r="V114" t="s">
        <v>159</v>
      </c>
      <c r="AC114" t="s">
        <v>19</v>
      </c>
      <c r="AD114" t="s">
        <v>353</v>
      </c>
      <c r="AE114">
        <v>1.1585915690414539E-4</v>
      </c>
      <c r="AK114">
        <v>2039</v>
      </c>
      <c r="AL114" t="s">
        <v>152</v>
      </c>
      <c r="AM114">
        <v>0.1091</v>
      </c>
      <c r="AN114" t="s">
        <v>281</v>
      </c>
    </row>
    <row r="115" spans="9:40" x14ac:dyDescent="0.45">
      <c r="I115" t="s">
        <v>168</v>
      </c>
      <c r="J115" t="s">
        <v>354</v>
      </c>
      <c r="K115">
        <v>1.6227793721589317E-4</v>
      </c>
      <c r="L115" t="s">
        <v>159</v>
      </c>
      <c r="N115" t="s">
        <v>211</v>
      </c>
      <c r="O115" t="s">
        <v>354</v>
      </c>
      <c r="P115">
        <v>2.4011387660682537E-5</v>
      </c>
      <c r="Q115" t="s">
        <v>159</v>
      </c>
      <c r="S115" t="s">
        <v>253</v>
      </c>
      <c r="T115" t="s">
        <v>354</v>
      </c>
      <c r="U115">
        <v>2.6871297761194888E-7</v>
      </c>
      <c r="V115" t="s">
        <v>159</v>
      </c>
      <c r="AC115" t="s">
        <v>19</v>
      </c>
      <c r="AD115" t="s">
        <v>354</v>
      </c>
      <c r="AE115">
        <v>1.1572651955325449E-4</v>
      </c>
      <c r="AK115">
        <v>2039</v>
      </c>
      <c r="AL115" t="s">
        <v>154</v>
      </c>
      <c r="AM115">
        <v>9.0650000000000008E-2</v>
      </c>
      <c r="AN115" t="s">
        <v>281</v>
      </c>
    </row>
    <row r="116" spans="9:40" x14ac:dyDescent="0.45">
      <c r="I116" t="s">
        <v>168</v>
      </c>
      <c r="J116" t="s">
        <v>355</v>
      </c>
      <c r="K116">
        <v>1.674400790275644E-4</v>
      </c>
      <c r="L116" t="s">
        <v>159</v>
      </c>
      <c r="N116" t="s">
        <v>211</v>
      </c>
      <c r="O116" t="s">
        <v>355</v>
      </c>
      <c r="P116">
        <v>1.7119470555231702E-5</v>
      </c>
      <c r="Q116" t="s">
        <v>159</v>
      </c>
      <c r="S116" t="s">
        <v>253</v>
      </c>
      <c r="T116" t="s">
        <v>355</v>
      </c>
      <c r="U116">
        <v>2.530946269437477E-7</v>
      </c>
      <c r="V116" t="s">
        <v>159</v>
      </c>
      <c r="AC116" t="s">
        <v>19</v>
      </c>
      <c r="AD116" t="s">
        <v>355</v>
      </c>
      <c r="AE116">
        <v>1.1514781518790245E-4</v>
      </c>
      <c r="AK116">
        <v>2039</v>
      </c>
      <c r="AL116" t="s">
        <v>283</v>
      </c>
      <c r="AM116">
        <v>9.1700000000000004E-2</v>
      </c>
      <c r="AN116" t="s">
        <v>281</v>
      </c>
    </row>
    <row r="117" spans="9:40" x14ac:dyDescent="0.45">
      <c r="I117" t="s">
        <v>168</v>
      </c>
      <c r="J117" t="s">
        <v>356</v>
      </c>
      <c r="K117">
        <v>1.6461786442905247E-4</v>
      </c>
      <c r="L117" t="s">
        <v>159</v>
      </c>
      <c r="N117" t="s">
        <v>211</v>
      </c>
      <c r="O117" t="s">
        <v>356</v>
      </c>
      <c r="P117">
        <v>1.2776775880854454E-5</v>
      </c>
      <c r="Q117" t="s">
        <v>159</v>
      </c>
      <c r="S117" t="s">
        <v>253</v>
      </c>
      <c r="T117" t="s">
        <v>356</v>
      </c>
      <c r="U117">
        <v>2.5061744204533351E-7</v>
      </c>
      <c r="V117" t="s">
        <v>159</v>
      </c>
      <c r="AC117" t="s">
        <v>19</v>
      </c>
      <c r="AD117" t="s">
        <v>356</v>
      </c>
      <c r="AE117">
        <v>1.1507009138992816E-4</v>
      </c>
      <c r="AK117">
        <v>2039</v>
      </c>
      <c r="AL117" t="s">
        <v>285</v>
      </c>
      <c r="AM117">
        <v>0.16634000000000002</v>
      </c>
      <c r="AN117" t="s">
        <v>281</v>
      </c>
    </row>
    <row r="118" spans="9:40" x14ac:dyDescent="0.45">
      <c r="I118" t="s">
        <v>168</v>
      </c>
      <c r="J118" t="s">
        <v>357</v>
      </c>
      <c r="K118">
        <v>1.8135901655079917E-4</v>
      </c>
      <c r="L118" t="s">
        <v>159</v>
      </c>
      <c r="N118" t="s">
        <v>211</v>
      </c>
      <c r="O118" t="s">
        <v>357</v>
      </c>
      <c r="P118">
        <v>2.3882311407805446E-5</v>
      </c>
      <c r="Q118" t="s">
        <v>159</v>
      </c>
      <c r="S118" t="s">
        <v>253</v>
      </c>
      <c r="T118" t="s">
        <v>357</v>
      </c>
      <c r="U118">
        <v>3.9257509665206193E-7</v>
      </c>
      <c r="V118" t="s">
        <v>159</v>
      </c>
      <c r="AC118" t="s">
        <v>19</v>
      </c>
      <c r="AD118" t="s">
        <v>357</v>
      </c>
      <c r="AE118">
        <v>1.1508783269163968E-4</v>
      </c>
      <c r="AK118">
        <v>2039</v>
      </c>
      <c r="AL118" t="s">
        <v>306</v>
      </c>
      <c r="AM118">
        <v>0.28670000000000001</v>
      </c>
      <c r="AN118" t="s">
        <v>281</v>
      </c>
    </row>
    <row r="119" spans="9:40" x14ac:dyDescent="0.45">
      <c r="I119" t="s">
        <v>168</v>
      </c>
      <c r="J119" t="s">
        <v>358</v>
      </c>
      <c r="K119">
        <v>2.2057060615271148E-4</v>
      </c>
      <c r="L119" t="s">
        <v>159</v>
      </c>
      <c r="N119" t="s">
        <v>211</v>
      </c>
      <c r="O119" t="s">
        <v>358</v>
      </c>
      <c r="P119">
        <v>2.5018277425340218E-5</v>
      </c>
      <c r="Q119" t="s">
        <v>159</v>
      </c>
      <c r="S119" t="s">
        <v>253</v>
      </c>
      <c r="T119" t="s">
        <v>358</v>
      </c>
      <c r="U119">
        <v>1.4456596884646333E-7</v>
      </c>
      <c r="V119" t="s">
        <v>159</v>
      </c>
      <c r="AC119" t="s">
        <v>19</v>
      </c>
      <c r="AD119" t="s">
        <v>358</v>
      </c>
      <c r="AE119">
        <v>1.1508783269163968E-4</v>
      </c>
      <c r="AK119">
        <v>2040</v>
      </c>
      <c r="AL119" t="s">
        <v>148</v>
      </c>
      <c r="AM119">
        <v>0.31546666666666667</v>
      </c>
      <c r="AN119" t="s">
        <v>281</v>
      </c>
    </row>
    <row r="120" spans="9:40" x14ac:dyDescent="0.45">
      <c r="I120" t="s">
        <v>168</v>
      </c>
      <c r="J120" t="s">
        <v>359</v>
      </c>
      <c r="K120">
        <v>1.8397741272702288E-4</v>
      </c>
      <c r="L120" t="s">
        <v>159</v>
      </c>
      <c r="N120" t="s">
        <v>211</v>
      </c>
      <c r="O120" t="s">
        <v>359</v>
      </c>
      <c r="P120">
        <v>1.5961619489986837E-5</v>
      </c>
      <c r="Q120" t="s">
        <v>159</v>
      </c>
      <c r="S120" t="s">
        <v>253</v>
      </c>
      <c r="T120" t="s">
        <v>359</v>
      </c>
      <c r="U120">
        <v>9.2099393582009116E-8</v>
      </c>
      <c r="V120" t="s">
        <v>159</v>
      </c>
      <c r="AC120" t="s">
        <v>19</v>
      </c>
      <c r="AD120" t="s">
        <v>359</v>
      </c>
      <c r="AE120">
        <v>1.1507656837309267E-4</v>
      </c>
      <c r="AK120">
        <v>2040</v>
      </c>
      <c r="AL120" t="s">
        <v>152</v>
      </c>
      <c r="AM120">
        <v>0.11165</v>
      </c>
      <c r="AN120" t="s">
        <v>281</v>
      </c>
    </row>
    <row r="121" spans="9:40" x14ac:dyDescent="0.45">
      <c r="I121" t="s">
        <v>168</v>
      </c>
      <c r="J121" t="s">
        <v>360</v>
      </c>
      <c r="K121">
        <v>1.605524110327098E-4</v>
      </c>
      <c r="L121" t="s">
        <v>159</v>
      </c>
      <c r="N121" t="s">
        <v>211</v>
      </c>
      <c r="O121" t="s">
        <v>360</v>
      </c>
      <c r="P121">
        <v>8.4931193583385186E-6</v>
      </c>
      <c r="Q121" t="s">
        <v>159</v>
      </c>
      <c r="S121" t="s">
        <v>253</v>
      </c>
      <c r="T121" t="s">
        <v>360</v>
      </c>
      <c r="U121">
        <v>1.4840892245052134E-7</v>
      </c>
      <c r="V121" t="s">
        <v>159</v>
      </c>
      <c r="AC121" t="s">
        <v>19</v>
      </c>
      <c r="AD121" t="s">
        <v>360</v>
      </c>
      <c r="AE121">
        <v>1.1507656837309267E-4</v>
      </c>
      <c r="AK121">
        <v>2040</v>
      </c>
      <c r="AL121" t="s">
        <v>154</v>
      </c>
      <c r="AM121">
        <v>0.1</v>
      </c>
      <c r="AN121" t="s">
        <v>281</v>
      </c>
    </row>
    <row r="122" spans="9:40" x14ac:dyDescent="0.45">
      <c r="I122" t="s">
        <v>168</v>
      </c>
      <c r="J122" t="s">
        <v>361</v>
      </c>
      <c r="K122">
        <v>1.5971293966433021E-4</v>
      </c>
      <c r="L122" t="s">
        <v>159</v>
      </c>
      <c r="N122" t="s">
        <v>211</v>
      </c>
      <c r="O122" t="s">
        <v>361</v>
      </c>
      <c r="P122">
        <v>2.5769544094016403E-6</v>
      </c>
      <c r="Q122" t="s">
        <v>159</v>
      </c>
      <c r="S122" t="s">
        <v>253</v>
      </c>
      <c r="T122" t="s">
        <v>361</v>
      </c>
      <c r="U122">
        <v>2.2748930248945745E-6</v>
      </c>
      <c r="V122" t="s">
        <v>159</v>
      </c>
      <c r="AC122" t="s">
        <v>19</v>
      </c>
      <c r="AD122" t="s">
        <v>361</v>
      </c>
      <c r="AE122">
        <v>1.1526862500431901E-4</v>
      </c>
      <c r="AK122">
        <v>2040</v>
      </c>
      <c r="AL122" t="s">
        <v>283</v>
      </c>
      <c r="AM122">
        <v>0.10630000000000001</v>
      </c>
      <c r="AN122" t="s">
        <v>281</v>
      </c>
    </row>
    <row r="123" spans="9:40" x14ac:dyDescent="0.45">
      <c r="I123" t="s">
        <v>168</v>
      </c>
      <c r="J123" t="s">
        <v>362</v>
      </c>
      <c r="K123">
        <v>1.5000951480697295E-4</v>
      </c>
      <c r="L123" t="s">
        <v>159</v>
      </c>
      <c r="N123" t="s">
        <v>211</v>
      </c>
      <c r="O123" t="s">
        <v>362</v>
      </c>
      <c r="P123">
        <v>3.207959124848799E-6</v>
      </c>
      <c r="Q123" t="s">
        <v>159</v>
      </c>
      <c r="S123" t="s">
        <v>253</v>
      </c>
      <c r="T123" t="s">
        <v>362</v>
      </c>
      <c r="U123">
        <v>1.0807028835182787E-5</v>
      </c>
      <c r="V123" t="s">
        <v>159</v>
      </c>
      <c r="AC123" t="s">
        <v>19</v>
      </c>
      <c r="AD123" t="s">
        <v>362</v>
      </c>
      <c r="AE123">
        <v>1.1537197512698771E-4</v>
      </c>
      <c r="AK123">
        <v>2040</v>
      </c>
      <c r="AL123" t="s">
        <v>285</v>
      </c>
      <c r="AM123">
        <v>0.16641999999999998</v>
      </c>
      <c r="AN123" t="s">
        <v>281</v>
      </c>
    </row>
    <row r="124" spans="9:40" x14ac:dyDescent="0.45">
      <c r="I124" t="s">
        <v>168</v>
      </c>
      <c r="J124" t="s">
        <v>363</v>
      </c>
      <c r="K124">
        <v>1.1757723498144199E-4</v>
      </c>
      <c r="L124" t="s">
        <v>159</v>
      </c>
      <c r="N124" t="s">
        <v>211</v>
      </c>
      <c r="O124" t="s">
        <v>363</v>
      </c>
      <c r="P124">
        <v>5.0803010988336979E-6</v>
      </c>
      <c r="Q124" t="s">
        <v>159</v>
      </c>
      <c r="S124" t="s">
        <v>253</v>
      </c>
      <c r="T124" t="s">
        <v>363</v>
      </c>
      <c r="U124">
        <v>2.4532735369399209E-5</v>
      </c>
      <c r="V124" t="s">
        <v>159</v>
      </c>
      <c r="AC124" t="s">
        <v>19</v>
      </c>
      <c r="AD124" t="s">
        <v>363</v>
      </c>
      <c r="AE124">
        <v>1.1579607672028221E-4</v>
      </c>
      <c r="AK124">
        <v>2040</v>
      </c>
      <c r="AL124" t="s">
        <v>306</v>
      </c>
      <c r="AM124">
        <v>0.28649999999999998</v>
      </c>
      <c r="AN124" t="s">
        <v>281</v>
      </c>
    </row>
    <row r="125" spans="9:40" x14ac:dyDescent="0.45">
      <c r="I125" t="s">
        <v>168</v>
      </c>
      <c r="J125" t="s">
        <v>364</v>
      </c>
      <c r="K125">
        <v>0</v>
      </c>
      <c r="L125" t="s">
        <v>159</v>
      </c>
      <c r="N125" t="s">
        <v>211</v>
      </c>
      <c r="O125" t="s">
        <v>364</v>
      </c>
      <c r="P125">
        <v>8.4415748430718853E-6</v>
      </c>
      <c r="Q125" t="s">
        <v>159</v>
      </c>
      <c r="S125" t="s">
        <v>253</v>
      </c>
      <c r="T125" t="s">
        <v>364</v>
      </c>
      <c r="U125">
        <v>3.6269415233251755E-5</v>
      </c>
      <c r="V125" t="s">
        <v>159</v>
      </c>
      <c r="AC125" t="s">
        <v>19</v>
      </c>
      <c r="AD125" t="s">
        <v>364</v>
      </c>
      <c r="AE125">
        <v>1.1586028333600009E-4</v>
      </c>
      <c r="AK125">
        <v>2041</v>
      </c>
      <c r="AL125" t="s">
        <v>148</v>
      </c>
      <c r="AM125">
        <v>0.30156666666666665</v>
      </c>
      <c r="AN125" t="s">
        <v>281</v>
      </c>
    </row>
    <row r="126" spans="9:40" x14ac:dyDescent="0.45">
      <c r="I126" t="s">
        <v>168</v>
      </c>
      <c r="J126" t="s">
        <v>365</v>
      </c>
      <c r="K126">
        <v>0</v>
      </c>
      <c r="L126" t="s">
        <v>159</v>
      </c>
      <c r="N126" t="s">
        <v>211</v>
      </c>
      <c r="O126" t="s">
        <v>365</v>
      </c>
      <c r="P126">
        <v>7.8311694672043941E-6</v>
      </c>
      <c r="Q126" t="s">
        <v>159</v>
      </c>
      <c r="S126" t="s">
        <v>253</v>
      </c>
      <c r="T126" t="s">
        <v>365</v>
      </c>
      <c r="U126">
        <v>4.1368552251061336E-5</v>
      </c>
      <c r="V126" t="s">
        <v>159</v>
      </c>
      <c r="AC126" t="s">
        <v>19</v>
      </c>
      <c r="AD126" t="s">
        <v>365</v>
      </c>
      <c r="AE126">
        <v>1.1549306655136795E-4</v>
      </c>
      <c r="AK126">
        <v>2041</v>
      </c>
      <c r="AL126" t="s">
        <v>152</v>
      </c>
      <c r="AM126">
        <v>0.11019999999999999</v>
      </c>
      <c r="AN126" t="s">
        <v>281</v>
      </c>
    </row>
    <row r="127" spans="9:40" x14ac:dyDescent="0.45">
      <c r="I127" t="s">
        <v>168</v>
      </c>
      <c r="J127" t="s">
        <v>366</v>
      </c>
      <c r="K127">
        <v>0</v>
      </c>
      <c r="L127" t="s">
        <v>159</v>
      </c>
      <c r="N127" t="s">
        <v>211</v>
      </c>
      <c r="O127" t="s">
        <v>366</v>
      </c>
      <c r="P127">
        <v>6.2839961458753317E-6</v>
      </c>
      <c r="Q127" t="s">
        <v>159</v>
      </c>
      <c r="S127" t="s">
        <v>253</v>
      </c>
      <c r="T127" t="s">
        <v>366</v>
      </c>
      <c r="U127">
        <v>3.8479311820098234E-5</v>
      </c>
      <c r="V127" t="s">
        <v>159</v>
      </c>
      <c r="AC127" t="s">
        <v>19</v>
      </c>
      <c r="AD127" t="s">
        <v>366</v>
      </c>
      <c r="AE127">
        <v>1.1493266670365477E-4</v>
      </c>
      <c r="AK127">
        <v>2041</v>
      </c>
      <c r="AL127" t="s">
        <v>154</v>
      </c>
      <c r="AM127">
        <v>9.5250000000000001E-2</v>
      </c>
      <c r="AN127" t="s">
        <v>281</v>
      </c>
    </row>
    <row r="128" spans="9:40" x14ac:dyDescent="0.45">
      <c r="I128" t="s">
        <v>168</v>
      </c>
      <c r="J128" t="s">
        <v>367</v>
      </c>
      <c r="K128">
        <v>0</v>
      </c>
      <c r="L128" t="s">
        <v>159</v>
      </c>
      <c r="N128" t="s">
        <v>211</v>
      </c>
      <c r="O128" t="s">
        <v>367</v>
      </c>
      <c r="P128">
        <v>4.6111114917576084E-6</v>
      </c>
      <c r="Q128" t="s">
        <v>159</v>
      </c>
      <c r="S128" t="s">
        <v>253</v>
      </c>
      <c r="T128" t="s">
        <v>367</v>
      </c>
      <c r="U128">
        <v>3.9682983078584654E-5</v>
      </c>
      <c r="V128" t="s">
        <v>159</v>
      </c>
      <c r="AC128" t="s">
        <v>19</v>
      </c>
      <c r="AD128" t="s">
        <v>367</v>
      </c>
      <c r="AE128">
        <v>1.1415035978056574E-4</v>
      </c>
      <c r="AK128">
        <v>2041</v>
      </c>
      <c r="AL128" t="s">
        <v>283</v>
      </c>
      <c r="AM128">
        <v>0.10680000000000001</v>
      </c>
      <c r="AN128" t="s">
        <v>281</v>
      </c>
    </row>
    <row r="129" spans="9:40" x14ac:dyDescent="0.45">
      <c r="I129" t="s">
        <v>168</v>
      </c>
      <c r="J129" t="s">
        <v>368</v>
      </c>
      <c r="K129">
        <v>0</v>
      </c>
      <c r="L129" t="s">
        <v>159</v>
      </c>
      <c r="N129" t="s">
        <v>211</v>
      </c>
      <c r="O129" t="s">
        <v>368</v>
      </c>
      <c r="P129">
        <v>3.4715644565045696E-6</v>
      </c>
      <c r="Q129" t="s">
        <v>159</v>
      </c>
      <c r="S129" t="s">
        <v>253</v>
      </c>
      <c r="T129" t="s">
        <v>368</v>
      </c>
      <c r="U129">
        <v>4.1649489665940947E-5</v>
      </c>
      <c r="V129" t="s">
        <v>159</v>
      </c>
      <c r="AC129" t="s">
        <v>19</v>
      </c>
      <c r="AD129" t="s">
        <v>368</v>
      </c>
      <c r="AE129">
        <v>1.129135376041053E-4</v>
      </c>
      <c r="AK129">
        <v>2041</v>
      </c>
      <c r="AL129" t="s">
        <v>285</v>
      </c>
      <c r="AM129">
        <v>0.17704</v>
      </c>
      <c r="AN129" t="s">
        <v>281</v>
      </c>
    </row>
    <row r="130" spans="9:40" x14ac:dyDescent="0.45">
      <c r="I130" t="s">
        <v>168</v>
      </c>
      <c r="J130" t="s">
        <v>369</v>
      </c>
      <c r="K130">
        <v>0</v>
      </c>
      <c r="L130" t="s">
        <v>159</v>
      </c>
      <c r="N130" t="s">
        <v>211</v>
      </c>
      <c r="O130" t="s">
        <v>369</v>
      </c>
      <c r="P130">
        <v>1.6592709302656011E-6</v>
      </c>
      <c r="Q130" t="s">
        <v>159</v>
      </c>
      <c r="S130" t="s">
        <v>253</v>
      </c>
      <c r="T130" t="s">
        <v>369</v>
      </c>
      <c r="U130">
        <v>3.7872922888795075E-5</v>
      </c>
      <c r="V130" t="s">
        <v>159</v>
      </c>
      <c r="AC130" t="s">
        <v>19</v>
      </c>
      <c r="AD130" t="s">
        <v>369</v>
      </c>
      <c r="AE130">
        <v>1.1230272993089432E-4</v>
      </c>
      <c r="AK130">
        <v>2041</v>
      </c>
      <c r="AL130" t="s">
        <v>306</v>
      </c>
      <c r="AM130">
        <v>0.33239999999999997</v>
      </c>
      <c r="AN130" t="s">
        <v>281</v>
      </c>
    </row>
    <row r="131" spans="9:40" x14ac:dyDescent="0.45">
      <c r="I131" t="s">
        <v>168</v>
      </c>
      <c r="J131" t="s">
        <v>165</v>
      </c>
      <c r="K131">
        <v>0</v>
      </c>
      <c r="L131" t="s">
        <v>159</v>
      </c>
      <c r="N131" t="s">
        <v>211</v>
      </c>
      <c r="O131" t="s">
        <v>165</v>
      </c>
      <c r="P131">
        <v>3.0293619439851698E-2</v>
      </c>
      <c r="Q131" t="s">
        <v>159</v>
      </c>
      <c r="S131" t="s">
        <v>253</v>
      </c>
      <c r="T131" t="s">
        <v>165</v>
      </c>
      <c r="U131">
        <v>2.2224772427201896E-2</v>
      </c>
      <c r="V131" t="s">
        <v>159</v>
      </c>
      <c r="AC131" t="s">
        <v>19</v>
      </c>
      <c r="AD131" t="s">
        <v>165</v>
      </c>
      <c r="AE131">
        <v>2.4460553010991867E-2</v>
      </c>
      <c r="AK131">
        <v>2042</v>
      </c>
      <c r="AL131" t="s">
        <v>148</v>
      </c>
      <c r="AM131">
        <v>0.30063333333333331</v>
      </c>
      <c r="AN131" t="s">
        <v>281</v>
      </c>
    </row>
    <row r="132" spans="9:40" x14ac:dyDescent="0.45">
      <c r="I132" t="s">
        <v>168</v>
      </c>
      <c r="J132" t="s">
        <v>166</v>
      </c>
      <c r="K132">
        <v>4.2595881953971047E-3</v>
      </c>
      <c r="L132" t="s">
        <v>159</v>
      </c>
      <c r="N132" t="s">
        <v>211</v>
      </c>
      <c r="O132" t="s">
        <v>166</v>
      </c>
      <c r="P132">
        <v>4.365428023006275E-3</v>
      </c>
      <c r="Q132" t="s">
        <v>159</v>
      </c>
      <c r="S132" t="s">
        <v>253</v>
      </c>
      <c r="T132" t="s">
        <v>166</v>
      </c>
      <c r="U132">
        <v>3.1391823232907417E-3</v>
      </c>
      <c r="V132" t="s">
        <v>159</v>
      </c>
      <c r="AC132" t="s">
        <v>19</v>
      </c>
      <c r="AD132" t="s">
        <v>166</v>
      </c>
      <c r="AE132">
        <v>3.5741985620723776E-3</v>
      </c>
      <c r="AK132">
        <v>2042</v>
      </c>
      <c r="AL132" t="s">
        <v>152</v>
      </c>
      <c r="AM132">
        <v>0.10969999999999999</v>
      </c>
      <c r="AN132" t="s">
        <v>281</v>
      </c>
    </row>
    <row r="133" spans="9:40" x14ac:dyDescent="0.45">
      <c r="I133" t="s">
        <v>168</v>
      </c>
      <c r="J133" t="s">
        <v>167</v>
      </c>
      <c r="K133">
        <v>5.8883925052115441E-2</v>
      </c>
      <c r="L133" t="s">
        <v>159</v>
      </c>
      <c r="N133" t="s">
        <v>211</v>
      </c>
      <c r="O133" t="s">
        <v>167</v>
      </c>
      <c r="P133">
        <v>5.4039200936253626E-2</v>
      </c>
      <c r="Q133" t="s">
        <v>159</v>
      </c>
      <c r="S133" t="s">
        <v>253</v>
      </c>
      <c r="T133" t="s">
        <v>167</v>
      </c>
      <c r="U133">
        <v>2.5575799592295966E-2</v>
      </c>
      <c r="V133" t="s">
        <v>159</v>
      </c>
      <c r="AC133" t="s">
        <v>19</v>
      </c>
      <c r="AD133" t="s">
        <v>167</v>
      </c>
      <c r="AE133">
        <v>3.2096635427333355E-2</v>
      </c>
      <c r="AK133">
        <v>2042</v>
      </c>
      <c r="AL133" t="s">
        <v>154</v>
      </c>
      <c r="AM133">
        <v>9.06E-2</v>
      </c>
      <c r="AN133" t="s">
        <v>281</v>
      </c>
    </row>
    <row r="134" spans="9:40" x14ac:dyDescent="0.45">
      <c r="I134" t="s">
        <v>168</v>
      </c>
      <c r="J134" t="s">
        <v>291</v>
      </c>
      <c r="K134">
        <v>4.2616380733390266E-3</v>
      </c>
      <c r="L134" t="s">
        <v>159</v>
      </c>
      <c r="N134" t="s">
        <v>211</v>
      </c>
      <c r="O134" t="s">
        <v>291</v>
      </c>
      <c r="P134">
        <v>5.2665379994110296E-3</v>
      </c>
      <c r="Q134" t="s">
        <v>159</v>
      </c>
      <c r="S134" t="s">
        <v>253</v>
      </c>
      <c r="T134" t="s">
        <v>291</v>
      </c>
      <c r="U134">
        <v>2.7865861373810395E-3</v>
      </c>
      <c r="V134" t="s">
        <v>159</v>
      </c>
      <c r="AC134" t="s">
        <v>19</v>
      </c>
      <c r="AD134" t="s">
        <v>291</v>
      </c>
      <c r="AE134">
        <v>3.5988468623089562E-3</v>
      </c>
      <c r="AK134">
        <v>2042</v>
      </c>
      <c r="AL134" t="s">
        <v>283</v>
      </c>
      <c r="AM134">
        <v>9.6100000000000005E-2</v>
      </c>
      <c r="AN134" t="s">
        <v>281</v>
      </c>
    </row>
    <row r="135" spans="9:40" x14ac:dyDescent="0.45">
      <c r="I135" t="s">
        <v>168</v>
      </c>
      <c r="J135" t="s">
        <v>292</v>
      </c>
      <c r="K135">
        <v>0</v>
      </c>
      <c r="L135" t="s">
        <v>159</v>
      </c>
      <c r="N135" t="s">
        <v>211</v>
      </c>
      <c r="O135" t="s">
        <v>292</v>
      </c>
      <c r="P135">
        <v>4.6976240684421782E-3</v>
      </c>
      <c r="Q135" t="s">
        <v>159</v>
      </c>
      <c r="S135" t="s">
        <v>253</v>
      </c>
      <c r="T135" t="s">
        <v>292</v>
      </c>
      <c r="U135">
        <v>2.7954122233652332E-3</v>
      </c>
      <c r="V135" t="s">
        <v>159</v>
      </c>
      <c r="AC135" t="s">
        <v>19</v>
      </c>
      <c r="AD135" t="s">
        <v>292</v>
      </c>
      <c r="AE135">
        <v>3.5957089047697261E-3</v>
      </c>
      <c r="AK135">
        <v>2042</v>
      </c>
      <c r="AL135" t="s">
        <v>285</v>
      </c>
      <c r="AM135">
        <v>0.16719999999999996</v>
      </c>
      <c r="AN135" t="s">
        <v>281</v>
      </c>
    </row>
    <row r="136" spans="9:40" x14ac:dyDescent="0.45">
      <c r="I136" t="s">
        <v>168</v>
      </c>
      <c r="J136" t="s">
        <v>310</v>
      </c>
      <c r="K136">
        <v>0</v>
      </c>
      <c r="L136" t="s">
        <v>159</v>
      </c>
      <c r="N136" t="s">
        <v>211</v>
      </c>
      <c r="O136" t="s">
        <v>310</v>
      </c>
      <c r="P136">
        <v>2.1678085609561547E-2</v>
      </c>
      <c r="Q136" t="s">
        <v>159</v>
      </c>
      <c r="S136" t="s">
        <v>253</v>
      </c>
      <c r="T136" t="s">
        <v>310</v>
      </c>
      <c r="U136">
        <v>1.4277406977608572E-2</v>
      </c>
      <c r="V136" t="s">
        <v>159</v>
      </c>
      <c r="AC136" t="s">
        <v>19</v>
      </c>
      <c r="AD136" t="s">
        <v>310</v>
      </c>
      <c r="AE136">
        <v>1.7673630403491965E-2</v>
      </c>
      <c r="AK136">
        <v>2042</v>
      </c>
      <c r="AL136" t="s">
        <v>306</v>
      </c>
      <c r="AM136">
        <v>0.30380000000000001</v>
      </c>
      <c r="AN136" t="s">
        <v>281</v>
      </c>
    </row>
    <row r="137" spans="9:40" x14ac:dyDescent="0.45">
      <c r="I137" t="s">
        <v>168</v>
      </c>
      <c r="J137" t="s">
        <v>293</v>
      </c>
      <c r="K137">
        <v>0</v>
      </c>
      <c r="L137" t="s">
        <v>159</v>
      </c>
      <c r="N137" t="s">
        <v>211</v>
      </c>
      <c r="O137" t="s">
        <v>293</v>
      </c>
      <c r="P137">
        <v>7.6003664367818588E-3</v>
      </c>
      <c r="Q137" t="s">
        <v>159</v>
      </c>
      <c r="S137" t="s">
        <v>253</v>
      </c>
      <c r="T137" t="s">
        <v>293</v>
      </c>
      <c r="U137">
        <v>5.0292886265656906E-3</v>
      </c>
      <c r="V137" t="s">
        <v>159</v>
      </c>
      <c r="AC137" t="s">
        <v>19</v>
      </c>
      <c r="AD137" t="s">
        <v>293</v>
      </c>
      <c r="AE137">
        <v>5.5210323351610443E-3</v>
      </c>
      <c r="AK137">
        <v>2043</v>
      </c>
      <c r="AL137" t="s">
        <v>148</v>
      </c>
      <c r="AM137">
        <v>0.31211666666666665</v>
      </c>
      <c r="AN137" t="s">
        <v>281</v>
      </c>
    </row>
    <row r="138" spans="9:40" x14ac:dyDescent="0.45">
      <c r="I138" t="s">
        <v>168</v>
      </c>
      <c r="J138" t="s">
        <v>294</v>
      </c>
      <c r="K138">
        <v>1.1229721481778232E-3</v>
      </c>
      <c r="L138" t="s">
        <v>159</v>
      </c>
      <c r="N138" t="s">
        <v>211</v>
      </c>
      <c r="O138" t="s">
        <v>294</v>
      </c>
      <c r="P138">
        <v>1.1802078655179862E-3</v>
      </c>
      <c r="Q138" t="s">
        <v>159</v>
      </c>
      <c r="S138" t="s">
        <v>253</v>
      </c>
      <c r="T138" t="s">
        <v>294</v>
      </c>
      <c r="U138">
        <v>6.2570104434928053E-4</v>
      </c>
      <c r="V138" t="s">
        <v>159</v>
      </c>
      <c r="AC138" t="s">
        <v>19</v>
      </c>
      <c r="AD138" t="s">
        <v>294</v>
      </c>
      <c r="AE138">
        <v>8.0528493601298584E-4</v>
      </c>
      <c r="AK138">
        <v>2043</v>
      </c>
      <c r="AL138" t="s">
        <v>152</v>
      </c>
      <c r="AM138">
        <v>0.10925000000000001</v>
      </c>
      <c r="AN138" t="s">
        <v>281</v>
      </c>
    </row>
    <row r="139" spans="9:40" x14ac:dyDescent="0.45">
      <c r="I139" t="s">
        <v>168</v>
      </c>
      <c r="J139" t="s">
        <v>295</v>
      </c>
      <c r="K139">
        <v>1.4679073702834783E-2</v>
      </c>
      <c r="L139" t="s">
        <v>159</v>
      </c>
      <c r="N139" t="s">
        <v>211</v>
      </c>
      <c r="O139" t="s">
        <v>295</v>
      </c>
      <c r="P139">
        <v>1.225258921612536E-2</v>
      </c>
      <c r="Q139" t="s">
        <v>159</v>
      </c>
      <c r="S139" t="s">
        <v>253</v>
      </c>
      <c r="T139" t="s">
        <v>295</v>
      </c>
      <c r="U139">
        <v>5.3646334061301613E-3</v>
      </c>
      <c r="V139" t="s">
        <v>159</v>
      </c>
      <c r="AC139" t="s">
        <v>19</v>
      </c>
      <c r="AD139" t="s">
        <v>295</v>
      </c>
      <c r="AE139">
        <v>7.2390485992953422E-3</v>
      </c>
      <c r="AK139">
        <v>2043</v>
      </c>
      <c r="AL139" t="s">
        <v>154</v>
      </c>
      <c r="AM139">
        <v>9.0249999999999997E-2</v>
      </c>
      <c r="AN139" t="s">
        <v>281</v>
      </c>
    </row>
    <row r="140" spans="9:40" x14ac:dyDescent="0.45">
      <c r="I140" t="s">
        <v>168</v>
      </c>
      <c r="J140" t="s">
        <v>296</v>
      </c>
      <c r="K140">
        <v>1.0154635581712348E-3</v>
      </c>
      <c r="L140" t="s">
        <v>159</v>
      </c>
      <c r="N140" t="s">
        <v>211</v>
      </c>
      <c r="O140" t="s">
        <v>296</v>
      </c>
      <c r="P140">
        <v>1.1746246979917698E-3</v>
      </c>
      <c r="Q140" t="s">
        <v>159</v>
      </c>
      <c r="S140" t="s">
        <v>253</v>
      </c>
      <c r="T140" t="s">
        <v>296</v>
      </c>
      <c r="U140">
        <v>6.7814455160965638E-4</v>
      </c>
      <c r="V140" t="s">
        <v>159</v>
      </c>
      <c r="AC140" t="s">
        <v>19</v>
      </c>
      <c r="AD140" t="s">
        <v>296</v>
      </c>
      <c r="AE140">
        <v>8.0901933921927952E-4</v>
      </c>
      <c r="AK140">
        <v>2043</v>
      </c>
      <c r="AL140" t="s">
        <v>283</v>
      </c>
      <c r="AM140">
        <v>9.0700000000000003E-2</v>
      </c>
      <c r="AN140" t="s">
        <v>281</v>
      </c>
    </row>
    <row r="141" spans="9:40" x14ac:dyDescent="0.45">
      <c r="I141" t="s">
        <v>168</v>
      </c>
      <c r="J141" t="s">
        <v>297</v>
      </c>
      <c r="K141">
        <v>0</v>
      </c>
      <c r="L141" t="s">
        <v>159</v>
      </c>
      <c r="N141" t="s">
        <v>211</v>
      </c>
      <c r="O141" t="s">
        <v>297</v>
      </c>
      <c r="P141">
        <v>9.3703306265806188E-4</v>
      </c>
      <c r="Q141" t="s">
        <v>159</v>
      </c>
      <c r="S141" t="s">
        <v>253</v>
      </c>
      <c r="T141" t="s">
        <v>297</v>
      </c>
      <c r="U141">
        <v>7.2734963636812981E-4</v>
      </c>
      <c r="V141" t="s">
        <v>159</v>
      </c>
      <c r="AC141" t="s">
        <v>19</v>
      </c>
      <c r="AD141" t="s">
        <v>297</v>
      </c>
      <c r="AE141">
        <v>8.0844570379727369E-4</v>
      </c>
      <c r="AK141">
        <v>2043</v>
      </c>
      <c r="AL141" t="s">
        <v>285</v>
      </c>
      <c r="AM141">
        <v>0.15770000000000001</v>
      </c>
      <c r="AN141" t="s">
        <v>281</v>
      </c>
    </row>
    <row r="142" spans="9:40" x14ac:dyDescent="0.45">
      <c r="I142" t="s">
        <v>168</v>
      </c>
      <c r="J142" t="s">
        <v>311</v>
      </c>
      <c r="K142">
        <v>0</v>
      </c>
      <c r="L142" t="s">
        <v>159</v>
      </c>
      <c r="N142" t="s">
        <v>211</v>
      </c>
      <c r="O142" t="s">
        <v>311</v>
      </c>
      <c r="P142">
        <v>3.6499250709056521E-3</v>
      </c>
      <c r="Q142" t="s">
        <v>159</v>
      </c>
      <c r="S142" t="s">
        <v>253</v>
      </c>
      <c r="T142" t="s">
        <v>311</v>
      </c>
      <c r="U142">
        <v>4.0960593985649909E-3</v>
      </c>
      <c r="V142" t="s">
        <v>159</v>
      </c>
      <c r="AC142" t="s">
        <v>19</v>
      </c>
      <c r="AD142" t="s">
        <v>311</v>
      </c>
      <c r="AE142">
        <v>3.9876937287808938E-3</v>
      </c>
      <c r="AK142">
        <v>2043</v>
      </c>
      <c r="AL142" t="s">
        <v>306</v>
      </c>
      <c r="AM142">
        <v>0.2742</v>
      </c>
      <c r="AN142" t="s">
        <v>281</v>
      </c>
    </row>
    <row r="143" spans="9:40" x14ac:dyDescent="0.45">
      <c r="I143" t="s">
        <v>168</v>
      </c>
      <c r="J143" t="s">
        <v>298</v>
      </c>
      <c r="K143">
        <v>1.3930693159723038E-2</v>
      </c>
      <c r="L143" t="s">
        <v>159</v>
      </c>
      <c r="N143" t="s">
        <v>211</v>
      </c>
      <c r="O143" t="s">
        <v>298</v>
      </c>
      <c r="P143">
        <v>5.0126851686053117E-2</v>
      </c>
      <c r="Q143" t="s">
        <v>159</v>
      </c>
      <c r="S143" t="s">
        <v>253</v>
      </c>
      <c r="T143" t="s">
        <v>298</v>
      </c>
      <c r="U143">
        <v>7.6209485457027062E-2</v>
      </c>
      <c r="V143" t="s">
        <v>159</v>
      </c>
      <c r="AC143" t="s">
        <v>19</v>
      </c>
      <c r="AD143" t="s">
        <v>298</v>
      </c>
      <c r="AE143">
        <v>7.4935359134397528E-2</v>
      </c>
      <c r="AK143">
        <v>2044</v>
      </c>
      <c r="AL143" t="s">
        <v>148</v>
      </c>
      <c r="AM143">
        <v>0.29396666666666665</v>
      </c>
      <c r="AN143" t="s">
        <v>281</v>
      </c>
    </row>
    <row r="144" spans="9:40" x14ac:dyDescent="0.45">
      <c r="I144" t="s">
        <v>168</v>
      </c>
      <c r="J144" t="s">
        <v>299</v>
      </c>
      <c r="K144">
        <v>2.2842605812087698E-2</v>
      </c>
      <c r="L144" t="s">
        <v>159</v>
      </c>
      <c r="N144" t="s">
        <v>211</v>
      </c>
      <c r="O144" t="s">
        <v>299</v>
      </c>
      <c r="P144">
        <v>7.652271130571377E-3</v>
      </c>
      <c r="Q144" t="s">
        <v>159</v>
      </c>
      <c r="S144" t="s">
        <v>253</v>
      </c>
      <c r="T144" t="s">
        <v>299</v>
      </c>
      <c r="U144">
        <v>9.7318251992599691E-3</v>
      </c>
      <c r="V144" t="s">
        <v>159</v>
      </c>
      <c r="AC144" t="s">
        <v>19</v>
      </c>
      <c r="AD144" t="s">
        <v>299</v>
      </c>
      <c r="AE144">
        <v>1.0889662422729237E-2</v>
      </c>
      <c r="AK144">
        <v>2044</v>
      </c>
      <c r="AL144" t="s">
        <v>152</v>
      </c>
      <c r="AM144">
        <v>0.11430000000000001</v>
      </c>
      <c r="AN144" t="s">
        <v>281</v>
      </c>
    </row>
    <row r="145" spans="9:40" x14ac:dyDescent="0.45">
      <c r="I145" t="s">
        <v>168</v>
      </c>
      <c r="J145" t="s">
        <v>300</v>
      </c>
      <c r="K145">
        <v>0.24436988722695024</v>
      </c>
      <c r="L145" t="s">
        <v>159</v>
      </c>
      <c r="N145" t="s">
        <v>211</v>
      </c>
      <c r="O145" t="s">
        <v>300</v>
      </c>
      <c r="P145">
        <v>0.1270859943694303</v>
      </c>
      <c r="Q145" t="s">
        <v>159</v>
      </c>
      <c r="S145" t="s">
        <v>253</v>
      </c>
      <c r="T145" t="s">
        <v>300</v>
      </c>
      <c r="U145">
        <v>9.2497075028315542E-2</v>
      </c>
      <c r="V145" t="s">
        <v>159</v>
      </c>
      <c r="AC145" t="s">
        <v>19</v>
      </c>
      <c r="AD145" t="s">
        <v>300</v>
      </c>
      <c r="AE145">
        <v>9.8361990314919462E-2</v>
      </c>
      <c r="AK145">
        <v>2044</v>
      </c>
      <c r="AL145" t="s">
        <v>154</v>
      </c>
      <c r="AM145">
        <v>9.0299999999999991E-2</v>
      </c>
      <c r="AN145" t="s">
        <v>281</v>
      </c>
    </row>
    <row r="146" spans="9:40" x14ac:dyDescent="0.45">
      <c r="I146" t="s">
        <v>168</v>
      </c>
      <c r="J146" t="s">
        <v>301</v>
      </c>
      <c r="K146">
        <v>1.7948727636859767E-2</v>
      </c>
      <c r="L146" t="s">
        <v>159</v>
      </c>
      <c r="N146" t="s">
        <v>211</v>
      </c>
      <c r="O146" t="s">
        <v>301</v>
      </c>
      <c r="P146">
        <v>1.5200881583297871E-2</v>
      </c>
      <c r="Q146" t="s">
        <v>159</v>
      </c>
      <c r="S146" t="s">
        <v>253</v>
      </c>
      <c r="T146" t="s">
        <v>301</v>
      </c>
      <c r="U146">
        <v>1.2617889261319206E-2</v>
      </c>
      <c r="V146" t="s">
        <v>159</v>
      </c>
      <c r="AC146" t="s">
        <v>19</v>
      </c>
      <c r="AD146" t="s">
        <v>301</v>
      </c>
      <c r="AE146">
        <v>1.0940329890769563E-2</v>
      </c>
      <c r="AK146">
        <v>2044</v>
      </c>
      <c r="AL146" t="s">
        <v>283</v>
      </c>
      <c r="AM146">
        <v>9.3799999999999994E-2</v>
      </c>
      <c r="AN146" t="s">
        <v>281</v>
      </c>
    </row>
    <row r="147" spans="9:40" x14ac:dyDescent="0.45">
      <c r="I147" t="s">
        <v>168</v>
      </c>
      <c r="J147" t="s">
        <v>302</v>
      </c>
      <c r="K147">
        <v>5.1737334888058229E-3</v>
      </c>
      <c r="L147" t="s">
        <v>159</v>
      </c>
      <c r="N147" t="s">
        <v>211</v>
      </c>
      <c r="O147" t="s">
        <v>302</v>
      </c>
      <c r="P147">
        <v>1.4255907214704325E-2</v>
      </c>
      <c r="Q147" t="s">
        <v>159</v>
      </c>
      <c r="S147" t="s">
        <v>253</v>
      </c>
      <c r="T147" t="s">
        <v>302</v>
      </c>
      <c r="U147">
        <v>1.2772562881154763E-2</v>
      </c>
      <c r="V147" t="s">
        <v>159</v>
      </c>
      <c r="AC147" t="s">
        <v>19</v>
      </c>
      <c r="AD147" t="s">
        <v>302</v>
      </c>
      <c r="AE147">
        <v>1.0943983754098247E-2</v>
      </c>
      <c r="AK147">
        <v>2044</v>
      </c>
      <c r="AL147" t="s">
        <v>285</v>
      </c>
      <c r="AM147">
        <v>0.17416000000000001</v>
      </c>
      <c r="AN147" t="s">
        <v>281</v>
      </c>
    </row>
    <row r="148" spans="9:40" x14ac:dyDescent="0.45">
      <c r="I148" t="s">
        <v>168</v>
      </c>
      <c r="J148" t="s">
        <v>312</v>
      </c>
      <c r="K148">
        <v>0</v>
      </c>
      <c r="L148" t="s">
        <v>159</v>
      </c>
      <c r="N148" t="s">
        <v>211</v>
      </c>
      <c r="O148" t="s">
        <v>312</v>
      </c>
      <c r="P148">
        <v>5.1257059535071058E-2</v>
      </c>
      <c r="Q148" t="s">
        <v>159</v>
      </c>
      <c r="S148" t="s">
        <v>253</v>
      </c>
      <c r="T148" t="s">
        <v>312</v>
      </c>
      <c r="U148">
        <v>6.0447105861625813E-2</v>
      </c>
      <c r="V148" t="s">
        <v>159</v>
      </c>
      <c r="AC148" t="s">
        <v>19</v>
      </c>
      <c r="AD148" t="s">
        <v>312</v>
      </c>
      <c r="AE148">
        <v>5.4138661347340501E-2</v>
      </c>
      <c r="AK148">
        <v>2044</v>
      </c>
      <c r="AL148" t="s">
        <v>306</v>
      </c>
      <c r="AM148">
        <v>0.32740000000000002</v>
      </c>
      <c r="AN148" t="s">
        <v>281</v>
      </c>
    </row>
    <row r="149" spans="9:40" x14ac:dyDescent="0.45">
      <c r="I149" t="s">
        <v>168</v>
      </c>
      <c r="J149" t="s">
        <v>397</v>
      </c>
      <c r="K149">
        <v>0</v>
      </c>
      <c r="L149" t="s">
        <v>159</v>
      </c>
      <c r="N149" t="s">
        <v>211</v>
      </c>
      <c r="O149" t="s">
        <v>397</v>
      </c>
      <c r="P149">
        <v>2.8229000171170326E-5</v>
      </c>
      <c r="Q149" t="s">
        <v>159</v>
      </c>
      <c r="S149" t="s">
        <v>253</v>
      </c>
      <c r="T149" t="s">
        <v>397</v>
      </c>
      <c r="U149">
        <v>1.6695185692403774E-5</v>
      </c>
      <c r="V149" t="s">
        <v>159</v>
      </c>
      <c r="AC149" t="s">
        <v>19</v>
      </c>
      <c r="AD149" t="s">
        <v>397</v>
      </c>
      <c r="AE149">
        <v>1.1233561446239411E-4</v>
      </c>
      <c r="AK149">
        <v>2045</v>
      </c>
      <c r="AL149" t="s">
        <v>148</v>
      </c>
      <c r="AM149">
        <v>0.30726666666666663</v>
      </c>
      <c r="AN149" t="s">
        <v>281</v>
      </c>
    </row>
    <row r="150" spans="9:40" x14ac:dyDescent="0.45">
      <c r="I150" t="s">
        <v>168</v>
      </c>
      <c r="J150" t="s">
        <v>398</v>
      </c>
      <c r="K150">
        <v>0</v>
      </c>
      <c r="L150" t="s">
        <v>159</v>
      </c>
      <c r="N150" t="s">
        <v>211</v>
      </c>
      <c r="O150" t="s">
        <v>398</v>
      </c>
      <c r="P150">
        <v>2.1573311223525631E-5</v>
      </c>
      <c r="Q150" t="s">
        <v>159</v>
      </c>
      <c r="S150" t="s">
        <v>253</v>
      </c>
      <c r="T150" t="s">
        <v>398</v>
      </c>
      <c r="U150">
        <v>1.2002731275938041E-5</v>
      </c>
      <c r="V150" t="s">
        <v>159</v>
      </c>
      <c r="AC150" t="s">
        <v>19</v>
      </c>
      <c r="AD150" t="s">
        <v>398</v>
      </c>
      <c r="AE150">
        <v>1.1225366654496469E-4</v>
      </c>
      <c r="AK150">
        <v>2045</v>
      </c>
      <c r="AL150" t="s">
        <v>152</v>
      </c>
      <c r="AM150">
        <v>0.11635000000000001</v>
      </c>
      <c r="AN150" t="s">
        <v>281</v>
      </c>
    </row>
    <row r="151" spans="9:40" x14ac:dyDescent="0.45">
      <c r="I151" t="s">
        <v>168</v>
      </c>
      <c r="J151" t="s">
        <v>399</v>
      </c>
      <c r="K151">
        <v>0</v>
      </c>
      <c r="L151" t="s">
        <v>159</v>
      </c>
      <c r="N151" t="s">
        <v>211</v>
      </c>
      <c r="O151" t="s">
        <v>399</v>
      </c>
      <c r="P151">
        <v>1.9317286632897825E-5</v>
      </c>
      <c r="Q151" t="s">
        <v>159</v>
      </c>
      <c r="S151" t="s">
        <v>253</v>
      </c>
      <c r="T151" t="s">
        <v>399</v>
      </c>
      <c r="U151">
        <v>1.3757479756641704E-5</v>
      </c>
      <c r="V151" t="s">
        <v>159</v>
      </c>
      <c r="AC151" t="s">
        <v>19</v>
      </c>
      <c r="AD151" t="s">
        <v>399</v>
      </c>
      <c r="AE151">
        <v>1.1225366654496469E-4</v>
      </c>
      <c r="AK151">
        <v>2045</v>
      </c>
      <c r="AL151" t="s">
        <v>154</v>
      </c>
      <c r="AM151">
        <v>9.3100000000000002E-2</v>
      </c>
      <c r="AN151" t="s">
        <v>281</v>
      </c>
    </row>
    <row r="152" spans="9:40" x14ac:dyDescent="0.45">
      <c r="I152" t="s">
        <v>168</v>
      </c>
      <c r="J152" t="s">
        <v>400</v>
      </c>
      <c r="K152">
        <v>0</v>
      </c>
      <c r="L152" t="s">
        <v>159</v>
      </c>
      <c r="N152" t="s">
        <v>211</v>
      </c>
      <c r="O152" t="s">
        <v>400</v>
      </c>
      <c r="P152">
        <v>1.8895375918406071E-5</v>
      </c>
      <c r="Q152" t="s">
        <v>159</v>
      </c>
      <c r="S152" t="s">
        <v>253</v>
      </c>
      <c r="T152" t="s">
        <v>400</v>
      </c>
      <c r="U152">
        <v>1.7270593220239965E-5</v>
      </c>
      <c r="V152" t="s">
        <v>159</v>
      </c>
      <c r="AC152" t="s">
        <v>19</v>
      </c>
      <c r="AD152" t="s">
        <v>400</v>
      </c>
      <c r="AE152">
        <v>1.1234631556501375E-4</v>
      </c>
      <c r="AK152">
        <v>2045</v>
      </c>
      <c r="AL152" t="s">
        <v>283</v>
      </c>
      <c r="AM152">
        <v>9.5899999999999999E-2</v>
      </c>
      <c r="AN152" t="s">
        <v>281</v>
      </c>
    </row>
    <row r="153" spans="9:40" x14ac:dyDescent="0.45">
      <c r="I153" t="s">
        <v>168</v>
      </c>
      <c r="J153" t="s">
        <v>401</v>
      </c>
      <c r="K153">
        <v>0</v>
      </c>
      <c r="L153" t="s">
        <v>159</v>
      </c>
      <c r="N153" t="s">
        <v>211</v>
      </c>
      <c r="O153" t="s">
        <v>401</v>
      </c>
      <c r="P153">
        <v>1.7966335313854093E-5</v>
      </c>
      <c r="Q153" t="s">
        <v>159</v>
      </c>
      <c r="S153" t="s">
        <v>253</v>
      </c>
      <c r="T153" t="s">
        <v>401</v>
      </c>
      <c r="U153">
        <v>1.9473004132639043E-5</v>
      </c>
      <c r="V153" t="s">
        <v>159</v>
      </c>
      <c r="AC153" t="s">
        <v>19</v>
      </c>
      <c r="AD153" t="s">
        <v>401</v>
      </c>
      <c r="AE153">
        <v>1.1289010054287009E-4</v>
      </c>
      <c r="AK153">
        <v>2045</v>
      </c>
      <c r="AL153" t="s">
        <v>285</v>
      </c>
      <c r="AM153">
        <v>0.16531999999999997</v>
      </c>
      <c r="AN153" t="s">
        <v>281</v>
      </c>
    </row>
    <row r="154" spans="9:40" x14ac:dyDescent="0.45">
      <c r="I154" t="s">
        <v>168</v>
      </c>
      <c r="J154" t="s">
        <v>402</v>
      </c>
      <c r="K154">
        <v>0</v>
      </c>
      <c r="L154" t="s">
        <v>159</v>
      </c>
      <c r="N154" t="s">
        <v>211</v>
      </c>
      <c r="O154" t="s">
        <v>402</v>
      </c>
      <c r="P154">
        <v>1.8319391531754133E-5</v>
      </c>
      <c r="Q154" t="s">
        <v>159</v>
      </c>
      <c r="S154" t="s">
        <v>253</v>
      </c>
      <c r="T154" t="s">
        <v>402</v>
      </c>
      <c r="U154">
        <v>1.9757119023449053E-5</v>
      </c>
      <c r="V154" t="s">
        <v>159</v>
      </c>
      <c r="AC154" t="s">
        <v>19</v>
      </c>
      <c r="AD154" t="s">
        <v>402</v>
      </c>
      <c r="AE154">
        <v>1.1349133354531614E-4</v>
      </c>
      <c r="AK154">
        <v>2045</v>
      </c>
      <c r="AL154" t="s">
        <v>306</v>
      </c>
      <c r="AM154">
        <v>0.28199999999999997</v>
      </c>
      <c r="AN154" t="s">
        <v>281</v>
      </c>
    </row>
    <row r="155" spans="9:40" x14ac:dyDescent="0.45">
      <c r="I155" t="s">
        <v>168</v>
      </c>
      <c r="J155" t="s">
        <v>403</v>
      </c>
      <c r="K155">
        <v>1.0117350394471621E-4</v>
      </c>
      <c r="L155" t="s">
        <v>159</v>
      </c>
      <c r="N155" t="s">
        <v>211</v>
      </c>
      <c r="O155" t="s">
        <v>403</v>
      </c>
      <c r="P155">
        <v>2.196339925081264E-5</v>
      </c>
      <c r="Q155" t="s">
        <v>159</v>
      </c>
      <c r="S155" t="s">
        <v>253</v>
      </c>
      <c r="T155" t="s">
        <v>403</v>
      </c>
      <c r="U155">
        <v>1.6310689361898174E-5</v>
      </c>
      <c r="V155" t="s">
        <v>159</v>
      </c>
      <c r="AC155" t="s">
        <v>19</v>
      </c>
      <c r="AD155" t="s">
        <v>403</v>
      </c>
      <c r="AE155">
        <v>1.1449160503228959E-4</v>
      </c>
      <c r="AK155">
        <v>2046</v>
      </c>
      <c r="AL155" t="s">
        <v>148</v>
      </c>
      <c r="AM155">
        <v>0.31570000000000004</v>
      </c>
      <c r="AN155" t="s">
        <v>281</v>
      </c>
    </row>
    <row r="156" spans="9:40" x14ac:dyDescent="0.45">
      <c r="I156" t="s">
        <v>168</v>
      </c>
      <c r="J156" t="s">
        <v>404</v>
      </c>
      <c r="K156">
        <v>2.2877264425010175E-4</v>
      </c>
      <c r="L156" t="s">
        <v>159</v>
      </c>
      <c r="N156" t="s">
        <v>211</v>
      </c>
      <c r="O156" t="s">
        <v>404</v>
      </c>
      <c r="P156">
        <v>2.6851370761303479E-5</v>
      </c>
      <c r="Q156" t="s">
        <v>159</v>
      </c>
      <c r="S156" t="s">
        <v>253</v>
      </c>
      <c r="T156" t="s">
        <v>404</v>
      </c>
      <c r="U156">
        <v>1.4784986186545601E-5</v>
      </c>
      <c r="V156" t="s">
        <v>159</v>
      </c>
      <c r="AC156" t="s">
        <v>19</v>
      </c>
      <c r="AD156" t="s">
        <v>404</v>
      </c>
      <c r="AE156">
        <v>1.1517591238401976E-4</v>
      </c>
      <c r="AK156">
        <v>2046</v>
      </c>
      <c r="AL156" t="s">
        <v>152</v>
      </c>
      <c r="AM156">
        <v>0.1091</v>
      </c>
      <c r="AN156" t="s">
        <v>281</v>
      </c>
    </row>
    <row r="157" spans="9:40" x14ac:dyDescent="0.45">
      <c r="I157" t="s">
        <v>168</v>
      </c>
      <c r="J157" t="s">
        <v>405</v>
      </c>
      <c r="K157">
        <v>2.6950848891535407E-4</v>
      </c>
      <c r="L157" t="s">
        <v>159</v>
      </c>
      <c r="N157" t="s">
        <v>211</v>
      </c>
      <c r="O157" t="s">
        <v>405</v>
      </c>
      <c r="P157">
        <v>3.5463970161831563E-5</v>
      </c>
      <c r="Q157" t="s">
        <v>159</v>
      </c>
      <c r="S157" t="s">
        <v>253</v>
      </c>
      <c r="T157" t="s">
        <v>405</v>
      </c>
      <c r="U157">
        <v>1.2153637930566755E-5</v>
      </c>
      <c r="V157" t="s">
        <v>159</v>
      </c>
      <c r="AC157" t="s">
        <v>19</v>
      </c>
      <c r="AD157" t="s">
        <v>405</v>
      </c>
      <c r="AE157">
        <v>1.1539444016383153E-4</v>
      </c>
      <c r="AK157">
        <v>2046</v>
      </c>
      <c r="AL157" t="s">
        <v>154</v>
      </c>
      <c r="AM157">
        <v>8.8900000000000007E-2</v>
      </c>
      <c r="AN157" t="s">
        <v>281</v>
      </c>
    </row>
    <row r="158" spans="9:40" x14ac:dyDescent="0.45">
      <c r="I158" t="s">
        <v>168</v>
      </c>
      <c r="J158" t="s">
        <v>406</v>
      </c>
      <c r="K158">
        <v>2.703449732874831E-4</v>
      </c>
      <c r="L158" t="s">
        <v>159</v>
      </c>
      <c r="N158" t="s">
        <v>211</v>
      </c>
      <c r="O158" t="s">
        <v>406</v>
      </c>
      <c r="P158">
        <v>9.8921988257800596E-5</v>
      </c>
      <c r="Q158" t="s">
        <v>159</v>
      </c>
      <c r="S158" t="s">
        <v>253</v>
      </c>
      <c r="T158" t="s">
        <v>406</v>
      </c>
      <c r="U158">
        <v>1.1132571366673426E-5</v>
      </c>
      <c r="V158" t="s">
        <v>159</v>
      </c>
      <c r="AC158" t="s">
        <v>19</v>
      </c>
      <c r="AD158" t="s">
        <v>406</v>
      </c>
      <c r="AE158">
        <v>1.1543414688670968E-4</v>
      </c>
      <c r="AK158">
        <v>2046</v>
      </c>
      <c r="AL158" t="s">
        <v>283</v>
      </c>
      <c r="AM158">
        <v>9.4500000000000001E-2</v>
      </c>
      <c r="AN158" t="s">
        <v>281</v>
      </c>
    </row>
    <row r="159" spans="9:40" x14ac:dyDescent="0.45">
      <c r="I159" t="s">
        <v>168</v>
      </c>
      <c r="J159" t="s">
        <v>407</v>
      </c>
      <c r="K159">
        <v>2.7795993401666418E-4</v>
      </c>
      <c r="L159" t="s">
        <v>159</v>
      </c>
      <c r="N159" t="s">
        <v>211</v>
      </c>
      <c r="O159" t="s">
        <v>407</v>
      </c>
      <c r="P159">
        <v>1.748860482432105E-4</v>
      </c>
      <c r="Q159" t="s">
        <v>159</v>
      </c>
      <c r="S159" t="s">
        <v>253</v>
      </c>
      <c r="T159" t="s">
        <v>407</v>
      </c>
      <c r="U159">
        <v>9.2032204774620132E-6</v>
      </c>
      <c r="V159" t="s">
        <v>159</v>
      </c>
      <c r="AC159" t="s">
        <v>19</v>
      </c>
      <c r="AD159" t="s">
        <v>407</v>
      </c>
      <c r="AE159">
        <v>1.1544006065394686E-4</v>
      </c>
      <c r="AK159">
        <v>2046</v>
      </c>
      <c r="AL159" t="s">
        <v>285</v>
      </c>
      <c r="AM159">
        <v>0.16908000000000001</v>
      </c>
      <c r="AN159" t="s">
        <v>281</v>
      </c>
    </row>
    <row r="160" spans="9:40" x14ac:dyDescent="0.45">
      <c r="I160" t="s">
        <v>168</v>
      </c>
      <c r="J160" t="s">
        <v>408</v>
      </c>
      <c r="K160">
        <v>2.9164321719111125E-4</v>
      </c>
      <c r="L160" t="s">
        <v>159</v>
      </c>
      <c r="N160" t="s">
        <v>211</v>
      </c>
      <c r="O160" t="s">
        <v>408</v>
      </c>
      <c r="P160">
        <v>2.1266342636111016E-4</v>
      </c>
      <c r="Q160" t="s">
        <v>159</v>
      </c>
      <c r="S160" t="s">
        <v>253</v>
      </c>
      <c r="T160" t="s">
        <v>408</v>
      </c>
      <c r="U160">
        <v>8.7086259355686087E-6</v>
      </c>
      <c r="V160" t="s">
        <v>159</v>
      </c>
      <c r="AC160" t="s">
        <v>19</v>
      </c>
      <c r="AD160" t="s">
        <v>408</v>
      </c>
      <c r="AE160">
        <v>1.1547723290515196E-4</v>
      </c>
      <c r="AK160">
        <v>2046</v>
      </c>
      <c r="AL160" t="s">
        <v>306</v>
      </c>
      <c r="AM160">
        <v>0.31030000000000002</v>
      </c>
      <c r="AN160" t="s">
        <v>281</v>
      </c>
    </row>
    <row r="161" spans="9:40" x14ac:dyDescent="0.45">
      <c r="I161" t="s">
        <v>168</v>
      </c>
      <c r="J161" t="s">
        <v>409</v>
      </c>
      <c r="K161">
        <v>3.0643545916958536E-4</v>
      </c>
      <c r="L161" t="s">
        <v>159</v>
      </c>
      <c r="N161" t="s">
        <v>211</v>
      </c>
      <c r="O161" t="s">
        <v>409</v>
      </c>
      <c r="P161">
        <v>2.3075577994293076E-4</v>
      </c>
      <c r="Q161" t="s">
        <v>159</v>
      </c>
      <c r="S161" t="s">
        <v>253</v>
      </c>
      <c r="T161" t="s">
        <v>409</v>
      </c>
      <c r="U161">
        <v>8.224700126634293E-6</v>
      </c>
      <c r="V161" t="s">
        <v>159</v>
      </c>
      <c r="AC161" t="s">
        <v>19</v>
      </c>
      <c r="AD161" t="s">
        <v>409</v>
      </c>
      <c r="AE161">
        <v>1.1547723290515196E-4</v>
      </c>
      <c r="AK161">
        <v>2047</v>
      </c>
      <c r="AL161" t="s">
        <v>148</v>
      </c>
      <c r="AM161">
        <v>0.34925</v>
      </c>
      <c r="AN161" t="s">
        <v>281</v>
      </c>
    </row>
    <row r="162" spans="9:40" x14ac:dyDescent="0.45">
      <c r="I162" t="s">
        <v>168</v>
      </c>
      <c r="J162" t="s">
        <v>410</v>
      </c>
      <c r="K162">
        <v>2.8401739812158687E-4</v>
      </c>
      <c r="L162" t="s">
        <v>159</v>
      </c>
      <c r="N162" t="s">
        <v>211</v>
      </c>
      <c r="O162" t="s">
        <v>410</v>
      </c>
      <c r="P162">
        <v>2.395217035515558E-4</v>
      </c>
      <c r="Q162" t="s">
        <v>159</v>
      </c>
      <c r="S162" t="s">
        <v>253</v>
      </c>
      <c r="T162" t="s">
        <v>410</v>
      </c>
      <c r="U162">
        <v>1.1080704897730337E-5</v>
      </c>
      <c r="V162" t="s">
        <v>159</v>
      </c>
      <c r="AC162" t="s">
        <v>19</v>
      </c>
      <c r="AD162" t="s">
        <v>410</v>
      </c>
      <c r="AE162">
        <v>1.1546568697864128E-4</v>
      </c>
      <c r="AK162">
        <v>2047</v>
      </c>
      <c r="AL162" t="s">
        <v>152</v>
      </c>
      <c r="AM162">
        <v>0.13155</v>
      </c>
      <c r="AN162" t="s">
        <v>281</v>
      </c>
    </row>
    <row r="163" spans="9:40" x14ac:dyDescent="0.45">
      <c r="I163" t="s">
        <v>168</v>
      </c>
      <c r="J163" t="s">
        <v>411</v>
      </c>
      <c r="K163">
        <v>2.6682474008451681E-4</v>
      </c>
      <c r="L163" t="s">
        <v>159</v>
      </c>
      <c r="N163" t="s">
        <v>211</v>
      </c>
      <c r="O163" t="s">
        <v>411</v>
      </c>
      <c r="P163">
        <v>2.4085691128760122E-4</v>
      </c>
      <c r="Q163" t="s">
        <v>159</v>
      </c>
      <c r="S163" t="s">
        <v>253</v>
      </c>
      <c r="T163" t="s">
        <v>411</v>
      </c>
      <c r="U163">
        <v>1.3109966744133361E-5</v>
      </c>
      <c r="V163" t="s">
        <v>159</v>
      </c>
      <c r="AC163" t="s">
        <v>19</v>
      </c>
      <c r="AD163" t="s">
        <v>411</v>
      </c>
      <c r="AE163">
        <v>1.1546568697864128E-4</v>
      </c>
      <c r="AK163">
        <v>2047</v>
      </c>
      <c r="AL163" t="s">
        <v>154</v>
      </c>
      <c r="AM163">
        <v>0.105</v>
      </c>
      <c r="AN163" t="s">
        <v>281</v>
      </c>
    </row>
    <row r="164" spans="9:40" x14ac:dyDescent="0.45">
      <c r="I164" t="s">
        <v>168</v>
      </c>
      <c r="J164" t="s">
        <v>412</v>
      </c>
      <c r="K164">
        <v>2.5733435239129465E-4</v>
      </c>
      <c r="L164" t="s">
        <v>159</v>
      </c>
      <c r="N164" t="s">
        <v>211</v>
      </c>
      <c r="O164" t="s">
        <v>412</v>
      </c>
      <c r="P164">
        <v>2.3154404284701918E-4</v>
      </c>
      <c r="Q164" t="s">
        <v>159</v>
      </c>
      <c r="S164" t="s">
        <v>253</v>
      </c>
      <c r="T164" t="s">
        <v>412</v>
      </c>
      <c r="U164">
        <v>1.2586874775958208E-5</v>
      </c>
      <c r="V164" t="s">
        <v>159</v>
      </c>
      <c r="AC164" t="s">
        <v>19</v>
      </c>
      <c r="AD164" t="s">
        <v>412</v>
      </c>
      <c r="AE164">
        <v>1.1537388278248326E-4</v>
      </c>
      <c r="AK164">
        <v>2047</v>
      </c>
      <c r="AL164" t="s">
        <v>283</v>
      </c>
      <c r="AM164">
        <v>0.11119999999999999</v>
      </c>
      <c r="AN164" t="s">
        <v>281</v>
      </c>
    </row>
    <row r="165" spans="9:40" x14ac:dyDescent="0.45">
      <c r="I165" t="s">
        <v>168</v>
      </c>
      <c r="J165" t="s">
        <v>413</v>
      </c>
      <c r="K165">
        <v>2.4374953079657596E-4</v>
      </c>
      <c r="L165" t="s">
        <v>159</v>
      </c>
      <c r="N165" t="s">
        <v>211</v>
      </c>
      <c r="O165" t="s">
        <v>413</v>
      </c>
      <c r="P165">
        <v>2.1394795979552854E-4</v>
      </c>
      <c r="Q165" t="s">
        <v>159</v>
      </c>
      <c r="S165" t="s">
        <v>253</v>
      </c>
      <c r="T165" t="s">
        <v>413</v>
      </c>
      <c r="U165">
        <v>1.2322725063118567E-5</v>
      </c>
      <c r="V165" t="s">
        <v>159</v>
      </c>
      <c r="AC165" t="s">
        <v>19</v>
      </c>
      <c r="AD165" t="s">
        <v>413</v>
      </c>
      <c r="AE165">
        <v>1.1547723290515196E-4</v>
      </c>
      <c r="AK165">
        <v>2047</v>
      </c>
      <c r="AL165" t="s">
        <v>285</v>
      </c>
      <c r="AM165">
        <v>0.19047999999999998</v>
      </c>
      <c r="AN165" t="s">
        <v>281</v>
      </c>
    </row>
    <row r="166" spans="9:40" x14ac:dyDescent="0.45">
      <c r="I166" t="s">
        <v>168</v>
      </c>
      <c r="J166" t="s">
        <v>414</v>
      </c>
      <c r="K166">
        <v>1.8359752722918311E-4</v>
      </c>
      <c r="L166" t="s">
        <v>159</v>
      </c>
      <c r="N166" t="s">
        <v>211</v>
      </c>
      <c r="O166" t="s">
        <v>414</v>
      </c>
      <c r="P166">
        <v>1.4950080252679117E-4</v>
      </c>
      <c r="Q166" t="s">
        <v>159</v>
      </c>
      <c r="S166" t="s">
        <v>253</v>
      </c>
      <c r="T166" t="s">
        <v>414</v>
      </c>
      <c r="U166">
        <v>1.4696033345592005E-5</v>
      </c>
      <c r="V166" t="s">
        <v>159</v>
      </c>
      <c r="AC166" t="s">
        <v>19</v>
      </c>
      <c r="AD166" t="s">
        <v>414</v>
      </c>
      <c r="AE166">
        <v>1.1547723290515196E-4</v>
      </c>
      <c r="AK166">
        <v>2047</v>
      </c>
      <c r="AL166" t="s">
        <v>306</v>
      </c>
      <c r="AM166">
        <v>0.32140000000000002</v>
      </c>
      <c r="AN166" t="s">
        <v>281</v>
      </c>
    </row>
    <row r="167" spans="9:40" x14ac:dyDescent="0.45">
      <c r="I167" t="s">
        <v>168</v>
      </c>
      <c r="J167" t="s">
        <v>415</v>
      </c>
      <c r="K167">
        <v>0</v>
      </c>
      <c r="L167" t="s">
        <v>159</v>
      </c>
      <c r="N167" t="s">
        <v>211</v>
      </c>
      <c r="O167" t="s">
        <v>415</v>
      </c>
      <c r="P167">
        <v>9.1992678371647995E-5</v>
      </c>
      <c r="Q167" t="s">
        <v>159</v>
      </c>
      <c r="S167" t="s">
        <v>253</v>
      </c>
      <c r="T167" t="s">
        <v>415</v>
      </c>
      <c r="U167">
        <v>1.6990882957466437E-5</v>
      </c>
      <c r="V167" t="s">
        <v>159</v>
      </c>
      <c r="AC167" t="s">
        <v>19</v>
      </c>
      <c r="AD167" t="s">
        <v>415</v>
      </c>
      <c r="AE167">
        <v>1.1553242806603226E-4</v>
      </c>
      <c r="AK167">
        <v>2048</v>
      </c>
      <c r="AL167" t="s">
        <v>148</v>
      </c>
      <c r="AM167">
        <v>0.36323333333333335</v>
      </c>
      <c r="AN167" t="s">
        <v>281</v>
      </c>
    </row>
    <row r="168" spans="9:40" x14ac:dyDescent="0.45">
      <c r="I168" t="s">
        <v>168</v>
      </c>
      <c r="J168" t="s">
        <v>416</v>
      </c>
      <c r="K168">
        <v>0</v>
      </c>
      <c r="L168" t="s">
        <v>159</v>
      </c>
      <c r="N168" t="s">
        <v>211</v>
      </c>
      <c r="O168" t="s">
        <v>416</v>
      </c>
      <c r="P168">
        <v>8.4852444932783982E-5</v>
      </c>
      <c r="Q168" t="s">
        <v>159</v>
      </c>
      <c r="S168" t="s">
        <v>253</v>
      </c>
      <c r="T168" t="s">
        <v>416</v>
      </c>
      <c r="U168">
        <v>1.7924093697338635E-5</v>
      </c>
      <c r="V168" t="s">
        <v>159</v>
      </c>
      <c r="AC168" t="s">
        <v>19</v>
      </c>
      <c r="AD168" t="s">
        <v>416</v>
      </c>
      <c r="AE168">
        <v>1.153857103169576E-4</v>
      </c>
      <c r="AK168">
        <v>2048</v>
      </c>
      <c r="AL168" t="s">
        <v>152</v>
      </c>
      <c r="AM168">
        <v>0.14095000000000002</v>
      </c>
      <c r="AN168" t="s">
        <v>281</v>
      </c>
    </row>
    <row r="169" spans="9:40" x14ac:dyDescent="0.45">
      <c r="I169" t="s">
        <v>168</v>
      </c>
      <c r="J169" t="s">
        <v>417</v>
      </c>
      <c r="K169">
        <v>0</v>
      </c>
      <c r="L169" t="s">
        <v>159</v>
      </c>
      <c r="N169" t="s">
        <v>211</v>
      </c>
      <c r="O169" t="s">
        <v>417</v>
      </c>
      <c r="P169">
        <v>7.3274804602639876E-5</v>
      </c>
      <c r="Q169" t="s">
        <v>159</v>
      </c>
      <c r="S169" t="s">
        <v>253</v>
      </c>
      <c r="T169" t="s">
        <v>417</v>
      </c>
      <c r="U169">
        <v>2.1449614253927339E-5</v>
      </c>
      <c r="V169" t="s">
        <v>159</v>
      </c>
      <c r="AC169" t="s">
        <v>19</v>
      </c>
      <c r="AD169" t="s">
        <v>417</v>
      </c>
      <c r="AE169">
        <v>1.1495316048475286E-4</v>
      </c>
      <c r="AK169">
        <v>2048</v>
      </c>
      <c r="AL169" t="s">
        <v>154</v>
      </c>
      <c r="AM169">
        <v>0.1115</v>
      </c>
      <c r="AN169" t="s">
        <v>281</v>
      </c>
    </row>
    <row r="170" spans="9:40" x14ac:dyDescent="0.45">
      <c r="I170" t="s">
        <v>168</v>
      </c>
      <c r="J170" t="s">
        <v>418</v>
      </c>
      <c r="K170">
        <v>0</v>
      </c>
      <c r="L170" t="s">
        <v>159</v>
      </c>
      <c r="N170" t="s">
        <v>211</v>
      </c>
      <c r="O170" t="s">
        <v>418</v>
      </c>
      <c r="P170">
        <v>7.0764892255527521E-5</v>
      </c>
      <c r="Q170" t="s">
        <v>159</v>
      </c>
      <c r="S170" t="s">
        <v>253</v>
      </c>
      <c r="T170" t="s">
        <v>418</v>
      </c>
      <c r="U170">
        <v>2.5680399309009647E-5</v>
      </c>
      <c r="V170" t="s">
        <v>159</v>
      </c>
      <c r="AC170" t="s">
        <v>19</v>
      </c>
      <c r="AD170" t="s">
        <v>418</v>
      </c>
      <c r="AE170">
        <v>1.1443246735991786E-4</v>
      </c>
      <c r="AK170">
        <v>2048</v>
      </c>
      <c r="AL170" t="s">
        <v>283</v>
      </c>
      <c r="AM170">
        <v>0.1157</v>
      </c>
      <c r="AN170" t="s">
        <v>281</v>
      </c>
    </row>
    <row r="171" spans="9:40" x14ac:dyDescent="0.45">
      <c r="I171" t="s">
        <v>168</v>
      </c>
      <c r="J171" t="s">
        <v>419</v>
      </c>
      <c r="K171">
        <v>0</v>
      </c>
      <c r="L171" t="s">
        <v>159</v>
      </c>
      <c r="N171" t="s">
        <v>211</v>
      </c>
      <c r="O171" t="s">
        <v>419</v>
      </c>
      <c r="P171">
        <v>6.7391201691541417E-5</v>
      </c>
      <c r="Q171" t="s">
        <v>159</v>
      </c>
      <c r="S171" t="s">
        <v>253</v>
      </c>
      <c r="T171" t="s">
        <v>419</v>
      </c>
      <c r="U171">
        <v>3.2908598972924771E-5</v>
      </c>
      <c r="V171" t="s">
        <v>159</v>
      </c>
      <c r="AC171" t="s">
        <v>19</v>
      </c>
      <c r="AD171" t="s">
        <v>419</v>
      </c>
      <c r="AE171">
        <v>1.1322521401964329E-4</v>
      </c>
      <c r="AK171">
        <v>2048</v>
      </c>
      <c r="AL171" t="s">
        <v>285</v>
      </c>
      <c r="AM171">
        <v>0.20015999999999998</v>
      </c>
      <c r="AN171" t="s">
        <v>281</v>
      </c>
    </row>
    <row r="172" spans="9:40" x14ac:dyDescent="0.45">
      <c r="I172" t="s">
        <v>168</v>
      </c>
      <c r="J172" t="s">
        <v>420</v>
      </c>
      <c r="K172">
        <v>0</v>
      </c>
      <c r="L172" t="s">
        <v>159</v>
      </c>
      <c r="N172" t="s">
        <v>211</v>
      </c>
      <c r="O172" t="s">
        <v>420</v>
      </c>
      <c r="P172">
        <v>7.1948396943285732E-5</v>
      </c>
      <c r="Q172" t="s">
        <v>159</v>
      </c>
      <c r="S172" t="s">
        <v>253</v>
      </c>
      <c r="T172" t="s">
        <v>420</v>
      </c>
      <c r="U172">
        <v>5.2629580215853364E-5</v>
      </c>
      <c r="V172" t="s">
        <v>159</v>
      </c>
      <c r="AC172" t="s">
        <v>19</v>
      </c>
      <c r="AD172" t="s">
        <v>420</v>
      </c>
      <c r="AE172">
        <v>1.1271860129299204E-4</v>
      </c>
      <c r="AK172">
        <v>2048</v>
      </c>
      <c r="AL172" t="s">
        <v>306</v>
      </c>
      <c r="AM172">
        <v>0.37119999999999997</v>
      </c>
      <c r="AN172" t="s">
        <v>281</v>
      </c>
    </row>
    <row r="173" spans="9:40" x14ac:dyDescent="0.45">
      <c r="I173" t="s">
        <v>168</v>
      </c>
      <c r="J173" t="s">
        <v>313</v>
      </c>
      <c r="K173">
        <v>5.5261611052759814E-3</v>
      </c>
      <c r="L173" t="s">
        <v>159</v>
      </c>
      <c r="N173" t="s">
        <v>211</v>
      </c>
      <c r="O173" t="s">
        <v>313</v>
      </c>
      <c r="P173">
        <v>6.3178111877700022E-3</v>
      </c>
      <c r="Q173" t="s">
        <v>159</v>
      </c>
      <c r="S173" t="s">
        <v>253</v>
      </c>
      <c r="T173" t="s">
        <v>313</v>
      </c>
      <c r="U173">
        <v>2.6031718916532255E-2</v>
      </c>
      <c r="V173" t="s">
        <v>159</v>
      </c>
      <c r="AC173" t="s">
        <v>19</v>
      </c>
      <c r="AD173" t="s">
        <v>313</v>
      </c>
      <c r="AE173">
        <v>2.2889756758270048E-2</v>
      </c>
      <c r="AK173">
        <v>2049</v>
      </c>
      <c r="AL173" t="s">
        <v>148</v>
      </c>
      <c r="AM173">
        <v>0.36641666666666667</v>
      </c>
      <c r="AN173" t="s">
        <v>281</v>
      </c>
    </row>
    <row r="174" spans="9:40" x14ac:dyDescent="0.45">
      <c r="I174" t="s">
        <v>168</v>
      </c>
      <c r="J174" t="s">
        <v>314</v>
      </c>
      <c r="K174">
        <v>7.1298418367161031E-3</v>
      </c>
      <c r="L174" t="s">
        <v>159</v>
      </c>
      <c r="N174" t="s">
        <v>211</v>
      </c>
      <c r="O174" t="s">
        <v>314</v>
      </c>
      <c r="P174">
        <v>8.5403444106526736E-4</v>
      </c>
      <c r="Q174" t="s">
        <v>159</v>
      </c>
      <c r="S174" t="s">
        <v>253</v>
      </c>
      <c r="T174" t="s">
        <v>314</v>
      </c>
      <c r="U174">
        <v>3.2995792695714619E-3</v>
      </c>
      <c r="V174" t="s">
        <v>159</v>
      </c>
      <c r="AC174" t="s">
        <v>19</v>
      </c>
      <c r="AD174" t="s">
        <v>314</v>
      </c>
      <c r="AE174">
        <v>3.3235139709872469E-3</v>
      </c>
      <c r="AK174">
        <v>2049</v>
      </c>
      <c r="AL174" t="s">
        <v>152</v>
      </c>
      <c r="AM174">
        <v>0.12470000000000001</v>
      </c>
      <c r="AN174" t="s">
        <v>281</v>
      </c>
    </row>
    <row r="175" spans="9:40" x14ac:dyDescent="0.45">
      <c r="I175" t="s">
        <v>168</v>
      </c>
      <c r="J175" t="s">
        <v>315</v>
      </c>
      <c r="K175">
        <v>7.4219314445225754E-2</v>
      </c>
      <c r="L175" t="s">
        <v>159</v>
      </c>
      <c r="N175" t="s">
        <v>211</v>
      </c>
      <c r="O175" t="s">
        <v>315</v>
      </c>
      <c r="P175">
        <v>1.6000899441763056E-2</v>
      </c>
      <c r="Q175" t="s">
        <v>159</v>
      </c>
      <c r="S175" t="s">
        <v>253</v>
      </c>
      <c r="T175" t="s">
        <v>315</v>
      </c>
      <c r="U175">
        <v>3.2174034847095884E-2</v>
      </c>
      <c r="V175" t="s">
        <v>159</v>
      </c>
      <c r="AC175" t="s">
        <v>19</v>
      </c>
      <c r="AD175" t="s">
        <v>315</v>
      </c>
      <c r="AE175">
        <v>3.0041145408010284E-2</v>
      </c>
      <c r="AK175">
        <v>2049</v>
      </c>
      <c r="AL175" t="s">
        <v>154</v>
      </c>
      <c r="AM175">
        <v>0.10255</v>
      </c>
      <c r="AN175" t="s">
        <v>281</v>
      </c>
    </row>
    <row r="176" spans="9:40" x14ac:dyDescent="0.45">
      <c r="I176" t="s">
        <v>168</v>
      </c>
      <c r="J176" t="s">
        <v>316</v>
      </c>
      <c r="K176">
        <v>5.6409835367214863E-3</v>
      </c>
      <c r="L176" t="s">
        <v>159</v>
      </c>
      <c r="N176" t="s">
        <v>211</v>
      </c>
      <c r="O176" t="s">
        <v>316</v>
      </c>
      <c r="P176">
        <v>3.7003943105048303E-3</v>
      </c>
      <c r="Q176" t="s">
        <v>159</v>
      </c>
      <c r="S176" t="s">
        <v>253</v>
      </c>
      <c r="T176" t="s">
        <v>316</v>
      </c>
      <c r="U176">
        <v>4.7323984321598674E-3</v>
      </c>
      <c r="V176" t="s">
        <v>159</v>
      </c>
      <c r="AC176" t="s">
        <v>19</v>
      </c>
      <c r="AD176" t="s">
        <v>316</v>
      </c>
      <c r="AE176">
        <v>3.3373642954646725E-3</v>
      </c>
      <c r="AK176">
        <v>2049</v>
      </c>
      <c r="AL176" t="s">
        <v>283</v>
      </c>
      <c r="AM176">
        <v>0.1043</v>
      </c>
      <c r="AN176" t="s">
        <v>281</v>
      </c>
    </row>
    <row r="177" spans="9:40" x14ac:dyDescent="0.45">
      <c r="I177" t="s">
        <v>168</v>
      </c>
      <c r="J177" t="s">
        <v>317</v>
      </c>
      <c r="K177">
        <v>3.617940812839292E-3</v>
      </c>
      <c r="L177" t="s">
        <v>159</v>
      </c>
      <c r="N177" t="s">
        <v>211</v>
      </c>
      <c r="O177" t="s">
        <v>317</v>
      </c>
      <c r="P177">
        <v>4.185655921797803E-3</v>
      </c>
      <c r="Q177" t="s">
        <v>159</v>
      </c>
      <c r="S177" t="s">
        <v>253</v>
      </c>
      <c r="T177" t="s">
        <v>317</v>
      </c>
      <c r="U177">
        <v>4.8261004706539644E-3</v>
      </c>
      <c r="V177" t="s">
        <v>159</v>
      </c>
      <c r="AC177" t="s">
        <v>19</v>
      </c>
      <c r="AD177" t="s">
        <v>317</v>
      </c>
      <c r="AE177">
        <v>3.3388554096323315E-3</v>
      </c>
      <c r="AK177">
        <v>2049</v>
      </c>
      <c r="AL177" t="s">
        <v>285</v>
      </c>
      <c r="AM177">
        <v>0.19075999999999999</v>
      </c>
      <c r="AN177" t="s">
        <v>281</v>
      </c>
    </row>
    <row r="178" spans="9:40" x14ac:dyDescent="0.45">
      <c r="I178" t="s">
        <v>168</v>
      </c>
      <c r="J178" t="s">
        <v>318</v>
      </c>
      <c r="K178">
        <v>0</v>
      </c>
      <c r="L178" t="s">
        <v>159</v>
      </c>
      <c r="N178" t="s">
        <v>211</v>
      </c>
      <c r="O178" t="s">
        <v>318</v>
      </c>
      <c r="P178">
        <v>1.5108759093554802E-2</v>
      </c>
      <c r="Q178" t="s">
        <v>159</v>
      </c>
      <c r="S178" t="s">
        <v>253</v>
      </c>
      <c r="T178" t="s">
        <v>318</v>
      </c>
      <c r="U178">
        <v>2.3518163041031593E-2</v>
      </c>
      <c r="V178" t="s">
        <v>159</v>
      </c>
      <c r="AC178" t="s">
        <v>19</v>
      </c>
      <c r="AD178" t="s">
        <v>318</v>
      </c>
      <c r="AE178">
        <v>1.6526043324230383E-2</v>
      </c>
      <c r="AK178">
        <v>2049</v>
      </c>
      <c r="AL178" t="s">
        <v>306</v>
      </c>
      <c r="AM178">
        <v>0.32019999999999998</v>
      </c>
      <c r="AN178" t="s">
        <v>281</v>
      </c>
    </row>
    <row r="179" spans="9:40" x14ac:dyDescent="0.45">
      <c r="I179" t="s">
        <v>169</v>
      </c>
      <c r="J179" t="s">
        <v>158</v>
      </c>
      <c r="K179">
        <v>1.2274543387240214E-2</v>
      </c>
      <c r="L179" t="s">
        <v>159</v>
      </c>
      <c r="N179" t="s">
        <v>212</v>
      </c>
      <c r="O179" t="s">
        <v>158</v>
      </c>
      <c r="P179">
        <v>0.10200027101023464</v>
      </c>
      <c r="Q179" t="s">
        <v>159</v>
      </c>
      <c r="S179" t="s">
        <v>254</v>
      </c>
      <c r="T179" t="s">
        <v>158</v>
      </c>
      <c r="U179">
        <v>0.11284185138361646</v>
      </c>
      <c r="V179" t="s">
        <v>159</v>
      </c>
      <c r="AK179">
        <v>2050</v>
      </c>
      <c r="AL179" t="s">
        <v>148</v>
      </c>
      <c r="AM179">
        <v>0.36295000000000005</v>
      </c>
      <c r="AN179" t="s">
        <v>281</v>
      </c>
    </row>
    <row r="180" spans="9:40" x14ac:dyDescent="0.45">
      <c r="I180" t="s">
        <v>169</v>
      </c>
      <c r="J180" t="s">
        <v>160</v>
      </c>
      <c r="K180">
        <v>3.2187354504649504E-2</v>
      </c>
      <c r="L180" t="s">
        <v>159</v>
      </c>
      <c r="N180" t="s">
        <v>212</v>
      </c>
      <c r="O180" t="s">
        <v>160</v>
      </c>
      <c r="P180">
        <v>1.1367088563752407E-2</v>
      </c>
      <c r="Q180" t="s">
        <v>159</v>
      </c>
      <c r="S180" t="s">
        <v>254</v>
      </c>
      <c r="T180" t="s">
        <v>160</v>
      </c>
      <c r="U180">
        <v>1.3997571082418019E-2</v>
      </c>
      <c r="V180" t="s">
        <v>159</v>
      </c>
      <c r="AK180">
        <v>2050</v>
      </c>
      <c r="AL180" t="s">
        <v>152</v>
      </c>
      <c r="AM180">
        <v>0.12475</v>
      </c>
      <c r="AN180" t="s">
        <v>281</v>
      </c>
    </row>
    <row r="181" spans="9:40" x14ac:dyDescent="0.45">
      <c r="I181" t="s">
        <v>169</v>
      </c>
      <c r="J181" t="s">
        <v>161</v>
      </c>
      <c r="K181">
        <v>0.37416184585819889</v>
      </c>
      <c r="L181" t="s">
        <v>159</v>
      </c>
      <c r="N181" t="s">
        <v>212</v>
      </c>
      <c r="O181" t="s">
        <v>161</v>
      </c>
      <c r="P181">
        <v>0.1690536870165289</v>
      </c>
      <c r="Q181" t="s">
        <v>159</v>
      </c>
      <c r="S181" t="s">
        <v>254</v>
      </c>
      <c r="T181" t="s">
        <v>161</v>
      </c>
      <c r="U181">
        <v>0.17275583479680431</v>
      </c>
      <c r="V181" t="s">
        <v>159</v>
      </c>
      <c r="AK181">
        <v>2050</v>
      </c>
      <c r="AL181" t="s">
        <v>154</v>
      </c>
      <c r="AM181">
        <v>0.1132</v>
      </c>
      <c r="AN181" t="s">
        <v>281</v>
      </c>
    </row>
    <row r="182" spans="9:40" x14ac:dyDescent="0.45">
      <c r="I182" t="s">
        <v>169</v>
      </c>
      <c r="J182" t="s">
        <v>287</v>
      </c>
      <c r="K182">
        <v>2.730430071011072E-2</v>
      </c>
      <c r="L182" t="s">
        <v>159</v>
      </c>
      <c r="N182" t="s">
        <v>212</v>
      </c>
      <c r="O182" t="s">
        <v>287</v>
      </c>
      <c r="P182">
        <v>2.8908002287528385E-2</v>
      </c>
      <c r="Q182" t="s">
        <v>159</v>
      </c>
      <c r="S182" t="s">
        <v>254</v>
      </c>
      <c r="T182" t="s">
        <v>287</v>
      </c>
      <c r="U182">
        <v>2.9852623427993247E-2</v>
      </c>
      <c r="V182" t="s">
        <v>159</v>
      </c>
      <c r="AK182">
        <v>2050</v>
      </c>
      <c r="AL182" t="s">
        <v>283</v>
      </c>
      <c r="AM182">
        <v>0.1227</v>
      </c>
      <c r="AN182" t="s">
        <v>281</v>
      </c>
    </row>
    <row r="183" spans="9:40" x14ac:dyDescent="0.45">
      <c r="I183" t="s">
        <v>169</v>
      </c>
      <c r="J183" t="s">
        <v>288</v>
      </c>
      <c r="K183">
        <v>1.3910195530566105E-2</v>
      </c>
      <c r="L183" t="s">
        <v>159</v>
      </c>
      <c r="N183" t="s">
        <v>212</v>
      </c>
      <c r="O183" t="s">
        <v>288</v>
      </c>
      <c r="P183">
        <v>2.8793028407152366E-2</v>
      </c>
      <c r="Q183" t="s">
        <v>159</v>
      </c>
      <c r="S183" t="s">
        <v>254</v>
      </c>
      <c r="T183" t="s">
        <v>288</v>
      </c>
      <c r="U183">
        <v>2.9334471437816041E-2</v>
      </c>
      <c r="V183" t="s">
        <v>159</v>
      </c>
      <c r="AK183">
        <v>2050</v>
      </c>
      <c r="AL183" t="s">
        <v>285</v>
      </c>
      <c r="AM183">
        <v>0.19012000000000001</v>
      </c>
      <c r="AN183" t="s">
        <v>281</v>
      </c>
    </row>
    <row r="184" spans="9:40" x14ac:dyDescent="0.45">
      <c r="I184" t="s">
        <v>169</v>
      </c>
      <c r="J184" t="s">
        <v>308</v>
      </c>
      <c r="K184">
        <v>2.8903344152138879E-5</v>
      </c>
      <c r="L184" t="s">
        <v>159</v>
      </c>
      <c r="N184" t="s">
        <v>212</v>
      </c>
      <c r="O184" t="s">
        <v>308</v>
      </c>
      <c r="P184">
        <v>0.11849166692445284</v>
      </c>
      <c r="Q184" t="s">
        <v>159</v>
      </c>
      <c r="S184" t="s">
        <v>254</v>
      </c>
      <c r="T184" t="s">
        <v>308</v>
      </c>
      <c r="U184">
        <v>0.1194940542884996</v>
      </c>
      <c r="V184" t="s">
        <v>159</v>
      </c>
      <c r="AK184">
        <v>2050</v>
      </c>
      <c r="AL184" t="s">
        <v>306</v>
      </c>
      <c r="AM184">
        <v>0.33960000000000001</v>
      </c>
      <c r="AN184" t="s">
        <v>281</v>
      </c>
    </row>
    <row r="185" spans="9:40" x14ac:dyDescent="0.45">
      <c r="I185" t="s">
        <v>169</v>
      </c>
      <c r="J185" t="s">
        <v>162</v>
      </c>
      <c r="K185">
        <v>0</v>
      </c>
      <c r="L185" t="s">
        <v>159</v>
      </c>
      <c r="N185" t="s">
        <v>212</v>
      </c>
      <c r="O185" t="s">
        <v>162</v>
      </c>
      <c r="P185">
        <v>1.8492928112225301E-2</v>
      </c>
      <c r="Q185" t="s">
        <v>159</v>
      </c>
      <c r="S185" t="s">
        <v>254</v>
      </c>
      <c r="T185" t="s">
        <v>162</v>
      </c>
      <c r="U185">
        <v>1.8083904701484622E-2</v>
      </c>
      <c r="V185" t="s">
        <v>159</v>
      </c>
    </row>
    <row r="186" spans="9:40" x14ac:dyDescent="0.45">
      <c r="I186" t="s">
        <v>169</v>
      </c>
      <c r="J186" t="s">
        <v>163</v>
      </c>
      <c r="K186">
        <v>6.5215278070975078E-4</v>
      </c>
      <c r="L186" t="s">
        <v>159</v>
      </c>
      <c r="N186" t="s">
        <v>212</v>
      </c>
      <c r="O186" t="s">
        <v>163</v>
      </c>
      <c r="P186">
        <v>2.466756824217385E-3</v>
      </c>
      <c r="Q186" t="s">
        <v>159</v>
      </c>
      <c r="S186" t="s">
        <v>254</v>
      </c>
      <c r="T186" t="s">
        <v>163</v>
      </c>
      <c r="U186">
        <v>2.6058278742844203E-3</v>
      </c>
      <c r="V186" t="s">
        <v>159</v>
      </c>
    </row>
    <row r="187" spans="9:40" x14ac:dyDescent="0.45">
      <c r="I187" t="s">
        <v>169</v>
      </c>
      <c r="J187" t="s">
        <v>164</v>
      </c>
      <c r="K187">
        <v>4.0582716565898583E-2</v>
      </c>
      <c r="L187" t="s">
        <v>159</v>
      </c>
      <c r="N187" t="s">
        <v>212</v>
      </c>
      <c r="O187" t="s">
        <v>164</v>
      </c>
      <c r="P187">
        <v>2.9863872222702155E-2</v>
      </c>
      <c r="Q187" t="s">
        <v>159</v>
      </c>
      <c r="S187" t="s">
        <v>254</v>
      </c>
      <c r="T187" t="s">
        <v>164</v>
      </c>
      <c r="U187">
        <v>2.3619525793766753E-2</v>
      </c>
      <c r="V187" t="s">
        <v>159</v>
      </c>
    </row>
    <row r="188" spans="9:40" x14ac:dyDescent="0.45">
      <c r="I188" t="s">
        <v>169</v>
      </c>
      <c r="J188" t="s">
        <v>289</v>
      </c>
      <c r="K188">
        <v>1.9035703471113078E-3</v>
      </c>
      <c r="L188" t="s">
        <v>159</v>
      </c>
      <c r="N188" t="s">
        <v>212</v>
      </c>
      <c r="O188" t="s">
        <v>289</v>
      </c>
      <c r="P188">
        <v>3.3466191677217626E-3</v>
      </c>
      <c r="Q188" t="s">
        <v>159</v>
      </c>
      <c r="S188" t="s">
        <v>254</v>
      </c>
      <c r="T188" t="s">
        <v>289</v>
      </c>
      <c r="U188">
        <v>3.1587911167484661E-3</v>
      </c>
      <c r="V188" t="s">
        <v>159</v>
      </c>
    </row>
    <row r="189" spans="9:40" x14ac:dyDescent="0.45">
      <c r="I189" t="s">
        <v>169</v>
      </c>
      <c r="J189" t="s">
        <v>290</v>
      </c>
      <c r="K189">
        <v>0</v>
      </c>
      <c r="L189" t="s">
        <v>159</v>
      </c>
      <c r="N189" t="s">
        <v>212</v>
      </c>
      <c r="O189" t="s">
        <v>290</v>
      </c>
      <c r="P189">
        <v>3.293155936099957E-3</v>
      </c>
      <c r="Q189" t="s">
        <v>159</v>
      </c>
      <c r="S189" t="s">
        <v>254</v>
      </c>
      <c r="T189" t="s">
        <v>290</v>
      </c>
      <c r="U189">
        <v>3.1647447875977194E-3</v>
      </c>
      <c r="V189" t="s">
        <v>159</v>
      </c>
    </row>
    <row r="190" spans="9:40" x14ac:dyDescent="0.45">
      <c r="I190" t="s">
        <v>169</v>
      </c>
      <c r="J190" t="s">
        <v>309</v>
      </c>
      <c r="K190">
        <v>0</v>
      </c>
      <c r="L190" t="s">
        <v>159</v>
      </c>
      <c r="N190" t="s">
        <v>212</v>
      </c>
      <c r="O190" t="s">
        <v>309</v>
      </c>
      <c r="P190">
        <v>1.5721820744661844E-2</v>
      </c>
      <c r="Q190" t="s">
        <v>159</v>
      </c>
      <c r="S190" t="s">
        <v>254</v>
      </c>
      <c r="T190" t="s">
        <v>309</v>
      </c>
      <c r="U190">
        <v>1.4333486958165317E-2</v>
      </c>
      <c r="V190" t="s">
        <v>159</v>
      </c>
    </row>
    <row r="191" spans="9:40" x14ac:dyDescent="0.45">
      <c r="I191" t="s">
        <v>169</v>
      </c>
      <c r="J191" t="s">
        <v>346</v>
      </c>
      <c r="K191">
        <v>0</v>
      </c>
      <c r="L191" t="s">
        <v>159</v>
      </c>
      <c r="N191" t="s">
        <v>212</v>
      </c>
      <c r="O191" t="s">
        <v>346</v>
      </c>
      <c r="P191">
        <v>1.0574296840214332E-6</v>
      </c>
      <c r="Q191" t="s">
        <v>159</v>
      </c>
      <c r="S191" t="s">
        <v>254</v>
      </c>
      <c r="T191" t="s">
        <v>346</v>
      </c>
      <c r="U191">
        <v>9.3544560417386458E-6</v>
      </c>
      <c r="V191" t="s">
        <v>159</v>
      </c>
    </row>
    <row r="192" spans="9:40" x14ac:dyDescent="0.45">
      <c r="I192" t="s">
        <v>169</v>
      </c>
      <c r="J192" t="s">
        <v>347</v>
      </c>
      <c r="K192">
        <v>0</v>
      </c>
      <c r="L192" t="s">
        <v>159</v>
      </c>
      <c r="N192" t="s">
        <v>212</v>
      </c>
      <c r="O192" t="s">
        <v>347</v>
      </c>
      <c r="P192">
        <v>7.9741420274022764E-7</v>
      </c>
      <c r="Q192" t="s">
        <v>159</v>
      </c>
      <c r="S192" t="s">
        <v>254</v>
      </c>
      <c r="T192" t="s">
        <v>347</v>
      </c>
      <c r="U192">
        <v>8.3086272837636514E-6</v>
      </c>
      <c r="V192" t="s">
        <v>159</v>
      </c>
    </row>
    <row r="193" spans="9:22" x14ac:dyDescent="0.45">
      <c r="I193" t="s">
        <v>169</v>
      </c>
      <c r="J193" t="s">
        <v>348</v>
      </c>
      <c r="K193">
        <v>0</v>
      </c>
      <c r="L193" t="s">
        <v>159</v>
      </c>
      <c r="N193" t="s">
        <v>212</v>
      </c>
      <c r="O193" t="s">
        <v>348</v>
      </c>
      <c r="P193">
        <v>4.3216954895973919E-7</v>
      </c>
      <c r="Q193" t="s">
        <v>159</v>
      </c>
      <c r="S193" t="s">
        <v>254</v>
      </c>
      <c r="T193" t="s">
        <v>348</v>
      </c>
      <c r="U193">
        <v>6.5615847607414001E-6</v>
      </c>
      <c r="V193" t="s">
        <v>159</v>
      </c>
    </row>
    <row r="194" spans="9:22" x14ac:dyDescent="0.45">
      <c r="I194" t="s">
        <v>169</v>
      </c>
      <c r="J194" t="s">
        <v>349</v>
      </c>
      <c r="K194">
        <v>0</v>
      </c>
      <c r="L194" t="s">
        <v>159</v>
      </c>
      <c r="N194" t="s">
        <v>212</v>
      </c>
      <c r="O194" t="s">
        <v>349</v>
      </c>
      <c r="P194">
        <v>1.4376893407648313E-7</v>
      </c>
      <c r="Q194" t="s">
        <v>159</v>
      </c>
      <c r="S194" t="s">
        <v>254</v>
      </c>
      <c r="T194" t="s">
        <v>349</v>
      </c>
      <c r="U194">
        <v>9.2668087956198712E-6</v>
      </c>
      <c r="V194" t="s">
        <v>159</v>
      </c>
    </row>
    <row r="195" spans="9:22" x14ac:dyDescent="0.45">
      <c r="I195" t="s">
        <v>169</v>
      </c>
      <c r="J195" t="s">
        <v>350</v>
      </c>
      <c r="K195">
        <v>0</v>
      </c>
      <c r="L195" t="s">
        <v>159</v>
      </c>
      <c r="N195" t="s">
        <v>212</v>
      </c>
      <c r="O195" t="s">
        <v>350</v>
      </c>
      <c r="P195">
        <v>4.0263923898731669E-7</v>
      </c>
      <c r="Q195" t="s">
        <v>159</v>
      </c>
      <c r="S195" t="s">
        <v>254</v>
      </c>
      <c r="T195" t="s">
        <v>350</v>
      </c>
      <c r="U195">
        <v>6.9922441667032864E-6</v>
      </c>
      <c r="V195" t="s">
        <v>159</v>
      </c>
    </row>
    <row r="196" spans="9:22" x14ac:dyDescent="0.45">
      <c r="I196" t="s">
        <v>169</v>
      </c>
      <c r="J196" t="s">
        <v>351</v>
      </c>
      <c r="K196">
        <v>0</v>
      </c>
      <c r="L196" t="s">
        <v>159</v>
      </c>
      <c r="N196" t="s">
        <v>212</v>
      </c>
      <c r="O196" t="s">
        <v>351</v>
      </c>
      <c r="P196">
        <v>2.2048351825740363E-7</v>
      </c>
      <c r="Q196" t="s">
        <v>159</v>
      </c>
      <c r="S196" t="s">
        <v>254</v>
      </c>
      <c r="T196" t="s">
        <v>351</v>
      </c>
      <c r="U196">
        <v>6.4937455920274985E-6</v>
      </c>
      <c r="V196" t="s">
        <v>159</v>
      </c>
    </row>
    <row r="197" spans="9:22" x14ac:dyDescent="0.45">
      <c r="I197" t="s">
        <v>169</v>
      </c>
      <c r="J197" t="s">
        <v>352</v>
      </c>
      <c r="K197">
        <v>0</v>
      </c>
      <c r="L197" t="s">
        <v>159</v>
      </c>
      <c r="N197" t="s">
        <v>212</v>
      </c>
      <c r="O197" t="s">
        <v>352</v>
      </c>
      <c r="P197">
        <v>9.4651430382161403E-8</v>
      </c>
      <c r="Q197" t="s">
        <v>159</v>
      </c>
      <c r="S197" t="s">
        <v>254</v>
      </c>
      <c r="T197" t="s">
        <v>352</v>
      </c>
      <c r="U197">
        <v>8.0275920788293692E-6</v>
      </c>
      <c r="V197" t="s">
        <v>159</v>
      </c>
    </row>
    <row r="198" spans="9:22" x14ac:dyDescent="0.45">
      <c r="I198" t="s">
        <v>169</v>
      </c>
      <c r="J198" t="s">
        <v>353</v>
      </c>
      <c r="K198">
        <v>8.4952526694470148E-6</v>
      </c>
      <c r="L198" t="s">
        <v>159</v>
      </c>
      <c r="N198" t="s">
        <v>212</v>
      </c>
      <c r="O198" t="s">
        <v>353</v>
      </c>
      <c r="P198">
        <v>1.9249969866916384E-8</v>
      </c>
      <c r="Q198" t="s">
        <v>159</v>
      </c>
      <c r="S198" t="s">
        <v>254</v>
      </c>
      <c r="T198" t="s">
        <v>353</v>
      </c>
      <c r="U198">
        <v>8.7058775038528522E-6</v>
      </c>
      <c r="V198" t="s">
        <v>159</v>
      </c>
    </row>
    <row r="199" spans="9:22" x14ac:dyDescent="0.45">
      <c r="I199" t="s">
        <v>169</v>
      </c>
      <c r="J199" t="s">
        <v>354</v>
      </c>
      <c r="K199">
        <v>1.7045346248019093E-4</v>
      </c>
      <c r="L199" t="s">
        <v>159</v>
      </c>
      <c r="N199" t="s">
        <v>212</v>
      </c>
      <c r="O199" t="s">
        <v>354</v>
      </c>
      <c r="P199">
        <v>3.0590389580445917E-8</v>
      </c>
      <c r="Q199" t="s">
        <v>159</v>
      </c>
      <c r="S199" t="s">
        <v>254</v>
      </c>
      <c r="T199" t="s">
        <v>354</v>
      </c>
      <c r="U199">
        <v>9.6743456432058912E-6</v>
      </c>
      <c r="V199" t="s">
        <v>159</v>
      </c>
    </row>
    <row r="200" spans="9:22" x14ac:dyDescent="0.45">
      <c r="I200" t="s">
        <v>169</v>
      </c>
      <c r="J200" t="s">
        <v>355</v>
      </c>
      <c r="K200">
        <v>1.7173474200612591E-4</v>
      </c>
      <c r="L200" t="s">
        <v>159</v>
      </c>
      <c r="N200" t="s">
        <v>212</v>
      </c>
      <c r="O200" t="s">
        <v>355</v>
      </c>
      <c r="P200">
        <v>7.5716045885076498E-8</v>
      </c>
      <c r="Q200" t="s">
        <v>159</v>
      </c>
      <c r="S200" t="s">
        <v>254</v>
      </c>
      <c r="T200" t="s">
        <v>355</v>
      </c>
      <c r="U200">
        <v>7.5053438063372231E-6</v>
      </c>
      <c r="V200" t="s">
        <v>159</v>
      </c>
    </row>
    <row r="201" spans="9:22" x14ac:dyDescent="0.45">
      <c r="I201" t="s">
        <v>169</v>
      </c>
      <c r="J201" t="s">
        <v>356</v>
      </c>
      <c r="K201">
        <v>1.6022100475511036E-4</v>
      </c>
      <c r="L201" t="s">
        <v>159</v>
      </c>
      <c r="N201" t="s">
        <v>212</v>
      </c>
      <c r="O201" t="s">
        <v>356</v>
      </c>
      <c r="P201">
        <v>1.463070782243405E-8</v>
      </c>
      <c r="Q201" t="s">
        <v>159</v>
      </c>
      <c r="S201" t="s">
        <v>254</v>
      </c>
      <c r="T201" t="s">
        <v>356</v>
      </c>
      <c r="U201">
        <v>7.3105951533308481E-6</v>
      </c>
      <c r="V201" t="s">
        <v>159</v>
      </c>
    </row>
    <row r="202" spans="9:22" x14ac:dyDescent="0.45">
      <c r="I202" t="s">
        <v>169</v>
      </c>
      <c r="J202" t="s">
        <v>357</v>
      </c>
      <c r="K202">
        <v>1.7538501352447959E-4</v>
      </c>
      <c r="L202" t="s">
        <v>159</v>
      </c>
      <c r="N202" t="s">
        <v>212</v>
      </c>
      <c r="O202" t="s">
        <v>357</v>
      </c>
      <c r="P202">
        <v>1.0483972307283386E-8</v>
      </c>
      <c r="Q202" t="s">
        <v>159</v>
      </c>
      <c r="S202" t="s">
        <v>254</v>
      </c>
      <c r="T202" t="s">
        <v>357</v>
      </c>
      <c r="U202">
        <v>1.322819836842688E-5</v>
      </c>
      <c r="V202" t="s">
        <v>159</v>
      </c>
    </row>
    <row r="203" spans="9:22" x14ac:dyDescent="0.45">
      <c r="I203" t="s">
        <v>169</v>
      </c>
      <c r="J203" t="s">
        <v>358</v>
      </c>
      <c r="K203">
        <v>2.2159913441907307E-4</v>
      </c>
      <c r="L203" t="s">
        <v>159</v>
      </c>
      <c r="N203" t="s">
        <v>212</v>
      </c>
      <c r="O203" t="s">
        <v>358</v>
      </c>
      <c r="P203">
        <v>5.5286491557026957E-9</v>
      </c>
      <c r="Q203" t="s">
        <v>159</v>
      </c>
      <c r="S203" t="s">
        <v>254</v>
      </c>
      <c r="T203" t="s">
        <v>358</v>
      </c>
      <c r="U203">
        <v>1.5467317391343215E-5</v>
      </c>
      <c r="V203" t="s">
        <v>159</v>
      </c>
    </row>
    <row r="204" spans="9:22" x14ac:dyDescent="0.45">
      <c r="I204" t="s">
        <v>169</v>
      </c>
      <c r="J204" t="s">
        <v>359</v>
      </c>
      <c r="K204">
        <v>1.7744971051949856E-4</v>
      </c>
      <c r="L204" t="s">
        <v>159</v>
      </c>
      <c r="N204" t="s">
        <v>212</v>
      </c>
      <c r="O204" t="s">
        <v>359</v>
      </c>
      <c r="P204">
        <v>2.9140371839082235E-9</v>
      </c>
      <c r="Q204" t="s">
        <v>159</v>
      </c>
      <c r="S204" t="s">
        <v>254</v>
      </c>
      <c r="T204" t="s">
        <v>359</v>
      </c>
      <c r="U204">
        <v>1.6113370828618311E-5</v>
      </c>
      <c r="V204" t="s">
        <v>159</v>
      </c>
    </row>
    <row r="205" spans="9:22" x14ac:dyDescent="0.45">
      <c r="I205" t="s">
        <v>169</v>
      </c>
      <c r="J205" t="s">
        <v>360</v>
      </c>
      <c r="K205">
        <v>1.5621539869036164E-4</v>
      </c>
      <c r="L205" t="s">
        <v>159</v>
      </c>
      <c r="N205" t="s">
        <v>212</v>
      </c>
      <c r="O205" t="s">
        <v>360</v>
      </c>
      <c r="P205">
        <v>5.232524796893239E-9</v>
      </c>
      <c r="Q205" t="s">
        <v>159</v>
      </c>
      <c r="S205" t="s">
        <v>254</v>
      </c>
      <c r="T205" t="s">
        <v>360</v>
      </c>
      <c r="U205">
        <v>2.2401591836700837E-5</v>
      </c>
      <c r="V205" t="s">
        <v>159</v>
      </c>
    </row>
    <row r="206" spans="9:22" x14ac:dyDescent="0.45">
      <c r="I206" t="s">
        <v>169</v>
      </c>
      <c r="J206" t="s">
        <v>361</v>
      </c>
      <c r="K206">
        <v>1.6411950170717917E-4</v>
      </c>
      <c r="L206" t="s">
        <v>159</v>
      </c>
      <c r="N206" t="s">
        <v>212</v>
      </c>
      <c r="O206" t="s">
        <v>361</v>
      </c>
      <c r="P206">
        <v>4.095629842779116E-8</v>
      </c>
      <c r="Q206" t="s">
        <v>159</v>
      </c>
      <c r="S206" t="s">
        <v>254</v>
      </c>
      <c r="T206" t="s">
        <v>361</v>
      </c>
      <c r="U206">
        <v>3.1535730543628021E-5</v>
      </c>
      <c r="V206" t="s">
        <v>159</v>
      </c>
    </row>
    <row r="207" spans="9:22" x14ac:dyDescent="0.45">
      <c r="I207" t="s">
        <v>169</v>
      </c>
      <c r="J207" t="s">
        <v>362</v>
      </c>
      <c r="K207">
        <v>1.6470616138419998E-4</v>
      </c>
      <c r="L207" t="s">
        <v>159</v>
      </c>
      <c r="N207" t="s">
        <v>212</v>
      </c>
      <c r="O207" t="s">
        <v>362</v>
      </c>
      <c r="P207">
        <v>2.0748609045362746E-6</v>
      </c>
      <c r="Q207" t="s">
        <v>159</v>
      </c>
      <c r="S207" t="s">
        <v>254</v>
      </c>
      <c r="T207" t="s">
        <v>362</v>
      </c>
      <c r="U207">
        <v>5.5914523673044321E-5</v>
      </c>
      <c r="V207" t="s">
        <v>159</v>
      </c>
    </row>
    <row r="208" spans="9:22" x14ac:dyDescent="0.45">
      <c r="I208" t="s">
        <v>169</v>
      </c>
      <c r="J208" t="s">
        <v>363</v>
      </c>
      <c r="K208">
        <v>9.5911709820689501E-5</v>
      </c>
      <c r="L208" t="s">
        <v>159</v>
      </c>
      <c r="N208" t="s">
        <v>212</v>
      </c>
      <c r="O208" t="s">
        <v>363</v>
      </c>
      <c r="P208">
        <v>4.2901858059625209E-6</v>
      </c>
      <c r="Q208" t="s">
        <v>159</v>
      </c>
      <c r="S208" t="s">
        <v>254</v>
      </c>
      <c r="T208" t="s">
        <v>363</v>
      </c>
      <c r="U208">
        <v>9.5860556420941095E-5</v>
      </c>
      <c r="V208" t="s">
        <v>159</v>
      </c>
    </row>
    <row r="209" spans="9:22" x14ac:dyDescent="0.45">
      <c r="I209" t="s">
        <v>169</v>
      </c>
      <c r="J209" t="s">
        <v>364</v>
      </c>
      <c r="K209">
        <v>0</v>
      </c>
      <c r="L209" t="s">
        <v>159</v>
      </c>
      <c r="N209" t="s">
        <v>212</v>
      </c>
      <c r="O209" t="s">
        <v>364</v>
      </c>
      <c r="P209">
        <v>3.9736747555100203E-6</v>
      </c>
      <c r="Q209" t="s">
        <v>159</v>
      </c>
      <c r="S209" t="s">
        <v>254</v>
      </c>
      <c r="T209" t="s">
        <v>364</v>
      </c>
      <c r="U209">
        <v>1.335392564270505E-4</v>
      </c>
      <c r="V209" t="s">
        <v>159</v>
      </c>
    </row>
    <row r="210" spans="9:22" x14ac:dyDescent="0.45">
      <c r="I210" t="s">
        <v>169</v>
      </c>
      <c r="J210" t="s">
        <v>365</v>
      </c>
      <c r="K210">
        <v>0</v>
      </c>
      <c r="L210" t="s">
        <v>159</v>
      </c>
      <c r="N210" t="s">
        <v>212</v>
      </c>
      <c r="O210" t="s">
        <v>365</v>
      </c>
      <c r="P210">
        <v>8.3137112758903198E-6</v>
      </c>
      <c r="Q210" t="s">
        <v>159</v>
      </c>
      <c r="S210" t="s">
        <v>254</v>
      </c>
      <c r="T210" t="s">
        <v>365</v>
      </c>
      <c r="U210">
        <v>1.6464902314701268E-4</v>
      </c>
      <c r="V210" t="s">
        <v>159</v>
      </c>
    </row>
    <row r="211" spans="9:22" x14ac:dyDescent="0.45">
      <c r="I211" t="s">
        <v>169</v>
      </c>
      <c r="J211" t="s">
        <v>366</v>
      </c>
      <c r="K211">
        <v>0</v>
      </c>
      <c r="L211" t="s">
        <v>159</v>
      </c>
      <c r="N211" t="s">
        <v>212</v>
      </c>
      <c r="O211" t="s">
        <v>366</v>
      </c>
      <c r="P211">
        <v>8.0843752495235328E-6</v>
      </c>
      <c r="Q211" t="s">
        <v>159</v>
      </c>
      <c r="S211" t="s">
        <v>254</v>
      </c>
      <c r="T211" t="s">
        <v>366</v>
      </c>
      <c r="U211">
        <v>1.7150751674769904E-4</v>
      </c>
      <c r="V211" t="s">
        <v>159</v>
      </c>
    </row>
    <row r="212" spans="9:22" x14ac:dyDescent="0.45">
      <c r="I212" t="s">
        <v>169</v>
      </c>
      <c r="J212" t="s">
        <v>367</v>
      </c>
      <c r="K212">
        <v>0</v>
      </c>
      <c r="L212" t="s">
        <v>159</v>
      </c>
      <c r="N212" t="s">
        <v>212</v>
      </c>
      <c r="O212" t="s">
        <v>367</v>
      </c>
      <c r="P212">
        <v>6.8186517310041708E-6</v>
      </c>
      <c r="Q212" t="s">
        <v>159</v>
      </c>
      <c r="S212" t="s">
        <v>254</v>
      </c>
      <c r="T212" t="s">
        <v>367</v>
      </c>
      <c r="U212">
        <v>1.5728910911631024E-4</v>
      </c>
      <c r="V212" t="s">
        <v>159</v>
      </c>
    </row>
    <row r="213" spans="9:22" x14ac:dyDescent="0.45">
      <c r="I213" t="s">
        <v>169</v>
      </c>
      <c r="J213" t="s">
        <v>368</v>
      </c>
      <c r="K213">
        <v>0</v>
      </c>
      <c r="L213" t="s">
        <v>159</v>
      </c>
      <c r="N213" t="s">
        <v>212</v>
      </c>
      <c r="O213" t="s">
        <v>368</v>
      </c>
      <c r="P213">
        <v>7.6948978960429223E-6</v>
      </c>
      <c r="Q213" t="s">
        <v>159</v>
      </c>
      <c r="S213" t="s">
        <v>254</v>
      </c>
      <c r="T213" t="s">
        <v>368</v>
      </c>
      <c r="U213">
        <v>1.2765812182677678E-4</v>
      </c>
      <c r="V213" t="s">
        <v>159</v>
      </c>
    </row>
    <row r="214" spans="9:22" x14ac:dyDescent="0.45">
      <c r="I214" t="s">
        <v>169</v>
      </c>
      <c r="J214" t="s">
        <v>369</v>
      </c>
      <c r="K214">
        <v>0</v>
      </c>
      <c r="L214" t="s">
        <v>159</v>
      </c>
      <c r="N214" t="s">
        <v>212</v>
      </c>
      <c r="O214" t="s">
        <v>369</v>
      </c>
      <c r="P214">
        <v>3.8693602283506038E-6</v>
      </c>
      <c r="Q214" t="s">
        <v>159</v>
      </c>
      <c r="S214" t="s">
        <v>254</v>
      </c>
      <c r="T214" t="s">
        <v>369</v>
      </c>
      <c r="U214">
        <v>9.2101549668497084E-5</v>
      </c>
      <c r="V214" t="s">
        <v>159</v>
      </c>
    </row>
    <row r="215" spans="9:22" x14ac:dyDescent="0.45">
      <c r="I215" t="s">
        <v>169</v>
      </c>
      <c r="J215" t="s">
        <v>165</v>
      </c>
      <c r="K215">
        <v>0</v>
      </c>
      <c r="L215" t="s">
        <v>159</v>
      </c>
      <c r="N215" t="s">
        <v>212</v>
      </c>
      <c r="O215" t="s">
        <v>165</v>
      </c>
      <c r="P215">
        <v>2.2145889971582497E-2</v>
      </c>
      <c r="Q215" t="s">
        <v>159</v>
      </c>
      <c r="S215" t="s">
        <v>254</v>
      </c>
      <c r="T215" t="s">
        <v>165</v>
      </c>
      <c r="U215">
        <v>2.4195213825526429E-2</v>
      </c>
      <c r="V215" t="s">
        <v>159</v>
      </c>
    </row>
    <row r="216" spans="9:22" x14ac:dyDescent="0.45">
      <c r="I216" t="s">
        <v>169</v>
      </c>
      <c r="J216" t="s">
        <v>166</v>
      </c>
      <c r="K216">
        <v>4.0739084379353974E-3</v>
      </c>
      <c r="L216" t="s">
        <v>159</v>
      </c>
      <c r="N216" t="s">
        <v>212</v>
      </c>
      <c r="O216" t="s">
        <v>166</v>
      </c>
      <c r="P216">
        <v>3.3592142916700238E-3</v>
      </c>
      <c r="Q216" t="s">
        <v>159</v>
      </c>
      <c r="S216" t="s">
        <v>254</v>
      </c>
      <c r="T216" t="s">
        <v>166</v>
      </c>
      <c r="U216">
        <v>3.5720786943302988E-3</v>
      </c>
      <c r="V216" t="s">
        <v>159</v>
      </c>
    </row>
    <row r="217" spans="9:22" x14ac:dyDescent="0.45">
      <c r="I217" t="s">
        <v>169</v>
      </c>
      <c r="J217" t="s">
        <v>167</v>
      </c>
      <c r="K217">
        <v>5.4509826316002902E-2</v>
      </c>
      <c r="L217" t="s">
        <v>159</v>
      </c>
      <c r="N217" t="s">
        <v>212</v>
      </c>
      <c r="O217" t="s">
        <v>167</v>
      </c>
      <c r="P217">
        <v>4.6824656352078615E-2</v>
      </c>
      <c r="Q217" t="s">
        <v>159</v>
      </c>
      <c r="S217" t="s">
        <v>254</v>
      </c>
      <c r="T217" t="s">
        <v>167</v>
      </c>
      <c r="U217">
        <v>2.8766020824480161E-2</v>
      </c>
      <c r="V217" t="s">
        <v>159</v>
      </c>
    </row>
    <row r="218" spans="9:22" x14ac:dyDescent="0.45">
      <c r="I218" t="s">
        <v>169</v>
      </c>
      <c r="J218" t="s">
        <v>291</v>
      </c>
      <c r="K218">
        <v>4.1998380439493953E-3</v>
      </c>
      <c r="L218" t="s">
        <v>159</v>
      </c>
      <c r="N218" t="s">
        <v>212</v>
      </c>
      <c r="O218" t="s">
        <v>291</v>
      </c>
      <c r="P218">
        <v>4.4814926027668947E-3</v>
      </c>
      <c r="Q218" t="s">
        <v>159</v>
      </c>
      <c r="S218" t="s">
        <v>254</v>
      </c>
      <c r="T218" t="s">
        <v>291</v>
      </c>
      <c r="U218">
        <v>3.0863927248456231E-3</v>
      </c>
      <c r="V218" t="s">
        <v>159</v>
      </c>
    </row>
    <row r="219" spans="9:22" x14ac:dyDescent="0.45">
      <c r="I219" t="s">
        <v>169</v>
      </c>
      <c r="J219" t="s">
        <v>292</v>
      </c>
      <c r="K219">
        <v>0</v>
      </c>
      <c r="L219" t="s">
        <v>159</v>
      </c>
      <c r="N219" t="s">
        <v>212</v>
      </c>
      <c r="O219" t="s">
        <v>292</v>
      </c>
      <c r="P219">
        <v>3.6973595768427284E-3</v>
      </c>
      <c r="Q219" t="s">
        <v>159</v>
      </c>
      <c r="S219" t="s">
        <v>254</v>
      </c>
      <c r="T219" t="s">
        <v>292</v>
      </c>
      <c r="U219">
        <v>3.1026741073115287E-3</v>
      </c>
      <c r="V219" t="s">
        <v>159</v>
      </c>
    </row>
    <row r="220" spans="9:22" x14ac:dyDescent="0.45">
      <c r="I220" t="s">
        <v>169</v>
      </c>
      <c r="J220" t="s">
        <v>310</v>
      </c>
      <c r="K220">
        <v>0</v>
      </c>
      <c r="L220" t="s">
        <v>159</v>
      </c>
      <c r="N220" t="s">
        <v>212</v>
      </c>
      <c r="O220" t="s">
        <v>310</v>
      </c>
      <c r="P220">
        <v>1.5837367972337715E-2</v>
      </c>
      <c r="Q220" t="s">
        <v>159</v>
      </c>
      <c r="S220" t="s">
        <v>254</v>
      </c>
      <c r="T220" t="s">
        <v>310</v>
      </c>
      <c r="U220">
        <v>1.5286887382219715E-2</v>
      </c>
      <c r="V220" t="s">
        <v>159</v>
      </c>
    </row>
    <row r="221" spans="9:22" x14ac:dyDescent="0.45">
      <c r="I221" t="s">
        <v>169</v>
      </c>
      <c r="J221" t="s">
        <v>293</v>
      </c>
      <c r="K221">
        <v>0</v>
      </c>
      <c r="L221" t="s">
        <v>159</v>
      </c>
      <c r="N221" t="s">
        <v>212</v>
      </c>
      <c r="O221" t="s">
        <v>293</v>
      </c>
      <c r="P221">
        <v>2.3557282877126142E-3</v>
      </c>
      <c r="Q221" t="s">
        <v>159</v>
      </c>
      <c r="S221" t="s">
        <v>254</v>
      </c>
      <c r="T221" t="s">
        <v>293</v>
      </c>
      <c r="U221">
        <v>4.2473455399021452E-3</v>
      </c>
      <c r="V221" t="s">
        <v>159</v>
      </c>
    </row>
    <row r="222" spans="9:22" x14ac:dyDescent="0.45">
      <c r="I222" t="s">
        <v>169</v>
      </c>
      <c r="J222" t="s">
        <v>294</v>
      </c>
      <c r="K222">
        <v>1.1758248239984474E-3</v>
      </c>
      <c r="L222" t="s">
        <v>159</v>
      </c>
      <c r="N222" t="s">
        <v>212</v>
      </c>
      <c r="O222" t="s">
        <v>294</v>
      </c>
      <c r="P222">
        <v>4.5728645087477941E-4</v>
      </c>
      <c r="Q222" t="s">
        <v>159</v>
      </c>
      <c r="S222" t="s">
        <v>254</v>
      </c>
      <c r="T222" t="s">
        <v>294</v>
      </c>
      <c r="U222">
        <v>5.4672565008420746E-4</v>
      </c>
      <c r="V222" t="s">
        <v>159</v>
      </c>
    </row>
    <row r="223" spans="9:22" x14ac:dyDescent="0.45">
      <c r="I223" t="s">
        <v>169</v>
      </c>
      <c r="J223" t="s">
        <v>295</v>
      </c>
      <c r="K223">
        <v>1.4776064731457586E-2</v>
      </c>
      <c r="L223" t="s">
        <v>159</v>
      </c>
      <c r="N223" t="s">
        <v>212</v>
      </c>
      <c r="O223" t="s">
        <v>295</v>
      </c>
      <c r="P223">
        <v>8.1337161613308194E-3</v>
      </c>
      <c r="Q223" t="s">
        <v>159</v>
      </c>
      <c r="S223" t="s">
        <v>254</v>
      </c>
      <c r="T223" t="s">
        <v>295</v>
      </c>
      <c r="U223">
        <v>6.742681112112717E-3</v>
      </c>
      <c r="V223" t="s">
        <v>159</v>
      </c>
    </row>
    <row r="224" spans="9:22" x14ac:dyDescent="0.45">
      <c r="I224" t="s">
        <v>169</v>
      </c>
      <c r="J224" t="s">
        <v>296</v>
      </c>
      <c r="K224">
        <v>1.1508294356015105E-3</v>
      </c>
      <c r="L224" t="s">
        <v>159</v>
      </c>
      <c r="N224" t="s">
        <v>212</v>
      </c>
      <c r="O224" t="s">
        <v>296</v>
      </c>
      <c r="P224">
        <v>8.4435933835133082E-4</v>
      </c>
      <c r="Q224" t="s">
        <v>159</v>
      </c>
      <c r="S224" t="s">
        <v>254</v>
      </c>
      <c r="T224" t="s">
        <v>296</v>
      </c>
      <c r="U224">
        <v>1.2651679226469447E-3</v>
      </c>
      <c r="V224" t="s">
        <v>159</v>
      </c>
    </row>
    <row r="225" spans="9:22" x14ac:dyDescent="0.45">
      <c r="I225" t="s">
        <v>169</v>
      </c>
      <c r="J225" t="s">
        <v>297</v>
      </c>
      <c r="K225">
        <v>0</v>
      </c>
      <c r="L225" t="s">
        <v>159</v>
      </c>
      <c r="N225" t="s">
        <v>212</v>
      </c>
      <c r="O225" t="s">
        <v>297</v>
      </c>
      <c r="P225">
        <v>7.1781842999902581E-4</v>
      </c>
      <c r="Q225" t="s">
        <v>159</v>
      </c>
      <c r="S225" t="s">
        <v>254</v>
      </c>
      <c r="T225" t="s">
        <v>297</v>
      </c>
      <c r="U225">
        <v>1.2652543127313906E-3</v>
      </c>
      <c r="V225" t="s">
        <v>159</v>
      </c>
    </row>
    <row r="226" spans="9:22" x14ac:dyDescent="0.45">
      <c r="I226" t="s">
        <v>169</v>
      </c>
      <c r="J226" t="s">
        <v>311</v>
      </c>
      <c r="K226">
        <v>0</v>
      </c>
      <c r="L226" t="s">
        <v>159</v>
      </c>
      <c r="N226" t="s">
        <v>212</v>
      </c>
      <c r="O226" t="s">
        <v>311</v>
      </c>
      <c r="P226">
        <v>2.9986135609203855E-3</v>
      </c>
      <c r="Q226" t="s">
        <v>159</v>
      </c>
      <c r="S226" t="s">
        <v>254</v>
      </c>
      <c r="T226" t="s">
        <v>311</v>
      </c>
      <c r="U226">
        <v>4.7277590619252546E-3</v>
      </c>
      <c r="V226" t="s">
        <v>159</v>
      </c>
    </row>
    <row r="227" spans="9:22" x14ac:dyDescent="0.45">
      <c r="I227" t="s">
        <v>169</v>
      </c>
      <c r="J227" t="s">
        <v>298</v>
      </c>
      <c r="K227">
        <v>1.6139763436585703E-2</v>
      </c>
      <c r="L227" t="s">
        <v>159</v>
      </c>
      <c r="N227" t="s">
        <v>212</v>
      </c>
      <c r="O227" t="s">
        <v>298</v>
      </c>
      <c r="P227">
        <v>6.1376405504999114E-2</v>
      </c>
      <c r="Q227" t="s">
        <v>159</v>
      </c>
      <c r="S227" t="s">
        <v>254</v>
      </c>
      <c r="T227" t="s">
        <v>298</v>
      </c>
      <c r="U227">
        <v>6.3767658579971354E-2</v>
      </c>
      <c r="V227" t="s">
        <v>159</v>
      </c>
    </row>
    <row r="228" spans="9:22" x14ac:dyDescent="0.45">
      <c r="I228" t="s">
        <v>169</v>
      </c>
      <c r="J228" t="s">
        <v>299</v>
      </c>
      <c r="K228">
        <v>2.2679350723692343E-2</v>
      </c>
      <c r="L228" t="s">
        <v>159</v>
      </c>
      <c r="N228" t="s">
        <v>212</v>
      </c>
      <c r="O228" t="s">
        <v>299</v>
      </c>
      <c r="P228">
        <v>7.4956760225468261E-3</v>
      </c>
      <c r="Q228" t="s">
        <v>159</v>
      </c>
      <c r="S228" t="s">
        <v>254</v>
      </c>
      <c r="T228" t="s">
        <v>299</v>
      </c>
      <c r="U228">
        <v>7.5914007717478556E-3</v>
      </c>
      <c r="V228" t="s">
        <v>159</v>
      </c>
    </row>
    <row r="229" spans="9:22" x14ac:dyDescent="0.45">
      <c r="I229" t="s">
        <v>169</v>
      </c>
      <c r="J229" t="s">
        <v>300</v>
      </c>
      <c r="K229">
        <v>0.24207961134464692</v>
      </c>
      <c r="L229" t="s">
        <v>159</v>
      </c>
      <c r="N229" t="s">
        <v>212</v>
      </c>
      <c r="O229" t="s">
        <v>300</v>
      </c>
      <c r="P229">
        <v>0.10728800182277239</v>
      </c>
      <c r="Q229" t="s">
        <v>159</v>
      </c>
      <c r="S229" t="s">
        <v>254</v>
      </c>
      <c r="T229" t="s">
        <v>300</v>
      </c>
      <c r="U229">
        <v>0.10319440388890096</v>
      </c>
      <c r="V229" t="s">
        <v>159</v>
      </c>
    </row>
    <row r="230" spans="9:22" x14ac:dyDescent="0.45">
      <c r="I230" t="s">
        <v>169</v>
      </c>
      <c r="J230" t="s">
        <v>301</v>
      </c>
      <c r="K230">
        <v>1.8699895462832128E-2</v>
      </c>
      <c r="L230" t="s">
        <v>159</v>
      </c>
      <c r="N230" t="s">
        <v>212</v>
      </c>
      <c r="O230" t="s">
        <v>301</v>
      </c>
      <c r="P230">
        <v>1.5612516794883626E-2</v>
      </c>
      <c r="Q230" t="s">
        <v>159</v>
      </c>
      <c r="S230" t="s">
        <v>254</v>
      </c>
      <c r="T230" t="s">
        <v>301</v>
      </c>
      <c r="U230">
        <v>1.7505837098197016E-2</v>
      </c>
      <c r="V230" t="s">
        <v>159</v>
      </c>
    </row>
    <row r="231" spans="9:22" x14ac:dyDescent="0.45">
      <c r="I231" t="s">
        <v>169</v>
      </c>
      <c r="J231" t="s">
        <v>302</v>
      </c>
      <c r="K231">
        <v>6.3373598767495704E-3</v>
      </c>
      <c r="L231" t="s">
        <v>159</v>
      </c>
      <c r="N231" t="s">
        <v>212</v>
      </c>
      <c r="O231" t="s">
        <v>302</v>
      </c>
      <c r="P231">
        <v>1.4815214987013851E-2</v>
      </c>
      <c r="Q231" t="s">
        <v>159</v>
      </c>
      <c r="S231" t="s">
        <v>254</v>
      </c>
      <c r="T231" t="s">
        <v>302</v>
      </c>
      <c r="U231">
        <v>1.6846296065821848E-2</v>
      </c>
      <c r="V231" t="s">
        <v>159</v>
      </c>
    </row>
    <row r="232" spans="9:22" x14ac:dyDescent="0.45">
      <c r="I232" t="s">
        <v>169</v>
      </c>
      <c r="J232" t="s">
        <v>312</v>
      </c>
      <c r="K232">
        <v>0</v>
      </c>
      <c r="L232" t="s">
        <v>159</v>
      </c>
      <c r="N232" t="s">
        <v>212</v>
      </c>
      <c r="O232" t="s">
        <v>312</v>
      </c>
      <c r="P232">
        <v>6.2356063009382248E-2</v>
      </c>
      <c r="Q232" t="s">
        <v>159</v>
      </c>
      <c r="S232" t="s">
        <v>254</v>
      </c>
      <c r="T232" t="s">
        <v>312</v>
      </c>
      <c r="U232">
        <v>6.4737776497571412E-2</v>
      </c>
      <c r="V232" t="s">
        <v>159</v>
      </c>
    </row>
    <row r="233" spans="9:22" x14ac:dyDescent="0.45">
      <c r="I233" t="s">
        <v>169</v>
      </c>
      <c r="J233" t="s">
        <v>397</v>
      </c>
      <c r="K233">
        <v>0</v>
      </c>
      <c r="L233" t="s">
        <v>159</v>
      </c>
      <c r="N233" t="s">
        <v>212</v>
      </c>
      <c r="O233" t="s">
        <v>397</v>
      </c>
      <c r="P233">
        <v>2.5803164279993729E-5</v>
      </c>
      <c r="Q233" t="s">
        <v>159</v>
      </c>
      <c r="S233" t="s">
        <v>254</v>
      </c>
      <c r="T233" t="s">
        <v>397</v>
      </c>
      <c r="U233">
        <v>7.7369182671352922E-6</v>
      </c>
      <c r="V233" t="s">
        <v>159</v>
      </c>
    </row>
    <row r="234" spans="9:22" x14ac:dyDescent="0.45">
      <c r="I234" t="s">
        <v>169</v>
      </c>
      <c r="J234" t="s">
        <v>398</v>
      </c>
      <c r="K234">
        <v>0</v>
      </c>
      <c r="L234" t="s">
        <v>159</v>
      </c>
      <c r="N234" t="s">
        <v>212</v>
      </c>
      <c r="O234" t="s">
        <v>398</v>
      </c>
      <c r="P234">
        <v>2.6234066866459079E-5</v>
      </c>
      <c r="Q234" t="s">
        <v>159</v>
      </c>
      <c r="S234" t="s">
        <v>254</v>
      </c>
      <c r="T234" t="s">
        <v>398</v>
      </c>
      <c r="U234">
        <v>6.9532571894432257E-6</v>
      </c>
      <c r="V234" t="s">
        <v>159</v>
      </c>
    </row>
    <row r="235" spans="9:22" x14ac:dyDescent="0.45">
      <c r="I235" t="s">
        <v>169</v>
      </c>
      <c r="J235" t="s">
        <v>399</v>
      </c>
      <c r="K235">
        <v>0</v>
      </c>
      <c r="L235" t="s">
        <v>159</v>
      </c>
      <c r="N235" t="s">
        <v>212</v>
      </c>
      <c r="O235" t="s">
        <v>399</v>
      </c>
      <c r="P235">
        <v>2.6067893298840429E-5</v>
      </c>
      <c r="Q235" t="s">
        <v>159</v>
      </c>
      <c r="S235" t="s">
        <v>254</v>
      </c>
      <c r="T235" t="s">
        <v>399</v>
      </c>
      <c r="U235">
        <v>7.10775194585821E-6</v>
      </c>
      <c r="V235" t="s">
        <v>159</v>
      </c>
    </row>
    <row r="236" spans="9:22" x14ac:dyDescent="0.45">
      <c r="I236" t="s">
        <v>169</v>
      </c>
      <c r="J236" t="s">
        <v>400</v>
      </c>
      <c r="K236">
        <v>0</v>
      </c>
      <c r="L236" t="s">
        <v>159</v>
      </c>
      <c r="N236" t="s">
        <v>212</v>
      </c>
      <c r="O236" t="s">
        <v>400</v>
      </c>
      <c r="P236">
        <v>2.3723626476788875E-5</v>
      </c>
      <c r="Q236" t="s">
        <v>159</v>
      </c>
      <c r="S236" t="s">
        <v>254</v>
      </c>
      <c r="T236" t="s">
        <v>400</v>
      </c>
      <c r="U236">
        <v>7.2501142148070669E-6</v>
      </c>
      <c r="V236" t="s">
        <v>159</v>
      </c>
    </row>
    <row r="237" spans="9:22" x14ac:dyDescent="0.45">
      <c r="I237" t="s">
        <v>169</v>
      </c>
      <c r="J237" t="s">
        <v>401</v>
      </c>
      <c r="K237">
        <v>0</v>
      </c>
      <c r="L237" t="s">
        <v>159</v>
      </c>
      <c r="N237" t="s">
        <v>212</v>
      </c>
      <c r="O237" t="s">
        <v>401</v>
      </c>
      <c r="P237">
        <v>2.3723602528851803E-5</v>
      </c>
      <c r="Q237" t="s">
        <v>159</v>
      </c>
      <c r="S237" t="s">
        <v>254</v>
      </c>
      <c r="T237" t="s">
        <v>401</v>
      </c>
      <c r="U237">
        <v>6.5245346757813918E-6</v>
      </c>
      <c r="V237" t="s">
        <v>159</v>
      </c>
    </row>
    <row r="238" spans="9:22" x14ac:dyDescent="0.45">
      <c r="I238" t="s">
        <v>169</v>
      </c>
      <c r="J238" t="s">
        <v>402</v>
      </c>
      <c r="K238">
        <v>0</v>
      </c>
      <c r="L238" t="s">
        <v>159</v>
      </c>
      <c r="N238" t="s">
        <v>212</v>
      </c>
      <c r="O238" t="s">
        <v>402</v>
      </c>
      <c r="P238">
        <v>2.4640168939074143E-5</v>
      </c>
      <c r="Q238" t="s">
        <v>159</v>
      </c>
      <c r="S238" t="s">
        <v>254</v>
      </c>
      <c r="T238" t="s">
        <v>402</v>
      </c>
      <c r="U238">
        <v>5.5450866173620512E-6</v>
      </c>
      <c r="V238" t="s">
        <v>159</v>
      </c>
    </row>
    <row r="239" spans="9:22" x14ac:dyDescent="0.45">
      <c r="I239" t="s">
        <v>169</v>
      </c>
      <c r="J239" t="s">
        <v>403</v>
      </c>
      <c r="K239">
        <v>1.1204377521246396E-4</v>
      </c>
      <c r="L239" t="s">
        <v>159</v>
      </c>
      <c r="N239" t="s">
        <v>212</v>
      </c>
      <c r="O239" t="s">
        <v>403</v>
      </c>
      <c r="P239">
        <v>2.3103646003363008E-5</v>
      </c>
      <c r="Q239" t="s">
        <v>159</v>
      </c>
      <c r="S239" t="s">
        <v>254</v>
      </c>
      <c r="T239" t="s">
        <v>403</v>
      </c>
      <c r="U239">
        <v>4.2947423835486985E-6</v>
      </c>
      <c r="V239" t="s">
        <v>159</v>
      </c>
    </row>
    <row r="240" spans="9:22" x14ac:dyDescent="0.45">
      <c r="I240" t="s">
        <v>169</v>
      </c>
      <c r="J240" t="s">
        <v>404</v>
      </c>
      <c r="K240">
        <v>2.3504384360928095E-4</v>
      </c>
      <c r="L240" t="s">
        <v>159</v>
      </c>
      <c r="N240" t="s">
        <v>212</v>
      </c>
      <c r="O240" t="s">
        <v>404</v>
      </c>
      <c r="P240">
        <v>1.3978049610529981E-5</v>
      </c>
      <c r="Q240" t="s">
        <v>159</v>
      </c>
      <c r="S240" t="s">
        <v>254</v>
      </c>
      <c r="T240" t="s">
        <v>404</v>
      </c>
      <c r="U240">
        <v>3.4537923967514396E-6</v>
      </c>
      <c r="V240" t="s">
        <v>159</v>
      </c>
    </row>
    <row r="241" spans="9:22" x14ac:dyDescent="0.45">
      <c r="I241" t="s">
        <v>169</v>
      </c>
      <c r="J241" t="s">
        <v>405</v>
      </c>
      <c r="K241">
        <v>2.7232367545246473E-4</v>
      </c>
      <c r="L241" t="s">
        <v>159</v>
      </c>
      <c r="N241" t="s">
        <v>212</v>
      </c>
      <c r="O241" t="s">
        <v>405</v>
      </c>
      <c r="P241">
        <v>1.4133535679566043E-5</v>
      </c>
      <c r="Q241" t="s">
        <v>159</v>
      </c>
      <c r="S241" t="s">
        <v>254</v>
      </c>
      <c r="T241" t="s">
        <v>405</v>
      </c>
      <c r="U241">
        <v>2.7496632458742347E-6</v>
      </c>
      <c r="V241" t="s">
        <v>159</v>
      </c>
    </row>
    <row r="242" spans="9:22" x14ac:dyDescent="0.45">
      <c r="I242" t="s">
        <v>169</v>
      </c>
      <c r="J242" t="s">
        <v>406</v>
      </c>
      <c r="K242">
        <v>2.7110363177952889E-4</v>
      </c>
      <c r="L242" t="s">
        <v>159</v>
      </c>
      <c r="N242" t="s">
        <v>212</v>
      </c>
      <c r="O242" t="s">
        <v>406</v>
      </c>
      <c r="P242">
        <v>2.9062811316131682E-5</v>
      </c>
      <c r="Q242" t="s">
        <v>159</v>
      </c>
      <c r="S242" t="s">
        <v>254</v>
      </c>
      <c r="T242" t="s">
        <v>406</v>
      </c>
      <c r="U242">
        <v>3.2837879947160745E-6</v>
      </c>
      <c r="V242" t="s">
        <v>159</v>
      </c>
    </row>
    <row r="243" spans="9:22" x14ac:dyDescent="0.45">
      <c r="I243" t="s">
        <v>169</v>
      </c>
      <c r="J243" t="s">
        <v>407</v>
      </c>
      <c r="K243">
        <v>2.7452918784415031E-4</v>
      </c>
      <c r="L243" t="s">
        <v>159</v>
      </c>
      <c r="N243" t="s">
        <v>212</v>
      </c>
      <c r="O243" t="s">
        <v>407</v>
      </c>
      <c r="P243">
        <v>4.6310563108475392E-5</v>
      </c>
      <c r="Q243" t="s">
        <v>159</v>
      </c>
      <c r="S243" t="s">
        <v>254</v>
      </c>
      <c r="T243" t="s">
        <v>407</v>
      </c>
      <c r="U243">
        <v>3.6371117457957807E-6</v>
      </c>
      <c r="V243" t="s">
        <v>159</v>
      </c>
    </row>
    <row r="244" spans="9:22" x14ac:dyDescent="0.45">
      <c r="I244" t="s">
        <v>169</v>
      </c>
      <c r="J244" t="s">
        <v>408</v>
      </c>
      <c r="K244">
        <v>2.8901724323051757E-4</v>
      </c>
      <c r="L244" t="s">
        <v>159</v>
      </c>
      <c r="N244" t="s">
        <v>212</v>
      </c>
      <c r="O244" t="s">
        <v>408</v>
      </c>
      <c r="P244">
        <v>9.6116597229351219E-5</v>
      </c>
      <c r="Q244" t="s">
        <v>159</v>
      </c>
      <c r="S244" t="s">
        <v>254</v>
      </c>
      <c r="T244" t="s">
        <v>408</v>
      </c>
      <c r="U244">
        <v>6.1114789910512722E-6</v>
      </c>
      <c r="V244" t="s">
        <v>159</v>
      </c>
    </row>
    <row r="245" spans="9:22" x14ac:dyDescent="0.45">
      <c r="I245" t="s">
        <v>169</v>
      </c>
      <c r="J245" t="s">
        <v>409</v>
      </c>
      <c r="K245">
        <v>3.0659496559816055E-4</v>
      </c>
      <c r="L245" t="s">
        <v>159</v>
      </c>
      <c r="N245" t="s">
        <v>212</v>
      </c>
      <c r="O245" t="s">
        <v>409</v>
      </c>
      <c r="P245">
        <v>1.159954248954536E-4</v>
      </c>
      <c r="Q245" t="s">
        <v>159</v>
      </c>
      <c r="S245" t="s">
        <v>254</v>
      </c>
      <c r="T245" t="s">
        <v>409</v>
      </c>
      <c r="U245">
        <v>5.8001859715206246E-6</v>
      </c>
      <c r="V245" t="s">
        <v>159</v>
      </c>
    </row>
    <row r="246" spans="9:22" x14ac:dyDescent="0.45">
      <c r="I246" t="s">
        <v>169</v>
      </c>
      <c r="J246" t="s">
        <v>410</v>
      </c>
      <c r="K246">
        <v>2.8209989257987504E-4</v>
      </c>
      <c r="L246" t="s">
        <v>159</v>
      </c>
      <c r="N246" t="s">
        <v>212</v>
      </c>
      <c r="O246" t="s">
        <v>410</v>
      </c>
      <c r="P246">
        <v>1.0412429161526017E-4</v>
      </c>
      <c r="Q246" t="s">
        <v>159</v>
      </c>
      <c r="S246" t="s">
        <v>254</v>
      </c>
      <c r="T246" t="s">
        <v>410</v>
      </c>
      <c r="U246">
        <v>8.9313568320687484E-6</v>
      </c>
      <c r="V246" t="s">
        <v>159</v>
      </c>
    </row>
    <row r="247" spans="9:22" x14ac:dyDescent="0.45">
      <c r="I247" t="s">
        <v>169</v>
      </c>
      <c r="J247" t="s">
        <v>411</v>
      </c>
      <c r="K247">
        <v>2.6600290700371654E-4</v>
      </c>
      <c r="L247" t="s">
        <v>159</v>
      </c>
      <c r="N247" t="s">
        <v>212</v>
      </c>
      <c r="O247" t="s">
        <v>411</v>
      </c>
      <c r="P247">
        <v>9.9795515314611623E-5</v>
      </c>
      <c r="Q247" t="s">
        <v>159</v>
      </c>
      <c r="S247" t="s">
        <v>254</v>
      </c>
      <c r="T247" t="s">
        <v>411</v>
      </c>
      <c r="U247">
        <v>2.0108219000553523E-5</v>
      </c>
      <c r="V247" t="s">
        <v>159</v>
      </c>
    </row>
    <row r="248" spans="9:22" x14ac:dyDescent="0.45">
      <c r="I248" t="s">
        <v>169</v>
      </c>
      <c r="J248" t="s">
        <v>412</v>
      </c>
      <c r="K248">
        <v>2.6110688951294669E-4</v>
      </c>
      <c r="L248" t="s">
        <v>159</v>
      </c>
      <c r="N248" t="s">
        <v>212</v>
      </c>
      <c r="O248" t="s">
        <v>412</v>
      </c>
      <c r="P248">
        <v>9.5855148584656321E-5</v>
      </c>
      <c r="Q248" t="s">
        <v>159</v>
      </c>
      <c r="S248" t="s">
        <v>254</v>
      </c>
      <c r="T248" t="s">
        <v>412</v>
      </c>
      <c r="U248">
        <v>3.356763020906771E-5</v>
      </c>
      <c r="V248" t="s">
        <v>159</v>
      </c>
    </row>
    <row r="249" spans="9:22" x14ac:dyDescent="0.45">
      <c r="I249" t="s">
        <v>169</v>
      </c>
      <c r="J249" t="s">
        <v>413</v>
      </c>
      <c r="K249">
        <v>2.5645259343015355E-4</v>
      </c>
      <c r="L249" t="s">
        <v>159</v>
      </c>
      <c r="N249" t="s">
        <v>212</v>
      </c>
      <c r="O249" t="s">
        <v>413</v>
      </c>
      <c r="P249">
        <v>7.6832342747739206E-5</v>
      </c>
      <c r="Q249" t="s">
        <v>159</v>
      </c>
      <c r="S249" t="s">
        <v>254</v>
      </c>
      <c r="T249" t="s">
        <v>413</v>
      </c>
      <c r="U249">
        <v>3.9598579784754599E-5</v>
      </c>
      <c r="V249" t="s">
        <v>159</v>
      </c>
    </row>
    <row r="250" spans="9:22" x14ac:dyDescent="0.45">
      <c r="I250" t="s">
        <v>169</v>
      </c>
      <c r="J250" t="s">
        <v>414</v>
      </c>
      <c r="K250">
        <v>2.0415917198090386E-4</v>
      </c>
      <c r="L250" t="s">
        <v>159</v>
      </c>
      <c r="N250" t="s">
        <v>212</v>
      </c>
      <c r="O250" t="s">
        <v>414</v>
      </c>
      <c r="P250">
        <v>4.7117606217224236E-5</v>
      </c>
      <c r="Q250" t="s">
        <v>159</v>
      </c>
      <c r="S250" t="s">
        <v>254</v>
      </c>
      <c r="T250" t="s">
        <v>414</v>
      </c>
      <c r="U250">
        <v>4.2426677109944702E-5</v>
      </c>
      <c r="V250" t="s">
        <v>159</v>
      </c>
    </row>
    <row r="251" spans="9:22" x14ac:dyDescent="0.45">
      <c r="I251" t="s">
        <v>169</v>
      </c>
      <c r="J251" t="s">
        <v>415</v>
      </c>
      <c r="K251">
        <v>0</v>
      </c>
      <c r="L251" t="s">
        <v>159</v>
      </c>
      <c r="N251" t="s">
        <v>212</v>
      </c>
      <c r="O251" t="s">
        <v>415</v>
      </c>
      <c r="P251">
        <v>3.0957949780180023E-5</v>
      </c>
      <c r="Q251" t="s">
        <v>159</v>
      </c>
      <c r="S251" t="s">
        <v>254</v>
      </c>
      <c r="T251" t="s">
        <v>415</v>
      </c>
      <c r="U251">
        <v>4.8649300577313569E-5</v>
      </c>
      <c r="V251" t="s">
        <v>159</v>
      </c>
    </row>
    <row r="252" spans="9:22" x14ac:dyDescent="0.45">
      <c r="I252" t="s">
        <v>169</v>
      </c>
      <c r="J252" t="s">
        <v>416</v>
      </c>
      <c r="K252">
        <v>0</v>
      </c>
      <c r="L252" t="s">
        <v>159</v>
      </c>
      <c r="N252" t="s">
        <v>212</v>
      </c>
      <c r="O252" t="s">
        <v>416</v>
      </c>
      <c r="P252">
        <v>1.3379846789715858E-5</v>
      </c>
      <c r="Q252" t="s">
        <v>159</v>
      </c>
      <c r="S252" t="s">
        <v>254</v>
      </c>
      <c r="T252" t="s">
        <v>416</v>
      </c>
      <c r="U252">
        <v>4.2167334853321887E-5</v>
      </c>
      <c r="V252" t="s">
        <v>159</v>
      </c>
    </row>
    <row r="253" spans="9:22" x14ac:dyDescent="0.45">
      <c r="I253" t="s">
        <v>169</v>
      </c>
      <c r="J253" t="s">
        <v>417</v>
      </c>
      <c r="K253">
        <v>0</v>
      </c>
      <c r="L253" t="s">
        <v>159</v>
      </c>
      <c r="N253" t="s">
        <v>212</v>
      </c>
      <c r="O253" t="s">
        <v>417</v>
      </c>
      <c r="P253">
        <v>9.9660719824831717E-6</v>
      </c>
      <c r="Q253" t="s">
        <v>159</v>
      </c>
      <c r="S253" t="s">
        <v>254</v>
      </c>
      <c r="T253" t="s">
        <v>417</v>
      </c>
      <c r="U253">
        <v>2.7453491882038745E-5</v>
      </c>
      <c r="V253" t="s">
        <v>159</v>
      </c>
    </row>
    <row r="254" spans="9:22" x14ac:dyDescent="0.45">
      <c r="I254" t="s">
        <v>169</v>
      </c>
      <c r="J254" t="s">
        <v>418</v>
      </c>
      <c r="K254">
        <v>0</v>
      </c>
      <c r="L254" t="s">
        <v>159</v>
      </c>
      <c r="N254" t="s">
        <v>212</v>
      </c>
      <c r="O254" t="s">
        <v>418</v>
      </c>
      <c r="P254">
        <v>1.1586474471915681E-5</v>
      </c>
      <c r="Q254" t="s">
        <v>159</v>
      </c>
      <c r="S254" t="s">
        <v>254</v>
      </c>
      <c r="T254" t="s">
        <v>418</v>
      </c>
      <c r="U254">
        <v>1.6534337732374945E-5</v>
      </c>
      <c r="V254" t="s">
        <v>159</v>
      </c>
    </row>
    <row r="255" spans="9:22" x14ac:dyDescent="0.45">
      <c r="I255" t="s">
        <v>169</v>
      </c>
      <c r="J255" t="s">
        <v>419</v>
      </c>
      <c r="K255">
        <v>0</v>
      </c>
      <c r="L255" t="s">
        <v>159</v>
      </c>
      <c r="N255" t="s">
        <v>212</v>
      </c>
      <c r="O255" t="s">
        <v>419</v>
      </c>
      <c r="P255">
        <v>1.4489767494147847E-5</v>
      </c>
      <c r="Q255" t="s">
        <v>159</v>
      </c>
      <c r="S255" t="s">
        <v>254</v>
      </c>
      <c r="T255" t="s">
        <v>419</v>
      </c>
      <c r="U255">
        <v>7.7389481563402484E-6</v>
      </c>
      <c r="V255" t="s">
        <v>159</v>
      </c>
    </row>
    <row r="256" spans="9:22" x14ac:dyDescent="0.45">
      <c r="I256" t="s">
        <v>169</v>
      </c>
      <c r="J256" t="s">
        <v>420</v>
      </c>
      <c r="K256">
        <v>0</v>
      </c>
      <c r="L256" t="s">
        <v>159</v>
      </c>
      <c r="N256" t="s">
        <v>212</v>
      </c>
      <c r="O256" t="s">
        <v>420</v>
      </c>
      <c r="P256">
        <v>3.6565201027092772E-5</v>
      </c>
      <c r="Q256" t="s">
        <v>159</v>
      </c>
      <c r="S256" t="s">
        <v>254</v>
      </c>
      <c r="T256" t="s">
        <v>420</v>
      </c>
      <c r="U256">
        <v>2.9565613595796622E-6</v>
      </c>
      <c r="V256" t="s">
        <v>159</v>
      </c>
    </row>
    <row r="257" spans="9:22" x14ac:dyDescent="0.45">
      <c r="I257" t="s">
        <v>169</v>
      </c>
      <c r="J257" t="s">
        <v>313</v>
      </c>
      <c r="K257">
        <v>7.9661731130327273E-3</v>
      </c>
      <c r="L257" t="s">
        <v>159</v>
      </c>
      <c r="N257" t="s">
        <v>212</v>
      </c>
      <c r="O257" t="s">
        <v>313</v>
      </c>
      <c r="P257">
        <v>1.7715844917362673E-2</v>
      </c>
      <c r="Q257" t="s">
        <v>159</v>
      </c>
      <c r="S257" t="s">
        <v>254</v>
      </c>
      <c r="T257" t="s">
        <v>313</v>
      </c>
      <c r="U257">
        <v>1.7589892556114102E-2</v>
      </c>
      <c r="V257" t="s">
        <v>159</v>
      </c>
    </row>
    <row r="258" spans="9:22" x14ac:dyDescent="0.45">
      <c r="I258" t="s">
        <v>169</v>
      </c>
      <c r="J258" t="s">
        <v>314</v>
      </c>
      <c r="K258">
        <v>7.9448791853703182E-3</v>
      </c>
      <c r="L258" t="s">
        <v>159</v>
      </c>
      <c r="N258" t="s">
        <v>212</v>
      </c>
      <c r="O258" t="s">
        <v>314</v>
      </c>
      <c r="P258">
        <v>1.547715143248887E-3</v>
      </c>
      <c r="Q258" t="s">
        <v>159</v>
      </c>
      <c r="S258" t="s">
        <v>254</v>
      </c>
      <c r="T258" t="s">
        <v>314</v>
      </c>
      <c r="U258">
        <v>1.5986602995618541E-3</v>
      </c>
      <c r="V258" t="s">
        <v>159</v>
      </c>
    </row>
    <row r="259" spans="9:22" x14ac:dyDescent="0.45">
      <c r="I259" t="s">
        <v>169</v>
      </c>
      <c r="J259" t="s">
        <v>315</v>
      </c>
      <c r="K259">
        <v>7.9944166485165544E-2</v>
      </c>
      <c r="L259" t="s">
        <v>159</v>
      </c>
      <c r="N259" t="s">
        <v>212</v>
      </c>
      <c r="O259" t="s">
        <v>315</v>
      </c>
      <c r="P259">
        <v>2.6424757210984334E-2</v>
      </c>
      <c r="Q259" t="s">
        <v>159</v>
      </c>
      <c r="S259" t="s">
        <v>254</v>
      </c>
      <c r="T259" t="s">
        <v>315</v>
      </c>
      <c r="U259">
        <v>3.1567649480099422E-2</v>
      </c>
      <c r="V259" t="s">
        <v>159</v>
      </c>
    </row>
    <row r="260" spans="9:22" x14ac:dyDescent="0.45">
      <c r="I260" t="s">
        <v>169</v>
      </c>
      <c r="J260" t="s">
        <v>316</v>
      </c>
      <c r="K260">
        <v>6.317329808876988E-3</v>
      </c>
      <c r="L260" t="s">
        <v>159</v>
      </c>
      <c r="N260" t="s">
        <v>212</v>
      </c>
      <c r="O260" t="s">
        <v>316</v>
      </c>
      <c r="P260">
        <v>6.634642039851397E-3</v>
      </c>
      <c r="Q260" t="s">
        <v>159</v>
      </c>
      <c r="S260" t="s">
        <v>254</v>
      </c>
      <c r="T260" t="s">
        <v>316</v>
      </c>
      <c r="U260">
        <v>6.0031183074093384E-3</v>
      </c>
      <c r="V260" t="s">
        <v>159</v>
      </c>
    </row>
    <row r="261" spans="9:22" x14ac:dyDescent="0.45">
      <c r="I261" t="s">
        <v>169</v>
      </c>
      <c r="J261" t="s">
        <v>317</v>
      </c>
      <c r="K261">
        <v>4.3016117254700073E-3</v>
      </c>
      <c r="L261" t="s">
        <v>159</v>
      </c>
      <c r="N261" t="s">
        <v>212</v>
      </c>
      <c r="O261" t="s">
        <v>317</v>
      </c>
      <c r="P261">
        <v>6.8309607925618986E-3</v>
      </c>
      <c r="Q261" t="s">
        <v>159</v>
      </c>
      <c r="S261" t="s">
        <v>254</v>
      </c>
      <c r="T261" t="s">
        <v>317</v>
      </c>
      <c r="U261">
        <v>5.5760671360623008E-3</v>
      </c>
      <c r="V261" t="s">
        <v>159</v>
      </c>
    </row>
    <row r="262" spans="9:22" x14ac:dyDescent="0.45">
      <c r="I262" t="s">
        <v>169</v>
      </c>
      <c r="J262" t="s">
        <v>318</v>
      </c>
      <c r="K262">
        <v>1.2151507827096974E-6</v>
      </c>
      <c r="L262" t="s">
        <v>159</v>
      </c>
      <c r="N262" t="s">
        <v>212</v>
      </c>
      <c r="O262" t="s">
        <v>318</v>
      </c>
      <c r="P262">
        <v>2.7171764597388879E-2</v>
      </c>
      <c r="Q262" t="s">
        <v>159</v>
      </c>
      <c r="S262" t="s">
        <v>254</v>
      </c>
      <c r="T262" t="s">
        <v>318</v>
      </c>
      <c r="U262">
        <v>2.2428302561271797E-2</v>
      </c>
      <c r="V262" t="s">
        <v>159</v>
      </c>
    </row>
    <row r="263" spans="9:22" x14ac:dyDescent="0.45">
      <c r="I263" t="s">
        <v>170</v>
      </c>
      <c r="J263" t="s">
        <v>158</v>
      </c>
      <c r="K263">
        <v>1.4192260781463552E-2</v>
      </c>
      <c r="L263" t="s">
        <v>159</v>
      </c>
      <c r="N263" t="s">
        <v>213</v>
      </c>
      <c r="O263" t="s">
        <v>158</v>
      </c>
      <c r="P263">
        <v>7.9733273902406199E-2</v>
      </c>
      <c r="Q263" t="s">
        <v>159</v>
      </c>
      <c r="S263" t="s">
        <v>255</v>
      </c>
      <c r="T263" t="s">
        <v>158</v>
      </c>
      <c r="U263">
        <v>0.14246177840428118</v>
      </c>
      <c r="V263" t="s">
        <v>159</v>
      </c>
    </row>
    <row r="264" spans="9:22" x14ac:dyDescent="0.45">
      <c r="I264" t="s">
        <v>170</v>
      </c>
      <c r="J264" t="s">
        <v>160</v>
      </c>
      <c r="K264">
        <v>3.3757024074305052E-2</v>
      </c>
      <c r="L264" t="s">
        <v>159</v>
      </c>
      <c r="N264" t="s">
        <v>213</v>
      </c>
      <c r="O264" t="s">
        <v>160</v>
      </c>
      <c r="P264">
        <v>1.1088995512151653E-2</v>
      </c>
      <c r="Q264" t="s">
        <v>159</v>
      </c>
      <c r="S264" t="s">
        <v>255</v>
      </c>
      <c r="T264" t="s">
        <v>160</v>
      </c>
      <c r="U264">
        <v>1.9137035169698394E-2</v>
      </c>
      <c r="V264" t="s">
        <v>159</v>
      </c>
    </row>
    <row r="265" spans="9:22" x14ac:dyDescent="0.45">
      <c r="I265" t="s">
        <v>170</v>
      </c>
      <c r="J265" t="s">
        <v>161</v>
      </c>
      <c r="K265">
        <v>0.37142769856926033</v>
      </c>
      <c r="L265" t="s">
        <v>159</v>
      </c>
      <c r="N265" t="s">
        <v>213</v>
      </c>
      <c r="O265" t="s">
        <v>161</v>
      </c>
      <c r="P265">
        <v>0.19396693384361077</v>
      </c>
      <c r="Q265" t="s">
        <v>159</v>
      </c>
      <c r="S265" t="s">
        <v>255</v>
      </c>
      <c r="T265" t="s">
        <v>161</v>
      </c>
      <c r="U265">
        <v>0.17196076587879686</v>
      </c>
      <c r="V265" t="s">
        <v>159</v>
      </c>
    </row>
    <row r="266" spans="9:22" x14ac:dyDescent="0.45">
      <c r="I266" t="s">
        <v>170</v>
      </c>
      <c r="J266" t="s">
        <v>287</v>
      </c>
      <c r="K266">
        <v>2.3852728436348242E-2</v>
      </c>
      <c r="L266" t="s">
        <v>159</v>
      </c>
      <c r="N266" t="s">
        <v>213</v>
      </c>
      <c r="O266" t="s">
        <v>287</v>
      </c>
      <c r="P266">
        <v>3.2247587225483404E-2</v>
      </c>
      <c r="Q266" t="s">
        <v>159</v>
      </c>
      <c r="S266" t="s">
        <v>255</v>
      </c>
      <c r="T266" t="s">
        <v>287</v>
      </c>
      <c r="U266">
        <v>2.245812885949474E-2</v>
      </c>
      <c r="V266" t="s">
        <v>159</v>
      </c>
    </row>
    <row r="267" spans="9:22" x14ac:dyDescent="0.45">
      <c r="I267" t="s">
        <v>170</v>
      </c>
      <c r="J267" t="s">
        <v>288</v>
      </c>
      <c r="K267">
        <v>1.1586638346400061E-2</v>
      </c>
      <c r="L267" t="s">
        <v>159</v>
      </c>
      <c r="N267" t="s">
        <v>213</v>
      </c>
      <c r="O267" t="s">
        <v>288</v>
      </c>
      <c r="P267">
        <v>2.7490428548628223E-2</v>
      </c>
      <c r="Q267" t="s">
        <v>159</v>
      </c>
      <c r="S267" t="s">
        <v>255</v>
      </c>
      <c r="T267" t="s">
        <v>288</v>
      </c>
      <c r="U267">
        <v>2.2899123050910908E-2</v>
      </c>
      <c r="V267" t="s">
        <v>159</v>
      </c>
    </row>
    <row r="268" spans="9:22" x14ac:dyDescent="0.45">
      <c r="I268" t="s">
        <v>170</v>
      </c>
      <c r="J268" t="s">
        <v>308</v>
      </c>
      <c r="K268">
        <v>0</v>
      </c>
      <c r="L268" t="s">
        <v>159</v>
      </c>
      <c r="N268" t="s">
        <v>213</v>
      </c>
      <c r="O268" t="s">
        <v>308</v>
      </c>
      <c r="P268">
        <v>7.9359483906592337E-2</v>
      </c>
      <c r="Q268" t="s">
        <v>159</v>
      </c>
      <c r="S268" t="s">
        <v>255</v>
      </c>
      <c r="T268" t="s">
        <v>308</v>
      </c>
      <c r="U268">
        <v>0.11258628976521355</v>
      </c>
      <c r="V268" t="s">
        <v>159</v>
      </c>
    </row>
    <row r="269" spans="9:22" x14ac:dyDescent="0.45">
      <c r="I269" t="s">
        <v>170</v>
      </c>
      <c r="J269" t="s">
        <v>162</v>
      </c>
      <c r="K269">
        <v>0</v>
      </c>
      <c r="L269" t="s">
        <v>159</v>
      </c>
      <c r="N269" t="s">
        <v>213</v>
      </c>
      <c r="O269" t="s">
        <v>162</v>
      </c>
      <c r="P269">
        <v>1.8913166292755759E-2</v>
      </c>
      <c r="Q269" t="s">
        <v>159</v>
      </c>
      <c r="S269" t="s">
        <v>255</v>
      </c>
      <c r="T269" t="s">
        <v>162</v>
      </c>
      <c r="U269">
        <v>1.7879185068491378E-2</v>
      </c>
      <c r="V269" t="s">
        <v>159</v>
      </c>
    </row>
    <row r="270" spans="9:22" x14ac:dyDescent="0.45">
      <c r="I270" t="s">
        <v>170</v>
      </c>
      <c r="J270" t="s">
        <v>163</v>
      </c>
      <c r="K270">
        <v>3.4378664299685004E-3</v>
      </c>
      <c r="L270" t="s">
        <v>159</v>
      </c>
      <c r="N270" t="s">
        <v>213</v>
      </c>
      <c r="O270" t="s">
        <v>163</v>
      </c>
      <c r="P270">
        <v>2.6201577011194209E-3</v>
      </c>
      <c r="Q270" t="s">
        <v>159</v>
      </c>
      <c r="S270" t="s">
        <v>255</v>
      </c>
      <c r="T270" t="s">
        <v>163</v>
      </c>
      <c r="U270">
        <v>2.5676701367629536E-3</v>
      </c>
      <c r="V270" t="s">
        <v>159</v>
      </c>
    </row>
    <row r="271" spans="9:22" x14ac:dyDescent="0.45">
      <c r="I271" t="s">
        <v>170</v>
      </c>
      <c r="J271" t="s">
        <v>164</v>
      </c>
      <c r="K271">
        <v>4.1407832917894211E-2</v>
      </c>
      <c r="L271" t="s">
        <v>159</v>
      </c>
      <c r="N271" t="s">
        <v>213</v>
      </c>
      <c r="O271" t="s">
        <v>164</v>
      </c>
      <c r="P271">
        <v>3.5557598966352244E-2</v>
      </c>
      <c r="Q271" t="s">
        <v>159</v>
      </c>
      <c r="S271" t="s">
        <v>255</v>
      </c>
      <c r="T271" t="s">
        <v>164</v>
      </c>
      <c r="U271">
        <v>2.3068048555690814E-2</v>
      </c>
      <c r="V271" t="s">
        <v>159</v>
      </c>
    </row>
    <row r="272" spans="9:22" x14ac:dyDescent="0.45">
      <c r="I272" t="s">
        <v>170</v>
      </c>
      <c r="J272" t="s">
        <v>289</v>
      </c>
      <c r="K272">
        <v>4.0630620168486423E-4</v>
      </c>
      <c r="L272" t="s">
        <v>159</v>
      </c>
      <c r="N272" t="s">
        <v>213</v>
      </c>
      <c r="O272" t="s">
        <v>289</v>
      </c>
      <c r="P272">
        <v>3.7622128100466856E-3</v>
      </c>
      <c r="Q272" t="s">
        <v>159</v>
      </c>
      <c r="S272" t="s">
        <v>255</v>
      </c>
      <c r="T272" t="s">
        <v>289</v>
      </c>
      <c r="U272">
        <v>2.7621635338059419E-3</v>
      </c>
      <c r="V272" t="s">
        <v>159</v>
      </c>
    </row>
    <row r="273" spans="9:22" x14ac:dyDescent="0.45">
      <c r="I273" t="s">
        <v>170</v>
      </c>
      <c r="J273" t="s">
        <v>290</v>
      </c>
      <c r="K273">
        <v>0</v>
      </c>
      <c r="L273" t="s">
        <v>159</v>
      </c>
      <c r="N273" t="s">
        <v>213</v>
      </c>
      <c r="O273" t="s">
        <v>290</v>
      </c>
      <c r="P273">
        <v>3.386089768669651E-3</v>
      </c>
      <c r="Q273" t="s">
        <v>159</v>
      </c>
      <c r="S273" t="s">
        <v>255</v>
      </c>
      <c r="T273" t="s">
        <v>290</v>
      </c>
      <c r="U273">
        <v>2.8156738363777673E-3</v>
      </c>
      <c r="V273" t="s">
        <v>159</v>
      </c>
    </row>
    <row r="274" spans="9:22" x14ac:dyDescent="0.45">
      <c r="I274" t="s">
        <v>170</v>
      </c>
      <c r="J274" t="s">
        <v>309</v>
      </c>
      <c r="K274">
        <v>0</v>
      </c>
      <c r="L274" t="s">
        <v>159</v>
      </c>
      <c r="N274" t="s">
        <v>213</v>
      </c>
      <c r="O274" t="s">
        <v>309</v>
      </c>
      <c r="P274">
        <v>1.4633608922502022E-2</v>
      </c>
      <c r="Q274" t="s">
        <v>159</v>
      </c>
      <c r="S274" t="s">
        <v>255</v>
      </c>
      <c r="T274" t="s">
        <v>309</v>
      </c>
      <c r="U274">
        <v>1.3588002546671604E-2</v>
      </c>
      <c r="V274" t="s">
        <v>159</v>
      </c>
    </row>
    <row r="275" spans="9:22" x14ac:dyDescent="0.45">
      <c r="I275" t="s">
        <v>170</v>
      </c>
      <c r="J275" t="s">
        <v>346</v>
      </c>
      <c r="K275">
        <v>0</v>
      </c>
      <c r="L275" t="s">
        <v>159</v>
      </c>
      <c r="N275" t="s">
        <v>213</v>
      </c>
      <c r="O275" t="s">
        <v>346</v>
      </c>
      <c r="P275">
        <v>3.4791345060230472E-6</v>
      </c>
      <c r="Q275" t="s">
        <v>159</v>
      </c>
      <c r="S275" t="s">
        <v>255</v>
      </c>
      <c r="T275" t="s">
        <v>346</v>
      </c>
      <c r="U275">
        <v>5.5845891073199221E-6</v>
      </c>
      <c r="V275" t="s">
        <v>159</v>
      </c>
    </row>
    <row r="276" spans="9:22" x14ac:dyDescent="0.45">
      <c r="I276" t="s">
        <v>170</v>
      </c>
      <c r="J276" t="s">
        <v>347</v>
      </c>
      <c r="K276">
        <v>0</v>
      </c>
      <c r="L276" t="s">
        <v>159</v>
      </c>
      <c r="N276" t="s">
        <v>213</v>
      </c>
      <c r="O276" t="s">
        <v>347</v>
      </c>
      <c r="P276">
        <v>4.5069470749130925E-6</v>
      </c>
      <c r="Q276" t="s">
        <v>159</v>
      </c>
      <c r="S276" t="s">
        <v>255</v>
      </c>
      <c r="T276" t="s">
        <v>347</v>
      </c>
      <c r="U276">
        <v>3.47652622005014E-6</v>
      </c>
      <c r="V276" t="s">
        <v>159</v>
      </c>
    </row>
    <row r="277" spans="9:22" x14ac:dyDescent="0.45">
      <c r="I277" t="s">
        <v>170</v>
      </c>
      <c r="J277" t="s">
        <v>348</v>
      </c>
      <c r="K277">
        <v>0</v>
      </c>
      <c r="L277" t="s">
        <v>159</v>
      </c>
      <c r="N277" t="s">
        <v>213</v>
      </c>
      <c r="O277" t="s">
        <v>348</v>
      </c>
      <c r="P277">
        <v>6.3928383867284358E-6</v>
      </c>
      <c r="Q277" t="s">
        <v>159</v>
      </c>
      <c r="S277" t="s">
        <v>255</v>
      </c>
      <c r="T277" t="s">
        <v>348</v>
      </c>
      <c r="U277">
        <v>3.2663304660254899E-6</v>
      </c>
      <c r="V277" t="s">
        <v>159</v>
      </c>
    </row>
    <row r="278" spans="9:22" x14ac:dyDescent="0.45">
      <c r="I278" t="s">
        <v>170</v>
      </c>
      <c r="J278" t="s">
        <v>349</v>
      </c>
      <c r="K278">
        <v>0</v>
      </c>
      <c r="L278" t="s">
        <v>159</v>
      </c>
      <c r="N278" t="s">
        <v>213</v>
      </c>
      <c r="O278" t="s">
        <v>349</v>
      </c>
      <c r="P278">
        <v>7.9799051308913525E-6</v>
      </c>
      <c r="Q278" t="s">
        <v>159</v>
      </c>
      <c r="S278" t="s">
        <v>255</v>
      </c>
      <c r="T278" t="s">
        <v>349</v>
      </c>
      <c r="U278">
        <v>4.9860524689690704E-6</v>
      </c>
      <c r="V278" t="s">
        <v>159</v>
      </c>
    </row>
    <row r="279" spans="9:22" x14ac:dyDescent="0.45">
      <c r="I279" t="s">
        <v>170</v>
      </c>
      <c r="J279" t="s">
        <v>350</v>
      </c>
      <c r="K279">
        <v>0</v>
      </c>
      <c r="L279" t="s">
        <v>159</v>
      </c>
      <c r="N279" t="s">
        <v>213</v>
      </c>
      <c r="O279" t="s">
        <v>350</v>
      </c>
      <c r="P279">
        <v>1.0976574859220399E-5</v>
      </c>
      <c r="Q279" t="s">
        <v>159</v>
      </c>
      <c r="S279" t="s">
        <v>255</v>
      </c>
      <c r="T279" t="s">
        <v>350</v>
      </c>
      <c r="U279">
        <v>7.230678163357839E-6</v>
      </c>
      <c r="V279" t="s">
        <v>159</v>
      </c>
    </row>
    <row r="280" spans="9:22" x14ac:dyDescent="0.45">
      <c r="I280" t="s">
        <v>170</v>
      </c>
      <c r="J280" t="s">
        <v>351</v>
      </c>
      <c r="K280">
        <v>0</v>
      </c>
      <c r="L280" t="s">
        <v>159</v>
      </c>
      <c r="N280" t="s">
        <v>213</v>
      </c>
      <c r="O280" t="s">
        <v>351</v>
      </c>
      <c r="P280">
        <v>1.2713944649269715E-5</v>
      </c>
      <c r="Q280" t="s">
        <v>159</v>
      </c>
      <c r="S280" t="s">
        <v>255</v>
      </c>
      <c r="T280" t="s">
        <v>351</v>
      </c>
      <c r="U280">
        <v>7.239816528430172E-6</v>
      </c>
      <c r="V280" t="s">
        <v>159</v>
      </c>
    </row>
    <row r="281" spans="9:22" x14ac:dyDescent="0.45">
      <c r="I281" t="s">
        <v>170</v>
      </c>
      <c r="J281" t="s">
        <v>352</v>
      </c>
      <c r="K281">
        <v>0</v>
      </c>
      <c r="L281" t="s">
        <v>159</v>
      </c>
      <c r="N281" t="s">
        <v>213</v>
      </c>
      <c r="O281" t="s">
        <v>352</v>
      </c>
      <c r="P281">
        <v>1.2048816936915783E-5</v>
      </c>
      <c r="Q281" t="s">
        <v>159</v>
      </c>
      <c r="S281" t="s">
        <v>255</v>
      </c>
      <c r="T281" t="s">
        <v>352</v>
      </c>
      <c r="U281">
        <v>8.9813831816470425E-6</v>
      </c>
      <c r="V281" t="s">
        <v>159</v>
      </c>
    </row>
    <row r="282" spans="9:22" x14ac:dyDescent="0.45">
      <c r="I282" t="s">
        <v>170</v>
      </c>
      <c r="J282" t="s">
        <v>353</v>
      </c>
      <c r="K282">
        <v>1.4349012738538034E-4</v>
      </c>
      <c r="L282" t="s">
        <v>159</v>
      </c>
      <c r="N282" t="s">
        <v>213</v>
      </c>
      <c r="O282" t="s">
        <v>353</v>
      </c>
      <c r="P282">
        <v>1.0955967578997302E-5</v>
      </c>
      <c r="Q282" t="s">
        <v>159</v>
      </c>
      <c r="S282" t="s">
        <v>255</v>
      </c>
      <c r="T282" t="s">
        <v>353</v>
      </c>
      <c r="U282">
        <v>1.2105994508685761E-5</v>
      </c>
      <c r="V282" t="s">
        <v>159</v>
      </c>
    </row>
    <row r="283" spans="9:22" x14ac:dyDescent="0.45">
      <c r="I283" t="s">
        <v>170</v>
      </c>
      <c r="J283" t="s">
        <v>354</v>
      </c>
      <c r="K283">
        <v>1.716623077719151E-4</v>
      </c>
      <c r="L283" t="s">
        <v>159</v>
      </c>
      <c r="N283" t="s">
        <v>213</v>
      </c>
      <c r="O283" t="s">
        <v>354</v>
      </c>
      <c r="P283">
        <v>9.5723360859647012E-6</v>
      </c>
      <c r="Q283" t="s">
        <v>159</v>
      </c>
      <c r="S283" t="s">
        <v>255</v>
      </c>
      <c r="T283" t="s">
        <v>354</v>
      </c>
      <c r="U283">
        <v>1.4865785190036019E-5</v>
      </c>
      <c r="V283" t="s">
        <v>159</v>
      </c>
    </row>
    <row r="284" spans="9:22" x14ac:dyDescent="0.45">
      <c r="I284" t="s">
        <v>170</v>
      </c>
      <c r="J284" t="s">
        <v>355</v>
      </c>
      <c r="K284">
        <v>1.683109634739291E-4</v>
      </c>
      <c r="L284" t="s">
        <v>159</v>
      </c>
      <c r="N284" t="s">
        <v>213</v>
      </c>
      <c r="O284" t="s">
        <v>355</v>
      </c>
      <c r="P284">
        <v>6.6686181419896145E-6</v>
      </c>
      <c r="Q284" t="s">
        <v>159</v>
      </c>
      <c r="S284" t="s">
        <v>255</v>
      </c>
      <c r="T284" t="s">
        <v>355</v>
      </c>
      <c r="U284">
        <v>1.6190081318912547E-5</v>
      </c>
      <c r="V284" t="s">
        <v>159</v>
      </c>
    </row>
    <row r="285" spans="9:22" x14ac:dyDescent="0.45">
      <c r="I285" t="s">
        <v>170</v>
      </c>
      <c r="J285" t="s">
        <v>356</v>
      </c>
      <c r="K285">
        <v>1.6051889338410729E-4</v>
      </c>
      <c r="L285" t="s">
        <v>159</v>
      </c>
      <c r="N285" t="s">
        <v>213</v>
      </c>
      <c r="O285" t="s">
        <v>356</v>
      </c>
      <c r="P285">
        <v>3.3778436533977467E-6</v>
      </c>
      <c r="Q285" t="s">
        <v>159</v>
      </c>
      <c r="S285" t="s">
        <v>255</v>
      </c>
      <c r="T285" t="s">
        <v>356</v>
      </c>
      <c r="U285">
        <v>1.7775436843976176E-5</v>
      </c>
      <c r="V285" t="s">
        <v>159</v>
      </c>
    </row>
    <row r="286" spans="9:22" x14ac:dyDescent="0.45">
      <c r="I286" t="s">
        <v>170</v>
      </c>
      <c r="J286" t="s">
        <v>357</v>
      </c>
      <c r="K286">
        <v>1.8069972064813187E-4</v>
      </c>
      <c r="L286" t="s">
        <v>159</v>
      </c>
      <c r="N286" t="s">
        <v>213</v>
      </c>
      <c r="O286" t="s">
        <v>357</v>
      </c>
      <c r="P286">
        <v>2.1488612654381137E-6</v>
      </c>
      <c r="Q286" t="s">
        <v>159</v>
      </c>
      <c r="S286" t="s">
        <v>255</v>
      </c>
      <c r="T286" t="s">
        <v>357</v>
      </c>
      <c r="U286">
        <v>1.9419453444512947E-5</v>
      </c>
      <c r="V286" t="s">
        <v>159</v>
      </c>
    </row>
    <row r="287" spans="9:22" x14ac:dyDescent="0.45">
      <c r="I287" t="s">
        <v>170</v>
      </c>
      <c r="J287" t="s">
        <v>358</v>
      </c>
      <c r="K287">
        <v>2.2058445658084658E-4</v>
      </c>
      <c r="L287" t="s">
        <v>159</v>
      </c>
      <c r="N287" t="s">
        <v>213</v>
      </c>
      <c r="O287" t="s">
        <v>358</v>
      </c>
      <c r="P287">
        <v>1.3261571228208357E-6</v>
      </c>
      <c r="Q287" t="s">
        <v>159</v>
      </c>
      <c r="S287" t="s">
        <v>255</v>
      </c>
      <c r="T287" t="s">
        <v>358</v>
      </c>
      <c r="U287">
        <v>1.7581874423570149E-5</v>
      </c>
      <c r="V287" t="s">
        <v>159</v>
      </c>
    </row>
    <row r="288" spans="9:22" x14ac:dyDescent="0.45">
      <c r="I288" t="s">
        <v>170</v>
      </c>
      <c r="J288" t="s">
        <v>359</v>
      </c>
      <c r="K288">
        <v>1.7396810682293454E-4</v>
      </c>
      <c r="L288" t="s">
        <v>159</v>
      </c>
      <c r="N288" t="s">
        <v>213</v>
      </c>
      <c r="O288" t="s">
        <v>359</v>
      </c>
      <c r="P288">
        <v>6.7076292975348683E-7</v>
      </c>
      <c r="Q288" t="s">
        <v>159</v>
      </c>
      <c r="S288" t="s">
        <v>255</v>
      </c>
      <c r="T288" t="s">
        <v>359</v>
      </c>
      <c r="U288">
        <v>1.5337419268955836E-5</v>
      </c>
      <c r="V288" t="s">
        <v>159</v>
      </c>
    </row>
    <row r="289" spans="9:22" x14ac:dyDescent="0.45">
      <c r="I289" t="s">
        <v>170</v>
      </c>
      <c r="J289" t="s">
        <v>360</v>
      </c>
      <c r="K289">
        <v>1.5667633356498679E-4</v>
      </c>
      <c r="L289" t="s">
        <v>159</v>
      </c>
      <c r="N289" t="s">
        <v>213</v>
      </c>
      <c r="O289" t="s">
        <v>360</v>
      </c>
      <c r="P289">
        <v>4.7221397334911906E-7</v>
      </c>
      <c r="Q289" t="s">
        <v>159</v>
      </c>
      <c r="S289" t="s">
        <v>255</v>
      </c>
      <c r="T289" t="s">
        <v>360</v>
      </c>
      <c r="U289">
        <v>1.587195558966718E-5</v>
      </c>
      <c r="V289" t="s">
        <v>159</v>
      </c>
    </row>
    <row r="290" spans="9:22" x14ac:dyDescent="0.45">
      <c r="I290" t="s">
        <v>170</v>
      </c>
      <c r="J290" t="s">
        <v>361</v>
      </c>
      <c r="K290">
        <v>1.6605156188365114E-4</v>
      </c>
      <c r="L290" t="s">
        <v>159</v>
      </c>
      <c r="N290" t="s">
        <v>213</v>
      </c>
      <c r="O290" t="s">
        <v>361</v>
      </c>
      <c r="P290">
        <v>1.3286169634728914E-6</v>
      </c>
      <c r="Q290" t="s">
        <v>159</v>
      </c>
      <c r="S290" t="s">
        <v>255</v>
      </c>
      <c r="T290" t="s">
        <v>361</v>
      </c>
      <c r="U290">
        <v>1.8778818346868753E-5</v>
      </c>
      <c r="V290" t="s">
        <v>159</v>
      </c>
    </row>
    <row r="291" spans="9:22" x14ac:dyDescent="0.45">
      <c r="I291" t="s">
        <v>170</v>
      </c>
      <c r="J291" t="s">
        <v>362</v>
      </c>
      <c r="K291">
        <v>1.6110720688114323E-4</v>
      </c>
      <c r="L291" t="s">
        <v>159</v>
      </c>
      <c r="N291" t="s">
        <v>213</v>
      </c>
      <c r="O291" t="s">
        <v>362</v>
      </c>
      <c r="P291">
        <v>1.3252846714909886E-5</v>
      </c>
      <c r="Q291" t="s">
        <v>159</v>
      </c>
      <c r="S291" t="s">
        <v>255</v>
      </c>
      <c r="T291" t="s">
        <v>362</v>
      </c>
      <c r="U291">
        <v>2.7087547636833014E-5</v>
      </c>
      <c r="V291" t="s">
        <v>159</v>
      </c>
    </row>
    <row r="292" spans="9:22" x14ac:dyDescent="0.45">
      <c r="I292" t="s">
        <v>170</v>
      </c>
      <c r="J292" t="s">
        <v>363</v>
      </c>
      <c r="K292">
        <v>0</v>
      </c>
      <c r="L292" t="s">
        <v>159</v>
      </c>
      <c r="N292" t="s">
        <v>213</v>
      </c>
      <c r="O292" t="s">
        <v>363</v>
      </c>
      <c r="P292">
        <v>1.5323319303860098E-5</v>
      </c>
      <c r="Q292" t="s">
        <v>159</v>
      </c>
      <c r="S292" t="s">
        <v>255</v>
      </c>
      <c r="T292" t="s">
        <v>363</v>
      </c>
      <c r="U292">
        <v>4.6007403102509145E-5</v>
      </c>
      <c r="V292" t="s">
        <v>159</v>
      </c>
    </row>
    <row r="293" spans="9:22" x14ac:dyDescent="0.45">
      <c r="I293" t="s">
        <v>170</v>
      </c>
      <c r="J293" t="s">
        <v>364</v>
      </c>
      <c r="K293">
        <v>0</v>
      </c>
      <c r="L293" t="s">
        <v>159</v>
      </c>
      <c r="N293" t="s">
        <v>213</v>
      </c>
      <c r="O293" t="s">
        <v>364</v>
      </c>
      <c r="P293">
        <v>7.5883585162239402E-6</v>
      </c>
      <c r="Q293" t="s">
        <v>159</v>
      </c>
      <c r="S293" t="s">
        <v>255</v>
      </c>
      <c r="T293" t="s">
        <v>364</v>
      </c>
      <c r="U293">
        <v>7.7108112197877556E-5</v>
      </c>
      <c r="V293" t="s">
        <v>159</v>
      </c>
    </row>
    <row r="294" spans="9:22" x14ac:dyDescent="0.45">
      <c r="I294" t="s">
        <v>170</v>
      </c>
      <c r="J294" t="s">
        <v>365</v>
      </c>
      <c r="K294">
        <v>0</v>
      </c>
      <c r="L294" t="s">
        <v>159</v>
      </c>
      <c r="N294" t="s">
        <v>213</v>
      </c>
      <c r="O294" t="s">
        <v>365</v>
      </c>
      <c r="P294">
        <v>5.695956203201142E-7</v>
      </c>
      <c r="Q294" t="s">
        <v>159</v>
      </c>
      <c r="S294" t="s">
        <v>255</v>
      </c>
      <c r="T294" t="s">
        <v>365</v>
      </c>
      <c r="U294">
        <v>1.1014503149485711E-4</v>
      </c>
      <c r="V294" t="s">
        <v>159</v>
      </c>
    </row>
    <row r="295" spans="9:22" x14ac:dyDescent="0.45">
      <c r="I295" t="s">
        <v>170</v>
      </c>
      <c r="J295" t="s">
        <v>366</v>
      </c>
      <c r="K295">
        <v>0</v>
      </c>
      <c r="L295" t="s">
        <v>159</v>
      </c>
      <c r="N295" t="s">
        <v>213</v>
      </c>
      <c r="O295" t="s">
        <v>366</v>
      </c>
      <c r="P295">
        <v>3.0840504350470634E-7</v>
      </c>
      <c r="Q295" t="s">
        <v>159</v>
      </c>
      <c r="S295" t="s">
        <v>255</v>
      </c>
      <c r="T295" t="s">
        <v>366</v>
      </c>
      <c r="U295">
        <v>1.2087461571909971E-4</v>
      </c>
      <c r="V295" t="s">
        <v>159</v>
      </c>
    </row>
    <row r="296" spans="9:22" x14ac:dyDescent="0.45">
      <c r="I296" t="s">
        <v>170</v>
      </c>
      <c r="J296" t="s">
        <v>367</v>
      </c>
      <c r="K296">
        <v>0</v>
      </c>
      <c r="L296" t="s">
        <v>159</v>
      </c>
      <c r="N296" t="s">
        <v>213</v>
      </c>
      <c r="O296" t="s">
        <v>367</v>
      </c>
      <c r="P296">
        <v>2.1556768803566831E-7</v>
      </c>
      <c r="Q296" t="s">
        <v>159</v>
      </c>
      <c r="S296" t="s">
        <v>255</v>
      </c>
      <c r="T296" t="s">
        <v>367</v>
      </c>
      <c r="U296">
        <v>1.1552141842532837E-4</v>
      </c>
      <c r="V296" t="s">
        <v>159</v>
      </c>
    </row>
    <row r="297" spans="9:22" x14ac:dyDescent="0.45">
      <c r="I297" t="s">
        <v>170</v>
      </c>
      <c r="J297" t="s">
        <v>368</v>
      </c>
      <c r="K297">
        <v>0</v>
      </c>
      <c r="L297" t="s">
        <v>159</v>
      </c>
      <c r="N297" t="s">
        <v>213</v>
      </c>
      <c r="O297" t="s">
        <v>368</v>
      </c>
      <c r="P297">
        <v>1.1447690022499028E-7</v>
      </c>
      <c r="Q297" t="s">
        <v>159</v>
      </c>
      <c r="S297" t="s">
        <v>255</v>
      </c>
      <c r="T297" t="s">
        <v>368</v>
      </c>
      <c r="U297">
        <v>1.0641508146049594E-4</v>
      </c>
      <c r="V297" t="s">
        <v>159</v>
      </c>
    </row>
    <row r="298" spans="9:22" x14ac:dyDescent="0.45">
      <c r="I298" t="s">
        <v>170</v>
      </c>
      <c r="J298" t="s">
        <v>369</v>
      </c>
      <c r="K298">
        <v>0</v>
      </c>
      <c r="L298" t="s">
        <v>159</v>
      </c>
      <c r="N298" t="s">
        <v>213</v>
      </c>
      <c r="O298" t="s">
        <v>369</v>
      </c>
      <c r="P298">
        <v>1.1809496209356333E-7</v>
      </c>
      <c r="Q298" t="s">
        <v>159</v>
      </c>
      <c r="S298" t="s">
        <v>255</v>
      </c>
      <c r="T298" t="s">
        <v>369</v>
      </c>
      <c r="U298">
        <v>8.7102503288296977E-5</v>
      </c>
      <c r="V298" t="s">
        <v>159</v>
      </c>
    </row>
    <row r="299" spans="9:22" x14ac:dyDescent="0.45">
      <c r="I299" t="s">
        <v>170</v>
      </c>
      <c r="J299" t="s">
        <v>165</v>
      </c>
      <c r="K299">
        <v>0</v>
      </c>
      <c r="L299" t="s">
        <v>159</v>
      </c>
      <c r="N299" t="s">
        <v>213</v>
      </c>
      <c r="O299" t="s">
        <v>165</v>
      </c>
      <c r="P299">
        <v>2.6935497119162283E-2</v>
      </c>
      <c r="Q299" t="s">
        <v>159</v>
      </c>
      <c r="S299" t="s">
        <v>255</v>
      </c>
      <c r="T299" t="s">
        <v>165</v>
      </c>
      <c r="U299">
        <v>2.09317203522363E-2</v>
      </c>
      <c r="V299" t="s">
        <v>159</v>
      </c>
    </row>
    <row r="300" spans="9:22" x14ac:dyDescent="0.45">
      <c r="I300" t="s">
        <v>170</v>
      </c>
      <c r="J300" t="s">
        <v>166</v>
      </c>
      <c r="K300">
        <v>4.4461970249988908E-3</v>
      </c>
      <c r="L300" t="s">
        <v>159</v>
      </c>
      <c r="N300" t="s">
        <v>213</v>
      </c>
      <c r="O300" t="s">
        <v>166</v>
      </c>
      <c r="P300">
        <v>3.8981707225308271E-3</v>
      </c>
      <c r="Q300" t="s">
        <v>159</v>
      </c>
      <c r="S300" t="s">
        <v>255</v>
      </c>
      <c r="T300" t="s">
        <v>166</v>
      </c>
      <c r="U300">
        <v>2.8394911392597513E-3</v>
      </c>
      <c r="V300" t="s">
        <v>159</v>
      </c>
    </row>
    <row r="301" spans="9:22" x14ac:dyDescent="0.45">
      <c r="I301" t="s">
        <v>170</v>
      </c>
      <c r="J301" t="s">
        <v>167</v>
      </c>
      <c r="K301">
        <v>5.6992199198817206E-2</v>
      </c>
      <c r="L301" t="s">
        <v>159</v>
      </c>
      <c r="N301" t="s">
        <v>213</v>
      </c>
      <c r="O301" t="s">
        <v>167</v>
      </c>
      <c r="P301">
        <v>5.6646489023586384E-2</v>
      </c>
      <c r="Q301" t="s">
        <v>159</v>
      </c>
      <c r="S301" t="s">
        <v>255</v>
      </c>
      <c r="T301" t="s">
        <v>167</v>
      </c>
      <c r="U301">
        <v>2.3274885261804167E-2</v>
      </c>
      <c r="V301" t="s">
        <v>159</v>
      </c>
    </row>
    <row r="302" spans="9:22" x14ac:dyDescent="0.45">
      <c r="I302" t="s">
        <v>170</v>
      </c>
      <c r="J302" t="s">
        <v>291</v>
      </c>
      <c r="K302">
        <v>4.2896018506918578E-3</v>
      </c>
      <c r="L302" t="s">
        <v>159</v>
      </c>
      <c r="N302" t="s">
        <v>213</v>
      </c>
      <c r="O302" t="s">
        <v>291</v>
      </c>
      <c r="P302">
        <v>5.5297443883648295E-3</v>
      </c>
      <c r="Q302" t="s">
        <v>159</v>
      </c>
      <c r="S302" t="s">
        <v>255</v>
      </c>
      <c r="T302" t="s">
        <v>291</v>
      </c>
      <c r="U302">
        <v>2.816578471571169E-3</v>
      </c>
      <c r="V302" t="s">
        <v>159</v>
      </c>
    </row>
    <row r="303" spans="9:22" x14ac:dyDescent="0.45">
      <c r="I303" t="s">
        <v>170</v>
      </c>
      <c r="J303" t="s">
        <v>292</v>
      </c>
      <c r="K303">
        <v>0</v>
      </c>
      <c r="L303" t="s">
        <v>159</v>
      </c>
      <c r="N303" t="s">
        <v>213</v>
      </c>
      <c r="O303" t="s">
        <v>292</v>
      </c>
      <c r="P303">
        <v>4.7979258672583023E-3</v>
      </c>
      <c r="Q303" t="s">
        <v>159</v>
      </c>
      <c r="S303" t="s">
        <v>255</v>
      </c>
      <c r="T303" t="s">
        <v>292</v>
      </c>
      <c r="U303">
        <v>2.8771353601558807E-3</v>
      </c>
      <c r="V303" t="s">
        <v>159</v>
      </c>
    </row>
    <row r="304" spans="9:22" x14ac:dyDescent="0.45">
      <c r="I304" t="s">
        <v>170</v>
      </c>
      <c r="J304" t="s">
        <v>310</v>
      </c>
      <c r="K304">
        <v>0</v>
      </c>
      <c r="L304" t="s">
        <v>159</v>
      </c>
      <c r="N304" t="s">
        <v>213</v>
      </c>
      <c r="O304" t="s">
        <v>310</v>
      </c>
      <c r="P304">
        <v>2.0609465613689846E-2</v>
      </c>
      <c r="Q304" t="s">
        <v>159</v>
      </c>
      <c r="S304" t="s">
        <v>255</v>
      </c>
      <c r="T304" t="s">
        <v>310</v>
      </c>
      <c r="U304">
        <v>1.4662082771034141E-2</v>
      </c>
      <c r="V304" t="s">
        <v>159</v>
      </c>
    </row>
    <row r="305" spans="9:22" x14ac:dyDescent="0.45">
      <c r="I305" t="s">
        <v>170</v>
      </c>
      <c r="J305" t="s">
        <v>293</v>
      </c>
      <c r="K305">
        <v>0</v>
      </c>
      <c r="L305" t="s">
        <v>159</v>
      </c>
      <c r="N305" t="s">
        <v>213</v>
      </c>
      <c r="O305" t="s">
        <v>293</v>
      </c>
      <c r="P305">
        <v>2.8057808525996019E-3</v>
      </c>
      <c r="Q305" t="s">
        <v>159</v>
      </c>
      <c r="S305" t="s">
        <v>255</v>
      </c>
      <c r="T305" t="s">
        <v>293</v>
      </c>
      <c r="U305">
        <v>5.787768894530484E-3</v>
      </c>
      <c r="V305" t="s">
        <v>159</v>
      </c>
    </row>
    <row r="306" spans="9:22" x14ac:dyDescent="0.45">
      <c r="I306" t="s">
        <v>170</v>
      </c>
      <c r="J306" t="s">
        <v>294</v>
      </c>
      <c r="K306">
        <v>1.2602813002888351E-3</v>
      </c>
      <c r="L306" t="s">
        <v>159</v>
      </c>
      <c r="N306" t="s">
        <v>213</v>
      </c>
      <c r="O306" t="s">
        <v>294</v>
      </c>
      <c r="P306">
        <v>5.2633430712123181E-4</v>
      </c>
      <c r="Q306" t="s">
        <v>159</v>
      </c>
      <c r="S306" t="s">
        <v>255</v>
      </c>
      <c r="T306" t="s">
        <v>294</v>
      </c>
      <c r="U306">
        <v>8.1438654295170514E-4</v>
      </c>
      <c r="V306" t="s">
        <v>159</v>
      </c>
    </row>
    <row r="307" spans="9:22" x14ac:dyDescent="0.45">
      <c r="I307" t="s">
        <v>170</v>
      </c>
      <c r="J307" t="s">
        <v>295</v>
      </c>
      <c r="K307">
        <v>1.4777612728543145E-2</v>
      </c>
      <c r="L307" t="s">
        <v>159</v>
      </c>
      <c r="N307" t="s">
        <v>213</v>
      </c>
      <c r="O307" t="s">
        <v>295</v>
      </c>
      <c r="P307">
        <v>8.0420185469320532E-3</v>
      </c>
      <c r="Q307" t="s">
        <v>159</v>
      </c>
      <c r="S307" t="s">
        <v>255</v>
      </c>
      <c r="T307" t="s">
        <v>295</v>
      </c>
      <c r="U307">
        <v>7.3571870439555799E-3</v>
      </c>
      <c r="V307" t="s">
        <v>159</v>
      </c>
    </row>
    <row r="308" spans="9:22" x14ac:dyDescent="0.45">
      <c r="I308" t="s">
        <v>170</v>
      </c>
      <c r="J308" t="s">
        <v>296</v>
      </c>
      <c r="K308">
        <v>1.0228070774493507E-3</v>
      </c>
      <c r="L308" t="s">
        <v>159</v>
      </c>
      <c r="N308" t="s">
        <v>213</v>
      </c>
      <c r="O308" t="s">
        <v>296</v>
      </c>
      <c r="P308">
        <v>6.8184868963544649E-4</v>
      </c>
      <c r="Q308" t="s">
        <v>159</v>
      </c>
      <c r="S308" t="s">
        <v>255</v>
      </c>
      <c r="T308" t="s">
        <v>296</v>
      </c>
      <c r="U308">
        <v>9.1053998416564549E-4</v>
      </c>
      <c r="V308" t="s">
        <v>159</v>
      </c>
    </row>
    <row r="309" spans="9:22" x14ac:dyDescent="0.45">
      <c r="I309" t="s">
        <v>170</v>
      </c>
      <c r="J309" t="s">
        <v>297</v>
      </c>
      <c r="K309">
        <v>0</v>
      </c>
      <c r="L309" t="s">
        <v>159</v>
      </c>
      <c r="N309" t="s">
        <v>213</v>
      </c>
      <c r="O309" t="s">
        <v>297</v>
      </c>
      <c r="P309">
        <v>5.9694333789405861E-4</v>
      </c>
      <c r="Q309" t="s">
        <v>159</v>
      </c>
      <c r="S309" t="s">
        <v>255</v>
      </c>
      <c r="T309" t="s">
        <v>297</v>
      </c>
      <c r="U309">
        <v>9.021696272016375E-4</v>
      </c>
      <c r="V309" t="s">
        <v>159</v>
      </c>
    </row>
    <row r="310" spans="9:22" x14ac:dyDescent="0.45">
      <c r="I310" t="s">
        <v>170</v>
      </c>
      <c r="J310" t="s">
        <v>311</v>
      </c>
      <c r="K310">
        <v>0</v>
      </c>
      <c r="L310" t="s">
        <v>159</v>
      </c>
      <c r="N310" t="s">
        <v>213</v>
      </c>
      <c r="O310" t="s">
        <v>311</v>
      </c>
      <c r="P310">
        <v>2.2860564102729995E-3</v>
      </c>
      <c r="Q310" t="s">
        <v>159</v>
      </c>
      <c r="S310" t="s">
        <v>255</v>
      </c>
      <c r="T310" t="s">
        <v>311</v>
      </c>
      <c r="U310">
        <v>4.4509350707672242E-3</v>
      </c>
      <c r="V310" t="s">
        <v>159</v>
      </c>
    </row>
    <row r="311" spans="9:22" x14ac:dyDescent="0.45">
      <c r="I311" t="s">
        <v>170</v>
      </c>
      <c r="J311" t="s">
        <v>298</v>
      </c>
      <c r="K311">
        <v>1.8081109052277826E-2</v>
      </c>
      <c r="L311" t="s">
        <v>159</v>
      </c>
      <c r="N311" t="s">
        <v>213</v>
      </c>
      <c r="O311" t="s">
        <v>298</v>
      </c>
      <c r="P311">
        <v>5.2886743934652473E-2</v>
      </c>
      <c r="Q311" t="s">
        <v>159</v>
      </c>
      <c r="S311" t="s">
        <v>255</v>
      </c>
      <c r="T311" t="s">
        <v>298</v>
      </c>
      <c r="U311">
        <v>7.9928721066269762E-2</v>
      </c>
      <c r="V311" t="s">
        <v>159</v>
      </c>
    </row>
    <row r="312" spans="9:22" x14ac:dyDescent="0.45">
      <c r="I312" t="s">
        <v>170</v>
      </c>
      <c r="J312" t="s">
        <v>299</v>
      </c>
      <c r="K312">
        <v>2.2611326352339173E-2</v>
      </c>
      <c r="L312" t="s">
        <v>159</v>
      </c>
      <c r="N312" t="s">
        <v>213</v>
      </c>
      <c r="O312" t="s">
        <v>299</v>
      </c>
      <c r="P312">
        <v>7.8801186232857513E-3</v>
      </c>
      <c r="Q312" t="s">
        <v>159</v>
      </c>
      <c r="S312" t="s">
        <v>255</v>
      </c>
      <c r="T312" t="s">
        <v>299</v>
      </c>
      <c r="U312">
        <v>1.0824981904255815E-2</v>
      </c>
      <c r="V312" t="s">
        <v>159</v>
      </c>
    </row>
    <row r="313" spans="9:22" x14ac:dyDescent="0.45">
      <c r="I313" t="s">
        <v>170</v>
      </c>
      <c r="J313" t="s">
        <v>300</v>
      </c>
      <c r="K313">
        <v>0.24448094332507364</v>
      </c>
      <c r="L313" t="s">
        <v>159</v>
      </c>
      <c r="N313" t="s">
        <v>213</v>
      </c>
      <c r="O313" t="s">
        <v>300</v>
      </c>
      <c r="P313">
        <v>0.1397348390291778</v>
      </c>
      <c r="Q313" t="s">
        <v>159</v>
      </c>
      <c r="S313" t="s">
        <v>255</v>
      </c>
      <c r="T313" t="s">
        <v>300</v>
      </c>
      <c r="U313">
        <v>9.8273313171508142E-2</v>
      </c>
      <c r="V313" t="s">
        <v>159</v>
      </c>
    </row>
    <row r="314" spans="9:22" x14ac:dyDescent="0.45">
      <c r="I314" t="s">
        <v>170</v>
      </c>
      <c r="J314" t="s">
        <v>301</v>
      </c>
      <c r="K314">
        <v>1.8040292103978856E-2</v>
      </c>
      <c r="L314" t="s">
        <v>159</v>
      </c>
      <c r="N314" t="s">
        <v>213</v>
      </c>
      <c r="O314" t="s">
        <v>301</v>
      </c>
      <c r="P314">
        <v>1.8686798522954053E-2</v>
      </c>
      <c r="Q314" t="s">
        <v>159</v>
      </c>
      <c r="S314" t="s">
        <v>255</v>
      </c>
      <c r="T314" t="s">
        <v>301</v>
      </c>
      <c r="U314">
        <v>1.2639844959864151E-2</v>
      </c>
      <c r="V314" t="s">
        <v>159</v>
      </c>
    </row>
    <row r="315" spans="9:22" x14ac:dyDescent="0.45">
      <c r="I315" t="s">
        <v>170</v>
      </c>
      <c r="J315" t="s">
        <v>302</v>
      </c>
      <c r="K315">
        <v>4.8361617496905113E-3</v>
      </c>
      <c r="L315" t="s">
        <v>159</v>
      </c>
      <c r="N315" t="s">
        <v>213</v>
      </c>
      <c r="O315" t="s">
        <v>302</v>
      </c>
      <c r="P315">
        <v>1.5204176848229372E-2</v>
      </c>
      <c r="Q315" t="s">
        <v>159</v>
      </c>
      <c r="S315" t="s">
        <v>255</v>
      </c>
      <c r="T315" t="s">
        <v>302</v>
      </c>
      <c r="U315">
        <v>1.2741259197013185E-2</v>
      </c>
      <c r="V315" t="s">
        <v>159</v>
      </c>
    </row>
    <row r="316" spans="9:22" x14ac:dyDescent="0.45">
      <c r="I316" t="s">
        <v>170</v>
      </c>
      <c r="J316" t="s">
        <v>312</v>
      </c>
      <c r="K316">
        <v>0</v>
      </c>
      <c r="L316" t="s">
        <v>159</v>
      </c>
      <c r="N316" t="s">
        <v>213</v>
      </c>
      <c r="O316" t="s">
        <v>312</v>
      </c>
      <c r="P316">
        <v>4.644133599457205E-2</v>
      </c>
      <c r="Q316" t="s">
        <v>159</v>
      </c>
      <c r="S316" t="s">
        <v>255</v>
      </c>
      <c r="T316" t="s">
        <v>312</v>
      </c>
      <c r="U316">
        <v>6.0295328187178268E-2</v>
      </c>
      <c r="V316" t="s">
        <v>159</v>
      </c>
    </row>
    <row r="317" spans="9:22" x14ac:dyDescent="0.45">
      <c r="I317" t="s">
        <v>170</v>
      </c>
      <c r="J317" t="s">
        <v>397</v>
      </c>
      <c r="K317">
        <v>0</v>
      </c>
      <c r="L317" t="s">
        <v>159</v>
      </c>
      <c r="N317" t="s">
        <v>213</v>
      </c>
      <c r="O317" t="s">
        <v>397</v>
      </c>
      <c r="P317">
        <v>4.6853959966251883E-5</v>
      </c>
      <c r="Q317" t="s">
        <v>159</v>
      </c>
      <c r="S317" t="s">
        <v>255</v>
      </c>
      <c r="T317" t="s">
        <v>397</v>
      </c>
      <c r="U317">
        <v>2.2273503050540871E-5</v>
      </c>
      <c r="V317" t="s">
        <v>159</v>
      </c>
    </row>
    <row r="318" spans="9:22" x14ac:dyDescent="0.45">
      <c r="I318" t="s">
        <v>170</v>
      </c>
      <c r="J318" t="s">
        <v>398</v>
      </c>
      <c r="K318">
        <v>0</v>
      </c>
      <c r="L318" t="s">
        <v>159</v>
      </c>
      <c r="N318" t="s">
        <v>213</v>
      </c>
      <c r="O318" t="s">
        <v>398</v>
      </c>
      <c r="P318">
        <v>4.2872511269018765E-5</v>
      </c>
      <c r="Q318" t="s">
        <v>159</v>
      </c>
      <c r="S318" t="s">
        <v>255</v>
      </c>
      <c r="T318" t="s">
        <v>398</v>
      </c>
      <c r="U318">
        <v>1.9010221596860506E-5</v>
      </c>
      <c r="V318" t="s">
        <v>159</v>
      </c>
    </row>
    <row r="319" spans="9:22" x14ac:dyDescent="0.45">
      <c r="I319" t="s">
        <v>170</v>
      </c>
      <c r="J319" t="s">
        <v>399</v>
      </c>
      <c r="K319">
        <v>0</v>
      </c>
      <c r="L319" t="s">
        <v>159</v>
      </c>
      <c r="N319" t="s">
        <v>213</v>
      </c>
      <c r="O319" t="s">
        <v>399</v>
      </c>
      <c r="P319">
        <v>3.8709938747243187E-5</v>
      </c>
      <c r="Q319" t="s">
        <v>159</v>
      </c>
      <c r="S319" t="s">
        <v>255</v>
      </c>
      <c r="T319" t="s">
        <v>399</v>
      </c>
      <c r="U319">
        <v>1.6371825849075143E-5</v>
      </c>
      <c r="V319" t="s">
        <v>159</v>
      </c>
    </row>
    <row r="320" spans="9:22" x14ac:dyDescent="0.45">
      <c r="I320" t="s">
        <v>170</v>
      </c>
      <c r="J320" t="s">
        <v>400</v>
      </c>
      <c r="K320">
        <v>0</v>
      </c>
      <c r="L320" t="s">
        <v>159</v>
      </c>
      <c r="N320" t="s">
        <v>213</v>
      </c>
      <c r="O320" t="s">
        <v>400</v>
      </c>
      <c r="P320">
        <v>3.6559091407475624E-5</v>
      </c>
      <c r="Q320" t="s">
        <v>159</v>
      </c>
      <c r="S320" t="s">
        <v>255</v>
      </c>
      <c r="T320" t="s">
        <v>400</v>
      </c>
      <c r="U320">
        <v>1.5409955630942801E-5</v>
      </c>
      <c r="V320" t="s">
        <v>159</v>
      </c>
    </row>
    <row r="321" spans="9:22" x14ac:dyDescent="0.45">
      <c r="I321" t="s">
        <v>170</v>
      </c>
      <c r="J321" t="s">
        <v>401</v>
      </c>
      <c r="K321">
        <v>0</v>
      </c>
      <c r="L321" t="s">
        <v>159</v>
      </c>
      <c r="N321" t="s">
        <v>213</v>
      </c>
      <c r="O321" t="s">
        <v>401</v>
      </c>
      <c r="P321">
        <v>3.6942767384877959E-5</v>
      </c>
      <c r="Q321" t="s">
        <v>159</v>
      </c>
      <c r="S321" t="s">
        <v>255</v>
      </c>
      <c r="T321" t="s">
        <v>401</v>
      </c>
      <c r="U321">
        <v>1.4693337848702288E-5</v>
      </c>
      <c r="V321" t="s">
        <v>159</v>
      </c>
    </row>
    <row r="322" spans="9:22" x14ac:dyDescent="0.45">
      <c r="I322" t="s">
        <v>170</v>
      </c>
      <c r="J322" t="s">
        <v>402</v>
      </c>
      <c r="K322">
        <v>0</v>
      </c>
      <c r="L322" t="s">
        <v>159</v>
      </c>
      <c r="N322" t="s">
        <v>213</v>
      </c>
      <c r="O322" t="s">
        <v>402</v>
      </c>
      <c r="P322">
        <v>3.7528722816090033E-5</v>
      </c>
      <c r="Q322" t="s">
        <v>159</v>
      </c>
      <c r="S322" t="s">
        <v>255</v>
      </c>
      <c r="T322" t="s">
        <v>402</v>
      </c>
      <c r="U322">
        <v>1.3703087494948953E-5</v>
      </c>
      <c r="V322" t="s">
        <v>159</v>
      </c>
    </row>
    <row r="323" spans="9:22" x14ac:dyDescent="0.45">
      <c r="I323" t="s">
        <v>170</v>
      </c>
      <c r="J323" t="s">
        <v>403</v>
      </c>
      <c r="K323">
        <v>1.854508404723634E-4</v>
      </c>
      <c r="L323" t="s">
        <v>159</v>
      </c>
      <c r="N323" t="s">
        <v>213</v>
      </c>
      <c r="O323" t="s">
        <v>403</v>
      </c>
      <c r="P323">
        <v>3.7246726861906237E-5</v>
      </c>
      <c r="Q323" t="s">
        <v>159</v>
      </c>
      <c r="S323" t="s">
        <v>255</v>
      </c>
      <c r="T323" t="s">
        <v>403</v>
      </c>
      <c r="U323">
        <v>1.1494254269250107E-5</v>
      </c>
      <c r="V323" t="s">
        <v>159</v>
      </c>
    </row>
    <row r="324" spans="9:22" x14ac:dyDescent="0.45">
      <c r="I324" t="s">
        <v>170</v>
      </c>
      <c r="J324" t="s">
        <v>404</v>
      </c>
      <c r="K324">
        <v>2.455708447029336E-4</v>
      </c>
      <c r="L324" t="s">
        <v>159</v>
      </c>
      <c r="N324" t="s">
        <v>213</v>
      </c>
      <c r="O324" t="s">
        <v>404</v>
      </c>
      <c r="P324">
        <v>2.8535772048245122E-5</v>
      </c>
      <c r="Q324" t="s">
        <v>159</v>
      </c>
      <c r="S324" t="s">
        <v>255</v>
      </c>
      <c r="T324" t="s">
        <v>404</v>
      </c>
      <c r="U324">
        <v>8.6494955315537867E-6</v>
      </c>
      <c r="V324" t="s">
        <v>159</v>
      </c>
    </row>
    <row r="325" spans="9:22" x14ac:dyDescent="0.45">
      <c r="I325" t="s">
        <v>170</v>
      </c>
      <c r="J325" t="s">
        <v>405</v>
      </c>
      <c r="K325">
        <v>2.766116310901959E-4</v>
      </c>
      <c r="L325" t="s">
        <v>159</v>
      </c>
      <c r="N325" t="s">
        <v>213</v>
      </c>
      <c r="O325" t="s">
        <v>405</v>
      </c>
      <c r="P325">
        <v>4.8702482964379381E-5</v>
      </c>
      <c r="Q325" t="s">
        <v>159</v>
      </c>
      <c r="S325" t="s">
        <v>255</v>
      </c>
      <c r="T325" t="s">
        <v>405</v>
      </c>
      <c r="U325">
        <v>6.4216913587149814E-6</v>
      </c>
      <c r="V325" t="s">
        <v>159</v>
      </c>
    </row>
    <row r="326" spans="9:22" x14ac:dyDescent="0.45">
      <c r="I326" t="s">
        <v>170</v>
      </c>
      <c r="J326" t="s">
        <v>406</v>
      </c>
      <c r="K326">
        <v>2.7585951636433328E-4</v>
      </c>
      <c r="L326" t="s">
        <v>159</v>
      </c>
      <c r="N326" t="s">
        <v>213</v>
      </c>
      <c r="O326" t="s">
        <v>406</v>
      </c>
      <c r="P326">
        <v>8.1622564728962268E-5</v>
      </c>
      <c r="Q326" t="s">
        <v>159</v>
      </c>
      <c r="S326" t="s">
        <v>255</v>
      </c>
      <c r="T326" t="s">
        <v>406</v>
      </c>
      <c r="U326">
        <v>4.7011511975407779E-6</v>
      </c>
      <c r="V326" t="s">
        <v>159</v>
      </c>
    </row>
    <row r="327" spans="9:22" x14ac:dyDescent="0.45">
      <c r="I327" t="s">
        <v>170</v>
      </c>
      <c r="J327" t="s">
        <v>407</v>
      </c>
      <c r="K327">
        <v>2.8049211507526022E-4</v>
      </c>
      <c r="L327" t="s">
        <v>159</v>
      </c>
      <c r="N327" t="s">
        <v>213</v>
      </c>
      <c r="O327" t="s">
        <v>407</v>
      </c>
      <c r="P327">
        <v>1.0098088586026706E-4</v>
      </c>
      <c r="Q327" t="s">
        <v>159</v>
      </c>
      <c r="S327" t="s">
        <v>255</v>
      </c>
      <c r="T327" t="s">
        <v>407</v>
      </c>
      <c r="U327">
        <v>4.1354103640461922E-6</v>
      </c>
      <c r="V327" t="s">
        <v>159</v>
      </c>
    </row>
    <row r="328" spans="9:22" x14ac:dyDescent="0.45">
      <c r="I328" t="s">
        <v>170</v>
      </c>
      <c r="J328" t="s">
        <v>408</v>
      </c>
      <c r="K328">
        <v>2.9753176371477195E-4</v>
      </c>
      <c r="L328" t="s">
        <v>159</v>
      </c>
      <c r="N328" t="s">
        <v>213</v>
      </c>
      <c r="O328" t="s">
        <v>408</v>
      </c>
      <c r="P328">
        <v>1.5968623486263601E-4</v>
      </c>
      <c r="Q328" t="s">
        <v>159</v>
      </c>
      <c r="S328" t="s">
        <v>255</v>
      </c>
      <c r="T328" t="s">
        <v>408</v>
      </c>
      <c r="U328">
        <v>3.5632011925559599E-6</v>
      </c>
      <c r="V328" t="s">
        <v>159</v>
      </c>
    </row>
    <row r="329" spans="9:22" x14ac:dyDescent="0.45">
      <c r="I329" t="s">
        <v>170</v>
      </c>
      <c r="J329" t="s">
        <v>409</v>
      </c>
      <c r="K329">
        <v>3.0919110667899539E-4</v>
      </c>
      <c r="L329" t="s">
        <v>159</v>
      </c>
      <c r="N329" t="s">
        <v>213</v>
      </c>
      <c r="O329" t="s">
        <v>409</v>
      </c>
      <c r="P329">
        <v>1.7996670483263187E-4</v>
      </c>
      <c r="Q329" t="s">
        <v>159</v>
      </c>
      <c r="S329" t="s">
        <v>255</v>
      </c>
      <c r="T329" t="s">
        <v>409</v>
      </c>
      <c r="U329">
        <v>3.9060578211151676E-6</v>
      </c>
      <c r="V329" t="s">
        <v>159</v>
      </c>
    </row>
    <row r="330" spans="9:22" x14ac:dyDescent="0.45">
      <c r="I330" t="s">
        <v>170</v>
      </c>
      <c r="J330" t="s">
        <v>410</v>
      </c>
      <c r="K330">
        <v>2.8474558316790187E-4</v>
      </c>
      <c r="L330" t="s">
        <v>159</v>
      </c>
      <c r="N330" t="s">
        <v>213</v>
      </c>
      <c r="O330" t="s">
        <v>410</v>
      </c>
      <c r="P330">
        <v>1.5127665331213336E-4</v>
      </c>
      <c r="Q330" t="s">
        <v>159</v>
      </c>
      <c r="S330" t="s">
        <v>255</v>
      </c>
      <c r="T330" t="s">
        <v>410</v>
      </c>
      <c r="U330">
        <v>5.9547586235127942E-6</v>
      </c>
      <c r="V330" t="s">
        <v>159</v>
      </c>
    </row>
    <row r="331" spans="9:22" x14ac:dyDescent="0.45">
      <c r="I331" t="s">
        <v>170</v>
      </c>
      <c r="J331" t="s">
        <v>411</v>
      </c>
      <c r="K331">
        <v>2.6995839911548382E-4</v>
      </c>
      <c r="L331" t="s">
        <v>159</v>
      </c>
      <c r="N331" t="s">
        <v>213</v>
      </c>
      <c r="O331" t="s">
        <v>411</v>
      </c>
      <c r="P331">
        <v>1.4271140553997417E-4</v>
      </c>
      <c r="Q331" t="s">
        <v>159</v>
      </c>
      <c r="S331" t="s">
        <v>255</v>
      </c>
      <c r="T331" t="s">
        <v>411</v>
      </c>
      <c r="U331">
        <v>1.0123218051096586E-5</v>
      </c>
      <c r="V331" t="s">
        <v>159</v>
      </c>
    </row>
    <row r="332" spans="9:22" x14ac:dyDescent="0.45">
      <c r="I332" t="s">
        <v>170</v>
      </c>
      <c r="J332" t="s">
        <v>412</v>
      </c>
      <c r="K332">
        <v>2.6602471656190108E-4</v>
      </c>
      <c r="L332" t="s">
        <v>159</v>
      </c>
      <c r="N332" t="s">
        <v>213</v>
      </c>
      <c r="O332" t="s">
        <v>412</v>
      </c>
      <c r="P332">
        <v>1.4406324489233497E-4</v>
      </c>
      <c r="Q332" t="s">
        <v>159</v>
      </c>
      <c r="S332" t="s">
        <v>255</v>
      </c>
      <c r="T332" t="s">
        <v>412</v>
      </c>
      <c r="U332">
        <v>1.3707239015892718E-5</v>
      </c>
      <c r="V332" t="s">
        <v>159</v>
      </c>
    </row>
    <row r="333" spans="9:22" x14ac:dyDescent="0.45">
      <c r="I333" t="s">
        <v>170</v>
      </c>
      <c r="J333" t="s">
        <v>413</v>
      </c>
      <c r="K333">
        <v>2.589653224830741E-4</v>
      </c>
      <c r="L333" t="s">
        <v>159</v>
      </c>
      <c r="N333" t="s">
        <v>213</v>
      </c>
      <c r="O333" t="s">
        <v>413</v>
      </c>
      <c r="P333">
        <v>1.2527488092640819E-4</v>
      </c>
      <c r="Q333" t="s">
        <v>159</v>
      </c>
      <c r="S333" t="s">
        <v>255</v>
      </c>
      <c r="T333" t="s">
        <v>413</v>
      </c>
      <c r="U333">
        <v>1.664279909621456E-5</v>
      </c>
      <c r="V333" t="s">
        <v>159</v>
      </c>
    </row>
    <row r="334" spans="9:22" x14ac:dyDescent="0.45">
      <c r="I334" t="s">
        <v>170</v>
      </c>
      <c r="J334" t="s">
        <v>414</v>
      </c>
      <c r="K334">
        <v>1.9829003280756431E-4</v>
      </c>
      <c r="L334" t="s">
        <v>159</v>
      </c>
      <c r="N334" t="s">
        <v>213</v>
      </c>
      <c r="O334" t="s">
        <v>414</v>
      </c>
      <c r="P334">
        <v>9.5204384004258301E-5</v>
      </c>
      <c r="Q334" t="s">
        <v>159</v>
      </c>
      <c r="S334" t="s">
        <v>255</v>
      </c>
      <c r="T334" t="s">
        <v>414</v>
      </c>
      <c r="U334">
        <v>2.2058804139332357E-5</v>
      </c>
      <c r="V334" t="s">
        <v>159</v>
      </c>
    </row>
    <row r="335" spans="9:22" x14ac:dyDescent="0.45">
      <c r="I335" t="s">
        <v>170</v>
      </c>
      <c r="J335" t="s">
        <v>415</v>
      </c>
      <c r="K335">
        <v>0</v>
      </c>
      <c r="L335" t="s">
        <v>159</v>
      </c>
      <c r="N335" t="s">
        <v>213</v>
      </c>
      <c r="O335" t="s">
        <v>415</v>
      </c>
      <c r="P335">
        <v>5.7030104494681911E-5</v>
      </c>
      <c r="Q335" t="s">
        <v>159</v>
      </c>
      <c r="S335" t="s">
        <v>255</v>
      </c>
      <c r="T335" t="s">
        <v>415</v>
      </c>
      <c r="U335">
        <v>2.6973788118490514E-5</v>
      </c>
      <c r="V335" t="s">
        <v>159</v>
      </c>
    </row>
    <row r="336" spans="9:22" x14ac:dyDescent="0.45">
      <c r="I336" t="s">
        <v>170</v>
      </c>
      <c r="J336" t="s">
        <v>416</v>
      </c>
      <c r="K336">
        <v>0</v>
      </c>
      <c r="L336" t="s">
        <v>159</v>
      </c>
      <c r="N336" t="s">
        <v>213</v>
      </c>
      <c r="O336" t="s">
        <v>416</v>
      </c>
      <c r="P336">
        <v>3.2429883642059647E-5</v>
      </c>
      <c r="Q336" t="s">
        <v>159</v>
      </c>
      <c r="S336" t="s">
        <v>255</v>
      </c>
      <c r="T336" t="s">
        <v>416</v>
      </c>
      <c r="U336">
        <v>2.5111608223326752E-5</v>
      </c>
      <c r="V336" t="s">
        <v>159</v>
      </c>
    </row>
    <row r="337" spans="9:22" x14ac:dyDescent="0.45">
      <c r="I337" t="s">
        <v>170</v>
      </c>
      <c r="J337" t="s">
        <v>417</v>
      </c>
      <c r="K337">
        <v>0</v>
      </c>
      <c r="L337" t="s">
        <v>159</v>
      </c>
      <c r="N337" t="s">
        <v>213</v>
      </c>
      <c r="O337" t="s">
        <v>417</v>
      </c>
      <c r="P337">
        <v>2.6993455095765696E-5</v>
      </c>
      <c r="Q337" t="s">
        <v>159</v>
      </c>
      <c r="S337" t="s">
        <v>255</v>
      </c>
      <c r="T337" t="s">
        <v>417</v>
      </c>
      <c r="U337">
        <v>2.2497752980203791E-5</v>
      </c>
      <c r="V337" t="s">
        <v>159</v>
      </c>
    </row>
    <row r="338" spans="9:22" x14ac:dyDescent="0.45">
      <c r="I338" t="s">
        <v>170</v>
      </c>
      <c r="J338" t="s">
        <v>418</v>
      </c>
      <c r="K338">
        <v>0</v>
      </c>
      <c r="L338" t="s">
        <v>159</v>
      </c>
      <c r="N338" t="s">
        <v>213</v>
      </c>
      <c r="O338" t="s">
        <v>418</v>
      </c>
      <c r="P338">
        <v>2.3460707478748419E-5</v>
      </c>
      <c r="Q338" t="s">
        <v>159</v>
      </c>
      <c r="S338" t="s">
        <v>255</v>
      </c>
      <c r="T338" t="s">
        <v>418</v>
      </c>
      <c r="U338">
        <v>2.3397300215881895E-5</v>
      </c>
      <c r="V338" t="s">
        <v>159</v>
      </c>
    </row>
    <row r="339" spans="9:22" x14ac:dyDescent="0.45">
      <c r="I339" t="s">
        <v>170</v>
      </c>
      <c r="J339" t="s">
        <v>419</v>
      </c>
      <c r="K339">
        <v>0</v>
      </c>
      <c r="L339" t="s">
        <v>159</v>
      </c>
      <c r="N339" t="s">
        <v>213</v>
      </c>
      <c r="O339" t="s">
        <v>419</v>
      </c>
      <c r="P339">
        <v>2.7061485805584597E-5</v>
      </c>
      <c r="Q339" t="s">
        <v>159</v>
      </c>
      <c r="S339" t="s">
        <v>255</v>
      </c>
      <c r="T339" t="s">
        <v>419</v>
      </c>
      <c r="U339">
        <v>2.696809861403818E-5</v>
      </c>
      <c r="V339" t="s">
        <v>159</v>
      </c>
    </row>
    <row r="340" spans="9:22" x14ac:dyDescent="0.45">
      <c r="I340" t="s">
        <v>170</v>
      </c>
      <c r="J340" t="s">
        <v>420</v>
      </c>
      <c r="K340">
        <v>0</v>
      </c>
      <c r="L340" t="s">
        <v>159</v>
      </c>
      <c r="N340" t="s">
        <v>213</v>
      </c>
      <c r="O340" t="s">
        <v>420</v>
      </c>
      <c r="P340">
        <v>3.4754449886837168E-5</v>
      </c>
      <c r="Q340" t="s">
        <v>159</v>
      </c>
      <c r="S340" t="s">
        <v>255</v>
      </c>
      <c r="T340" t="s">
        <v>420</v>
      </c>
      <c r="U340">
        <v>2.2474228275142765E-5</v>
      </c>
      <c r="V340" t="s">
        <v>159</v>
      </c>
    </row>
    <row r="341" spans="9:22" x14ac:dyDescent="0.45">
      <c r="I341" t="s">
        <v>170</v>
      </c>
      <c r="J341" t="s">
        <v>313</v>
      </c>
      <c r="K341">
        <v>8.9445474520382894E-3</v>
      </c>
      <c r="L341" t="s">
        <v>159</v>
      </c>
      <c r="N341" t="s">
        <v>213</v>
      </c>
      <c r="O341" t="s">
        <v>313</v>
      </c>
      <c r="P341">
        <v>9.6924174510085483E-3</v>
      </c>
      <c r="Q341" t="s">
        <v>159</v>
      </c>
      <c r="S341" t="s">
        <v>255</v>
      </c>
      <c r="T341" t="s">
        <v>313</v>
      </c>
      <c r="U341">
        <v>2.2565439824021809E-2</v>
      </c>
      <c r="V341" t="s">
        <v>159</v>
      </c>
    </row>
    <row r="342" spans="9:22" x14ac:dyDescent="0.45">
      <c r="I342" t="s">
        <v>170</v>
      </c>
      <c r="J342" t="s">
        <v>314</v>
      </c>
      <c r="K342">
        <v>7.6803160760053925E-3</v>
      </c>
      <c r="L342" t="s">
        <v>159</v>
      </c>
      <c r="N342" t="s">
        <v>213</v>
      </c>
      <c r="O342" t="s">
        <v>314</v>
      </c>
      <c r="P342">
        <v>1.517446275365398E-3</v>
      </c>
      <c r="Q342" t="s">
        <v>159</v>
      </c>
      <c r="S342" t="s">
        <v>255</v>
      </c>
      <c r="T342" t="s">
        <v>314</v>
      </c>
      <c r="U342">
        <v>2.8918234324456895E-3</v>
      </c>
      <c r="V342" t="s">
        <v>159</v>
      </c>
    </row>
    <row r="343" spans="9:22" x14ac:dyDescent="0.45">
      <c r="I343" t="s">
        <v>170</v>
      </c>
      <c r="J343" t="s">
        <v>315</v>
      </c>
      <c r="K343">
        <v>7.8055240797235956E-2</v>
      </c>
      <c r="L343" t="s">
        <v>159</v>
      </c>
      <c r="N343" t="s">
        <v>213</v>
      </c>
      <c r="O343" t="s">
        <v>315</v>
      </c>
      <c r="P343">
        <v>3.9509446945111319E-2</v>
      </c>
      <c r="Q343" t="s">
        <v>159</v>
      </c>
      <c r="S343" t="s">
        <v>255</v>
      </c>
      <c r="T343" t="s">
        <v>315</v>
      </c>
      <c r="U343">
        <v>2.8351776253143595E-2</v>
      </c>
      <c r="V343" t="s">
        <v>159</v>
      </c>
    </row>
    <row r="344" spans="9:22" x14ac:dyDescent="0.45">
      <c r="I344" t="s">
        <v>170</v>
      </c>
      <c r="J344" t="s">
        <v>316</v>
      </c>
      <c r="K344">
        <v>5.777689884293195E-3</v>
      </c>
      <c r="L344" t="s">
        <v>159</v>
      </c>
      <c r="N344" t="s">
        <v>213</v>
      </c>
      <c r="O344" t="s">
        <v>316</v>
      </c>
      <c r="P344">
        <v>8.4899861912662768E-3</v>
      </c>
      <c r="Q344" t="s">
        <v>159</v>
      </c>
      <c r="S344" t="s">
        <v>255</v>
      </c>
      <c r="T344" t="s">
        <v>316</v>
      </c>
      <c r="U344">
        <v>4.105805702803755E-3</v>
      </c>
      <c r="V344" t="s">
        <v>159</v>
      </c>
    </row>
    <row r="345" spans="9:22" x14ac:dyDescent="0.45">
      <c r="I345" t="s">
        <v>170</v>
      </c>
      <c r="J345" t="s">
        <v>317</v>
      </c>
      <c r="K345">
        <v>3.783556718321849E-3</v>
      </c>
      <c r="L345" t="s">
        <v>159</v>
      </c>
      <c r="N345" t="s">
        <v>213</v>
      </c>
      <c r="O345" t="s">
        <v>317</v>
      </c>
      <c r="P345">
        <v>6.8846949935501209E-3</v>
      </c>
      <c r="Q345" t="s">
        <v>159</v>
      </c>
      <c r="S345" t="s">
        <v>255</v>
      </c>
      <c r="T345" t="s">
        <v>317</v>
      </c>
      <c r="U345">
        <v>4.1916369377721302E-3</v>
      </c>
      <c r="V345" t="s">
        <v>159</v>
      </c>
    </row>
    <row r="346" spans="9:22" x14ac:dyDescent="0.45">
      <c r="I346" t="s">
        <v>170</v>
      </c>
      <c r="J346" t="s">
        <v>318</v>
      </c>
      <c r="K346">
        <v>0</v>
      </c>
      <c r="L346" t="s">
        <v>159</v>
      </c>
      <c r="N346" t="s">
        <v>213</v>
      </c>
      <c r="O346" t="s">
        <v>318</v>
      </c>
      <c r="P346">
        <v>1.5087603688624154E-2</v>
      </c>
      <c r="Q346" t="s">
        <v>159</v>
      </c>
      <c r="S346" t="s">
        <v>255</v>
      </c>
      <c r="T346" t="s">
        <v>318</v>
      </c>
      <c r="U346">
        <v>2.0142127340934648E-2</v>
      </c>
      <c r="V346" t="s">
        <v>159</v>
      </c>
    </row>
    <row r="347" spans="9:22" x14ac:dyDescent="0.45">
      <c r="I347" t="s">
        <v>171</v>
      </c>
      <c r="J347" t="s">
        <v>158</v>
      </c>
      <c r="K347">
        <v>1.3685207236426699E-2</v>
      </c>
      <c r="L347" t="s">
        <v>159</v>
      </c>
      <c r="N347" t="s">
        <v>214</v>
      </c>
      <c r="O347" t="s">
        <v>158</v>
      </c>
      <c r="P347">
        <v>8.6362116324702712E-2</v>
      </c>
      <c r="Q347" t="s">
        <v>159</v>
      </c>
      <c r="S347" t="s">
        <v>256</v>
      </c>
      <c r="T347" t="s">
        <v>158</v>
      </c>
      <c r="U347">
        <v>0.11440204034807704</v>
      </c>
      <c r="V347" t="s">
        <v>159</v>
      </c>
    </row>
    <row r="348" spans="9:22" x14ac:dyDescent="0.45">
      <c r="I348" t="s">
        <v>171</v>
      </c>
      <c r="J348" t="s">
        <v>160</v>
      </c>
      <c r="K348">
        <v>3.4004598863872651E-2</v>
      </c>
      <c r="L348" t="s">
        <v>159</v>
      </c>
      <c r="N348" t="s">
        <v>214</v>
      </c>
      <c r="O348" t="s">
        <v>160</v>
      </c>
      <c r="P348">
        <v>1.3751099312941982E-2</v>
      </c>
      <c r="Q348" t="s">
        <v>159</v>
      </c>
      <c r="S348" t="s">
        <v>256</v>
      </c>
      <c r="T348" t="s">
        <v>160</v>
      </c>
      <c r="U348">
        <v>1.478850138591495E-2</v>
      </c>
      <c r="V348" t="s">
        <v>159</v>
      </c>
    </row>
    <row r="349" spans="9:22" x14ac:dyDescent="0.45">
      <c r="I349" t="s">
        <v>171</v>
      </c>
      <c r="J349" t="s">
        <v>161</v>
      </c>
      <c r="K349">
        <v>0.3748467071027064</v>
      </c>
      <c r="L349" t="s">
        <v>159</v>
      </c>
      <c r="N349" t="s">
        <v>214</v>
      </c>
      <c r="O349" t="s">
        <v>161</v>
      </c>
      <c r="P349">
        <v>0.18167473667578188</v>
      </c>
      <c r="Q349" t="s">
        <v>159</v>
      </c>
      <c r="S349" t="s">
        <v>256</v>
      </c>
      <c r="T349" t="s">
        <v>161</v>
      </c>
      <c r="U349">
        <v>0.18238041072873568</v>
      </c>
      <c r="V349" t="s">
        <v>159</v>
      </c>
    </row>
    <row r="350" spans="9:22" x14ac:dyDescent="0.45">
      <c r="I350" t="s">
        <v>171</v>
      </c>
      <c r="J350" t="s">
        <v>287</v>
      </c>
      <c r="K350">
        <v>2.2789673196609826E-2</v>
      </c>
      <c r="L350" t="s">
        <v>159</v>
      </c>
      <c r="N350" t="s">
        <v>214</v>
      </c>
      <c r="O350" t="s">
        <v>287</v>
      </c>
      <c r="P350">
        <v>3.0287674188487077E-2</v>
      </c>
      <c r="Q350" t="s">
        <v>159</v>
      </c>
      <c r="S350" t="s">
        <v>256</v>
      </c>
      <c r="T350" t="s">
        <v>287</v>
      </c>
      <c r="U350">
        <v>2.9157313976083916E-2</v>
      </c>
      <c r="V350" t="s">
        <v>159</v>
      </c>
    </row>
    <row r="351" spans="9:22" x14ac:dyDescent="0.45">
      <c r="I351" t="s">
        <v>171</v>
      </c>
      <c r="J351" t="s">
        <v>288</v>
      </c>
      <c r="K351">
        <v>1.0059923917482044E-2</v>
      </c>
      <c r="L351" t="s">
        <v>159</v>
      </c>
      <c r="N351" t="s">
        <v>214</v>
      </c>
      <c r="O351" t="s">
        <v>288</v>
      </c>
      <c r="P351">
        <v>3.1870461421931021E-2</v>
      </c>
      <c r="Q351" t="s">
        <v>159</v>
      </c>
      <c r="S351" t="s">
        <v>256</v>
      </c>
      <c r="T351" t="s">
        <v>288</v>
      </c>
      <c r="U351">
        <v>2.7888171210161128E-2</v>
      </c>
      <c r="V351" t="s">
        <v>159</v>
      </c>
    </row>
    <row r="352" spans="9:22" x14ac:dyDescent="0.45">
      <c r="I352" t="s">
        <v>171</v>
      </c>
      <c r="J352" t="s">
        <v>308</v>
      </c>
      <c r="K352">
        <v>0</v>
      </c>
      <c r="L352" t="s">
        <v>159</v>
      </c>
      <c r="N352" t="s">
        <v>214</v>
      </c>
      <c r="O352" t="s">
        <v>308</v>
      </c>
      <c r="P352">
        <v>9.9619715288700242E-2</v>
      </c>
      <c r="Q352" t="s">
        <v>159</v>
      </c>
      <c r="S352" t="s">
        <v>256</v>
      </c>
      <c r="T352" t="s">
        <v>308</v>
      </c>
      <c r="U352">
        <v>0.11230362490480351</v>
      </c>
      <c r="V352" t="s">
        <v>159</v>
      </c>
    </row>
    <row r="353" spans="9:22" x14ac:dyDescent="0.45">
      <c r="I353" t="s">
        <v>171</v>
      </c>
      <c r="J353" t="s">
        <v>162</v>
      </c>
      <c r="K353">
        <v>0</v>
      </c>
      <c r="L353" t="s">
        <v>159</v>
      </c>
      <c r="N353" t="s">
        <v>214</v>
      </c>
      <c r="O353" t="s">
        <v>162</v>
      </c>
      <c r="P353">
        <v>2.1769940843937931E-2</v>
      </c>
      <c r="Q353" t="s">
        <v>159</v>
      </c>
      <c r="S353" t="s">
        <v>256</v>
      </c>
      <c r="T353" t="s">
        <v>162</v>
      </c>
      <c r="U353">
        <v>1.5907226917755257E-2</v>
      </c>
      <c r="V353" t="s">
        <v>159</v>
      </c>
    </row>
    <row r="354" spans="9:22" x14ac:dyDescent="0.45">
      <c r="I354" t="s">
        <v>171</v>
      </c>
      <c r="J354" t="s">
        <v>163</v>
      </c>
      <c r="K354">
        <v>3.5769464429563302E-3</v>
      </c>
      <c r="L354" t="s">
        <v>159</v>
      </c>
      <c r="N354" t="s">
        <v>214</v>
      </c>
      <c r="O354" t="s">
        <v>163</v>
      </c>
      <c r="P354">
        <v>3.3631876613444919E-3</v>
      </c>
      <c r="Q354" t="s">
        <v>159</v>
      </c>
      <c r="S354" t="s">
        <v>256</v>
      </c>
      <c r="T354" t="s">
        <v>163</v>
      </c>
      <c r="U354">
        <v>2.2092924882849418E-3</v>
      </c>
      <c r="V354" t="s">
        <v>159</v>
      </c>
    </row>
    <row r="355" spans="9:22" x14ac:dyDescent="0.45">
      <c r="I355" t="s">
        <v>171</v>
      </c>
      <c r="J355" t="s">
        <v>164</v>
      </c>
      <c r="K355">
        <v>4.4736054809479543E-2</v>
      </c>
      <c r="L355" t="s">
        <v>159</v>
      </c>
      <c r="N355" t="s">
        <v>214</v>
      </c>
      <c r="O355" t="s">
        <v>164</v>
      </c>
      <c r="P355">
        <v>4.0428216098786204E-2</v>
      </c>
      <c r="Q355" t="s">
        <v>159</v>
      </c>
      <c r="S355" t="s">
        <v>256</v>
      </c>
      <c r="T355" t="s">
        <v>164</v>
      </c>
      <c r="U355">
        <v>1.9380637414607039E-2</v>
      </c>
      <c r="V355" t="s">
        <v>159</v>
      </c>
    </row>
    <row r="356" spans="9:22" x14ac:dyDescent="0.45">
      <c r="I356" t="s">
        <v>171</v>
      </c>
      <c r="J356" t="s">
        <v>289</v>
      </c>
      <c r="K356">
        <v>1.1902463822709222E-3</v>
      </c>
      <c r="L356" t="s">
        <v>159</v>
      </c>
      <c r="N356" t="s">
        <v>214</v>
      </c>
      <c r="O356" t="s">
        <v>289</v>
      </c>
      <c r="P356">
        <v>3.9812974151122883E-3</v>
      </c>
      <c r="Q356" t="s">
        <v>159</v>
      </c>
      <c r="S356" t="s">
        <v>256</v>
      </c>
      <c r="T356" t="s">
        <v>289</v>
      </c>
      <c r="U356">
        <v>2.6812968025133454E-3</v>
      </c>
      <c r="V356" t="s">
        <v>159</v>
      </c>
    </row>
    <row r="357" spans="9:22" x14ac:dyDescent="0.45">
      <c r="I357" t="s">
        <v>171</v>
      </c>
      <c r="J357" t="s">
        <v>290</v>
      </c>
      <c r="K357">
        <v>0</v>
      </c>
      <c r="L357" t="s">
        <v>159</v>
      </c>
      <c r="N357" t="s">
        <v>214</v>
      </c>
      <c r="O357" t="s">
        <v>290</v>
      </c>
      <c r="P357">
        <v>3.8136129101979574E-3</v>
      </c>
      <c r="Q357" t="s">
        <v>159</v>
      </c>
      <c r="S357" t="s">
        <v>256</v>
      </c>
      <c r="T357" t="s">
        <v>290</v>
      </c>
      <c r="U357">
        <v>2.5838180698389075E-3</v>
      </c>
      <c r="V357" t="s">
        <v>159</v>
      </c>
    </row>
    <row r="358" spans="9:22" x14ac:dyDescent="0.45">
      <c r="I358" t="s">
        <v>171</v>
      </c>
      <c r="J358" t="s">
        <v>309</v>
      </c>
      <c r="K358">
        <v>0</v>
      </c>
      <c r="L358" t="s">
        <v>159</v>
      </c>
      <c r="N358" t="s">
        <v>214</v>
      </c>
      <c r="O358" t="s">
        <v>309</v>
      </c>
      <c r="P358">
        <v>1.7382349770942978E-2</v>
      </c>
      <c r="Q358" t="s">
        <v>159</v>
      </c>
      <c r="S358" t="s">
        <v>256</v>
      </c>
      <c r="T358" t="s">
        <v>309</v>
      </c>
      <c r="U358">
        <v>1.172034319864698E-2</v>
      </c>
      <c r="V358" t="s">
        <v>159</v>
      </c>
    </row>
    <row r="359" spans="9:22" x14ac:dyDescent="0.45">
      <c r="I359" t="s">
        <v>171</v>
      </c>
      <c r="J359" t="s">
        <v>346</v>
      </c>
      <c r="K359">
        <v>0</v>
      </c>
      <c r="L359" t="s">
        <v>159</v>
      </c>
      <c r="N359" t="s">
        <v>214</v>
      </c>
      <c r="O359" t="s">
        <v>346</v>
      </c>
      <c r="P359">
        <v>2.2643758994930992E-5</v>
      </c>
      <c r="Q359" t="s">
        <v>159</v>
      </c>
      <c r="S359" t="s">
        <v>256</v>
      </c>
      <c r="T359" t="s">
        <v>346</v>
      </c>
      <c r="U359">
        <v>6.2581230438192497E-5</v>
      </c>
      <c r="V359" t="s">
        <v>159</v>
      </c>
    </row>
    <row r="360" spans="9:22" x14ac:dyDescent="0.45">
      <c r="I360" t="s">
        <v>171</v>
      </c>
      <c r="J360" t="s">
        <v>347</v>
      </c>
      <c r="K360">
        <v>0</v>
      </c>
      <c r="L360" t="s">
        <v>159</v>
      </c>
      <c r="N360" t="s">
        <v>214</v>
      </c>
      <c r="O360" t="s">
        <v>347</v>
      </c>
      <c r="P360">
        <v>1.4541642255236107E-5</v>
      </c>
      <c r="Q360" t="s">
        <v>159</v>
      </c>
      <c r="S360" t="s">
        <v>256</v>
      </c>
      <c r="T360" t="s">
        <v>347</v>
      </c>
      <c r="U360">
        <v>5.7998391415141824E-5</v>
      </c>
      <c r="V360" t="s">
        <v>159</v>
      </c>
    </row>
    <row r="361" spans="9:22" x14ac:dyDescent="0.45">
      <c r="I361" t="s">
        <v>171</v>
      </c>
      <c r="J361" t="s">
        <v>348</v>
      </c>
      <c r="K361">
        <v>0</v>
      </c>
      <c r="L361" t="s">
        <v>159</v>
      </c>
      <c r="N361" t="s">
        <v>214</v>
      </c>
      <c r="O361" t="s">
        <v>348</v>
      </c>
      <c r="P361">
        <v>1.1261421791660939E-5</v>
      </c>
      <c r="Q361" t="s">
        <v>159</v>
      </c>
      <c r="S361" t="s">
        <v>256</v>
      </c>
      <c r="T361" t="s">
        <v>348</v>
      </c>
      <c r="U361">
        <v>4.5394460093398851E-5</v>
      </c>
      <c r="V361" t="s">
        <v>159</v>
      </c>
    </row>
    <row r="362" spans="9:22" x14ac:dyDescent="0.45">
      <c r="I362" t="s">
        <v>171</v>
      </c>
      <c r="J362" t="s">
        <v>349</v>
      </c>
      <c r="K362">
        <v>0</v>
      </c>
      <c r="L362" t="s">
        <v>159</v>
      </c>
      <c r="N362" t="s">
        <v>214</v>
      </c>
      <c r="O362" t="s">
        <v>349</v>
      </c>
      <c r="P362">
        <v>9.3188560869274638E-6</v>
      </c>
      <c r="Q362" t="s">
        <v>159</v>
      </c>
      <c r="S362" t="s">
        <v>256</v>
      </c>
      <c r="T362" t="s">
        <v>349</v>
      </c>
      <c r="U362">
        <v>3.246838318145653E-5</v>
      </c>
      <c r="V362" t="s">
        <v>159</v>
      </c>
    </row>
    <row r="363" spans="9:22" x14ac:dyDescent="0.45">
      <c r="I363" t="s">
        <v>171</v>
      </c>
      <c r="J363" t="s">
        <v>350</v>
      </c>
      <c r="K363">
        <v>0</v>
      </c>
      <c r="L363" t="s">
        <v>159</v>
      </c>
      <c r="N363" t="s">
        <v>214</v>
      </c>
      <c r="O363" t="s">
        <v>350</v>
      </c>
      <c r="P363">
        <v>1.648160916983722E-5</v>
      </c>
      <c r="Q363" t="s">
        <v>159</v>
      </c>
      <c r="S363" t="s">
        <v>256</v>
      </c>
      <c r="T363" t="s">
        <v>350</v>
      </c>
      <c r="U363">
        <v>2.0074952897639898E-5</v>
      </c>
      <c r="V363" t="s">
        <v>159</v>
      </c>
    </row>
    <row r="364" spans="9:22" x14ac:dyDescent="0.45">
      <c r="I364" t="s">
        <v>171</v>
      </c>
      <c r="J364" t="s">
        <v>351</v>
      </c>
      <c r="K364">
        <v>0</v>
      </c>
      <c r="L364" t="s">
        <v>159</v>
      </c>
      <c r="N364" t="s">
        <v>214</v>
      </c>
      <c r="O364" t="s">
        <v>351</v>
      </c>
      <c r="P364">
        <v>2.5311141705294324E-5</v>
      </c>
      <c r="Q364" t="s">
        <v>159</v>
      </c>
      <c r="S364" t="s">
        <v>256</v>
      </c>
      <c r="T364" t="s">
        <v>351</v>
      </c>
      <c r="U364">
        <v>2.2828561551138061E-5</v>
      </c>
      <c r="V364" t="s">
        <v>159</v>
      </c>
    </row>
    <row r="365" spans="9:22" x14ac:dyDescent="0.45">
      <c r="I365" t="s">
        <v>171</v>
      </c>
      <c r="J365" t="s">
        <v>352</v>
      </c>
      <c r="K365">
        <v>0</v>
      </c>
      <c r="L365" t="s">
        <v>159</v>
      </c>
      <c r="N365" t="s">
        <v>214</v>
      </c>
      <c r="O365" t="s">
        <v>352</v>
      </c>
      <c r="P365">
        <v>3.3703709246404505E-5</v>
      </c>
      <c r="Q365" t="s">
        <v>159</v>
      </c>
      <c r="S365" t="s">
        <v>256</v>
      </c>
      <c r="T365" t="s">
        <v>352</v>
      </c>
      <c r="U365">
        <v>3.7648863837267732E-5</v>
      </c>
      <c r="V365" t="s">
        <v>159</v>
      </c>
    </row>
    <row r="366" spans="9:22" x14ac:dyDescent="0.45">
      <c r="I366" t="s">
        <v>171</v>
      </c>
      <c r="J366" t="s">
        <v>353</v>
      </c>
      <c r="K366">
        <v>1.2580777069937378E-4</v>
      </c>
      <c r="L366" t="s">
        <v>159</v>
      </c>
      <c r="N366" t="s">
        <v>214</v>
      </c>
      <c r="O366" t="s">
        <v>353</v>
      </c>
      <c r="P366">
        <v>3.8542266131301741E-5</v>
      </c>
      <c r="Q366" t="s">
        <v>159</v>
      </c>
      <c r="S366" t="s">
        <v>256</v>
      </c>
      <c r="T366" t="s">
        <v>353</v>
      </c>
      <c r="U366">
        <v>4.2474065245201935E-5</v>
      </c>
      <c r="V366" t="s">
        <v>159</v>
      </c>
    </row>
    <row r="367" spans="9:22" x14ac:dyDescent="0.45">
      <c r="I367" t="s">
        <v>171</v>
      </c>
      <c r="J367" t="s">
        <v>354</v>
      </c>
      <c r="K367">
        <v>1.6843229913349384E-4</v>
      </c>
      <c r="L367" t="s">
        <v>159</v>
      </c>
      <c r="N367" t="s">
        <v>214</v>
      </c>
      <c r="O367" t="s">
        <v>354</v>
      </c>
      <c r="P367">
        <v>3.7582049298003492E-5</v>
      </c>
      <c r="Q367" t="s">
        <v>159</v>
      </c>
      <c r="S367" t="s">
        <v>256</v>
      </c>
      <c r="T367" t="s">
        <v>354</v>
      </c>
      <c r="U367">
        <v>4.1514268919264782E-5</v>
      </c>
      <c r="V367" t="s">
        <v>159</v>
      </c>
    </row>
    <row r="368" spans="9:22" x14ac:dyDescent="0.45">
      <c r="I368" t="s">
        <v>171</v>
      </c>
      <c r="J368" t="s">
        <v>355</v>
      </c>
      <c r="K368">
        <v>1.6905999983473597E-4</v>
      </c>
      <c r="L368" t="s">
        <v>159</v>
      </c>
      <c r="N368" t="s">
        <v>214</v>
      </c>
      <c r="O368" t="s">
        <v>355</v>
      </c>
      <c r="P368">
        <v>2.1827034007344544E-5</v>
      </c>
      <c r="Q368" t="s">
        <v>159</v>
      </c>
      <c r="S368" t="s">
        <v>256</v>
      </c>
      <c r="T368" t="s">
        <v>355</v>
      </c>
      <c r="U368">
        <v>3.3839442796945953E-5</v>
      </c>
      <c r="V368" t="s">
        <v>159</v>
      </c>
    </row>
    <row r="369" spans="9:22" x14ac:dyDescent="0.45">
      <c r="I369" t="s">
        <v>171</v>
      </c>
      <c r="J369" t="s">
        <v>356</v>
      </c>
      <c r="K369">
        <v>1.6672164978646638E-4</v>
      </c>
      <c r="L369" t="s">
        <v>159</v>
      </c>
      <c r="N369" t="s">
        <v>214</v>
      </c>
      <c r="O369" t="s">
        <v>356</v>
      </c>
      <c r="P369">
        <v>1.3795535529680467E-5</v>
      </c>
      <c r="Q369" t="s">
        <v>159</v>
      </c>
      <c r="S369" t="s">
        <v>256</v>
      </c>
      <c r="T369" t="s">
        <v>356</v>
      </c>
      <c r="U369">
        <v>3.2989407735026588E-5</v>
      </c>
      <c r="V369" t="s">
        <v>159</v>
      </c>
    </row>
    <row r="370" spans="9:22" x14ac:dyDescent="0.45">
      <c r="I370" t="s">
        <v>171</v>
      </c>
      <c r="J370" t="s">
        <v>357</v>
      </c>
      <c r="K370">
        <v>1.8818645311634787E-4</v>
      </c>
      <c r="L370" t="s">
        <v>159</v>
      </c>
      <c r="N370" t="s">
        <v>214</v>
      </c>
      <c r="O370" t="s">
        <v>357</v>
      </c>
      <c r="P370">
        <v>2.0811566749726483E-5</v>
      </c>
      <c r="Q370" t="s">
        <v>159</v>
      </c>
      <c r="S370" t="s">
        <v>256</v>
      </c>
      <c r="T370" t="s">
        <v>357</v>
      </c>
      <c r="U370">
        <v>5.1168240139243921E-5</v>
      </c>
      <c r="V370" t="s">
        <v>159</v>
      </c>
    </row>
    <row r="371" spans="9:22" x14ac:dyDescent="0.45">
      <c r="I371" t="s">
        <v>171</v>
      </c>
      <c r="J371" t="s">
        <v>358</v>
      </c>
      <c r="K371">
        <v>2.2330009849403103E-4</v>
      </c>
      <c r="L371" t="s">
        <v>159</v>
      </c>
      <c r="N371" t="s">
        <v>214</v>
      </c>
      <c r="O371" t="s">
        <v>358</v>
      </c>
      <c r="P371">
        <v>2.1229260482470835E-5</v>
      </c>
      <c r="Q371" t="s">
        <v>159</v>
      </c>
      <c r="S371" t="s">
        <v>256</v>
      </c>
      <c r="T371" t="s">
        <v>358</v>
      </c>
      <c r="U371">
        <v>7.5730812964930084E-5</v>
      </c>
      <c r="V371" t="s">
        <v>159</v>
      </c>
    </row>
    <row r="372" spans="9:22" x14ac:dyDescent="0.45">
      <c r="I372" t="s">
        <v>171</v>
      </c>
      <c r="J372" t="s">
        <v>359</v>
      </c>
      <c r="K372">
        <v>1.8085020372301684E-4</v>
      </c>
      <c r="L372" t="s">
        <v>159</v>
      </c>
      <c r="N372" t="s">
        <v>214</v>
      </c>
      <c r="O372" t="s">
        <v>359</v>
      </c>
      <c r="P372">
        <v>1.6302665065026279E-5</v>
      </c>
      <c r="Q372" t="s">
        <v>159</v>
      </c>
      <c r="S372" t="s">
        <v>256</v>
      </c>
      <c r="T372" t="s">
        <v>359</v>
      </c>
      <c r="U372">
        <v>9.3709179917465875E-5</v>
      </c>
      <c r="V372" t="s">
        <v>159</v>
      </c>
    </row>
    <row r="373" spans="9:22" x14ac:dyDescent="0.45">
      <c r="I373" t="s">
        <v>171</v>
      </c>
      <c r="J373" t="s">
        <v>360</v>
      </c>
      <c r="K373">
        <v>1.6008442088342434E-4</v>
      </c>
      <c r="L373" t="s">
        <v>159</v>
      </c>
      <c r="N373" t="s">
        <v>214</v>
      </c>
      <c r="O373" t="s">
        <v>360</v>
      </c>
      <c r="P373">
        <v>1.1340113335720667E-5</v>
      </c>
      <c r="Q373" t="s">
        <v>159</v>
      </c>
      <c r="S373" t="s">
        <v>256</v>
      </c>
      <c r="T373" t="s">
        <v>360</v>
      </c>
      <c r="U373">
        <v>1.1609062519591389E-4</v>
      </c>
      <c r="V373" t="s">
        <v>159</v>
      </c>
    </row>
    <row r="374" spans="9:22" x14ac:dyDescent="0.45">
      <c r="I374" t="s">
        <v>171</v>
      </c>
      <c r="J374" t="s">
        <v>361</v>
      </c>
      <c r="K374">
        <v>1.640821318137759E-4</v>
      </c>
      <c r="L374" t="s">
        <v>159</v>
      </c>
      <c r="N374" t="s">
        <v>214</v>
      </c>
      <c r="O374" t="s">
        <v>361</v>
      </c>
      <c r="P374">
        <v>9.4241076585442735E-6</v>
      </c>
      <c r="Q374" t="s">
        <v>159</v>
      </c>
      <c r="S374" t="s">
        <v>256</v>
      </c>
      <c r="T374" t="s">
        <v>361</v>
      </c>
      <c r="U374">
        <v>1.3945218629536049E-4</v>
      </c>
      <c r="V374" t="s">
        <v>159</v>
      </c>
    </row>
    <row r="375" spans="9:22" x14ac:dyDescent="0.45">
      <c r="I375" t="s">
        <v>171</v>
      </c>
      <c r="J375" t="s">
        <v>362</v>
      </c>
      <c r="K375">
        <v>1.5322546650707402E-4</v>
      </c>
      <c r="L375" t="s">
        <v>159</v>
      </c>
      <c r="N375" t="s">
        <v>214</v>
      </c>
      <c r="O375" t="s">
        <v>362</v>
      </c>
      <c r="P375">
        <v>2.2678104881707562E-5</v>
      </c>
      <c r="Q375" t="s">
        <v>159</v>
      </c>
      <c r="S375" t="s">
        <v>256</v>
      </c>
      <c r="T375" t="s">
        <v>362</v>
      </c>
      <c r="U375">
        <v>1.5892626870507063E-4</v>
      </c>
      <c r="V375" t="s">
        <v>159</v>
      </c>
    </row>
    <row r="376" spans="9:22" x14ac:dyDescent="0.45">
      <c r="I376" t="s">
        <v>171</v>
      </c>
      <c r="J376" t="s">
        <v>363</v>
      </c>
      <c r="K376">
        <v>2.5476951146385301E-5</v>
      </c>
      <c r="L376" t="s">
        <v>159</v>
      </c>
      <c r="N376" t="s">
        <v>214</v>
      </c>
      <c r="O376" t="s">
        <v>363</v>
      </c>
      <c r="P376">
        <v>4.8075727315616658E-5</v>
      </c>
      <c r="Q376" t="s">
        <v>159</v>
      </c>
      <c r="S376" t="s">
        <v>256</v>
      </c>
      <c r="T376" t="s">
        <v>363</v>
      </c>
      <c r="U376">
        <v>1.6475126718483367E-4</v>
      </c>
      <c r="V376" t="s">
        <v>159</v>
      </c>
    </row>
    <row r="377" spans="9:22" x14ac:dyDescent="0.45">
      <c r="I377" t="s">
        <v>171</v>
      </c>
      <c r="J377" t="s">
        <v>364</v>
      </c>
      <c r="K377">
        <v>0</v>
      </c>
      <c r="L377" t="s">
        <v>159</v>
      </c>
      <c r="N377" t="s">
        <v>214</v>
      </c>
      <c r="O377" t="s">
        <v>364</v>
      </c>
      <c r="P377">
        <v>4.8513337656942528E-5</v>
      </c>
      <c r="Q377" t="s">
        <v>159</v>
      </c>
      <c r="S377" t="s">
        <v>256</v>
      </c>
      <c r="T377" t="s">
        <v>364</v>
      </c>
      <c r="U377">
        <v>1.6205043023385723E-4</v>
      </c>
      <c r="V377" t="s">
        <v>159</v>
      </c>
    </row>
    <row r="378" spans="9:22" x14ac:dyDescent="0.45">
      <c r="I378" t="s">
        <v>171</v>
      </c>
      <c r="J378" t="s">
        <v>365</v>
      </c>
      <c r="K378">
        <v>0</v>
      </c>
      <c r="L378" t="s">
        <v>159</v>
      </c>
      <c r="N378" t="s">
        <v>214</v>
      </c>
      <c r="O378" t="s">
        <v>365</v>
      </c>
      <c r="P378">
        <v>3.4267324588326299E-5</v>
      </c>
      <c r="Q378" t="s">
        <v>159</v>
      </c>
      <c r="S378" t="s">
        <v>256</v>
      </c>
      <c r="T378" t="s">
        <v>365</v>
      </c>
      <c r="U378">
        <v>1.6201287787119729E-4</v>
      </c>
      <c r="V378" t="s">
        <v>159</v>
      </c>
    </row>
    <row r="379" spans="9:22" x14ac:dyDescent="0.45">
      <c r="I379" t="s">
        <v>171</v>
      </c>
      <c r="J379" t="s">
        <v>366</v>
      </c>
      <c r="K379">
        <v>0</v>
      </c>
      <c r="L379" t="s">
        <v>159</v>
      </c>
      <c r="N379" t="s">
        <v>214</v>
      </c>
      <c r="O379" t="s">
        <v>366</v>
      </c>
      <c r="P379">
        <v>2.5181610766475418E-5</v>
      </c>
      <c r="Q379" t="s">
        <v>159</v>
      </c>
      <c r="S379" t="s">
        <v>256</v>
      </c>
      <c r="T379" t="s">
        <v>366</v>
      </c>
      <c r="U379">
        <v>1.6772268138881243E-4</v>
      </c>
      <c r="V379" t="s">
        <v>159</v>
      </c>
    </row>
    <row r="380" spans="9:22" x14ac:dyDescent="0.45">
      <c r="I380" t="s">
        <v>171</v>
      </c>
      <c r="J380" t="s">
        <v>367</v>
      </c>
      <c r="K380">
        <v>0</v>
      </c>
      <c r="L380" t="s">
        <v>159</v>
      </c>
      <c r="N380" t="s">
        <v>214</v>
      </c>
      <c r="O380" t="s">
        <v>367</v>
      </c>
      <c r="P380">
        <v>2.1074777152305168E-5</v>
      </c>
      <c r="Q380" t="s">
        <v>159</v>
      </c>
      <c r="S380" t="s">
        <v>256</v>
      </c>
      <c r="T380" t="s">
        <v>367</v>
      </c>
      <c r="U380">
        <v>1.8475913212923247E-4</v>
      </c>
      <c r="V380" t="s">
        <v>159</v>
      </c>
    </row>
    <row r="381" spans="9:22" x14ac:dyDescent="0.45">
      <c r="I381" t="s">
        <v>171</v>
      </c>
      <c r="J381" t="s">
        <v>368</v>
      </c>
      <c r="K381">
        <v>0</v>
      </c>
      <c r="L381" t="s">
        <v>159</v>
      </c>
      <c r="N381" t="s">
        <v>214</v>
      </c>
      <c r="O381" t="s">
        <v>368</v>
      </c>
      <c r="P381">
        <v>1.7824592742159593E-5</v>
      </c>
      <c r="Q381" t="s">
        <v>159</v>
      </c>
      <c r="S381" t="s">
        <v>256</v>
      </c>
      <c r="T381" t="s">
        <v>368</v>
      </c>
      <c r="U381">
        <v>1.9195943388920436E-4</v>
      </c>
      <c r="V381" t="s">
        <v>159</v>
      </c>
    </row>
    <row r="382" spans="9:22" x14ac:dyDescent="0.45">
      <c r="I382" t="s">
        <v>171</v>
      </c>
      <c r="J382" t="s">
        <v>369</v>
      </c>
      <c r="K382">
        <v>0</v>
      </c>
      <c r="L382" t="s">
        <v>159</v>
      </c>
      <c r="N382" t="s">
        <v>214</v>
      </c>
      <c r="O382" t="s">
        <v>369</v>
      </c>
      <c r="P382">
        <v>1.3843511927272287E-5</v>
      </c>
      <c r="Q382" t="s">
        <v>159</v>
      </c>
      <c r="S382" t="s">
        <v>256</v>
      </c>
      <c r="T382" t="s">
        <v>369</v>
      </c>
      <c r="U382">
        <v>1.7740314983283271E-4</v>
      </c>
      <c r="V382" t="s">
        <v>159</v>
      </c>
    </row>
    <row r="383" spans="9:22" x14ac:dyDescent="0.45">
      <c r="I383" t="s">
        <v>171</v>
      </c>
      <c r="J383" t="s">
        <v>165</v>
      </c>
      <c r="K383">
        <v>0</v>
      </c>
      <c r="L383" t="s">
        <v>159</v>
      </c>
      <c r="N383" t="s">
        <v>214</v>
      </c>
      <c r="O383" t="s">
        <v>165</v>
      </c>
      <c r="P383">
        <v>3.3680602055758069E-2</v>
      </c>
      <c r="Q383" t="s">
        <v>159</v>
      </c>
      <c r="S383" t="s">
        <v>256</v>
      </c>
      <c r="T383" t="s">
        <v>165</v>
      </c>
      <c r="U383">
        <v>2.2118690589617605E-2</v>
      </c>
      <c r="V383" t="s">
        <v>159</v>
      </c>
    </row>
    <row r="384" spans="9:22" x14ac:dyDescent="0.45">
      <c r="I384" t="s">
        <v>171</v>
      </c>
      <c r="J384" t="s">
        <v>166</v>
      </c>
      <c r="K384">
        <v>4.535883829365454E-3</v>
      </c>
      <c r="L384" t="s">
        <v>159</v>
      </c>
      <c r="N384" t="s">
        <v>214</v>
      </c>
      <c r="O384" t="s">
        <v>166</v>
      </c>
      <c r="P384">
        <v>5.2360333410625681E-3</v>
      </c>
      <c r="Q384" t="s">
        <v>159</v>
      </c>
      <c r="S384" t="s">
        <v>256</v>
      </c>
      <c r="T384" t="s">
        <v>166</v>
      </c>
      <c r="U384">
        <v>3.4067185055163046E-3</v>
      </c>
      <c r="V384" t="s">
        <v>159</v>
      </c>
    </row>
    <row r="385" spans="9:22" x14ac:dyDescent="0.45">
      <c r="I385" t="s">
        <v>171</v>
      </c>
      <c r="J385" t="s">
        <v>167</v>
      </c>
      <c r="K385">
        <v>5.9727492393923769E-2</v>
      </c>
      <c r="L385" t="s">
        <v>159</v>
      </c>
      <c r="N385" t="s">
        <v>214</v>
      </c>
      <c r="O385" t="s">
        <v>167</v>
      </c>
      <c r="P385">
        <v>5.708321628045579E-2</v>
      </c>
      <c r="Q385" t="s">
        <v>159</v>
      </c>
      <c r="S385" t="s">
        <v>256</v>
      </c>
      <c r="T385" t="s">
        <v>167</v>
      </c>
      <c r="U385">
        <v>2.8878210144300333E-2</v>
      </c>
      <c r="V385" t="s">
        <v>159</v>
      </c>
    </row>
    <row r="386" spans="9:22" x14ac:dyDescent="0.45">
      <c r="I386" t="s">
        <v>171</v>
      </c>
      <c r="J386" t="s">
        <v>291</v>
      </c>
      <c r="K386">
        <v>4.271555600000353E-3</v>
      </c>
      <c r="L386" t="s">
        <v>159</v>
      </c>
      <c r="N386" t="s">
        <v>214</v>
      </c>
      <c r="O386" t="s">
        <v>291</v>
      </c>
      <c r="P386">
        <v>5.0375694411131751E-3</v>
      </c>
      <c r="Q386" t="s">
        <v>159</v>
      </c>
      <c r="S386" t="s">
        <v>256</v>
      </c>
      <c r="T386" t="s">
        <v>291</v>
      </c>
      <c r="U386">
        <v>3.498539509690517E-3</v>
      </c>
      <c r="V386" t="s">
        <v>159</v>
      </c>
    </row>
    <row r="387" spans="9:22" x14ac:dyDescent="0.45">
      <c r="I387" t="s">
        <v>171</v>
      </c>
      <c r="J387" t="s">
        <v>292</v>
      </c>
      <c r="K387">
        <v>0</v>
      </c>
      <c r="L387" t="s">
        <v>159</v>
      </c>
      <c r="N387" t="s">
        <v>214</v>
      </c>
      <c r="O387" t="s">
        <v>292</v>
      </c>
      <c r="P387">
        <v>4.6642067754563612E-3</v>
      </c>
      <c r="Q387" t="s">
        <v>159</v>
      </c>
      <c r="S387" t="s">
        <v>256</v>
      </c>
      <c r="T387" t="s">
        <v>292</v>
      </c>
      <c r="U387">
        <v>3.5488082517445467E-3</v>
      </c>
      <c r="V387" t="s">
        <v>159</v>
      </c>
    </row>
    <row r="388" spans="9:22" x14ac:dyDescent="0.45">
      <c r="I388" t="s">
        <v>171</v>
      </c>
      <c r="J388" t="s">
        <v>310</v>
      </c>
      <c r="K388">
        <v>0</v>
      </c>
      <c r="L388" t="s">
        <v>159</v>
      </c>
      <c r="N388" t="s">
        <v>214</v>
      </c>
      <c r="O388" t="s">
        <v>310</v>
      </c>
      <c r="P388">
        <v>2.2849473153729739E-2</v>
      </c>
      <c r="Q388" t="s">
        <v>159</v>
      </c>
      <c r="S388" t="s">
        <v>256</v>
      </c>
      <c r="T388" t="s">
        <v>310</v>
      </c>
      <c r="U388">
        <v>1.6430672558941407E-2</v>
      </c>
      <c r="V388" t="s">
        <v>159</v>
      </c>
    </row>
    <row r="389" spans="9:22" x14ac:dyDescent="0.45">
      <c r="I389" t="s">
        <v>171</v>
      </c>
      <c r="J389" t="s">
        <v>293</v>
      </c>
      <c r="K389">
        <v>0</v>
      </c>
      <c r="L389" t="s">
        <v>159</v>
      </c>
      <c r="N389" t="s">
        <v>214</v>
      </c>
      <c r="O389" t="s">
        <v>293</v>
      </c>
      <c r="P389">
        <v>4.0999130480117094E-3</v>
      </c>
      <c r="Q389" t="s">
        <v>159</v>
      </c>
      <c r="S389" t="s">
        <v>256</v>
      </c>
      <c r="T389" t="s">
        <v>293</v>
      </c>
      <c r="U389">
        <v>4.6141145457371099E-3</v>
      </c>
      <c r="V389" t="s">
        <v>159</v>
      </c>
    </row>
    <row r="390" spans="9:22" x14ac:dyDescent="0.45">
      <c r="I390" t="s">
        <v>171</v>
      </c>
      <c r="J390" t="s">
        <v>294</v>
      </c>
      <c r="K390">
        <v>1.2079812986022826E-3</v>
      </c>
      <c r="L390" t="s">
        <v>159</v>
      </c>
      <c r="N390" t="s">
        <v>214</v>
      </c>
      <c r="O390" t="s">
        <v>294</v>
      </c>
      <c r="P390">
        <v>8.5161041426362789E-4</v>
      </c>
      <c r="Q390" t="s">
        <v>159</v>
      </c>
      <c r="S390" t="s">
        <v>256</v>
      </c>
      <c r="T390" t="s">
        <v>294</v>
      </c>
      <c r="U390">
        <v>5.9402371427393552E-4</v>
      </c>
      <c r="V390" t="s">
        <v>159</v>
      </c>
    </row>
    <row r="391" spans="9:22" x14ac:dyDescent="0.45">
      <c r="I391" t="s">
        <v>171</v>
      </c>
      <c r="J391" t="s">
        <v>295</v>
      </c>
      <c r="K391">
        <v>1.48258954495043E-2</v>
      </c>
      <c r="L391" t="s">
        <v>159</v>
      </c>
      <c r="N391" t="s">
        <v>214</v>
      </c>
      <c r="O391" t="s">
        <v>295</v>
      </c>
      <c r="P391">
        <v>1.0687878177399036E-2</v>
      </c>
      <c r="Q391" t="s">
        <v>159</v>
      </c>
      <c r="S391" t="s">
        <v>256</v>
      </c>
      <c r="T391" t="s">
        <v>295</v>
      </c>
      <c r="U391">
        <v>6.5701924596082472E-3</v>
      </c>
      <c r="V391" t="s">
        <v>159</v>
      </c>
    </row>
    <row r="392" spans="9:22" x14ac:dyDescent="0.45">
      <c r="I392" t="s">
        <v>171</v>
      </c>
      <c r="J392" t="s">
        <v>296</v>
      </c>
      <c r="K392">
        <v>9.6410790436010912E-4</v>
      </c>
      <c r="L392" t="s">
        <v>159</v>
      </c>
      <c r="N392" t="s">
        <v>214</v>
      </c>
      <c r="O392" t="s">
        <v>296</v>
      </c>
      <c r="P392">
        <v>9.0509902386101812E-4</v>
      </c>
      <c r="Q392" t="s">
        <v>159</v>
      </c>
      <c r="S392" t="s">
        <v>256</v>
      </c>
      <c r="T392" t="s">
        <v>296</v>
      </c>
      <c r="U392">
        <v>1.0330407240596601E-3</v>
      </c>
      <c r="V392" t="s">
        <v>159</v>
      </c>
    </row>
    <row r="393" spans="9:22" x14ac:dyDescent="0.45">
      <c r="I393" t="s">
        <v>171</v>
      </c>
      <c r="J393" t="s">
        <v>297</v>
      </c>
      <c r="K393">
        <v>0</v>
      </c>
      <c r="L393" t="s">
        <v>159</v>
      </c>
      <c r="N393" t="s">
        <v>214</v>
      </c>
      <c r="O393" t="s">
        <v>297</v>
      </c>
      <c r="P393">
        <v>7.6239543267813293E-4</v>
      </c>
      <c r="Q393" t="s">
        <v>159</v>
      </c>
      <c r="S393" t="s">
        <v>256</v>
      </c>
      <c r="T393" t="s">
        <v>297</v>
      </c>
      <c r="U393">
        <v>1.0076050675791816E-3</v>
      </c>
      <c r="V393" t="s">
        <v>159</v>
      </c>
    </row>
    <row r="394" spans="9:22" x14ac:dyDescent="0.45">
      <c r="I394" t="s">
        <v>171</v>
      </c>
      <c r="J394" t="s">
        <v>311</v>
      </c>
      <c r="K394">
        <v>0</v>
      </c>
      <c r="L394" t="s">
        <v>159</v>
      </c>
      <c r="N394" t="s">
        <v>214</v>
      </c>
      <c r="O394" t="s">
        <v>311</v>
      </c>
      <c r="P394">
        <v>1.9262862139689471E-3</v>
      </c>
      <c r="Q394" t="s">
        <v>159</v>
      </c>
      <c r="S394" t="s">
        <v>256</v>
      </c>
      <c r="T394" t="s">
        <v>311</v>
      </c>
      <c r="U394">
        <v>3.8755029682251215E-3</v>
      </c>
      <c r="V394" t="s">
        <v>159</v>
      </c>
    </row>
    <row r="395" spans="9:22" x14ac:dyDescent="0.45">
      <c r="I395" t="s">
        <v>171</v>
      </c>
      <c r="J395" t="s">
        <v>298</v>
      </c>
      <c r="K395">
        <v>1.7755670701136685E-2</v>
      </c>
      <c r="L395" t="s">
        <v>159</v>
      </c>
      <c r="N395" t="s">
        <v>214</v>
      </c>
      <c r="O395" t="s">
        <v>298</v>
      </c>
      <c r="P395">
        <v>4.3316305536004143E-2</v>
      </c>
      <c r="Q395" t="s">
        <v>159</v>
      </c>
      <c r="S395" t="s">
        <v>256</v>
      </c>
      <c r="T395" t="s">
        <v>298</v>
      </c>
      <c r="U395">
        <v>6.17346928010346E-2</v>
      </c>
      <c r="V395" t="s">
        <v>159</v>
      </c>
    </row>
    <row r="396" spans="9:22" x14ac:dyDescent="0.45">
      <c r="I396" t="s">
        <v>171</v>
      </c>
      <c r="J396" t="s">
        <v>299</v>
      </c>
      <c r="K396">
        <v>2.345388610752519E-2</v>
      </c>
      <c r="L396" t="s">
        <v>159</v>
      </c>
      <c r="N396" t="s">
        <v>214</v>
      </c>
      <c r="O396" t="s">
        <v>299</v>
      </c>
      <c r="P396">
        <v>6.9287454954386329E-3</v>
      </c>
      <c r="Q396" t="s">
        <v>159</v>
      </c>
      <c r="S396" t="s">
        <v>256</v>
      </c>
      <c r="T396" t="s">
        <v>299</v>
      </c>
      <c r="U396">
        <v>7.1406182872932157E-3</v>
      </c>
      <c r="V396" t="s">
        <v>159</v>
      </c>
    </row>
    <row r="397" spans="9:22" x14ac:dyDescent="0.45">
      <c r="I397" t="s">
        <v>171</v>
      </c>
      <c r="J397" t="s">
        <v>300</v>
      </c>
      <c r="K397">
        <v>0.244482209261457</v>
      </c>
      <c r="L397" t="s">
        <v>159</v>
      </c>
      <c r="N397" t="s">
        <v>214</v>
      </c>
      <c r="O397" t="s">
        <v>300</v>
      </c>
      <c r="P397">
        <v>0.11202770824784189</v>
      </c>
      <c r="Q397" t="s">
        <v>159</v>
      </c>
      <c r="S397" t="s">
        <v>256</v>
      </c>
      <c r="T397" t="s">
        <v>300</v>
      </c>
      <c r="U397">
        <v>0.11012700495318911</v>
      </c>
      <c r="V397" t="s">
        <v>159</v>
      </c>
    </row>
    <row r="398" spans="9:22" x14ac:dyDescent="0.45">
      <c r="I398" t="s">
        <v>171</v>
      </c>
      <c r="J398" t="s">
        <v>301</v>
      </c>
      <c r="K398">
        <v>1.6503418646152037E-2</v>
      </c>
      <c r="L398" t="s">
        <v>159</v>
      </c>
      <c r="N398" t="s">
        <v>214</v>
      </c>
      <c r="O398" t="s">
        <v>301</v>
      </c>
      <c r="P398">
        <v>1.8830055434902852E-2</v>
      </c>
      <c r="Q398" t="s">
        <v>159</v>
      </c>
      <c r="S398" t="s">
        <v>256</v>
      </c>
      <c r="T398" t="s">
        <v>301</v>
      </c>
      <c r="U398">
        <v>1.8076639696200627E-2</v>
      </c>
      <c r="V398" t="s">
        <v>159</v>
      </c>
    </row>
    <row r="399" spans="9:22" x14ac:dyDescent="0.45">
      <c r="I399" t="s">
        <v>171</v>
      </c>
      <c r="J399" t="s">
        <v>302</v>
      </c>
      <c r="K399">
        <v>3.4936026024146557E-3</v>
      </c>
      <c r="L399" t="s">
        <v>159</v>
      </c>
      <c r="N399" t="s">
        <v>214</v>
      </c>
      <c r="O399" t="s">
        <v>302</v>
      </c>
      <c r="P399">
        <v>1.9040980046688576E-2</v>
      </c>
      <c r="Q399" t="s">
        <v>159</v>
      </c>
      <c r="S399" t="s">
        <v>256</v>
      </c>
      <c r="T399" t="s">
        <v>302</v>
      </c>
      <c r="U399">
        <v>1.7194812235444858E-2</v>
      </c>
      <c r="V399" t="s">
        <v>159</v>
      </c>
    </row>
    <row r="400" spans="9:22" x14ac:dyDescent="0.45">
      <c r="I400" t="s">
        <v>171</v>
      </c>
      <c r="J400" t="s">
        <v>312</v>
      </c>
      <c r="K400">
        <v>0</v>
      </c>
      <c r="L400" t="s">
        <v>159</v>
      </c>
      <c r="N400" t="s">
        <v>214</v>
      </c>
      <c r="O400" t="s">
        <v>312</v>
      </c>
      <c r="P400">
        <v>5.2166908403375546E-2</v>
      </c>
      <c r="Q400" t="s">
        <v>159</v>
      </c>
      <c r="S400" t="s">
        <v>256</v>
      </c>
      <c r="T400" t="s">
        <v>312</v>
      </c>
      <c r="U400">
        <v>6.7519684953153511E-2</v>
      </c>
      <c r="V400" t="s">
        <v>159</v>
      </c>
    </row>
    <row r="401" spans="9:22" x14ac:dyDescent="0.45">
      <c r="I401" t="s">
        <v>171</v>
      </c>
      <c r="J401" t="s">
        <v>397</v>
      </c>
      <c r="K401">
        <v>0</v>
      </c>
      <c r="L401" t="s">
        <v>159</v>
      </c>
      <c r="N401" t="s">
        <v>214</v>
      </c>
      <c r="O401" t="s">
        <v>397</v>
      </c>
      <c r="P401">
        <v>4.5103951464880914E-5</v>
      </c>
      <c r="Q401" t="s">
        <v>159</v>
      </c>
      <c r="S401" t="s">
        <v>256</v>
      </c>
      <c r="T401" t="s">
        <v>397</v>
      </c>
      <c r="U401">
        <v>9.4087390617425337E-5</v>
      </c>
      <c r="V401" t="s">
        <v>159</v>
      </c>
    </row>
    <row r="402" spans="9:22" x14ac:dyDescent="0.45">
      <c r="I402" t="s">
        <v>171</v>
      </c>
      <c r="J402" t="s">
        <v>398</v>
      </c>
      <c r="K402">
        <v>0</v>
      </c>
      <c r="L402" t="s">
        <v>159</v>
      </c>
      <c r="N402" t="s">
        <v>214</v>
      </c>
      <c r="O402" t="s">
        <v>398</v>
      </c>
      <c r="P402">
        <v>3.0118726376862476E-5</v>
      </c>
      <c r="Q402" t="s">
        <v>159</v>
      </c>
      <c r="S402" t="s">
        <v>256</v>
      </c>
      <c r="T402" t="s">
        <v>398</v>
      </c>
      <c r="U402">
        <v>7.7142308046534828E-5</v>
      </c>
      <c r="V402" t="s">
        <v>159</v>
      </c>
    </row>
    <row r="403" spans="9:22" x14ac:dyDescent="0.45">
      <c r="I403" t="s">
        <v>171</v>
      </c>
      <c r="J403" t="s">
        <v>399</v>
      </c>
      <c r="K403">
        <v>0</v>
      </c>
      <c r="L403" t="s">
        <v>159</v>
      </c>
      <c r="N403" t="s">
        <v>214</v>
      </c>
      <c r="O403" t="s">
        <v>399</v>
      </c>
      <c r="P403">
        <v>2.0618098388755386E-5</v>
      </c>
      <c r="Q403" t="s">
        <v>159</v>
      </c>
      <c r="S403" t="s">
        <v>256</v>
      </c>
      <c r="T403" t="s">
        <v>399</v>
      </c>
      <c r="U403">
        <v>6.9211819648850201E-5</v>
      </c>
      <c r="V403" t="s">
        <v>159</v>
      </c>
    </row>
    <row r="404" spans="9:22" x14ac:dyDescent="0.45">
      <c r="I404" t="s">
        <v>171</v>
      </c>
      <c r="J404" t="s">
        <v>400</v>
      </c>
      <c r="K404">
        <v>0</v>
      </c>
      <c r="L404" t="s">
        <v>159</v>
      </c>
      <c r="N404" t="s">
        <v>214</v>
      </c>
      <c r="O404" t="s">
        <v>400</v>
      </c>
      <c r="P404">
        <v>1.5152782831956539E-5</v>
      </c>
      <c r="Q404" t="s">
        <v>159</v>
      </c>
      <c r="S404" t="s">
        <v>256</v>
      </c>
      <c r="T404" t="s">
        <v>400</v>
      </c>
      <c r="U404">
        <v>6.273863509292799E-5</v>
      </c>
      <c r="V404" t="s">
        <v>159</v>
      </c>
    </row>
    <row r="405" spans="9:22" x14ac:dyDescent="0.45">
      <c r="I405" t="s">
        <v>171</v>
      </c>
      <c r="J405" t="s">
        <v>401</v>
      </c>
      <c r="K405">
        <v>0</v>
      </c>
      <c r="L405" t="s">
        <v>159</v>
      </c>
      <c r="N405" t="s">
        <v>214</v>
      </c>
      <c r="O405" t="s">
        <v>401</v>
      </c>
      <c r="P405">
        <v>1.0932488664648584E-5</v>
      </c>
      <c r="Q405" t="s">
        <v>159</v>
      </c>
      <c r="S405" t="s">
        <v>256</v>
      </c>
      <c r="T405" t="s">
        <v>401</v>
      </c>
      <c r="U405">
        <v>5.6101004380405297E-5</v>
      </c>
      <c r="V405" t="s">
        <v>159</v>
      </c>
    </row>
    <row r="406" spans="9:22" x14ac:dyDescent="0.45">
      <c r="I406" t="s">
        <v>171</v>
      </c>
      <c r="J406" t="s">
        <v>402</v>
      </c>
      <c r="K406">
        <v>0</v>
      </c>
      <c r="L406" t="s">
        <v>159</v>
      </c>
      <c r="N406" t="s">
        <v>214</v>
      </c>
      <c r="O406" t="s">
        <v>402</v>
      </c>
      <c r="P406">
        <v>7.3260156558738885E-6</v>
      </c>
      <c r="Q406" t="s">
        <v>159</v>
      </c>
      <c r="S406" t="s">
        <v>256</v>
      </c>
      <c r="T406" t="s">
        <v>402</v>
      </c>
      <c r="U406">
        <v>5.16947690925398E-5</v>
      </c>
      <c r="V406" t="s">
        <v>159</v>
      </c>
    </row>
    <row r="407" spans="9:22" x14ac:dyDescent="0.45">
      <c r="I407" t="s">
        <v>171</v>
      </c>
      <c r="J407" t="s">
        <v>403</v>
      </c>
      <c r="K407">
        <v>1.7380705184834278E-4</v>
      </c>
      <c r="L407" t="s">
        <v>159</v>
      </c>
      <c r="N407" t="s">
        <v>214</v>
      </c>
      <c r="O407" t="s">
        <v>403</v>
      </c>
      <c r="P407">
        <v>4.9435016237218735E-6</v>
      </c>
      <c r="Q407" t="s">
        <v>159</v>
      </c>
      <c r="S407" t="s">
        <v>256</v>
      </c>
      <c r="T407" t="s">
        <v>403</v>
      </c>
      <c r="U407">
        <v>4.9240342935103806E-5</v>
      </c>
      <c r="V407" t="s">
        <v>159</v>
      </c>
    </row>
    <row r="408" spans="9:22" x14ac:dyDescent="0.45">
      <c r="I408" t="s">
        <v>171</v>
      </c>
      <c r="J408" t="s">
        <v>404</v>
      </c>
      <c r="K408">
        <v>2.4568899242534924E-4</v>
      </c>
      <c r="L408" t="s">
        <v>159</v>
      </c>
      <c r="N408" t="s">
        <v>214</v>
      </c>
      <c r="O408" t="s">
        <v>404</v>
      </c>
      <c r="P408">
        <v>1.767780938785781E-6</v>
      </c>
      <c r="Q408" t="s">
        <v>159</v>
      </c>
      <c r="S408" t="s">
        <v>256</v>
      </c>
      <c r="T408" t="s">
        <v>404</v>
      </c>
      <c r="U408">
        <v>5.6166028787238256E-5</v>
      </c>
      <c r="V408" t="s">
        <v>159</v>
      </c>
    </row>
    <row r="409" spans="9:22" x14ac:dyDescent="0.45">
      <c r="I409" t="s">
        <v>171</v>
      </c>
      <c r="J409" t="s">
        <v>405</v>
      </c>
      <c r="K409">
        <v>2.7937358142375102E-4</v>
      </c>
      <c r="L409" t="s">
        <v>159</v>
      </c>
      <c r="N409" t="s">
        <v>214</v>
      </c>
      <c r="O409" t="s">
        <v>405</v>
      </c>
      <c r="P409">
        <v>1.1429274859908559E-6</v>
      </c>
      <c r="Q409" t="s">
        <v>159</v>
      </c>
      <c r="S409" t="s">
        <v>256</v>
      </c>
      <c r="T409" t="s">
        <v>405</v>
      </c>
      <c r="U409">
        <v>5.9258162107256269E-5</v>
      </c>
      <c r="V409" t="s">
        <v>159</v>
      </c>
    </row>
    <row r="410" spans="9:22" x14ac:dyDescent="0.45">
      <c r="I410" t="s">
        <v>171</v>
      </c>
      <c r="J410" t="s">
        <v>406</v>
      </c>
      <c r="K410">
        <v>2.80725896184672E-4</v>
      </c>
      <c r="L410" t="s">
        <v>159</v>
      </c>
      <c r="N410" t="s">
        <v>214</v>
      </c>
      <c r="O410" t="s">
        <v>406</v>
      </c>
      <c r="P410">
        <v>1.5204573805476943E-6</v>
      </c>
      <c r="Q410" t="s">
        <v>159</v>
      </c>
      <c r="S410" t="s">
        <v>256</v>
      </c>
      <c r="T410" t="s">
        <v>406</v>
      </c>
      <c r="U410">
        <v>7.1548386384840383E-5</v>
      </c>
      <c r="V410" t="s">
        <v>159</v>
      </c>
    </row>
    <row r="411" spans="9:22" x14ac:dyDescent="0.45">
      <c r="I411" t="s">
        <v>171</v>
      </c>
      <c r="J411" t="s">
        <v>407</v>
      </c>
      <c r="K411">
        <v>2.874313211859158E-4</v>
      </c>
      <c r="L411" t="s">
        <v>159</v>
      </c>
      <c r="N411" t="s">
        <v>214</v>
      </c>
      <c r="O411" t="s">
        <v>407</v>
      </c>
      <c r="P411">
        <v>7.4404866957945473E-6</v>
      </c>
      <c r="Q411" t="s">
        <v>159</v>
      </c>
      <c r="S411" t="s">
        <v>256</v>
      </c>
      <c r="T411" t="s">
        <v>407</v>
      </c>
      <c r="U411">
        <v>8.5915207682492453E-5</v>
      </c>
      <c r="V411" t="s">
        <v>159</v>
      </c>
    </row>
    <row r="412" spans="9:22" x14ac:dyDescent="0.45">
      <c r="I412" t="s">
        <v>171</v>
      </c>
      <c r="J412" t="s">
        <v>408</v>
      </c>
      <c r="K412">
        <v>3.0303257514903122E-4</v>
      </c>
      <c r="L412" t="s">
        <v>159</v>
      </c>
      <c r="N412" t="s">
        <v>214</v>
      </c>
      <c r="O412" t="s">
        <v>408</v>
      </c>
      <c r="P412">
        <v>1.6585426477082993E-5</v>
      </c>
      <c r="Q412" t="s">
        <v>159</v>
      </c>
      <c r="S412" t="s">
        <v>256</v>
      </c>
      <c r="T412" t="s">
        <v>408</v>
      </c>
      <c r="U412">
        <v>9.9778761581064752E-5</v>
      </c>
      <c r="V412" t="s">
        <v>159</v>
      </c>
    </row>
    <row r="413" spans="9:22" x14ac:dyDescent="0.45">
      <c r="I413" t="s">
        <v>171</v>
      </c>
      <c r="J413" t="s">
        <v>409</v>
      </c>
      <c r="K413">
        <v>3.1314274797653247E-4</v>
      </c>
      <c r="L413" t="s">
        <v>159</v>
      </c>
      <c r="N413" t="s">
        <v>214</v>
      </c>
      <c r="O413" t="s">
        <v>409</v>
      </c>
      <c r="P413">
        <v>2.6707815823418133E-5</v>
      </c>
      <c r="Q413" t="s">
        <v>159</v>
      </c>
      <c r="S413" t="s">
        <v>256</v>
      </c>
      <c r="T413" t="s">
        <v>409</v>
      </c>
      <c r="U413">
        <v>1.3116658868399418E-4</v>
      </c>
      <c r="V413" t="s">
        <v>159</v>
      </c>
    </row>
    <row r="414" spans="9:22" x14ac:dyDescent="0.45">
      <c r="I414" t="s">
        <v>171</v>
      </c>
      <c r="J414" t="s">
        <v>410</v>
      </c>
      <c r="K414">
        <v>2.900138904780306E-4</v>
      </c>
      <c r="L414" t="s">
        <v>159</v>
      </c>
      <c r="N414" t="s">
        <v>214</v>
      </c>
      <c r="O414" t="s">
        <v>410</v>
      </c>
      <c r="P414">
        <v>3.682415390385558E-5</v>
      </c>
      <c r="Q414" t="s">
        <v>159</v>
      </c>
      <c r="S414" t="s">
        <v>256</v>
      </c>
      <c r="T414" t="s">
        <v>410</v>
      </c>
      <c r="U414">
        <v>1.5807544715198271E-4</v>
      </c>
      <c r="V414" t="s">
        <v>159</v>
      </c>
    </row>
    <row r="415" spans="9:22" x14ac:dyDescent="0.45">
      <c r="I415" t="s">
        <v>171</v>
      </c>
      <c r="J415" t="s">
        <v>411</v>
      </c>
      <c r="K415">
        <v>2.7403051038272375E-4</v>
      </c>
      <c r="L415" t="s">
        <v>159</v>
      </c>
      <c r="N415" t="s">
        <v>214</v>
      </c>
      <c r="O415" t="s">
        <v>411</v>
      </c>
      <c r="P415">
        <v>4.1679491819127313E-5</v>
      </c>
      <c r="Q415" t="s">
        <v>159</v>
      </c>
      <c r="S415" t="s">
        <v>256</v>
      </c>
      <c r="T415" t="s">
        <v>411</v>
      </c>
      <c r="U415">
        <v>1.7585817098607435E-4</v>
      </c>
      <c r="V415" t="s">
        <v>159</v>
      </c>
    </row>
    <row r="416" spans="9:22" x14ac:dyDescent="0.45">
      <c r="I416" t="s">
        <v>171</v>
      </c>
      <c r="J416" t="s">
        <v>412</v>
      </c>
      <c r="K416">
        <v>2.6629074019247527E-4</v>
      </c>
      <c r="L416" t="s">
        <v>159</v>
      </c>
      <c r="N416" t="s">
        <v>214</v>
      </c>
      <c r="O416" t="s">
        <v>412</v>
      </c>
      <c r="P416">
        <v>4.7638488797008721E-5</v>
      </c>
      <c r="Q416" t="s">
        <v>159</v>
      </c>
      <c r="S416" t="s">
        <v>256</v>
      </c>
      <c r="T416" t="s">
        <v>412</v>
      </c>
      <c r="U416">
        <v>2.0260059502151214E-4</v>
      </c>
      <c r="V416" t="s">
        <v>159</v>
      </c>
    </row>
    <row r="417" spans="9:22" x14ac:dyDescent="0.45">
      <c r="I417" t="s">
        <v>171</v>
      </c>
      <c r="J417" t="s">
        <v>413</v>
      </c>
      <c r="K417">
        <v>2.5327050587498659E-4</v>
      </c>
      <c r="L417" t="s">
        <v>159</v>
      </c>
      <c r="N417" t="s">
        <v>214</v>
      </c>
      <c r="O417" t="s">
        <v>413</v>
      </c>
      <c r="P417">
        <v>7.4627754250682719E-5</v>
      </c>
      <c r="Q417" t="s">
        <v>159</v>
      </c>
      <c r="S417" t="s">
        <v>256</v>
      </c>
      <c r="T417" t="s">
        <v>413</v>
      </c>
      <c r="U417">
        <v>2.0614183319619508E-4</v>
      </c>
      <c r="V417" t="s">
        <v>159</v>
      </c>
    </row>
    <row r="418" spans="9:22" x14ac:dyDescent="0.45">
      <c r="I418" t="s">
        <v>171</v>
      </c>
      <c r="J418" t="s">
        <v>414</v>
      </c>
      <c r="K418">
        <v>1.8666163992514713E-4</v>
      </c>
      <c r="L418" t="s">
        <v>159</v>
      </c>
      <c r="N418" t="s">
        <v>214</v>
      </c>
      <c r="O418" t="s">
        <v>414</v>
      </c>
      <c r="P418">
        <v>1.5564233402959291E-4</v>
      </c>
      <c r="Q418" t="s">
        <v>159</v>
      </c>
      <c r="S418" t="s">
        <v>256</v>
      </c>
      <c r="T418" t="s">
        <v>414</v>
      </c>
      <c r="U418">
        <v>1.6561517725057585E-4</v>
      </c>
      <c r="V418" t="s">
        <v>159</v>
      </c>
    </row>
    <row r="419" spans="9:22" x14ac:dyDescent="0.45">
      <c r="I419" t="s">
        <v>171</v>
      </c>
      <c r="J419" t="s">
        <v>415</v>
      </c>
      <c r="K419">
        <v>0</v>
      </c>
      <c r="L419" t="s">
        <v>159</v>
      </c>
      <c r="N419" t="s">
        <v>214</v>
      </c>
      <c r="O419" t="s">
        <v>415</v>
      </c>
      <c r="P419">
        <v>2.135304843649274E-4</v>
      </c>
      <c r="Q419" t="s">
        <v>159</v>
      </c>
      <c r="S419" t="s">
        <v>256</v>
      </c>
      <c r="T419" t="s">
        <v>415</v>
      </c>
      <c r="U419">
        <v>1.3233259789055215E-4</v>
      </c>
      <c r="V419" t="s">
        <v>159</v>
      </c>
    </row>
    <row r="420" spans="9:22" x14ac:dyDescent="0.45">
      <c r="I420" t="s">
        <v>171</v>
      </c>
      <c r="J420" t="s">
        <v>416</v>
      </c>
      <c r="K420">
        <v>0</v>
      </c>
      <c r="L420" t="s">
        <v>159</v>
      </c>
      <c r="N420" t="s">
        <v>214</v>
      </c>
      <c r="O420" t="s">
        <v>416</v>
      </c>
      <c r="P420">
        <v>2.1181362136994561E-4</v>
      </c>
      <c r="Q420" t="s">
        <v>159</v>
      </c>
      <c r="S420" t="s">
        <v>256</v>
      </c>
      <c r="T420" t="s">
        <v>416</v>
      </c>
      <c r="U420">
        <v>1.0934327865843807E-4</v>
      </c>
      <c r="V420" t="s">
        <v>159</v>
      </c>
    </row>
    <row r="421" spans="9:22" x14ac:dyDescent="0.45">
      <c r="I421" t="s">
        <v>171</v>
      </c>
      <c r="J421" t="s">
        <v>417</v>
      </c>
      <c r="K421">
        <v>0</v>
      </c>
      <c r="L421" t="s">
        <v>159</v>
      </c>
      <c r="N421" t="s">
        <v>214</v>
      </c>
      <c r="O421" t="s">
        <v>417</v>
      </c>
      <c r="P421">
        <v>1.7253115875310305E-4</v>
      </c>
      <c r="Q421" t="s">
        <v>159</v>
      </c>
      <c r="S421" t="s">
        <v>256</v>
      </c>
      <c r="T421" t="s">
        <v>417</v>
      </c>
      <c r="U421">
        <v>9.1879424661276283E-5</v>
      </c>
      <c r="V421" t="s">
        <v>159</v>
      </c>
    </row>
    <row r="422" spans="9:22" x14ac:dyDescent="0.45">
      <c r="I422" t="s">
        <v>171</v>
      </c>
      <c r="J422" t="s">
        <v>418</v>
      </c>
      <c r="K422">
        <v>0</v>
      </c>
      <c r="L422" t="s">
        <v>159</v>
      </c>
      <c r="N422" t="s">
        <v>214</v>
      </c>
      <c r="O422" t="s">
        <v>418</v>
      </c>
      <c r="P422">
        <v>1.0715462053843112E-4</v>
      </c>
      <c r="Q422" t="s">
        <v>159</v>
      </c>
      <c r="S422" t="s">
        <v>256</v>
      </c>
      <c r="T422" t="s">
        <v>418</v>
      </c>
      <c r="U422">
        <v>7.0844274179910344E-5</v>
      </c>
      <c r="V422" t="s">
        <v>159</v>
      </c>
    </row>
    <row r="423" spans="9:22" x14ac:dyDescent="0.45">
      <c r="I423" t="s">
        <v>171</v>
      </c>
      <c r="J423" t="s">
        <v>419</v>
      </c>
      <c r="K423">
        <v>0</v>
      </c>
      <c r="L423" t="s">
        <v>159</v>
      </c>
      <c r="N423" t="s">
        <v>214</v>
      </c>
      <c r="O423" t="s">
        <v>419</v>
      </c>
      <c r="P423">
        <v>6.6599144644589414E-5</v>
      </c>
      <c r="Q423" t="s">
        <v>159</v>
      </c>
      <c r="S423" t="s">
        <v>256</v>
      </c>
      <c r="T423" t="s">
        <v>419</v>
      </c>
      <c r="U423">
        <v>5.2709247627736133E-5</v>
      </c>
      <c r="V423" t="s">
        <v>159</v>
      </c>
    </row>
    <row r="424" spans="9:22" x14ac:dyDescent="0.45">
      <c r="I424" t="s">
        <v>171</v>
      </c>
      <c r="J424" t="s">
        <v>420</v>
      </c>
      <c r="K424">
        <v>0</v>
      </c>
      <c r="L424" t="s">
        <v>159</v>
      </c>
      <c r="N424" t="s">
        <v>214</v>
      </c>
      <c r="O424" t="s">
        <v>420</v>
      </c>
      <c r="P424">
        <v>2.4246841411297073E-5</v>
      </c>
      <c r="Q424" t="s">
        <v>159</v>
      </c>
      <c r="S424" t="s">
        <v>256</v>
      </c>
      <c r="T424" t="s">
        <v>420</v>
      </c>
      <c r="U424">
        <v>2.6899374916920061E-5</v>
      </c>
      <c r="V424" t="s">
        <v>159</v>
      </c>
    </row>
    <row r="425" spans="9:22" x14ac:dyDescent="0.45">
      <c r="I425" t="s">
        <v>171</v>
      </c>
      <c r="J425" t="s">
        <v>313</v>
      </c>
      <c r="K425">
        <v>7.9388229623661589E-3</v>
      </c>
      <c r="L425" t="s">
        <v>159</v>
      </c>
      <c r="N425" t="s">
        <v>214</v>
      </c>
      <c r="O425" t="s">
        <v>313</v>
      </c>
      <c r="P425">
        <v>6.2667685637575838E-3</v>
      </c>
      <c r="Q425" t="s">
        <v>159</v>
      </c>
      <c r="S425" t="s">
        <v>256</v>
      </c>
      <c r="T425" t="s">
        <v>313</v>
      </c>
      <c r="U425">
        <v>1.6202540671928722E-2</v>
      </c>
      <c r="V425" t="s">
        <v>159</v>
      </c>
    </row>
    <row r="426" spans="9:22" x14ac:dyDescent="0.45">
      <c r="I426" t="s">
        <v>171</v>
      </c>
      <c r="J426" t="s">
        <v>314</v>
      </c>
      <c r="K426">
        <v>7.1936875351173973E-3</v>
      </c>
      <c r="L426" t="s">
        <v>159</v>
      </c>
      <c r="N426" t="s">
        <v>214</v>
      </c>
      <c r="O426" t="s">
        <v>314</v>
      </c>
      <c r="P426">
        <v>9.5700618344859122E-4</v>
      </c>
      <c r="Q426" t="s">
        <v>159</v>
      </c>
      <c r="S426" t="s">
        <v>256</v>
      </c>
      <c r="T426" t="s">
        <v>314</v>
      </c>
      <c r="U426">
        <v>1.876528763343409E-3</v>
      </c>
      <c r="V426" t="s">
        <v>159</v>
      </c>
    </row>
    <row r="427" spans="9:22" x14ac:dyDescent="0.45">
      <c r="I427" t="s">
        <v>171</v>
      </c>
      <c r="J427" t="s">
        <v>315</v>
      </c>
      <c r="K427">
        <v>7.512725188465072E-2</v>
      </c>
      <c r="L427" t="s">
        <v>159</v>
      </c>
      <c r="N427" t="s">
        <v>214</v>
      </c>
      <c r="O427" t="s">
        <v>315</v>
      </c>
      <c r="P427">
        <v>2.5130844041723378E-2</v>
      </c>
      <c r="Q427" t="s">
        <v>159</v>
      </c>
      <c r="S427" t="s">
        <v>256</v>
      </c>
      <c r="T427" t="s">
        <v>315</v>
      </c>
      <c r="U427">
        <v>3.4203843827117837E-2</v>
      </c>
      <c r="V427" t="s">
        <v>159</v>
      </c>
    </row>
    <row r="428" spans="9:22" x14ac:dyDescent="0.45">
      <c r="I428" t="s">
        <v>171</v>
      </c>
      <c r="J428" t="s">
        <v>316</v>
      </c>
      <c r="K428">
        <v>5.3238623767143676E-3</v>
      </c>
      <c r="L428" t="s">
        <v>159</v>
      </c>
      <c r="N428" t="s">
        <v>214</v>
      </c>
      <c r="O428" t="s">
        <v>316</v>
      </c>
      <c r="P428">
        <v>6.8551375691365841E-3</v>
      </c>
      <c r="Q428" t="s">
        <v>159</v>
      </c>
      <c r="S428" t="s">
        <v>256</v>
      </c>
      <c r="T428" t="s">
        <v>316</v>
      </c>
      <c r="U428">
        <v>5.6296526440932785E-3</v>
      </c>
      <c r="V428" t="s">
        <v>159</v>
      </c>
    </row>
    <row r="429" spans="9:22" x14ac:dyDescent="0.45">
      <c r="I429" t="s">
        <v>171</v>
      </c>
      <c r="J429" t="s">
        <v>317</v>
      </c>
      <c r="K429">
        <v>3.4266165967221838E-3</v>
      </c>
      <c r="L429" t="s">
        <v>159</v>
      </c>
      <c r="N429" t="s">
        <v>214</v>
      </c>
      <c r="O429" t="s">
        <v>317</v>
      </c>
      <c r="P429">
        <v>6.7227404213770674E-3</v>
      </c>
      <c r="Q429" t="s">
        <v>159</v>
      </c>
      <c r="S429" t="s">
        <v>256</v>
      </c>
      <c r="T429" t="s">
        <v>317</v>
      </c>
      <c r="U429">
        <v>5.1478192529636349E-3</v>
      </c>
      <c r="V429" t="s">
        <v>159</v>
      </c>
    </row>
    <row r="430" spans="9:22" x14ac:dyDescent="0.45">
      <c r="I430" t="s">
        <v>171</v>
      </c>
      <c r="J430" t="s">
        <v>318</v>
      </c>
      <c r="K430">
        <v>0</v>
      </c>
      <c r="L430" t="s">
        <v>159</v>
      </c>
      <c r="N430" t="s">
        <v>214</v>
      </c>
      <c r="O430" t="s">
        <v>318</v>
      </c>
      <c r="P430">
        <v>1.7770884507444514E-2</v>
      </c>
      <c r="Q430" t="s">
        <v>159</v>
      </c>
      <c r="S430" t="s">
        <v>256</v>
      </c>
      <c r="T430" t="s">
        <v>318</v>
      </c>
      <c r="U430">
        <v>1.9535468289079112E-2</v>
      </c>
      <c r="V430" t="s">
        <v>159</v>
      </c>
    </row>
    <row r="431" spans="9:22" x14ac:dyDescent="0.45">
      <c r="I431" t="s">
        <v>172</v>
      </c>
      <c r="J431" t="s">
        <v>158</v>
      </c>
      <c r="K431">
        <v>7.3612169931421998E-3</v>
      </c>
      <c r="L431" t="s">
        <v>159</v>
      </c>
      <c r="N431" t="s">
        <v>215</v>
      </c>
      <c r="O431" t="s">
        <v>158</v>
      </c>
      <c r="P431">
        <v>0.10475060644834068</v>
      </c>
      <c r="Q431" t="s">
        <v>159</v>
      </c>
      <c r="S431" t="s">
        <v>257</v>
      </c>
      <c r="T431" t="s">
        <v>158</v>
      </c>
      <c r="U431">
        <v>0.13783968439225144</v>
      </c>
      <c r="V431" t="s">
        <v>159</v>
      </c>
    </row>
    <row r="432" spans="9:22" x14ac:dyDescent="0.45">
      <c r="I432" t="s">
        <v>172</v>
      </c>
      <c r="J432" t="s">
        <v>160</v>
      </c>
      <c r="K432">
        <v>2.736326790198414E-2</v>
      </c>
      <c r="L432" t="s">
        <v>159</v>
      </c>
      <c r="N432" t="s">
        <v>215</v>
      </c>
      <c r="O432" t="s">
        <v>160</v>
      </c>
      <c r="P432">
        <v>1.3204483314492425E-2</v>
      </c>
      <c r="Q432" t="s">
        <v>159</v>
      </c>
      <c r="S432" t="s">
        <v>257</v>
      </c>
      <c r="T432" t="s">
        <v>160</v>
      </c>
      <c r="U432">
        <v>1.7775821464596827E-2</v>
      </c>
      <c r="V432" t="s">
        <v>159</v>
      </c>
    </row>
    <row r="433" spans="9:22" x14ac:dyDescent="0.45">
      <c r="I433" t="s">
        <v>172</v>
      </c>
      <c r="J433" t="s">
        <v>161</v>
      </c>
      <c r="K433">
        <v>0.37677478473431869</v>
      </c>
      <c r="L433" t="s">
        <v>159</v>
      </c>
      <c r="N433" t="s">
        <v>215</v>
      </c>
      <c r="O433" t="s">
        <v>161</v>
      </c>
      <c r="P433">
        <v>0.1666056292687764</v>
      </c>
      <c r="Q433" t="s">
        <v>159</v>
      </c>
      <c r="S433" t="s">
        <v>257</v>
      </c>
      <c r="T433" t="s">
        <v>161</v>
      </c>
      <c r="U433">
        <v>0.17300099598433083</v>
      </c>
      <c r="V433" t="s">
        <v>159</v>
      </c>
    </row>
    <row r="434" spans="9:22" x14ac:dyDescent="0.45">
      <c r="I434" t="s">
        <v>172</v>
      </c>
      <c r="J434" t="s">
        <v>287</v>
      </c>
      <c r="K434">
        <v>3.3287596222213389E-2</v>
      </c>
      <c r="L434" t="s">
        <v>159</v>
      </c>
      <c r="N434" t="s">
        <v>215</v>
      </c>
      <c r="O434" t="s">
        <v>287</v>
      </c>
      <c r="P434">
        <v>2.4393899937345483E-2</v>
      </c>
      <c r="Q434" t="s">
        <v>159</v>
      </c>
      <c r="S434" t="s">
        <v>257</v>
      </c>
      <c r="T434" t="s">
        <v>287</v>
      </c>
      <c r="U434">
        <v>2.3918788009363146E-2</v>
      </c>
      <c r="V434" t="s">
        <v>159</v>
      </c>
    </row>
    <row r="435" spans="9:22" x14ac:dyDescent="0.45">
      <c r="I435" t="s">
        <v>172</v>
      </c>
      <c r="J435" t="s">
        <v>288</v>
      </c>
      <c r="K435">
        <v>1.7007007710566166E-2</v>
      </c>
      <c r="L435" t="s">
        <v>159</v>
      </c>
      <c r="N435" t="s">
        <v>215</v>
      </c>
      <c r="O435" t="s">
        <v>288</v>
      </c>
      <c r="P435">
        <v>2.6315865491717255E-2</v>
      </c>
      <c r="Q435" t="s">
        <v>159</v>
      </c>
      <c r="S435" t="s">
        <v>257</v>
      </c>
      <c r="T435" t="s">
        <v>288</v>
      </c>
      <c r="U435">
        <v>2.3891310820383076E-2</v>
      </c>
      <c r="V435" t="s">
        <v>159</v>
      </c>
    </row>
    <row r="436" spans="9:22" x14ac:dyDescent="0.45">
      <c r="I436" t="s">
        <v>172</v>
      </c>
      <c r="J436" t="s">
        <v>308</v>
      </c>
      <c r="K436">
        <v>4.8112783091086384E-3</v>
      </c>
      <c r="L436" t="s">
        <v>159</v>
      </c>
      <c r="N436" t="s">
        <v>215</v>
      </c>
      <c r="O436" t="s">
        <v>308</v>
      </c>
      <c r="P436">
        <v>0.1195037522001214</v>
      </c>
      <c r="Q436" t="s">
        <v>159</v>
      </c>
      <c r="S436" t="s">
        <v>257</v>
      </c>
      <c r="T436" t="s">
        <v>308</v>
      </c>
      <c r="U436">
        <v>0.11156478161986477</v>
      </c>
      <c r="V436" t="s">
        <v>159</v>
      </c>
    </row>
    <row r="437" spans="9:22" x14ac:dyDescent="0.45">
      <c r="I437" t="s">
        <v>172</v>
      </c>
      <c r="J437" t="s">
        <v>162</v>
      </c>
      <c r="K437">
        <v>0</v>
      </c>
      <c r="L437" t="s">
        <v>159</v>
      </c>
      <c r="N437" t="s">
        <v>215</v>
      </c>
      <c r="O437" t="s">
        <v>162</v>
      </c>
      <c r="P437">
        <v>2.2409179392987779E-2</v>
      </c>
      <c r="Q437" t="s">
        <v>159</v>
      </c>
      <c r="S437" t="s">
        <v>257</v>
      </c>
      <c r="T437" t="s">
        <v>162</v>
      </c>
      <c r="U437">
        <v>1.6730607387219404E-2</v>
      </c>
      <c r="V437" t="s">
        <v>159</v>
      </c>
    </row>
    <row r="438" spans="9:22" x14ac:dyDescent="0.45">
      <c r="I438" t="s">
        <v>172</v>
      </c>
      <c r="J438" t="s">
        <v>163</v>
      </c>
      <c r="K438">
        <v>0</v>
      </c>
      <c r="L438" t="s">
        <v>159</v>
      </c>
      <c r="N438" t="s">
        <v>215</v>
      </c>
      <c r="O438" t="s">
        <v>163</v>
      </c>
      <c r="P438">
        <v>3.1346258913015897E-3</v>
      </c>
      <c r="Q438" t="s">
        <v>159</v>
      </c>
      <c r="S438" t="s">
        <v>257</v>
      </c>
      <c r="T438" t="s">
        <v>163</v>
      </c>
      <c r="U438">
        <v>2.3250251048146427E-3</v>
      </c>
      <c r="V438" t="s">
        <v>159</v>
      </c>
    </row>
    <row r="439" spans="9:22" x14ac:dyDescent="0.45">
      <c r="I439" t="s">
        <v>172</v>
      </c>
      <c r="J439" t="s">
        <v>164</v>
      </c>
      <c r="K439">
        <v>4.1291609772445122E-2</v>
      </c>
      <c r="L439" t="s">
        <v>159</v>
      </c>
      <c r="N439" t="s">
        <v>215</v>
      </c>
      <c r="O439" t="s">
        <v>164</v>
      </c>
      <c r="P439">
        <v>3.5084577363518804E-2</v>
      </c>
      <c r="Q439" t="s">
        <v>159</v>
      </c>
      <c r="S439" t="s">
        <v>257</v>
      </c>
      <c r="T439" t="s">
        <v>164</v>
      </c>
      <c r="U439">
        <v>2.0687796534608911E-2</v>
      </c>
      <c r="V439" t="s">
        <v>159</v>
      </c>
    </row>
    <row r="440" spans="9:22" x14ac:dyDescent="0.45">
      <c r="I440" t="s">
        <v>172</v>
      </c>
      <c r="J440" t="s">
        <v>289</v>
      </c>
      <c r="K440">
        <v>3.19630113593438E-3</v>
      </c>
      <c r="L440" t="s">
        <v>159</v>
      </c>
      <c r="N440" t="s">
        <v>215</v>
      </c>
      <c r="O440" t="s">
        <v>289</v>
      </c>
      <c r="P440">
        <v>3.894639006146229E-3</v>
      </c>
      <c r="Q440" t="s">
        <v>159</v>
      </c>
      <c r="S440" t="s">
        <v>257</v>
      </c>
      <c r="T440" t="s">
        <v>289</v>
      </c>
      <c r="U440">
        <v>2.7536018755606392E-3</v>
      </c>
      <c r="V440" t="s">
        <v>159</v>
      </c>
    </row>
    <row r="441" spans="9:22" x14ac:dyDescent="0.45">
      <c r="I441" t="s">
        <v>172</v>
      </c>
      <c r="J441" t="s">
        <v>290</v>
      </c>
      <c r="K441">
        <v>0</v>
      </c>
      <c r="L441" t="s">
        <v>159</v>
      </c>
      <c r="N441" t="s">
        <v>215</v>
      </c>
      <c r="O441" t="s">
        <v>290</v>
      </c>
      <c r="P441">
        <v>3.7597272533224009E-3</v>
      </c>
      <c r="Q441" t="s">
        <v>159</v>
      </c>
      <c r="S441" t="s">
        <v>257</v>
      </c>
      <c r="T441" t="s">
        <v>290</v>
      </c>
      <c r="U441">
        <v>2.749054302202202E-3</v>
      </c>
      <c r="V441" t="s">
        <v>159</v>
      </c>
    </row>
    <row r="442" spans="9:22" x14ac:dyDescent="0.45">
      <c r="I442" t="s">
        <v>172</v>
      </c>
      <c r="J442" t="s">
        <v>309</v>
      </c>
      <c r="K442">
        <v>0</v>
      </c>
      <c r="L442" t="s">
        <v>159</v>
      </c>
      <c r="N442" t="s">
        <v>215</v>
      </c>
      <c r="O442" t="s">
        <v>309</v>
      </c>
      <c r="P442">
        <v>1.7799220963371411E-2</v>
      </c>
      <c r="Q442" t="s">
        <v>159</v>
      </c>
      <c r="S442" t="s">
        <v>257</v>
      </c>
      <c r="T442" t="s">
        <v>309</v>
      </c>
      <c r="U442">
        <v>1.2529459386051092E-2</v>
      </c>
      <c r="V442" t="s">
        <v>159</v>
      </c>
    </row>
    <row r="443" spans="9:22" x14ac:dyDescent="0.45">
      <c r="I443" t="s">
        <v>172</v>
      </c>
      <c r="J443" t="s">
        <v>346</v>
      </c>
      <c r="K443">
        <v>0</v>
      </c>
      <c r="L443" t="s">
        <v>159</v>
      </c>
      <c r="N443" t="s">
        <v>215</v>
      </c>
      <c r="O443" t="s">
        <v>346</v>
      </c>
      <c r="P443">
        <v>2.0654310133655237E-5</v>
      </c>
      <c r="Q443" t="s">
        <v>159</v>
      </c>
      <c r="S443" t="s">
        <v>257</v>
      </c>
      <c r="T443" t="s">
        <v>346</v>
      </c>
      <c r="U443">
        <v>6.110962923772856E-5</v>
      </c>
      <c r="V443" t="s">
        <v>159</v>
      </c>
    </row>
    <row r="444" spans="9:22" x14ac:dyDescent="0.45">
      <c r="I444" t="s">
        <v>172</v>
      </c>
      <c r="J444" t="s">
        <v>347</v>
      </c>
      <c r="K444">
        <v>0</v>
      </c>
      <c r="L444" t="s">
        <v>159</v>
      </c>
      <c r="N444" t="s">
        <v>215</v>
      </c>
      <c r="O444" t="s">
        <v>347</v>
      </c>
      <c r="P444">
        <v>1.4145145235534918E-5</v>
      </c>
      <c r="Q444" t="s">
        <v>159</v>
      </c>
      <c r="S444" t="s">
        <v>257</v>
      </c>
      <c r="T444" t="s">
        <v>347</v>
      </c>
      <c r="U444">
        <v>5.3176283323736E-5</v>
      </c>
      <c r="V444" t="s">
        <v>159</v>
      </c>
    </row>
    <row r="445" spans="9:22" x14ac:dyDescent="0.45">
      <c r="I445" t="s">
        <v>172</v>
      </c>
      <c r="J445" t="s">
        <v>348</v>
      </c>
      <c r="K445">
        <v>0</v>
      </c>
      <c r="L445" t="s">
        <v>159</v>
      </c>
      <c r="N445" t="s">
        <v>215</v>
      </c>
      <c r="O445" t="s">
        <v>348</v>
      </c>
      <c r="P445">
        <v>1.0443867297457874E-5</v>
      </c>
      <c r="Q445" t="s">
        <v>159</v>
      </c>
      <c r="S445" t="s">
        <v>257</v>
      </c>
      <c r="T445" t="s">
        <v>348</v>
      </c>
      <c r="U445">
        <v>4.4649948017893258E-5</v>
      </c>
      <c r="V445" t="s">
        <v>159</v>
      </c>
    </row>
    <row r="446" spans="9:22" x14ac:dyDescent="0.45">
      <c r="I446" t="s">
        <v>172</v>
      </c>
      <c r="J446" t="s">
        <v>349</v>
      </c>
      <c r="K446">
        <v>0</v>
      </c>
      <c r="L446" t="s">
        <v>159</v>
      </c>
      <c r="N446" t="s">
        <v>215</v>
      </c>
      <c r="O446" t="s">
        <v>349</v>
      </c>
      <c r="P446">
        <v>9.2893360938783246E-6</v>
      </c>
      <c r="Q446" t="s">
        <v>159</v>
      </c>
      <c r="S446" t="s">
        <v>257</v>
      </c>
      <c r="T446" t="s">
        <v>349</v>
      </c>
      <c r="U446">
        <v>3.9611339388953563E-5</v>
      </c>
      <c r="V446" t="s">
        <v>159</v>
      </c>
    </row>
    <row r="447" spans="9:22" x14ac:dyDescent="0.45">
      <c r="I447" t="s">
        <v>172</v>
      </c>
      <c r="J447" t="s">
        <v>350</v>
      </c>
      <c r="K447">
        <v>0</v>
      </c>
      <c r="L447" t="s">
        <v>159</v>
      </c>
      <c r="N447" t="s">
        <v>215</v>
      </c>
      <c r="O447" t="s">
        <v>350</v>
      </c>
      <c r="P447">
        <v>1.0852470457817106E-5</v>
      </c>
      <c r="Q447" t="s">
        <v>159</v>
      </c>
      <c r="S447" t="s">
        <v>257</v>
      </c>
      <c r="T447" t="s">
        <v>350</v>
      </c>
      <c r="U447">
        <v>3.78673352129848E-5</v>
      </c>
      <c r="V447" t="s">
        <v>159</v>
      </c>
    </row>
    <row r="448" spans="9:22" x14ac:dyDescent="0.45">
      <c r="I448" t="s">
        <v>172</v>
      </c>
      <c r="J448" t="s">
        <v>351</v>
      </c>
      <c r="K448">
        <v>0</v>
      </c>
      <c r="L448" t="s">
        <v>159</v>
      </c>
      <c r="N448" t="s">
        <v>215</v>
      </c>
      <c r="O448" t="s">
        <v>351</v>
      </c>
      <c r="P448">
        <v>1.1310489752495959E-5</v>
      </c>
      <c r="Q448" t="s">
        <v>159</v>
      </c>
      <c r="S448" t="s">
        <v>257</v>
      </c>
      <c r="T448" t="s">
        <v>351</v>
      </c>
      <c r="U448">
        <v>4.4814627261006667E-5</v>
      </c>
      <c r="V448" t="s">
        <v>159</v>
      </c>
    </row>
    <row r="449" spans="9:22" x14ac:dyDescent="0.45">
      <c r="I449" t="s">
        <v>172</v>
      </c>
      <c r="J449" t="s">
        <v>352</v>
      </c>
      <c r="K449">
        <v>0</v>
      </c>
      <c r="L449" t="s">
        <v>159</v>
      </c>
      <c r="N449" t="s">
        <v>215</v>
      </c>
      <c r="O449" t="s">
        <v>352</v>
      </c>
      <c r="P449">
        <v>1.1036285074159094E-5</v>
      </c>
      <c r="Q449" t="s">
        <v>159</v>
      </c>
      <c r="S449" t="s">
        <v>257</v>
      </c>
      <c r="T449" t="s">
        <v>352</v>
      </c>
      <c r="U449">
        <v>5.2824860673545184E-5</v>
      </c>
      <c r="V449" t="s">
        <v>159</v>
      </c>
    </row>
    <row r="450" spans="9:22" x14ac:dyDescent="0.45">
      <c r="I450" t="s">
        <v>172</v>
      </c>
      <c r="J450" t="s">
        <v>353</v>
      </c>
      <c r="K450">
        <v>0</v>
      </c>
      <c r="L450" t="s">
        <v>159</v>
      </c>
      <c r="N450" t="s">
        <v>215</v>
      </c>
      <c r="O450" t="s">
        <v>353</v>
      </c>
      <c r="P450">
        <v>1.0571646085275758E-5</v>
      </c>
      <c r="Q450" t="s">
        <v>159</v>
      </c>
      <c r="S450" t="s">
        <v>257</v>
      </c>
      <c r="T450" t="s">
        <v>353</v>
      </c>
      <c r="U450">
        <v>5.9634674582447748E-5</v>
      </c>
      <c r="V450" t="s">
        <v>159</v>
      </c>
    </row>
    <row r="451" spans="9:22" x14ac:dyDescent="0.45">
      <c r="I451" t="s">
        <v>172</v>
      </c>
      <c r="J451" t="s">
        <v>354</v>
      </c>
      <c r="K451">
        <v>1.5652520742989053E-4</v>
      </c>
      <c r="L451" t="s">
        <v>159</v>
      </c>
      <c r="N451" t="s">
        <v>215</v>
      </c>
      <c r="O451" t="s">
        <v>354</v>
      </c>
      <c r="P451">
        <v>8.3586117834818491E-6</v>
      </c>
      <c r="Q451" t="s">
        <v>159</v>
      </c>
      <c r="S451" t="s">
        <v>257</v>
      </c>
      <c r="T451" t="s">
        <v>354</v>
      </c>
      <c r="U451">
        <v>6.610383245254143E-5</v>
      </c>
      <c r="V451" t="s">
        <v>159</v>
      </c>
    </row>
    <row r="452" spans="9:22" x14ac:dyDescent="0.45">
      <c r="I452" t="s">
        <v>172</v>
      </c>
      <c r="J452" t="s">
        <v>355</v>
      </c>
      <c r="K452">
        <v>1.7306481946220931E-4</v>
      </c>
      <c r="L452" t="s">
        <v>159</v>
      </c>
      <c r="N452" t="s">
        <v>215</v>
      </c>
      <c r="O452" t="s">
        <v>355</v>
      </c>
      <c r="P452">
        <v>3.6844117799215518E-6</v>
      </c>
      <c r="Q452" t="s">
        <v>159</v>
      </c>
      <c r="S452" t="s">
        <v>257</v>
      </c>
      <c r="T452" t="s">
        <v>355</v>
      </c>
      <c r="U452">
        <v>6.6953466118255031E-5</v>
      </c>
      <c r="V452" t="s">
        <v>159</v>
      </c>
    </row>
    <row r="453" spans="9:22" x14ac:dyDescent="0.45">
      <c r="I453" t="s">
        <v>172</v>
      </c>
      <c r="J453" t="s">
        <v>356</v>
      </c>
      <c r="K453">
        <v>1.6268555132295303E-4</v>
      </c>
      <c r="L453" t="s">
        <v>159</v>
      </c>
      <c r="N453" t="s">
        <v>215</v>
      </c>
      <c r="O453" t="s">
        <v>356</v>
      </c>
      <c r="P453">
        <v>9.7608667623674487E-7</v>
      </c>
      <c r="Q453" t="s">
        <v>159</v>
      </c>
      <c r="S453" t="s">
        <v>257</v>
      </c>
      <c r="T453" t="s">
        <v>356</v>
      </c>
      <c r="U453">
        <v>7.1585092209554689E-5</v>
      </c>
      <c r="V453" t="s">
        <v>159</v>
      </c>
    </row>
    <row r="454" spans="9:22" x14ac:dyDescent="0.45">
      <c r="I454" t="s">
        <v>172</v>
      </c>
      <c r="J454" t="s">
        <v>357</v>
      </c>
      <c r="K454">
        <v>1.7098134560718006E-4</v>
      </c>
      <c r="L454" t="s">
        <v>159</v>
      </c>
      <c r="N454" t="s">
        <v>215</v>
      </c>
      <c r="O454" t="s">
        <v>357</v>
      </c>
      <c r="P454">
        <v>5.0815702863853222E-7</v>
      </c>
      <c r="Q454" t="s">
        <v>159</v>
      </c>
      <c r="S454" t="s">
        <v>257</v>
      </c>
      <c r="T454" t="s">
        <v>357</v>
      </c>
      <c r="U454">
        <v>7.941810000670881E-5</v>
      </c>
      <c r="V454" t="s">
        <v>159</v>
      </c>
    </row>
    <row r="455" spans="9:22" x14ac:dyDescent="0.45">
      <c r="I455" t="s">
        <v>172</v>
      </c>
      <c r="J455" t="s">
        <v>358</v>
      </c>
      <c r="K455">
        <v>2.0945839995834825E-4</v>
      </c>
      <c r="L455" t="s">
        <v>159</v>
      </c>
      <c r="N455" t="s">
        <v>215</v>
      </c>
      <c r="O455" t="s">
        <v>358</v>
      </c>
      <c r="P455">
        <v>1.5928205682110696E-7</v>
      </c>
      <c r="Q455" t="s">
        <v>159</v>
      </c>
      <c r="S455" t="s">
        <v>257</v>
      </c>
      <c r="T455" t="s">
        <v>358</v>
      </c>
      <c r="U455">
        <v>8.6790113762182672E-5</v>
      </c>
      <c r="V455" t="s">
        <v>159</v>
      </c>
    </row>
    <row r="456" spans="9:22" x14ac:dyDescent="0.45">
      <c r="I456" t="s">
        <v>172</v>
      </c>
      <c r="J456" t="s">
        <v>359</v>
      </c>
      <c r="K456">
        <v>1.8955129369179548E-4</v>
      </c>
      <c r="L456" t="s">
        <v>159</v>
      </c>
      <c r="N456" t="s">
        <v>215</v>
      </c>
      <c r="O456" t="s">
        <v>359</v>
      </c>
      <c r="P456">
        <v>2.3728955746387165E-8</v>
      </c>
      <c r="Q456" t="s">
        <v>159</v>
      </c>
      <c r="S456" t="s">
        <v>257</v>
      </c>
      <c r="T456" t="s">
        <v>359</v>
      </c>
      <c r="U456">
        <v>9.2780652932909836E-5</v>
      </c>
      <c r="V456" t="s">
        <v>159</v>
      </c>
    </row>
    <row r="457" spans="9:22" x14ac:dyDescent="0.45">
      <c r="I457" t="s">
        <v>172</v>
      </c>
      <c r="J457" t="s">
        <v>360</v>
      </c>
      <c r="K457">
        <v>1.6090632582839971E-4</v>
      </c>
      <c r="L457" t="s">
        <v>159</v>
      </c>
      <c r="N457" t="s">
        <v>215</v>
      </c>
      <c r="O457" t="s">
        <v>360</v>
      </c>
      <c r="P457">
        <v>1.6038145976104067E-8</v>
      </c>
      <c r="Q457" t="s">
        <v>159</v>
      </c>
      <c r="S457" t="s">
        <v>257</v>
      </c>
      <c r="T457" t="s">
        <v>360</v>
      </c>
      <c r="U457">
        <v>1.0306709933108807E-4</v>
      </c>
      <c r="V457" t="s">
        <v>159</v>
      </c>
    </row>
    <row r="458" spans="9:22" x14ac:dyDescent="0.45">
      <c r="I458" t="s">
        <v>172</v>
      </c>
      <c r="J458" t="s">
        <v>361</v>
      </c>
      <c r="K458">
        <v>1.5345662736646019E-4</v>
      </c>
      <c r="L458" t="s">
        <v>159</v>
      </c>
      <c r="N458" t="s">
        <v>215</v>
      </c>
      <c r="O458" t="s">
        <v>361</v>
      </c>
      <c r="P458">
        <v>3.8627123225242222E-8</v>
      </c>
      <c r="Q458" t="s">
        <v>159</v>
      </c>
      <c r="S458" t="s">
        <v>257</v>
      </c>
      <c r="T458" t="s">
        <v>361</v>
      </c>
      <c r="U458">
        <v>1.1324696688027534E-4</v>
      </c>
      <c r="V458" t="s">
        <v>159</v>
      </c>
    </row>
    <row r="459" spans="9:22" x14ac:dyDescent="0.45">
      <c r="I459" t="s">
        <v>172</v>
      </c>
      <c r="J459" t="s">
        <v>362</v>
      </c>
      <c r="K459">
        <v>1.4859776150718293E-4</v>
      </c>
      <c r="L459" t="s">
        <v>159</v>
      </c>
      <c r="N459" t="s">
        <v>215</v>
      </c>
      <c r="O459" t="s">
        <v>362</v>
      </c>
      <c r="P459">
        <v>3.1498065178002376E-7</v>
      </c>
      <c r="Q459" t="s">
        <v>159</v>
      </c>
      <c r="S459" t="s">
        <v>257</v>
      </c>
      <c r="T459" t="s">
        <v>362</v>
      </c>
      <c r="U459">
        <v>1.2352053206714843E-4</v>
      </c>
      <c r="V459" t="s">
        <v>159</v>
      </c>
    </row>
    <row r="460" spans="9:22" x14ac:dyDescent="0.45">
      <c r="I460" t="s">
        <v>172</v>
      </c>
      <c r="J460" t="s">
        <v>363</v>
      </c>
      <c r="K460">
        <v>1.0591001526663153E-4</v>
      </c>
      <c r="L460" t="s">
        <v>159</v>
      </c>
      <c r="N460" t="s">
        <v>215</v>
      </c>
      <c r="O460" t="s">
        <v>363</v>
      </c>
      <c r="P460">
        <v>8.8519825262313421E-7</v>
      </c>
      <c r="Q460" t="s">
        <v>159</v>
      </c>
      <c r="S460" t="s">
        <v>257</v>
      </c>
      <c r="T460" t="s">
        <v>363</v>
      </c>
      <c r="U460">
        <v>1.3392530586736064E-4</v>
      </c>
      <c r="V460" t="s">
        <v>159</v>
      </c>
    </row>
    <row r="461" spans="9:22" x14ac:dyDescent="0.45">
      <c r="I461" t="s">
        <v>172</v>
      </c>
      <c r="J461" t="s">
        <v>364</v>
      </c>
      <c r="K461">
        <v>0</v>
      </c>
      <c r="L461" t="s">
        <v>159</v>
      </c>
      <c r="N461" t="s">
        <v>215</v>
      </c>
      <c r="O461" t="s">
        <v>364</v>
      </c>
      <c r="P461">
        <v>9.815027774565072E-7</v>
      </c>
      <c r="Q461" t="s">
        <v>159</v>
      </c>
      <c r="S461" t="s">
        <v>257</v>
      </c>
      <c r="T461" t="s">
        <v>364</v>
      </c>
      <c r="U461">
        <v>1.4972798444477109E-4</v>
      </c>
      <c r="V461" t="s">
        <v>159</v>
      </c>
    </row>
    <row r="462" spans="9:22" x14ac:dyDescent="0.45">
      <c r="I462" t="s">
        <v>172</v>
      </c>
      <c r="J462" t="s">
        <v>365</v>
      </c>
      <c r="K462">
        <v>0</v>
      </c>
      <c r="L462" t="s">
        <v>159</v>
      </c>
      <c r="N462" t="s">
        <v>215</v>
      </c>
      <c r="O462" t="s">
        <v>365</v>
      </c>
      <c r="P462">
        <v>1.1674200141017774E-6</v>
      </c>
      <c r="Q462" t="s">
        <v>159</v>
      </c>
      <c r="S462" t="s">
        <v>257</v>
      </c>
      <c r="T462" t="s">
        <v>365</v>
      </c>
      <c r="U462">
        <v>1.782466593479016E-4</v>
      </c>
      <c r="V462" t="s">
        <v>159</v>
      </c>
    </row>
    <row r="463" spans="9:22" x14ac:dyDescent="0.45">
      <c r="I463" t="s">
        <v>172</v>
      </c>
      <c r="J463" t="s">
        <v>366</v>
      </c>
      <c r="K463">
        <v>0</v>
      </c>
      <c r="L463" t="s">
        <v>159</v>
      </c>
      <c r="N463" t="s">
        <v>215</v>
      </c>
      <c r="O463" t="s">
        <v>366</v>
      </c>
      <c r="P463">
        <v>5.3953300446290272E-7</v>
      </c>
      <c r="Q463" t="s">
        <v>159</v>
      </c>
      <c r="S463" t="s">
        <v>257</v>
      </c>
      <c r="T463" t="s">
        <v>366</v>
      </c>
      <c r="U463">
        <v>1.9958810832025516E-4</v>
      </c>
      <c r="V463" t="s">
        <v>159</v>
      </c>
    </row>
    <row r="464" spans="9:22" x14ac:dyDescent="0.45">
      <c r="I464" t="s">
        <v>172</v>
      </c>
      <c r="J464" t="s">
        <v>367</v>
      </c>
      <c r="K464">
        <v>0</v>
      </c>
      <c r="L464" t="s">
        <v>159</v>
      </c>
      <c r="N464" t="s">
        <v>215</v>
      </c>
      <c r="O464" t="s">
        <v>367</v>
      </c>
      <c r="P464">
        <v>3.4031208343991725E-7</v>
      </c>
      <c r="Q464" t="s">
        <v>159</v>
      </c>
      <c r="S464" t="s">
        <v>257</v>
      </c>
      <c r="T464" t="s">
        <v>367</v>
      </c>
      <c r="U464">
        <v>2.071863288085518E-4</v>
      </c>
      <c r="V464" t="s">
        <v>159</v>
      </c>
    </row>
    <row r="465" spans="9:22" x14ac:dyDescent="0.45">
      <c r="I465" t="s">
        <v>172</v>
      </c>
      <c r="J465" t="s">
        <v>368</v>
      </c>
      <c r="K465">
        <v>0</v>
      </c>
      <c r="L465" t="s">
        <v>159</v>
      </c>
      <c r="N465" t="s">
        <v>215</v>
      </c>
      <c r="O465" t="s">
        <v>368</v>
      </c>
      <c r="P465">
        <v>8.7904164966051361E-7</v>
      </c>
      <c r="Q465" t="s">
        <v>159</v>
      </c>
      <c r="S465" t="s">
        <v>257</v>
      </c>
      <c r="T465" t="s">
        <v>368</v>
      </c>
      <c r="U465">
        <v>2.052195842966598E-4</v>
      </c>
      <c r="V465" t="s">
        <v>159</v>
      </c>
    </row>
    <row r="466" spans="9:22" x14ac:dyDescent="0.45">
      <c r="I466" t="s">
        <v>172</v>
      </c>
      <c r="J466" t="s">
        <v>369</v>
      </c>
      <c r="K466">
        <v>0</v>
      </c>
      <c r="L466" t="s">
        <v>159</v>
      </c>
      <c r="N466" t="s">
        <v>215</v>
      </c>
      <c r="O466" t="s">
        <v>369</v>
      </c>
      <c r="P466">
        <v>1.6059068591345302E-6</v>
      </c>
      <c r="Q466" t="s">
        <v>159</v>
      </c>
      <c r="S466" t="s">
        <v>257</v>
      </c>
      <c r="T466" t="s">
        <v>369</v>
      </c>
      <c r="U466">
        <v>1.8911670529478343E-4</v>
      </c>
      <c r="V466" t="s">
        <v>159</v>
      </c>
    </row>
    <row r="467" spans="9:22" x14ac:dyDescent="0.45">
      <c r="I467" t="s">
        <v>172</v>
      </c>
      <c r="J467" t="s">
        <v>165</v>
      </c>
      <c r="K467">
        <v>0</v>
      </c>
      <c r="L467" t="s">
        <v>159</v>
      </c>
      <c r="N467" t="s">
        <v>215</v>
      </c>
      <c r="O467" t="s">
        <v>165</v>
      </c>
      <c r="P467">
        <v>2.7770390578834771E-2</v>
      </c>
      <c r="Q467" t="s">
        <v>159</v>
      </c>
      <c r="S467" t="s">
        <v>257</v>
      </c>
      <c r="T467" t="s">
        <v>165</v>
      </c>
      <c r="U467">
        <v>2.0250124920527381E-2</v>
      </c>
      <c r="V467" t="s">
        <v>159</v>
      </c>
    </row>
    <row r="468" spans="9:22" x14ac:dyDescent="0.45">
      <c r="I468" t="s">
        <v>172</v>
      </c>
      <c r="J468" t="s">
        <v>166</v>
      </c>
      <c r="K468">
        <v>1.6522641348016352E-3</v>
      </c>
      <c r="L468" t="s">
        <v>159</v>
      </c>
      <c r="N468" t="s">
        <v>215</v>
      </c>
      <c r="O468" t="s">
        <v>166</v>
      </c>
      <c r="P468">
        <v>3.9805670276088648E-3</v>
      </c>
      <c r="Q468" t="s">
        <v>159</v>
      </c>
      <c r="S468" t="s">
        <v>257</v>
      </c>
      <c r="T468" t="s">
        <v>166</v>
      </c>
      <c r="U468">
        <v>2.7566664458202853E-3</v>
      </c>
      <c r="V468" t="s">
        <v>159</v>
      </c>
    </row>
    <row r="469" spans="9:22" x14ac:dyDescent="0.45">
      <c r="I469" t="s">
        <v>172</v>
      </c>
      <c r="J469" t="s">
        <v>167</v>
      </c>
      <c r="K469">
        <v>5.1833591851376683E-2</v>
      </c>
      <c r="L469" t="s">
        <v>159</v>
      </c>
      <c r="N469" t="s">
        <v>215</v>
      </c>
      <c r="O469" t="s">
        <v>167</v>
      </c>
      <c r="P469">
        <v>4.7749609488440758E-2</v>
      </c>
      <c r="Q469" t="s">
        <v>159</v>
      </c>
      <c r="S469" t="s">
        <v>257</v>
      </c>
      <c r="T469" t="s">
        <v>167</v>
      </c>
      <c r="U469">
        <v>2.3169845338420089E-2</v>
      </c>
      <c r="V469" t="s">
        <v>159</v>
      </c>
    </row>
    <row r="470" spans="9:22" x14ac:dyDescent="0.45">
      <c r="I470" t="s">
        <v>172</v>
      </c>
      <c r="J470" t="s">
        <v>291</v>
      </c>
      <c r="K470">
        <v>3.9139215537106215E-3</v>
      </c>
      <c r="L470" t="s">
        <v>159</v>
      </c>
      <c r="N470" t="s">
        <v>215</v>
      </c>
      <c r="O470" t="s">
        <v>291</v>
      </c>
      <c r="P470">
        <v>5.1397130975808485E-3</v>
      </c>
      <c r="Q470" t="s">
        <v>159</v>
      </c>
      <c r="S470" t="s">
        <v>257</v>
      </c>
      <c r="T470" t="s">
        <v>291</v>
      </c>
      <c r="U470">
        <v>3.1079402999174867E-3</v>
      </c>
      <c r="V470" t="s">
        <v>159</v>
      </c>
    </row>
    <row r="471" spans="9:22" x14ac:dyDescent="0.45">
      <c r="I471" t="s">
        <v>172</v>
      </c>
      <c r="J471" t="s">
        <v>292</v>
      </c>
      <c r="K471">
        <v>0</v>
      </c>
      <c r="L471" t="s">
        <v>159</v>
      </c>
      <c r="N471" t="s">
        <v>215</v>
      </c>
      <c r="O471" t="s">
        <v>292</v>
      </c>
      <c r="P471">
        <v>4.8167805917314266E-3</v>
      </c>
      <c r="Q471" t="s">
        <v>159</v>
      </c>
      <c r="S471" t="s">
        <v>257</v>
      </c>
      <c r="T471" t="s">
        <v>292</v>
      </c>
      <c r="U471">
        <v>3.1985925544293159E-3</v>
      </c>
      <c r="V471" t="s">
        <v>159</v>
      </c>
    </row>
    <row r="472" spans="9:22" x14ac:dyDescent="0.45">
      <c r="I472" t="s">
        <v>172</v>
      </c>
      <c r="J472" t="s">
        <v>310</v>
      </c>
      <c r="K472">
        <v>0</v>
      </c>
      <c r="L472" t="s">
        <v>159</v>
      </c>
      <c r="N472" t="s">
        <v>215</v>
      </c>
      <c r="O472" t="s">
        <v>310</v>
      </c>
      <c r="P472">
        <v>2.1493509181117004E-2</v>
      </c>
      <c r="Q472" t="s">
        <v>159</v>
      </c>
      <c r="S472" t="s">
        <v>257</v>
      </c>
      <c r="T472" t="s">
        <v>310</v>
      </c>
      <c r="U472">
        <v>1.5396816912799363E-2</v>
      </c>
      <c r="V472" t="s">
        <v>159</v>
      </c>
    </row>
    <row r="473" spans="9:22" x14ac:dyDescent="0.45">
      <c r="I473" t="s">
        <v>172</v>
      </c>
      <c r="J473" t="s">
        <v>293</v>
      </c>
      <c r="K473">
        <v>0</v>
      </c>
      <c r="L473" t="s">
        <v>159</v>
      </c>
      <c r="N473" t="s">
        <v>215</v>
      </c>
      <c r="O473" t="s">
        <v>293</v>
      </c>
      <c r="P473">
        <v>3.7562800158589074E-3</v>
      </c>
      <c r="Q473" t="s">
        <v>159</v>
      </c>
      <c r="S473" t="s">
        <v>257</v>
      </c>
      <c r="T473" t="s">
        <v>293</v>
      </c>
      <c r="U473">
        <v>5.466700565709237E-3</v>
      </c>
      <c r="V473" t="s">
        <v>159</v>
      </c>
    </row>
    <row r="474" spans="9:22" x14ac:dyDescent="0.45">
      <c r="I474" t="s">
        <v>172</v>
      </c>
      <c r="J474" t="s">
        <v>294</v>
      </c>
      <c r="K474">
        <v>1.0314024814259031E-3</v>
      </c>
      <c r="L474" t="s">
        <v>159</v>
      </c>
      <c r="N474" t="s">
        <v>215</v>
      </c>
      <c r="O474" t="s">
        <v>294</v>
      </c>
      <c r="P474">
        <v>6.5943369099880468E-4</v>
      </c>
      <c r="Q474" t="s">
        <v>159</v>
      </c>
      <c r="S474" t="s">
        <v>257</v>
      </c>
      <c r="T474" t="s">
        <v>294</v>
      </c>
      <c r="U474">
        <v>8.2895482724703348E-4</v>
      </c>
      <c r="V474" t="s">
        <v>159</v>
      </c>
    </row>
    <row r="475" spans="9:22" x14ac:dyDescent="0.45">
      <c r="I475" t="s">
        <v>172</v>
      </c>
      <c r="J475" t="s">
        <v>295</v>
      </c>
      <c r="K475">
        <v>1.4749866613780367E-2</v>
      </c>
      <c r="L475" t="s">
        <v>159</v>
      </c>
      <c r="N475" t="s">
        <v>215</v>
      </c>
      <c r="O475" t="s">
        <v>295</v>
      </c>
      <c r="P475">
        <v>8.7564107321632199E-3</v>
      </c>
      <c r="Q475" t="s">
        <v>159</v>
      </c>
      <c r="S475" t="s">
        <v>257</v>
      </c>
      <c r="T475" t="s">
        <v>295</v>
      </c>
      <c r="U475">
        <v>7.5201607987382627E-3</v>
      </c>
      <c r="V475" t="s">
        <v>159</v>
      </c>
    </row>
    <row r="476" spans="9:22" x14ac:dyDescent="0.45">
      <c r="I476" t="s">
        <v>172</v>
      </c>
      <c r="J476" t="s">
        <v>296</v>
      </c>
      <c r="K476">
        <v>1.2516334730091892E-3</v>
      </c>
      <c r="L476" t="s">
        <v>159</v>
      </c>
      <c r="N476" t="s">
        <v>215</v>
      </c>
      <c r="O476" t="s">
        <v>296</v>
      </c>
      <c r="P476">
        <v>9.5934605151771102E-4</v>
      </c>
      <c r="Q476" t="s">
        <v>159</v>
      </c>
      <c r="S476" t="s">
        <v>257</v>
      </c>
      <c r="T476" t="s">
        <v>296</v>
      </c>
      <c r="U476">
        <v>9.6233726960158375E-4</v>
      </c>
      <c r="V476" t="s">
        <v>159</v>
      </c>
    </row>
    <row r="477" spans="9:22" x14ac:dyDescent="0.45">
      <c r="I477" t="s">
        <v>172</v>
      </c>
      <c r="J477" t="s">
        <v>297</v>
      </c>
      <c r="K477">
        <v>0</v>
      </c>
      <c r="L477" t="s">
        <v>159</v>
      </c>
      <c r="N477" t="s">
        <v>215</v>
      </c>
      <c r="O477" t="s">
        <v>297</v>
      </c>
      <c r="P477">
        <v>8.8994851782616552E-4</v>
      </c>
      <c r="Q477" t="s">
        <v>159</v>
      </c>
      <c r="S477" t="s">
        <v>257</v>
      </c>
      <c r="T477" t="s">
        <v>297</v>
      </c>
      <c r="U477">
        <v>9.3895191488394068E-4</v>
      </c>
      <c r="V477" t="s">
        <v>159</v>
      </c>
    </row>
    <row r="478" spans="9:22" x14ac:dyDescent="0.45">
      <c r="I478" t="s">
        <v>172</v>
      </c>
      <c r="J478" t="s">
        <v>311</v>
      </c>
      <c r="K478">
        <v>0</v>
      </c>
      <c r="L478" t="s">
        <v>159</v>
      </c>
      <c r="N478" t="s">
        <v>215</v>
      </c>
      <c r="O478" t="s">
        <v>311</v>
      </c>
      <c r="P478">
        <v>3.2858518106443036E-3</v>
      </c>
      <c r="Q478" t="s">
        <v>159</v>
      </c>
      <c r="S478" t="s">
        <v>257</v>
      </c>
      <c r="T478" t="s">
        <v>311</v>
      </c>
      <c r="U478">
        <v>3.9127978709670094E-3</v>
      </c>
      <c r="V478" t="s">
        <v>159</v>
      </c>
    </row>
    <row r="479" spans="9:22" x14ac:dyDescent="0.45">
      <c r="I479" t="s">
        <v>172</v>
      </c>
      <c r="J479" t="s">
        <v>298</v>
      </c>
      <c r="K479">
        <v>1.0492320991466211E-2</v>
      </c>
      <c r="L479" t="s">
        <v>159</v>
      </c>
      <c r="N479" t="s">
        <v>215</v>
      </c>
      <c r="O479" t="s">
        <v>298</v>
      </c>
      <c r="P479">
        <v>5.6890214117889339E-2</v>
      </c>
      <c r="Q479" t="s">
        <v>159</v>
      </c>
      <c r="S479" t="s">
        <v>257</v>
      </c>
      <c r="T479" t="s">
        <v>298</v>
      </c>
      <c r="U479">
        <v>7.794542452415433E-2</v>
      </c>
      <c r="V479" t="s">
        <v>159</v>
      </c>
    </row>
    <row r="480" spans="9:22" x14ac:dyDescent="0.45">
      <c r="I480" t="s">
        <v>172</v>
      </c>
      <c r="J480" t="s">
        <v>299</v>
      </c>
      <c r="K480">
        <v>2.0569876338769107E-2</v>
      </c>
      <c r="L480" t="s">
        <v>159</v>
      </c>
      <c r="N480" t="s">
        <v>215</v>
      </c>
      <c r="O480" t="s">
        <v>299</v>
      </c>
      <c r="P480">
        <v>7.4998602907878761E-3</v>
      </c>
      <c r="Q480" t="s">
        <v>159</v>
      </c>
      <c r="S480" t="s">
        <v>257</v>
      </c>
      <c r="T480" t="s">
        <v>299</v>
      </c>
      <c r="U480">
        <v>1.0194726291012889E-2</v>
      </c>
      <c r="V480" t="s">
        <v>159</v>
      </c>
    </row>
    <row r="481" spans="9:22" x14ac:dyDescent="0.45">
      <c r="I481" t="s">
        <v>172</v>
      </c>
      <c r="J481" t="s">
        <v>300</v>
      </c>
      <c r="K481">
        <v>0.24000689522585955</v>
      </c>
      <c r="L481" t="s">
        <v>159</v>
      </c>
      <c r="N481" t="s">
        <v>215</v>
      </c>
      <c r="O481" t="s">
        <v>300</v>
      </c>
      <c r="P481">
        <v>0.10340745338528244</v>
      </c>
      <c r="Q481" t="s">
        <v>159</v>
      </c>
      <c r="S481" t="s">
        <v>257</v>
      </c>
      <c r="T481" t="s">
        <v>300</v>
      </c>
      <c r="U481">
        <v>0.10255388203377182</v>
      </c>
      <c r="V481" t="s">
        <v>159</v>
      </c>
    </row>
    <row r="482" spans="9:22" x14ac:dyDescent="0.45">
      <c r="I482" t="s">
        <v>172</v>
      </c>
      <c r="J482" t="s">
        <v>301</v>
      </c>
      <c r="K482">
        <v>2.0730302169991565E-2</v>
      </c>
      <c r="L482" t="s">
        <v>159</v>
      </c>
      <c r="N482" t="s">
        <v>215</v>
      </c>
      <c r="O482" t="s">
        <v>301</v>
      </c>
      <c r="P482">
        <v>1.5030735113072553E-2</v>
      </c>
      <c r="Q482" t="s">
        <v>159</v>
      </c>
      <c r="S482" t="s">
        <v>257</v>
      </c>
      <c r="T482" t="s">
        <v>301</v>
      </c>
      <c r="U482">
        <v>1.4024232325521864E-2</v>
      </c>
      <c r="V482" t="s">
        <v>159</v>
      </c>
    </row>
    <row r="483" spans="9:22" x14ac:dyDescent="0.45">
      <c r="I483" t="s">
        <v>172</v>
      </c>
      <c r="J483" t="s">
        <v>302</v>
      </c>
      <c r="K483">
        <v>1.1105194957212244E-2</v>
      </c>
      <c r="L483" t="s">
        <v>159</v>
      </c>
      <c r="N483" t="s">
        <v>215</v>
      </c>
      <c r="O483" t="s">
        <v>302</v>
      </c>
      <c r="P483">
        <v>1.5425483188502837E-2</v>
      </c>
      <c r="Q483" t="s">
        <v>159</v>
      </c>
      <c r="S483" t="s">
        <v>257</v>
      </c>
      <c r="T483" t="s">
        <v>302</v>
      </c>
      <c r="U483">
        <v>1.3869806860931351E-2</v>
      </c>
      <c r="V483" t="s">
        <v>159</v>
      </c>
    </row>
    <row r="484" spans="9:22" x14ac:dyDescent="0.45">
      <c r="I484" t="s">
        <v>172</v>
      </c>
      <c r="J484" t="s">
        <v>312</v>
      </c>
      <c r="K484">
        <v>0</v>
      </c>
      <c r="L484" t="s">
        <v>159</v>
      </c>
      <c r="N484" t="s">
        <v>215</v>
      </c>
      <c r="O484" t="s">
        <v>312</v>
      </c>
      <c r="P484">
        <v>6.3089112943051348E-2</v>
      </c>
      <c r="Q484" t="s">
        <v>159</v>
      </c>
      <c r="S484" t="s">
        <v>257</v>
      </c>
      <c r="T484" t="s">
        <v>312</v>
      </c>
      <c r="U484">
        <v>6.2359467117365557E-2</v>
      </c>
      <c r="V484" t="s">
        <v>159</v>
      </c>
    </row>
    <row r="485" spans="9:22" x14ac:dyDescent="0.45">
      <c r="I485" t="s">
        <v>172</v>
      </c>
      <c r="J485" t="s">
        <v>397</v>
      </c>
      <c r="K485">
        <v>0</v>
      </c>
      <c r="L485" t="s">
        <v>159</v>
      </c>
      <c r="N485" t="s">
        <v>215</v>
      </c>
      <c r="O485" t="s">
        <v>397</v>
      </c>
      <c r="P485">
        <v>4.188765457032073E-5</v>
      </c>
      <c r="Q485" t="s">
        <v>159</v>
      </c>
      <c r="S485" t="s">
        <v>257</v>
      </c>
      <c r="T485" t="s">
        <v>397</v>
      </c>
      <c r="U485">
        <v>7.8372184658630049E-5</v>
      </c>
      <c r="V485" t="s">
        <v>159</v>
      </c>
    </row>
    <row r="486" spans="9:22" x14ac:dyDescent="0.45">
      <c r="I486" t="s">
        <v>172</v>
      </c>
      <c r="J486" t="s">
        <v>398</v>
      </c>
      <c r="K486">
        <v>0</v>
      </c>
      <c r="L486" t="s">
        <v>159</v>
      </c>
      <c r="N486" t="s">
        <v>215</v>
      </c>
      <c r="O486" t="s">
        <v>398</v>
      </c>
      <c r="P486">
        <v>4.1210179635050501E-5</v>
      </c>
      <c r="Q486" t="s">
        <v>159</v>
      </c>
      <c r="S486" t="s">
        <v>257</v>
      </c>
      <c r="T486" t="s">
        <v>398</v>
      </c>
      <c r="U486">
        <v>7.2169284348751433E-5</v>
      </c>
      <c r="V486" t="s">
        <v>159</v>
      </c>
    </row>
    <row r="487" spans="9:22" x14ac:dyDescent="0.45">
      <c r="I487" t="s">
        <v>172</v>
      </c>
      <c r="J487" t="s">
        <v>399</v>
      </c>
      <c r="K487">
        <v>0</v>
      </c>
      <c r="L487" t="s">
        <v>159</v>
      </c>
      <c r="N487" t="s">
        <v>215</v>
      </c>
      <c r="O487" t="s">
        <v>399</v>
      </c>
      <c r="P487">
        <v>4.2644877060407123E-5</v>
      </c>
      <c r="Q487" t="s">
        <v>159</v>
      </c>
      <c r="S487" t="s">
        <v>257</v>
      </c>
      <c r="T487" t="s">
        <v>399</v>
      </c>
      <c r="U487">
        <v>6.8850430989822668E-5</v>
      </c>
      <c r="V487" t="s">
        <v>159</v>
      </c>
    </row>
    <row r="488" spans="9:22" x14ac:dyDescent="0.45">
      <c r="I488" t="s">
        <v>172</v>
      </c>
      <c r="J488" t="s">
        <v>400</v>
      </c>
      <c r="K488">
        <v>0</v>
      </c>
      <c r="L488" t="s">
        <v>159</v>
      </c>
      <c r="N488" t="s">
        <v>215</v>
      </c>
      <c r="O488" t="s">
        <v>400</v>
      </c>
      <c r="P488">
        <v>4.0118613867911348E-5</v>
      </c>
      <c r="Q488" t="s">
        <v>159</v>
      </c>
      <c r="S488" t="s">
        <v>257</v>
      </c>
      <c r="T488" t="s">
        <v>400</v>
      </c>
      <c r="U488">
        <v>6.5473136380602993E-5</v>
      </c>
      <c r="V488" t="s">
        <v>159</v>
      </c>
    </row>
    <row r="489" spans="9:22" x14ac:dyDescent="0.45">
      <c r="I489" t="s">
        <v>172</v>
      </c>
      <c r="J489" t="s">
        <v>401</v>
      </c>
      <c r="K489">
        <v>0</v>
      </c>
      <c r="L489" t="s">
        <v>159</v>
      </c>
      <c r="N489" t="s">
        <v>215</v>
      </c>
      <c r="O489" t="s">
        <v>401</v>
      </c>
      <c r="P489">
        <v>3.8529392674442573E-5</v>
      </c>
      <c r="Q489" t="s">
        <v>159</v>
      </c>
      <c r="S489" t="s">
        <v>257</v>
      </c>
      <c r="T489" t="s">
        <v>401</v>
      </c>
      <c r="U489">
        <v>6.02829705322165E-5</v>
      </c>
      <c r="V489" t="s">
        <v>159</v>
      </c>
    </row>
    <row r="490" spans="9:22" x14ac:dyDescent="0.45">
      <c r="I490" t="s">
        <v>172</v>
      </c>
      <c r="J490" t="s">
        <v>402</v>
      </c>
      <c r="K490">
        <v>0</v>
      </c>
      <c r="L490" t="s">
        <v>159</v>
      </c>
      <c r="N490" t="s">
        <v>215</v>
      </c>
      <c r="O490" t="s">
        <v>402</v>
      </c>
      <c r="P490">
        <v>3.6728957886469781E-5</v>
      </c>
      <c r="Q490" t="s">
        <v>159</v>
      </c>
      <c r="S490" t="s">
        <v>257</v>
      </c>
      <c r="T490" t="s">
        <v>402</v>
      </c>
      <c r="U490">
        <v>5.4408700202652883E-5</v>
      </c>
      <c r="V490" t="s">
        <v>159</v>
      </c>
    </row>
    <row r="491" spans="9:22" x14ac:dyDescent="0.45">
      <c r="I491" t="s">
        <v>172</v>
      </c>
      <c r="J491" t="s">
        <v>403</v>
      </c>
      <c r="K491">
        <v>0</v>
      </c>
      <c r="L491" t="s">
        <v>159</v>
      </c>
      <c r="N491" t="s">
        <v>215</v>
      </c>
      <c r="O491" t="s">
        <v>403</v>
      </c>
      <c r="P491">
        <v>3.6440141611725503E-5</v>
      </c>
      <c r="Q491" t="s">
        <v>159</v>
      </c>
      <c r="S491" t="s">
        <v>257</v>
      </c>
      <c r="T491" t="s">
        <v>403</v>
      </c>
      <c r="U491">
        <v>4.7692103359730697E-5</v>
      </c>
      <c r="V491" t="s">
        <v>159</v>
      </c>
    </row>
    <row r="492" spans="9:22" x14ac:dyDescent="0.45">
      <c r="I492" t="s">
        <v>172</v>
      </c>
      <c r="J492" t="s">
        <v>404</v>
      </c>
      <c r="K492">
        <v>1.8103949578752963E-4</v>
      </c>
      <c r="L492" t="s">
        <v>159</v>
      </c>
      <c r="N492" t="s">
        <v>215</v>
      </c>
      <c r="O492" t="s">
        <v>404</v>
      </c>
      <c r="P492">
        <v>2.7635663579663165E-5</v>
      </c>
      <c r="Q492" t="s">
        <v>159</v>
      </c>
      <c r="S492" t="s">
        <v>257</v>
      </c>
      <c r="T492" t="s">
        <v>404</v>
      </c>
      <c r="U492">
        <v>4.6872396023029367E-5</v>
      </c>
      <c r="V492" t="s">
        <v>159</v>
      </c>
    </row>
    <row r="493" spans="9:22" x14ac:dyDescent="0.45">
      <c r="I493" t="s">
        <v>172</v>
      </c>
      <c r="J493" t="s">
        <v>405</v>
      </c>
      <c r="K493">
        <v>2.3454316089165688E-4</v>
      </c>
      <c r="L493" t="s">
        <v>159</v>
      </c>
      <c r="N493" t="s">
        <v>215</v>
      </c>
      <c r="O493" t="s">
        <v>405</v>
      </c>
      <c r="P493">
        <v>3.1664388662856551E-5</v>
      </c>
      <c r="Q493" t="s">
        <v>159</v>
      </c>
      <c r="S493" t="s">
        <v>257</v>
      </c>
      <c r="T493" t="s">
        <v>405</v>
      </c>
      <c r="U493">
        <v>4.3949188460141965E-5</v>
      </c>
      <c r="V493" t="s">
        <v>159</v>
      </c>
    </row>
    <row r="494" spans="9:22" x14ac:dyDescent="0.45">
      <c r="I494" t="s">
        <v>172</v>
      </c>
      <c r="J494" t="s">
        <v>406</v>
      </c>
      <c r="K494">
        <v>2.6236672278266688E-4</v>
      </c>
      <c r="L494" t="s">
        <v>159</v>
      </c>
      <c r="N494" t="s">
        <v>215</v>
      </c>
      <c r="O494" t="s">
        <v>406</v>
      </c>
      <c r="P494">
        <v>5.8526450694444278E-5</v>
      </c>
      <c r="Q494" t="s">
        <v>159</v>
      </c>
      <c r="S494" t="s">
        <v>257</v>
      </c>
      <c r="T494" t="s">
        <v>406</v>
      </c>
      <c r="U494">
        <v>4.4631934354735977E-5</v>
      </c>
      <c r="V494" t="s">
        <v>159</v>
      </c>
    </row>
    <row r="495" spans="9:22" x14ac:dyDescent="0.45">
      <c r="I495" t="s">
        <v>172</v>
      </c>
      <c r="J495" t="s">
        <v>407</v>
      </c>
      <c r="K495">
        <v>2.6779864957805674E-4</v>
      </c>
      <c r="L495" t="s">
        <v>159</v>
      </c>
      <c r="N495" t="s">
        <v>215</v>
      </c>
      <c r="O495" t="s">
        <v>407</v>
      </c>
      <c r="P495">
        <v>8.6605142357421602E-5</v>
      </c>
      <c r="Q495" t="s">
        <v>159</v>
      </c>
      <c r="S495" t="s">
        <v>257</v>
      </c>
      <c r="T495" t="s">
        <v>407</v>
      </c>
      <c r="U495">
        <v>4.5685535954467812E-5</v>
      </c>
      <c r="V495" t="s">
        <v>159</v>
      </c>
    </row>
    <row r="496" spans="9:22" x14ac:dyDescent="0.45">
      <c r="I496" t="s">
        <v>172</v>
      </c>
      <c r="J496" t="s">
        <v>408</v>
      </c>
      <c r="K496">
        <v>2.7872373468480999E-4</v>
      </c>
      <c r="L496" t="s">
        <v>159</v>
      </c>
      <c r="N496" t="s">
        <v>215</v>
      </c>
      <c r="O496" t="s">
        <v>408</v>
      </c>
      <c r="P496">
        <v>1.3617955572014237E-4</v>
      </c>
      <c r="Q496" t="s">
        <v>159</v>
      </c>
      <c r="S496" t="s">
        <v>257</v>
      </c>
      <c r="T496" t="s">
        <v>408</v>
      </c>
      <c r="U496">
        <v>4.5774830063999048E-5</v>
      </c>
      <c r="V496" t="s">
        <v>159</v>
      </c>
    </row>
    <row r="497" spans="9:22" x14ac:dyDescent="0.45">
      <c r="I497" t="s">
        <v>172</v>
      </c>
      <c r="J497" t="s">
        <v>409</v>
      </c>
      <c r="K497">
        <v>3.0046551305561197E-4</v>
      </c>
      <c r="L497" t="s">
        <v>159</v>
      </c>
      <c r="N497" t="s">
        <v>215</v>
      </c>
      <c r="O497" t="s">
        <v>409</v>
      </c>
      <c r="P497">
        <v>1.6452206938842327E-4</v>
      </c>
      <c r="Q497" t="s">
        <v>159</v>
      </c>
      <c r="S497" t="s">
        <v>257</v>
      </c>
      <c r="T497" t="s">
        <v>409</v>
      </c>
      <c r="U497">
        <v>5.1393525059099241E-5</v>
      </c>
      <c r="V497" t="s">
        <v>159</v>
      </c>
    </row>
    <row r="498" spans="9:22" x14ac:dyDescent="0.45">
      <c r="I498" t="s">
        <v>172</v>
      </c>
      <c r="J498" t="s">
        <v>410</v>
      </c>
      <c r="K498">
        <v>2.8110760230134259E-4</v>
      </c>
      <c r="L498" t="s">
        <v>159</v>
      </c>
      <c r="N498" t="s">
        <v>215</v>
      </c>
      <c r="O498" t="s">
        <v>410</v>
      </c>
      <c r="P498">
        <v>1.7789266800439913E-4</v>
      </c>
      <c r="Q498" t="s">
        <v>159</v>
      </c>
      <c r="S498" t="s">
        <v>257</v>
      </c>
      <c r="T498" t="s">
        <v>410</v>
      </c>
      <c r="U498">
        <v>5.8146461195312485E-5</v>
      </c>
      <c r="V498" t="s">
        <v>159</v>
      </c>
    </row>
    <row r="499" spans="9:22" x14ac:dyDescent="0.45">
      <c r="I499" t="s">
        <v>172</v>
      </c>
      <c r="J499" t="s">
        <v>411</v>
      </c>
      <c r="K499">
        <v>2.6244597580809084E-4</v>
      </c>
      <c r="L499" t="s">
        <v>159</v>
      </c>
      <c r="N499" t="s">
        <v>215</v>
      </c>
      <c r="O499" t="s">
        <v>411</v>
      </c>
      <c r="P499">
        <v>1.7446896207158169E-4</v>
      </c>
      <c r="Q499" t="s">
        <v>159</v>
      </c>
      <c r="S499" t="s">
        <v>257</v>
      </c>
      <c r="T499" t="s">
        <v>411</v>
      </c>
      <c r="U499">
        <v>6.9467862024810085E-5</v>
      </c>
      <c r="V499" t="s">
        <v>159</v>
      </c>
    </row>
    <row r="500" spans="9:22" x14ac:dyDescent="0.45">
      <c r="I500" t="s">
        <v>172</v>
      </c>
      <c r="J500" t="s">
        <v>412</v>
      </c>
      <c r="K500">
        <v>2.5354819172336069E-4</v>
      </c>
      <c r="L500" t="s">
        <v>159</v>
      </c>
      <c r="N500" t="s">
        <v>215</v>
      </c>
      <c r="O500" t="s">
        <v>412</v>
      </c>
      <c r="P500">
        <v>1.6942324695845527E-4</v>
      </c>
      <c r="Q500" t="s">
        <v>159</v>
      </c>
      <c r="S500" t="s">
        <v>257</v>
      </c>
      <c r="T500" t="s">
        <v>412</v>
      </c>
      <c r="U500">
        <v>8.4647306667829441E-5</v>
      </c>
      <c r="V500" t="s">
        <v>159</v>
      </c>
    </row>
    <row r="501" spans="9:22" x14ac:dyDescent="0.45">
      <c r="I501" t="s">
        <v>172</v>
      </c>
      <c r="J501" t="s">
        <v>413</v>
      </c>
      <c r="K501">
        <v>2.4939414892941964E-4</v>
      </c>
      <c r="L501" t="s">
        <v>159</v>
      </c>
      <c r="N501" t="s">
        <v>215</v>
      </c>
      <c r="O501" t="s">
        <v>413</v>
      </c>
      <c r="P501">
        <v>1.6482384992312163E-4</v>
      </c>
      <c r="Q501" t="s">
        <v>159</v>
      </c>
      <c r="S501" t="s">
        <v>257</v>
      </c>
      <c r="T501" t="s">
        <v>413</v>
      </c>
      <c r="U501">
        <v>8.7772247049273331E-5</v>
      </c>
      <c r="V501" t="s">
        <v>159</v>
      </c>
    </row>
    <row r="502" spans="9:22" x14ac:dyDescent="0.45">
      <c r="I502" t="s">
        <v>172</v>
      </c>
      <c r="J502" t="s">
        <v>414</v>
      </c>
      <c r="K502">
        <v>2.0952187070975625E-4</v>
      </c>
      <c r="L502" t="s">
        <v>159</v>
      </c>
      <c r="N502" t="s">
        <v>215</v>
      </c>
      <c r="O502" t="s">
        <v>414</v>
      </c>
      <c r="P502">
        <v>1.3562578650881449E-4</v>
      </c>
      <c r="Q502" t="s">
        <v>159</v>
      </c>
      <c r="S502" t="s">
        <v>257</v>
      </c>
      <c r="T502" t="s">
        <v>414</v>
      </c>
      <c r="U502">
        <v>8.3090970986425926E-5</v>
      </c>
      <c r="V502" t="s">
        <v>159</v>
      </c>
    </row>
    <row r="503" spans="9:22" x14ac:dyDescent="0.45">
      <c r="I503" t="s">
        <v>172</v>
      </c>
      <c r="J503" t="s">
        <v>415</v>
      </c>
      <c r="K503">
        <v>1.8646425555075347E-5</v>
      </c>
      <c r="L503" t="s">
        <v>159</v>
      </c>
      <c r="N503" t="s">
        <v>215</v>
      </c>
      <c r="O503" t="s">
        <v>415</v>
      </c>
      <c r="P503">
        <v>9.3952518593981679E-5</v>
      </c>
      <c r="Q503" t="s">
        <v>159</v>
      </c>
      <c r="S503" t="s">
        <v>257</v>
      </c>
      <c r="T503" t="s">
        <v>415</v>
      </c>
      <c r="U503">
        <v>8.3821666441834291E-5</v>
      </c>
      <c r="V503" t="s">
        <v>159</v>
      </c>
    </row>
    <row r="504" spans="9:22" x14ac:dyDescent="0.45">
      <c r="I504" t="s">
        <v>172</v>
      </c>
      <c r="J504" t="s">
        <v>416</v>
      </c>
      <c r="K504">
        <v>0</v>
      </c>
      <c r="L504" t="s">
        <v>159</v>
      </c>
      <c r="N504" t="s">
        <v>215</v>
      </c>
      <c r="O504" t="s">
        <v>416</v>
      </c>
      <c r="P504">
        <v>6.9113941453707406E-5</v>
      </c>
      <c r="Q504" t="s">
        <v>159</v>
      </c>
      <c r="S504" t="s">
        <v>257</v>
      </c>
      <c r="T504" t="s">
        <v>416</v>
      </c>
      <c r="U504">
        <v>8.0140943050528498E-5</v>
      </c>
      <c r="V504" t="s">
        <v>159</v>
      </c>
    </row>
    <row r="505" spans="9:22" x14ac:dyDescent="0.45">
      <c r="I505" t="s">
        <v>172</v>
      </c>
      <c r="J505" t="s">
        <v>417</v>
      </c>
      <c r="K505">
        <v>0</v>
      </c>
      <c r="L505" t="s">
        <v>159</v>
      </c>
      <c r="N505" t="s">
        <v>215</v>
      </c>
      <c r="O505" t="s">
        <v>417</v>
      </c>
      <c r="P505">
        <v>5.5580953809680854E-5</v>
      </c>
      <c r="Q505" t="s">
        <v>159</v>
      </c>
      <c r="S505" t="s">
        <v>257</v>
      </c>
      <c r="T505" t="s">
        <v>417</v>
      </c>
      <c r="U505">
        <v>6.8383731574918577E-5</v>
      </c>
      <c r="V505" t="s">
        <v>159</v>
      </c>
    </row>
    <row r="506" spans="9:22" x14ac:dyDescent="0.45">
      <c r="I506" t="s">
        <v>172</v>
      </c>
      <c r="J506" t="s">
        <v>418</v>
      </c>
      <c r="K506">
        <v>0</v>
      </c>
      <c r="L506" t="s">
        <v>159</v>
      </c>
      <c r="N506" t="s">
        <v>215</v>
      </c>
      <c r="O506" t="s">
        <v>418</v>
      </c>
      <c r="P506">
        <v>4.482507015505776E-5</v>
      </c>
      <c r="Q506" t="s">
        <v>159</v>
      </c>
      <c r="S506" t="s">
        <v>257</v>
      </c>
      <c r="T506" t="s">
        <v>418</v>
      </c>
      <c r="U506">
        <v>5.3897815280936284E-5</v>
      </c>
      <c r="V506" t="s">
        <v>159</v>
      </c>
    </row>
    <row r="507" spans="9:22" x14ac:dyDescent="0.45">
      <c r="I507" t="s">
        <v>172</v>
      </c>
      <c r="J507" t="s">
        <v>419</v>
      </c>
      <c r="K507">
        <v>0</v>
      </c>
      <c r="L507" t="s">
        <v>159</v>
      </c>
      <c r="N507" t="s">
        <v>215</v>
      </c>
      <c r="O507" t="s">
        <v>419</v>
      </c>
      <c r="P507">
        <v>4.0476330945321572E-5</v>
      </c>
      <c r="Q507" t="s">
        <v>159</v>
      </c>
      <c r="S507" t="s">
        <v>257</v>
      </c>
      <c r="T507" t="s">
        <v>419</v>
      </c>
      <c r="U507">
        <v>4.2329093642877443E-5</v>
      </c>
      <c r="V507" t="s">
        <v>159</v>
      </c>
    </row>
    <row r="508" spans="9:22" x14ac:dyDescent="0.45">
      <c r="I508" t="s">
        <v>172</v>
      </c>
      <c r="J508" t="s">
        <v>420</v>
      </c>
      <c r="K508">
        <v>0</v>
      </c>
      <c r="L508" t="s">
        <v>159</v>
      </c>
      <c r="N508" t="s">
        <v>215</v>
      </c>
      <c r="O508" t="s">
        <v>420</v>
      </c>
      <c r="P508">
        <v>5.8996035010647304E-5</v>
      </c>
      <c r="Q508" t="s">
        <v>159</v>
      </c>
      <c r="S508" t="s">
        <v>257</v>
      </c>
      <c r="T508" t="s">
        <v>420</v>
      </c>
      <c r="U508">
        <v>2.3624407978416519E-5</v>
      </c>
      <c r="V508" t="s">
        <v>159</v>
      </c>
    </row>
    <row r="509" spans="9:22" x14ac:dyDescent="0.45">
      <c r="I509" t="s">
        <v>172</v>
      </c>
      <c r="J509" t="s">
        <v>313</v>
      </c>
      <c r="K509">
        <v>5.2030218499125123E-3</v>
      </c>
      <c r="L509" t="s">
        <v>159</v>
      </c>
      <c r="N509" t="s">
        <v>215</v>
      </c>
      <c r="O509" t="s">
        <v>313</v>
      </c>
      <c r="P509">
        <v>1.1921280945424557E-2</v>
      </c>
      <c r="Q509" t="s">
        <v>159</v>
      </c>
      <c r="S509" t="s">
        <v>257</v>
      </c>
      <c r="T509" t="s">
        <v>313</v>
      </c>
      <c r="U509">
        <v>2.1026489131624467E-2</v>
      </c>
      <c r="V509" t="s">
        <v>159</v>
      </c>
    </row>
    <row r="510" spans="9:22" x14ac:dyDescent="0.45">
      <c r="I510" t="s">
        <v>172</v>
      </c>
      <c r="J510" t="s">
        <v>314</v>
      </c>
      <c r="K510">
        <v>7.7694814497884556E-3</v>
      </c>
      <c r="L510" t="s">
        <v>159</v>
      </c>
      <c r="N510" t="s">
        <v>215</v>
      </c>
      <c r="O510" t="s">
        <v>314</v>
      </c>
      <c r="P510">
        <v>1.1894596780738114E-3</v>
      </c>
      <c r="Q510" t="s">
        <v>159</v>
      </c>
      <c r="S510" t="s">
        <v>257</v>
      </c>
      <c r="T510" t="s">
        <v>314</v>
      </c>
      <c r="U510">
        <v>2.6991350791569536E-3</v>
      </c>
      <c r="V510" t="s">
        <v>159</v>
      </c>
    </row>
    <row r="511" spans="9:22" x14ac:dyDescent="0.45">
      <c r="I511" t="s">
        <v>172</v>
      </c>
      <c r="J511" t="s">
        <v>315</v>
      </c>
      <c r="K511">
        <v>8.0544010464158586E-2</v>
      </c>
      <c r="L511" t="s">
        <v>159</v>
      </c>
      <c r="N511" t="s">
        <v>215</v>
      </c>
      <c r="O511" t="s">
        <v>315</v>
      </c>
      <c r="P511">
        <v>1.815893786658607E-2</v>
      </c>
      <c r="Q511" t="s">
        <v>159</v>
      </c>
      <c r="S511" t="s">
        <v>257</v>
      </c>
      <c r="T511" t="s">
        <v>315</v>
      </c>
      <c r="U511">
        <v>3.0044102284173098E-2</v>
      </c>
      <c r="V511" t="s">
        <v>159</v>
      </c>
    </row>
    <row r="512" spans="9:22" x14ac:dyDescent="0.45">
      <c r="I512" t="s">
        <v>172</v>
      </c>
      <c r="J512" t="s">
        <v>316</v>
      </c>
      <c r="K512">
        <v>6.8765839082076882E-3</v>
      </c>
      <c r="L512" t="s">
        <v>159</v>
      </c>
      <c r="N512" t="s">
        <v>215</v>
      </c>
      <c r="O512" t="s">
        <v>316</v>
      </c>
      <c r="P512">
        <v>4.7744376498719196E-3</v>
      </c>
      <c r="Q512" t="s">
        <v>159</v>
      </c>
      <c r="S512" t="s">
        <v>257</v>
      </c>
      <c r="T512" t="s">
        <v>316</v>
      </c>
      <c r="U512">
        <v>4.2837402560222549E-3</v>
      </c>
      <c r="V512" t="s">
        <v>159</v>
      </c>
    </row>
    <row r="513" spans="9:22" x14ac:dyDescent="0.45">
      <c r="I513" t="s">
        <v>172</v>
      </c>
      <c r="J513" t="s">
        <v>317</v>
      </c>
      <c r="K513">
        <v>5.0663864167644138E-3</v>
      </c>
      <c r="L513" t="s">
        <v>159</v>
      </c>
      <c r="N513" t="s">
        <v>215</v>
      </c>
      <c r="O513" t="s">
        <v>317</v>
      </c>
      <c r="P513">
        <v>5.8343720231402978E-3</v>
      </c>
      <c r="Q513" t="s">
        <v>159</v>
      </c>
      <c r="S513" t="s">
        <v>257</v>
      </c>
      <c r="T513" t="s">
        <v>317</v>
      </c>
      <c r="U513">
        <v>4.2765181742471115E-3</v>
      </c>
      <c r="V513" t="s">
        <v>159</v>
      </c>
    </row>
    <row r="514" spans="9:22" x14ac:dyDescent="0.45">
      <c r="I514" t="s">
        <v>172</v>
      </c>
      <c r="J514" t="s">
        <v>318</v>
      </c>
      <c r="K514">
        <v>1.6794445008047677E-3</v>
      </c>
      <c r="L514" t="s">
        <v>159</v>
      </c>
      <c r="N514" t="s">
        <v>215</v>
      </c>
      <c r="O514" t="s">
        <v>318</v>
      </c>
      <c r="P514">
        <v>2.4577950642434537E-2</v>
      </c>
      <c r="Q514" t="s">
        <v>159</v>
      </c>
      <c r="S514" t="s">
        <v>257</v>
      </c>
      <c r="T514" t="s">
        <v>318</v>
      </c>
      <c r="U514">
        <v>1.9524615365589137E-2</v>
      </c>
      <c r="V514" t="s">
        <v>159</v>
      </c>
    </row>
    <row r="515" spans="9:22" x14ac:dyDescent="0.45">
      <c r="I515" t="s">
        <v>173</v>
      </c>
      <c r="J515" t="s">
        <v>158</v>
      </c>
      <c r="K515">
        <v>9.8169743692247367E-3</v>
      </c>
      <c r="L515" t="s">
        <v>159</v>
      </c>
      <c r="N515" t="s">
        <v>216</v>
      </c>
      <c r="O515" t="s">
        <v>158</v>
      </c>
      <c r="P515">
        <v>7.0120405513549505E-2</v>
      </c>
      <c r="Q515" t="s">
        <v>159</v>
      </c>
      <c r="S515" t="s">
        <v>258</v>
      </c>
      <c r="T515" t="s">
        <v>158</v>
      </c>
      <c r="U515">
        <v>0.11987503161247724</v>
      </c>
      <c r="V515" t="s">
        <v>159</v>
      </c>
    </row>
    <row r="516" spans="9:22" x14ac:dyDescent="0.45">
      <c r="I516" t="s">
        <v>173</v>
      </c>
      <c r="J516" t="s">
        <v>160</v>
      </c>
      <c r="K516">
        <v>2.9536387177250715E-2</v>
      </c>
      <c r="L516" t="s">
        <v>159</v>
      </c>
      <c r="N516" t="s">
        <v>216</v>
      </c>
      <c r="O516" t="s">
        <v>160</v>
      </c>
      <c r="P516">
        <v>1.0284566497653047E-2</v>
      </c>
      <c r="Q516" t="s">
        <v>159</v>
      </c>
      <c r="S516" t="s">
        <v>258</v>
      </c>
      <c r="T516" t="s">
        <v>160</v>
      </c>
      <c r="U516">
        <v>1.6961202095763933E-2</v>
      </c>
      <c r="V516" t="s">
        <v>159</v>
      </c>
    </row>
    <row r="517" spans="9:22" x14ac:dyDescent="0.45">
      <c r="I517" t="s">
        <v>173</v>
      </c>
      <c r="J517" t="s">
        <v>161</v>
      </c>
      <c r="K517">
        <v>0.37682727320210951</v>
      </c>
      <c r="L517" t="s">
        <v>159</v>
      </c>
      <c r="N517" t="s">
        <v>216</v>
      </c>
      <c r="O517" t="s">
        <v>161</v>
      </c>
      <c r="P517">
        <v>0.1827199999924089</v>
      </c>
      <c r="Q517" t="s">
        <v>159</v>
      </c>
      <c r="S517" t="s">
        <v>258</v>
      </c>
      <c r="T517" t="s">
        <v>161</v>
      </c>
      <c r="U517">
        <v>0.16801555388785086</v>
      </c>
      <c r="V517" t="s">
        <v>159</v>
      </c>
    </row>
    <row r="518" spans="9:22" x14ac:dyDescent="0.45">
      <c r="I518" t="s">
        <v>173</v>
      </c>
      <c r="J518" t="s">
        <v>287</v>
      </c>
      <c r="K518">
        <v>3.2220725618908791E-2</v>
      </c>
      <c r="L518" t="s">
        <v>159</v>
      </c>
      <c r="N518" t="s">
        <v>216</v>
      </c>
      <c r="O518" t="s">
        <v>287</v>
      </c>
      <c r="P518">
        <v>1.7795233809089445E-2</v>
      </c>
      <c r="Q518" t="s">
        <v>159</v>
      </c>
      <c r="S518" t="s">
        <v>258</v>
      </c>
      <c r="T518" t="s">
        <v>287</v>
      </c>
      <c r="U518">
        <v>2.1221994738582065E-2</v>
      </c>
      <c r="V518" t="s">
        <v>159</v>
      </c>
    </row>
    <row r="519" spans="9:22" x14ac:dyDescent="0.45">
      <c r="I519" t="s">
        <v>173</v>
      </c>
      <c r="J519" t="s">
        <v>288</v>
      </c>
      <c r="K519">
        <v>1.6856423572495734E-2</v>
      </c>
      <c r="L519" t="s">
        <v>159</v>
      </c>
      <c r="N519" t="s">
        <v>216</v>
      </c>
      <c r="O519" t="s">
        <v>288</v>
      </c>
      <c r="P519">
        <v>1.3747520799176948E-2</v>
      </c>
      <c r="Q519" t="s">
        <v>159</v>
      </c>
      <c r="S519" t="s">
        <v>258</v>
      </c>
      <c r="T519" t="s">
        <v>288</v>
      </c>
      <c r="U519">
        <v>2.0851021218454953E-2</v>
      </c>
      <c r="V519" t="s">
        <v>159</v>
      </c>
    </row>
    <row r="520" spans="9:22" x14ac:dyDescent="0.45">
      <c r="I520" t="s">
        <v>173</v>
      </c>
      <c r="J520" t="s">
        <v>308</v>
      </c>
      <c r="K520">
        <v>4.0158622202361854E-3</v>
      </c>
      <c r="L520" t="s">
        <v>159</v>
      </c>
      <c r="N520" t="s">
        <v>216</v>
      </c>
      <c r="O520" t="s">
        <v>308</v>
      </c>
      <c r="P520">
        <v>5.3432769494075938E-2</v>
      </c>
      <c r="Q520" t="s">
        <v>159</v>
      </c>
      <c r="S520" t="s">
        <v>258</v>
      </c>
      <c r="T520" t="s">
        <v>308</v>
      </c>
      <c r="U520">
        <v>9.481475727402848E-2</v>
      </c>
      <c r="V520" t="s">
        <v>159</v>
      </c>
    </row>
    <row r="521" spans="9:22" x14ac:dyDescent="0.45">
      <c r="I521" t="s">
        <v>173</v>
      </c>
      <c r="J521" t="s">
        <v>162</v>
      </c>
      <c r="K521">
        <v>0</v>
      </c>
      <c r="L521" t="s">
        <v>159</v>
      </c>
      <c r="N521" t="s">
        <v>216</v>
      </c>
      <c r="O521" t="s">
        <v>162</v>
      </c>
      <c r="P521">
        <v>1.6524877042656583E-2</v>
      </c>
      <c r="Q521" t="s">
        <v>159</v>
      </c>
      <c r="S521" t="s">
        <v>258</v>
      </c>
      <c r="T521" t="s">
        <v>162</v>
      </c>
      <c r="U521">
        <v>2.5187452471655068E-2</v>
      </c>
      <c r="V521" t="s">
        <v>159</v>
      </c>
    </row>
    <row r="522" spans="9:22" x14ac:dyDescent="0.45">
      <c r="I522" t="s">
        <v>173</v>
      </c>
      <c r="J522" t="s">
        <v>163</v>
      </c>
      <c r="K522">
        <v>0</v>
      </c>
      <c r="L522" t="s">
        <v>159</v>
      </c>
      <c r="N522" t="s">
        <v>216</v>
      </c>
      <c r="O522" t="s">
        <v>163</v>
      </c>
      <c r="P522">
        <v>1.9103379736856313E-3</v>
      </c>
      <c r="Q522" t="s">
        <v>159</v>
      </c>
      <c r="S522" t="s">
        <v>258</v>
      </c>
      <c r="T522" t="s">
        <v>163</v>
      </c>
      <c r="U522">
        <v>3.5254866841245196E-3</v>
      </c>
      <c r="V522" t="s">
        <v>159</v>
      </c>
    </row>
    <row r="523" spans="9:22" x14ac:dyDescent="0.45">
      <c r="I523" t="s">
        <v>173</v>
      </c>
      <c r="J523" t="s">
        <v>164</v>
      </c>
      <c r="K523">
        <v>3.759668229598323E-2</v>
      </c>
      <c r="L523" t="s">
        <v>159</v>
      </c>
      <c r="N523" t="s">
        <v>216</v>
      </c>
      <c r="O523" t="s">
        <v>164</v>
      </c>
      <c r="P523">
        <v>4.20728834817388E-2</v>
      </c>
      <c r="Q523" t="s">
        <v>159</v>
      </c>
      <c r="S523" t="s">
        <v>258</v>
      </c>
      <c r="T523" t="s">
        <v>164</v>
      </c>
      <c r="U523">
        <v>2.7932581386707084E-2</v>
      </c>
      <c r="V523" t="s">
        <v>159</v>
      </c>
    </row>
    <row r="524" spans="9:22" x14ac:dyDescent="0.45">
      <c r="I524" t="s">
        <v>173</v>
      </c>
      <c r="J524" t="s">
        <v>289</v>
      </c>
      <c r="K524">
        <v>3.0676911337956946E-3</v>
      </c>
      <c r="L524" t="s">
        <v>159</v>
      </c>
      <c r="N524" t="s">
        <v>216</v>
      </c>
      <c r="O524" t="s">
        <v>289</v>
      </c>
      <c r="P524">
        <v>3.363058514564918E-3</v>
      </c>
      <c r="Q524" t="s">
        <v>159</v>
      </c>
      <c r="S524" t="s">
        <v>258</v>
      </c>
      <c r="T524" t="s">
        <v>289</v>
      </c>
      <c r="U524">
        <v>3.4505300761104177E-3</v>
      </c>
      <c r="V524" t="s">
        <v>159</v>
      </c>
    </row>
    <row r="525" spans="9:22" x14ac:dyDescent="0.45">
      <c r="I525" t="s">
        <v>173</v>
      </c>
      <c r="J525" t="s">
        <v>290</v>
      </c>
      <c r="K525">
        <v>0</v>
      </c>
      <c r="L525" t="s">
        <v>159</v>
      </c>
      <c r="N525" t="s">
        <v>216</v>
      </c>
      <c r="O525" t="s">
        <v>290</v>
      </c>
      <c r="P525">
        <v>2.3866162717139389E-3</v>
      </c>
      <c r="Q525" t="s">
        <v>159</v>
      </c>
      <c r="S525" t="s">
        <v>258</v>
      </c>
      <c r="T525" t="s">
        <v>290</v>
      </c>
      <c r="U525">
        <v>3.4720722669349018E-3</v>
      </c>
      <c r="V525" t="s">
        <v>159</v>
      </c>
    </row>
    <row r="526" spans="9:22" x14ac:dyDescent="0.45">
      <c r="I526" t="s">
        <v>173</v>
      </c>
      <c r="J526" t="s">
        <v>309</v>
      </c>
      <c r="K526">
        <v>0</v>
      </c>
      <c r="L526" t="s">
        <v>159</v>
      </c>
      <c r="N526" t="s">
        <v>216</v>
      </c>
      <c r="O526" t="s">
        <v>309</v>
      </c>
      <c r="P526">
        <v>9.7481571092907244E-3</v>
      </c>
      <c r="Q526" t="s">
        <v>159</v>
      </c>
      <c r="S526" t="s">
        <v>258</v>
      </c>
      <c r="T526" t="s">
        <v>309</v>
      </c>
      <c r="U526">
        <v>1.6426434759775552E-2</v>
      </c>
      <c r="V526" t="s">
        <v>159</v>
      </c>
    </row>
    <row r="527" spans="9:22" x14ac:dyDescent="0.45">
      <c r="I527" t="s">
        <v>173</v>
      </c>
      <c r="J527" t="s">
        <v>346</v>
      </c>
      <c r="K527">
        <v>0</v>
      </c>
      <c r="L527" t="s">
        <v>159</v>
      </c>
      <c r="N527" t="s">
        <v>216</v>
      </c>
      <c r="O527" t="s">
        <v>346</v>
      </c>
      <c r="P527">
        <v>6.5367887056969351E-6</v>
      </c>
      <c r="Q527" t="s">
        <v>159</v>
      </c>
      <c r="S527" t="s">
        <v>258</v>
      </c>
      <c r="T527" t="s">
        <v>346</v>
      </c>
      <c r="U527">
        <v>4.8156754692848667E-6</v>
      </c>
      <c r="V527" t="s">
        <v>159</v>
      </c>
    </row>
    <row r="528" spans="9:22" x14ac:dyDescent="0.45">
      <c r="I528" t="s">
        <v>173</v>
      </c>
      <c r="J528" t="s">
        <v>347</v>
      </c>
      <c r="K528">
        <v>0</v>
      </c>
      <c r="L528" t="s">
        <v>159</v>
      </c>
      <c r="N528" t="s">
        <v>216</v>
      </c>
      <c r="O528" t="s">
        <v>347</v>
      </c>
      <c r="P528">
        <v>2.5410611760839417E-6</v>
      </c>
      <c r="Q528" t="s">
        <v>159</v>
      </c>
      <c r="S528" t="s">
        <v>258</v>
      </c>
      <c r="T528" t="s">
        <v>347</v>
      </c>
      <c r="U528">
        <v>4.9424255730059172E-6</v>
      </c>
      <c r="V528" t="s">
        <v>159</v>
      </c>
    </row>
    <row r="529" spans="9:22" x14ac:dyDescent="0.45">
      <c r="I529" t="s">
        <v>173</v>
      </c>
      <c r="J529" t="s">
        <v>348</v>
      </c>
      <c r="K529">
        <v>0</v>
      </c>
      <c r="L529" t="s">
        <v>159</v>
      </c>
      <c r="N529" t="s">
        <v>216</v>
      </c>
      <c r="O529" t="s">
        <v>348</v>
      </c>
      <c r="P529">
        <v>2.4370985204155451E-6</v>
      </c>
      <c r="Q529" t="s">
        <v>159</v>
      </c>
      <c r="S529" t="s">
        <v>258</v>
      </c>
      <c r="T529" t="s">
        <v>348</v>
      </c>
      <c r="U529">
        <v>6.7526149361456002E-6</v>
      </c>
      <c r="V529" t="s">
        <v>159</v>
      </c>
    </row>
    <row r="530" spans="9:22" x14ac:dyDescent="0.45">
      <c r="I530" t="s">
        <v>173</v>
      </c>
      <c r="J530" t="s">
        <v>349</v>
      </c>
      <c r="K530">
        <v>0</v>
      </c>
      <c r="L530" t="s">
        <v>159</v>
      </c>
      <c r="N530" t="s">
        <v>216</v>
      </c>
      <c r="O530" t="s">
        <v>349</v>
      </c>
      <c r="P530">
        <v>3.0516348870084243E-6</v>
      </c>
      <c r="Q530" t="s">
        <v>159</v>
      </c>
      <c r="S530" t="s">
        <v>258</v>
      </c>
      <c r="T530" t="s">
        <v>349</v>
      </c>
      <c r="U530">
        <v>8.8868374296960285E-6</v>
      </c>
      <c r="V530" t="s">
        <v>159</v>
      </c>
    </row>
    <row r="531" spans="9:22" x14ac:dyDescent="0.45">
      <c r="I531" t="s">
        <v>173</v>
      </c>
      <c r="J531" t="s">
        <v>350</v>
      </c>
      <c r="K531">
        <v>0</v>
      </c>
      <c r="L531" t="s">
        <v>159</v>
      </c>
      <c r="N531" t="s">
        <v>216</v>
      </c>
      <c r="O531" t="s">
        <v>350</v>
      </c>
      <c r="P531">
        <v>5.9985798791630395E-6</v>
      </c>
      <c r="Q531" t="s">
        <v>159</v>
      </c>
      <c r="S531" t="s">
        <v>258</v>
      </c>
      <c r="T531" t="s">
        <v>350</v>
      </c>
      <c r="U531">
        <v>1.3327630976819298E-5</v>
      </c>
      <c r="V531" t="s">
        <v>159</v>
      </c>
    </row>
    <row r="532" spans="9:22" x14ac:dyDescent="0.45">
      <c r="I532" t="s">
        <v>173</v>
      </c>
      <c r="J532" t="s">
        <v>351</v>
      </c>
      <c r="K532">
        <v>0</v>
      </c>
      <c r="L532" t="s">
        <v>159</v>
      </c>
      <c r="N532" t="s">
        <v>216</v>
      </c>
      <c r="O532" t="s">
        <v>351</v>
      </c>
      <c r="P532">
        <v>1.1437126744257424E-5</v>
      </c>
      <c r="Q532" t="s">
        <v>159</v>
      </c>
      <c r="S532" t="s">
        <v>258</v>
      </c>
      <c r="T532" t="s">
        <v>351</v>
      </c>
      <c r="U532">
        <v>1.9320042729691643E-5</v>
      </c>
      <c r="V532" t="s">
        <v>159</v>
      </c>
    </row>
    <row r="533" spans="9:22" x14ac:dyDescent="0.45">
      <c r="I533" t="s">
        <v>173</v>
      </c>
      <c r="J533" t="s">
        <v>352</v>
      </c>
      <c r="K533">
        <v>0</v>
      </c>
      <c r="L533" t="s">
        <v>159</v>
      </c>
      <c r="N533" t="s">
        <v>216</v>
      </c>
      <c r="O533" t="s">
        <v>352</v>
      </c>
      <c r="P533">
        <v>1.8044058010363103E-5</v>
      </c>
      <c r="Q533" t="s">
        <v>159</v>
      </c>
      <c r="S533" t="s">
        <v>258</v>
      </c>
      <c r="T533" t="s">
        <v>352</v>
      </c>
      <c r="U533">
        <v>2.4811394039541309E-5</v>
      </c>
      <c r="V533" t="s">
        <v>159</v>
      </c>
    </row>
    <row r="534" spans="9:22" x14ac:dyDescent="0.45">
      <c r="I534" t="s">
        <v>173</v>
      </c>
      <c r="J534" t="s">
        <v>353</v>
      </c>
      <c r="K534">
        <v>0</v>
      </c>
      <c r="L534" t="s">
        <v>159</v>
      </c>
      <c r="N534" t="s">
        <v>216</v>
      </c>
      <c r="O534" t="s">
        <v>353</v>
      </c>
      <c r="P534">
        <v>2.6166794761011898E-5</v>
      </c>
      <c r="Q534" t="s">
        <v>159</v>
      </c>
      <c r="S534" t="s">
        <v>258</v>
      </c>
      <c r="T534" t="s">
        <v>353</v>
      </c>
      <c r="U534">
        <v>3.3056935040500414E-5</v>
      </c>
      <c r="V534" t="s">
        <v>159</v>
      </c>
    </row>
    <row r="535" spans="9:22" x14ac:dyDescent="0.45">
      <c r="I535" t="s">
        <v>173</v>
      </c>
      <c r="J535" t="s">
        <v>354</v>
      </c>
      <c r="K535">
        <v>1.6431075485641501E-4</v>
      </c>
      <c r="L535" t="s">
        <v>159</v>
      </c>
      <c r="N535" t="s">
        <v>216</v>
      </c>
      <c r="O535" t="s">
        <v>354</v>
      </c>
      <c r="P535">
        <v>2.8194821494285396E-5</v>
      </c>
      <c r="Q535" t="s">
        <v>159</v>
      </c>
      <c r="S535" t="s">
        <v>258</v>
      </c>
      <c r="T535" t="s">
        <v>354</v>
      </c>
      <c r="U535">
        <v>3.9038263640831315E-5</v>
      </c>
      <c r="V535" t="s">
        <v>159</v>
      </c>
    </row>
    <row r="536" spans="9:22" x14ac:dyDescent="0.45">
      <c r="I536" t="s">
        <v>173</v>
      </c>
      <c r="J536" t="s">
        <v>355</v>
      </c>
      <c r="K536">
        <v>1.7342558474068605E-4</v>
      </c>
      <c r="L536" t="s">
        <v>159</v>
      </c>
      <c r="N536" t="s">
        <v>216</v>
      </c>
      <c r="O536" t="s">
        <v>355</v>
      </c>
      <c r="P536">
        <v>2.522655695269534E-5</v>
      </c>
      <c r="Q536" t="s">
        <v>159</v>
      </c>
      <c r="S536" t="s">
        <v>258</v>
      </c>
      <c r="T536" t="s">
        <v>355</v>
      </c>
      <c r="U536">
        <v>4.0023409103217834E-5</v>
      </c>
      <c r="V536" t="s">
        <v>159</v>
      </c>
    </row>
    <row r="537" spans="9:22" x14ac:dyDescent="0.45">
      <c r="I537" t="s">
        <v>173</v>
      </c>
      <c r="J537" t="s">
        <v>356</v>
      </c>
      <c r="K537">
        <v>1.5894309939348353E-4</v>
      </c>
      <c r="L537" t="s">
        <v>159</v>
      </c>
      <c r="N537" t="s">
        <v>216</v>
      </c>
      <c r="O537" t="s">
        <v>356</v>
      </c>
      <c r="P537">
        <v>7.2791428830279226E-6</v>
      </c>
      <c r="Q537" t="s">
        <v>159</v>
      </c>
      <c r="S537" t="s">
        <v>258</v>
      </c>
      <c r="T537" t="s">
        <v>356</v>
      </c>
      <c r="U537">
        <v>3.4187211704465173E-5</v>
      </c>
      <c r="V537" t="s">
        <v>159</v>
      </c>
    </row>
    <row r="538" spans="9:22" x14ac:dyDescent="0.45">
      <c r="I538" t="s">
        <v>173</v>
      </c>
      <c r="J538" t="s">
        <v>357</v>
      </c>
      <c r="K538">
        <v>1.6845140614947182E-4</v>
      </c>
      <c r="L538" t="s">
        <v>159</v>
      </c>
      <c r="N538" t="s">
        <v>216</v>
      </c>
      <c r="O538" t="s">
        <v>357</v>
      </c>
      <c r="P538">
        <v>4.3625075588315511E-5</v>
      </c>
      <c r="Q538" t="s">
        <v>159</v>
      </c>
      <c r="S538" t="s">
        <v>258</v>
      </c>
      <c r="T538" t="s">
        <v>357</v>
      </c>
      <c r="U538">
        <v>3.1553265116099912E-5</v>
      </c>
      <c r="V538" t="s">
        <v>159</v>
      </c>
    </row>
    <row r="539" spans="9:22" x14ac:dyDescent="0.45">
      <c r="I539" t="s">
        <v>173</v>
      </c>
      <c r="J539" t="s">
        <v>358</v>
      </c>
      <c r="K539">
        <v>2.132970168650679E-4</v>
      </c>
      <c r="L539" t="s">
        <v>159</v>
      </c>
      <c r="N539" t="s">
        <v>216</v>
      </c>
      <c r="O539" t="s">
        <v>358</v>
      </c>
      <c r="P539">
        <v>6.8110535248043773E-5</v>
      </c>
      <c r="Q539" t="s">
        <v>159</v>
      </c>
      <c r="S539" t="s">
        <v>258</v>
      </c>
      <c r="T539" t="s">
        <v>358</v>
      </c>
      <c r="U539">
        <v>2.6683340308011241E-5</v>
      </c>
      <c r="V539" t="s">
        <v>159</v>
      </c>
    </row>
    <row r="540" spans="9:22" x14ac:dyDescent="0.45">
      <c r="I540" t="s">
        <v>173</v>
      </c>
      <c r="J540" t="s">
        <v>359</v>
      </c>
      <c r="K540">
        <v>1.8181517827761548E-4</v>
      </c>
      <c r="L540" t="s">
        <v>159</v>
      </c>
      <c r="N540" t="s">
        <v>216</v>
      </c>
      <c r="O540" t="s">
        <v>359</v>
      </c>
      <c r="P540">
        <v>4.8944253147904532E-5</v>
      </c>
      <c r="Q540" t="s">
        <v>159</v>
      </c>
      <c r="S540" t="s">
        <v>258</v>
      </c>
      <c r="T540" t="s">
        <v>359</v>
      </c>
      <c r="U540">
        <v>2.3946435587659621E-5</v>
      </c>
      <c r="V540" t="s">
        <v>159</v>
      </c>
    </row>
    <row r="541" spans="9:22" x14ac:dyDescent="0.45">
      <c r="I541" t="s">
        <v>173</v>
      </c>
      <c r="J541" t="s">
        <v>360</v>
      </c>
      <c r="K541">
        <v>1.5541049649121181E-4</v>
      </c>
      <c r="L541" t="s">
        <v>159</v>
      </c>
      <c r="N541" t="s">
        <v>216</v>
      </c>
      <c r="O541" t="s">
        <v>360</v>
      </c>
      <c r="P541">
        <v>3.1580704878019024E-5</v>
      </c>
      <c r="Q541" t="s">
        <v>159</v>
      </c>
      <c r="S541" t="s">
        <v>258</v>
      </c>
      <c r="T541" t="s">
        <v>360</v>
      </c>
      <c r="U541">
        <v>2.3162730588069273E-5</v>
      </c>
      <c r="V541" t="s">
        <v>159</v>
      </c>
    </row>
    <row r="542" spans="9:22" x14ac:dyDescent="0.45">
      <c r="I542" t="s">
        <v>173</v>
      </c>
      <c r="J542" t="s">
        <v>361</v>
      </c>
      <c r="K542">
        <v>1.5745534636026607E-4</v>
      </c>
      <c r="L542" t="s">
        <v>159</v>
      </c>
      <c r="N542" t="s">
        <v>216</v>
      </c>
      <c r="O542" t="s">
        <v>361</v>
      </c>
      <c r="P542">
        <v>1.3896585858958201E-5</v>
      </c>
      <c r="Q542" t="s">
        <v>159</v>
      </c>
      <c r="S542" t="s">
        <v>258</v>
      </c>
      <c r="T542" t="s">
        <v>361</v>
      </c>
      <c r="U542">
        <v>2.1692241688088666E-5</v>
      </c>
      <c r="V542" t="s">
        <v>159</v>
      </c>
    </row>
    <row r="543" spans="9:22" x14ac:dyDescent="0.45">
      <c r="I543" t="s">
        <v>173</v>
      </c>
      <c r="J543" t="s">
        <v>362</v>
      </c>
      <c r="K543">
        <v>1.44314875851817E-4</v>
      </c>
      <c r="L543" t="s">
        <v>159</v>
      </c>
      <c r="N543" t="s">
        <v>216</v>
      </c>
      <c r="O543" t="s">
        <v>362</v>
      </c>
      <c r="P543">
        <v>8.1903049884271435E-6</v>
      </c>
      <c r="Q543" t="s">
        <v>159</v>
      </c>
      <c r="S543" t="s">
        <v>258</v>
      </c>
      <c r="T543" t="s">
        <v>362</v>
      </c>
      <c r="U543">
        <v>1.9793555079427126E-5</v>
      </c>
      <c r="V543" t="s">
        <v>159</v>
      </c>
    </row>
    <row r="544" spans="9:22" x14ac:dyDescent="0.45">
      <c r="I544" t="s">
        <v>173</v>
      </c>
      <c r="J544" t="s">
        <v>363</v>
      </c>
      <c r="K544">
        <v>9.2651992318960798E-5</v>
      </c>
      <c r="L544" t="s">
        <v>159</v>
      </c>
      <c r="N544" t="s">
        <v>216</v>
      </c>
      <c r="O544" t="s">
        <v>363</v>
      </c>
      <c r="P544">
        <v>2.6481296319810533E-5</v>
      </c>
      <c r="Q544" t="s">
        <v>159</v>
      </c>
      <c r="S544" t="s">
        <v>258</v>
      </c>
      <c r="T544" t="s">
        <v>363</v>
      </c>
      <c r="U544">
        <v>2.3082014681001135E-5</v>
      </c>
      <c r="V544" t="s">
        <v>159</v>
      </c>
    </row>
    <row r="545" spans="9:22" x14ac:dyDescent="0.45">
      <c r="I545" t="s">
        <v>173</v>
      </c>
      <c r="J545" t="s">
        <v>364</v>
      </c>
      <c r="K545">
        <v>0</v>
      </c>
      <c r="L545" t="s">
        <v>159</v>
      </c>
      <c r="N545" t="s">
        <v>216</v>
      </c>
      <c r="O545" t="s">
        <v>364</v>
      </c>
      <c r="P545">
        <v>2.4334208696328778E-5</v>
      </c>
      <c r="Q545" t="s">
        <v>159</v>
      </c>
      <c r="S545" t="s">
        <v>258</v>
      </c>
      <c r="T545" t="s">
        <v>364</v>
      </c>
      <c r="U545">
        <v>2.4649490824072243E-5</v>
      </c>
      <c r="V545" t="s">
        <v>159</v>
      </c>
    </row>
    <row r="546" spans="9:22" x14ac:dyDescent="0.45">
      <c r="I546" t="s">
        <v>173</v>
      </c>
      <c r="J546" t="s">
        <v>365</v>
      </c>
      <c r="K546">
        <v>0</v>
      </c>
      <c r="L546" t="s">
        <v>159</v>
      </c>
      <c r="N546" t="s">
        <v>216</v>
      </c>
      <c r="O546" t="s">
        <v>365</v>
      </c>
      <c r="P546">
        <v>1.237294206482112E-5</v>
      </c>
      <c r="Q546" t="s">
        <v>159</v>
      </c>
      <c r="S546" t="s">
        <v>258</v>
      </c>
      <c r="T546" t="s">
        <v>365</v>
      </c>
      <c r="U546">
        <v>2.2828128948478948E-5</v>
      </c>
      <c r="V546" t="s">
        <v>159</v>
      </c>
    </row>
    <row r="547" spans="9:22" x14ac:dyDescent="0.45">
      <c r="I547" t="s">
        <v>173</v>
      </c>
      <c r="J547" t="s">
        <v>366</v>
      </c>
      <c r="K547">
        <v>0</v>
      </c>
      <c r="L547" t="s">
        <v>159</v>
      </c>
      <c r="N547" t="s">
        <v>216</v>
      </c>
      <c r="O547" t="s">
        <v>366</v>
      </c>
      <c r="P547">
        <v>1.1926572243133864E-6</v>
      </c>
      <c r="Q547" t="s">
        <v>159</v>
      </c>
      <c r="S547" t="s">
        <v>258</v>
      </c>
      <c r="T547" t="s">
        <v>366</v>
      </c>
      <c r="U547">
        <v>2.1411492974264971E-5</v>
      </c>
      <c r="V547" t="s">
        <v>159</v>
      </c>
    </row>
    <row r="548" spans="9:22" x14ac:dyDescent="0.45">
      <c r="I548" t="s">
        <v>173</v>
      </c>
      <c r="J548" t="s">
        <v>367</v>
      </c>
      <c r="K548">
        <v>0</v>
      </c>
      <c r="L548" t="s">
        <v>159</v>
      </c>
      <c r="N548" t="s">
        <v>216</v>
      </c>
      <c r="O548" t="s">
        <v>367</v>
      </c>
      <c r="P548">
        <v>2.0775248748244568E-7</v>
      </c>
      <c r="Q548" t="s">
        <v>159</v>
      </c>
      <c r="S548" t="s">
        <v>258</v>
      </c>
      <c r="T548" t="s">
        <v>367</v>
      </c>
      <c r="U548">
        <v>2.2020212116246472E-5</v>
      </c>
      <c r="V548" t="s">
        <v>159</v>
      </c>
    </row>
    <row r="549" spans="9:22" x14ac:dyDescent="0.45">
      <c r="I549" t="s">
        <v>173</v>
      </c>
      <c r="J549" t="s">
        <v>368</v>
      </c>
      <c r="K549">
        <v>0</v>
      </c>
      <c r="L549" t="s">
        <v>159</v>
      </c>
      <c r="N549" t="s">
        <v>216</v>
      </c>
      <c r="O549" t="s">
        <v>368</v>
      </c>
      <c r="P549">
        <v>3.5226640801661864E-7</v>
      </c>
      <c r="Q549" t="s">
        <v>159</v>
      </c>
      <c r="S549" t="s">
        <v>258</v>
      </c>
      <c r="T549" t="s">
        <v>368</v>
      </c>
      <c r="U549">
        <v>2.612319286709709E-5</v>
      </c>
      <c r="V549" t="s">
        <v>159</v>
      </c>
    </row>
    <row r="550" spans="9:22" x14ac:dyDescent="0.45">
      <c r="I550" t="s">
        <v>173</v>
      </c>
      <c r="J550" t="s">
        <v>369</v>
      </c>
      <c r="K550">
        <v>0</v>
      </c>
      <c r="L550" t="s">
        <v>159</v>
      </c>
      <c r="N550" t="s">
        <v>216</v>
      </c>
      <c r="O550" t="s">
        <v>369</v>
      </c>
      <c r="P550">
        <v>5.8334754028495349E-7</v>
      </c>
      <c r="Q550" t="s">
        <v>159</v>
      </c>
      <c r="S550" t="s">
        <v>258</v>
      </c>
      <c r="T550" t="s">
        <v>369</v>
      </c>
      <c r="U550">
        <v>3.2222790040906208E-5</v>
      </c>
      <c r="V550" t="s">
        <v>159</v>
      </c>
    </row>
    <row r="551" spans="9:22" x14ac:dyDescent="0.45">
      <c r="I551" t="s">
        <v>173</v>
      </c>
      <c r="J551" t="s">
        <v>165</v>
      </c>
      <c r="K551">
        <v>0</v>
      </c>
      <c r="L551" t="s">
        <v>159</v>
      </c>
      <c r="N551" t="s">
        <v>216</v>
      </c>
      <c r="O551" t="s">
        <v>165</v>
      </c>
      <c r="P551">
        <v>3.4747133042182542E-2</v>
      </c>
      <c r="Q551" t="s">
        <v>159</v>
      </c>
      <c r="S551" t="s">
        <v>258</v>
      </c>
      <c r="T551" t="s">
        <v>165</v>
      </c>
      <c r="U551">
        <v>2.8561280978713344E-2</v>
      </c>
      <c r="V551" t="s">
        <v>159</v>
      </c>
    </row>
    <row r="552" spans="9:22" x14ac:dyDescent="0.45">
      <c r="I552" t="s">
        <v>173</v>
      </c>
      <c r="J552" t="s">
        <v>166</v>
      </c>
      <c r="K552">
        <v>2.0874693249185983E-3</v>
      </c>
      <c r="L552" t="s">
        <v>159</v>
      </c>
      <c r="N552" t="s">
        <v>216</v>
      </c>
      <c r="O552" t="s">
        <v>166</v>
      </c>
      <c r="P552">
        <v>4.7766965463098788E-3</v>
      </c>
      <c r="Q552" t="s">
        <v>159</v>
      </c>
      <c r="S552" t="s">
        <v>258</v>
      </c>
      <c r="T552" t="s">
        <v>166</v>
      </c>
      <c r="U552">
        <v>4.069378087700604E-3</v>
      </c>
      <c r="V552" t="s">
        <v>159</v>
      </c>
    </row>
    <row r="553" spans="9:22" x14ac:dyDescent="0.45">
      <c r="I553" t="s">
        <v>173</v>
      </c>
      <c r="J553" t="s">
        <v>167</v>
      </c>
      <c r="K553">
        <v>4.9673879442454966E-2</v>
      </c>
      <c r="L553" t="s">
        <v>159</v>
      </c>
      <c r="N553" t="s">
        <v>216</v>
      </c>
      <c r="O553" t="s">
        <v>167</v>
      </c>
      <c r="P553">
        <v>7.0437381348014264E-2</v>
      </c>
      <c r="Q553" t="s">
        <v>159</v>
      </c>
      <c r="S553" t="s">
        <v>258</v>
      </c>
      <c r="T553" t="s">
        <v>167</v>
      </c>
      <c r="U553">
        <v>3.3631906887895073E-2</v>
      </c>
      <c r="V553" t="s">
        <v>159</v>
      </c>
    </row>
    <row r="554" spans="9:22" x14ac:dyDescent="0.45">
      <c r="I554" t="s">
        <v>173</v>
      </c>
      <c r="J554" t="s">
        <v>291</v>
      </c>
      <c r="K554">
        <v>3.7875725806290469E-3</v>
      </c>
      <c r="L554" t="s">
        <v>159</v>
      </c>
      <c r="N554" t="s">
        <v>216</v>
      </c>
      <c r="O554" t="s">
        <v>291</v>
      </c>
      <c r="P554">
        <v>6.1340326583096301E-3</v>
      </c>
      <c r="Q554" t="s">
        <v>159</v>
      </c>
      <c r="S554" t="s">
        <v>258</v>
      </c>
      <c r="T554" t="s">
        <v>291</v>
      </c>
      <c r="U554">
        <v>4.2304573020510005E-3</v>
      </c>
      <c r="V554" t="s">
        <v>159</v>
      </c>
    </row>
    <row r="555" spans="9:22" x14ac:dyDescent="0.45">
      <c r="I555" t="s">
        <v>173</v>
      </c>
      <c r="J555" t="s">
        <v>292</v>
      </c>
      <c r="K555">
        <v>0</v>
      </c>
      <c r="L555" t="s">
        <v>159</v>
      </c>
      <c r="N555" t="s">
        <v>216</v>
      </c>
      <c r="O555" t="s">
        <v>292</v>
      </c>
      <c r="P555">
        <v>5.2051947560139023E-3</v>
      </c>
      <c r="Q555" t="s">
        <v>159</v>
      </c>
      <c r="S555" t="s">
        <v>258</v>
      </c>
      <c r="T555" t="s">
        <v>292</v>
      </c>
      <c r="U555">
        <v>4.2989646197932364E-3</v>
      </c>
      <c r="V555" t="s">
        <v>159</v>
      </c>
    </row>
    <row r="556" spans="9:22" x14ac:dyDescent="0.45">
      <c r="I556" t="s">
        <v>173</v>
      </c>
      <c r="J556" t="s">
        <v>310</v>
      </c>
      <c r="K556">
        <v>0</v>
      </c>
      <c r="L556" t="s">
        <v>159</v>
      </c>
      <c r="N556" t="s">
        <v>216</v>
      </c>
      <c r="O556" t="s">
        <v>310</v>
      </c>
      <c r="P556">
        <v>1.9937016462905521E-2</v>
      </c>
      <c r="Q556" t="s">
        <v>159</v>
      </c>
      <c r="S556" t="s">
        <v>258</v>
      </c>
      <c r="T556" t="s">
        <v>310</v>
      </c>
      <c r="U556">
        <v>2.1604865332691708E-2</v>
      </c>
      <c r="V556" t="s">
        <v>159</v>
      </c>
    </row>
    <row r="557" spans="9:22" x14ac:dyDescent="0.45">
      <c r="I557" t="s">
        <v>173</v>
      </c>
      <c r="J557" t="s">
        <v>293</v>
      </c>
      <c r="K557">
        <v>0</v>
      </c>
      <c r="L557" t="s">
        <v>159</v>
      </c>
      <c r="N557" t="s">
        <v>216</v>
      </c>
      <c r="O557" t="s">
        <v>293</v>
      </c>
      <c r="P557">
        <v>5.6306921871789326E-3</v>
      </c>
      <c r="Q557" t="s">
        <v>159</v>
      </c>
      <c r="S557" t="s">
        <v>258</v>
      </c>
      <c r="T557" t="s">
        <v>293</v>
      </c>
      <c r="U557">
        <v>4.5809225901062975E-3</v>
      </c>
      <c r="V557" t="s">
        <v>159</v>
      </c>
    </row>
    <row r="558" spans="9:22" x14ac:dyDescent="0.45">
      <c r="I558" t="s">
        <v>173</v>
      </c>
      <c r="J558" t="s">
        <v>294</v>
      </c>
      <c r="K558">
        <v>1.1103941313845894E-3</v>
      </c>
      <c r="L558" t="s">
        <v>159</v>
      </c>
      <c r="N558" t="s">
        <v>216</v>
      </c>
      <c r="O558" t="s">
        <v>294</v>
      </c>
      <c r="P558">
        <v>7.2377733794563447E-4</v>
      </c>
      <c r="Q558" t="s">
        <v>159</v>
      </c>
      <c r="S558" t="s">
        <v>258</v>
      </c>
      <c r="T558" t="s">
        <v>294</v>
      </c>
      <c r="U558">
        <v>6.662707839142902E-4</v>
      </c>
      <c r="V558" t="s">
        <v>159</v>
      </c>
    </row>
    <row r="559" spans="9:22" x14ac:dyDescent="0.45">
      <c r="I559" t="s">
        <v>173</v>
      </c>
      <c r="J559" t="s">
        <v>295</v>
      </c>
      <c r="K559">
        <v>1.4874132746894796E-2</v>
      </c>
      <c r="L559" t="s">
        <v>159</v>
      </c>
      <c r="N559" t="s">
        <v>216</v>
      </c>
      <c r="O559" t="s">
        <v>295</v>
      </c>
      <c r="P559">
        <v>1.3579843988431825E-2</v>
      </c>
      <c r="Q559" t="s">
        <v>159</v>
      </c>
      <c r="S559" t="s">
        <v>258</v>
      </c>
      <c r="T559" t="s">
        <v>295</v>
      </c>
      <c r="U559">
        <v>6.4386318814729539E-3</v>
      </c>
      <c r="V559" t="s">
        <v>159</v>
      </c>
    </row>
    <row r="560" spans="9:22" x14ac:dyDescent="0.45">
      <c r="I560" t="s">
        <v>173</v>
      </c>
      <c r="J560" t="s">
        <v>296</v>
      </c>
      <c r="K560">
        <v>1.2504892608398636E-3</v>
      </c>
      <c r="L560" t="s">
        <v>159</v>
      </c>
      <c r="N560" t="s">
        <v>216</v>
      </c>
      <c r="O560" t="s">
        <v>296</v>
      </c>
      <c r="P560">
        <v>9.6980426966541988E-4</v>
      </c>
      <c r="Q560" t="s">
        <v>159</v>
      </c>
      <c r="S560" t="s">
        <v>258</v>
      </c>
      <c r="T560" t="s">
        <v>296</v>
      </c>
      <c r="U560">
        <v>8.0345903448303369E-4</v>
      </c>
      <c r="V560" t="s">
        <v>159</v>
      </c>
    </row>
    <row r="561" spans="9:22" x14ac:dyDescent="0.45">
      <c r="I561" t="s">
        <v>173</v>
      </c>
      <c r="J561" t="s">
        <v>297</v>
      </c>
      <c r="K561">
        <v>0</v>
      </c>
      <c r="L561" t="s">
        <v>159</v>
      </c>
      <c r="N561" t="s">
        <v>216</v>
      </c>
      <c r="O561" t="s">
        <v>297</v>
      </c>
      <c r="P561">
        <v>7.9475262266609937E-4</v>
      </c>
      <c r="Q561" t="s">
        <v>159</v>
      </c>
      <c r="S561" t="s">
        <v>258</v>
      </c>
      <c r="T561" t="s">
        <v>297</v>
      </c>
      <c r="U561">
        <v>7.7391899332664377E-4</v>
      </c>
      <c r="V561" t="s">
        <v>159</v>
      </c>
    </row>
    <row r="562" spans="9:22" x14ac:dyDescent="0.45">
      <c r="I562" t="s">
        <v>173</v>
      </c>
      <c r="J562" t="s">
        <v>311</v>
      </c>
      <c r="K562">
        <v>0</v>
      </c>
      <c r="L562" t="s">
        <v>159</v>
      </c>
      <c r="N562" t="s">
        <v>216</v>
      </c>
      <c r="O562" t="s">
        <v>311</v>
      </c>
      <c r="P562">
        <v>2.8703335344809847E-3</v>
      </c>
      <c r="Q562" t="s">
        <v>159</v>
      </c>
      <c r="S562" t="s">
        <v>258</v>
      </c>
      <c r="T562" t="s">
        <v>311</v>
      </c>
      <c r="U562">
        <v>3.3136590637477957E-3</v>
      </c>
      <c r="V562" t="s">
        <v>159</v>
      </c>
    </row>
    <row r="563" spans="9:22" x14ac:dyDescent="0.45">
      <c r="I563" t="s">
        <v>173</v>
      </c>
      <c r="J563" t="s">
        <v>298</v>
      </c>
      <c r="K563">
        <v>1.2279890203794278E-2</v>
      </c>
      <c r="L563" t="s">
        <v>159</v>
      </c>
      <c r="N563" t="s">
        <v>216</v>
      </c>
      <c r="O563" t="s">
        <v>298</v>
      </c>
      <c r="P563">
        <v>5.8865964182371902E-2</v>
      </c>
      <c r="Q563" t="s">
        <v>159</v>
      </c>
      <c r="S563" t="s">
        <v>258</v>
      </c>
      <c r="T563" t="s">
        <v>298</v>
      </c>
      <c r="U563">
        <v>8.1294924416165801E-2</v>
      </c>
      <c r="V563" t="s">
        <v>159</v>
      </c>
    </row>
    <row r="564" spans="9:22" x14ac:dyDescent="0.45">
      <c r="I564" t="s">
        <v>173</v>
      </c>
      <c r="J564" t="s">
        <v>299</v>
      </c>
      <c r="K564">
        <v>2.1644637291905473E-2</v>
      </c>
      <c r="L564" t="s">
        <v>159</v>
      </c>
      <c r="N564" t="s">
        <v>216</v>
      </c>
      <c r="O564" t="s">
        <v>299</v>
      </c>
      <c r="P564">
        <v>8.1158059422961702E-3</v>
      </c>
      <c r="Q564" t="s">
        <v>159</v>
      </c>
      <c r="S564" t="s">
        <v>258</v>
      </c>
      <c r="T564" t="s">
        <v>299</v>
      </c>
      <c r="U564">
        <v>1.2146919506240703E-2</v>
      </c>
      <c r="V564" t="s">
        <v>159</v>
      </c>
    </row>
    <row r="565" spans="9:22" x14ac:dyDescent="0.45">
      <c r="I565" t="s">
        <v>173</v>
      </c>
      <c r="J565" t="s">
        <v>300</v>
      </c>
      <c r="K565">
        <v>0.24061777572156007</v>
      </c>
      <c r="L565" t="s">
        <v>159</v>
      </c>
      <c r="N565" t="s">
        <v>216</v>
      </c>
      <c r="O565" t="s">
        <v>300</v>
      </c>
      <c r="P565">
        <v>0.22686902017069394</v>
      </c>
      <c r="Q565" t="s">
        <v>159</v>
      </c>
      <c r="S565" t="s">
        <v>258</v>
      </c>
      <c r="T565" t="s">
        <v>300</v>
      </c>
      <c r="U565">
        <v>0.11944401932415838</v>
      </c>
      <c r="V565" t="s">
        <v>159</v>
      </c>
    </row>
    <row r="566" spans="9:22" x14ac:dyDescent="0.45">
      <c r="I566" t="s">
        <v>173</v>
      </c>
      <c r="J566" t="s">
        <v>301</v>
      </c>
      <c r="K566">
        <v>2.0396806456222612E-2</v>
      </c>
      <c r="L566" t="s">
        <v>159</v>
      </c>
      <c r="N566" t="s">
        <v>216</v>
      </c>
      <c r="O566" t="s">
        <v>301</v>
      </c>
      <c r="P566">
        <v>2.1345627663098513E-2</v>
      </c>
      <c r="Q566" t="s">
        <v>159</v>
      </c>
      <c r="S566" t="s">
        <v>258</v>
      </c>
      <c r="T566" t="s">
        <v>301</v>
      </c>
      <c r="U566">
        <v>1.422631491585255E-2</v>
      </c>
      <c r="V566" t="s">
        <v>159</v>
      </c>
    </row>
    <row r="567" spans="9:22" x14ac:dyDescent="0.45">
      <c r="I567" t="s">
        <v>173</v>
      </c>
      <c r="J567" t="s">
        <v>302</v>
      </c>
      <c r="K567">
        <v>9.5101958222619624E-3</v>
      </c>
      <c r="L567" t="s">
        <v>159</v>
      </c>
      <c r="N567" t="s">
        <v>216</v>
      </c>
      <c r="O567" t="s">
        <v>302</v>
      </c>
      <c r="P567">
        <v>1.4204029032122808E-2</v>
      </c>
      <c r="Q567" t="s">
        <v>159</v>
      </c>
      <c r="S567" t="s">
        <v>258</v>
      </c>
      <c r="T567" t="s">
        <v>302</v>
      </c>
      <c r="U567">
        <v>1.3701963299706861E-2</v>
      </c>
      <c r="V567" t="s">
        <v>159</v>
      </c>
    </row>
    <row r="568" spans="9:22" x14ac:dyDescent="0.45">
      <c r="I568" t="s">
        <v>173</v>
      </c>
      <c r="J568" t="s">
        <v>312</v>
      </c>
      <c r="K568">
        <v>0</v>
      </c>
      <c r="L568" t="s">
        <v>159</v>
      </c>
      <c r="N568" t="s">
        <v>216</v>
      </c>
      <c r="O568" t="s">
        <v>312</v>
      </c>
      <c r="P568">
        <v>4.0754328481009731E-2</v>
      </c>
      <c r="Q568" t="s">
        <v>159</v>
      </c>
      <c r="S568" t="s">
        <v>258</v>
      </c>
      <c r="T568" t="s">
        <v>312</v>
      </c>
      <c r="U568">
        <v>5.9380106362653909E-2</v>
      </c>
      <c r="V568" t="s">
        <v>159</v>
      </c>
    </row>
    <row r="569" spans="9:22" x14ac:dyDescent="0.45">
      <c r="I569" t="s">
        <v>173</v>
      </c>
      <c r="J569" t="s">
        <v>397</v>
      </c>
      <c r="K569">
        <v>0</v>
      </c>
      <c r="L569" t="s">
        <v>159</v>
      </c>
      <c r="N569" t="s">
        <v>216</v>
      </c>
      <c r="O569" t="s">
        <v>397</v>
      </c>
      <c r="P569">
        <v>7.1037980750467888E-6</v>
      </c>
      <c r="Q569" t="s">
        <v>159</v>
      </c>
      <c r="S569" t="s">
        <v>258</v>
      </c>
      <c r="T569" t="s">
        <v>397</v>
      </c>
      <c r="U569">
        <v>1.1582948464180073E-5</v>
      </c>
      <c r="V569" t="s">
        <v>159</v>
      </c>
    </row>
    <row r="570" spans="9:22" x14ac:dyDescent="0.45">
      <c r="I570" t="s">
        <v>173</v>
      </c>
      <c r="J570" t="s">
        <v>398</v>
      </c>
      <c r="K570">
        <v>0</v>
      </c>
      <c r="L570" t="s">
        <v>159</v>
      </c>
      <c r="N570" t="s">
        <v>216</v>
      </c>
      <c r="O570" t="s">
        <v>398</v>
      </c>
      <c r="P570">
        <v>6.7979346317166819E-6</v>
      </c>
      <c r="Q570" t="s">
        <v>159</v>
      </c>
      <c r="S570" t="s">
        <v>258</v>
      </c>
      <c r="T570" t="s">
        <v>398</v>
      </c>
      <c r="U570">
        <v>1.3307542381547923E-5</v>
      </c>
      <c r="V570" t="s">
        <v>159</v>
      </c>
    </row>
    <row r="571" spans="9:22" x14ac:dyDescent="0.45">
      <c r="I571" t="s">
        <v>173</v>
      </c>
      <c r="J571" t="s">
        <v>399</v>
      </c>
      <c r="K571">
        <v>0</v>
      </c>
      <c r="L571" t="s">
        <v>159</v>
      </c>
      <c r="N571" t="s">
        <v>216</v>
      </c>
      <c r="O571" t="s">
        <v>399</v>
      </c>
      <c r="P571">
        <v>7.8874219824431926E-6</v>
      </c>
      <c r="Q571" t="s">
        <v>159</v>
      </c>
      <c r="S571" t="s">
        <v>258</v>
      </c>
      <c r="T571" t="s">
        <v>399</v>
      </c>
      <c r="U571">
        <v>1.6714244912597614E-5</v>
      </c>
      <c r="V571" t="s">
        <v>159</v>
      </c>
    </row>
    <row r="572" spans="9:22" x14ac:dyDescent="0.45">
      <c r="I572" t="s">
        <v>173</v>
      </c>
      <c r="J572" t="s">
        <v>400</v>
      </c>
      <c r="K572">
        <v>0</v>
      </c>
      <c r="L572" t="s">
        <v>159</v>
      </c>
      <c r="N572" t="s">
        <v>216</v>
      </c>
      <c r="O572" t="s">
        <v>400</v>
      </c>
      <c r="P572">
        <v>1.6593394688813897E-5</v>
      </c>
      <c r="Q572" t="s">
        <v>159</v>
      </c>
      <c r="S572" t="s">
        <v>258</v>
      </c>
      <c r="T572" t="s">
        <v>400</v>
      </c>
      <c r="U572">
        <v>2.1591777041437888E-5</v>
      </c>
      <c r="V572" t="s">
        <v>159</v>
      </c>
    </row>
    <row r="573" spans="9:22" x14ac:dyDescent="0.45">
      <c r="I573" t="s">
        <v>173</v>
      </c>
      <c r="J573" t="s">
        <v>401</v>
      </c>
      <c r="K573">
        <v>0</v>
      </c>
      <c r="L573" t="s">
        <v>159</v>
      </c>
      <c r="N573" t="s">
        <v>216</v>
      </c>
      <c r="O573" t="s">
        <v>401</v>
      </c>
      <c r="P573">
        <v>2.8043346337950132E-5</v>
      </c>
      <c r="Q573" t="s">
        <v>159</v>
      </c>
      <c r="S573" t="s">
        <v>258</v>
      </c>
      <c r="T573" t="s">
        <v>401</v>
      </c>
      <c r="U573">
        <v>2.5994296320189173E-5</v>
      </c>
      <c r="V573" t="s">
        <v>159</v>
      </c>
    </row>
    <row r="574" spans="9:22" x14ac:dyDescent="0.45">
      <c r="I574" t="s">
        <v>173</v>
      </c>
      <c r="J574" t="s">
        <v>402</v>
      </c>
      <c r="K574">
        <v>0</v>
      </c>
      <c r="L574" t="s">
        <v>159</v>
      </c>
      <c r="N574" t="s">
        <v>216</v>
      </c>
      <c r="O574" t="s">
        <v>402</v>
      </c>
      <c r="P574">
        <v>3.94159427480622E-5</v>
      </c>
      <c r="Q574" t="s">
        <v>159</v>
      </c>
      <c r="S574" t="s">
        <v>258</v>
      </c>
      <c r="T574" t="s">
        <v>402</v>
      </c>
      <c r="U574">
        <v>2.6959003920185296E-5</v>
      </c>
      <c r="V574" t="s">
        <v>159</v>
      </c>
    </row>
    <row r="575" spans="9:22" x14ac:dyDescent="0.45">
      <c r="I575" t="s">
        <v>173</v>
      </c>
      <c r="J575" t="s">
        <v>403</v>
      </c>
      <c r="K575">
        <v>0</v>
      </c>
      <c r="L575" t="s">
        <v>159</v>
      </c>
      <c r="N575" t="s">
        <v>216</v>
      </c>
      <c r="O575" t="s">
        <v>403</v>
      </c>
      <c r="P575">
        <v>3.923120982667496E-5</v>
      </c>
      <c r="Q575" t="s">
        <v>159</v>
      </c>
      <c r="S575" t="s">
        <v>258</v>
      </c>
      <c r="T575" t="s">
        <v>403</v>
      </c>
      <c r="U575">
        <v>2.1467371320087382E-5</v>
      </c>
      <c r="V575" t="s">
        <v>159</v>
      </c>
    </row>
    <row r="576" spans="9:22" x14ac:dyDescent="0.45">
      <c r="I576" t="s">
        <v>173</v>
      </c>
      <c r="J576" t="s">
        <v>404</v>
      </c>
      <c r="K576">
        <v>2.2479201775131197E-4</v>
      </c>
      <c r="L576" t="s">
        <v>159</v>
      </c>
      <c r="N576" t="s">
        <v>216</v>
      </c>
      <c r="O576" t="s">
        <v>404</v>
      </c>
      <c r="P576">
        <v>3.4182373258466865E-5</v>
      </c>
      <c r="Q576" t="s">
        <v>159</v>
      </c>
      <c r="S576" t="s">
        <v>258</v>
      </c>
      <c r="T576" t="s">
        <v>404</v>
      </c>
      <c r="U576">
        <v>1.4750999030718995E-5</v>
      </c>
      <c r="V576" t="s">
        <v>159</v>
      </c>
    </row>
    <row r="577" spans="9:22" x14ac:dyDescent="0.45">
      <c r="I577" t="s">
        <v>173</v>
      </c>
      <c r="J577" t="s">
        <v>405</v>
      </c>
      <c r="K577">
        <v>2.7117964881113478E-4</v>
      </c>
      <c r="L577" t="s">
        <v>159</v>
      </c>
      <c r="N577" t="s">
        <v>216</v>
      </c>
      <c r="O577" t="s">
        <v>405</v>
      </c>
      <c r="P577">
        <v>2.938804481794708E-5</v>
      </c>
      <c r="Q577" t="s">
        <v>159</v>
      </c>
      <c r="S577" t="s">
        <v>258</v>
      </c>
      <c r="T577" t="s">
        <v>405</v>
      </c>
      <c r="U577">
        <v>9.0597475522775968E-6</v>
      </c>
      <c r="V577" t="s">
        <v>159</v>
      </c>
    </row>
    <row r="578" spans="9:22" x14ac:dyDescent="0.45">
      <c r="I578" t="s">
        <v>173</v>
      </c>
      <c r="J578" t="s">
        <v>406</v>
      </c>
      <c r="K578">
        <v>2.7262719330883834E-4</v>
      </c>
      <c r="L578" t="s">
        <v>159</v>
      </c>
      <c r="N578" t="s">
        <v>216</v>
      </c>
      <c r="O578" t="s">
        <v>406</v>
      </c>
      <c r="P578">
        <v>2.5368315357861944E-5</v>
      </c>
      <c r="Q578" t="s">
        <v>159</v>
      </c>
      <c r="S578" t="s">
        <v>258</v>
      </c>
      <c r="T578" t="s">
        <v>406</v>
      </c>
      <c r="U578">
        <v>6.3665819573205866E-6</v>
      </c>
      <c r="V578" t="s">
        <v>159</v>
      </c>
    </row>
    <row r="579" spans="9:22" x14ac:dyDescent="0.45">
      <c r="I579" t="s">
        <v>173</v>
      </c>
      <c r="J579" t="s">
        <v>407</v>
      </c>
      <c r="K579">
        <v>2.7488998958484034E-4</v>
      </c>
      <c r="L579" t="s">
        <v>159</v>
      </c>
      <c r="N579" t="s">
        <v>216</v>
      </c>
      <c r="O579" t="s">
        <v>407</v>
      </c>
      <c r="P579">
        <v>1.4728505203752499E-4</v>
      </c>
      <c r="Q579" t="s">
        <v>159</v>
      </c>
      <c r="S579" t="s">
        <v>258</v>
      </c>
      <c r="T579" t="s">
        <v>407</v>
      </c>
      <c r="U579">
        <v>4.6383096062980239E-6</v>
      </c>
      <c r="V579" t="s">
        <v>159</v>
      </c>
    </row>
    <row r="580" spans="9:22" x14ac:dyDescent="0.45">
      <c r="I580" t="s">
        <v>173</v>
      </c>
      <c r="J580" t="s">
        <v>408</v>
      </c>
      <c r="K580">
        <v>2.8699324851039941E-4</v>
      </c>
      <c r="L580" t="s">
        <v>159</v>
      </c>
      <c r="N580" t="s">
        <v>216</v>
      </c>
      <c r="O580" t="s">
        <v>408</v>
      </c>
      <c r="P580">
        <v>2.0915898412961491E-4</v>
      </c>
      <c r="Q580" t="s">
        <v>159</v>
      </c>
      <c r="S580" t="s">
        <v>258</v>
      </c>
      <c r="T580" t="s">
        <v>408</v>
      </c>
      <c r="U580">
        <v>6.2241173603460626E-6</v>
      </c>
      <c r="V580" t="s">
        <v>159</v>
      </c>
    </row>
    <row r="581" spans="9:22" x14ac:dyDescent="0.45">
      <c r="I581" t="s">
        <v>173</v>
      </c>
      <c r="J581" t="s">
        <v>409</v>
      </c>
      <c r="K581">
        <v>3.1130012654040422E-4</v>
      </c>
      <c r="L581" t="s">
        <v>159</v>
      </c>
      <c r="N581" t="s">
        <v>216</v>
      </c>
      <c r="O581" t="s">
        <v>409</v>
      </c>
      <c r="P581">
        <v>3.0427786635606533E-4</v>
      </c>
      <c r="Q581" t="s">
        <v>159</v>
      </c>
      <c r="S581" t="s">
        <v>258</v>
      </c>
      <c r="T581" t="s">
        <v>409</v>
      </c>
      <c r="U581">
        <v>1.3488867021744893E-5</v>
      </c>
      <c r="V581" t="s">
        <v>159</v>
      </c>
    </row>
    <row r="582" spans="9:22" x14ac:dyDescent="0.45">
      <c r="I582" t="s">
        <v>173</v>
      </c>
      <c r="J582" t="s">
        <v>410</v>
      </c>
      <c r="K582">
        <v>2.8615269556890507E-4</v>
      </c>
      <c r="L582" t="s">
        <v>159</v>
      </c>
      <c r="N582" t="s">
        <v>216</v>
      </c>
      <c r="O582" t="s">
        <v>410</v>
      </c>
      <c r="P582">
        <v>3.5366140272396178E-4</v>
      </c>
      <c r="Q582" t="s">
        <v>159</v>
      </c>
      <c r="S582" t="s">
        <v>258</v>
      </c>
      <c r="T582" t="s">
        <v>410</v>
      </c>
      <c r="U582">
        <v>2.3704421557236647E-5</v>
      </c>
      <c r="V582" t="s">
        <v>159</v>
      </c>
    </row>
    <row r="583" spans="9:22" x14ac:dyDescent="0.45">
      <c r="I583" t="s">
        <v>173</v>
      </c>
      <c r="J583" t="s">
        <v>411</v>
      </c>
      <c r="K583">
        <v>2.6789646502974084E-4</v>
      </c>
      <c r="L583" t="s">
        <v>159</v>
      </c>
      <c r="N583" t="s">
        <v>216</v>
      </c>
      <c r="O583" t="s">
        <v>411</v>
      </c>
      <c r="P583">
        <v>3.941394671198002E-4</v>
      </c>
      <c r="Q583" t="s">
        <v>159</v>
      </c>
      <c r="S583" t="s">
        <v>258</v>
      </c>
      <c r="T583" t="s">
        <v>411</v>
      </c>
      <c r="U583">
        <v>3.3577804619204517E-5</v>
      </c>
      <c r="V583" t="s">
        <v>159</v>
      </c>
    </row>
    <row r="584" spans="9:22" x14ac:dyDescent="0.45">
      <c r="I584" t="s">
        <v>173</v>
      </c>
      <c r="J584" t="s">
        <v>412</v>
      </c>
      <c r="K584">
        <v>2.6188895101324515E-4</v>
      </c>
      <c r="L584" t="s">
        <v>159</v>
      </c>
      <c r="N584" t="s">
        <v>216</v>
      </c>
      <c r="O584" t="s">
        <v>412</v>
      </c>
      <c r="P584">
        <v>3.7892601596260062E-4</v>
      </c>
      <c r="Q584" t="s">
        <v>159</v>
      </c>
      <c r="S584" t="s">
        <v>258</v>
      </c>
      <c r="T584" t="s">
        <v>412</v>
      </c>
      <c r="U584">
        <v>3.8835947246199234E-5</v>
      </c>
      <c r="V584" t="s">
        <v>159</v>
      </c>
    </row>
    <row r="585" spans="9:22" x14ac:dyDescent="0.45">
      <c r="I585" t="s">
        <v>173</v>
      </c>
      <c r="J585" t="s">
        <v>413</v>
      </c>
      <c r="K585">
        <v>2.608417513156424E-4</v>
      </c>
      <c r="L585" t="s">
        <v>159</v>
      </c>
      <c r="N585" t="s">
        <v>216</v>
      </c>
      <c r="O585" t="s">
        <v>413</v>
      </c>
      <c r="P585">
        <v>3.373892144978508E-4</v>
      </c>
      <c r="Q585" t="s">
        <v>159</v>
      </c>
      <c r="S585" t="s">
        <v>258</v>
      </c>
      <c r="T585" t="s">
        <v>413</v>
      </c>
      <c r="U585">
        <v>3.8165920621474282E-5</v>
      </c>
      <c r="V585" t="s">
        <v>159</v>
      </c>
    </row>
    <row r="586" spans="9:22" x14ac:dyDescent="0.45">
      <c r="I586" t="s">
        <v>173</v>
      </c>
      <c r="J586" t="s">
        <v>414</v>
      </c>
      <c r="K586">
        <v>2.1739107745007337E-4</v>
      </c>
      <c r="L586" t="s">
        <v>159</v>
      </c>
      <c r="N586" t="s">
        <v>216</v>
      </c>
      <c r="O586" t="s">
        <v>414</v>
      </c>
      <c r="P586">
        <v>2.1004900966055165E-4</v>
      </c>
      <c r="Q586" t="s">
        <v>159</v>
      </c>
      <c r="S586" t="s">
        <v>258</v>
      </c>
      <c r="T586" t="s">
        <v>414</v>
      </c>
      <c r="U586">
        <v>2.9439484205712195E-5</v>
      </c>
      <c r="V586" t="s">
        <v>159</v>
      </c>
    </row>
    <row r="587" spans="9:22" x14ac:dyDescent="0.45">
      <c r="I587" t="s">
        <v>173</v>
      </c>
      <c r="J587" t="s">
        <v>415</v>
      </c>
      <c r="K587">
        <v>0</v>
      </c>
      <c r="L587" t="s">
        <v>159</v>
      </c>
      <c r="N587" t="s">
        <v>216</v>
      </c>
      <c r="O587" t="s">
        <v>415</v>
      </c>
      <c r="P587">
        <v>8.7514189812817227E-5</v>
      </c>
      <c r="Q587" t="s">
        <v>159</v>
      </c>
      <c r="S587" t="s">
        <v>258</v>
      </c>
      <c r="T587" t="s">
        <v>415</v>
      </c>
      <c r="U587">
        <v>2.1667219175966084E-5</v>
      </c>
      <c r="V587" t="s">
        <v>159</v>
      </c>
    </row>
    <row r="588" spans="9:22" x14ac:dyDescent="0.45">
      <c r="I588" t="s">
        <v>173</v>
      </c>
      <c r="J588" t="s">
        <v>416</v>
      </c>
      <c r="K588">
        <v>0</v>
      </c>
      <c r="L588" t="s">
        <v>159</v>
      </c>
      <c r="N588" t="s">
        <v>216</v>
      </c>
      <c r="O588" t="s">
        <v>416</v>
      </c>
      <c r="P588">
        <v>5.5014725853276802E-5</v>
      </c>
      <c r="Q588" t="s">
        <v>159</v>
      </c>
      <c r="S588" t="s">
        <v>258</v>
      </c>
      <c r="T588" t="s">
        <v>416</v>
      </c>
      <c r="U588">
        <v>2.1514906237814345E-5</v>
      </c>
      <c r="V588" t="s">
        <v>159</v>
      </c>
    </row>
    <row r="589" spans="9:22" x14ac:dyDescent="0.45">
      <c r="I589" t="s">
        <v>173</v>
      </c>
      <c r="J589" t="s">
        <v>417</v>
      </c>
      <c r="K589">
        <v>0</v>
      </c>
      <c r="L589" t="s">
        <v>159</v>
      </c>
      <c r="N589" t="s">
        <v>216</v>
      </c>
      <c r="O589" t="s">
        <v>417</v>
      </c>
      <c r="P589">
        <v>5.4302376328580531E-5</v>
      </c>
      <c r="Q589" t="s">
        <v>159</v>
      </c>
      <c r="S589" t="s">
        <v>258</v>
      </c>
      <c r="T589" t="s">
        <v>417</v>
      </c>
      <c r="U589">
        <v>2.7649768063349201E-5</v>
      </c>
      <c r="V589" t="s">
        <v>159</v>
      </c>
    </row>
    <row r="590" spans="9:22" x14ac:dyDescent="0.45">
      <c r="I590" t="s">
        <v>173</v>
      </c>
      <c r="J590" t="s">
        <v>418</v>
      </c>
      <c r="K590">
        <v>0</v>
      </c>
      <c r="L590" t="s">
        <v>159</v>
      </c>
      <c r="N590" t="s">
        <v>216</v>
      </c>
      <c r="O590" t="s">
        <v>418</v>
      </c>
      <c r="P590">
        <v>6.9568868127459305E-5</v>
      </c>
      <c r="Q590" t="s">
        <v>159</v>
      </c>
      <c r="S590" t="s">
        <v>258</v>
      </c>
      <c r="T590" t="s">
        <v>418</v>
      </c>
      <c r="U590">
        <v>3.4624399628444973E-5</v>
      </c>
      <c r="V590" t="s">
        <v>159</v>
      </c>
    </row>
    <row r="591" spans="9:22" x14ac:dyDescent="0.45">
      <c r="I591" t="s">
        <v>173</v>
      </c>
      <c r="J591" t="s">
        <v>419</v>
      </c>
      <c r="K591">
        <v>0</v>
      </c>
      <c r="L591" t="s">
        <v>159</v>
      </c>
      <c r="N591" t="s">
        <v>216</v>
      </c>
      <c r="O591" t="s">
        <v>419</v>
      </c>
      <c r="P591">
        <v>8.8148519648437179E-5</v>
      </c>
      <c r="Q591" t="s">
        <v>159</v>
      </c>
      <c r="S591" t="s">
        <v>258</v>
      </c>
      <c r="T591" t="s">
        <v>419</v>
      </c>
      <c r="U591">
        <v>4.4491296886797581E-5</v>
      </c>
      <c r="V591" t="s">
        <v>159</v>
      </c>
    </row>
    <row r="592" spans="9:22" x14ac:dyDescent="0.45">
      <c r="I592" t="s">
        <v>173</v>
      </c>
      <c r="J592" t="s">
        <v>420</v>
      </c>
      <c r="K592">
        <v>0</v>
      </c>
      <c r="L592" t="s">
        <v>159</v>
      </c>
      <c r="N592" t="s">
        <v>216</v>
      </c>
      <c r="O592" t="s">
        <v>420</v>
      </c>
      <c r="P592">
        <v>9.3265936117085794E-5</v>
      </c>
      <c r="Q592" t="s">
        <v>159</v>
      </c>
      <c r="S592" t="s">
        <v>258</v>
      </c>
      <c r="T592" t="s">
        <v>420</v>
      </c>
      <c r="U592">
        <v>6.0699378031731274E-5</v>
      </c>
      <c r="V592" t="s">
        <v>159</v>
      </c>
    </row>
    <row r="593" spans="9:22" x14ac:dyDescent="0.45">
      <c r="I593" t="s">
        <v>173</v>
      </c>
      <c r="J593" t="s">
        <v>313</v>
      </c>
      <c r="K593">
        <v>5.7046765252741927E-3</v>
      </c>
      <c r="L593" t="s">
        <v>159</v>
      </c>
      <c r="N593" t="s">
        <v>216</v>
      </c>
      <c r="O593" t="s">
        <v>313</v>
      </c>
      <c r="P593">
        <v>4.0561082689487358E-3</v>
      </c>
      <c r="Q593" t="s">
        <v>159</v>
      </c>
      <c r="S593" t="s">
        <v>258</v>
      </c>
      <c r="T593" t="s">
        <v>313</v>
      </c>
      <c r="U593">
        <v>1.5908627994890349E-2</v>
      </c>
      <c r="V593" t="s">
        <v>159</v>
      </c>
    </row>
    <row r="594" spans="9:22" x14ac:dyDescent="0.45">
      <c r="I594" t="s">
        <v>173</v>
      </c>
      <c r="J594" t="s">
        <v>314</v>
      </c>
      <c r="K594">
        <v>7.9269745901957376E-3</v>
      </c>
      <c r="L594" t="s">
        <v>159</v>
      </c>
      <c r="N594" t="s">
        <v>216</v>
      </c>
      <c r="O594" t="s">
        <v>314</v>
      </c>
      <c r="P594">
        <v>3.3446051887206946E-4</v>
      </c>
      <c r="Q594" t="s">
        <v>159</v>
      </c>
      <c r="S594" t="s">
        <v>258</v>
      </c>
      <c r="T594" t="s">
        <v>314</v>
      </c>
      <c r="U594">
        <v>2.3200912727615996E-3</v>
      </c>
      <c r="V594" t="s">
        <v>159</v>
      </c>
    </row>
    <row r="595" spans="9:22" x14ac:dyDescent="0.45">
      <c r="I595" t="s">
        <v>173</v>
      </c>
      <c r="J595" t="s">
        <v>315</v>
      </c>
      <c r="K595">
        <v>8.1754253402469931E-2</v>
      </c>
      <c r="L595" t="s">
        <v>159</v>
      </c>
      <c r="N595" t="s">
        <v>216</v>
      </c>
      <c r="O595" t="s">
        <v>315</v>
      </c>
      <c r="P595">
        <v>2.341624869814293E-2</v>
      </c>
      <c r="Q595" t="s">
        <v>159</v>
      </c>
      <c r="S595" t="s">
        <v>258</v>
      </c>
      <c r="T595" t="s">
        <v>315</v>
      </c>
      <c r="U595">
        <v>2.6362513249610208E-2</v>
      </c>
      <c r="V595" t="s">
        <v>159</v>
      </c>
    </row>
    <row r="596" spans="9:22" x14ac:dyDescent="0.45">
      <c r="I596" t="s">
        <v>173</v>
      </c>
      <c r="J596" t="s">
        <v>316</v>
      </c>
      <c r="K596">
        <v>6.7137337107612731E-3</v>
      </c>
      <c r="L596" t="s">
        <v>159</v>
      </c>
      <c r="N596" t="s">
        <v>216</v>
      </c>
      <c r="O596" t="s">
        <v>316</v>
      </c>
      <c r="P596">
        <v>2.4727598283025122E-3</v>
      </c>
      <c r="Q596" t="s">
        <v>159</v>
      </c>
      <c r="S596" t="s">
        <v>258</v>
      </c>
      <c r="T596" t="s">
        <v>316</v>
      </c>
      <c r="U596">
        <v>3.0344872256084323E-3</v>
      </c>
      <c r="V596" t="s">
        <v>159</v>
      </c>
    </row>
    <row r="597" spans="9:22" x14ac:dyDescent="0.45">
      <c r="I597" t="s">
        <v>173</v>
      </c>
      <c r="J597" t="s">
        <v>317</v>
      </c>
      <c r="K597">
        <v>4.8489290598971897E-3</v>
      </c>
      <c r="L597" t="s">
        <v>159</v>
      </c>
      <c r="N597" t="s">
        <v>216</v>
      </c>
      <c r="O597" t="s">
        <v>317</v>
      </c>
      <c r="P597">
        <v>1.6211691322559996E-3</v>
      </c>
      <c r="Q597" t="s">
        <v>159</v>
      </c>
      <c r="S597" t="s">
        <v>258</v>
      </c>
      <c r="T597" t="s">
        <v>317</v>
      </c>
      <c r="U597">
        <v>2.8748322252355649E-3</v>
      </c>
      <c r="V597" t="s">
        <v>159</v>
      </c>
    </row>
    <row r="598" spans="9:22" x14ac:dyDescent="0.45">
      <c r="I598" t="s">
        <v>173</v>
      </c>
      <c r="J598" t="s">
        <v>318</v>
      </c>
      <c r="K598">
        <v>1.3341412223444463E-3</v>
      </c>
      <c r="L598" t="s">
        <v>159</v>
      </c>
      <c r="N598" t="s">
        <v>216</v>
      </c>
      <c r="O598" t="s">
        <v>318</v>
      </c>
      <c r="P598">
        <v>4.5978938236136604E-3</v>
      </c>
      <c r="Q598" t="s">
        <v>159</v>
      </c>
      <c r="S598" t="s">
        <v>258</v>
      </c>
      <c r="T598" t="s">
        <v>318</v>
      </c>
      <c r="U598">
        <v>1.3482518494129007E-2</v>
      </c>
      <c r="V598" t="s">
        <v>159</v>
      </c>
    </row>
    <row r="599" spans="9:22" x14ac:dyDescent="0.45">
      <c r="I599" t="s">
        <v>174</v>
      </c>
      <c r="J599" t="s">
        <v>158</v>
      </c>
      <c r="K599">
        <v>6.5306276162040685E-3</v>
      </c>
      <c r="L599" t="s">
        <v>159</v>
      </c>
      <c r="N599" t="s">
        <v>217</v>
      </c>
      <c r="O599" t="s">
        <v>158</v>
      </c>
      <c r="P599">
        <v>9.9845712283687396E-2</v>
      </c>
      <c r="Q599" t="s">
        <v>159</v>
      </c>
      <c r="S599" t="s">
        <v>259</v>
      </c>
      <c r="T599" t="s">
        <v>158</v>
      </c>
      <c r="U599">
        <v>0.12813695878680226</v>
      </c>
      <c r="V599" t="s">
        <v>159</v>
      </c>
    </row>
    <row r="600" spans="9:22" x14ac:dyDescent="0.45">
      <c r="I600" t="s">
        <v>174</v>
      </c>
      <c r="J600" t="s">
        <v>160</v>
      </c>
      <c r="K600">
        <v>2.9974244724570262E-2</v>
      </c>
      <c r="L600" t="s">
        <v>159</v>
      </c>
      <c r="N600" t="s">
        <v>217</v>
      </c>
      <c r="O600" t="s">
        <v>160</v>
      </c>
      <c r="P600">
        <v>1.173864659677692E-2</v>
      </c>
      <c r="Q600" t="s">
        <v>159</v>
      </c>
      <c r="S600" t="s">
        <v>259</v>
      </c>
      <c r="T600" t="s">
        <v>160</v>
      </c>
      <c r="U600">
        <v>1.7047349153192733E-2</v>
      </c>
      <c r="V600" t="s">
        <v>159</v>
      </c>
    </row>
    <row r="601" spans="9:22" x14ac:dyDescent="0.45">
      <c r="I601" t="s">
        <v>174</v>
      </c>
      <c r="J601" t="s">
        <v>161</v>
      </c>
      <c r="K601">
        <v>0.38172918991384519</v>
      </c>
      <c r="L601" t="s">
        <v>159</v>
      </c>
      <c r="N601" t="s">
        <v>217</v>
      </c>
      <c r="O601" t="s">
        <v>161</v>
      </c>
      <c r="P601">
        <v>0.12150661409862172</v>
      </c>
      <c r="Q601" t="s">
        <v>159</v>
      </c>
      <c r="S601" t="s">
        <v>259</v>
      </c>
      <c r="T601" t="s">
        <v>161</v>
      </c>
      <c r="U601">
        <v>0.16462444741566301</v>
      </c>
      <c r="V601" t="s">
        <v>159</v>
      </c>
    </row>
    <row r="602" spans="9:22" x14ac:dyDescent="0.45">
      <c r="I602" t="s">
        <v>174</v>
      </c>
      <c r="J602" t="s">
        <v>287</v>
      </c>
      <c r="K602">
        <v>3.1769461116933101E-2</v>
      </c>
      <c r="L602" t="s">
        <v>159</v>
      </c>
      <c r="N602" t="s">
        <v>217</v>
      </c>
      <c r="O602" t="s">
        <v>287</v>
      </c>
      <c r="P602">
        <v>1.5610204278001421E-2</v>
      </c>
      <c r="Q602" t="s">
        <v>159</v>
      </c>
      <c r="S602" t="s">
        <v>259</v>
      </c>
      <c r="T602" t="s">
        <v>287</v>
      </c>
      <c r="U602">
        <v>2.177050074904802E-2</v>
      </c>
      <c r="V602" t="s">
        <v>159</v>
      </c>
    </row>
    <row r="603" spans="9:22" x14ac:dyDescent="0.45">
      <c r="I603" t="s">
        <v>174</v>
      </c>
      <c r="J603" t="s">
        <v>288</v>
      </c>
      <c r="K603">
        <v>1.4490922680311172E-2</v>
      </c>
      <c r="L603" t="s">
        <v>159</v>
      </c>
      <c r="N603" t="s">
        <v>217</v>
      </c>
      <c r="O603" t="s">
        <v>288</v>
      </c>
      <c r="P603">
        <v>1.6861447795410704E-2</v>
      </c>
      <c r="Q603" t="s">
        <v>159</v>
      </c>
      <c r="S603" t="s">
        <v>259</v>
      </c>
      <c r="T603" t="s">
        <v>288</v>
      </c>
      <c r="U603">
        <v>2.1630695722607542E-2</v>
      </c>
      <c r="V603" t="s">
        <v>159</v>
      </c>
    </row>
    <row r="604" spans="9:22" x14ac:dyDescent="0.45">
      <c r="I604" t="s">
        <v>174</v>
      </c>
      <c r="J604" t="s">
        <v>308</v>
      </c>
      <c r="K604">
        <v>0</v>
      </c>
      <c r="L604" t="s">
        <v>159</v>
      </c>
      <c r="N604" t="s">
        <v>217</v>
      </c>
      <c r="O604" t="s">
        <v>308</v>
      </c>
      <c r="P604">
        <v>9.8928742033585135E-2</v>
      </c>
      <c r="Q604" t="s">
        <v>159</v>
      </c>
      <c r="S604" t="s">
        <v>259</v>
      </c>
      <c r="T604" t="s">
        <v>308</v>
      </c>
      <c r="U604">
        <v>0.10476090398790185</v>
      </c>
      <c r="V604" t="s">
        <v>159</v>
      </c>
    </row>
    <row r="605" spans="9:22" x14ac:dyDescent="0.45">
      <c r="I605" t="s">
        <v>174</v>
      </c>
      <c r="J605" t="s">
        <v>162</v>
      </c>
      <c r="K605">
        <v>0</v>
      </c>
      <c r="L605" t="s">
        <v>159</v>
      </c>
      <c r="N605" t="s">
        <v>217</v>
      </c>
      <c r="O605" t="s">
        <v>162</v>
      </c>
      <c r="P605">
        <v>2.6268340325697061E-2</v>
      </c>
      <c r="Q605" t="s">
        <v>159</v>
      </c>
      <c r="S605" t="s">
        <v>259</v>
      </c>
      <c r="T605" t="s">
        <v>162</v>
      </c>
      <c r="U605">
        <v>1.4746803716564297E-2</v>
      </c>
      <c r="V605" t="s">
        <v>159</v>
      </c>
    </row>
    <row r="606" spans="9:22" x14ac:dyDescent="0.45">
      <c r="I606" t="s">
        <v>174</v>
      </c>
      <c r="J606" t="s">
        <v>163</v>
      </c>
      <c r="K606">
        <v>1.4937542373408296E-4</v>
      </c>
      <c r="L606" t="s">
        <v>159</v>
      </c>
      <c r="N606" t="s">
        <v>217</v>
      </c>
      <c r="O606" t="s">
        <v>163</v>
      </c>
      <c r="P606">
        <v>2.915529725075808E-3</v>
      </c>
      <c r="Q606" t="s">
        <v>159</v>
      </c>
      <c r="S606" t="s">
        <v>259</v>
      </c>
      <c r="T606" t="s">
        <v>163</v>
      </c>
      <c r="U606">
        <v>2.1510380850715046E-3</v>
      </c>
      <c r="V606" t="s">
        <v>159</v>
      </c>
    </row>
    <row r="607" spans="9:22" x14ac:dyDescent="0.45">
      <c r="I607" t="s">
        <v>174</v>
      </c>
      <c r="J607" t="s">
        <v>164</v>
      </c>
      <c r="K607">
        <v>4.6676842028455144E-2</v>
      </c>
      <c r="L607" t="s">
        <v>159</v>
      </c>
      <c r="N607" t="s">
        <v>217</v>
      </c>
      <c r="O607" t="s">
        <v>164</v>
      </c>
      <c r="P607">
        <v>3.005519248416999E-2</v>
      </c>
      <c r="Q607" t="s">
        <v>159</v>
      </c>
      <c r="S607" t="s">
        <v>259</v>
      </c>
      <c r="T607" t="s">
        <v>164</v>
      </c>
      <c r="U607">
        <v>2.4800583022748731E-2</v>
      </c>
      <c r="V607" t="s">
        <v>159</v>
      </c>
    </row>
    <row r="608" spans="9:22" x14ac:dyDescent="0.45">
      <c r="I608" t="s">
        <v>174</v>
      </c>
      <c r="J608" t="s">
        <v>289</v>
      </c>
      <c r="K608">
        <v>3.362281401635624E-3</v>
      </c>
      <c r="L608" t="s">
        <v>159</v>
      </c>
      <c r="N608" t="s">
        <v>217</v>
      </c>
      <c r="O608" t="s">
        <v>289</v>
      </c>
      <c r="P608">
        <v>3.1155822260676303E-3</v>
      </c>
      <c r="Q608" t="s">
        <v>159</v>
      </c>
      <c r="S608" t="s">
        <v>259</v>
      </c>
      <c r="T608" t="s">
        <v>289</v>
      </c>
      <c r="U608">
        <v>3.1798033769094639E-3</v>
      </c>
      <c r="V608" t="s">
        <v>159</v>
      </c>
    </row>
    <row r="609" spans="9:22" x14ac:dyDescent="0.45">
      <c r="I609" t="s">
        <v>174</v>
      </c>
      <c r="J609" t="s">
        <v>290</v>
      </c>
      <c r="K609">
        <v>0</v>
      </c>
      <c r="L609" t="s">
        <v>159</v>
      </c>
      <c r="N609" t="s">
        <v>217</v>
      </c>
      <c r="O609" t="s">
        <v>290</v>
      </c>
      <c r="P609">
        <v>3.2523696960937072E-3</v>
      </c>
      <c r="Q609" t="s">
        <v>159</v>
      </c>
      <c r="S609" t="s">
        <v>259</v>
      </c>
      <c r="T609" t="s">
        <v>290</v>
      </c>
      <c r="U609">
        <v>3.0925346184371557E-3</v>
      </c>
      <c r="V609" t="s">
        <v>159</v>
      </c>
    </row>
    <row r="610" spans="9:22" x14ac:dyDescent="0.45">
      <c r="I610" t="s">
        <v>174</v>
      </c>
      <c r="J610" t="s">
        <v>309</v>
      </c>
      <c r="K610">
        <v>0</v>
      </c>
      <c r="L610" t="s">
        <v>159</v>
      </c>
      <c r="N610" t="s">
        <v>217</v>
      </c>
      <c r="O610" t="s">
        <v>309</v>
      </c>
      <c r="P610">
        <v>1.9579454558731089E-2</v>
      </c>
      <c r="Q610" t="s">
        <v>159</v>
      </c>
      <c r="S610" t="s">
        <v>259</v>
      </c>
      <c r="T610" t="s">
        <v>309</v>
      </c>
      <c r="U610">
        <v>1.4573930695300108E-2</v>
      </c>
      <c r="V610" t="s">
        <v>159</v>
      </c>
    </row>
    <row r="611" spans="9:22" x14ac:dyDescent="0.45">
      <c r="I611" t="s">
        <v>174</v>
      </c>
      <c r="J611" t="s">
        <v>346</v>
      </c>
      <c r="K611">
        <v>0</v>
      </c>
      <c r="L611" t="s">
        <v>159</v>
      </c>
      <c r="N611" t="s">
        <v>217</v>
      </c>
      <c r="O611" t="s">
        <v>346</v>
      </c>
      <c r="P611">
        <v>4.9125220842236569E-5</v>
      </c>
      <c r="Q611" t="s">
        <v>159</v>
      </c>
      <c r="S611" t="s">
        <v>259</v>
      </c>
      <c r="T611" t="s">
        <v>346</v>
      </c>
      <c r="U611">
        <v>1.6817198209074214E-4</v>
      </c>
      <c r="V611" t="s">
        <v>159</v>
      </c>
    </row>
    <row r="612" spans="9:22" x14ac:dyDescent="0.45">
      <c r="I612" t="s">
        <v>174</v>
      </c>
      <c r="J612" t="s">
        <v>347</v>
      </c>
      <c r="K612">
        <v>0</v>
      </c>
      <c r="L612" t="s">
        <v>159</v>
      </c>
      <c r="N612" t="s">
        <v>217</v>
      </c>
      <c r="O612" t="s">
        <v>347</v>
      </c>
      <c r="P612">
        <v>3.8654944825896983E-5</v>
      </c>
      <c r="Q612" t="s">
        <v>159</v>
      </c>
      <c r="S612" t="s">
        <v>259</v>
      </c>
      <c r="T612" t="s">
        <v>347</v>
      </c>
      <c r="U612">
        <v>1.5215065768885535E-4</v>
      </c>
      <c r="V612" t="s">
        <v>159</v>
      </c>
    </row>
    <row r="613" spans="9:22" x14ac:dyDescent="0.45">
      <c r="I613" t="s">
        <v>174</v>
      </c>
      <c r="J613" t="s">
        <v>348</v>
      </c>
      <c r="K613">
        <v>0</v>
      </c>
      <c r="L613" t="s">
        <v>159</v>
      </c>
      <c r="N613" t="s">
        <v>217</v>
      </c>
      <c r="O613" t="s">
        <v>348</v>
      </c>
      <c r="P613">
        <v>2.6001680487719959E-5</v>
      </c>
      <c r="Q613" t="s">
        <v>159</v>
      </c>
      <c r="S613" t="s">
        <v>259</v>
      </c>
      <c r="T613" t="s">
        <v>348</v>
      </c>
      <c r="U613">
        <v>1.3047696173640308E-4</v>
      </c>
      <c r="V613" t="s">
        <v>159</v>
      </c>
    </row>
    <row r="614" spans="9:22" x14ac:dyDescent="0.45">
      <c r="I614" t="s">
        <v>174</v>
      </c>
      <c r="J614" t="s">
        <v>349</v>
      </c>
      <c r="K614">
        <v>0</v>
      </c>
      <c r="L614" t="s">
        <v>159</v>
      </c>
      <c r="N614" t="s">
        <v>217</v>
      </c>
      <c r="O614" t="s">
        <v>349</v>
      </c>
      <c r="P614">
        <v>1.5885550074929923E-5</v>
      </c>
      <c r="Q614" t="s">
        <v>159</v>
      </c>
      <c r="S614" t="s">
        <v>259</v>
      </c>
      <c r="T614" t="s">
        <v>349</v>
      </c>
      <c r="U614">
        <v>1.1017431549958566E-4</v>
      </c>
      <c r="V614" t="s">
        <v>159</v>
      </c>
    </row>
    <row r="615" spans="9:22" x14ac:dyDescent="0.45">
      <c r="I615" t="s">
        <v>174</v>
      </c>
      <c r="J615" t="s">
        <v>350</v>
      </c>
      <c r="K615">
        <v>0</v>
      </c>
      <c r="L615" t="s">
        <v>159</v>
      </c>
      <c r="N615" t="s">
        <v>217</v>
      </c>
      <c r="O615" t="s">
        <v>350</v>
      </c>
      <c r="P615">
        <v>8.9434944055079012E-6</v>
      </c>
      <c r="Q615" t="s">
        <v>159</v>
      </c>
      <c r="S615" t="s">
        <v>259</v>
      </c>
      <c r="T615" t="s">
        <v>350</v>
      </c>
      <c r="U615">
        <v>9.1996428774691891E-5</v>
      </c>
      <c r="V615" t="s">
        <v>159</v>
      </c>
    </row>
    <row r="616" spans="9:22" x14ac:dyDescent="0.45">
      <c r="I616" t="s">
        <v>174</v>
      </c>
      <c r="J616" t="s">
        <v>351</v>
      </c>
      <c r="K616">
        <v>0</v>
      </c>
      <c r="L616" t="s">
        <v>159</v>
      </c>
      <c r="N616" t="s">
        <v>217</v>
      </c>
      <c r="O616" t="s">
        <v>351</v>
      </c>
      <c r="P616">
        <v>2.6371915847238158E-6</v>
      </c>
      <c r="Q616" t="s">
        <v>159</v>
      </c>
      <c r="S616" t="s">
        <v>259</v>
      </c>
      <c r="T616" t="s">
        <v>351</v>
      </c>
      <c r="U616">
        <v>8.3304327935309252E-5</v>
      </c>
      <c r="V616" t="s">
        <v>159</v>
      </c>
    </row>
    <row r="617" spans="9:22" x14ac:dyDescent="0.45">
      <c r="I617" t="s">
        <v>174</v>
      </c>
      <c r="J617" t="s">
        <v>352</v>
      </c>
      <c r="K617">
        <v>0</v>
      </c>
      <c r="L617" t="s">
        <v>159</v>
      </c>
      <c r="N617" t="s">
        <v>217</v>
      </c>
      <c r="O617" t="s">
        <v>352</v>
      </c>
      <c r="P617">
        <v>3.9547761995159862E-7</v>
      </c>
      <c r="Q617" t="s">
        <v>159</v>
      </c>
      <c r="S617" t="s">
        <v>259</v>
      </c>
      <c r="T617" t="s">
        <v>352</v>
      </c>
      <c r="U617">
        <v>8.1321953994492794E-5</v>
      </c>
      <c r="V617" t="s">
        <v>159</v>
      </c>
    </row>
    <row r="618" spans="9:22" x14ac:dyDescent="0.45">
      <c r="I618" t="s">
        <v>174</v>
      </c>
      <c r="J618" t="s">
        <v>353</v>
      </c>
      <c r="K618">
        <v>0</v>
      </c>
      <c r="L618" t="s">
        <v>159</v>
      </c>
      <c r="N618" t="s">
        <v>217</v>
      </c>
      <c r="O618" t="s">
        <v>353</v>
      </c>
      <c r="P618">
        <v>1.3813994091731584E-7</v>
      </c>
      <c r="Q618" t="s">
        <v>159</v>
      </c>
      <c r="S618" t="s">
        <v>259</v>
      </c>
      <c r="T618" t="s">
        <v>353</v>
      </c>
      <c r="U618">
        <v>9.1361351364692788E-5</v>
      </c>
      <c r="V618" t="s">
        <v>159</v>
      </c>
    </row>
    <row r="619" spans="9:22" x14ac:dyDescent="0.45">
      <c r="I619" t="s">
        <v>174</v>
      </c>
      <c r="J619" t="s">
        <v>354</v>
      </c>
      <c r="K619">
        <v>1.5431898091765393E-4</v>
      </c>
      <c r="L619" t="s">
        <v>159</v>
      </c>
      <c r="N619" t="s">
        <v>217</v>
      </c>
      <c r="O619" t="s">
        <v>354</v>
      </c>
      <c r="P619">
        <v>5.598993007167903E-8</v>
      </c>
      <c r="Q619" t="s">
        <v>159</v>
      </c>
      <c r="S619" t="s">
        <v>259</v>
      </c>
      <c r="T619" t="s">
        <v>354</v>
      </c>
      <c r="U619">
        <v>1.0763611439353517E-4</v>
      </c>
      <c r="V619" t="s">
        <v>159</v>
      </c>
    </row>
    <row r="620" spans="9:22" x14ac:dyDescent="0.45">
      <c r="I620" t="s">
        <v>174</v>
      </c>
      <c r="J620" t="s">
        <v>355</v>
      </c>
      <c r="K620">
        <v>1.70924114367176E-4</v>
      </c>
      <c r="L620" t="s">
        <v>159</v>
      </c>
      <c r="N620" t="s">
        <v>217</v>
      </c>
      <c r="O620" t="s">
        <v>355</v>
      </c>
      <c r="P620">
        <v>3.0430596353749996E-8</v>
      </c>
      <c r="Q620" t="s">
        <v>159</v>
      </c>
      <c r="S620" t="s">
        <v>259</v>
      </c>
      <c r="T620" t="s">
        <v>355</v>
      </c>
      <c r="U620">
        <v>1.247888095435515E-4</v>
      </c>
      <c r="V620" t="s">
        <v>159</v>
      </c>
    </row>
    <row r="621" spans="9:22" x14ac:dyDescent="0.45">
      <c r="I621" t="s">
        <v>174</v>
      </c>
      <c r="J621" t="s">
        <v>356</v>
      </c>
      <c r="K621">
        <v>1.7146962954700157E-4</v>
      </c>
      <c r="L621" t="s">
        <v>159</v>
      </c>
      <c r="N621" t="s">
        <v>217</v>
      </c>
      <c r="O621" t="s">
        <v>356</v>
      </c>
      <c r="P621">
        <v>1.0567448004011758E-8</v>
      </c>
      <c r="Q621" t="s">
        <v>159</v>
      </c>
      <c r="S621" t="s">
        <v>259</v>
      </c>
      <c r="T621" t="s">
        <v>356</v>
      </c>
      <c r="U621">
        <v>1.4957313497256002E-4</v>
      </c>
      <c r="V621" t="s">
        <v>159</v>
      </c>
    </row>
    <row r="622" spans="9:22" x14ac:dyDescent="0.45">
      <c r="I622" t="s">
        <v>174</v>
      </c>
      <c r="J622" t="s">
        <v>357</v>
      </c>
      <c r="K622">
        <v>1.8490085852216893E-4</v>
      </c>
      <c r="L622" t="s">
        <v>159</v>
      </c>
      <c r="N622" t="s">
        <v>217</v>
      </c>
      <c r="O622" t="s">
        <v>357</v>
      </c>
      <c r="P622">
        <v>3.9392814986567378E-6</v>
      </c>
      <c r="Q622" t="s">
        <v>159</v>
      </c>
      <c r="S622" t="s">
        <v>259</v>
      </c>
      <c r="T622" t="s">
        <v>357</v>
      </c>
      <c r="U622">
        <v>1.7791101532738863E-4</v>
      </c>
      <c r="V622" t="s">
        <v>159</v>
      </c>
    </row>
    <row r="623" spans="9:22" x14ac:dyDescent="0.45">
      <c r="I623" t="s">
        <v>174</v>
      </c>
      <c r="J623" t="s">
        <v>358</v>
      </c>
      <c r="K623">
        <v>2.187456762228797E-4</v>
      </c>
      <c r="L623" t="s">
        <v>159</v>
      </c>
      <c r="N623" t="s">
        <v>217</v>
      </c>
      <c r="O623" t="s">
        <v>358</v>
      </c>
      <c r="P623">
        <v>2.0278536805655548E-5</v>
      </c>
      <c r="Q623" t="s">
        <v>159</v>
      </c>
      <c r="S623" t="s">
        <v>259</v>
      </c>
      <c r="T623" t="s">
        <v>358</v>
      </c>
      <c r="U623">
        <v>1.8824439069891954E-4</v>
      </c>
      <c r="V623" t="s">
        <v>159</v>
      </c>
    </row>
    <row r="624" spans="9:22" x14ac:dyDescent="0.45">
      <c r="I624" t="s">
        <v>174</v>
      </c>
      <c r="J624" t="s">
        <v>359</v>
      </c>
      <c r="K624">
        <v>1.9784888548316412E-4</v>
      </c>
      <c r="L624" t="s">
        <v>159</v>
      </c>
      <c r="N624" t="s">
        <v>217</v>
      </c>
      <c r="O624" t="s">
        <v>359</v>
      </c>
      <c r="P624">
        <v>3.620704190924789E-5</v>
      </c>
      <c r="Q624" t="s">
        <v>159</v>
      </c>
      <c r="S624" t="s">
        <v>259</v>
      </c>
      <c r="T624" t="s">
        <v>359</v>
      </c>
      <c r="U624">
        <v>2.0713963763368501E-4</v>
      </c>
      <c r="V624" t="s">
        <v>159</v>
      </c>
    </row>
    <row r="625" spans="9:22" x14ac:dyDescent="0.45">
      <c r="I625" t="s">
        <v>174</v>
      </c>
      <c r="J625" t="s">
        <v>360</v>
      </c>
      <c r="K625">
        <v>1.7089029843556051E-4</v>
      </c>
      <c r="L625" t="s">
        <v>159</v>
      </c>
      <c r="N625" t="s">
        <v>217</v>
      </c>
      <c r="O625" t="s">
        <v>360</v>
      </c>
      <c r="P625">
        <v>4.4250606560559475E-5</v>
      </c>
      <c r="Q625" t="s">
        <v>159</v>
      </c>
      <c r="S625" t="s">
        <v>259</v>
      </c>
      <c r="T625" t="s">
        <v>360</v>
      </c>
      <c r="U625">
        <v>2.2243299827994257E-4</v>
      </c>
      <c r="V625" t="s">
        <v>159</v>
      </c>
    </row>
    <row r="626" spans="9:22" x14ac:dyDescent="0.45">
      <c r="I626" t="s">
        <v>174</v>
      </c>
      <c r="J626" t="s">
        <v>361</v>
      </c>
      <c r="K626">
        <v>1.6366800606853752E-4</v>
      </c>
      <c r="L626" t="s">
        <v>159</v>
      </c>
      <c r="N626" t="s">
        <v>217</v>
      </c>
      <c r="O626" t="s">
        <v>361</v>
      </c>
      <c r="P626">
        <v>4.0958222610564276E-5</v>
      </c>
      <c r="Q626" t="s">
        <v>159</v>
      </c>
      <c r="S626" t="s">
        <v>259</v>
      </c>
      <c r="T626" t="s">
        <v>361</v>
      </c>
      <c r="U626">
        <v>2.2383290653298107E-4</v>
      </c>
      <c r="V626" t="s">
        <v>159</v>
      </c>
    </row>
    <row r="627" spans="9:22" x14ac:dyDescent="0.45">
      <c r="I627" t="s">
        <v>174</v>
      </c>
      <c r="J627" t="s">
        <v>362</v>
      </c>
      <c r="K627">
        <v>1.5777331634906055E-4</v>
      </c>
      <c r="L627" t="s">
        <v>159</v>
      </c>
      <c r="N627" t="s">
        <v>217</v>
      </c>
      <c r="O627" t="s">
        <v>362</v>
      </c>
      <c r="P627">
        <v>3.0509798160005701E-5</v>
      </c>
      <c r="Q627" t="s">
        <v>159</v>
      </c>
      <c r="S627" t="s">
        <v>259</v>
      </c>
      <c r="T627" t="s">
        <v>362</v>
      </c>
      <c r="U627">
        <v>2.1567164891172526E-4</v>
      </c>
      <c r="V627" t="s">
        <v>159</v>
      </c>
    </row>
    <row r="628" spans="9:22" x14ac:dyDescent="0.45">
      <c r="I628" t="s">
        <v>174</v>
      </c>
      <c r="J628" t="s">
        <v>363</v>
      </c>
      <c r="K628">
        <v>1.1591095564603077E-4</v>
      </c>
      <c r="L628" t="s">
        <v>159</v>
      </c>
      <c r="N628" t="s">
        <v>217</v>
      </c>
      <c r="O628" t="s">
        <v>363</v>
      </c>
      <c r="P628">
        <v>2.3912058965125613E-5</v>
      </c>
      <c r="Q628" t="s">
        <v>159</v>
      </c>
      <c r="S628" t="s">
        <v>259</v>
      </c>
      <c r="T628" t="s">
        <v>363</v>
      </c>
      <c r="U628">
        <v>2.0752591211041537E-4</v>
      </c>
      <c r="V628" t="s">
        <v>159</v>
      </c>
    </row>
    <row r="629" spans="9:22" x14ac:dyDescent="0.45">
      <c r="I629" t="s">
        <v>174</v>
      </c>
      <c r="J629" t="s">
        <v>364</v>
      </c>
      <c r="K629">
        <v>0</v>
      </c>
      <c r="L629" t="s">
        <v>159</v>
      </c>
      <c r="N629" t="s">
        <v>217</v>
      </c>
      <c r="O629" t="s">
        <v>364</v>
      </c>
      <c r="P629">
        <v>2.7375667630401123E-5</v>
      </c>
      <c r="Q629" t="s">
        <v>159</v>
      </c>
      <c r="S629" t="s">
        <v>259</v>
      </c>
      <c r="T629" t="s">
        <v>364</v>
      </c>
      <c r="U629">
        <v>1.9744466530190221E-4</v>
      </c>
      <c r="V629" t="s">
        <v>159</v>
      </c>
    </row>
    <row r="630" spans="9:22" x14ac:dyDescent="0.45">
      <c r="I630" t="s">
        <v>174</v>
      </c>
      <c r="J630" t="s">
        <v>365</v>
      </c>
      <c r="K630">
        <v>0</v>
      </c>
      <c r="L630" t="s">
        <v>159</v>
      </c>
      <c r="N630" t="s">
        <v>217</v>
      </c>
      <c r="O630" t="s">
        <v>365</v>
      </c>
      <c r="P630">
        <v>2.8109455843725706E-5</v>
      </c>
      <c r="Q630" t="s">
        <v>159</v>
      </c>
      <c r="S630" t="s">
        <v>259</v>
      </c>
      <c r="T630" t="s">
        <v>365</v>
      </c>
      <c r="U630">
        <v>1.8251589252788071E-4</v>
      </c>
      <c r="V630" t="s">
        <v>159</v>
      </c>
    </row>
    <row r="631" spans="9:22" x14ac:dyDescent="0.45">
      <c r="I631" t="s">
        <v>174</v>
      </c>
      <c r="J631" t="s">
        <v>366</v>
      </c>
      <c r="K631">
        <v>0</v>
      </c>
      <c r="L631" t="s">
        <v>159</v>
      </c>
      <c r="N631" t="s">
        <v>217</v>
      </c>
      <c r="O631" t="s">
        <v>366</v>
      </c>
      <c r="P631">
        <v>2.4624673589634432E-5</v>
      </c>
      <c r="Q631" t="s">
        <v>159</v>
      </c>
      <c r="S631" t="s">
        <v>259</v>
      </c>
      <c r="T631" t="s">
        <v>366</v>
      </c>
      <c r="U631">
        <v>1.648129132072234E-4</v>
      </c>
      <c r="V631" t="s">
        <v>159</v>
      </c>
    </row>
    <row r="632" spans="9:22" x14ac:dyDescent="0.45">
      <c r="I632" t="s">
        <v>174</v>
      </c>
      <c r="J632" t="s">
        <v>367</v>
      </c>
      <c r="K632">
        <v>0</v>
      </c>
      <c r="L632" t="s">
        <v>159</v>
      </c>
      <c r="N632" t="s">
        <v>217</v>
      </c>
      <c r="O632" t="s">
        <v>367</v>
      </c>
      <c r="P632">
        <v>2.0768822614851079E-5</v>
      </c>
      <c r="Q632" t="s">
        <v>159</v>
      </c>
      <c r="S632" t="s">
        <v>259</v>
      </c>
      <c r="T632" t="s">
        <v>367</v>
      </c>
      <c r="U632">
        <v>1.5382629408355203E-4</v>
      </c>
      <c r="V632" t="s">
        <v>159</v>
      </c>
    </row>
    <row r="633" spans="9:22" x14ac:dyDescent="0.45">
      <c r="I633" t="s">
        <v>174</v>
      </c>
      <c r="J633" t="s">
        <v>368</v>
      </c>
      <c r="K633">
        <v>0</v>
      </c>
      <c r="L633" t="s">
        <v>159</v>
      </c>
      <c r="N633" t="s">
        <v>217</v>
      </c>
      <c r="O633" t="s">
        <v>368</v>
      </c>
      <c r="P633">
        <v>1.6740234997500706E-5</v>
      </c>
      <c r="Q633" t="s">
        <v>159</v>
      </c>
      <c r="S633" t="s">
        <v>259</v>
      </c>
      <c r="T633" t="s">
        <v>368</v>
      </c>
      <c r="U633">
        <v>1.4914605824322194E-4</v>
      </c>
      <c r="V633" t="s">
        <v>159</v>
      </c>
    </row>
    <row r="634" spans="9:22" x14ac:dyDescent="0.45">
      <c r="I634" t="s">
        <v>174</v>
      </c>
      <c r="J634" t="s">
        <v>369</v>
      </c>
      <c r="K634">
        <v>0</v>
      </c>
      <c r="L634" t="s">
        <v>159</v>
      </c>
      <c r="N634" t="s">
        <v>217</v>
      </c>
      <c r="O634" t="s">
        <v>369</v>
      </c>
      <c r="P634">
        <v>1.1844544232811947E-5</v>
      </c>
      <c r="Q634" t="s">
        <v>159</v>
      </c>
      <c r="S634" t="s">
        <v>259</v>
      </c>
      <c r="T634" t="s">
        <v>369</v>
      </c>
      <c r="U634">
        <v>1.3928711656410874E-4</v>
      </c>
      <c r="V634" t="s">
        <v>159</v>
      </c>
    </row>
    <row r="635" spans="9:22" x14ac:dyDescent="0.45">
      <c r="I635" t="s">
        <v>174</v>
      </c>
      <c r="J635" t="s">
        <v>165</v>
      </c>
      <c r="K635">
        <v>0</v>
      </c>
      <c r="L635" t="s">
        <v>159</v>
      </c>
      <c r="N635" t="s">
        <v>217</v>
      </c>
      <c r="O635" t="s">
        <v>165</v>
      </c>
      <c r="P635">
        <v>3.5904317084061589E-2</v>
      </c>
      <c r="Q635" t="s">
        <v>159</v>
      </c>
      <c r="S635" t="s">
        <v>259</v>
      </c>
      <c r="T635" t="s">
        <v>165</v>
      </c>
      <c r="U635">
        <v>2.1616609554391951E-2</v>
      </c>
      <c r="V635" t="s">
        <v>159</v>
      </c>
    </row>
    <row r="636" spans="9:22" x14ac:dyDescent="0.45">
      <c r="I636" t="s">
        <v>174</v>
      </c>
      <c r="J636" t="s">
        <v>166</v>
      </c>
      <c r="K636">
        <v>3.9224272749167448E-3</v>
      </c>
      <c r="L636" t="s">
        <v>159</v>
      </c>
      <c r="N636" t="s">
        <v>217</v>
      </c>
      <c r="O636" t="s">
        <v>166</v>
      </c>
      <c r="P636">
        <v>4.2696663959745822E-3</v>
      </c>
      <c r="Q636" t="s">
        <v>159</v>
      </c>
      <c r="S636" t="s">
        <v>259</v>
      </c>
      <c r="T636" t="s">
        <v>166</v>
      </c>
      <c r="U636">
        <v>3.1201309694930067E-3</v>
      </c>
      <c r="V636" t="s">
        <v>159</v>
      </c>
    </row>
    <row r="637" spans="9:22" x14ac:dyDescent="0.45">
      <c r="I637" t="s">
        <v>174</v>
      </c>
      <c r="J637" t="s">
        <v>167</v>
      </c>
      <c r="K637">
        <v>5.9378166160056915E-2</v>
      </c>
      <c r="L637" t="s">
        <v>159</v>
      </c>
      <c r="N637" t="s">
        <v>217</v>
      </c>
      <c r="O637" t="s">
        <v>167</v>
      </c>
      <c r="P637">
        <v>4.7585701883363411E-2</v>
      </c>
      <c r="Q637" t="s">
        <v>159</v>
      </c>
      <c r="S637" t="s">
        <v>259</v>
      </c>
      <c r="T637" t="s">
        <v>167</v>
      </c>
      <c r="U637">
        <v>3.2900122329046398E-2</v>
      </c>
      <c r="V637" t="s">
        <v>159</v>
      </c>
    </row>
    <row r="638" spans="9:22" x14ac:dyDescent="0.45">
      <c r="I638" t="s">
        <v>174</v>
      </c>
      <c r="J638" t="s">
        <v>291</v>
      </c>
      <c r="K638">
        <v>4.5643005541641532E-3</v>
      </c>
      <c r="L638" t="s">
        <v>159</v>
      </c>
      <c r="N638" t="s">
        <v>217</v>
      </c>
      <c r="O638" t="s">
        <v>291</v>
      </c>
      <c r="P638">
        <v>4.8050809939706295E-3</v>
      </c>
      <c r="Q638" t="s">
        <v>159</v>
      </c>
      <c r="S638" t="s">
        <v>259</v>
      </c>
      <c r="T638" t="s">
        <v>291</v>
      </c>
      <c r="U638">
        <v>4.4013214012188001E-3</v>
      </c>
      <c r="V638" t="s">
        <v>159</v>
      </c>
    </row>
    <row r="639" spans="9:22" x14ac:dyDescent="0.45">
      <c r="I639" t="s">
        <v>174</v>
      </c>
      <c r="J639" t="s">
        <v>292</v>
      </c>
      <c r="K639">
        <v>0</v>
      </c>
      <c r="L639" t="s">
        <v>159</v>
      </c>
      <c r="N639" t="s">
        <v>217</v>
      </c>
      <c r="O639" t="s">
        <v>292</v>
      </c>
      <c r="P639">
        <v>4.7067329732593879E-3</v>
      </c>
      <c r="Q639" t="s">
        <v>159</v>
      </c>
      <c r="S639" t="s">
        <v>259</v>
      </c>
      <c r="T639" t="s">
        <v>292</v>
      </c>
      <c r="U639">
        <v>4.3446283607077455E-3</v>
      </c>
      <c r="V639" t="s">
        <v>159</v>
      </c>
    </row>
    <row r="640" spans="9:22" x14ac:dyDescent="0.45">
      <c r="I640" t="s">
        <v>174</v>
      </c>
      <c r="J640" t="s">
        <v>310</v>
      </c>
      <c r="K640">
        <v>0</v>
      </c>
      <c r="L640" t="s">
        <v>159</v>
      </c>
      <c r="N640" t="s">
        <v>217</v>
      </c>
      <c r="O640" t="s">
        <v>310</v>
      </c>
      <c r="P640">
        <v>2.6303095566379824E-2</v>
      </c>
      <c r="Q640" t="s">
        <v>159</v>
      </c>
      <c r="S640" t="s">
        <v>259</v>
      </c>
      <c r="T640" t="s">
        <v>310</v>
      </c>
      <c r="U640">
        <v>2.0345697033506409E-2</v>
      </c>
      <c r="V640" t="s">
        <v>159</v>
      </c>
    </row>
    <row r="641" spans="9:22" x14ac:dyDescent="0.45">
      <c r="I641" t="s">
        <v>174</v>
      </c>
      <c r="J641" t="s">
        <v>293</v>
      </c>
      <c r="K641">
        <v>0</v>
      </c>
      <c r="L641" t="s">
        <v>159</v>
      </c>
      <c r="N641" t="s">
        <v>217</v>
      </c>
      <c r="O641" t="s">
        <v>293</v>
      </c>
      <c r="P641">
        <v>7.9380916187198943E-3</v>
      </c>
      <c r="Q641" t="s">
        <v>159</v>
      </c>
      <c r="S641" t="s">
        <v>259</v>
      </c>
      <c r="T641" t="s">
        <v>293</v>
      </c>
      <c r="U641">
        <v>7.3685690041778613E-3</v>
      </c>
      <c r="V641" t="s">
        <v>159</v>
      </c>
    </row>
    <row r="642" spans="9:22" x14ac:dyDescent="0.45">
      <c r="I642" t="s">
        <v>174</v>
      </c>
      <c r="J642" t="s">
        <v>294</v>
      </c>
      <c r="K642">
        <v>1.021782946250794E-3</v>
      </c>
      <c r="L642" t="s">
        <v>159</v>
      </c>
      <c r="N642" t="s">
        <v>217</v>
      </c>
      <c r="O642" t="s">
        <v>294</v>
      </c>
      <c r="P642">
        <v>6.064778750620685E-4</v>
      </c>
      <c r="Q642" t="s">
        <v>159</v>
      </c>
      <c r="S642" t="s">
        <v>259</v>
      </c>
      <c r="T642" t="s">
        <v>294</v>
      </c>
      <c r="U642">
        <v>8.0082259128159722E-4</v>
      </c>
      <c r="V642" t="s">
        <v>159</v>
      </c>
    </row>
    <row r="643" spans="9:22" x14ac:dyDescent="0.45">
      <c r="I643" t="s">
        <v>174</v>
      </c>
      <c r="J643" t="s">
        <v>295</v>
      </c>
      <c r="K643">
        <v>1.4816947288526146E-2</v>
      </c>
      <c r="L643" t="s">
        <v>159</v>
      </c>
      <c r="N643" t="s">
        <v>217</v>
      </c>
      <c r="O643" t="s">
        <v>295</v>
      </c>
      <c r="P643">
        <v>5.7808443706709152E-3</v>
      </c>
      <c r="Q643" t="s">
        <v>159</v>
      </c>
      <c r="S643" t="s">
        <v>259</v>
      </c>
      <c r="T643" t="s">
        <v>295</v>
      </c>
      <c r="U643">
        <v>8.9698333476241551E-3</v>
      </c>
      <c r="V643" t="s">
        <v>159</v>
      </c>
    </row>
    <row r="644" spans="9:22" x14ac:dyDescent="0.45">
      <c r="I644" t="s">
        <v>174</v>
      </c>
      <c r="J644" t="s">
        <v>296</v>
      </c>
      <c r="K644">
        <v>1.1381242662532741E-3</v>
      </c>
      <c r="L644" t="s">
        <v>159</v>
      </c>
      <c r="N644" t="s">
        <v>217</v>
      </c>
      <c r="O644" t="s">
        <v>296</v>
      </c>
      <c r="P644">
        <v>4.5048314178931879E-4</v>
      </c>
      <c r="Q644" t="s">
        <v>159</v>
      </c>
      <c r="S644" t="s">
        <v>259</v>
      </c>
      <c r="T644" t="s">
        <v>296</v>
      </c>
      <c r="U644">
        <v>1.5243342219136745E-3</v>
      </c>
      <c r="V644" t="s">
        <v>159</v>
      </c>
    </row>
    <row r="645" spans="9:22" x14ac:dyDescent="0.45">
      <c r="I645" t="s">
        <v>174</v>
      </c>
      <c r="J645" t="s">
        <v>297</v>
      </c>
      <c r="K645">
        <v>0</v>
      </c>
      <c r="L645" t="s">
        <v>159</v>
      </c>
      <c r="N645" t="s">
        <v>217</v>
      </c>
      <c r="O645" t="s">
        <v>297</v>
      </c>
      <c r="P645">
        <v>4.3333766469508164E-4</v>
      </c>
      <c r="Q645" t="s">
        <v>159</v>
      </c>
      <c r="S645" t="s">
        <v>259</v>
      </c>
      <c r="T645" t="s">
        <v>297</v>
      </c>
      <c r="U645">
        <v>1.4843706063441551E-3</v>
      </c>
      <c r="V645" t="s">
        <v>159</v>
      </c>
    </row>
    <row r="646" spans="9:22" x14ac:dyDescent="0.45">
      <c r="I646" t="s">
        <v>174</v>
      </c>
      <c r="J646" t="s">
        <v>311</v>
      </c>
      <c r="K646">
        <v>0</v>
      </c>
      <c r="L646" t="s">
        <v>159</v>
      </c>
      <c r="N646" t="s">
        <v>217</v>
      </c>
      <c r="O646" t="s">
        <v>311</v>
      </c>
      <c r="P646">
        <v>4.6854787312866865E-3</v>
      </c>
      <c r="Q646" t="s">
        <v>159</v>
      </c>
      <c r="S646" t="s">
        <v>259</v>
      </c>
      <c r="T646" t="s">
        <v>311</v>
      </c>
      <c r="U646">
        <v>7.0041636481365452E-3</v>
      </c>
      <c r="V646" t="s">
        <v>159</v>
      </c>
    </row>
    <row r="647" spans="9:22" x14ac:dyDescent="0.45">
      <c r="I647" t="s">
        <v>174</v>
      </c>
      <c r="J647" t="s">
        <v>298</v>
      </c>
      <c r="K647">
        <v>1.0134167991779372E-2</v>
      </c>
      <c r="L647" t="s">
        <v>159</v>
      </c>
      <c r="N647" t="s">
        <v>217</v>
      </c>
      <c r="O647" t="s">
        <v>298</v>
      </c>
      <c r="P647">
        <v>8.7520761296277394E-2</v>
      </c>
      <c r="Q647" t="s">
        <v>159</v>
      </c>
      <c r="S647" t="s">
        <v>259</v>
      </c>
      <c r="T647" t="s">
        <v>298</v>
      </c>
      <c r="U647">
        <v>7.7300882896833012E-2</v>
      </c>
      <c r="V647" t="s">
        <v>159</v>
      </c>
    </row>
    <row r="648" spans="9:22" x14ac:dyDescent="0.45">
      <c r="I648" t="s">
        <v>174</v>
      </c>
      <c r="J648" t="s">
        <v>299</v>
      </c>
      <c r="K648">
        <v>2.1137228341328546E-2</v>
      </c>
      <c r="L648" t="s">
        <v>159</v>
      </c>
      <c r="N648" t="s">
        <v>217</v>
      </c>
      <c r="O648" t="s">
        <v>299</v>
      </c>
      <c r="P648">
        <v>9.0113093050893066E-3</v>
      </c>
      <c r="Q648" t="s">
        <v>159</v>
      </c>
      <c r="S648" t="s">
        <v>259</v>
      </c>
      <c r="T648" t="s">
        <v>299</v>
      </c>
      <c r="U648">
        <v>1.0450292365367968E-2</v>
      </c>
      <c r="V648" t="s">
        <v>159</v>
      </c>
    </row>
    <row r="649" spans="9:22" x14ac:dyDescent="0.45">
      <c r="I649" t="s">
        <v>174</v>
      </c>
      <c r="J649" t="s">
        <v>300</v>
      </c>
      <c r="K649">
        <v>0.24438102382588164</v>
      </c>
      <c r="L649" t="s">
        <v>159</v>
      </c>
      <c r="N649" t="s">
        <v>217</v>
      </c>
      <c r="O649" t="s">
        <v>300</v>
      </c>
      <c r="P649">
        <v>0.13640663948287671</v>
      </c>
      <c r="Q649" t="s">
        <v>159</v>
      </c>
      <c r="S649" t="s">
        <v>259</v>
      </c>
      <c r="T649" t="s">
        <v>300</v>
      </c>
      <c r="U649">
        <v>0.11081554819665766</v>
      </c>
      <c r="V649" t="s">
        <v>159</v>
      </c>
    </row>
    <row r="650" spans="9:22" x14ac:dyDescent="0.45">
      <c r="I650" t="s">
        <v>174</v>
      </c>
      <c r="J650" t="s">
        <v>301</v>
      </c>
      <c r="K650">
        <v>1.8762370956528683E-2</v>
      </c>
      <c r="L650" t="s">
        <v>159</v>
      </c>
      <c r="N650" t="s">
        <v>217</v>
      </c>
      <c r="O650" t="s">
        <v>301</v>
      </c>
      <c r="P650">
        <v>1.6928756473465097E-2</v>
      </c>
      <c r="Q650" t="s">
        <v>159</v>
      </c>
      <c r="S650" t="s">
        <v>259</v>
      </c>
      <c r="T650" t="s">
        <v>301</v>
      </c>
      <c r="U650">
        <v>1.4227337499025192E-2</v>
      </c>
      <c r="V650" t="s">
        <v>159</v>
      </c>
    </row>
    <row r="651" spans="9:22" x14ac:dyDescent="0.45">
      <c r="I651" t="s">
        <v>174</v>
      </c>
      <c r="J651" t="s">
        <v>302</v>
      </c>
      <c r="K651">
        <v>8.3955246809818678E-3</v>
      </c>
      <c r="L651" t="s">
        <v>159</v>
      </c>
      <c r="N651" t="s">
        <v>217</v>
      </c>
      <c r="O651" t="s">
        <v>302</v>
      </c>
      <c r="P651">
        <v>1.5305136264720062E-2</v>
      </c>
      <c r="Q651" t="s">
        <v>159</v>
      </c>
      <c r="S651" t="s">
        <v>259</v>
      </c>
      <c r="T651" t="s">
        <v>302</v>
      </c>
      <c r="U651">
        <v>1.4029387470325165E-2</v>
      </c>
      <c r="V651" t="s">
        <v>159</v>
      </c>
    </row>
    <row r="652" spans="9:22" x14ac:dyDescent="0.45">
      <c r="I652" t="s">
        <v>174</v>
      </c>
      <c r="J652" t="s">
        <v>312</v>
      </c>
      <c r="K652">
        <v>0</v>
      </c>
      <c r="L652" t="s">
        <v>159</v>
      </c>
      <c r="N652" t="s">
        <v>217</v>
      </c>
      <c r="O652" t="s">
        <v>312</v>
      </c>
      <c r="P652">
        <v>7.8417689545492775E-2</v>
      </c>
      <c r="Q652" t="s">
        <v>159</v>
      </c>
      <c r="S652" t="s">
        <v>259</v>
      </c>
      <c r="T652" t="s">
        <v>312</v>
      </c>
      <c r="U652">
        <v>6.6679676055526424E-2</v>
      </c>
      <c r="V652" t="s">
        <v>159</v>
      </c>
    </row>
    <row r="653" spans="9:22" x14ac:dyDescent="0.45">
      <c r="I653" t="s">
        <v>174</v>
      </c>
      <c r="J653" t="s">
        <v>397</v>
      </c>
      <c r="K653">
        <v>0</v>
      </c>
      <c r="L653" t="s">
        <v>159</v>
      </c>
      <c r="N653" t="s">
        <v>217</v>
      </c>
      <c r="O653" t="s">
        <v>397</v>
      </c>
      <c r="P653">
        <v>4.3937684663264617E-5</v>
      </c>
      <c r="Q653" t="s">
        <v>159</v>
      </c>
      <c r="S653" t="s">
        <v>259</v>
      </c>
      <c r="T653" t="s">
        <v>397</v>
      </c>
      <c r="U653">
        <v>0</v>
      </c>
      <c r="V653" t="s">
        <v>159</v>
      </c>
    </row>
    <row r="654" spans="9:22" x14ac:dyDescent="0.45">
      <c r="I654" t="s">
        <v>174</v>
      </c>
      <c r="J654" t="s">
        <v>398</v>
      </c>
      <c r="K654">
        <v>0</v>
      </c>
      <c r="L654" t="s">
        <v>159</v>
      </c>
      <c r="N654" t="s">
        <v>217</v>
      </c>
      <c r="O654" t="s">
        <v>398</v>
      </c>
      <c r="P654">
        <v>2.7620302653889492E-5</v>
      </c>
      <c r="Q654" t="s">
        <v>159</v>
      </c>
      <c r="S654" t="s">
        <v>259</v>
      </c>
      <c r="T654" t="s">
        <v>398</v>
      </c>
      <c r="U654">
        <v>0</v>
      </c>
      <c r="V654" t="s">
        <v>159</v>
      </c>
    </row>
    <row r="655" spans="9:22" x14ac:dyDescent="0.45">
      <c r="I655" t="s">
        <v>174</v>
      </c>
      <c r="J655" t="s">
        <v>399</v>
      </c>
      <c r="K655">
        <v>0</v>
      </c>
      <c r="L655" t="s">
        <v>159</v>
      </c>
      <c r="N655" t="s">
        <v>217</v>
      </c>
      <c r="O655" t="s">
        <v>399</v>
      </c>
      <c r="P655">
        <v>2.2697280874491904E-5</v>
      </c>
      <c r="Q655" t="s">
        <v>159</v>
      </c>
      <c r="S655" t="s">
        <v>259</v>
      </c>
      <c r="T655" t="s">
        <v>399</v>
      </c>
      <c r="U655">
        <v>1.8250494977028194E-6</v>
      </c>
      <c r="V655" t="s">
        <v>159</v>
      </c>
    </row>
    <row r="656" spans="9:22" x14ac:dyDescent="0.45">
      <c r="I656" t="s">
        <v>174</v>
      </c>
      <c r="J656" t="s">
        <v>400</v>
      </c>
      <c r="K656">
        <v>0</v>
      </c>
      <c r="L656" t="s">
        <v>159</v>
      </c>
      <c r="N656" t="s">
        <v>217</v>
      </c>
      <c r="O656" t="s">
        <v>400</v>
      </c>
      <c r="P656">
        <v>1.8541587509525669E-5</v>
      </c>
      <c r="Q656" t="s">
        <v>159</v>
      </c>
      <c r="S656" t="s">
        <v>259</v>
      </c>
      <c r="T656" t="s">
        <v>400</v>
      </c>
      <c r="U656">
        <v>2.1577264046376487E-6</v>
      </c>
      <c r="V656" t="s">
        <v>159</v>
      </c>
    </row>
    <row r="657" spans="9:22" x14ac:dyDescent="0.45">
      <c r="I657" t="s">
        <v>174</v>
      </c>
      <c r="J657" t="s">
        <v>401</v>
      </c>
      <c r="K657">
        <v>0</v>
      </c>
      <c r="L657" t="s">
        <v>159</v>
      </c>
      <c r="N657" t="s">
        <v>217</v>
      </c>
      <c r="O657" t="s">
        <v>401</v>
      </c>
      <c r="P657">
        <v>1.4414720877944968E-5</v>
      </c>
      <c r="Q657" t="s">
        <v>159</v>
      </c>
      <c r="S657" t="s">
        <v>259</v>
      </c>
      <c r="T657" t="s">
        <v>401</v>
      </c>
      <c r="U657">
        <v>1.1953865947311507E-7</v>
      </c>
      <c r="V657" t="s">
        <v>159</v>
      </c>
    </row>
    <row r="658" spans="9:22" x14ac:dyDescent="0.45">
      <c r="I658" t="s">
        <v>174</v>
      </c>
      <c r="J658" t="s">
        <v>402</v>
      </c>
      <c r="K658">
        <v>0</v>
      </c>
      <c r="L658" t="s">
        <v>159</v>
      </c>
      <c r="N658" t="s">
        <v>217</v>
      </c>
      <c r="O658" t="s">
        <v>402</v>
      </c>
      <c r="P658">
        <v>7.9154522600229003E-6</v>
      </c>
      <c r="Q658" t="s">
        <v>159</v>
      </c>
      <c r="S658" t="s">
        <v>259</v>
      </c>
      <c r="T658" t="s">
        <v>402</v>
      </c>
      <c r="U658">
        <v>9.1086399250908739E-8</v>
      </c>
      <c r="V658" t="s">
        <v>159</v>
      </c>
    </row>
    <row r="659" spans="9:22" x14ac:dyDescent="0.45">
      <c r="I659" t="s">
        <v>174</v>
      </c>
      <c r="J659" t="s">
        <v>403</v>
      </c>
      <c r="K659">
        <v>0</v>
      </c>
      <c r="L659" t="s">
        <v>159</v>
      </c>
      <c r="N659" t="s">
        <v>217</v>
      </c>
      <c r="O659" t="s">
        <v>403</v>
      </c>
      <c r="P659">
        <v>5.6411466845735874E-6</v>
      </c>
      <c r="Q659" t="s">
        <v>159</v>
      </c>
      <c r="S659" t="s">
        <v>259</v>
      </c>
      <c r="T659" t="s">
        <v>403</v>
      </c>
      <c r="U659">
        <v>2.7575623301989669E-8</v>
      </c>
      <c r="V659" t="s">
        <v>159</v>
      </c>
    </row>
    <row r="660" spans="9:22" x14ac:dyDescent="0.45">
      <c r="I660" t="s">
        <v>174</v>
      </c>
      <c r="J660" t="s">
        <v>404</v>
      </c>
      <c r="K660">
        <v>1.9853920324751739E-4</v>
      </c>
      <c r="L660" t="s">
        <v>159</v>
      </c>
      <c r="N660" t="s">
        <v>217</v>
      </c>
      <c r="O660" t="s">
        <v>404</v>
      </c>
      <c r="P660">
        <v>5.4403334263613207E-6</v>
      </c>
      <c r="Q660" t="s">
        <v>159</v>
      </c>
      <c r="S660" t="s">
        <v>259</v>
      </c>
      <c r="T660" t="s">
        <v>404</v>
      </c>
      <c r="U660">
        <v>0</v>
      </c>
      <c r="V660" t="s">
        <v>159</v>
      </c>
    </row>
    <row r="661" spans="9:22" x14ac:dyDescent="0.45">
      <c r="I661" t="s">
        <v>174</v>
      </c>
      <c r="J661" t="s">
        <v>405</v>
      </c>
      <c r="K661">
        <v>2.5616990521747497E-4</v>
      </c>
      <c r="L661" t="s">
        <v>159</v>
      </c>
      <c r="N661" t="s">
        <v>217</v>
      </c>
      <c r="O661" t="s">
        <v>405</v>
      </c>
      <c r="P661">
        <v>6.1787831086261379E-6</v>
      </c>
      <c r="Q661" t="s">
        <v>159</v>
      </c>
      <c r="S661" t="s">
        <v>259</v>
      </c>
      <c r="T661" t="s">
        <v>405</v>
      </c>
      <c r="U661">
        <v>0</v>
      </c>
      <c r="V661" t="s">
        <v>159</v>
      </c>
    </row>
    <row r="662" spans="9:22" x14ac:dyDescent="0.45">
      <c r="I662" t="s">
        <v>174</v>
      </c>
      <c r="J662" t="s">
        <v>406</v>
      </c>
      <c r="K662">
        <v>2.614262787262858E-4</v>
      </c>
      <c r="L662" t="s">
        <v>159</v>
      </c>
      <c r="N662" t="s">
        <v>217</v>
      </c>
      <c r="O662" t="s">
        <v>406</v>
      </c>
      <c r="P662">
        <v>2.3987905522141831E-6</v>
      </c>
      <c r="Q662" t="s">
        <v>159</v>
      </c>
      <c r="S662" t="s">
        <v>259</v>
      </c>
      <c r="T662" t="s">
        <v>406</v>
      </c>
      <c r="U662">
        <v>0</v>
      </c>
      <c r="V662" t="s">
        <v>159</v>
      </c>
    </row>
    <row r="663" spans="9:22" x14ac:dyDescent="0.45">
      <c r="I663" t="s">
        <v>174</v>
      </c>
      <c r="J663" t="s">
        <v>407</v>
      </c>
      <c r="K663">
        <v>2.6978190502823733E-4</v>
      </c>
      <c r="L663" t="s">
        <v>159</v>
      </c>
      <c r="N663" t="s">
        <v>217</v>
      </c>
      <c r="O663" t="s">
        <v>407</v>
      </c>
      <c r="P663">
        <v>2.9406327790647757E-5</v>
      </c>
      <c r="Q663" t="s">
        <v>159</v>
      </c>
      <c r="S663" t="s">
        <v>259</v>
      </c>
      <c r="T663" t="s">
        <v>407</v>
      </c>
      <c r="U663">
        <v>2.9230034506104073E-6</v>
      </c>
      <c r="V663" t="s">
        <v>159</v>
      </c>
    </row>
    <row r="664" spans="9:22" x14ac:dyDescent="0.45">
      <c r="I664" t="s">
        <v>174</v>
      </c>
      <c r="J664" t="s">
        <v>408</v>
      </c>
      <c r="K664">
        <v>2.8052407013271483E-4</v>
      </c>
      <c r="L664" t="s">
        <v>159</v>
      </c>
      <c r="N664" t="s">
        <v>217</v>
      </c>
      <c r="O664" t="s">
        <v>408</v>
      </c>
      <c r="P664">
        <v>8.1277274439138991E-5</v>
      </c>
      <c r="Q664" t="s">
        <v>159</v>
      </c>
      <c r="S664" t="s">
        <v>259</v>
      </c>
      <c r="T664" t="s">
        <v>408</v>
      </c>
      <c r="U664">
        <v>6.3661529567149383E-6</v>
      </c>
      <c r="V664" t="s">
        <v>159</v>
      </c>
    </row>
    <row r="665" spans="9:22" x14ac:dyDescent="0.45">
      <c r="I665" t="s">
        <v>174</v>
      </c>
      <c r="J665" t="s">
        <v>409</v>
      </c>
      <c r="K665">
        <v>2.9881454202648105E-4</v>
      </c>
      <c r="L665" t="s">
        <v>159</v>
      </c>
      <c r="N665" t="s">
        <v>217</v>
      </c>
      <c r="O665" t="s">
        <v>409</v>
      </c>
      <c r="P665">
        <v>1.3803482432444365E-4</v>
      </c>
      <c r="Q665" t="s">
        <v>159</v>
      </c>
      <c r="S665" t="s">
        <v>259</v>
      </c>
      <c r="T665" t="s">
        <v>409</v>
      </c>
      <c r="U665">
        <v>1.8418815481004622E-5</v>
      </c>
      <c r="V665" t="s">
        <v>159</v>
      </c>
    </row>
    <row r="666" spans="9:22" x14ac:dyDescent="0.45">
      <c r="I666" t="s">
        <v>174</v>
      </c>
      <c r="J666" t="s">
        <v>410</v>
      </c>
      <c r="K666">
        <v>2.8095968559864302E-4</v>
      </c>
      <c r="L666" t="s">
        <v>159</v>
      </c>
      <c r="N666" t="s">
        <v>217</v>
      </c>
      <c r="O666" t="s">
        <v>410</v>
      </c>
      <c r="P666">
        <v>1.9969196236215367E-4</v>
      </c>
      <c r="Q666" t="s">
        <v>159</v>
      </c>
      <c r="S666" t="s">
        <v>259</v>
      </c>
      <c r="T666" t="s">
        <v>410</v>
      </c>
      <c r="U666">
        <v>3.1519373276020669E-5</v>
      </c>
      <c r="V666" t="s">
        <v>159</v>
      </c>
    </row>
    <row r="667" spans="9:22" x14ac:dyDescent="0.45">
      <c r="I667" t="s">
        <v>174</v>
      </c>
      <c r="J667" t="s">
        <v>411</v>
      </c>
      <c r="K667">
        <v>2.6410175923036883E-4</v>
      </c>
      <c r="L667" t="s">
        <v>159</v>
      </c>
      <c r="N667" t="s">
        <v>217</v>
      </c>
      <c r="O667" t="s">
        <v>411</v>
      </c>
      <c r="P667">
        <v>2.4686126686922249E-4</v>
      </c>
      <c r="Q667" t="s">
        <v>159</v>
      </c>
      <c r="S667" t="s">
        <v>259</v>
      </c>
      <c r="T667" t="s">
        <v>411</v>
      </c>
      <c r="U667">
        <v>3.0982139788924335E-5</v>
      </c>
      <c r="V667" t="s">
        <v>159</v>
      </c>
    </row>
    <row r="668" spans="9:22" x14ac:dyDescent="0.45">
      <c r="I668" t="s">
        <v>174</v>
      </c>
      <c r="J668" t="s">
        <v>412</v>
      </c>
      <c r="K668">
        <v>2.5251778791624593E-4</v>
      </c>
      <c r="L668" t="s">
        <v>159</v>
      </c>
      <c r="N668" t="s">
        <v>217</v>
      </c>
      <c r="O668" t="s">
        <v>412</v>
      </c>
      <c r="P668">
        <v>2.5677855941963793E-4</v>
      </c>
      <c r="Q668" t="s">
        <v>159</v>
      </c>
      <c r="S668" t="s">
        <v>259</v>
      </c>
      <c r="T668" t="s">
        <v>412</v>
      </c>
      <c r="U668">
        <v>3.1674967060440003E-5</v>
      </c>
      <c r="V668" t="s">
        <v>159</v>
      </c>
    </row>
    <row r="669" spans="9:22" x14ac:dyDescent="0.45">
      <c r="I669" t="s">
        <v>174</v>
      </c>
      <c r="J669" t="s">
        <v>413</v>
      </c>
      <c r="K669">
        <v>2.3689805683881388E-4</v>
      </c>
      <c r="L669" t="s">
        <v>159</v>
      </c>
      <c r="N669" t="s">
        <v>217</v>
      </c>
      <c r="O669" t="s">
        <v>413</v>
      </c>
      <c r="P669">
        <v>2.4873341213795956E-4</v>
      </c>
      <c r="Q669" t="s">
        <v>159</v>
      </c>
      <c r="S669" t="s">
        <v>259</v>
      </c>
      <c r="T669" t="s">
        <v>413</v>
      </c>
      <c r="U669">
        <v>3.5007759551721675E-5</v>
      </c>
      <c r="V669" t="s">
        <v>159</v>
      </c>
    </row>
    <row r="670" spans="9:22" x14ac:dyDescent="0.45">
      <c r="I670" t="s">
        <v>174</v>
      </c>
      <c r="J670" t="s">
        <v>414</v>
      </c>
      <c r="K670">
        <v>1.9125930165892114E-4</v>
      </c>
      <c r="L670" t="s">
        <v>159</v>
      </c>
      <c r="N670" t="s">
        <v>217</v>
      </c>
      <c r="O670" t="s">
        <v>414</v>
      </c>
      <c r="P670">
        <v>1.707134757814174E-4</v>
      </c>
      <c r="Q670" t="s">
        <v>159</v>
      </c>
      <c r="S670" t="s">
        <v>259</v>
      </c>
      <c r="T670" t="s">
        <v>414</v>
      </c>
      <c r="U670">
        <v>2.8629239434455681E-5</v>
      </c>
      <c r="V670" t="s">
        <v>159</v>
      </c>
    </row>
    <row r="671" spans="9:22" x14ac:dyDescent="0.45">
      <c r="I671" t="s">
        <v>174</v>
      </c>
      <c r="J671" t="s">
        <v>415</v>
      </c>
      <c r="K671">
        <v>0</v>
      </c>
      <c r="L671" t="s">
        <v>159</v>
      </c>
      <c r="N671" t="s">
        <v>217</v>
      </c>
      <c r="O671" t="s">
        <v>415</v>
      </c>
      <c r="P671">
        <v>9.9204702754768082E-5</v>
      </c>
      <c r="Q671" t="s">
        <v>159</v>
      </c>
      <c r="S671" t="s">
        <v>259</v>
      </c>
      <c r="T671" t="s">
        <v>415</v>
      </c>
      <c r="U671">
        <v>1.4216150319416813E-5</v>
      </c>
      <c r="V671" t="s">
        <v>159</v>
      </c>
    </row>
    <row r="672" spans="9:22" x14ac:dyDescent="0.45">
      <c r="I672" t="s">
        <v>174</v>
      </c>
      <c r="J672" t="s">
        <v>416</v>
      </c>
      <c r="K672">
        <v>0</v>
      </c>
      <c r="L672" t="s">
        <v>159</v>
      </c>
      <c r="N672" t="s">
        <v>217</v>
      </c>
      <c r="O672" t="s">
        <v>416</v>
      </c>
      <c r="P672">
        <v>6.7464014895947665E-5</v>
      </c>
      <c r="Q672" t="s">
        <v>159</v>
      </c>
      <c r="S672" t="s">
        <v>259</v>
      </c>
      <c r="T672" t="s">
        <v>416</v>
      </c>
      <c r="U672">
        <v>4.3081090884924415E-6</v>
      </c>
      <c r="V672" t="s">
        <v>159</v>
      </c>
    </row>
    <row r="673" spans="9:22" x14ac:dyDescent="0.45">
      <c r="I673" t="s">
        <v>174</v>
      </c>
      <c r="J673" t="s">
        <v>417</v>
      </c>
      <c r="K673">
        <v>0</v>
      </c>
      <c r="L673" t="s">
        <v>159</v>
      </c>
      <c r="N673" t="s">
        <v>217</v>
      </c>
      <c r="O673" t="s">
        <v>417</v>
      </c>
      <c r="P673">
        <v>3.645083811170965E-5</v>
      </c>
      <c r="Q673" t="s">
        <v>159</v>
      </c>
      <c r="S673" t="s">
        <v>259</v>
      </c>
      <c r="T673" t="s">
        <v>417</v>
      </c>
      <c r="U673">
        <v>1.9313488791250839E-6</v>
      </c>
      <c r="V673" t="s">
        <v>159</v>
      </c>
    </row>
    <row r="674" spans="9:22" x14ac:dyDescent="0.45">
      <c r="I674" t="s">
        <v>174</v>
      </c>
      <c r="J674" t="s">
        <v>418</v>
      </c>
      <c r="K674">
        <v>0</v>
      </c>
      <c r="L674" t="s">
        <v>159</v>
      </c>
      <c r="N674" t="s">
        <v>217</v>
      </c>
      <c r="O674" t="s">
        <v>418</v>
      </c>
      <c r="P674">
        <v>2.2840003729170359E-5</v>
      </c>
      <c r="Q674" t="s">
        <v>159</v>
      </c>
      <c r="S674" t="s">
        <v>259</v>
      </c>
      <c r="T674" t="s">
        <v>418</v>
      </c>
      <c r="U674">
        <v>1.8401123397108656E-6</v>
      </c>
      <c r="V674" t="s">
        <v>159</v>
      </c>
    </row>
    <row r="675" spans="9:22" x14ac:dyDescent="0.45">
      <c r="I675" t="s">
        <v>174</v>
      </c>
      <c r="J675" t="s">
        <v>419</v>
      </c>
      <c r="K675">
        <v>0</v>
      </c>
      <c r="L675" t="s">
        <v>159</v>
      </c>
      <c r="N675" t="s">
        <v>217</v>
      </c>
      <c r="O675" t="s">
        <v>419</v>
      </c>
      <c r="P675">
        <v>1.4930591665726534E-5</v>
      </c>
      <c r="Q675" t="s">
        <v>159</v>
      </c>
      <c r="S675" t="s">
        <v>259</v>
      </c>
      <c r="T675" t="s">
        <v>419</v>
      </c>
      <c r="U675">
        <v>1.536782194131233E-6</v>
      </c>
      <c r="V675" t="s">
        <v>159</v>
      </c>
    </row>
    <row r="676" spans="9:22" x14ac:dyDescent="0.45">
      <c r="I676" t="s">
        <v>174</v>
      </c>
      <c r="J676" t="s">
        <v>420</v>
      </c>
      <c r="K676">
        <v>0</v>
      </c>
      <c r="L676" t="s">
        <v>159</v>
      </c>
      <c r="N676" t="s">
        <v>217</v>
      </c>
      <c r="O676" t="s">
        <v>420</v>
      </c>
      <c r="P676">
        <v>1.4228757770529612E-5</v>
      </c>
      <c r="Q676" t="s">
        <v>159</v>
      </c>
      <c r="S676" t="s">
        <v>259</v>
      </c>
      <c r="T676" t="s">
        <v>420</v>
      </c>
      <c r="U676">
        <v>1.2266732255516162E-6</v>
      </c>
      <c r="V676" t="s">
        <v>159</v>
      </c>
    </row>
    <row r="677" spans="9:22" x14ac:dyDescent="0.45">
      <c r="I677" t="s">
        <v>174</v>
      </c>
      <c r="J677" t="s">
        <v>313</v>
      </c>
      <c r="K677">
        <v>4.0853424211043108E-3</v>
      </c>
      <c r="L677" t="s">
        <v>159</v>
      </c>
      <c r="N677" t="s">
        <v>217</v>
      </c>
      <c r="O677" t="s">
        <v>313</v>
      </c>
      <c r="P677">
        <v>1.3944425406302564E-2</v>
      </c>
      <c r="Q677" t="s">
        <v>159</v>
      </c>
      <c r="S677" t="s">
        <v>259</v>
      </c>
      <c r="T677" t="s">
        <v>313</v>
      </c>
      <c r="U677">
        <v>1.9796991121500351E-2</v>
      </c>
      <c r="V677" t="s">
        <v>159</v>
      </c>
    </row>
    <row r="678" spans="9:22" x14ac:dyDescent="0.45">
      <c r="I678" t="s">
        <v>174</v>
      </c>
      <c r="J678" t="s">
        <v>314</v>
      </c>
      <c r="K678">
        <v>6.4952404649274301E-3</v>
      </c>
      <c r="L678" t="s">
        <v>159</v>
      </c>
      <c r="N678" t="s">
        <v>217</v>
      </c>
      <c r="O678" t="s">
        <v>314</v>
      </c>
      <c r="P678">
        <v>1.3741696659551224E-3</v>
      </c>
      <c r="Q678" t="s">
        <v>159</v>
      </c>
      <c r="S678" t="s">
        <v>259</v>
      </c>
      <c r="T678" t="s">
        <v>314</v>
      </c>
      <c r="U678">
        <v>2.6169237782524063E-3</v>
      </c>
      <c r="V678" t="s">
        <v>159</v>
      </c>
    </row>
    <row r="679" spans="9:22" x14ac:dyDescent="0.45">
      <c r="I679" t="s">
        <v>174</v>
      </c>
      <c r="J679" t="s">
        <v>315</v>
      </c>
      <c r="K679">
        <v>7.265592268850872E-2</v>
      </c>
      <c r="L679" t="s">
        <v>159</v>
      </c>
      <c r="N679" t="s">
        <v>217</v>
      </c>
      <c r="O679" t="s">
        <v>315</v>
      </c>
      <c r="P679">
        <v>2.5997045621339206E-2</v>
      </c>
      <c r="Q679" t="s">
        <v>159</v>
      </c>
      <c r="S679" t="s">
        <v>259</v>
      </c>
      <c r="T679" t="s">
        <v>315</v>
      </c>
      <c r="U679">
        <v>2.337548923271526E-2</v>
      </c>
      <c r="V679" t="s">
        <v>159</v>
      </c>
    </row>
    <row r="680" spans="9:22" x14ac:dyDescent="0.45">
      <c r="I680" t="s">
        <v>174</v>
      </c>
      <c r="J680" t="s">
        <v>316</v>
      </c>
      <c r="K680">
        <v>6.0427476995375644E-3</v>
      </c>
      <c r="L680" t="s">
        <v>159</v>
      </c>
      <c r="N680" t="s">
        <v>217</v>
      </c>
      <c r="O680" t="s">
        <v>316</v>
      </c>
      <c r="P680">
        <v>3.1811396845346719E-3</v>
      </c>
      <c r="Q680" t="s">
        <v>159</v>
      </c>
      <c r="S680" t="s">
        <v>259</v>
      </c>
      <c r="T680" t="s">
        <v>316</v>
      </c>
      <c r="U680">
        <v>3.1691826617167092E-3</v>
      </c>
      <c r="V680" t="s">
        <v>159</v>
      </c>
    </row>
    <row r="681" spans="9:22" x14ac:dyDescent="0.45">
      <c r="I681" t="s">
        <v>174</v>
      </c>
      <c r="J681" t="s">
        <v>317</v>
      </c>
      <c r="K681">
        <v>3.8882943163814836E-3</v>
      </c>
      <c r="L681" t="s">
        <v>159</v>
      </c>
      <c r="N681" t="s">
        <v>217</v>
      </c>
      <c r="O681" t="s">
        <v>317</v>
      </c>
      <c r="P681">
        <v>2.5066032097565212E-3</v>
      </c>
      <c r="Q681" t="s">
        <v>159</v>
      </c>
      <c r="S681" t="s">
        <v>259</v>
      </c>
      <c r="T681" t="s">
        <v>317</v>
      </c>
      <c r="U681">
        <v>3.3220991603911776E-3</v>
      </c>
      <c r="V681" t="s">
        <v>159</v>
      </c>
    </row>
    <row r="682" spans="9:22" x14ac:dyDescent="0.45">
      <c r="I682" t="s">
        <v>174</v>
      </c>
      <c r="J682" t="s">
        <v>318</v>
      </c>
      <c r="K682">
        <v>0</v>
      </c>
      <c r="L682" t="s">
        <v>159</v>
      </c>
      <c r="N682" t="s">
        <v>217</v>
      </c>
      <c r="O682" t="s">
        <v>318</v>
      </c>
      <c r="P682">
        <v>1.4006379915199121E-2</v>
      </c>
      <c r="Q682" t="s">
        <v>159</v>
      </c>
      <c r="S682" t="s">
        <v>259</v>
      </c>
      <c r="T682" t="s">
        <v>318</v>
      </c>
      <c r="U682">
        <v>1.5884488072553552E-2</v>
      </c>
      <c r="V682" t="s">
        <v>159</v>
      </c>
    </row>
    <row r="683" spans="9:22" x14ac:dyDescent="0.45">
      <c r="I683" t="s">
        <v>175</v>
      </c>
      <c r="J683" t="s">
        <v>158</v>
      </c>
      <c r="K683">
        <v>8.8758262751635827E-3</v>
      </c>
      <c r="L683" t="s">
        <v>159</v>
      </c>
      <c r="N683" t="s">
        <v>218</v>
      </c>
      <c r="O683" t="s">
        <v>158</v>
      </c>
      <c r="P683">
        <v>0.1182892317299903</v>
      </c>
      <c r="Q683" t="s">
        <v>159</v>
      </c>
      <c r="S683" t="s">
        <v>260</v>
      </c>
      <c r="T683" t="s">
        <v>158</v>
      </c>
      <c r="U683">
        <v>0.12397375953892245</v>
      </c>
      <c r="V683" t="s">
        <v>159</v>
      </c>
    </row>
    <row r="684" spans="9:22" x14ac:dyDescent="0.45">
      <c r="I684" t="s">
        <v>175</v>
      </c>
      <c r="J684" t="s">
        <v>160</v>
      </c>
      <c r="K684">
        <v>3.0417608661641001E-2</v>
      </c>
      <c r="L684" t="s">
        <v>159</v>
      </c>
      <c r="N684" t="s">
        <v>218</v>
      </c>
      <c r="O684" t="s">
        <v>160</v>
      </c>
      <c r="P684">
        <v>1.3733508389290874E-2</v>
      </c>
      <c r="Q684" t="s">
        <v>159</v>
      </c>
      <c r="S684" t="s">
        <v>260</v>
      </c>
      <c r="T684" t="s">
        <v>160</v>
      </c>
      <c r="U684">
        <v>1.6507633622386088E-2</v>
      </c>
      <c r="V684" t="s">
        <v>159</v>
      </c>
    </row>
    <row r="685" spans="9:22" x14ac:dyDescent="0.45">
      <c r="I685" t="s">
        <v>175</v>
      </c>
      <c r="J685" t="s">
        <v>161</v>
      </c>
      <c r="K685">
        <v>0.3772680262278118</v>
      </c>
      <c r="L685" t="s">
        <v>159</v>
      </c>
      <c r="N685" t="s">
        <v>218</v>
      </c>
      <c r="O685" t="s">
        <v>161</v>
      </c>
      <c r="P685">
        <v>0.10145177236632665</v>
      </c>
      <c r="Q685" t="s">
        <v>159</v>
      </c>
      <c r="S685" t="s">
        <v>260</v>
      </c>
      <c r="T685" t="s">
        <v>161</v>
      </c>
      <c r="U685">
        <v>0.16075063432236242</v>
      </c>
      <c r="V685" t="s">
        <v>159</v>
      </c>
    </row>
    <row r="686" spans="9:22" x14ac:dyDescent="0.45">
      <c r="I686" t="s">
        <v>175</v>
      </c>
      <c r="J686" t="s">
        <v>287</v>
      </c>
      <c r="K686">
        <v>3.1597825470689185E-2</v>
      </c>
      <c r="L686" t="s">
        <v>159</v>
      </c>
      <c r="N686" t="s">
        <v>218</v>
      </c>
      <c r="O686" t="s">
        <v>287</v>
      </c>
      <c r="P686">
        <v>1.2450865724150455E-2</v>
      </c>
      <c r="Q686" t="s">
        <v>159</v>
      </c>
      <c r="S686" t="s">
        <v>260</v>
      </c>
      <c r="T686" t="s">
        <v>287</v>
      </c>
      <c r="U686">
        <v>2.0922472808134227E-2</v>
      </c>
      <c r="V686" t="s">
        <v>159</v>
      </c>
    </row>
    <row r="687" spans="9:22" x14ac:dyDescent="0.45">
      <c r="I687" t="s">
        <v>175</v>
      </c>
      <c r="J687" t="s">
        <v>288</v>
      </c>
      <c r="K687">
        <v>1.4920672771253288E-2</v>
      </c>
      <c r="L687" t="s">
        <v>159</v>
      </c>
      <c r="N687" t="s">
        <v>218</v>
      </c>
      <c r="O687" t="s">
        <v>288</v>
      </c>
      <c r="P687">
        <v>1.4915344302335409E-2</v>
      </c>
      <c r="Q687" t="s">
        <v>159</v>
      </c>
      <c r="S687" t="s">
        <v>260</v>
      </c>
      <c r="T687" t="s">
        <v>288</v>
      </c>
      <c r="U687">
        <v>2.0921159135838911E-2</v>
      </c>
      <c r="V687" t="s">
        <v>159</v>
      </c>
    </row>
    <row r="688" spans="9:22" x14ac:dyDescent="0.45">
      <c r="I688" t="s">
        <v>175</v>
      </c>
      <c r="J688" t="s">
        <v>308</v>
      </c>
      <c r="K688">
        <v>6.2573388804143548E-4</v>
      </c>
      <c r="L688" t="s">
        <v>159</v>
      </c>
      <c r="N688" t="s">
        <v>218</v>
      </c>
      <c r="O688" t="s">
        <v>308</v>
      </c>
      <c r="P688">
        <v>0.10975078017843427</v>
      </c>
      <c r="Q688" t="s">
        <v>159</v>
      </c>
      <c r="S688" t="s">
        <v>260</v>
      </c>
      <c r="T688" t="s">
        <v>308</v>
      </c>
      <c r="U688">
        <v>0.1013336740787239</v>
      </c>
      <c r="V688" t="s">
        <v>159</v>
      </c>
    </row>
    <row r="689" spans="9:22" x14ac:dyDescent="0.45">
      <c r="I689" t="s">
        <v>175</v>
      </c>
      <c r="J689" t="s">
        <v>162</v>
      </c>
      <c r="K689">
        <v>0</v>
      </c>
      <c r="L689" t="s">
        <v>159</v>
      </c>
      <c r="N689" t="s">
        <v>218</v>
      </c>
      <c r="O689" t="s">
        <v>162</v>
      </c>
      <c r="P689">
        <v>2.8723419624425338E-2</v>
      </c>
      <c r="Q689" t="s">
        <v>159</v>
      </c>
      <c r="S689" t="s">
        <v>260</v>
      </c>
      <c r="T689" t="s">
        <v>162</v>
      </c>
      <c r="U689">
        <v>1.8129607138950465E-2</v>
      </c>
      <c r="V689" t="s">
        <v>159</v>
      </c>
    </row>
    <row r="690" spans="9:22" x14ac:dyDescent="0.45">
      <c r="I690" t="s">
        <v>175</v>
      </c>
      <c r="J690" t="s">
        <v>163</v>
      </c>
      <c r="K690">
        <v>1.3920432579264951E-4</v>
      </c>
      <c r="L690" t="s">
        <v>159</v>
      </c>
      <c r="N690" t="s">
        <v>218</v>
      </c>
      <c r="O690" t="s">
        <v>163</v>
      </c>
      <c r="P690">
        <v>3.2531494547655931E-3</v>
      </c>
      <c r="Q690" t="s">
        <v>159</v>
      </c>
      <c r="S690" t="s">
        <v>260</v>
      </c>
      <c r="T690" t="s">
        <v>163</v>
      </c>
      <c r="U690">
        <v>3.008447081077335E-3</v>
      </c>
      <c r="V690" t="s">
        <v>159</v>
      </c>
    </row>
    <row r="691" spans="9:22" x14ac:dyDescent="0.45">
      <c r="I691" t="s">
        <v>175</v>
      </c>
      <c r="J691" t="s">
        <v>164</v>
      </c>
      <c r="K691">
        <v>4.385189911272383E-2</v>
      </c>
      <c r="L691" t="s">
        <v>159</v>
      </c>
      <c r="N691" t="s">
        <v>218</v>
      </c>
      <c r="O691" t="s">
        <v>164</v>
      </c>
      <c r="P691">
        <v>2.252080988747069E-2</v>
      </c>
      <c r="Q691" t="s">
        <v>159</v>
      </c>
      <c r="S691" t="s">
        <v>260</v>
      </c>
      <c r="T691" t="s">
        <v>164</v>
      </c>
      <c r="U691">
        <v>2.7116936956190118E-2</v>
      </c>
      <c r="V691" t="s">
        <v>159</v>
      </c>
    </row>
    <row r="692" spans="9:22" x14ac:dyDescent="0.45">
      <c r="I692" t="s">
        <v>175</v>
      </c>
      <c r="J692" t="s">
        <v>289</v>
      </c>
      <c r="K692">
        <v>3.3118606799559993E-3</v>
      </c>
      <c r="L692" t="s">
        <v>159</v>
      </c>
      <c r="N692" t="s">
        <v>218</v>
      </c>
      <c r="O692" t="s">
        <v>289</v>
      </c>
      <c r="P692">
        <v>2.4096516458356112E-3</v>
      </c>
      <c r="Q692" t="s">
        <v>159</v>
      </c>
      <c r="S692" t="s">
        <v>260</v>
      </c>
      <c r="T692" t="s">
        <v>289</v>
      </c>
      <c r="U692">
        <v>3.2661227305559926E-3</v>
      </c>
      <c r="V692" t="s">
        <v>159</v>
      </c>
    </row>
    <row r="693" spans="9:22" x14ac:dyDescent="0.45">
      <c r="I693" t="s">
        <v>175</v>
      </c>
      <c r="J693" t="s">
        <v>290</v>
      </c>
      <c r="K693">
        <v>0</v>
      </c>
      <c r="L693" t="s">
        <v>159</v>
      </c>
      <c r="N693" t="s">
        <v>218</v>
      </c>
      <c r="O693" t="s">
        <v>290</v>
      </c>
      <c r="P693">
        <v>3.2141451298416382E-3</v>
      </c>
      <c r="Q693" t="s">
        <v>159</v>
      </c>
      <c r="S693" t="s">
        <v>260</v>
      </c>
      <c r="T693" t="s">
        <v>290</v>
      </c>
      <c r="U693">
        <v>3.1324160247603958E-3</v>
      </c>
      <c r="V693" t="s">
        <v>159</v>
      </c>
    </row>
    <row r="694" spans="9:22" x14ac:dyDescent="0.45">
      <c r="I694" t="s">
        <v>175</v>
      </c>
      <c r="J694" t="s">
        <v>309</v>
      </c>
      <c r="K694">
        <v>0</v>
      </c>
      <c r="L694" t="s">
        <v>159</v>
      </c>
      <c r="N694" t="s">
        <v>218</v>
      </c>
      <c r="O694" t="s">
        <v>309</v>
      </c>
      <c r="P694">
        <v>2.2897890816741651E-2</v>
      </c>
      <c r="Q694" t="s">
        <v>159</v>
      </c>
      <c r="S694" t="s">
        <v>260</v>
      </c>
      <c r="T694" t="s">
        <v>309</v>
      </c>
      <c r="U694">
        <v>1.3927755533436606E-2</v>
      </c>
      <c r="V694" t="s">
        <v>159</v>
      </c>
    </row>
    <row r="695" spans="9:22" x14ac:dyDescent="0.45">
      <c r="I695" t="s">
        <v>175</v>
      </c>
      <c r="J695" t="s">
        <v>346</v>
      </c>
      <c r="K695">
        <v>0</v>
      </c>
      <c r="L695" t="s">
        <v>159</v>
      </c>
      <c r="N695" t="s">
        <v>218</v>
      </c>
      <c r="O695" t="s">
        <v>346</v>
      </c>
      <c r="P695">
        <v>4.1107490103252413E-5</v>
      </c>
      <c r="Q695" t="s">
        <v>159</v>
      </c>
      <c r="S695" t="s">
        <v>260</v>
      </c>
      <c r="T695" t="s">
        <v>346</v>
      </c>
      <c r="U695">
        <v>5.7909882794837351E-5</v>
      </c>
      <c r="V695" t="s">
        <v>159</v>
      </c>
    </row>
    <row r="696" spans="9:22" x14ac:dyDescent="0.45">
      <c r="I696" t="s">
        <v>175</v>
      </c>
      <c r="J696" t="s">
        <v>347</v>
      </c>
      <c r="K696">
        <v>0</v>
      </c>
      <c r="L696" t="s">
        <v>159</v>
      </c>
      <c r="N696" t="s">
        <v>218</v>
      </c>
      <c r="O696" t="s">
        <v>347</v>
      </c>
      <c r="P696">
        <v>3.4663961935424595E-5</v>
      </c>
      <c r="Q696" t="s">
        <v>159</v>
      </c>
      <c r="S696" t="s">
        <v>260</v>
      </c>
      <c r="T696" t="s">
        <v>347</v>
      </c>
      <c r="U696">
        <v>5.710608878346042E-5</v>
      </c>
      <c r="V696" t="s">
        <v>159</v>
      </c>
    </row>
    <row r="697" spans="9:22" x14ac:dyDescent="0.45">
      <c r="I697" t="s">
        <v>175</v>
      </c>
      <c r="J697" t="s">
        <v>348</v>
      </c>
      <c r="K697">
        <v>0</v>
      </c>
      <c r="L697" t="s">
        <v>159</v>
      </c>
      <c r="N697" t="s">
        <v>218</v>
      </c>
      <c r="O697" t="s">
        <v>348</v>
      </c>
      <c r="P697">
        <v>2.8537035187734885E-5</v>
      </c>
      <c r="Q697" t="s">
        <v>159</v>
      </c>
      <c r="S697" t="s">
        <v>260</v>
      </c>
      <c r="T697" t="s">
        <v>348</v>
      </c>
      <c r="U697">
        <v>5.7432064025150052E-5</v>
      </c>
      <c r="V697" t="s">
        <v>159</v>
      </c>
    </row>
    <row r="698" spans="9:22" x14ac:dyDescent="0.45">
      <c r="I698" t="s">
        <v>175</v>
      </c>
      <c r="J698" t="s">
        <v>349</v>
      </c>
      <c r="K698">
        <v>0</v>
      </c>
      <c r="L698" t="s">
        <v>159</v>
      </c>
      <c r="N698" t="s">
        <v>218</v>
      </c>
      <c r="O698" t="s">
        <v>349</v>
      </c>
      <c r="P698">
        <v>2.5348450683337284E-5</v>
      </c>
      <c r="Q698" t="s">
        <v>159</v>
      </c>
      <c r="S698" t="s">
        <v>260</v>
      </c>
      <c r="T698" t="s">
        <v>349</v>
      </c>
      <c r="U698">
        <v>5.7899902738355506E-5</v>
      </c>
      <c r="V698" t="s">
        <v>159</v>
      </c>
    </row>
    <row r="699" spans="9:22" x14ac:dyDescent="0.45">
      <c r="I699" t="s">
        <v>175</v>
      </c>
      <c r="J699" t="s">
        <v>350</v>
      </c>
      <c r="K699">
        <v>0</v>
      </c>
      <c r="L699" t="s">
        <v>159</v>
      </c>
      <c r="N699" t="s">
        <v>218</v>
      </c>
      <c r="O699" t="s">
        <v>350</v>
      </c>
      <c r="P699">
        <v>2.4806079802532044E-5</v>
      </c>
      <c r="Q699" t="s">
        <v>159</v>
      </c>
      <c r="S699" t="s">
        <v>260</v>
      </c>
      <c r="T699" t="s">
        <v>350</v>
      </c>
      <c r="U699">
        <v>5.6733863338065392E-5</v>
      </c>
      <c r="V699" t="s">
        <v>159</v>
      </c>
    </row>
    <row r="700" spans="9:22" x14ac:dyDescent="0.45">
      <c r="I700" t="s">
        <v>175</v>
      </c>
      <c r="J700" t="s">
        <v>351</v>
      </c>
      <c r="K700">
        <v>0</v>
      </c>
      <c r="L700" t="s">
        <v>159</v>
      </c>
      <c r="N700" t="s">
        <v>218</v>
      </c>
      <c r="O700" t="s">
        <v>351</v>
      </c>
      <c r="P700">
        <v>2.200649182773182E-5</v>
      </c>
      <c r="Q700" t="s">
        <v>159</v>
      </c>
      <c r="S700" t="s">
        <v>260</v>
      </c>
      <c r="T700" t="s">
        <v>351</v>
      </c>
      <c r="U700">
        <v>6.7715169711250828E-5</v>
      </c>
      <c r="V700" t="s">
        <v>159</v>
      </c>
    </row>
    <row r="701" spans="9:22" x14ac:dyDescent="0.45">
      <c r="I701" t="s">
        <v>175</v>
      </c>
      <c r="J701" t="s">
        <v>352</v>
      </c>
      <c r="K701">
        <v>0</v>
      </c>
      <c r="L701" t="s">
        <v>159</v>
      </c>
      <c r="N701" t="s">
        <v>218</v>
      </c>
      <c r="O701" t="s">
        <v>352</v>
      </c>
      <c r="P701">
        <v>2.0352254346501794E-5</v>
      </c>
      <c r="Q701" t="s">
        <v>159</v>
      </c>
      <c r="S701" t="s">
        <v>260</v>
      </c>
      <c r="T701" t="s">
        <v>352</v>
      </c>
      <c r="U701">
        <v>8.384245405284483E-5</v>
      </c>
      <c r="V701" t="s">
        <v>159</v>
      </c>
    </row>
    <row r="702" spans="9:22" x14ac:dyDescent="0.45">
      <c r="I702" t="s">
        <v>175</v>
      </c>
      <c r="J702" t="s">
        <v>353</v>
      </c>
      <c r="K702">
        <v>8.3949205201307153E-9</v>
      </c>
      <c r="L702" t="s">
        <v>159</v>
      </c>
      <c r="N702" t="s">
        <v>218</v>
      </c>
      <c r="O702" t="s">
        <v>353</v>
      </c>
      <c r="P702">
        <v>1.4755103869834717E-5</v>
      </c>
      <c r="Q702" t="s">
        <v>159</v>
      </c>
      <c r="S702" t="s">
        <v>260</v>
      </c>
      <c r="T702" t="s">
        <v>353</v>
      </c>
      <c r="U702">
        <v>1.0140941822566961E-4</v>
      </c>
      <c r="V702" t="s">
        <v>159</v>
      </c>
    </row>
    <row r="703" spans="9:22" x14ac:dyDescent="0.45">
      <c r="I703" t="s">
        <v>175</v>
      </c>
      <c r="J703" t="s">
        <v>354</v>
      </c>
      <c r="K703">
        <v>1.618179215810259E-4</v>
      </c>
      <c r="L703" t="s">
        <v>159</v>
      </c>
      <c r="N703" t="s">
        <v>218</v>
      </c>
      <c r="O703" t="s">
        <v>354</v>
      </c>
      <c r="P703">
        <v>8.4980318127579441E-6</v>
      </c>
      <c r="Q703" t="s">
        <v>159</v>
      </c>
      <c r="S703" t="s">
        <v>260</v>
      </c>
      <c r="T703" t="s">
        <v>354</v>
      </c>
      <c r="U703">
        <v>1.1558401301844432E-4</v>
      </c>
      <c r="V703" t="s">
        <v>159</v>
      </c>
    </row>
    <row r="704" spans="9:22" x14ac:dyDescent="0.45">
      <c r="I704" t="s">
        <v>175</v>
      </c>
      <c r="J704" t="s">
        <v>355</v>
      </c>
      <c r="K704">
        <v>1.7207482022715438E-4</v>
      </c>
      <c r="L704" t="s">
        <v>159</v>
      </c>
      <c r="N704" t="s">
        <v>218</v>
      </c>
      <c r="O704" t="s">
        <v>355</v>
      </c>
      <c r="P704">
        <v>3.6705281017120253E-7</v>
      </c>
      <c r="Q704" t="s">
        <v>159</v>
      </c>
      <c r="S704" t="s">
        <v>260</v>
      </c>
      <c r="T704" t="s">
        <v>355</v>
      </c>
      <c r="U704">
        <v>1.2767132601218864E-4</v>
      </c>
      <c r="V704" t="s">
        <v>159</v>
      </c>
    </row>
    <row r="705" spans="9:22" x14ac:dyDescent="0.45">
      <c r="I705" t="s">
        <v>175</v>
      </c>
      <c r="J705" t="s">
        <v>356</v>
      </c>
      <c r="K705">
        <v>1.6546765133079063E-4</v>
      </c>
      <c r="L705" t="s">
        <v>159</v>
      </c>
      <c r="N705" t="s">
        <v>218</v>
      </c>
      <c r="O705" t="s">
        <v>356</v>
      </c>
      <c r="P705">
        <v>8.5259822741089071E-8</v>
      </c>
      <c r="Q705" t="s">
        <v>159</v>
      </c>
      <c r="S705" t="s">
        <v>260</v>
      </c>
      <c r="T705" t="s">
        <v>356</v>
      </c>
      <c r="U705">
        <v>1.4050536413441684E-4</v>
      </c>
      <c r="V705" t="s">
        <v>159</v>
      </c>
    </row>
    <row r="706" spans="9:22" x14ac:dyDescent="0.45">
      <c r="I706" t="s">
        <v>175</v>
      </c>
      <c r="J706" t="s">
        <v>357</v>
      </c>
      <c r="K706">
        <v>1.7815313493234306E-4</v>
      </c>
      <c r="L706" t="s">
        <v>159</v>
      </c>
      <c r="N706" t="s">
        <v>218</v>
      </c>
      <c r="O706" t="s">
        <v>357</v>
      </c>
      <c r="P706">
        <v>1.8019241392469297E-7</v>
      </c>
      <c r="Q706" t="s">
        <v>159</v>
      </c>
      <c r="S706" t="s">
        <v>260</v>
      </c>
      <c r="T706" t="s">
        <v>357</v>
      </c>
      <c r="U706">
        <v>1.6222064839276055E-4</v>
      </c>
      <c r="V706" t="s">
        <v>159</v>
      </c>
    </row>
    <row r="707" spans="9:22" x14ac:dyDescent="0.45">
      <c r="I707" t="s">
        <v>175</v>
      </c>
      <c r="J707" t="s">
        <v>358</v>
      </c>
      <c r="K707">
        <v>2.1746362165985908E-4</v>
      </c>
      <c r="L707" t="s">
        <v>159</v>
      </c>
      <c r="N707" t="s">
        <v>218</v>
      </c>
      <c r="O707" t="s">
        <v>358</v>
      </c>
      <c r="P707">
        <v>1.1542950475588815E-6</v>
      </c>
      <c r="Q707" t="s">
        <v>159</v>
      </c>
      <c r="S707" t="s">
        <v>260</v>
      </c>
      <c r="T707" t="s">
        <v>358</v>
      </c>
      <c r="U707">
        <v>1.7384764787208061E-4</v>
      </c>
      <c r="V707" t="s">
        <v>159</v>
      </c>
    </row>
    <row r="708" spans="9:22" x14ac:dyDescent="0.45">
      <c r="I708" t="s">
        <v>175</v>
      </c>
      <c r="J708" t="s">
        <v>359</v>
      </c>
      <c r="K708">
        <v>1.8887542480471487E-4</v>
      </c>
      <c r="L708" t="s">
        <v>159</v>
      </c>
      <c r="N708" t="s">
        <v>218</v>
      </c>
      <c r="O708" t="s">
        <v>359</v>
      </c>
      <c r="P708">
        <v>9.2967342694217885E-6</v>
      </c>
      <c r="Q708" t="s">
        <v>159</v>
      </c>
      <c r="S708" t="s">
        <v>260</v>
      </c>
      <c r="T708" t="s">
        <v>359</v>
      </c>
      <c r="U708">
        <v>1.8027832620576257E-4</v>
      </c>
      <c r="V708" t="s">
        <v>159</v>
      </c>
    </row>
    <row r="709" spans="9:22" x14ac:dyDescent="0.45">
      <c r="I709" t="s">
        <v>175</v>
      </c>
      <c r="J709" t="s">
        <v>360</v>
      </c>
      <c r="K709">
        <v>1.631031784249146E-4</v>
      </c>
      <c r="L709" t="s">
        <v>159</v>
      </c>
      <c r="N709" t="s">
        <v>218</v>
      </c>
      <c r="O709" t="s">
        <v>360</v>
      </c>
      <c r="P709">
        <v>1.9556819440531052E-5</v>
      </c>
      <c r="Q709" t="s">
        <v>159</v>
      </c>
      <c r="S709" t="s">
        <v>260</v>
      </c>
      <c r="T709" t="s">
        <v>360</v>
      </c>
      <c r="U709">
        <v>1.8093282261086327E-4</v>
      </c>
      <c r="V709" t="s">
        <v>159</v>
      </c>
    </row>
    <row r="710" spans="9:22" x14ac:dyDescent="0.45">
      <c r="I710" t="s">
        <v>175</v>
      </c>
      <c r="J710" t="s">
        <v>361</v>
      </c>
      <c r="K710">
        <v>1.6250145034855091E-4</v>
      </c>
      <c r="L710" t="s">
        <v>159</v>
      </c>
      <c r="N710" t="s">
        <v>218</v>
      </c>
      <c r="O710" t="s">
        <v>361</v>
      </c>
      <c r="P710">
        <v>2.2776947077524254E-5</v>
      </c>
      <c r="Q710" t="s">
        <v>159</v>
      </c>
      <c r="S710" t="s">
        <v>260</v>
      </c>
      <c r="T710" t="s">
        <v>361</v>
      </c>
      <c r="U710">
        <v>1.8321219347924104E-4</v>
      </c>
      <c r="V710" t="s">
        <v>159</v>
      </c>
    </row>
    <row r="711" spans="9:22" x14ac:dyDescent="0.45">
      <c r="I711" t="s">
        <v>175</v>
      </c>
      <c r="J711" t="s">
        <v>362</v>
      </c>
      <c r="K711">
        <v>1.6134846901425857E-4</v>
      </c>
      <c r="L711" t="s">
        <v>159</v>
      </c>
      <c r="N711" t="s">
        <v>218</v>
      </c>
      <c r="O711" t="s">
        <v>362</v>
      </c>
      <c r="P711">
        <v>1.996515805776235E-5</v>
      </c>
      <c r="Q711" t="s">
        <v>159</v>
      </c>
      <c r="S711" t="s">
        <v>260</v>
      </c>
      <c r="T711" t="s">
        <v>362</v>
      </c>
      <c r="U711">
        <v>1.7923578753044952E-4</v>
      </c>
      <c r="V711" t="s">
        <v>159</v>
      </c>
    </row>
    <row r="712" spans="9:22" x14ac:dyDescent="0.45">
      <c r="I712" t="s">
        <v>175</v>
      </c>
      <c r="J712" t="s">
        <v>363</v>
      </c>
      <c r="K712">
        <v>1.2182828461240614E-4</v>
      </c>
      <c r="L712" t="s">
        <v>159</v>
      </c>
      <c r="N712" t="s">
        <v>218</v>
      </c>
      <c r="O712" t="s">
        <v>363</v>
      </c>
      <c r="P712">
        <v>1.8083886460134585E-5</v>
      </c>
      <c r="Q712" t="s">
        <v>159</v>
      </c>
      <c r="S712" t="s">
        <v>260</v>
      </c>
      <c r="T712" t="s">
        <v>363</v>
      </c>
      <c r="U712">
        <v>1.6775089470871837E-4</v>
      </c>
      <c r="V712" t="s">
        <v>159</v>
      </c>
    </row>
    <row r="713" spans="9:22" x14ac:dyDescent="0.45">
      <c r="I713" t="s">
        <v>175</v>
      </c>
      <c r="J713" t="s">
        <v>364</v>
      </c>
      <c r="K713">
        <v>0</v>
      </c>
      <c r="L713" t="s">
        <v>159</v>
      </c>
      <c r="N713" t="s">
        <v>218</v>
      </c>
      <c r="O713" t="s">
        <v>364</v>
      </c>
      <c r="P713">
        <v>1.9992337253064462E-5</v>
      </c>
      <c r="Q713" t="s">
        <v>159</v>
      </c>
      <c r="S713" t="s">
        <v>260</v>
      </c>
      <c r="T713" t="s">
        <v>364</v>
      </c>
      <c r="U713">
        <v>1.5167117118753732E-4</v>
      </c>
      <c r="V713" t="s">
        <v>159</v>
      </c>
    </row>
    <row r="714" spans="9:22" x14ac:dyDescent="0.45">
      <c r="I714" t="s">
        <v>175</v>
      </c>
      <c r="J714" t="s">
        <v>365</v>
      </c>
      <c r="K714">
        <v>0</v>
      </c>
      <c r="L714" t="s">
        <v>159</v>
      </c>
      <c r="N714" t="s">
        <v>218</v>
      </c>
      <c r="O714" t="s">
        <v>365</v>
      </c>
      <c r="P714">
        <v>2.6696762649924292E-5</v>
      </c>
      <c r="Q714" t="s">
        <v>159</v>
      </c>
      <c r="S714" t="s">
        <v>260</v>
      </c>
      <c r="T714" t="s">
        <v>365</v>
      </c>
      <c r="U714">
        <v>1.3454773429431177E-4</v>
      </c>
      <c r="V714" t="s">
        <v>159</v>
      </c>
    </row>
    <row r="715" spans="9:22" x14ac:dyDescent="0.45">
      <c r="I715" t="s">
        <v>175</v>
      </c>
      <c r="J715" t="s">
        <v>366</v>
      </c>
      <c r="K715">
        <v>0</v>
      </c>
      <c r="L715" t="s">
        <v>159</v>
      </c>
      <c r="N715" t="s">
        <v>218</v>
      </c>
      <c r="O715" t="s">
        <v>366</v>
      </c>
      <c r="P715">
        <v>3.6541950107067838E-5</v>
      </c>
      <c r="Q715" t="s">
        <v>159</v>
      </c>
      <c r="S715" t="s">
        <v>260</v>
      </c>
      <c r="T715" t="s">
        <v>366</v>
      </c>
      <c r="U715">
        <v>1.1884259168588324E-4</v>
      </c>
      <c r="V715" t="s">
        <v>159</v>
      </c>
    </row>
    <row r="716" spans="9:22" x14ac:dyDescent="0.45">
      <c r="I716" t="s">
        <v>175</v>
      </c>
      <c r="J716" t="s">
        <v>367</v>
      </c>
      <c r="K716">
        <v>0</v>
      </c>
      <c r="L716" t="s">
        <v>159</v>
      </c>
      <c r="N716" t="s">
        <v>218</v>
      </c>
      <c r="O716" t="s">
        <v>367</v>
      </c>
      <c r="P716">
        <v>3.2507847083832954E-5</v>
      </c>
      <c r="Q716" t="s">
        <v>159</v>
      </c>
      <c r="S716" t="s">
        <v>260</v>
      </c>
      <c r="T716" t="s">
        <v>367</v>
      </c>
      <c r="U716">
        <v>1.0226809913731038E-4</v>
      </c>
      <c r="V716" t="s">
        <v>159</v>
      </c>
    </row>
    <row r="717" spans="9:22" x14ac:dyDescent="0.45">
      <c r="I717" t="s">
        <v>175</v>
      </c>
      <c r="J717" t="s">
        <v>368</v>
      </c>
      <c r="K717">
        <v>0</v>
      </c>
      <c r="L717" t="s">
        <v>159</v>
      </c>
      <c r="N717" t="s">
        <v>218</v>
      </c>
      <c r="O717" t="s">
        <v>368</v>
      </c>
      <c r="P717">
        <v>2.9636476350072647E-5</v>
      </c>
      <c r="Q717" t="s">
        <v>159</v>
      </c>
      <c r="S717" t="s">
        <v>260</v>
      </c>
      <c r="T717" t="s">
        <v>368</v>
      </c>
      <c r="U717">
        <v>8.7456640284473184E-5</v>
      </c>
      <c r="V717" t="s">
        <v>159</v>
      </c>
    </row>
    <row r="718" spans="9:22" x14ac:dyDescent="0.45">
      <c r="I718" t="s">
        <v>175</v>
      </c>
      <c r="J718" t="s">
        <v>369</v>
      </c>
      <c r="K718">
        <v>0</v>
      </c>
      <c r="L718" t="s">
        <v>159</v>
      </c>
      <c r="N718" t="s">
        <v>218</v>
      </c>
      <c r="O718" t="s">
        <v>369</v>
      </c>
      <c r="P718">
        <v>2.9559296630344822E-5</v>
      </c>
      <c r="Q718" t="s">
        <v>159</v>
      </c>
      <c r="S718" t="s">
        <v>260</v>
      </c>
      <c r="T718" t="s">
        <v>369</v>
      </c>
      <c r="U718">
        <v>7.10265808586163E-5</v>
      </c>
      <c r="V718" t="s">
        <v>159</v>
      </c>
    </row>
    <row r="719" spans="9:22" x14ac:dyDescent="0.45">
      <c r="I719" t="s">
        <v>175</v>
      </c>
      <c r="J719" t="s">
        <v>165</v>
      </c>
      <c r="K719">
        <v>0</v>
      </c>
      <c r="L719" t="s">
        <v>159</v>
      </c>
      <c r="N719" t="s">
        <v>218</v>
      </c>
      <c r="O719" t="s">
        <v>165</v>
      </c>
      <c r="P719">
        <v>3.4802141334910108E-2</v>
      </c>
      <c r="Q719" t="s">
        <v>159</v>
      </c>
      <c r="S719" t="s">
        <v>260</v>
      </c>
      <c r="T719" t="s">
        <v>165</v>
      </c>
      <c r="U719">
        <v>2.5779368973973222E-2</v>
      </c>
      <c r="V719" t="s">
        <v>159</v>
      </c>
    </row>
    <row r="720" spans="9:22" x14ac:dyDescent="0.45">
      <c r="I720" t="s">
        <v>175</v>
      </c>
      <c r="J720" t="s">
        <v>166</v>
      </c>
      <c r="K720">
        <v>3.5487348819195218E-3</v>
      </c>
      <c r="L720" t="s">
        <v>159</v>
      </c>
      <c r="N720" t="s">
        <v>218</v>
      </c>
      <c r="O720" t="s">
        <v>166</v>
      </c>
      <c r="P720">
        <v>3.9141908393757821E-3</v>
      </c>
      <c r="Q720" t="s">
        <v>159</v>
      </c>
      <c r="S720" t="s">
        <v>260</v>
      </c>
      <c r="T720" t="s">
        <v>166</v>
      </c>
      <c r="U720">
        <v>3.7606787933027633E-3</v>
      </c>
      <c r="V720" t="s">
        <v>159</v>
      </c>
    </row>
    <row r="721" spans="9:22" x14ac:dyDescent="0.45">
      <c r="I721" t="s">
        <v>175</v>
      </c>
      <c r="J721" t="s">
        <v>167</v>
      </c>
      <c r="K721">
        <v>5.6358981813759028E-2</v>
      </c>
      <c r="L721" t="s">
        <v>159</v>
      </c>
      <c r="N721" t="s">
        <v>218</v>
      </c>
      <c r="O721" t="s">
        <v>167</v>
      </c>
      <c r="P721">
        <v>3.2138404317608178E-2</v>
      </c>
      <c r="Q721" t="s">
        <v>159</v>
      </c>
      <c r="S721" t="s">
        <v>260</v>
      </c>
      <c r="T721" t="s">
        <v>167</v>
      </c>
      <c r="U721">
        <v>3.5841446064082447E-2</v>
      </c>
      <c r="V721" t="s">
        <v>159</v>
      </c>
    </row>
    <row r="722" spans="9:22" x14ac:dyDescent="0.45">
      <c r="I722" t="s">
        <v>175</v>
      </c>
      <c r="J722" t="s">
        <v>291</v>
      </c>
      <c r="K722">
        <v>4.3460016690217594E-3</v>
      </c>
      <c r="L722" t="s">
        <v>159</v>
      </c>
      <c r="N722" t="s">
        <v>218</v>
      </c>
      <c r="O722" t="s">
        <v>291</v>
      </c>
      <c r="P722">
        <v>3.3386329369244415E-3</v>
      </c>
      <c r="Q722" t="s">
        <v>159</v>
      </c>
      <c r="S722" t="s">
        <v>260</v>
      </c>
      <c r="T722" t="s">
        <v>291</v>
      </c>
      <c r="U722">
        <v>4.5282731821806822E-3</v>
      </c>
      <c r="V722" t="s">
        <v>159</v>
      </c>
    </row>
    <row r="723" spans="9:22" x14ac:dyDescent="0.45">
      <c r="I723" t="s">
        <v>175</v>
      </c>
      <c r="J723" t="s">
        <v>292</v>
      </c>
      <c r="K723">
        <v>0</v>
      </c>
      <c r="L723" t="s">
        <v>159</v>
      </c>
      <c r="N723" t="s">
        <v>218</v>
      </c>
      <c r="O723" t="s">
        <v>292</v>
      </c>
      <c r="P723">
        <v>3.8508181625169485E-3</v>
      </c>
      <c r="Q723" t="s">
        <v>159</v>
      </c>
      <c r="S723" t="s">
        <v>260</v>
      </c>
      <c r="T723" t="s">
        <v>292</v>
      </c>
      <c r="U723">
        <v>4.4860072400086633E-3</v>
      </c>
      <c r="V723" t="s">
        <v>159</v>
      </c>
    </row>
    <row r="724" spans="9:22" x14ac:dyDescent="0.45">
      <c r="I724" t="s">
        <v>175</v>
      </c>
      <c r="J724" t="s">
        <v>310</v>
      </c>
      <c r="K724">
        <v>0</v>
      </c>
      <c r="L724" t="s">
        <v>159</v>
      </c>
      <c r="N724" t="s">
        <v>218</v>
      </c>
      <c r="O724" t="s">
        <v>310</v>
      </c>
      <c r="P724">
        <v>2.5959654256359099E-2</v>
      </c>
      <c r="Q724" t="s">
        <v>159</v>
      </c>
      <c r="S724" t="s">
        <v>260</v>
      </c>
      <c r="T724" t="s">
        <v>310</v>
      </c>
      <c r="U724">
        <v>2.176222614094496E-2</v>
      </c>
      <c r="V724" t="s">
        <v>159</v>
      </c>
    </row>
    <row r="725" spans="9:22" x14ac:dyDescent="0.45">
      <c r="I725" t="s">
        <v>175</v>
      </c>
      <c r="J725" t="s">
        <v>293</v>
      </c>
      <c r="K725">
        <v>0</v>
      </c>
      <c r="L725" t="s">
        <v>159</v>
      </c>
      <c r="N725" t="s">
        <v>218</v>
      </c>
      <c r="O725" t="s">
        <v>293</v>
      </c>
      <c r="P725">
        <v>8.9791982851095582E-3</v>
      </c>
      <c r="Q725" t="s">
        <v>159</v>
      </c>
      <c r="S725" t="s">
        <v>260</v>
      </c>
      <c r="T725" t="s">
        <v>293</v>
      </c>
      <c r="U725">
        <v>6.617461221495962E-3</v>
      </c>
      <c r="V725" t="s">
        <v>159</v>
      </c>
    </row>
    <row r="726" spans="9:22" x14ac:dyDescent="0.45">
      <c r="I726" t="s">
        <v>175</v>
      </c>
      <c r="J726" t="s">
        <v>294</v>
      </c>
      <c r="K726">
        <v>1.0912075925159791E-3</v>
      </c>
      <c r="L726" t="s">
        <v>159</v>
      </c>
      <c r="N726" t="s">
        <v>218</v>
      </c>
      <c r="O726" t="s">
        <v>294</v>
      </c>
      <c r="P726">
        <v>8.5066843656622637E-4</v>
      </c>
      <c r="Q726" t="s">
        <v>159</v>
      </c>
      <c r="S726" t="s">
        <v>260</v>
      </c>
      <c r="T726" t="s">
        <v>294</v>
      </c>
      <c r="U726">
        <v>7.081383208809315E-4</v>
      </c>
      <c r="V726" t="s">
        <v>159</v>
      </c>
    </row>
    <row r="727" spans="9:22" x14ac:dyDescent="0.45">
      <c r="I727" t="s">
        <v>175</v>
      </c>
      <c r="J727" t="s">
        <v>295</v>
      </c>
      <c r="K727">
        <v>1.4694069317564029E-2</v>
      </c>
      <c r="L727" t="s">
        <v>159</v>
      </c>
      <c r="N727" t="s">
        <v>218</v>
      </c>
      <c r="O727" t="s">
        <v>295</v>
      </c>
      <c r="P727">
        <v>4.5570935900571706E-3</v>
      </c>
      <c r="Q727" t="s">
        <v>159</v>
      </c>
      <c r="S727" t="s">
        <v>260</v>
      </c>
      <c r="T727" t="s">
        <v>295</v>
      </c>
      <c r="U727">
        <v>8.6469226109098535E-3</v>
      </c>
      <c r="V727" t="s">
        <v>159</v>
      </c>
    </row>
    <row r="728" spans="9:22" x14ac:dyDescent="0.45">
      <c r="I728" t="s">
        <v>175</v>
      </c>
      <c r="J728" t="s">
        <v>296</v>
      </c>
      <c r="K728">
        <v>1.1392927356840953E-3</v>
      </c>
      <c r="L728" t="s">
        <v>159</v>
      </c>
      <c r="N728" t="s">
        <v>218</v>
      </c>
      <c r="O728" t="s">
        <v>296</v>
      </c>
      <c r="P728">
        <v>5.9611762459892137E-4</v>
      </c>
      <c r="Q728" t="s">
        <v>159</v>
      </c>
      <c r="S728" t="s">
        <v>260</v>
      </c>
      <c r="T728" t="s">
        <v>296</v>
      </c>
      <c r="U728">
        <v>1.3571655855155911E-3</v>
      </c>
      <c r="V728" t="s">
        <v>159</v>
      </c>
    </row>
    <row r="729" spans="9:22" x14ac:dyDescent="0.45">
      <c r="I729" t="s">
        <v>175</v>
      </c>
      <c r="J729" t="s">
        <v>297</v>
      </c>
      <c r="K729">
        <v>0</v>
      </c>
      <c r="L729" t="s">
        <v>159</v>
      </c>
      <c r="N729" t="s">
        <v>218</v>
      </c>
      <c r="O729" t="s">
        <v>297</v>
      </c>
      <c r="P729">
        <v>6.9194166206916453E-4</v>
      </c>
      <c r="Q729" t="s">
        <v>159</v>
      </c>
      <c r="S729" t="s">
        <v>260</v>
      </c>
      <c r="T729" t="s">
        <v>297</v>
      </c>
      <c r="U729">
        <v>1.3254399425701767E-3</v>
      </c>
      <c r="V729" t="s">
        <v>159</v>
      </c>
    </row>
    <row r="730" spans="9:22" x14ac:dyDescent="0.45">
      <c r="I730" t="s">
        <v>175</v>
      </c>
      <c r="J730" t="s">
        <v>311</v>
      </c>
      <c r="K730">
        <v>0</v>
      </c>
      <c r="L730" t="s">
        <v>159</v>
      </c>
      <c r="N730" t="s">
        <v>218</v>
      </c>
      <c r="O730" t="s">
        <v>311</v>
      </c>
      <c r="P730">
        <v>6.2993997226633526E-3</v>
      </c>
      <c r="Q730" t="s">
        <v>159</v>
      </c>
      <c r="S730" t="s">
        <v>260</v>
      </c>
      <c r="T730" t="s">
        <v>311</v>
      </c>
      <c r="U730">
        <v>5.7749469988842943E-3</v>
      </c>
      <c r="V730" t="s">
        <v>159</v>
      </c>
    </row>
    <row r="731" spans="9:22" x14ac:dyDescent="0.45">
      <c r="I731" t="s">
        <v>175</v>
      </c>
      <c r="J731" t="s">
        <v>298</v>
      </c>
      <c r="K731">
        <v>1.1694362850140645E-2</v>
      </c>
      <c r="L731" t="s">
        <v>159</v>
      </c>
      <c r="N731" t="s">
        <v>218</v>
      </c>
      <c r="O731" t="s">
        <v>298</v>
      </c>
      <c r="P731">
        <v>0.1096408949804171</v>
      </c>
      <c r="Q731" t="s">
        <v>159</v>
      </c>
      <c r="S731" t="s">
        <v>260</v>
      </c>
      <c r="T731" t="s">
        <v>298</v>
      </c>
      <c r="U731">
        <v>7.8216387294057138E-2</v>
      </c>
      <c r="V731" t="s">
        <v>159</v>
      </c>
    </row>
    <row r="732" spans="9:22" x14ac:dyDescent="0.45">
      <c r="I732" t="s">
        <v>175</v>
      </c>
      <c r="J732" t="s">
        <v>299</v>
      </c>
      <c r="K732">
        <v>2.1633938227527856E-2</v>
      </c>
      <c r="L732" t="s">
        <v>159</v>
      </c>
      <c r="N732" t="s">
        <v>218</v>
      </c>
      <c r="O732" t="s">
        <v>299</v>
      </c>
      <c r="P732">
        <v>1.099918060241222E-2</v>
      </c>
      <c r="Q732" t="s">
        <v>159</v>
      </c>
      <c r="S732" t="s">
        <v>260</v>
      </c>
      <c r="T732" t="s">
        <v>299</v>
      </c>
      <c r="U732">
        <v>1.1271447341700476E-2</v>
      </c>
      <c r="V732" t="s">
        <v>159</v>
      </c>
    </row>
    <row r="733" spans="9:22" x14ac:dyDescent="0.45">
      <c r="I733" t="s">
        <v>175</v>
      </c>
      <c r="J733" t="s">
        <v>300</v>
      </c>
      <c r="K733">
        <v>0.24183343806255331</v>
      </c>
      <c r="L733" t="s">
        <v>159</v>
      </c>
      <c r="N733" t="s">
        <v>218</v>
      </c>
      <c r="O733" t="s">
        <v>300</v>
      </c>
      <c r="P733">
        <v>0.11625424012247362</v>
      </c>
      <c r="Q733" t="s">
        <v>159</v>
      </c>
      <c r="S733" t="s">
        <v>260</v>
      </c>
      <c r="T733" t="s">
        <v>300</v>
      </c>
      <c r="U733">
        <v>0.12061056411019555</v>
      </c>
      <c r="V733" t="s">
        <v>159</v>
      </c>
    </row>
    <row r="734" spans="9:22" x14ac:dyDescent="0.45">
      <c r="I734" t="s">
        <v>175</v>
      </c>
      <c r="J734" t="s">
        <v>301</v>
      </c>
      <c r="K734">
        <v>1.936007453431593E-2</v>
      </c>
      <c r="L734" t="s">
        <v>159</v>
      </c>
      <c r="N734" t="s">
        <v>218</v>
      </c>
      <c r="O734" t="s">
        <v>301</v>
      </c>
      <c r="P734">
        <v>1.407990630932314E-2</v>
      </c>
      <c r="Q734" t="s">
        <v>159</v>
      </c>
      <c r="S734" t="s">
        <v>260</v>
      </c>
      <c r="T734" t="s">
        <v>301</v>
      </c>
      <c r="U734">
        <v>1.4289660965828203E-2</v>
      </c>
      <c r="V734" t="s">
        <v>159</v>
      </c>
    </row>
    <row r="735" spans="9:22" x14ac:dyDescent="0.45">
      <c r="I735" t="s">
        <v>175</v>
      </c>
      <c r="J735" t="s">
        <v>302</v>
      </c>
      <c r="K735">
        <v>8.1740936319653814E-3</v>
      </c>
      <c r="L735" t="s">
        <v>159</v>
      </c>
      <c r="N735" t="s">
        <v>218</v>
      </c>
      <c r="O735" t="s">
        <v>302</v>
      </c>
      <c r="P735">
        <v>1.3957174031181234E-2</v>
      </c>
      <c r="Q735" t="s">
        <v>159</v>
      </c>
      <c r="S735" t="s">
        <v>260</v>
      </c>
      <c r="T735" t="s">
        <v>302</v>
      </c>
      <c r="U735">
        <v>1.3594064382612785E-2</v>
      </c>
      <c r="V735" t="s">
        <v>159</v>
      </c>
    </row>
    <row r="736" spans="9:22" x14ac:dyDescent="0.45">
      <c r="I736" t="s">
        <v>175</v>
      </c>
      <c r="J736" t="s">
        <v>312</v>
      </c>
      <c r="K736">
        <v>0</v>
      </c>
      <c r="L736" t="s">
        <v>159</v>
      </c>
      <c r="N736" t="s">
        <v>218</v>
      </c>
      <c r="O736" t="s">
        <v>312</v>
      </c>
      <c r="P736">
        <v>9.3186864793501925E-2</v>
      </c>
      <c r="Q736" t="s">
        <v>159</v>
      </c>
      <c r="S736" t="s">
        <v>260</v>
      </c>
      <c r="T736" t="s">
        <v>312</v>
      </c>
      <c r="U736">
        <v>6.1528602182963098E-2</v>
      </c>
      <c r="V736" t="s">
        <v>159</v>
      </c>
    </row>
    <row r="737" spans="9:22" x14ac:dyDescent="0.45">
      <c r="I737" t="s">
        <v>175</v>
      </c>
      <c r="J737" t="s">
        <v>397</v>
      </c>
      <c r="K737">
        <v>0</v>
      </c>
      <c r="L737" t="s">
        <v>159</v>
      </c>
      <c r="N737" t="s">
        <v>218</v>
      </c>
      <c r="O737" t="s">
        <v>397</v>
      </c>
      <c r="P737">
        <v>1.0124680779535125E-4</v>
      </c>
      <c r="Q737" t="s">
        <v>159</v>
      </c>
      <c r="S737" t="s">
        <v>260</v>
      </c>
      <c r="T737" t="s">
        <v>397</v>
      </c>
      <c r="U737">
        <v>1.9330442444294236E-6</v>
      </c>
      <c r="V737" t="s">
        <v>159</v>
      </c>
    </row>
    <row r="738" spans="9:22" x14ac:dyDescent="0.45">
      <c r="I738" t="s">
        <v>175</v>
      </c>
      <c r="J738" t="s">
        <v>398</v>
      </c>
      <c r="K738">
        <v>0</v>
      </c>
      <c r="L738" t="s">
        <v>159</v>
      </c>
      <c r="N738" t="s">
        <v>218</v>
      </c>
      <c r="O738" t="s">
        <v>398</v>
      </c>
      <c r="P738">
        <v>8.9798164714217739E-5</v>
      </c>
      <c r="Q738" t="s">
        <v>159</v>
      </c>
      <c r="S738" t="s">
        <v>260</v>
      </c>
      <c r="T738" t="s">
        <v>398</v>
      </c>
      <c r="U738">
        <v>1.0691547406801742E-6</v>
      </c>
      <c r="V738" t="s">
        <v>159</v>
      </c>
    </row>
    <row r="739" spans="9:22" x14ac:dyDescent="0.45">
      <c r="I739" t="s">
        <v>175</v>
      </c>
      <c r="J739" t="s">
        <v>399</v>
      </c>
      <c r="K739">
        <v>0</v>
      </c>
      <c r="L739" t="s">
        <v>159</v>
      </c>
      <c r="N739" t="s">
        <v>218</v>
      </c>
      <c r="O739" t="s">
        <v>399</v>
      </c>
      <c r="P739">
        <v>9.7739524728964537E-5</v>
      </c>
      <c r="Q739" t="s">
        <v>159</v>
      </c>
      <c r="S739" t="s">
        <v>260</v>
      </c>
      <c r="T739" t="s">
        <v>399</v>
      </c>
      <c r="U739">
        <v>1.4187649697476653E-6</v>
      </c>
      <c r="V739" t="s">
        <v>159</v>
      </c>
    </row>
    <row r="740" spans="9:22" x14ac:dyDescent="0.45">
      <c r="I740" t="s">
        <v>175</v>
      </c>
      <c r="J740" t="s">
        <v>400</v>
      </c>
      <c r="K740">
        <v>0</v>
      </c>
      <c r="L740" t="s">
        <v>159</v>
      </c>
      <c r="N740" t="s">
        <v>218</v>
      </c>
      <c r="O740" t="s">
        <v>400</v>
      </c>
      <c r="P740">
        <v>9.9879684204460514E-5</v>
      </c>
      <c r="Q740" t="s">
        <v>159</v>
      </c>
      <c r="S740" t="s">
        <v>260</v>
      </c>
      <c r="T740" t="s">
        <v>400</v>
      </c>
      <c r="U740">
        <v>2.1089906772728751E-6</v>
      </c>
      <c r="V740" t="s">
        <v>159</v>
      </c>
    </row>
    <row r="741" spans="9:22" x14ac:dyDescent="0.45">
      <c r="I741" t="s">
        <v>175</v>
      </c>
      <c r="J741" t="s">
        <v>401</v>
      </c>
      <c r="K741">
        <v>0</v>
      </c>
      <c r="L741" t="s">
        <v>159</v>
      </c>
      <c r="N741" t="s">
        <v>218</v>
      </c>
      <c r="O741" t="s">
        <v>401</v>
      </c>
      <c r="P741">
        <v>8.8392646857829403E-5</v>
      </c>
      <c r="Q741" t="s">
        <v>159</v>
      </c>
      <c r="S741" t="s">
        <v>260</v>
      </c>
      <c r="T741" t="s">
        <v>401</v>
      </c>
      <c r="U741">
        <v>5.320009366740944E-6</v>
      </c>
      <c r="V741" t="s">
        <v>159</v>
      </c>
    </row>
    <row r="742" spans="9:22" x14ac:dyDescent="0.45">
      <c r="I742" t="s">
        <v>175</v>
      </c>
      <c r="J742" t="s">
        <v>402</v>
      </c>
      <c r="K742">
        <v>0</v>
      </c>
      <c r="L742" t="s">
        <v>159</v>
      </c>
      <c r="N742" t="s">
        <v>218</v>
      </c>
      <c r="O742" t="s">
        <v>402</v>
      </c>
      <c r="P742">
        <v>7.2352582465974312E-5</v>
      </c>
      <c r="Q742" t="s">
        <v>159</v>
      </c>
      <c r="S742" t="s">
        <v>260</v>
      </c>
      <c r="T742" t="s">
        <v>402</v>
      </c>
      <c r="U742">
        <v>6.2141218319670808E-6</v>
      </c>
      <c r="V742" t="s">
        <v>159</v>
      </c>
    </row>
    <row r="743" spans="9:22" x14ac:dyDescent="0.45">
      <c r="I743" t="s">
        <v>175</v>
      </c>
      <c r="J743" t="s">
        <v>403</v>
      </c>
      <c r="K743">
        <v>0</v>
      </c>
      <c r="L743" t="s">
        <v>159</v>
      </c>
      <c r="N743" t="s">
        <v>218</v>
      </c>
      <c r="O743" t="s">
        <v>403</v>
      </c>
      <c r="P743">
        <v>5.3544013905616202E-5</v>
      </c>
      <c r="Q743" t="s">
        <v>159</v>
      </c>
      <c r="S743" t="s">
        <v>260</v>
      </c>
      <c r="T743" t="s">
        <v>403</v>
      </c>
      <c r="U743">
        <v>5.886417171271966E-6</v>
      </c>
      <c r="V743" t="s">
        <v>159</v>
      </c>
    </row>
    <row r="744" spans="9:22" x14ac:dyDescent="0.45">
      <c r="I744" t="s">
        <v>175</v>
      </c>
      <c r="J744" t="s">
        <v>404</v>
      </c>
      <c r="K744">
        <v>2.1334036372245817E-4</v>
      </c>
      <c r="L744" t="s">
        <v>159</v>
      </c>
      <c r="N744" t="s">
        <v>218</v>
      </c>
      <c r="O744" t="s">
        <v>404</v>
      </c>
      <c r="P744">
        <v>3.7049524936347561E-5</v>
      </c>
      <c r="Q744" t="s">
        <v>159</v>
      </c>
      <c r="S744" t="s">
        <v>260</v>
      </c>
      <c r="T744" t="s">
        <v>404</v>
      </c>
      <c r="U744">
        <v>4.1622710114868465E-6</v>
      </c>
      <c r="V744" t="s">
        <v>159</v>
      </c>
    </row>
    <row r="745" spans="9:22" x14ac:dyDescent="0.45">
      <c r="I745" t="s">
        <v>175</v>
      </c>
      <c r="J745" t="s">
        <v>405</v>
      </c>
      <c r="K745">
        <v>2.6145446270633207E-4</v>
      </c>
      <c r="L745" t="s">
        <v>159</v>
      </c>
      <c r="N745" t="s">
        <v>218</v>
      </c>
      <c r="O745" t="s">
        <v>405</v>
      </c>
      <c r="P745">
        <v>1.0343192842259472E-5</v>
      </c>
      <c r="Q745" t="s">
        <v>159</v>
      </c>
      <c r="S745" t="s">
        <v>260</v>
      </c>
      <c r="T745" t="s">
        <v>405</v>
      </c>
      <c r="U745">
        <v>4.0491178471848725E-6</v>
      </c>
      <c r="V745" t="s">
        <v>159</v>
      </c>
    </row>
    <row r="746" spans="9:22" x14ac:dyDescent="0.45">
      <c r="I746" t="s">
        <v>175</v>
      </c>
      <c r="J746" t="s">
        <v>406</v>
      </c>
      <c r="K746">
        <v>2.6335938001239559E-4</v>
      </c>
      <c r="L746" t="s">
        <v>159</v>
      </c>
      <c r="N746" t="s">
        <v>218</v>
      </c>
      <c r="O746" t="s">
        <v>406</v>
      </c>
      <c r="P746">
        <v>1.1626325071845398E-5</v>
      </c>
      <c r="Q746" t="s">
        <v>159</v>
      </c>
      <c r="S746" t="s">
        <v>260</v>
      </c>
      <c r="T746" t="s">
        <v>406</v>
      </c>
      <c r="U746">
        <v>3.9474221940108542E-6</v>
      </c>
      <c r="V746" t="s">
        <v>159</v>
      </c>
    </row>
    <row r="747" spans="9:22" x14ac:dyDescent="0.45">
      <c r="I747" t="s">
        <v>175</v>
      </c>
      <c r="J747" t="s">
        <v>407</v>
      </c>
      <c r="K747">
        <v>2.6896249023884483E-4</v>
      </c>
      <c r="L747" t="s">
        <v>159</v>
      </c>
      <c r="N747" t="s">
        <v>218</v>
      </c>
      <c r="O747" t="s">
        <v>407</v>
      </c>
      <c r="P747">
        <v>2.7410858223190871E-5</v>
      </c>
      <c r="Q747" t="s">
        <v>159</v>
      </c>
      <c r="S747" t="s">
        <v>260</v>
      </c>
      <c r="T747" t="s">
        <v>407</v>
      </c>
      <c r="U747">
        <v>6.8723429242572258E-6</v>
      </c>
      <c r="V747" t="s">
        <v>159</v>
      </c>
    </row>
    <row r="748" spans="9:22" x14ac:dyDescent="0.45">
      <c r="I748" t="s">
        <v>175</v>
      </c>
      <c r="J748" t="s">
        <v>408</v>
      </c>
      <c r="K748">
        <v>2.8095373393721462E-4</v>
      </c>
      <c r="L748" t="s">
        <v>159</v>
      </c>
      <c r="N748" t="s">
        <v>218</v>
      </c>
      <c r="O748" t="s">
        <v>408</v>
      </c>
      <c r="P748">
        <v>5.6280811789817154E-5</v>
      </c>
      <c r="Q748" t="s">
        <v>159</v>
      </c>
      <c r="S748" t="s">
        <v>260</v>
      </c>
      <c r="T748" t="s">
        <v>408</v>
      </c>
      <c r="U748">
        <v>1.3858033150118545E-5</v>
      </c>
      <c r="V748" t="s">
        <v>159</v>
      </c>
    </row>
    <row r="749" spans="9:22" x14ac:dyDescent="0.45">
      <c r="I749" t="s">
        <v>175</v>
      </c>
      <c r="J749" t="s">
        <v>409</v>
      </c>
      <c r="K749">
        <v>3.0062384871449834E-4</v>
      </c>
      <c r="L749" t="s">
        <v>159</v>
      </c>
      <c r="N749" t="s">
        <v>218</v>
      </c>
      <c r="O749" t="s">
        <v>409</v>
      </c>
      <c r="P749">
        <v>7.8685491283974178E-5</v>
      </c>
      <c r="Q749" t="s">
        <v>159</v>
      </c>
      <c r="S749" t="s">
        <v>260</v>
      </c>
      <c r="T749" t="s">
        <v>409</v>
      </c>
      <c r="U749">
        <v>2.4344611814456888E-5</v>
      </c>
      <c r="V749" t="s">
        <v>159</v>
      </c>
    </row>
    <row r="750" spans="9:22" x14ac:dyDescent="0.45">
      <c r="I750" t="s">
        <v>175</v>
      </c>
      <c r="J750" t="s">
        <v>410</v>
      </c>
      <c r="K750">
        <v>2.7921006060409201E-4</v>
      </c>
      <c r="L750" t="s">
        <v>159</v>
      </c>
      <c r="N750" t="s">
        <v>218</v>
      </c>
      <c r="O750" t="s">
        <v>410</v>
      </c>
      <c r="P750">
        <v>1.0309439391278451E-4</v>
      </c>
      <c r="Q750" t="s">
        <v>159</v>
      </c>
      <c r="S750" t="s">
        <v>260</v>
      </c>
      <c r="T750" t="s">
        <v>410</v>
      </c>
      <c r="U750">
        <v>3.5583250016648512E-5</v>
      </c>
      <c r="V750" t="s">
        <v>159</v>
      </c>
    </row>
    <row r="751" spans="9:22" x14ac:dyDescent="0.45">
      <c r="I751" t="s">
        <v>175</v>
      </c>
      <c r="J751" t="s">
        <v>411</v>
      </c>
      <c r="K751">
        <v>2.6201153820636005E-4</v>
      </c>
      <c r="L751" t="s">
        <v>159</v>
      </c>
      <c r="N751" t="s">
        <v>218</v>
      </c>
      <c r="O751" t="s">
        <v>411</v>
      </c>
      <c r="P751">
        <v>1.2421103113255741E-4</v>
      </c>
      <c r="Q751" t="s">
        <v>159</v>
      </c>
      <c r="S751" t="s">
        <v>260</v>
      </c>
      <c r="T751" t="s">
        <v>411</v>
      </c>
      <c r="U751">
        <v>4.9023052952640768E-5</v>
      </c>
      <c r="V751" t="s">
        <v>159</v>
      </c>
    </row>
    <row r="752" spans="9:22" x14ac:dyDescent="0.45">
      <c r="I752" t="s">
        <v>175</v>
      </c>
      <c r="J752" t="s">
        <v>412</v>
      </c>
      <c r="K752">
        <v>2.5333010915968288E-4</v>
      </c>
      <c r="L752" t="s">
        <v>159</v>
      </c>
      <c r="N752" t="s">
        <v>218</v>
      </c>
      <c r="O752" t="s">
        <v>412</v>
      </c>
      <c r="P752">
        <v>1.2864725570861278E-4</v>
      </c>
      <c r="Q752" t="s">
        <v>159</v>
      </c>
      <c r="S752" t="s">
        <v>260</v>
      </c>
      <c r="T752" t="s">
        <v>412</v>
      </c>
      <c r="U752">
        <v>5.7612227385260133E-5</v>
      </c>
      <c r="V752" t="s">
        <v>159</v>
      </c>
    </row>
    <row r="753" spans="9:22" x14ac:dyDescent="0.45">
      <c r="I753" t="s">
        <v>175</v>
      </c>
      <c r="J753" t="s">
        <v>413</v>
      </c>
      <c r="K753">
        <v>2.4475478874359682E-4</v>
      </c>
      <c r="L753" t="s">
        <v>159</v>
      </c>
      <c r="N753" t="s">
        <v>218</v>
      </c>
      <c r="O753" t="s">
        <v>413</v>
      </c>
      <c r="P753">
        <v>1.2935321005217839E-4</v>
      </c>
      <c r="Q753" t="s">
        <v>159</v>
      </c>
      <c r="S753" t="s">
        <v>260</v>
      </c>
      <c r="T753" t="s">
        <v>413</v>
      </c>
      <c r="U753">
        <v>5.4713387557032347E-5</v>
      </c>
      <c r="V753" t="s">
        <v>159</v>
      </c>
    </row>
    <row r="754" spans="9:22" x14ac:dyDescent="0.45">
      <c r="I754" t="s">
        <v>175</v>
      </c>
      <c r="J754" t="s">
        <v>414</v>
      </c>
      <c r="K754">
        <v>1.9669851320422448E-4</v>
      </c>
      <c r="L754" t="s">
        <v>159</v>
      </c>
      <c r="N754" t="s">
        <v>218</v>
      </c>
      <c r="O754" t="s">
        <v>414</v>
      </c>
      <c r="P754">
        <v>1.1277176084771088E-4</v>
      </c>
      <c r="Q754" t="s">
        <v>159</v>
      </c>
      <c r="S754" t="s">
        <v>260</v>
      </c>
      <c r="T754" t="s">
        <v>414</v>
      </c>
      <c r="U754">
        <v>4.6669148690163667E-5</v>
      </c>
      <c r="V754" t="s">
        <v>159</v>
      </c>
    </row>
    <row r="755" spans="9:22" x14ac:dyDescent="0.45">
      <c r="I755" t="s">
        <v>175</v>
      </c>
      <c r="J755" t="s">
        <v>415</v>
      </c>
      <c r="K755">
        <v>0</v>
      </c>
      <c r="L755" t="s">
        <v>159</v>
      </c>
      <c r="N755" t="s">
        <v>218</v>
      </c>
      <c r="O755" t="s">
        <v>415</v>
      </c>
      <c r="P755">
        <v>8.2483642197703398E-5</v>
      </c>
      <c r="Q755" t="s">
        <v>159</v>
      </c>
      <c r="S755" t="s">
        <v>260</v>
      </c>
      <c r="T755" t="s">
        <v>415</v>
      </c>
      <c r="U755">
        <v>3.7766630833242615E-5</v>
      </c>
      <c r="V755" t="s">
        <v>159</v>
      </c>
    </row>
    <row r="756" spans="9:22" x14ac:dyDescent="0.45">
      <c r="I756" t="s">
        <v>175</v>
      </c>
      <c r="J756" t="s">
        <v>416</v>
      </c>
      <c r="K756">
        <v>0</v>
      </c>
      <c r="L756" t="s">
        <v>159</v>
      </c>
      <c r="N756" t="s">
        <v>218</v>
      </c>
      <c r="O756" t="s">
        <v>416</v>
      </c>
      <c r="P756">
        <v>6.8815974639472764E-5</v>
      </c>
      <c r="Q756" t="s">
        <v>159</v>
      </c>
      <c r="S756" t="s">
        <v>260</v>
      </c>
      <c r="T756" t="s">
        <v>416</v>
      </c>
      <c r="U756">
        <v>3.1893849219157107E-5</v>
      </c>
      <c r="V756" t="s">
        <v>159</v>
      </c>
    </row>
    <row r="757" spans="9:22" x14ac:dyDescent="0.45">
      <c r="I757" t="s">
        <v>175</v>
      </c>
      <c r="J757" t="s">
        <v>417</v>
      </c>
      <c r="K757">
        <v>0</v>
      </c>
      <c r="L757" t="s">
        <v>159</v>
      </c>
      <c r="N757" t="s">
        <v>218</v>
      </c>
      <c r="O757" t="s">
        <v>417</v>
      </c>
      <c r="P757">
        <v>7.8007345229614129E-5</v>
      </c>
      <c r="Q757" t="s">
        <v>159</v>
      </c>
      <c r="S757" t="s">
        <v>260</v>
      </c>
      <c r="T757" t="s">
        <v>417</v>
      </c>
      <c r="U757">
        <v>2.7350053453735406E-5</v>
      </c>
      <c r="V757" t="s">
        <v>159</v>
      </c>
    </row>
    <row r="758" spans="9:22" x14ac:dyDescent="0.45">
      <c r="I758" t="s">
        <v>175</v>
      </c>
      <c r="J758" t="s">
        <v>418</v>
      </c>
      <c r="K758">
        <v>0</v>
      </c>
      <c r="L758" t="s">
        <v>159</v>
      </c>
      <c r="N758" t="s">
        <v>218</v>
      </c>
      <c r="O758" t="s">
        <v>418</v>
      </c>
      <c r="P758">
        <v>9.8087237037965493E-5</v>
      </c>
      <c r="Q758" t="s">
        <v>159</v>
      </c>
      <c r="S758" t="s">
        <v>260</v>
      </c>
      <c r="T758" t="s">
        <v>418</v>
      </c>
      <c r="U758">
        <v>2.2141133539679159E-5</v>
      </c>
      <c r="V758" t="s">
        <v>159</v>
      </c>
    </row>
    <row r="759" spans="9:22" x14ac:dyDescent="0.45">
      <c r="I759" t="s">
        <v>175</v>
      </c>
      <c r="J759" t="s">
        <v>419</v>
      </c>
      <c r="K759">
        <v>0</v>
      </c>
      <c r="L759" t="s">
        <v>159</v>
      </c>
      <c r="N759" t="s">
        <v>218</v>
      </c>
      <c r="O759" t="s">
        <v>419</v>
      </c>
      <c r="P759">
        <v>1.2528173553649354E-4</v>
      </c>
      <c r="Q759" t="s">
        <v>159</v>
      </c>
      <c r="S759" t="s">
        <v>260</v>
      </c>
      <c r="T759" t="s">
        <v>419</v>
      </c>
      <c r="U759">
        <v>2.2234601893334233E-5</v>
      </c>
      <c r="V759" t="s">
        <v>159</v>
      </c>
    </row>
    <row r="760" spans="9:22" x14ac:dyDescent="0.45">
      <c r="I760" t="s">
        <v>175</v>
      </c>
      <c r="J760" t="s">
        <v>420</v>
      </c>
      <c r="K760">
        <v>0</v>
      </c>
      <c r="L760" t="s">
        <v>159</v>
      </c>
      <c r="N760" t="s">
        <v>218</v>
      </c>
      <c r="O760" t="s">
        <v>420</v>
      </c>
      <c r="P760">
        <v>1.5661430765867289E-4</v>
      </c>
      <c r="Q760" t="s">
        <v>159</v>
      </c>
      <c r="S760" t="s">
        <v>260</v>
      </c>
      <c r="T760" t="s">
        <v>420</v>
      </c>
      <c r="U760">
        <v>2.2985139365031628E-5</v>
      </c>
      <c r="V760" t="s">
        <v>159</v>
      </c>
    </row>
    <row r="761" spans="9:22" x14ac:dyDescent="0.45">
      <c r="I761" t="s">
        <v>175</v>
      </c>
      <c r="J761" t="s">
        <v>313</v>
      </c>
      <c r="K761">
        <v>5.1736157942845057E-3</v>
      </c>
      <c r="L761" t="s">
        <v>159</v>
      </c>
      <c r="N761" t="s">
        <v>218</v>
      </c>
      <c r="O761" t="s">
        <v>313</v>
      </c>
      <c r="P761">
        <v>1.7961919811400984E-2</v>
      </c>
      <c r="Q761" t="s">
        <v>159</v>
      </c>
      <c r="S761" t="s">
        <v>260</v>
      </c>
      <c r="T761" t="s">
        <v>313</v>
      </c>
      <c r="U761">
        <v>1.7719906031379646E-2</v>
      </c>
      <c r="V761" t="s">
        <v>159</v>
      </c>
    </row>
    <row r="762" spans="9:22" x14ac:dyDescent="0.45">
      <c r="I762" t="s">
        <v>175</v>
      </c>
      <c r="J762" t="s">
        <v>314</v>
      </c>
      <c r="K762">
        <v>7.5208742829494715E-3</v>
      </c>
      <c r="L762" t="s">
        <v>159</v>
      </c>
      <c r="N762" t="s">
        <v>218</v>
      </c>
      <c r="O762" t="s">
        <v>314</v>
      </c>
      <c r="P762">
        <v>1.850717705215421E-3</v>
      </c>
      <c r="Q762" t="s">
        <v>159</v>
      </c>
      <c r="S762" t="s">
        <v>260</v>
      </c>
      <c r="T762" t="s">
        <v>314</v>
      </c>
      <c r="U762">
        <v>2.4602675781679978E-3</v>
      </c>
      <c r="V762" t="s">
        <v>159</v>
      </c>
    </row>
    <row r="763" spans="9:22" x14ac:dyDescent="0.45">
      <c r="I763" t="s">
        <v>175</v>
      </c>
      <c r="J763" t="s">
        <v>315</v>
      </c>
      <c r="K763">
        <v>7.7364597434098389E-2</v>
      </c>
      <c r="L763" t="s">
        <v>159</v>
      </c>
      <c r="N763" t="s">
        <v>218</v>
      </c>
      <c r="O763" t="s">
        <v>315</v>
      </c>
      <c r="P763">
        <v>2.1565994234344164E-2</v>
      </c>
      <c r="Q763" t="s">
        <v>159</v>
      </c>
      <c r="S763" t="s">
        <v>260</v>
      </c>
      <c r="T763" t="s">
        <v>315</v>
      </c>
      <c r="U763">
        <v>2.4008164790990744E-2</v>
      </c>
      <c r="V763" t="s">
        <v>159</v>
      </c>
    </row>
    <row r="764" spans="9:22" x14ac:dyDescent="0.45">
      <c r="I764" t="s">
        <v>175</v>
      </c>
      <c r="J764" t="s">
        <v>316</v>
      </c>
      <c r="K764">
        <v>6.1965225449843123E-3</v>
      </c>
      <c r="L764" t="s">
        <v>159</v>
      </c>
      <c r="N764" t="s">
        <v>218</v>
      </c>
      <c r="O764" t="s">
        <v>316</v>
      </c>
      <c r="P764">
        <v>2.2839281716180836E-3</v>
      </c>
      <c r="Q764" t="s">
        <v>159</v>
      </c>
      <c r="S764" t="s">
        <v>260</v>
      </c>
      <c r="T764" t="s">
        <v>316</v>
      </c>
      <c r="U764">
        <v>3.0641822604834008E-3</v>
      </c>
      <c r="V764" t="s">
        <v>159</v>
      </c>
    </row>
    <row r="765" spans="9:22" x14ac:dyDescent="0.45">
      <c r="I765" t="s">
        <v>175</v>
      </c>
      <c r="J765" t="s">
        <v>317</v>
      </c>
      <c r="K765">
        <v>4.2864542702005523E-3</v>
      </c>
      <c r="L765" t="s">
        <v>159</v>
      </c>
      <c r="N765" t="s">
        <v>218</v>
      </c>
      <c r="O765" t="s">
        <v>317</v>
      </c>
      <c r="P765">
        <v>2.0076991770818873E-3</v>
      </c>
      <c r="Q765" t="s">
        <v>159</v>
      </c>
      <c r="S765" t="s">
        <v>260</v>
      </c>
      <c r="T765" t="s">
        <v>317</v>
      </c>
      <c r="U765">
        <v>2.9966608805354076E-3</v>
      </c>
      <c r="V765" t="s">
        <v>159</v>
      </c>
    </row>
    <row r="766" spans="9:22" x14ac:dyDescent="0.45">
      <c r="I766" t="s">
        <v>175</v>
      </c>
      <c r="J766" t="s">
        <v>318</v>
      </c>
      <c r="K766">
        <v>5.7741302336285159E-5</v>
      </c>
      <c r="L766" t="s">
        <v>159</v>
      </c>
      <c r="N766" t="s">
        <v>218</v>
      </c>
      <c r="O766" t="s">
        <v>318</v>
      </c>
      <c r="P766">
        <v>1.4104456204844793E-2</v>
      </c>
      <c r="Q766" t="s">
        <v>159</v>
      </c>
      <c r="S766" t="s">
        <v>260</v>
      </c>
      <c r="T766" t="s">
        <v>318</v>
      </c>
      <c r="U766">
        <v>1.3355140673064269E-2</v>
      </c>
      <c r="V766" t="s">
        <v>159</v>
      </c>
    </row>
    <row r="767" spans="9:22" x14ac:dyDescent="0.45">
      <c r="I767" t="s">
        <v>176</v>
      </c>
      <c r="J767" t="s">
        <v>158</v>
      </c>
      <c r="K767">
        <v>7.2091570351855835E-3</v>
      </c>
      <c r="L767" t="s">
        <v>159</v>
      </c>
      <c r="N767" t="s">
        <v>219</v>
      </c>
      <c r="O767" t="s">
        <v>158</v>
      </c>
      <c r="P767">
        <v>8.1648343922486322E-2</v>
      </c>
      <c r="Q767" t="s">
        <v>159</v>
      </c>
      <c r="S767" t="s">
        <v>261</v>
      </c>
      <c r="T767" t="s">
        <v>158</v>
      </c>
      <c r="U767">
        <v>0.11959951479754106</v>
      </c>
      <c r="V767" t="s">
        <v>159</v>
      </c>
    </row>
    <row r="768" spans="9:22" x14ac:dyDescent="0.45">
      <c r="I768" t="s">
        <v>176</v>
      </c>
      <c r="J768" t="s">
        <v>160</v>
      </c>
      <c r="K768">
        <v>2.3042756592996892E-2</v>
      </c>
      <c r="L768" t="s">
        <v>159</v>
      </c>
      <c r="N768" t="s">
        <v>219</v>
      </c>
      <c r="O768" t="s">
        <v>160</v>
      </c>
      <c r="P768">
        <v>9.881609686089492E-3</v>
      </c>
      <c r="Q768" t="s">
        <v>159</v>
      </c>
      <c r="S768" t="s">
        <v>261</v>
      </c>
      <c r="T768" t="s">
        <v>160</v>
      </c>
      <c r="U768">
        <v>1.6390402646874982E-2</v>
      </c>
      <c r="V768" t="s">
        <v>159</v>
      </c>
    </row>
    <row r="769" spans="9:22" x14ac:dyDescent="0.45">
      <c r="I769" t="s">
        <v>176</v>
      </c>
      <c r="J769" t="s">
        <v>161</v>
      </c>
      <c r="K769">
        <v>0.37598372706965327</v>
      </c>
      <c r="L769" t="s">
        <v>159</v>
      </c>
      <c r="N769" t="s">
        <v>219</v>
      </c>
      <c r="O769" t="s">
        <v>161</v>
      </c>
      <c r="P769">
        <v>0.14891376187149005</v>
      </c>
      <c r="Q769" t="s">
        <v>159</v>
      </c>
      <c r="S769" t="s">
        <v>261</v>
      </c>
      <c r="T769" t="s">
        <v>161</v>
      </c>
      <c r="U769">
        <v>0.15386071662024606</v>
      </c>
      <c r="V769" t="s">
        <v>159</v>
      </c>
    </row>
    <row r="770" spans="9:22" x14ac:dyDescent="0.45">
      <c r="I770" t="s">
        <v>176</v>
      </c>
      <c r="J770" t="s">
        <v>287</v>
      </c>
      <c r="K770">
        <v>3.6220495788186355E-2</v>
      </c>
      <c r="L770" t="s">
        <v>159</v>
      </c>
      <c r="N770" t="s">
        <v>219</v>
      </c>
      <c r="O770" t="s">
        <v>287</v>
      </c>
      <c r="P770">
        <v>2.9940384510074733E-2</v>
      </c>
      <c r="Q770" t="s">
        <v>159</v>
      </c>
      <c r="S770" t="s">
        <v>261</v>
      </c>
      <c r="T770" t="s">
        <v>287</v>
      </c>
      <c r="U770">
        <v>2.0667388913709527E-2</v>
      </c>
      <c r="V770" t="s">
        <v>159</v>
      </c>
    </row>
    <row r="771" spans="9:22" x14ac:dyDescent="0.45">
      <c r="I771" t="s">
        <v>176</v>
      </c>
      <c r="J771" t="s">
        <v>288</v>
      </c>
      <c r="K771">
        <v>2.0630106632358123E-2</v>
      </c>
      <c r="L771" t="s">
        <v>159</v>
      </c>
      <c r="N771" t="s">
        <v>219</v>
      </c>
      <c r="O771" t="s">
        <v>288</v>
      </c>
      <c r="P771">
        <v>2.9087770718490467E-2</v>
      </c>
      <c r="Q771" t="s">
        <v>159</v>
      </c>
      <c r="S771" t="s">
        <v>261</v>
      </c>
      <c r="T771" t="s">
        <v>288</v>
      </c>
      <c r="U771">
        <v>2.1604395609949305E-2</v>
      </c>
      <c r="V771" t="s">
        <v>159</v>
      </c>
    </row>
    <row r="772" spans="9:22" x14ac:dyDescent="0.45">
      <c r="I772" t="s">
        <v>176</v>
      </c>
      <c r="J772" t="s">
        <v>308</v>
      </c>
      <c r="K772">
        <v>7.8635673959883204E-3</v>
      </c>
      <c r="L772" t="s">
        <v>159</v>
      </c>
      <c r="N772" t="s">
        <v>219</v>
      </c>
      <c r="O772" t="s">
        <v>308</v>
      </c>
      <c r="P772">
        <v>9.6413766978334675E-2</v>
      </c>
      <c r="Q772" t="s">
        <v>159</v>
      </c>
      <c r="S772" t="s">
        <v>261</v>
      </c>
      <c r="T772" t="s">
        <v>308</v>
      </c>
      <c r="U772">
        <v>0.10657203179334694</v>
      </c>
      <c r="V772" t="s">
        <v>159</v>
      </c>
    </row>
    <row r="773" spans="9:22" x14ac:dyDescent="0.45">
      <c r="I773" t="s">
        <v>176</v>
      </c>
      <c r="J773" t="s">
        <v>162</v>
      </c>
      <c r="K773">
        <v>0</v>
      </c>
      <c r="L773" t="s">
        <v>159</v>
      </c>
      <c r="N773" t="s">
        <v>219</v>
      </c>
      <c r="O773" t="s">
        <v>162</v>
      </c>
      <c r="P773">
        <v>1.771639807353409E-2</v>
      </c>
      <c r="Q773" t="s">
        <v>159</v>
      </c>
      <c r="S773" t="s">
        <v>261</v>
      </c>
      <c r="T773" t="s">
        <v>162</v>
      </c>
      <c r="U773">
        <v>1.8044297100223938E-2</v>
      </c>
      <c r="V773" t="s">
        <v>159</v>
      </c>
    </row>
    <row r="774" spans="9:22" x14ac:dyDescent="0.45">
      <c r="I774" t="s">
        <v>176</v>
      </c>
      <c r="J774" t="s">
        <v>163</v>
      </c>
      <c r="K774">
        <v>0</v>
      </c>
      <c r="L774" t="s">
        <v>159</v>
      </c>
      <c r="N774" t="s">
        <v>219</v>
      </c>
      <c r="O774" t="s">
        <v>163</v>
      </c>
      <c r="P774">
        <v>1.8061823598928036E-3</v>
      </c>
      <c r="Q774" t="s">
        <v>159</v>
      </c>
      <c r="S774" t="s">
        <v>261</v>
      </c>
      <c r="T774" t="s">
        <v>163</v>
      </c>
      <c r="U774">
        <v>2.6454922155700784E-3</v>
      </c>
      <c r="V774" t="s">
        <v>159</v>
      </c>
    </row>
    <row r="775" spans="9:22" x14ac:dyDescent="0.45">
      <c r="I775" t="s">
        <v>176</v>
      </c>
      <c r="J775" t="s">
        <v>164</v>
      </c>
      <c r="K775">
        <v>3.4525485080910641E-2</v>
      </c>
      <c r="L775" t="s">
        <v>159</v>
      </c>
      <c r="N775" t="s">
        <v>219</v>
      </c>
      <c r="O775" t="s">
        <v>164</v>
      </c>
      <c r="P775">
        <v>2.0154586039303247E-2</v>
      </c>
      <c r="Q775" t="s">
        <v>159</v>
      </c>
      <c r="S775" t="s">
        <v>261</v>
      </c>
      <c r="T775" t="s">
        <v>164</v>
      </c>
      <c r="U775">
        <v>2.1943921386099619E-2</v>
      </c>
      <c r="V775" t="s">
        <v>159</v>
      </c>
    </row>
    <row r="776" spans="9:22" x14ac:dyDescent="0.45">
      <c r="I776" t="s">
        <v>176</v>
      </c>
      <c r="J776" t="s">
        <v>289</v>
      </c>
      <c r="K776">
        <v>2.9807636885439896E-3</v>
      </c>
      <c r="L776" t="s">
        <v>159</v>
      </c>
      <c r="N776" t="s">
        <v>219</v>
      </c>
      <c r="O776" t="s">
        <v>289</v>
      </c>
      <c r="P776">
        <v>4.0560361656431145E-3</v>
      </c>
      <c r="Q776" t="s">
        <v>159</v>
      </c>
      <c r="S776" t="s">
        <v>261</v>
      </c>
      <c r="T776" t="s">
        <v>289</v>
      </c>
      <c r="U776">
        <v>2.6834853892779911E-3</v>
      </c>
      <c r="V776" t="s">
        <v>159</v>
      </c>
    </row>
    <row r="777" spans="9:22" x14ac:dyDescent="0.45">
      <c r="I777" t="s">
        <v>176</v>
      </c>
      <c r="J777" t="s">
        <v>290</v>
      </c>
      <c r="K777">
        <v>0</v>
      </c>
      <c r="L777" t="s">
        <v>159</v>
      </c>
      <c r="N777" t="s">
        <v>219</v>
      </c>
      <c r="O777" t="s">
        <v>290</v>
      </c>
      <c r="P777">
        <v>3.7101674417682811E-3</v>
      </c>
      <c r="Q777" t="s">
        <v>159</v>
      </c>
      <c r="S777" t="s">
        <v>261</v>
      </c>
      <c r="T777" t="s">
        <v>290</v>
      </c>
      <c r="U777">
        <v>2.7489231564140479E-3</v>
      </c>
      <c r="V777" t="s">
        <v>159</v>
      </c>
    </row>
    <row r="778" spans="9:22" x14ac:dyDescent="0.45">
      <c r="I778" t="s">
        <v>176</v>
      </c>
      <c r="J778" t="s">
        <v>309</v>
      </c>
      <c r="K778">
        <v>0</v>
      </c>
      <c r="L778" t="s">
        <v>159</v>
      </c>
      <c r="N778" t="s">
        <v>219</v>
      </c>
      <c r="O778" t="s">
        <v>309</v>
      </c>
      <c r="P778">
        <v>1.3703072616999851E-2</v>
      </c>
      <c r="Q778" t="s">
        <v>159</v>
      </c>
      <c r="S778" t="s">
        <v>261</v>
      </c>
      <c r="T778" t="s">
        <v>309</v>
      </c>
      <c r="U778">
        <v>1.3414961626678795E-2</v>
      </c>
      <c r="V778" t="s">
        <v>159</v>
      </c>
    </row>
    <row r="779" spans="9:22" x14ac:dyDescent="0.45">
      <c r="I779" t="s">
        <v>176</v>
      </c>
      <c r="J779" t="s">
        <v>346</v>
      </c>
      <c r="K779">
        <v>0</v>
      </c>
      <c r="L779" t="s">
        <v>159</v>
      </c>
      <c r="N779" t="s">
        <v>219</v>
      </c>
      <c r="O779" t="s">
        <v>346</v>
      </c>
      <c r="P779">
        <v>3.9686463662067593E-6</v>
      </c>
      <c r="Q779" t="s">
        <v>159</v>
      </c>
      <c r="S779" t="s">
        <v>261</v>
      </c>
      <c r="T779" t="s">
        <v>346</v>
      </c>
      <c r="U779">
        <v>2.2402805161735614E-5</v>
      </c>
      <c r="V779" t="s">
        <v>159</v>
      </c>
    </row>
    <row r="780" spans="9:22" x14ac:dyDescent="0.45">
      <c r="I780" t="s">
        <v>176</v>
      </c>
      <c r="J780" t="s">
        <v>347</v>
      </c>
      <c r="K780">
        <v>0</v>
      </c>
      <c r="L780" t="s">
        <v>159</v>
      </c>
      <c r="N780" t="s">
        <v>219</v>
      </c>
      <c r="O780" t="s">
        <v>347</v>
      </c>
      <c r="P780">
        <v>1.8146174679321743E-6</v>
      </c>
      <c r="Q780" t="s">
        <v>159</v>
      </c>
      <c r="S780" t="s">
        <v>261</v>
      </c>
      <c r="T780" t="s">
        <v>347</v>
      </c>
      <c r="U780">
        <v>1.9696437550502909E-5</v>
      </c>
      <c r="V780" t="s">
        <v>159</v>
      </c>
    </row>
    <row r="781" spans="9:22" x14ac:dyDescent="0.45">
      <c r="I781" t="s">
        <v>176</v>
      </c>
      <c r="J781" t="s">
        <v>348</v>
      </c>
      <c r="K781">
        <v>0</v>
      </c>
      <c r="L781" t="s">
        <v>159</v>
      </c>
      <c r="N781" t="s">
        <v>219</v>
      </c>
      <c r="O781" t="s">
        <v>348</v>
      </c>
      <c r="P781">
        <v>4.4648866477950096E-7</v>
      </c>
      <c r="Q781" t="s">
        <v>159</v>
      </c>
      <c r="S781" t="s">
        <v>261</v>
      </c>
      <c r="T781" t="s">
        <v>348</v>
      </c>
      <c r="U781">
        <v>1.7919556859885195E-5</v>
      </c>
      <c r="V781" t="s">
        <v>159</v>
      </c>
    </row>
    <row r="782" spans="9:22" x14ac:dyDescent="0.45">
      <c r="I782" t="s">
        <v>176</v>
      </c>
      <c r="J782" t="s">
        <v>349</v>
      </c>
      <c r="K782">
        <v>0</v>
      </c>
      <c r="L782" t="s">
        <v>159</v>
      </c>
      <c r="N782" t="s">
        <v>219</v>
      </c>
      <c r="O782" t="s">
        <v>349</v>
      </c>
      <c r="P782">
        <v>1.3003187352122429E-6</v>
      </c>
      <c r="Q782" t="s">
        <v>159</v>
      </c>
      <c r="S782" t="s">
        <v>261</v>
      </c>
      <c r="T782" t="s">
        <v>349</v>
      </c>
      <c r="U782">
        <v>1.3901987953435598E-5</v>
      </c>
      <c r="V782" t="s">
        <v>159</v>
      </c>
    </row>
    <row r="783" spans="9:22" x14ac:dyDescent="0.45">
      <c r="I783" t="s">
        <v>176</v>
      </c>
      <c r="J783" t="s">
        <v>350</v>
      </c>
      <c r="K783">
        <v>0</v>
      </c>
      <c r="L783" t="s">
        <v>159</v>
      </c>
      <c r="N783" t="s">
        <v>219</v>
      </c>
      <c r="O783" t="s">
        <v>350</v>
      </c>
      <c r="P783">
        <v>2.9669598433346157E-7</v>
      </c>
      <c r="Q783" t="s">
        <v>159</v>
      </c>
      <c r="S783" t="s">
        <v>261</v>
      </c>
      <c r="T783" t="s">
        <v>350</v>
      </c>
      <c r="U783">
        <v>1.0474279790954236E-5</v>
      </c>
      <c r="V783" t="s">
        <v>159</v>
      </c>
    </row>
    <row r="784" spans="9:22" x14ac:dyDescent="0.45">
      <c r="I784" t="s">
        <v>176</v>
      </c>
      <c r="J784" t="s">
        <v>351</v>
      </c>
      <c r="K784">
        <v>0</v>
      </c>
      <c r="L784" t="s">
        <v>159</v>
      </c>
      <c r="N784" t="s">
        <v>219</v>
      </c>
      <c r="O784" t="s">
        <v>351</v>
      </c>
      <c r="P784">
        <v>8.5581736009663124E-8</v>
      </c>
      <c r="Q784" t="s">
        <v>159</v>
      </c>
      <c r="S784" t="s">
        <v>261</v>
      </c>
      <c r="T784" t="s">
        <v>351</v>
      </c>
      <c r="U784">
        <v>7.6965698180490251E-6</v>
      </c>
      <c r="V784" t="s">
        <v>159</v>
      </c>
    </row>
    <row r="785" spans="9:22" x14ac:dyDescent="0.45">
      <c r="I785" t="s">
        <v>176</v>
      </c>
      <c r="J785" t="s">
        <v>352</v>
      </c>
      <c r="K785">
        <v>0</v>
      </c>
      <c r="L785" t="s">
        <v>159</v>
      </c>
      <c r="N785" t="s">
        <v>219</v>
      </c>
      <c r="O785" t="s">
        <v>352</v>
      </c>
      <c r="P785">
        <v>3.3358709412146166E-8</v>
      </c>
      <c r="Q785" t="s">
        <v>159</v>
      </c>
      <c r="S785" t="s">
        <v>261</v>
      </c>
      <c r="T785" t="s">
        <v>352</v>
      </c>
      <c r="U785">
        <v>6.7005300655740941E-6</v>
      </c>
      <c r="V785" t="s">
        <v>159</v>
      </c>
    </row>
    <row r="786" spans="9:22" x14ac:dyDescent="0.45">
      <c r="I786" t="s">
        <v>176</v>
      </c>
      <c r="J786" t="s">
        <v>353</v>
      </c>
      <c r="K786">
        <v>0</v>
      </c>
      <c r="L786" t="s">
        <v>159</v>
      </c>
      <c r="N786" t="s">
        <v>219</v>
      </c>
      <c r="O786" t="s">
        <v>353</v>
      </c>
      <c r="P786">
        <v>2.243808801210649E-8</v>
      </c>
      <c r="Q786" t="s">
        <v>159</v>
      </c>
      <c r="S786" t="s">
        <v>261</v>
      </c>
      <c r="T786" t="s">
        <v>353</v>
      </c>
      <c r="U786">
        <v>7.4269247199518749E-6</v>
      </c>
      <c r="V786" t="s">
        <v>159</v>
      </c>
    </row>
    <row r="787" spans="9:22" x14ac:dyDescent="0.45">
      <c r="I787" t="s">
        <v>176</v>
      </c>
      <c r="J787" t="s">
        <v>354</v>
      </c>
      <c r="K787">
        <v>6.0542382491048326E-5</v>
      </c>
      <c r="L787" t="s">
        <v>159</v>
      </c>
      <c r="N787" t="s">
        <v>219</v>
      </c>
      <c r="O787" t="s">
        <v>354</v>
      </c>
      <c r="P787">
        <v>8.3403773732329513E-8</v>
      </c>
      <c r="Q787" t="s">
        <v>159</v>
      </c>
      <c r="S787" t="s">
        <v>261</v>
      </c>
      <c r="T787" t="s">
        <v>354</v>
      </c>
      <c r="U787">
        <v>9.4201867168310288E-6</v>
      </c>
      <c r="V787" t="s">
        <v>159</v>
      </c>
    </row>
    <row r="788" spans="9:22" x14ac:dyDescent="0.45">
      <c r="I788" t="s">
        <v>176</v>
      </c>
      <c r="J788" t="s">
        <v>355</v>
      </c>
      <c r="K788">
        <v>8.1761040664542702E-5</v>
      </c>
      <c r="L788" t="s">
        <v>159</v>
      </c>
      <c r="N788" t="s">
        <v>219</v>
      </c>
      <c r="O788" t="s">
        <v>355</v>
      </c>
      <c r="P788">
        <v>2.4461112887785953E-7</v>
      </c>
      <c r="Q788" t="s">
        <v>159</v>
      </c>
      <c r="S788" t="s">
        <v>261</v>
      </c>
      <c r="T788" t="s">
        <v>355</v>
      </c>
      <c r="U788">
        <v>1.0358126810086513E-5</v>
      </c>
      <c r="V788" t="s">
        <v>159</v>
      </c>
    </row>
    <row r="789" spans="9:22" x14ac:dyDescent="0.45">
      <c r="I789" t="s">
        <v>176</v>
      </c>
      <c r="J789" t="s">
        <v>356</v>
      </c>
      <c r="K789">
        <v>1.0913738036216757E-4</v>
      </c>
      <c r="L789" t="s">
        <v>159</v>
      </c>
      <c r="N789" t="s">
        <v>219</v>
      </c>
      <c r="O789" t="s">
        <v>356</v>
      </c>
      <c r="P789">
        <v>3.8088862137210708E-8</v>
      </c>
      <c r="Q789" t="s">
        <v>159</v>
      </c>
      <c r="S789" t="s">
        <v>261</v>
      </c>
      <c r="T789" t="s">
        <v>356</v>
      </c>
      <c r="U789">
        <v>1.171747421376233E-5</v>
      </c>
      <c r="V789" t="s">
        <v>159</v>
      </c>
    </row>
    <row r="790" spans="9:22" x14ac:dyDescent="0.45">
      <c r="I790" t="s">
        <v>176</v>
      </c>
      <c r="J790" t="s">
        <v>357</v>
      </c>
      <c r="K790">
        <v>1.2781697006162938E-4</v>
      </c>
      <c r="L790" t="s">
        <v>159</v>
      </c>
      <c r="N790" t="s">
        <v>219</v>
      </c>
      <c r="O790" t="s">
        <v>357</v>
      </c>
      <c r="P790">
        <v>1.2273789578408703E-6</v>
      </c>
      <c r="Q790" t="s">
        <v>159</v>
      </c>
      <c r="S790" t="s">
        <v>261</v>
      </c>
      <c r="T790" t="s">
        <v>357</v>
      </c>
      <c r="U790">
        <v>1.3496178843440856E-5</v>
      </c>
      <c r="V790" t="s">
        <v>159</v>
      </c>
    </row>
    <row r="791" spans="9:22" x14ac:dyDescent="0.45">
      <c r="I791" t="s">
        <v>176</v>
      </c>
      <c r="J791" t="s">
        <v>358</v>
      </c>
      <c r="K791">
        <v>1.7377581458314994E-4</v>
      </c>
      <c r="L791" t="s">
        <v>159</v>
      </c>
      <c r="N791" t="s">
        <v>219</v>
      </c>
      <c r="O791" t="s">
        <v>358</v>
      </c>
      <c r="P791">
        <v>3.0421713842784898E-6</v>
      </c>
      <c r="Q791" t="s">
        <v>159</v>
      </c>
      <c r="S791" t="s">
        <v>261</v>
      </c>
      <c r="T791" t="s">
        <v>358</v>
      </c>
      <c r="U791">
        <v>9.141257628686145E-6</v>
      </c>
      <c r="V791" t="s">
        <v>159</v>
      </c>
    </row>
    <row r="792" spans="9:22" x14ac:dyDescent="0.45">
      <c r="I792" t="s">
        <v>176</v>
      </c>
      <c r="J792" t="s">
        <v>359</v>
      </c>
      <c r="K792">
        <v>1.6292076241383301E-4</v>
      </c>
      <c r="L792" t="s">
        <v>159</v>
      </c>
      <c r="N792" t="s">
        <v>219</v>
      </c>
      <c r="O792" t="s">
        <v>359</v>
      </c>
      <c r="P792">
        <v>8.0485881257237925E-6</v>
      </c>
      <c r="Q792" t="s">
        <v>159</v>
      </c>
      <c r="S792" t="s">
        <v>261</v>
      </c>
      <c r="T792" t="s">
        <v>359</v>
      </c>
      <c r="U792">
        <v>8.9150639541861582E-6</v>
      </c>
      <c r="V792" t="s">
        <v>159</v>
      </c>
    </row>
    <row r="793" spans="9:22" x14ac:dyDescent="0.45">
      <c r="I793" t="s">
        <v>176</v>
      </c>
      <c r="J793" t="s">
        <v>360</v>
      </c>
      <c r="K793">
        <v>1.2447776149900492E-4</v>
      </c>
      <c r="L793" t="s">
        <v>159</v>
      </c>
      <c r="N793" t="s">
        <v>219</v>
      </c>
      <c r="O793" t="s">
        <v>360</v>
      </c>
      <c r="P793">
        <v>1.784568986759142E-5</v>
      </c>
      <c r="Q793" t="s">
        <v>159</v>
      </c>
      <c r="S793" t="s">
        <v>261</v>
      </c>
      <c r="T793" t="s">
        <v>360</v>
      </c>
      <c r="U793">
        <v>9.5724159400837561E-6</v>
      </c>
      <c r="V793" t="s">
        <v>159</v>
      </c>
    </row>
    <row r="794" spans="9:22" x14ac:dyDescent="0.45">
      <c r="I794" t="s">
        <v>176</v>
      </c>
      <c r="J794" t="s">
        <v>361</v>
      </c>
      <c r="K794">
        <v>9.8670607759824809E-5</v>
      </c>
      <c r="L794" t="s">
        <v>159</v>
      </c>
      <c r="N794" t="s">
        <v>219</v>
      </c>
      <c r="O794" t="s">
        <v>361</v>
      </c>
      <c r="P794">
        <v>3.1274837018887163E-5</v>
      </c>
      <c r="Q794" t="s">
        <v>159</v>
      </c>
      <c r="S794" t="s">
        <v>261</v>
      </c>
      <c r="T794" t="s">
        <v>361</v>
      </c>
      <c r="U794">
        <v>1.0365896950197787E-5</v>
      </c>
      <c r="V794" t="s">
        <v>159</v>
      </c>
    </row>
    <row r="795" spans="9:22" x14ac:dyDescent="0.45">
      <c r="I795" t="s">
        <v>176</v>
      </c>
      <c r="J795" t="s">
        <v>362</v>
      </c>
      <c r="K795">
        <v>6.6966777781286068E-5</v>
      </c>
      <c r="L795" t="s">
        <v>159</v>
      </c>
      <c r="N795" t="s">
        <v>219</v>
      </c>
      <c r="O795" t="s">
        <v>362</v>
      </c>
      <c r="P795">
        <v>5.1206208449790859E-5</v>
      </c>
      <c r="Q795" t="s">
        <v>159</v>
      </c>
      <c r="S795" t="s">
        <v>261</v>
      </c>
      <c r="T795" t="s">
        <v>362</v>
      </c>
      <c r="U795">
        <v>1.1294056207295417E-5</v>
      </c>
      <c r="V795" t="s">
        <v>159</v>
      </c>
    </row>
    <row r="796" spans="9:22" x14ac:dyDescent="0.45">
      <c r="I796" t="s">
        <v>176</v>
      </c>
      <c r="J796" t="s">
        <v>363</v>
      </c>
      <c r="K796">
        <v>2.9096376039805364E-5</v>
      </c>
      <c r="L796" t="s">
        <v>159</v>
      </c>
      <c r="N796" t="s">
        <v>219</v>
      </c>
      <c r="O796" t="s">
        <v>363</v>
      </c>
      <c r="P796">
        <v>8.2909910087464105E-5</v>
      </c>
      <c r="Q796" t="s">
        <v>159</v>
      </c>
      <c r="S796" t="s">
        <v>261</v>
      </c>
      <c r="T796" t="s">
        <v>363</v>
      </c>
      <c r="U796">
        <v>1.4302413099268959E-5</v>
      </c>
      <c r="V796" t="s">
        <v>159</v>
      </c>
    </row>
    <row r="797" spans="9:22" x14ac:dyDescent="0.45">
      <c r="I797" t="s">
        <v>176</v>
      </c>
      <c r="J797" t="s">
        <v>364</v>
      </c>
      <c r="K797">
        <v>0</v>
      </c>
      <c r="L797" t="s">
        <v>159</v>
      </c>
      <c r="N797" t="s">
        <v>219</v>
      </c>
      <c r="O797" t="s">
        <v>364</v>
      </c>
      <c r="P797">
        <v>7.5272179205885435E-5</v>
      </c>
      <c r="Q797" t="s">
        <v>159</v>
      </c>
      <c r="S797" t="s">
        <v>261</v>
      </c>
      <c r="T797" t="s">
        <v>364</v>
      </c>
      <c r="U797">
        <v>1.7101905489588438E-5</v>
      </c>
      <c r="V797" t="s">
        <v>159</v>
      </c>
    </row>
    <row r="798" spans="9:22" x14ac:dyDescent="0.45">
      <c r="I798" t="s">
        <v>176</v>
      </c>
      <c r="J798" t="s">
        <v>365</v>
      </c>
      <c r="K798">
        <v>0</v>
      </c>
      <c r="L798" t="s">
        <v>159</v>
      </c>
      <c r="N798" t="s">
        <v>219</v>
      </c>
      <c r="O798" t="s">
        <v>365</v>
      </c>
      <c r="P798">
        <v>6.3084162302108637E-5</v>
      </c>
      <c r="Q798" t="s">
        <v>159</v>
      </c>
      <c r="S798" t="s">
        <v>261</v>
      </c>
      <c r="T798" t="s">
        <v>365</v>
      </c>
      <c r="U798">
        <v>1.7980345838435801E-5</v>
      </c>
      <c r="V798" t="s">
        <v>159</v>
      </c>
    </row>
    <row r="799" spans="9:22" x14ac:dyDescent="0.45">
      <c r="I799" t="s">
        <v>176</v>
      </c>
      <c r="J799" t="s">
        <v>366</v>
      </c>
      <c r="K799">
        <v>0</v>
      </c>
      <c r="L799" t="s">
        <v>159</v>
      </c>
      <c r="N799" t="s">
        <v>219</v>
      </c>
      <c r="O799" t="s">
        <v>366</v>
      </c>
      <c r="P799">
        <v>2.4637167778923775E-5</v>
      </c>
      <c r="Q799" t="s">
        <v>159</v>
      </c>
      <c r="S799" t="s">
        <v>261</v>
      </c>
      <c r="T799" t="s">
        <v>366</v>
      </c>
      <c r="U799">
        <v>1.5194794059689945E-5</v>
      </c>
      <c r="V799" t="s">
        <v>159</v>
      </c>
    </row>
    <row r="800" spans="9:22" x14ac:dyDescent="0.45">
      <c r="I800" t="s">
        <v>176</v>
      </c>
      <c r="J800" t="s">
        <v>367</v>
      </c>
      <c r="K800">
        <v>0</v>
      </c>
      <c r="L800" t="s">
        <v>159</v>
      </c>
      <c r="N800" t="s">
        <v>219</v>
      </c>
      <c r="O800" t="s">
        <v>367</v>
      </c>
      <c r="P800">
        <v>1.4392065975739702E-5</v>
      </c>
      <c r="Q800" t="s">
        <v>159</v>
      </c>
      <c r="S800" t="s">
        <v>261</v>
      </c>
      <c r="T800" t="s">
        <v>367</v>
      </c>
      <c r="U800">
        <v>1.2101654818231893E-5</v>
      </c>
      <c r="V800" t="s">
        <v>159</v>
      </c>
    </row>
    <row r="801" spans="9:22" x14ac:dyDescent="0.45">
      <c r="I801" t="s">
        <v>176</v>
      </c>
      <c r="J801" t="s">
        <v>368</v>
      </c>
      <c r="K801">
        <v>0</v>
      </c>
      <c r="L801" t="s">
        <v>159</v>
      </c>
      <c r="N801" t="s">
        <v>219</v>
      </c>
      <c r="O801" t="s">
        <v>368</v>
      </c>
      <c r="P801">
        <v>1.2324216969219149E-5</v>
      </c>
      <c r="Q801" t="s">
        <v>159</v>
      </c>
      <c r="S801" t="s">
        <v>261</v>
      </c>
      <c r="T801" t="s">
        <v>368</v>
      </c>
      <c r="U801">
        <v>1.0798485612113398E-5</v>
      </c>
      <c r="V801" t="s">
        <v>159</v>
      </c>
    </row>
    <row r="802" spans="9:22" x14ac:dyDescent="0.45">
      <c r="I802" t="s">
        <v>176</v>
      </c>
      <c r="J802" t="s">
        <v>369</v>
      </c>
      <c r="K802">
        <v>0</v>
      </c>
      <c r="L802" t="s">
        <v>159</v>
      </c>
      <c r="N802" t="s">
        <v>219</v>
      </c>
      <c r="O802" t="s">
        <v>369</v>
      </c>
      <c r="P802">
        <v>1.0573294485153875E-5</v>
      </c>
      <c r="Q802" t="s">
        <v>159</v>
      </c>
      <c r="S802" t="s">
        <v>261</v>
      </c>
      <c r="T802" t="s">
        <v>369</v>
      </c>
      <c r="U802">
        <v>7.9484573245691079E-6</v>
      </c>
      <c r="V802" t="s">
        <v>159</v>
      </c>
    </row>
    <row r="803" spans="9:22" x14ac:dyDescent="0.45">
      <c r="I803" t="s">
        <v>176</v>
      </c>
      <c r="J803" t="s">
        <v>165</v>
      </c>
      <c r="K803">
        <v>0</v>
      </c>
      <c r="L803" t="s">
        <v>159</v>
      </c>
      <c r="N803" t="s">
        <v>219</v>
      </c>
      <c r="O803" t="s">
        <v>165</v>
      </c>
      <c r="P803">
        <v>2.5138600125136676E-2</v>
      </c>
      <c r="Q803" t="s">
        <v>159</v>
      </c>
      <c r="S803" t="s">
        <v>261</v>
      </c>
      <c r="T803" t="s">
        <v>165</v>
      </c>
      <c r="U803">
        <v>2.5519609311094954E-2</v>
      </c>
      <c r="V803" t="s">
        <v>159</v>
      </c>
    </row>
    <row r="804" spans="9:22" x14ac:dyDescent="0.45">
      <c r="I804" t="s">
        <v>176</v>
      </c>
      <c r="J804" t="s">
        <v>166</v>
      </c>
      <c r="K804">
        <v>3.807678192107091E-4</v>
      </c>
      <c r="L804" t="s">
        <v>159</v>
      </c>
      <c r="N804" t="s">
        <v>219</v>
      </c>
      <c r="O804" t="s">
        <v>166</v>
      </c>
      <c r="P804">
        <v>3.3015318333315482E-3</v>
      </c>
      <c r="Q804" t="s">
        <v>159</v>
      </c>
      <c r="S804" t="s">
        <v>261</v>
      </c>
      <c r="T804" t="s">
        <v>166</v>
      </c>
      <c r="U804">
        <v>3.4470196524667247E-3</v>
      </c>
      <c r="V804" t="s">
        <v>159</v>
      </c>
    </row>
    <row r="805" spans="9:22" x14ac:dyDescent="0.45">
      <c r="I805" t="s">
        <v>176</v>
      </c>
      <c r="J805" t="s">
        <v>167</v>
      </c>
      <c r="K805">
        <v>4.4908944753247013E-2</v>
      </c>
      <c r="L805" t="s">
        <v>159</v>
      </c>
      <c r="N805" t="s">
        <v>219</v>
      </c>
      <c r="O805" t="s">
        <v>167</v>
      </c>
      <c r="P805">
        <v>2.4937543923102861E-2</v>
      </c>
      <c r="Q805" t="s">
        <v>159</v>
      </c>
      <c r="S805" t="s">
        <v>261</v>
      </c>
      <c r="T805" t="s">
        <v>167</v>
      </c>
      <c r="U805">
        <v>3.1652122247116013E-2</v>
      </c>
      <c r="V805" t="s">
        <v>159</v>
      </c>
    </row>
    <row r="806" spans="9:22" x14ac:dyDescent="0.45">
      <c r="I806" t="s">
        <v>176</v>
      </c>
      <c r="J806" t="s">
        <v>291</v>
      </c>
      <c r="K806">
        <v>3.9314935977115021E-3</v>
      </c>
      <c r="L806" t="s">
        <v>159</v>
      </c>
      <c r="N806" t="s">
        <v>219</v>
      </c>
      <c r="O806" t="s">
        <v>291</v>
      </c>
      <c r="P806">
        <v>4.756085241761107E-3</v>
      </c>
      <c r="Q806" t="s">
        <v>159</v>
      </c>
      <c r="S806" t="s">
        <v>261</v>
      </c>
      <c r="T806" t="s">
        <v>291</v>
      </c>
      <c r="U806">
        <v>4.3345526614392499E-3</v>
      </c>
      <c r="V806" t="s">
        <v>159</v>
      </c>
    </row>
    <row r="807" spans="9:22" x14ac:dyDescent="0.45">
      <c r="I807" t="s">
        <v>176</v>
      </c>
      <c r="J807" t="s">
        <v>292</v>
      </c>
      <c r="K807">
        <v>0</v>
      </c>
      <c r="L807" t="s">
        <v>159</v>
      </c>
      <c r="N807" t="s">
        <v>219</v>
      </c>
      <c r="O807" t="s">
        <v>292</v>
      </c>
      <c r="P807">
        <v>4.7880349550483738E-3</v>
      </c>
      <c r="Q807" t="s">
        <v>159</v>
      </c>
      <c r="S807" t="s">
        <v>261</v>
      </c>
      <c r="T807" t="s">
        <v>292</v>
      </c>
      <c r="U807">
        <v>4.5078296221393137E-3</v>
      </c>
      <c r="V807" t="s">
        <v>159</v>
      </c>
    </row>
    <row r="808" spans="9:22" x14ac:dyDescent="0.45">
      <c r="I808" t="s">
        <v>176</v>
      </c>
      <c r="J808" t="s">
        <v>310</v>
      </c>
      <c r="K808">
        <v>0</v>
      </c>
      <c r="L808" t="s">
        <v>159</v>
      </c>
      <c r="N808" t="s">
        <v>219</v>
      </c>
      <c r="O808" t="s">
        <v>310</v>
      </c>
      <c r="P808">
        <v>1.8843436356865504E-2</v>
      </c>
      <c r="Q808" t="s">
        <v>159</v>
      </c>
      <c r="S808" t="s">
        <v>261</v>
      </c>
      <c r="T808" t="s">
        <v>310</v>
      </c>
      <c r="U808">
        <v>2.2135002306955826E-2</v>
      </c>
      <c r="V808" t="s">
        <v>159</v>
      </c>
    </row>
    <row r="809" spans="9:22" x14ac:dyDescent="0.45">
      <c r="I809" t="s">
        <v>176</v>
      </c>
      <c r="J809" t="s">
        <v>293</v>
      </c>
      <c r="K809">
        <v>0</v>
      </c>
      <c r="L809" t="s">
        <v>159</v>
      </c>
      <c r="N809" t="s">
        <v>219</v>
      </c>
      <c r="O809" t="s">
        <v>293</v>
      </c>
      <c r="P809">
        <v>8.4323255930603691E-3</v>
      </c>
      <c r="Q809" t="s">
        <v>159</v>
      </c>
      <c r="S809" t="s">
        <v>261</v>
      </c>
      <c r="T809" t="s">
        <v>293</v>
      </c>
      <c r="U809">
        <v>7.461645060081362E-3</v>
      </c>
      <c r="V809" t="s">
        <v>159</v>
      </c>
    </row>
    <row r="810" spans="9:22" x14ac:dyDescent="0.45">
      <c r="I810" t="s">
        <v>176</v>
      </c>
      <c r="J810" t="s">
        <v>294</v>
      </c>
      <c r="K810">
        <v>7.4674436664871197E-4</v>
      </c>
      <c r="L810" t="s">
        <v>159</v>
      </c>
      <c r="N810" t="s">
        <v>219</v>
      </c>
      <c r="O810" t="s">
        <v>294</v>
      </c>
      <c r="P810">
        <v>1.3513406180847226E-3</v>
      </c>
      <c r="Q810" t="s">
        <v>159</v>
      </c>
      <c r="S810" t="s">
        <v>261</v>
      </c>
      <c r="T810" t="s">
        <v>294</v>
      </c>
      <c r="U810">
        <v>1.1692335124185937E-3</v>
      </c>
      <c r="V810" t="s">
        <v>159</v>
      </c>
    </row>
    <row r="811" spans="9:22" x14ac:dyDescent="0.45">
      <c r="I811" t="s">
        <v>176</v>
      </c>
      <c r="J811" t="s">
        <v>295</v>
      </c>
      <c r="K811">
        <v>1.1332995749779031E-2</v>
      </c>
      <c r="L811" t="s">
        <v>159</v>
      </c>
      <c r="N811" t="s">
        <v>219</v>
      </c>
      <c r="O811" t="s">
        <v>295</v>
      </c>
      <c r="P811">
        <v>7.5278293250279444E-3</v>
      </c>
      <c r="Q811" t="s">
        <v>159</v>
      </c>
      <c r="S811" t="s">
        <v>261</v>
      </c>
      <c r="T811" t="s">
        <v>295</v>
      </c>
      <c r="U811">
        <v>1.1261898025561946E-2</v>
      </c>
      <c r="V811" t="s">
        <v>159</v>
      </c>
    </row>
    <row r="812" spans="9:22" x14ac:dyDescent="0.45">
      <c r="I812" t="s">
        <v>176</v>
      </c>
      <c r="J812" t="s">
        <v>296</v>
      </c>
      <c r="K812">
        <v>9.611768961647327E-4</v>
      </c>
      <c r="L812" t="s">
        <v>159</v>
      </c>
      <c r="N812" t="s">
        <v>219</v>
      </c>
      <c r="O812" t="s">
        <v>296</v>
      </c>
      <c r="P812">
        <v>1.322661962474291E-3</v>
      </c>
      <c r="Q812" t="s">
        <v>159</v>
      </c>
      <c r="S812" t="s">
        <v>261</v>
      </c>
      <c r="T812" t="s">
        <v>296</v>
      </c>
      <c r="U812">
        <v>1.2849694915434513E-3</v>
      </c>
      <c r="V812" t="s">
        <v>159</v>
      </c>
    </row>
    <row r="813" spans="9:22" x14ac:dyDescent="0.45">
      <c r="I813" t="s">
        <v>176</v>
      </c>
      <c r="J813" t="s">
        <v>297</v>
      </c>
      <c r="K813">
        <v>0</v>
      </c>
      <c r="L813" t="s">
        <v>159</v>
      </c>
      <c r="N813" t="s">
        <v>219</v>
      </c>
      <c r="O813" t="s">
        <v>297</v>
      </c>
      <c r="P813">
        <v>1.5617177360321968E-3</v>
      </c>
      <c r="Q813" t="s">
        <v>159</v>
      </c>
      <c r="S813" t="s">
        <v>261</v>
      </c>
      <c r="T813" t="s">
        <v>297</v>
      </c>
      <c r="U813">
        <v>1.2706375808299306E-3</v>
      </c>
      <c r="V813" t="s">
        <v>159</v>
      </c>
    </row>
    <row r="814" spans="9:22" x14ac:dyDescent="0.45">
      <c r="I814" t="s">
        <v>176</v>
      </c>
      <c r="J814" t="s">
        <v>311</v>
      </c>
      <c r="K814">
        <v>0</v>
      </c>
      <c r="L814" t="s">
        <v>159</v>
      </c>
      <c r="N814" t="s">
        <v>219</v>
      </c>
      <c r="O814" t="s">
        <v>311</v>
      </c>
      <c r="P814">
        <v>6.0945113748982482E-3</v>
      </c>
      <c r="Q814" t="s">
        <v>159</v>
      </c>
      <c r="S814" t="s">
        <v>261</v>
      </c>
      <c r="T814" t="s">
        <v>311</v>
      </c>
      <c r="U814">
        <v>5.7594787350008043E-3</v>
      </c>
      <c r="V814" t="s">
        <v>159</v>
      </c>
    </row>
    <row r="815" spans="9:22" x14ac:dyDescent="0.45">
      <c r="I815" t="s">
        <v>176</v>
      </c>
      <c r="J815" t="s">
        <v>298</v>
      </c>
      <c r="K815">
        <v>9.5605585951548319E-3</v>
      </c>
      <c r="L815" t="s">
        <v>159</v>
      </c>
      <c r="N815" t="s">
        <v>219</v>
      </c>
      <c r="O815" t="s">
        <v>298</v>
      </c>
      <c r="P815">
        <v>6.0090137343110271E-2</v>
      </c>
      <c r="Q815" t="s">
        <v>159</v>
      </c>
      <c r="S815" t="s">
        <v>261</v>
      </c>
      <c r="T815" t="s">
        <v>298</v>
      </c>
      <c r="U815">
        <v>9.1949198827447259E-2</v>
      </c>
      <c r="V815" t="s">
        <v>159</v>
      </c>
    </row>
    <row r="816" spans="9:22" x14ac:dyDescent="0.45">
      <c r="I816" t="s">
        <v>176</v>
      </c>
      <c r="J816" t="s">
        <v>299</v>
      </c>
      <c r="K816">
        <v>1.8520909021692171E-2</v>
      </c>
      <c r="L816" t="s">
        <v>159</v>
      </c>
      <c r="N816" t="s">
        <v>219</v>
      </c>
      <c r="O816" t="s">
        <v>299</v>
      </c>
      <c r="P816">
        <v>8.3237223925341757E-3</v>
      </c>
      <c r="Q816" t="s">
        <v>159</v>
      </c>
      <c r="S816" t="s">
        <v>261</v>
      </c>
      <c r="T816" t="s">
        <v>299</v>
      </c>
      <c r="U816">
        <v>1.2587615533806981E-2</v>
      </c>
      <c r="V816" t="s">
        <v>159</v>
      </c>
    </row>
    <row r="817" spans="9:22" x14ac:dyDescent="0.45">
      <c r="I817" t="s">
        <v>176</v>
      </c>
      <c r="J817" t="s">
        <v>300</v>
      </c>
      <c r="K817">
        <v>0.23858283539060723</v>
      </c>
      <c r="L817" t="s">
        <v>159</v>
      </c>
      <c r="N817" t="s">
        <v>219</v>
      </c>
      <c r="O817" t="s">
        <v>300</v>
      </c>
      <c r="P817">
        <v>0.15620936717145453</v>
      </c>
      <c r="Q817" t="s">
        <v>159</v>
      </c>
      <c r="S817" t="s">
        <v>261</v>
      </c>
      <c r="T817" t="s">
        <v>300</v>
      </c>
      <c r="U817">
        <v>0.1122603264169028</v>
      </c>
      <c r="V817" t="s">
        <v>159</v>
      </c>
    </row>
    <row r="818" spans="9:22" x14ac:dyDescent="0.45">
      <c r="I818" t="s">
        <v>176</v>
      </c>
      <c r="J818" t="s">
        <v>301</v>
      </c>
      <c r="K818">
        <v>2.1407368595356073E-2</v>
      </c>
      <c r="L818" t="s">
        <v>159</v>
      </c>
      <c r="N818" t="s">
        <v>219</v>
      </c>
      <c r="O818" t="s">
        <v>301</v>
      </c>
      <c r="P818">
        <v>2.7750732999512841E-2</v>
      </c>
      <c r="Q818" t="s">
        <v>159</v>
      </c>
      <c r="S818" t="s">
        <v>261</v>
      </c>
      <c r="T818" t="s">
        <v>301</v>
      </c>
      <c r="U818">
        <v>1.4467725120468204E-2</v>
      </c>
      <c r="V818" t="s">
        <v>159</v>
      </c>
    </row>
    <row r="819" spans="9:22" x14ac:dyDescent="0.45">
      <c r="I819" t="s">
        <v>176</v>
      </c>
      <c r="J819" t="s">
        <v>302</v>
      </c>
      <c r="K819">
        <v>1.3007572993067287E-2</v>
      </c>
      <c r="L819" t="s">
        <v>159</v>
      </c>
      <c r="N819" t="s">
        <v>219</v>
      </c>
      <c r="O819" t="s">
        <v>302</v>
      </c>
      <c r="P819">
        <v>2.7877233357492894E-2</v>
      </c>
      <c r="Q819" t="s">
        <v>159</v>
      </c>
      <c r="S819" t="s">
        <v>261</v>
      </c>
      <c r="T819" t="s">
        <v>302</v>
      </c>
      <c r="U819">
        <v>1.4822275875835943E-2</v>
      </c>
      <c r="V819" t="s">
        <v>159</v>
      </c>
    </row>
    <row r="820" spans="9:22" x14ac:dyDescent="0.45">
      <c r="I820" t="s">
        <v>176</v>
      </c>
      <c r="J820" t="s">
        <v>312</v>
      </c>
      <c r="K820">
        <v>3.7760507966533784E-4</v>
      </c>
      <c r="L820" t="s">
        <v>159</v>
      </c>
      <c r="N820" t="s">
        <v>219</v>
      </c>
      <c r="O820" t="s">
        <v>312</v>
      </c>
      <c r="P820">
        <v>8.2436226394507234E-2</v>
      </c>
      <c r="Q820" t="s">
        <v>159</v>
      </c>
      <c r="S820" t="s">
        <v>261</v>
      </c>
      <c r="T820" t="s">
        <v>312</v>
      </c>
      <c r="U820">
        <v>7.3318180608606676E-2</v>
      </c>
      <c r="V820" t="s">
        <v>159</v>
      </c>
    </row>
    <row r="821" spans="9:22" x14ac:dyDescent="0.45">
      <c r="I821" t="s">
        <v>176</v>
      </c>
      <c r="J821" t="s">
        <v>397</v>
      </c>
      <c r="K821">
        <v>0</v>
      </c>
      <c r="L821" t="s">
        <v>159</v>
      </c>
      <c r="N821" t="s">
        <v>219</v>
      </c>
      <c r="O821" t="s">
        <v>397</v>
      </c>
      <c r="P821">
        <v>2.4934874986077518E-5</v>
      </c>
      <c r="Q821" t="s">
        <v>159</v>
      </c>
      <c r="S821" t="s">
        <v>261</v>
      </c>
      <c r="T821" t="s">
        <v>397</v>
      </c>
      <c r="U821">
        <v>1.4869306610232176E-4</v>
      </c>
      <c r="V821" t="s">
        <v>159</v>
      </c>
    </row>
    <row r="822" spans="9:22" x14ac:dyDescent="0.45">
      <c r="I822" t="s">
        <v>176</v>
      </c>
      <c r="J822" t="s">
        <v>398</v>
      </c>
      <c r="K822">
        <v>0</v>
      </c>
      <c r="L822" t="s">
        <v>159</v>
      </c>
      <c r="N822" t="s">
        <v>219</v>
      </c>
      <c r="O822" t="s">
        <v>398</v>
      </c>
      <c r="P822">
        <v>1.2165076883114941E-5</v>
      </c>
      <c r="Q822" t="s">
        <v>159</v>
      </c>
      <c r="S822" t="s">
        <v>261</v>
      </c>
      <c r="T822" t="s">
        <v>398</v>
      </c>
      <c r="U822">
        <v>1.6035399028404245E-4</v>
      </c>
      <c r="V822" t="s">
        <v>159</v>
      </c>
    </row>
    <row r="823" spans="9:22" x14ac:dyDescent="0.45">
      <c r="I823" t="s">
        <v>176</v>
      </c>
      <c r="J823" t="s">
        <v>399</v>
      </c>
      <c r="K823">
        <v>0</v>
      </c>
      <c r="L823" t="s">
        <v>159</v>
      </c>
      <c r="N823" t="s">
        <v>219</v>
      </c>
      <c r="O823" t="s">
        <v>399</v>
      </c>
      <c r="P823">
        <v>4.8656423777218427E-6</v>
      </c>
      <c r="Q823" t="s">
        <v>159</v>
      </c>
      <c r="S823" t="s">
        <v>261</v>
      </c>
      <c r="T823" t="s">
        <v>399</v>
      </c>
      <c r="U823">
        <v>1.7201289423911275E-4</v>
      </c>
      <c r="V823" t="s">
        <v>159</v>
      </c>
    </row>
    <row r="824" spans="9:22" x14ac:dyDescent="0.45">
      <c r="I824" t="s">
        <v>176</v>
      </c>
      <c r="J824" t="s">
        <v>400</v>
      </c>
      <c r="K824">
        <v>0</v>
      </c>
      <c r="L824" t="s">
        <v>159</v>
      </c>
      <c r="N824" t="s">
        <v>219</v>
      </c>
      <c r="O824" t="s">
        <v>400</v>
      </c>
      <c r="P824">
        <v>6.0541331213412318E-7</v>
      </c>
      <c r="Q824" t="s">
        <v>159</v>
      </c>
      <c r="S824" t="s">
        <v>261</v>
      </c>
      <c r="T824" t="s">
        <v>400</v>
      </c>
      <c r="U824">
        <v>1.813763330770492E-4</v>
      </c>
      <c r="V824" t="s">
        <v>159</v>
      </c>
    </row>
    <row r="825" spans="9:22" x14ac:dyDescent="0.45">
      <c r="I825" t="s">
        <v>176</v>
      </c>
      <c r="J825" t="s">
        <v>401</v>
      </c>
      <c r="K825">
        <v>0</v>
      </c>
      <c r="L825" t="s">
        <v>159</v>
      </c>
      <c r="N825" t="s">
        <v>219</v>
      </c>
      <c r="O825" t="s">
        <v>401</v>
      </c>
      <c r="P825">
        <v>3.2794377726586253E-9</v>
      </c>
      <c r="Q825" t="s">
        <v>159</v>
      </c>
      <c r="S825" t="s">
        <v>261</v>
      </c>
      <c r="T825" t="s">
        <v>401</v>
      </c>
      <c r="U825">
        <v>1.7495392019243572E-4</v>
      </c>
      <c r="V825" t="s">
        <v>159</v>
      </c>
    </row>
    <row r="826" spans="9:22" x14ac:dyDescent="0.45">
      <c r="I826" t="s">
        <v>176</v>
      </c>
      <c r="J826" t="s">
        <v>402</v>
      </c>
      <c r="K826">
        <v>0</v>
      </c>
      <c r="L826" t="s">
        <v>159</v>
      </c>
      <c r="N826" t="s">
        <v>219</v>
      </c>
      <c r="O826" t="s">
        <v>402</v>
      </c>
      <c r="P826">
        <v>0</v>
      </c>
      <c r="Q826" t="s">
        <v>159</v>
      </c>
      <c r="S826" t="s">
        <v>261</v>
      </c>
      <c r="T826" t="s">
        <v>402</v>
      </c>
      <c r="U826">
        <v>1.6597468150307155E-4</v>
      </c>
      <c r="V826" t="s">
        <v>159</v>
      </c>
    </row>
    <row r="827" spans="9:22" x14ac:dyDescent="0.45">
      <c r="I827" t="s">
        <v>176</v>
      </c>
      <c r="J827" t="s">
        <v>403</v>
      </c>
      <c r="K827">
        <v>0</v>
      </c>
      <c r="L827" t="s">
        <v>159</v>
      </c>
      <c r="N827" t="s">
        <v>219</v>
      </c>
      <c r="O827" t="s">
        <v>403</v>
      </c>
      <c r="P827">
        <v>3.5174059803008158E-7</v>
      </c>
      <c r="Q827" t="s">
        <v>159</v>
      </c>
      <c r="S827" t="s">
        <v>261</v>
      </c>
      <c r="T827" t="s">
        <v>403</v>
      </c>
      <c r="U827">
        <v>1.4839642030012415E-4</v>
      </c>
      <c r="V827" t="s">
        <v>159</v>
      </c>
    </row>
    <row r="828" spans="9:22" x14ac:dyDescent="0.45">
      <c r="I828" t="s">
        <v>176</v>
      </c>
      <c r="J828" t="s">
        <v>404</v>
      </c>
      <c r="K828">
        <v>4.1910854401146787E-5</v>
      </c>
      <c r="L828" t="s">
        <v>159</v>
      </c>
      <c r="N828" t="s">
        <v>219</v>
      </c>
      <c r="O828" t="s">
        <v>404</v>
      </c>
      <c r="P828">
        <v>3.5299911370566019E-7</v>
      </c>
      <c r="Q828" t="s">
        <v>159</v>
      </c>
      <c r="S828" t="s">
        <v>261</v>
      </c>
      <c r="T828" t="s">
        <v>404</v>
      </c>
      <c r="U828">
        <v>1.293653525659045E-4</v>
      </c>
      <c r="V828" t="s">
        <v>159</v>
      </c>
    </row>
    <row r="829" spans="9:22" x14ac:dyDescent="0.45">
      <c r="I829" t="s">
        <v>176</v>
      </c>
      <c r="J829" t="s">
        <v>405</v>
      </c>
      <c r="K829">
        <v>7.0039628691093541E-5</v>
      </c>
      <c r="L829" t="s">
        <v>159</v>
      </c>
      <c r="N829" t="s">
        <v>219</v>
      </c>
      <c r="O829" t="s">
        <v>405</v>
      </c>
      <c r="P829">
        <v>7.624936707032788E-8</v>
      </c>
      <c r="Q829" t="s">
        <v>159</v>
      </c>
      <c r="S829" t="s">
        <v>261</v>
      </c>
      <c r="T829" t="s">
        <v>405</v>
      </c>
      <c r="U829">
        <v>1.1483597627975525E-4</v>
      </c>
      <c r="V829" t="s">
        <v>159</v>
      </c>
    </row>
    <row r="830" spans="9:22" x14ac:dyDescent="0.45">
      <c r="I830" t="s">
        <v>176</v>
      </c>
      <c r="J830" t="s">
        <v>406</v>
      </c>
      <c r="K830">
        <v>1.3884288758501891E-4</v>
      </c>
      <c r="L830" t="s">
        <v>159</v>
      </c>
      <c r="N830" t="s">
        <v>219</v>
      </c>
      <c r="O830" t="s">
        <v>406</v>
      </c>
      <c r="P830">
        <v>0</v>
      </c>
      <c r="Q830" t="s">
        <v>159</v>
      </c>
      <c r="S830" t="s">
        <v>261</v>
      </c>
      <c r="T830" t="s">
        <v>406</v>
      </c>
      <c r="U830">
        <v>1.0735983262810522E-4</v>
      </c>
      <c r="V830" t="s">
        <v>159</v>
      </c>
    </row>
    <row r="831" spans="9:22" x14ac:dyDescent="0.45">
      <c r="I831" t="s">
        <v>176</v>
      </c>
      <c r="J831" t="s">
        <v>407</v>
      </c>
      <c r="K831">
        <v>1.752208400208636E-4</v>
      </c>
      <c r="L831" t="s">
        <v>159</v>
      </c>
      <c r="N831" t="s">
        <v>219</v>
      </c>
      <c r="O831" t="s">
        <v>407</v>
      </c>
      <c r="P831">
        <v>3.8305391476220079E-7</v>
      </c>
      <c r="Q831" t="s">
        <v>159</v>
      </c>
      <c r="S831" t="s">
        <v>261</v>
      </c>
      <c r="T831" t="s">
        <v>407</v>
      </c>
      <c r="U831">
        <v>1.1464687729783786E-4</v>
      </c>
      <c r="V831" t="s">
        <v>159</v>
      </c>
    </row>
    <row r="832" spans="9:22" x14ac:dyDescent="0.45">
      <c r="I832" t="s">
        <v>176</v>
      </c>
      <c r="J832" t="s">
        <v>408</v>
      </c>
      <c r="K832">
        <v>2.2282193585810274E-4</v>
      </c>
      <c r="L832" t="s">
        <v>159</v>
      </c>
      <c r="N832" t="s">
        <v>219</v>
      </c>
      <c r="O832" t="s">
        <v>408</v>
      </c>
      <c r="P832">
        <v>1.0816679452556655E-5</v>
      </c>
      <c r="Q832" t="s">
        <v>159</v>
      </c>
      <c r="S832" t="s">
        <v>261</v>
      </c>
      <c r="T832" t="s">
        <v>408</v>
      </c>
      <c r="U832">
        <v>1.3417440513038481E-4</v>
      </c>
      <c r="V832" t="s">
        <v>159</v>
      </c>
    </row>
    <row r="833" spans="9:22" x14ac:dyDescent="0.45">
      <c r="I833" t="s">
        <v>176</v>
      </c>
      <c r="J833" t="s">
        <v>409</v>
      </c>
      <c r="K833">
        <v>2.1387582826010753E-4</v>
      </c>
      <c r="L833" t="s">
        <v>159</v>
      </c>
      <c r="N833" t="s">
        <v>219</v>
      </c>
      <c r="O833" t="s">
        <v>409</v>
      </c>
      <c r="P833">
        <v>4.9203503511878706E-5</v>
      </c>
      <c r="Q833" t="s">
        <v>159</v>
      </c>
      <c r="S833" t="s">
        <v>261</v>
      </c>
      <c r="T833" t="s">
        <v>409</v>
      </c>
      <c r="U833">
        <v>1.3888666519337365E-4</v>
      </c>
      <c r="V833" t="s">
        <v>159</v>
      </c>
    </row>
    <row r="834" spans="9:22" x14ac:dyDescent="0.45">
      <c r="I834" t="s">
        <v>176</v>
      </c>
      <c r="J834" t="s">
        <v>410</v>
      </c>
      <c r="K834">
        <v>2.2683239384267961E-4</v>
      </c>
      <c r="L834" t="s">
        <v>159</v>
      </c>
      <c r="N834" t="s">
        <v>219</v>
      </c>
      <c r="O834" t="s">
        <v>410</v>
      </c>
      <c r="P834">
        <v>8.694373084902557E-5</v>
      </c>
      <c r="Q834" t="s">
        <v>159</v>
      </c>
      <c r="S834" t="s">
        <v>261</v>
      </c>
      <c r="T834" t="s">
        <v>410</v>
      </c>
      <c r="U834">
        <v>1.6737710883135524E-4</v>
      </c>
      <c r="V834" t="s">
        <v>159</v>
      </c>
    </row>
    <row r="835" spans="9:22" x14ac:dyDescent="0.45">
      <c r="I835" t="s">
        <v>176</v>
      </c>
      <c r="J835" t="s">
        <v>411</v>
      </c>
      <c r="K835">
        <v>2.3203767642453166E-4</v>
      </c>
      <c r="L835" t="s">
        <v>159</v>
      </c>
      <c r="N835" t="s">
        <v>219</v>
      </c>
      <c r="O835" t="s">
        <v>411</v>
      </c>
      <c r="P835">
        <v>1.0685563098069215E-4</v>
      </c>
      <c r="Q835" t="s">
        <v>159</v>
      </c>
      <c r="S835" t="s">
        <v>261</v>
      </c>
      <c r="T835" t="s">
        <v>411</v>
      </c>
      <c r="U835">
        <v>2.0023609089729223E-4</v>
      </c>
      <c r="V835" t="s">
        <v>159</v>
      </c>
    </row>
    <row r="836" spans="9:22" x14ac:dyDescent="0.45">
      <c r="I836" t="s">
        <v>176</v>
      </c>
      <c r="J836" t="s">
        <v>412</v>
      </c>
      <c r="K836">
        <v>2.1364256699038265E-4</v>
      </c>
      <c r="L836" t="s">
        <v>159</v>
      </c>
      <c r="N836" t="s">
        <v>219</v>
      </c>
      <c r="O836" t="s">
        <v>412</v>
      </c>
      <c r="P836">
        <v>1.3043993871243828E-4</v>
      </c>
      <c r="Q836" t="s">
        <v>159</v>
      </c>
      <c r="S836" t="s">
        <v>261</v>
      </c>
      <c r="T836" t="s">
        <v>412</v>
      </c>
      <c r="U836">
        <v>2.242113836161725E-4</v>
      </c>
      <c r="V836" t="s">
        <v>159</v>
      </c>
    </row>
    <row r="837" spans="9:22" x14ac:dyDescent="0.45">
      <c r="I837" t="s">
        <v>176</v>
      </c>
      <c r="J837" t="s">
        <v>413</v>
      </c>
      <c r="K837">
        <v>2.0614774492498764E-4</v>
      </c>
      <c r="L837" t="s">
        <v>159</v>
      </c>
      <c r="N837" t="s">
        <v>219</v>
      </c>
      <c r="O837" t="s">
        <v>413</v>
      </c>
      <c r="P837">
        <v>1.8322021635124117E-4</v>
      </c>
      <c r="Q837" t="s">
        <v>159</v>
      </c>
      <c r="S837" t="s">
        <v>261</v>
      </c>
      <c r="T837" t="s">
        <v>413</v>
      </c>
      <c r="U837">
        <v>2.4119136692963495E-4</v>
      </c>
      <c r="V837" t="s">
        <v>159</v>
      </c>
    </row>
    <row r="838" spans="9:22" x14ac:dyDescent="0.45">
      <c r="I838" t="s">
        <v>176</v>
      </c>
      <c r="J838" t="s">
        <v>414</v>
      </c>
      <c r="K838">
        <v>1.562341604263305E-4</v>
      </c>
      <c r="L838" t="s">
        <v>159</v>
      </c>
      <c r="N838" t="s">
        <v>219</v>
      </c>
      <c r="O838" t="s">
        <v>414</v>
      </c>
      <c r="P838">
        <v>1.6791647594175947E-4</v>
      </c>
      <c r="Q838" t="s">
        <v>159</v>
      </c>
      <c r="S838" t="s">
        <v>261</v>
      </c>
      <c r="T838" t="s">
        <v>414</v>
      </c>
      <c r="U838">
        <v>2.5185528535891325E-4</v>
      </c>
      <c r="V838" t="s">
        <v>159</v>
      </c>
    </row>
    <row r="839" spans="9:22" x14ac:dyDescent="0.45">
      <c r="I839" t="s">
        <v>176</v>
      </c>
      <c r="J839" t="s">
        <v>415</v>
      </c>
      <c r="K839">
        <v>1.4043490639894656E-4</v>
      </c>
      <c r="L839" t="s">
        <v>159</v>
      </c>
      <c r="N839" t="s">
        <v>219</v>
      </c>
      <c r="O839" t="s">
        <v>415</v>
      </c>
      <c r="P839">
        <v>1.2017976100190508E-4</v>
      </c>
      <c r="Q839" t="s">
        <v>159</v>
      </c>
      <c r="S839" t="s">
        <v>261</v>
      </c>
      <c r="T839" t="s">
        <v>415</v>
      </c>
      <c r="U839">
        <v>2.5810522526960208E-4</v>
      </c>
      <c r="V839" t="s">
        <v>159</v>
      </c>
    </row>
    <row r="840" spans="9:22" x14ac:dyDescent="0.45">
      <c r="I840" t="s">
        <v>176</v>
      </c>
      <c r="J840" t="s">
        <v>416</v>
      </c>
      <c r="K840">
        <v>0</v>
      </c>
      <c r="L840" t="s">
        <v>159</v>
      </c>
      <c r="N840" t="s">
        <v>219</v>
      </c>
      <c r="O840" t="s">
        <v>416</v>
      </c>
      <c r="P840">
        <v>9.3620481495999757E-5</v>
      </c>
      <c r="Q840" t="s">
        <v>159</v>
      </c>
      <c r="S840" t="s">
        <v>261</v>
      </c>
      <c r="T840" t="s">
        <v>416</v>
      </c>
      <c r="U840">
        <v>2.5339405729493631E-4</v>
      </c>
      <c r="V840" t="s">
        <v>159</v>
      </c>
    </row>
    <row r="841" spans="9:22" x14ac:dyDescent="0.45">
      <c r="I841" t="s">
        <v>176</v>
      </c>
      <c r="J841" t="s">
        <v>417</v>
      </c>
      <c r="K841">
        <v>0</v>
      </c>
      <c r="L841" t="s">
        <v>159</v>
      </c>
      <c r="N841" t="s">
        <v>219</v>
      </c>
      <c r="O841" t="s">
        <v>417</v>
      </c>
      <c r="P841">
        <v>8.767867972237517E-5</v>
      </c>
      <c r="Q841" t="s">
        <v>159</v>
      </c>
      <c r="S841" t="s">
        <v>261</v>
      </c>
      <c r="T841" t="s">
        <v>417</v>
      </c>
      <c r="U841">
        <v>2.4767306532768473E-4</v>
      </c>
      <c r="V841" t="s">
        <v>159</v>
      </c>
    </row>
    <row r="842" spans="9:22" x14ac:dyDescent="0.45">
      <c r="I842" t="s">
        <v>176</v>
      </c>
      <c r="J842" t="s">
        <v>418</v>
      </c>
      <c r="K842">
        <v>0</v>
      </c>
      <c r="L842" t="s">
        <v>159</v>
      </c>
      <c r="N842" t="s">
        <v>219</v>
      </c>
      <c r="O842" t="s">
        <v>418</v>
      </c>
      <c r="P842">
        <v>6.6599067172749206E-5</v>
      </c>
      <c r="Q842" t="s">
        <v>159</v>
      </c>
      <c r="S842" t="s">
        <v>261</v>
      </c>
      <c r="T842" t="s">
        <v>418</v>
      </c>
      <c r="U842">
        <v>2.4703024706592476E-4</v>
      </c>
      <c r="V842" t="s">
        <v>159</v>
      </c>
    </row>
    <row r="843" spans="9:22" x14ac:dyDescent="0.45">
      <c r="I843" t="s">
        <v>176</v>
      </c>
      <c r="J843" t="s">
        <v>419</v>
      </c>
      <c r="K843">
        <v>0</v>
      </c>
      <c r="L843" t="s">
        <v>159</v>
      </c>
      <c r="N843" t="s">
        <v>219</v>
      </c>
      <c r="O843" t="s">
        <v>419</v>
      </c>
      <c r="P843">
        <v>3.6136018390239839E-5</v>
      </c>
      <c r="Q843" t="s">
        <v>159</v>
      </c>
      <c r="S843" t="s">
        <v>261</v>
      </c>
      <c r="T843" t="s">
        <v>419</v>
      </c>
      <c r="U843">
        <v>2.4725501677626602E-4</v>
      </c>
      <c r="V843" t="s">
        <v>159</v>
      </c>
    </row>
    <row r="844" spans="9:22" x14ac:dyDescent="0.45">
      <c r="I844" t="s">
        <v>176</v>
      </c>
      <c r="J844" t="s">
        <v>420</v>
      </c>
      <c r="K844">
        <v>0</v>
      </c>
      <c r="L844" t="s">
        <v>159</v>
      </c>
      <c r="N844" t="s">
        <v>219</v>
      </c>
      <c r="O844" t="s">
        <v>420</v>
      </c>
      <c r="P844">
        <v>2.1082687096077777E-5</v>
      </c>
      <c r="Q844" t="s">
        <v>159</v>
      </c>
      <c r="S844" t="s">
        <v>261</v>
      </c>
      <c r="T844" t="s">
        <v>420</v>
      </c>
      <c r="U844">
        <v>2.4495715203403301E-4</v>
      </c>
      <c r="V844" t="s">
        <v>159</v>
      </c>
    </row>
    <row r="845" spans="9:22" x14ac:dyDescent="0.45">
      <c r="I845" t="s">
        <v>176</v>
      </c>
      <c r="J845" t="s">
        <v>313</v>
      </c>
      <c r="K845">
        <v>5.4105498640811128E-3</v>
      </c>
      <c r="L845" t="s">
        <v>159</v>
      </c>
      <c r="N845" t="s">
        <v>219</v>
      </c>
      <c r="O845" t="s">
        <v>313</v>
      </c>
      <c r="P845">
        <v>1.2357654391052885E-2</v>
      </c>
      <c r="Q845" t="s">
        <v>159</v>
      </c>
      <c r="S845" t="s">
        <v>261</v>
      </c>
      <c r="T845" t="s">
        <v>313</v>
      </c>
      <c r="U845">
        <v>1.4648735780218912E-2</v>
      </c>
      <c r="V845" t="s">
        <v>159</v>
      </c>
    </row>
    <row r="846" spans="9:22" x14ac:dyDescent="0.45">
      <c r="I846" t="s">
        <v>176</v>
      </c>
      <c r="J846" t="s">
        <v>314</v>
      </c>
      <c r="K846">
        <v>7.9114052935633557E-3</v>
      </c>
      <c r="L846" t="s">
        <v>159</v>
      </c>
      <c r="N846" t="s">
        <v>219</v>
      </c>
      <c r="O846" t="s">
        <v>314</v>
      </c>
      <c r="P846">
        <v>1.3091886546492057E-3</v>
      </c>
      <c r="Q846" t="s">
        <v>159</v>
      </c>
      <c r="S846" t="s">
        <v>261</v>
      </c>
      <c r="T846" t="s">
        <v>314</v>
      </c>
      <c r="U846">
        <v>2.1370275815687954E-3</v>
      </c>
      <c r="V846" t="s">
        <v>159</v>
      </c>
    </row>
    <row r="847" spans="9:22" x14ac:dyDescent="0.45">
      <c r="I847" t="s">
        <v>176</v>
      </c>
      <c r="J847" t="s">
        <v>315</v>
      </c>
      <c r="K847">
        <v>9.1409217578846902E-2</v>
      </c>
      <c r="L847" t="s">
        <v>159</v>
      </c>
      <c r="N847" t="s">
        <v>219</v>
      </c>
      <c r="O847" t="s">
        <v>315</v>
      </c>
      <c r="P847">
        <v>2.9518510585098051E-2</v>
      </c>
      <c r="Q847" t="s">
        <v>159</v>
      </c>
      <c r="S847" t="s">
        <v>261</v>
      </c>
      <c r="T847" t="s">
        <v>315</v>
      </c>
      <c r="U847">
        <v>2.0223787230382591E-2</v>
      </c>
      <c r="V847" t="s">
        <v>159</v>
      </c>
    </row>
    <row r="848" spans="9:22" x14ac:dyDescent="0.45">
      <c r="I848" t="s">
        <v>176</v>
      </c>
      <c r="J848" t="s">
        <v>316</v>
      </c>
      <c r="K848">
        <v>8.850430735696033E-3</v>
      </c>
      <c r="L848" t="s">
        <v>159</v>
      </c>
      <c r="N848" t="s">
        <v>219</v>
      </c>
      <c r="O848" t="s">
        <v>316</v>
      </c>
      <c r="P848">
        <v>5.924568692675998E-3</v>
      </c>
      <c r="Q848" t="s">
        <v>159</v>
      </c>
      <c r="S848" t="s">
        <v>261</v>
      </c>
      <c r="T848" t="s">
        <v>316</v>
      </c>
      <c r="U848">
        <v>2.6177289156101621E-3</v>
      </c>
      <c r="V848" t="s">
        <v>159</v>
      </c>
    </row>
    <row r="849" spans="9:22" x14ac:dyDescent="0.45">
      <c r="I849" t="s">
        <v>176</v>
      </c>
      <c r="J849" t="s">
        <v>317</v>
      </c>
      <c r="K849">
        <v>7.0246810163009186E-3</v>
      </c>
      <c r="L849" t="s">
        <v>159</v>
      </c>
      <c r="N849" t="s">
        <v>219</v>
      </c>
      <c r="O849" t="s">
        <v>317</v>
      </c>
      <c r="P849">
        <v>5.2941661260739823E-3</v>
      </c>
      <c r="Q849" t="s">
        <v>159</v>
      </c>
      <c r="S849" t="s">
        <v>261</v>
      </c>
      <c r="T849" t="s">
        <v>317</v>
      </c>
      <c r="U849">
        <v>2.76903047674391E-3</v>
      </c>
      <c r="V849" t="s">
        <v>159</v>
      </c>
    </row>
    <row r="850" spans="9:22" x14ac:dyDescent="0.45">
      <c r="I850" t="s">
        <v>176</v>
      </c>
      <c r="J850" t="s">
        <v>318</v>
      </c>
      <c r="K850">
        <v>4.1454760719046692E-3</v>
      </c>
      <c r="L850" t="s">
        <v>159</v>
      </c>
      <c r="N850" t="s">
        <v>219</v>
      </c>
      <c r="O850" t="s">
        <v>318</v>
      </c>
      <c r="P850">
        <v>1.6212189142113458E-2</v>
      </c>
      <c r="Q850" t="s">
        <v>159</v>
      </c>
      <c r="S850" t="s">
        <v>261</v>
      </c>
      <c r="T850" t="s">
        <v>318</v>
      </c>
      <c r="U850">
        <v>1.3448593950202731E-2</v>
      </c>
      <c r="V850" t="s">
        <v>159</v>
      </c>
    </row>
    <row r="851" spans="9:22" x14ac:dyDescent="0.45">
      <c r="I851" t="s">
        <v>177</v>
      </c>
      <c r="J851" t="s">
        <v>158</v>
      </c>
      <c r="K851">
        <v>8.8361490054528445E-3</v>
      </c>
      <c r="L851" t="s">
        <v>159</v>
      </c>
      <c r="N851" t="s">
        <v>220</v>
      </c>
      <c r="O851" t="s">
        <v>158</v>
      </c>
      <c r="P851">
        <v>0.10065905231090326</v>
      </c>
      <c r="Q851" t="s">
        <v>159</v>
      </c>
      <c r="S851" t="s">
        <v>262</v>
      </c>
      <c r="T851" t="s">
        <v>158</v>
      </c>
      <c r="U851">
        <v>0.12578009628135409</v>
      </c>
      <c r="V851" t="s">
        <v>159</v>
      </c>
    </row>
    <row r="852" spans="9:22" x14ac:dyDescent="0.45">
      <c r="I852" t="s">
        <v>177</v>
      </c>
      <c r="J852" t="s">
        <v>160</v>
      </c>
      <c r="K852">
        <v>2.6639582170277887E-2</v>
      </c>
      <c r="L852" t="s">
        <v>159</v>
      </c>
      <c r="N852" t="s">
        <v>220</v>
      </c>
      <c r="O852" t="s">
        <v>160</v>
      </c>
      <c r="P852">
        <v>1.382859916439887E-2</v>
      </c>
      <c r="Q852" t="s">
        <v>159</v>
      </c>
      <c r="S852" t="s">
        <v>262</v>
      </c>
      <c r="T852" t="s">
        <v>160</v>
      </c>
      <c r="U852">
        <v>1.7738962210179701E-2</v>
      </c>
      <c r="V852" t="s">
        <v>159</v>
      </c>
    </row>
    <row r="853" spans="9:22" x14ac:dyDescent="0.45">
      <c r="I853" t="s">
        <v>177</v>
      </c>
      <c r="J853" t="s">
        <v>161</v>
      </c>
      <c r="K853">
        <v>0.37554533548670488</v>
      </c>
      <c r="L853" t="s">
        <v>159</v>
      </c>
      <c r="N853" t="s">
        <v>220</v>
      </c>
      <c r="O853" t="s">
        <v>161</v>
      </c>
      <c r="P853">
        <v>0.11265877668503732</v>
      </c>
      <c r="Q853" t="s">
        <v>159</v>
      </c>
      <c r="S853" t="s">
        <v>262</v>
      </c>
      <c r="T853" t="s">
        <v>161</v>
      </c>
      <c r="U853">
        <v>0.16778768048226672</v>
      </c>
      <c r="V853" t="s">
        <v>159</v>
      </c>
    </row>
    <row r="854" spans="9:22" x14ac:dyDescent="0.45">
      <c r="I854" t="s">
        <v>177</v>
      </c>
      <c r="J854" t="s">
        <v>287</v>
      </c>
      <c r="K854">
        <v>3.4996452598374049E-2</v>
      </c>
      <c r="L854" t="s">
        <v>159</v>
      </c>
      <c r="N854" t="s">
        <v>220</v>
      </c>
      <c r="O854" t="s">
        <v>287</v>
      </c>
      <c r="P854">
        <v>1.8374326843646968E-2</v>
      </c>
      <c r="Q854" t="s">
        <v>159</v>
      </c>
      <c r="S854" t="s">
        <v>262</v>
      </c>
      <c r="T854" t="s">
        <v>287</v>
      </c>
      <c r="U854">
        <v>2.1127564416771286E-2</v>
      </c>
      <c r="V854" t="s">
        <v>159</v>
      </c>
    </row>
    <row r="855" spans="9:22" x14ac:dyDescent="0.45">
      <c r="I855" t="s">
        <v>177</v>
      </c>
      <c r="J855" t="s">
        <v>288</v>
      </c>
      <c r="K855">
        <v>1.9059672661555109E-2</v>
      </c>
      <c r="L855" t="s">
        <v>159</v>
      </c>
      <c r="N855" t="s">
        <v>220</v>
      </c>
      <c r="O855" t="s">
        <v>288</v>
      </c>
      <c r="P855">
        <v>2.1046864341194852E-2</v>
      </c>
      <c r="Q855" t="s">
        <v>159</v>
      </c>
      <c r="S855" t="s">
        <v>262</v>
      </c>
      <c r="T855" t="s">
        <v>288</v>
      </c>
      <c r="U855">
        <v>2.1319641756647557E-2</v>
      </c>
      <c r="V855" t="s">
        <v>159</v>
      </c>
    </row>
    <row r="856" spans="9:22" x14ac:dyDescent="0.45">
      <c r="I856" t="s">
        <v>177</v>
      </c>
      <c r="J856" t="s">
        <v>308</v>
      </c>
      <c r="K856">
        <v>6.5001562217875735E-3</v>
      </c>
      <c r="L856" t="s">
        <v>159</v>
      </c>
      <c r="N856" t="s">
        <v>220</v>
      </c>
      <c r="O856" t="s">
        <v>308</v>
      </c>
      <c r="P856">
        <v>9.2782412841846212E-2</v>
      </c>
      <c r="Q856" t="s">
        <v>159</v>
      </c>
      <c r="S856" t="s">
        <v>262</v>
      </c>
      <c r="T856" t="s">
        <v>308</v>
      </c>
      <c r="U856">
        <v>0.10165065065880304</v>
      </c>
      <c r="V856" t="s">
        <v>159</v>
      </c>
    </row>
    <row r="857" spans="9:22" x14ac:dyDescent="0.45">
      <c r="I857" t="s">
        <v>177</v>
      </c>
      <c r="J857" t="s">
        <v>162</v>
      </c>
      <c r="K857">
        <v>0</v>
      </c>
      <c r="L857" t="s">
        <v>159</v>
      </c>
      <c r="N857" t="s">
        <v>220</v>
      </c>
      <c r="O857" t="s">
        <v>162</v>
      </c>
      <c r="P857">
        <v>2.8997610948141149E-2</v>
      </c>
      <c r="Q857" t="s">
        <v>159</v>
      </c>
      <c r="S857" t="s">
        <v>262</v>
      </c>
      <c r="T857" t="s">
        <v>162</v>
      </c>
      <c r="U857">
        <v>1.8791391849278468E-2</v>
      </c>
      <c r="V857" t="s">
        <v>159</v>
      </c>
    </row>
    <row r="858" spans="9:22" x14ac:dyDescent="0.45">
      <c r="I858" t="s">
        <v>177</v>
      </c>
      <c r="J858" t="s">
        <v>163</v>
      </c>
      <c r="K858">
        <v>0</v>
      </c>
      <c r="L858" t="s">
        <v>159</v>
      </c>
      <c r="N858" t="s">
        <v>220</v>
      </c>
      <c r="O858" t="s">
        <v>163</v>
      </c>
      <c r="P858">
        <v>3.9007463331974428E-3</v>
      </c>
      <c r="Q858" t="s">
        <v>159</v>
      </c>
      <c r="S858" t="s">
        <v>262</v>
      </c>
      <c r="T858" t="s">
        <v>163</v>
      </c>
      <c r="U858">
        <v>2.6440479701654038E-3</v>
      </c>
      <c r="V858" t="s">
        <v>159</v>
      </c>
    </row>
    <row r="859" spans="9:22" x14ac:dyDescent="0.45">
      <c r="I859" t="s">
        <v>177</v>
      </c>
      <c r="J859" t="s">
        <v>164</v>
      </c>
      <c r="K859">
        <v>3.5157136067575201E-2</v>
      </c>
      <c r="L859" t="s">
        <v>159</v>
      </c>
      <c r="N859" t="s">
        <v>220</v>
      </c>
      <c r="O859" t="s">
        <v>164</v>
      </c>
      <c r="P859">
        <v>2.3805690842602579E-2</v>
      </c>
      <c r="Q859" t="s">
        <v>159</v>
      </c>
      <c r="S859" t="s">
        <v>262</v>
      </c>
      <c r="T859" t="s">
        <v>164</v>
      </c>
      <c r="U859">
        <v>2.4883292021222445E-2</v>
      </c>
      <c r="V859" t="s">
        <v>159</v>
      </c>
    </row>
    <row r="860" spans="9:22" x14ac:dyDescent="0.45">
      <c r="I860" t="s">
        <v>177</v>
      </c>
      <c r="J860" t="s">
        <v>289</v>
      </c>
      <c r="K860">
        <v>3.16395360608518E-3</v>
      </c>
      <c r="L860" t="s">
        <v>159</v>
      </c>
      <c r="N860" t="s">
        <v>220</v>
      </c>
      <c r="O860" t="s">
        <v>289</v>
      </c>
      <c r="P860">
        <v>2.9547077627288388E-3</v>
      </c>
      <c r="Q860" t="s">
        <v>159</v>
      </c>
      <c r="S860" t="s">
        <v>262</v>
      </c>
      <c r="T860" t="s">
        <v>289</v>
      </c>
      <c r="U860">
        <v>3.059544993995579E-3</v>
      </c>
      <c r="V860" t="s">
        <v>159</v>
      </c>
    </row>
    <row r="861" spans="9:22" x14ac:dyDescent="0.45">
      <c r="I861" t="s">
        <v>177</v>
      </c>
      <c r="J861" t="s">
        <v>290</v>
      </c>
      <c r="K861">
        <v>0</v>
      </c>
      <c r="L861" t="s">
        <v>159</v>
      </c>
      <c r="N861" t="s">
        <v>220</v>
      </c>
      <c r="O861" t="s">
        <v>290</v>
      </c>
      <c r="P861">
        <v>3.6673144466063449E-3</v>
      </c>
      <c r="Q861" t="s">
        <v>159</v>
      </c>
      <c r="S861" t="s">
        <v>262</v>
      </c>
      <c r="T861" t="s">
        <v>290</v>
      </c>
      <c r="U861">
        <v>3.1318100319306691E-3</v>
      </c>
      <c r="V861" t="s">
        <v>159</v>
      </c>
    </row>
    <row r="862" spans="9:22" x14ac:dyDescent="0.45">
      <c r="I862" t="s">
        <v>177</v>
      </c>
      <c r="J862" t="s">
        <v>309</v>
      </c>
      <c r="K862">
        <v>0</v>
      </c>
      <c r="L862" t="s">
        <v>159</v>
      </c>
      <c r="N862" t="s">
        <v>220</v>
      </c>
      <c r="O862" t="s">
        <v>309</v>
      </c>
      <c r="P862">
        <v>1.7289966782299281E-2</v>
      </c>
      <c r="Q862" t="s">
        <v>159</v>
      </c>
      <c r="S862" t="s">
        <v>262</v>
      </c>
      <c r="T862" t="s">
        <v>309</v>
      </c>
      <c r="U862">
        <v>1.5394211433328418E-2</v>
      </c>
      <c r="V862" t="s">
        <v>159</v>
      </c>
    </row>
    <row r="863" spans="9:22" x14ac:dyDescent="0.45">
      <c r="I863" t="s">
        <v>177</v>
      </c>
      <c r="J863" t="s">
        <v>346</v>
      </c>
      <c r="K863">
        <v>0</v>
      </c>
      <c r="L863" t="s">
        <v>159</v>
      </c>
      <c r="N863" t="s">
        <v>220</v>
      </c>
      <c r="O863" t="s">
        <v>346</v>
      </c>
      <c r="P863">
        <v>6.9577770560933222E-6</v>
      </c>
      <c r="Q863" t="s">
        <v>159</v>
      </c>
      <c r="S863" t="s">
        <v>262</v>
      </c>
      <c r="T863" t="s">
        <v>346</v>
      </c>
      <c r="U863">
        <v>1.142639332482268E-4</v>
      </c>
      <c r="V863" t="s">
        <v>159</v>
      </c>
    </row>
    <row r="864" spans="9:22" x14ac:dyDescent="0.45">
      <c r="I864" t="s">
        <v>177</v>
      </c>
      <c r="J864" t="s">
        <v>347</v>
      </c>
      <c r="K864">
        <v>0</v>
      </c>
      <c r="L864" t="s">
        <v>159</v>
      </c>
      <c r="N864" t="s">
        <v>220</v>
      </c>
      <c r="O864" t="s">
        <v>347</v>
      </c>
      <c r="P864">
        <v>5.4019774990484189E-6</v>
      </c>
      <c r="Q864" t="s">
        <v>159</v>
      </c>
      <c r="S864" t="s">
        <v>262</v>
      </c>
      <c r="T864" t="s">
        <v>347</v>
      </c>
      <c r="U864">
        <v>9.8781966380310859E-5</v>
      </c>
      <c r="V864" t="s">
        <v>159</v>
      </c>
    </row>
    <row r="865" spans="9:22" x14ac:dyDescent="0.45">
      <c r="I865" t="s">
        <v>177</v>
      </c>
      <c r="J865" t="s">
        <v>348</v>
      </c>
      <c r="K865">
        <v>0</v>
      </c>
      <c r="L865" t="s">
        <v>159</v>
      </c>
      <c r="N865" t="s">
        <v>220</v>
      </c>
      <c r="O865" t="s">
        <v>348</v>
      </c>
      <c r="P865">
        <v>4.2392114427317981E-6</v>
      </c>
      <c r="Q865" t="s">
        <v>159</v>
      </c>
      <c r="S865" t="s">
        <v>262</v>
      </c>
      <c r="T865" t="s">
        <v>348</v>
      </c>
      <c r="U865">
        <v>8.0977534194674614E-5</v>
      </c>
      <c r="V865" t="s">
        <v>159</v>
      </c>
    </row>
    <row r="866" spans="9:22" x14ac:dyDescent="0.45">
      <c r="I866" t="s">
        <v>177</v>
      </c>
      <c r="J866" t="s">
        <v>349</v>
      </c>
      <c r="K866">
        <v>0</v>
      </c>
      <c r="L866" t="s">
        <v>159</v>
      </c>
      <c r="N866" t="s">
        <v>220</v>
      </c>
      <c r="O866" t="s">
        <v>349</v>
      </c>
      <c r="P866">
        <v>3.3809914352130392E-6</v>
      </c>
      <c r="Q866" t="s">
        <v>159</v>
      </c>
      <c r="S866" t="s">
        <v>262</v>
      </c>
      <c r="T866" t="s">
        <v>349</v>
      </c>
      <c r="U866">
        <v>6.1350518761420214E-5</v>
      </c>
      <c r="V866" t="s">
        <v>159</v>
      </c>
    </row>
    <row r="867" spans="9:22" x14ac:dyDescent="0.45">
      <c r="I867" t="s">
        <v>177</v>
      </c>
      <c r="J867" t="s">
        <v>350</v>
      </c>
      <c r="K867">
        <v>0</v>
      </c>
      <c r="L867" t="s">
        <v>159</v>
      </c>
      <c r="N867" t="s">
        <v>220</v>
      </c>
      <c r="O867" t="s">
        <v>350</v>
      </c>
      <c r="P867">
        <v>3.5793910736514908E-6</v>
      </c>
      <c r="Q867" t="s">
        <v>159</v>
      </c>
      <c r="S867" t="s">
        <v>262</v>
      </c>
      <c r="T867" t="s">
        <v>350</v>
      </c>
      <c r="U867">
        <v>4.7834256326156762E-5</v>
      </c>
      <c r="V867" t="s">
        <v>159</v>
      </c>
    </row>
    <row r="868" spans="9:22" x14ac:dyDescent="0.45">
      <c r="I868" t="s">
        <v>177</v>
      </c>
      <c r="J868" t="s">
        <v>351</v>
      </c>
      <c r="K868">
        <v>0</v>
      </c>
      <c r="L868" t="s">
        <v>159</v>
      </c>
      <c r="N868" t="s">
        <v>220</v>
      </c>
      <c r="O868" t="s">
        <v>351</v>
      </c>
      <c r="P868">
        <v>4.6348979110572129E-6</v>
      </c>
      <c r="Q868" t="s">
        <v>159</v>
      </c>
      <c r="S868" t="s">
        <v>262</v>
      </c>
      <c r="T868" t="s">
        <v>351</v>
      </c>
      <c r="U868">
        <v>4.1004807367005922E-5</v>
      </c>
      <c r="V868" t="s">
        <v>159</v>
      </c>
    </row>
    <row r="869" spans="9:22" x14ac:dyDescent="0.45">
      <c r="I869" t="s">
        <v>177</v>
      </c>
      <c r="J869" t="s">
        <v>352</v>
      </c>
      <c r="K869">
        <v>0</v>
      </c>
      <c r="L869" t="s">
        <v>159</v>
      </c>
      <c r="N869" t="s">
        <v>220</v>
      </c>
      <c r="O869" t="s">
        <v>352</v>
      </c>
      <c r="P869">
        <v>5.306439363382013E-6</v>
      </c>
      <c r="Q869" t="s">
        <v>159</v>
      </c>
      <c r="S869" t="s">
        <v>262</v>
      </c>
      <c r="T869" t="s">
        <v>352</v>
      </c>
      <c r="U869">
        <v>4.0014053135694914E-5</v>
      </c>
      <c r="V869" t="s">
        <v>159</v>
      </c>
    </row>
    <row r="870" spans="9:22" x14ac:dyDescent="0.45">
      <c r="I870" t="s">
        <v>177</v>
      </c>
      <c r="J870" t="s">
        <v>353</v>
      </c>
      <c r="K870">
        <v>0</v>
      </c>
      <c r="L870" t="s">
        <v>159</v>
      </c>
      <c r="N870" t="s">
        <v>220</v>
      </c>
      <c r="O870" t="s">
        <v>353</v>
      </c>
      <c r="P870">
        <v>6.8163045877094215E-6</v>
      </c>
      <c r="Q870" t="s">
        <v>159</v>
      </c>
      <c r="S870" t="s">
        <v>262</v>
      </c>
      <c r="T870" t="s">
        <v>353</v>
      </c>
      <c r="U870">
        <v>4.3787300187670036E-5</v>
      </c>
      <c r="V870" t="s">
        <v>159</v>
      </c>
    </row>
    <row r="871" spans="9:22" x14ac:dyDescent="0.45">
      <c r="I871" t="s">
        <v>177</v>
      </c>
      <c r="J871" t="s">
        <v>354</v>
      </c>
      <c r="K871">
        <v>1.4687082504617009E-4</v>
      </c>
      <c r="L871" t="s">
        <v>159</v>
      </c>
      <c r="N871" t="s">
        <v>220</v>
      </c>
      <c r="O871" t="s">
        <v>354</v>
      </c>
      <c r="P871">
        <v>5.7120387822564561E-6</v>
      </c>
      <c r="Q871" t="s">
        <v>159</v>
      </c>
      <c r="S871" t="s">
        <v>262</v>
      </c>
      <c r="T871" t="s">
        <v>354</v>
      </c>
      <c r="U871">
        <v>4.7605578868480157E-5</v>
      </c>
      <c r="V871" t="s">
        <v>159</v>
      </c>
    </row>
    <row r="872" spans="9:22" x14ac:dyDescent="0.45">
      <c r="I872" t="s">
        <v>177</v>
      </c>
      <c r="J872" t="s">
        <v>355</v>
      </c>
      <c r="K872">
        <v>1.6532723205834376E-4</v>
      </c>
      <c r="L872" t="s">
        <v>159</v>
      </c>
      <c r="N872" t="s">
        <v>220</v>
      </c>
      <c r="O872" t="s">
        <v>355</v>
      </c>
      <c r="P872">
        <v>6.9070610748952007E-7</v>
      </c>
      <c r="Q872" t="s">
        <v>159</v>
      </c>
      <c r="S872" t="s">
        <v>262</v>
      </c>
      <c r="T872" t="s">
        <v>355</v>
      </c>
      <c r="U872">
        <v>5.2782387842316819E-5</v>
      </c>
      <c r="V872" t="s">
        <v>159</v>
      </c>
    </row>
    <row r="873" spans="9:22" x14ac:dyDescent="0.45">
      <c r="I873" t="s">
        <v>177</v>
      </c>
      <c r="J873" t="s">
        <v>356</v>
      </c>
      <c r="K873">
        <v>1.5139234379178075E-4</v>
      </c>
      <c r="L873" t="s">
        <v>159</v>
      </c>
      <c r="N873" t="s">
        <v>220</v>
      </c>
      <c r="O873" t="s">
        <v>356</v>
      </c>
      <c r="P873">
        <v>1.598343718813847E-8</v>
      </c>
      <c r="Q873" t="s">
        <v>159</v>
      </c>
      <c r="S873" t="s">
        <v>262</v>
      </c>
      <c r="T873" t="s">
        <v>356</v>
      </c>
      <c r="U873">
        <v>6.0768946053739822E-5</v>
      </c>
      <c r="V873" t="s">
        <v>159</v>
      </c>
    </row>
    <row r="874" spans="9:22" x14ac:dyDescent="0.45">
      <c r="I874" t="s">
        <v>177</v>
      </c>
      <c r="J874" t="s">
        <v>357</v>
      </c>
      <c r="K874">
        <v>1.5845223036462246E-4</v>
      </c>
      <c r="L874" t="s">
        <v>159</v>
      </c>
      <c r="N874" t="s">
        <v>220</v>
      </c>
      <c r="O874" t="s">
        <v>357</v>
      </c>
      <c r="P874">
        <v>5.4280622484620312E-8</v>
      </c>
      <c r="Q874" t="s">
        <v>159</v>
      </c>
      <c r="S874" t="s">
        <v>262</v>
      </c>
      <c r="T874" t="s">
        <v>357</v>
      </c>
      <c r="U874">
        <v>6.6950529319742945E-5</v>
      </c>
      <c r="V874" t="s">
        <v>159</v>
      </c>
    </row>
    <row r="875" spans="9:22" x14ac:dyDescent="0.45">
      <c r="I875" t="s">
        <v>177</v>
      </c>
      <c r="J875" t="s">
        <v>358</v>
      </c>
      <c r="K875">
        <v>2.023926388290048E-4</v>
      </c>
      <c r="L875" t="s">
        <v>159</v>
      </c>
      <c r="N875" t="s">
        <v>220</v>
      </c>
      <c r="O875" t="s">
        <v>358</v>
      </c>
      <c r="P875">
        <v>1.5135677335029573E-6</v>
      </c>
      <c r="Q875" t="s">
        <v>159</v>
      </c>
      <c r="S875" t="s">
        <v>262</v>
      </c>
      <c r="T875" t="s">
        <v>358</v>
      </c>
      <c r="U875">
        <v>6.7649008115673324E-5</v>
      </c>
      <c r="V875" t="s">
        <v>159</v>
      </c>
    </row>
    <row r="876" spans="9:22" x14ac:dyDescent="0.45">
      <c r="I876" t="s">
        <v>177</v>
      </c>
      <c r="J876" t="s">
        <v>359</v>
      </c>
      <c r="K876">
        <v>1.7132725014000109E-4</v>
      </c>
      <c r="L876" t="s">
        <v>159</v>
      </c>
      <c r="N876" t="s">
        <v>220</v>
      </c>
      <c r="O876" t="s">
        <v>359</v>
      </c>
      <c r="P876">
        <v>2.7921994001975519E-6</v>
      </c>
      <c r="Q876" t="s">
        <v>159</v>
      </c>
      <c r="S876" t="s">
        <v>262</v>
      </c>
      <c r="T876" t="s">
        <v>359</v>
      </c>
      <c r="U876">
        <v>7.2421162845545185E-5</v>
      </c>
      <c r="V876" t="s">
        <v>159</v>
      </c>
    </row>
    <row r="877" spans="9:22" x14ac:dyDescent="0.45">
      <c r="I877" t="s">
        <v>177</v>
      </c>
      <c r="J877" t="s">
        <v>360</v>
      </c>
      <c r="K877">
        <v>1.3827211057655642E-4</v>
      </c>
      <c r="L877" t="s">
        <v>159</v>
      </c>
      <c r="N877" t="s">
        <v>220</v>
      </c>
      <c r="O877" t="s">
        <v>360</v>
      </c>
      <c r="P877">
        <v>7.8594793034693883E-6</v>
      </c>
      <c r="Q877" t="s">
        <v>159</v>
      </c>
      <c r="S877" t="s">
        <v>262</v>
      </c>
      <c r="T877" t="s">
        <v>360</v>
      </c>
      <c r="U877">
        <v>7.774751440243715E-5</v>
      </c>
      <c r="V877" t="s">
        <v>159</v>
      </c>
    </row>
    <row r="878" spans="9:22" x14ac:dyDescent="0.45">
      <c r="I878" t="s">
        <v>177</v>
      </c>
      <c r="J878" t="s">
        <v>361</v>
      </c>
      <c r="K878">
        <v>1.1544000166476913E-4</v>
      </c>
      <c r="L878" t="s">
        <v>159</v>
      </c>
      <c r="N878" t="s">
        <v>220</v>
      </c>
      <c r="O878" t="s">
        <v>361</v>
      </c>
      <c r="P878">
        <v>1.4932126232299098E-5</v>
      </c>
      <c r="Q878" t="s">
        <v>159</v>
      </c>
      <c r="S878" t="s">
        <v>262</v>
      </c>
      <c r="T878" t="s">
        <v>361</v>
      </c>
      <c r="U878">
        <v>8.2930295351200915E-5</v>
      </c>
      <c r="V878" t="s">
        <v>159</v>
      </c>
    </row>
    <row r="879" spans="9:22" x14ac:dyDescent="0.45">
      <c r="I879" t="s">
        <v>177</v>
      </c>
      <c r="J879" t="s">
        <v>362</v>
      </c>
      <c r="K879">
        <v>8.9099660663041305E-5</v>
      </c>
      <c r="L879" t="s">
        <v>159</v>
      </c>
      <c r="N879" t="s">
        <v>220</v>
      </c>
      <c r="O879" t="s">
        <v>362</v>
      </c>
      <c r="P879">
        <v>2.9294491816094541E-5</v>
      </c>
      <c r="Q879" t="s">
        <v>159</v>
      </c>
      <c r="S879" t="s">
        <v>262</v>
      </c>
      <c r="T879" t="s">
        <v>362</v>
      </c>
      <c r="U879">
        <v>8.9104642519425054E-5</v>
      </c>
      <c r="V879" t="s">
        <v>159</v>
      </c>
    </row>
    <row r="880" spans="9:22" x14ac:dyDescent="0.45">
      <c r="I880" t="s">
        <v>177</v>
      </c>
      <c r="J880" t="s">
        <v>363</v>
      </c>
      <c r="K880">
        <v>4.3548030786312217E-5</v>
      </c>
      <c r="L880" t="s">
        <v>159</v>
      </c>
      <c r="N880" t="s">
        <v>220</v>
      </c>
      <c r="O880" t="s">
        <v>363</v>
      </c>
      <c r="P880">
        <v>8.128286940382458E-5</v>
      </c>
      <c r="Q880" t="s">
        <v>159</v>
      </c>
      <c r="S880" t="s">
        <v>262</v>
      </c>
      <c r="T880" t="s">
        <v>363</v>
      </c>
      <c r="U880">
        <v>9.7245215411260425E-5</v>
      </c>
      <c r="V880" t="s">
        <v>159</v>
      </c>
    </row>
    <row r="881" spans="9:22" x14ac:dyDescent="0.45">
      <c r="I881" t="s">
        <v>177</v>
      </c>
      <c r="J881" t="s">
        <v>364</v>
      </c>
      <c r="K881">
        <v>0</v>
      </c>
      <c r="L881" t="s">
        <v>159</v>
      </c>
      <c r="N881" t="s">
        <v>220</v>
      </c>
      <c r="O881" t="s">
        <v>364</v>
      </c>
      <c r="P881">
        <v>1.143026044697054E-4</v>
      </c>
      <c r="Q881" t="s">
        <v>159</v>
      </c>
      <c r="S881" t="s">
        <v>262</v>
      </c>
      <c r="T881" t="s">
        <v>364</v>
      </c>
      <c r="U881">
        <v>9.3346247527442781E-5</v>
      </c>
      <c r="V881" t="s">
        <v>159</v>
      </c>
    </row>
    <row r="882" spans="9:22" x14ac:dyDescent="0.45">
      <c r="I882" t="s">
        <v>177</v>
      </c>
      <c r="J882" t="s">
        <v>365</v>
      </c>
      <c r="K882">
        <v>0</v>
      </c>
      <c r="L882" t="s">
        <v>159</v>
      </c>
      <c r="N882" t="s">
        <v>220</v>
      </c>
      <c r="O882" t="s">
        <v>365</v>
      </c>
      <c r="P882">
        <v>9.3445126159747278E-5</v>
      </c>
      <c r="Q882" t="s">
        <v>159</v>
      </c>
      <c r="S882" t="s">
        <v>262</v>
      </c>
      <c r="T882" t="s">
        <v>365</v>
      </c>
      <c r="U882">
        <v>8.6109105358110567E-5</v>
      </c>
      <c r="V882" t="s">
        <v>159</v>
      </c>
    </row>
    <row r="883" spans="9:22" x14ac:dyDescent="0.45">
      <c r="I883" t="s">
        <v>177</v>
      </c>
      <c r="J883" t="s">
        <v>366</v>
      </c>
      <c r="K883">
        <v>0</v>
      </c>
      <c r="L883" t="s">
        <v>159</v>
      </c>
      <c r="N883" t="s">
        <v>220</v>
      </c>
      <c r="O883" t="s">
        <v>366</v>
      </c>
      <c r="P883">
        <v>5.0588667122483995E-5</v>
      </c>
      <c r="Q883" t="s">
        <v>159</v>
      </c>
      <c r="S883" t="s">
        <v>262</v>
      </c>
      <c r="T883" t="s">
        <v>366</v>
      </c>
      <c r="U883">
        <v>8.4684503071447148E-5</v>
      </c>
      <c r="V883" t="s">
        <v>159</v>
      </c>
    </row>
    <row r="884" spans="9:22" x14ac:dyDescent="0.45">
      <c r="I884" t="s">
        <v>177</v>
      </c>
      <c r="J884" t="s">
        <v>367</v>
      </c>
      <c r="K884">
        <v>0</v>
      </c>
      <c r="L884" t="s">
        <v>159</v>
      </c>
      <c r="N884" t="s">
        <v>220</v>
      </c>
      <c r="O884" t="s">
        <v>367</v>
      </c>
      <c r="P884">
        <v>2.3510954658327007E-5</v>
      </c>
      <c r="Q884" t="s">
        <v>159</v>
      </c>
      <c r="S884" t="s">
        <v>262</v>
      </c>
      <c r="T884" t="s">
        <v>367</v>
      </c>
      <c r="U884">
        <v>8.1646371818043921E-5</v>
      </c>
      <c r="V884" t="s">
        <v>159</v>
      </c>
    </row>
    <row r="885" spans="9:22" x14ac:dyDescent="0.45">
      <c r="I885" t="s">
        <v>177</v>
      </c>
      <c r="J885" t="s">
        <v>368</v>
      </c>
      <c r="K885">
        <v>0</v>
      </c>
      <c r="L885" t="s">
        <v>159</v>
      </c>
      <c r="N885" t="s">
        <v>220</v>
      </c>
      <c r="O885" t="s">
        <v>368</v>
      </c>
      <c r="P885">
        <v>1.410422660904145E-5</v>
      </c>
      <c r="Q885" t="s">
        <v>159</v>
      </c>
      <c r="S885" t="s">
        <v>262</v>
      </c>
      <c r="T885" t="s">
        <v>368</v>
      </c>
      <c r="U885">
        <v>7.588247803908327E-5</v>
      </c>
      <c r="V885" t="s">
        <v>159</v>
      </c>
    </row>
    <row r="886" spans="9:22" x14ac:dyDescent="0.45">
      <c r="I886" t="s">
        <v>177</v>
      </c>
      <c r="J886" t="s">
        <v>369</v>
      </c>
      <c r="K886">
        <v>0</v>
      </c>
      <c r="L886" t="s">
        <v>159</v>
      </c>
      <c r="N886" t="s">
        <v>220</v>
      </c>
      <c r="O886" t="s">
        <v>369</v>
      </c>
      <c r="P886">
        <v>8.5472326337455239E-6</v>
      </c>
      <c r="Q886" t="s">
        <v>159</v>
      </c>
      <c r="S886" t="s">
        <v>262</v>
      </c>
      <c r="T886" t="s">
        <v>369</v>
      </c>
      <c r="U886">
        <v>6.6583465745691521E-5</v>
      </c>
      <c r="V886" t="s">
        <v>159</v>
      </c>
    </row>
    <row r="887" spans="9:22" x14ac:dyDescent="0.45">
      <c r="I887" t="s">
        <v>177</v>
      </c>
      <c r="J887" t="s">
        <v>165</v>
      </c>
      <c r="K887">
        <v>0</v>
      </c>
      <c r="L887" t="s">
        <v>159</v>
      </c>
      <c r="N887" t="s">
        <v>220</v>
      </c>
      <c r="O887" t="s">
        <v>165</v>
      </c>
      <c r="P887">
        <v>4.6823684157806744E-2</v>
      </c>
      <c r="Q887" t="s">
        <v>159</v>
      </c>
      <c r="S887" t="s">
        <v>262</v>
      </c>
      <c r="T887" t="s">
        <v>165</v>
      </c>
      <c r="U887">
        <v>2.3039015656255941E-2</v>
      </c>
      <c r="V887" t="s">
        <v>159</v>
      </c>
    </row>
    <row r="888" spans="9:22" x14ac:dyDescent="0.45">
      <c r="I888" t="s">
        <v>177</v>
      </c>
      <c r="J888" t="s">
        <v>166</v>
      </c>
      <c r="K888">
        <v>7.482877803137479E-4</v>
      </c>
      <c r="L888" t="s">
        <v>159</v>
      </c>
      <c r="N888" t="s">
        <v>220</v>
      </c>
      <c r="O888" t="s">
        <v>166</v>
      </c>
      <c r="P888">
        <v>6.8508211536480509E-3</v>
      </c>
      <c r="Q888" t="s">
        <v>159</v>
      </c>
      <c r="S888" t="s">
        <v>262</v>
      </c>
      <c r="T888" t="s">
        <v>166</v>
      </c>
      <c r="U888">
        <v>3.3062632356805877E-3</v>
      </c>
      <c r="V888" t="s">
        <v>159</v>
      </c>
    </row>
    <row r="889" spans="9:22" x14ac:dyDescent="0.45">
      <c r="I889" t="s">
        <v>177</v>
      </c>
      <c r="J889" t="s">
        <v>167</v>
      </c>
      <c r="K889">
        <v>4.3916012825219883E-2</v>
      </c>
      <c r="L889" t="s">
        <v>159</v>
      </c>
      <c r="N889" t="s">
        <v>220</v>
      </c>
      <c r="O889" t="s">
        <v>167</v>
      </c>
      <c r="P889">
        <v>4.6275287848380732E-2</v>
      </c>
      <c r="Q889" t="s">
        <v>159</v>
      </c>
      <c r="S889" t="s">
        <v>262</v>
      </c>
      <c r="T889" t="s">
        <v>167</v>
      </c>
      <c r="U889">
        <v>3.209989927494105E-2</v>
      </c>
      <c r="V889" t="s">
        <v>159</v>
      </c>
    </row>
    <row r="890" spans="9:22" x14ac:dyDescent="0.45">
      <c r="I890" t="s">
        <v>177</v>
      </c>
      <c r="J890" t="s">
        <v>291</v>
      </c>
      <c r="K890">
        <v>3.7060758229997149E-3</v>
      </c>
      <c r="L890" t="s">
        <v>159</v>
      </c>
      <c r="N890" t="s">
        <v>220</v>
      </c>
      <c r="O890" t="s">
        <v>291</v>
      </c>
      <c r="P890">
        <v>4.2570545069533627E-3</v>
      </c>
      <c r="Q890" t="s">
        <v>159</v>
      </c>
      <c r="S890" t="s">
        <v>262</v>
      </c>
      <c r="T890" t="s">
        <v>291</v>
      </c>
      <c r="U890">
        <v>3.9573251471391666E-3</v>
      </c>
      <c r="V890" t="s">
        <v>159</v>
      </c>
    </row>
    <row r="891" spans="9:22" x14ac:dyDescent="0.45">
      <c r="I891" t="s">
        <v>177</v>
      </c>
      <c r="J891" t="s">
        <v>292</v>
      </c>
      <c r="K891">
        <v>0</v>
      </c>
      <c r="L891" t="s">
        <v>159</v>
      </c>
      <c r="N891" t="s">
        <v>220</v>
      </c>
      <c r="O891" t="s">
        <v>292</v>
      </c>
      <c r="P891">
        <v>5.0964951425829675E-3</v>
      </c>
      <c r="Q891" t="s">
        <v>159</v>
      </c>
      <c r="S891" t="s">
        <v>262</v>
      </c>
      <c r="T891" t="s">
        <v>292</v>
      </c>
      <c r="U891">
        <v>4.0605255297787119E-3</v>
      </c>
      <c r="V891" t="s">
        <v>159</v>
      </c>
    </row>
    <row r="892" spans="9:22" x14ac:dyDescent="0.45">
      <c r="I892" t="s">
        <v>177</v>
      </c>
      <c r="J892" t="s">
        <v>310</v>
      </c>
      <c r="K892">
        <v>0</v>
      </c>
      <c r="L892" t="s">
        <v>159</v>
      </c>
      <c r="N892" t="s">
        <v>220</v>
      </c>
      <c r="O892" t="s">
        <v>310</v>
      </c>
      <c r="P892">
        <v>2.9684090381489652E-2</v>
      </c>
      <c r="Q892" t="s">
        <v>159</v>
      </c>
      <c r="S892" t="s">
        <v>262</v>
      </c>
      <c r="T892" t="s">
        <v>310</v>
      </c>
      <c r="U892">
        <v>2.0101475632721164E-2</v>
      </c>
      <c r="V892" t="s">
        <v>159</v>
      </c>
    </row>
    <row r="893" spans="9:22" x14ac:dyDescent="0.45">
      <c r="I893" t="s">
        <v>177</v>
      </c>
      <c r="J893" t="s">
        <v>293</v>
      </c>
      <c r="K893">
        <v>0</v>
      </c>
      <c r="L893" t="s">
        <v>159</v>
      </c>
      <c r="N893" t="s">
        <v>220</v>
      </c>
      <c r="O893" t="s">
        <v>293</v>
      </c>
      <c r="P893">
        <v>8.3127394229469548E-3</v>
      </c>
      <c r="Q893" t="s">
        <v>159</v>
      </c>
      <c r="S893" t="s">
        <v>262</v>
      </c>
      <c r="T893" t="s">
        <v>293</v>
      </c>
      <c r="U893">
        <v>8.3711582571377868E-3</v>
      </c>
      <c r="V893" t="s">
        <v>159</v>
      </c>
    </row>
    <row r="894" spans="9:22" x14ac:dyDescent="0.45">
      <c r="I894" t="s">
        <v>177</v>
      </c>
      <c r="J894" t="s">
        <v>294</v>
      </c>
      <c r="K894">
        <v>9.1447861376072414E-4</v>
      </c>
      <c r="L894" t="s">
        <v>159</v>
      </c>
      <c r="N894" t="s">
        <v>220</v>
      </c>
      <c r="O894" t="s">
        <v>294</v>
      </c>
      <c r="P894">
        <v>1.0169222465505152E-3</v>
      </c>
      <c r="Q894" t="s">
        <v>159</v>
      </c>
      <c r="S894" t="s">
        <v>262</v>
      </c>
      <c r="T894" t="s">
        <v>294</v>
      </c>
      <c r="U894">
        <v>1.2730049782991204E-3</v>
      </c>
      <c r="V894" t="s">
        <v>159</v>
      </c>
    </row>
    <row r="895" spans="9:22" x14ac:dyDescent="0.45">
      <c r="I895" t="s">
        <v>177</v>
      </c>
      <c r="J895" t="s">
        <v>295</v>
      </c>
      <c r="K895">
        <v>1.3148300805567354E-2</v>
      </c>
      <c r="L895" t="s">
        <v>159</v>
      </c>
      <c r="N895" t="s">
        <v>220</v>
      </c>
      <c r="O895" t="s">
        <v>295</v>
      </c>
      <c r="P895">
        <v>5.6753703891200399E-3</v>
      </c>
      <c r="Q895" t="s">
        <v>159</v>
      </c>
      <c r="S895" t="s">
        <v>262</v>
      </c>
      <c r="T895" t="s">
        <v>295</v>
      </c>
      <c r="U895">
        <v>1.0805754649536415E-2</v>
      </c>
      <c r="V895" t="s">
        <v>159</v>
      </c>
    </row>
    <row r="896" spans="9:22" x14ac:dyDescent="0.45">
      <c r="I896" t="s">
        <v>177</v>
      </c>
      <c r="J896" t="s">
        <v>296</v>
      </c>
      <c r="K896">
        <v>1.0949886928264992E-3</v>
      </c>
      <c r="L896" t="s">
        <v>159</v>
      </c>
      <c r="N896" t="s">
        <v>220</v>
      </c>
      <c r="O896" t="s">
        <v>296</v>
      </c>
      <c r="P896">
        <v>8.2489396362188394E-4</v>
      </c>
      <c r="Q896" t="s">
        <v>159</v>
      </c>
      <c r="S896" t="s">
        <v>262</v>
      </c>
      <c r="T896" t="s">
        <v>296</v>
      </c>
      <c r="U896">
        <v>1.1920537828476083E-3</v>
      </c>
      <c r="V896" t="s">
        <v>159</v>
      </c>
    </row>
    <row r="897" spans="9:22" x14ac:dyDescent="0.45">
      <c r="I897" t="s">
        <v>177</v>
      </c>
      <c r="J897" t="s">
        <v>297</v>
      </c>
      <c r="K897">
        <v>0</v>
      </c>
      <c r="L897" t="s">
        <v>159</v>
      </c>
      <c r="N897" t="s">
        <v>220</v>
      </c>
      <c r="O897" t="s">
        <v>297</v>
      </c>
      <c r="P897">
        <v>1.1327614401676575E-3</v>
      </c>
      <c r="Q897" t="s">
        <v>159</v>
      </c>
      <c r="S897" t="s">
        <v>262</v>
      </c>
      <c r="T897" t="s">
        <v>297</v>
      </c>
      <c r="U897">
        <v>1.1834596607567475E-3</v>
      </c>
      <c r="V897" t="s">
        <v>159</v>
      </c>
    </row>
    <row r="898" spans="9:22" x14ac:dyDescent="0.45">
      <c r="I898" t="s">
        <v>177</v>
      </c>
      <c r="J898" t="s">
        <v>311</v>
      </c>
      <c r="K898">
        <v>0</v>
      </c>
      <c r="L898" t="s">
        <v>159</v>
      </c>
      <c r="N898" t="s">
        <v>220</v>
      </c>
      <c r="O898" t="s">
        <v>311</v>
      </c>
      <c r="P898">
        <v>5.719767761682041E-3</v>
      </c>
      <c r="Q898" t="s">
        <v>159</v>
      </c>
      <c r="S898" t="s">
        <v>262</v>
      </c>
      <c r="T898" t="s">
        <v>311</v>
      </c>
      <c r="U898">
        <v>5.4141845061659883E-3</v>
      </c>
      <c r="V898" t="s">
        <v>159</v>
      </c>
    </row>
    <row r="899" spans="9:22" x14ac:dyDescent="0.45">
      <c r="I899" t="s">
        <v>177</v>
      </c>
      <c r="J899" t="s">
        <v>298</v>
      </c>
      <c r="K899">
        <v>1.0909131145786018E-2</v>
      </c>
      <c r="L899" t="s">
        <v>159</v>
      </c>
      <c r="N899" t="s">
        <v>220</v>
      </c>
      <c r="O899" t="s">
        <v>298</v>
      </c>
      <c r="P899">
        <v>8.3654185032441611E-2</v>
      </c>
      <c r="Q899" t="s">
        <v>159</v>
      </c>
      <c r="S899" t="s">
        <v>262</v>
      </c>
      <c r="T899" t="s">
        <v>298</v>
      </c>
      <c r="U899">
        <v>8.3527189672183158E-2</v>
      </c>
      <c r="V899" t="s">
        <v>159</v>
      </c>
    </row>
    <row r="900" spans="9:22" x14ac:dyDescent="0.45">
      <c r="I900" t="s">
        <v>177</v>
      </c>
      <c r="J900" t="s">
        <v>299</v>
      </c>
      <c r="K900">
        <v>2.004113156356755E-2</v>
      </c>
      <c r="L900" t="s">
        <v>159</v>
      </c>
      <c r="N900" t="s">
        <v>220</v>
      </c>
      <c r="O900" t="s">
        <v>299</v>
      </c>
      <c r="P900">
        <v>1.0764958326929266E-2</v>
      </c>
      <c r="Q900" t="s">
        <v>159</v>
      </c>
      <c r="S900" t="s">
        <v>262</v>
      </c>
      <c r="T900" t="s">
        <v>299</v>
      </c>
      <c r="U900">
        <v>1.1373233134338908E-2</v>
      </c>
      <c r="V900" t="s">
        <v>159</v>
      </c>
    </row>
    <row r="901" spans="9:22" x14ac:dyDescent="0.45">
      <c r="I901" t="s">
        <v>177</v>
      </c>
      <c r="J901" t="s">
        <v>300</v>
      </c>
      <c r="K901">
        <v>0.23918365510740222</v>
      </c>
      <c r="L901" t="s">
        <v>159</v>
      </c>
      <c r="N901" t="s">
        <v>220</v>
      </c>
      <c r="O901" t="s">
        <v>300</v>
      </c>
      <c r="P901">
        <v>0.12515460761228681</v>
      </c>
      <c r="Q901" t="s">
        <v>159</v>
      </c>
      <c r="S901" t="s">
        <v>262</v>
      </c>
      <c r="T901" t="s">
        <v>300</v>
      </c>
      <c r="U901">
        <v>0.10750789579129387</v>
      </c>
      <c r="V901" t="s">
        <v>159</v>
      </c>
    </row>
    <row r="902" spans="9:22" x14ac:dyDescent="0.45">
      <c r="I902" t="s">
        <v>177</v>
      </c>
      <c r="J902" t="s">
        <v>301</v>
      </c>
      <c r="K902">
        <v>2.0721089605147455E-2</v>
      </c>
      <c r="L902" t="s">
        <v>159</v>
      </c>
      <c r="N902" t="s">
        <v>220</v>
      </c>
      <c r="O902" t="s">
        <v>301</v>
      </c>
      <c r="P902">
        <v>1.9206359694620142E-2</v>
      </c>
      <c r="Q902" t="s">
        <v>159</v>
      </c>
      <c r="S902" t="s">
        <v>262</v>
      </c>
      <c r="T902" t="s">
        <v>301</v>
      </c>
      <c r="U902">
        <v>1.3466597793390982E-2</v>
      </c>
      <c r="V902" t="s">
        <v>159</v>
      </c>
    </row>
    <row r="903" spans="9:22" x14ac:dyDescent="0.45">
      <c r="I903" t="s">
        <v>177</v>
      </c>
      <c r="J903" t="s">
        <v>302</v>
      </c>
      <c r="K903">
        <v>1.1716664838053278E-2</v>
      </c>
      <c r="L903" t="s">
        <v>159</v>
      </c>
      <c r="N903" t="s">
        <v>220</v>
      </c>
      <c r="O903" t="s">
        <v>302</v>
      </c>
      <c r="P903">
        <v>2.1564164389206886E-2</v>
      </c>
      <c r="Q903" t="s">
        <v>159</v>
      </c>
      <c r="S903" t="s">
        <v>262</v>
      </c>
      <c r="T903" t="s">
        <v>302</v>
      </c>
      <c r="U903">
        <v>1.3710003130205144E-2</v>
      </c>
      <c r="V903" t="s">
        <v>159</v>
      </c>
    </row>
    <row r="904" spans="9:22" x14ac:dyDescent="0.45">
      <c r="I904" t="s">
        <v>177</v>
      </c>
      <c r="J904" t="s">
        <v>312</v>
      </c>
      <c r="K904">
        <v>3.7389830284446059E-6</v>
      </c>
      <c r="L904" t="s">
        <v>159</v>
      </c>
      <c r="N904" t="s">
        <v>220</v>
      </c>
      <c r="O904" t="s">
        <v>312</v>
      </c>
      <c r="P904">
        <v>8.4716072365395259E-2</v>
      </c>
      <c r="Q904" t="s">
        <v>159</v>
      </c>
      <c r="S904" t="s">
        <v>262</v>
      </c>
      <c r="T904" t="s">
        <v>312</v>
      </c>
      <c r="U904">
        <v>6.6805342870813203E-2</v>
      </c>
      <c r="V904" t="s">
        <v>159</v>
      </c>
    </row>
    <row r="905" spans="9:22" x14ac:dyDescent="0.45">
      <c r="I905" t="s">
        <v>177</v>
      </c>
      <c r="J905" t="s">
        <v>397</v>
      </c>
      <c r="K905">
        <v>0</v>
      </c>
      <c r="L905" t="s">
        <v>159</v>
      </c>
      <c r="N905" t="s">
        <v>220</v>
      </c>
      <c r="O905" t="s">
        <v>397</v>
      </c>
      <c r="P905">
        <v>5.8978298672621137E-5</v>
      </c>
      <c r="Q905" t="s">
        <v>159</v>
      </c>
      <c r="S905" t="s">
        <v>262</v>
      </c>
      <c r="T905" t="s">
        <v>397</v>
      </c>
      <c r="U905">
        <v>7.4822351913459077E-5</v>
      </c>
      <c r="V905" t="s">
        <v>159</v>
      </c>
    </row>
    <row r="906" spans="9:22" x14ac:dyDescent="0.45">
      <c r="I906" t="s">
        <v>177</v>
      </c>
      <c r="J906" t="s">
        <v>398</v>
      </c>
      <c r="K906">
        <v>0</v>
      </c>
      <c r="L906" t="s">
        <v>159</v>
      </c>
      <c r="N906" t="s">
        <v>220</v>
      </c>
      <c r="O906" t="s">
        <v>398</v>
      </c>
      <c r="P906">
        <v>6.8615248359096506E-5</v>
      </c>
      <c r="Q906" t="s">
        <v>159</v>
      </c>
      <c r="S906" t="s">
        <v>262</v>
      </c>
      <c r="T906" t="s">
        <v>398</v>
      </c>
      <c r="U906">
        <v>5.7139694762142358E-5</v>
      </c>
      <c r="V906" t="s">
        <v>159</v>
      </c>
    </row>
    <row r="907" spans="9:22" x14ac:dyDescent="0.45">
      <c r="I907" t="s">
        <v>177</v>
      </c>
      <c r="J907" t="s">
        <v>399</v>
      </c>
      <c r="K907">
        <v>0</v>
      </c>
      <c r="L907" t="s">
        <v>159</v>
      </c>
      <c r="N907" t="s">
        <v>220</v>
      </c>
      <c r="O907" t="s">
        <v>399</v>
      </c>
      <c r="P907">
        <v>8.6928967232156434E-5</v>
      </c>
      <c r="Q907" t="s">
        <v>159</v>
      </c>
      <c r="S907" t="s">
        <v>262</v>
      </c>
      <c r="T907" t="s">
        <v>399</v>
      </c>
      <c r="U907">
        <v>3.9034311051179299E-5</v>
      </c>
      <c r="V907" t="s">
        <v>159</v>
      </c>
    </row>
    <row r="908" spans="9:22" x14ac:dyDescent="0.45">
      <c r="I908" t="s">
        <v>177</v>
      </c>
      <c r="J908" t="s">
        <v>400</v>
      </c>
      <c r="K908">
        <v>0</v>
      </c>
      <c r="L908" t="s">
        <v>159</v>
      </c>
      <c r="N908" t="s">
        <v>220</v>
      </c>
      <c r="O908" t="s">
        <v>400</v>
      </c>
      <c r="P908">
        <v>9.7864566979337269E-5</v>
      </c>
      <c r="Q908" t="s">
        <v>159</v>
      </c>
      <c r="S908" t="s">
        <v>262</v>
      </c>
      <c r="T908" t="s">
        <v>400</v>
      </c>
      <c r="U908">
        <v>2.43634709181315E-5</v>
      </c>
      <c r="V908" t="s">
        <v>159</v>
      </c>
    </row>
    <row r="909" spans="9:22" x14ac:dyDescent="0.45">
      <c r="I909" t="s">
        <v>177</v>
      </c>
      <c r="J909" t="s">
        <v>401</v>
      </c>
      <c r="K909">
        <v>0</v>
      </c>
      <c r="L909" t="s">
        <v>159</v>
      </c>
      <c r="N909" t="s">
        <v>220</v>
      </c>
      <c r="O909" t="s">
        <v>401</v>
      </c>
      <c r="P909">
        <v>1.0727784062049396E-4</v>
      </c>
      <c r="Q909" t="s">
        <v>159</v>
      </c>
      <c r="S909" t="s">
        <v>262</v>
      </c>
      <c r="T909" t="s">
        <v>401</v>
      </c>
      <c r="U909">
        <v>1.3456641896949647E-5</v>
      </c>
      <c r="V909" t="s">
        <v>159</v>
      </c>
    </row>
    <row r="910" spans="9:22" x14ac:dyDescent="0.45">
      <c r="I910" t="s">
        <v>177</v>
      </c>
      <c r="J910" t="s">
        <v>402</v>
      </c>
      <c r="K910">
        <v>0</v>
      </c>
      <c r="L910" t="s">
        <v>159</v>
      </c>
      <c r="N910" t="s">
        <v>220</v>
      </c>
      <c r="O910" t="s">
        <v>402</v>
      </c>
      <c r="P910">
        <v>1.0922566698114429E-4</v>
      </c>
      <c r="Q910" t="s">
        <v>159</v>
      </c>
      <c r="S910" t="s">
        <v>262</v>
      </c>
      <c r="T910" t="s">
        <v>402</v>
      </c>
      <c r="U910">
        <v>9.5050200980704057E-6</v>
      </c>
      <c r="V910" t="s">
        <v>159</v>
      </c>
    </row>
    <row r="911" spans="9:22" x14ac:dyDescent="0.45">
      <c r="I911" t="s">
        <v>177</v>
      </c>
      <c r="J911" t="s">
        <v>403</v>
      </c>
      <c r="K911">
        <v>0</v>
      </c>
      <c r="L911" t="s">
        <v>159</v>
      </c>
      <c r="N911" t="s">
        <v>220</v>
      </c>
      <c r="O911" t="s">
        <v>403</v>
      </c>
      <c r="P911">
        <v>9.4366285968200696E-5</v>
      </c>
      <c r="Q911" t="s">
        <v>159</v>
      </c>
      <c r="S911" t="s">
        <v>262</v>
      </c>
      <c r="T911" t="s">
        <v>403</v>
      </c>
      <c r="U911">
        <v>7.2645314435652195E-6</v>
      </c>
      <c r="V911" t="s">
        <v>159</v>
      </c>
    </row>
    <row r="912" spans="9:22" x14ac:dyDescent="0.45">
      <c r="I912" t="s">
        <v>177</v>
      </c>
      <c r="J912" t="s">
        <v>404</v>
      </c>
      <c r="K912">
        <v>1.1015227139755102E-4</v>
      </c>
      <c r="L912" t="s">
        <v>159</v>
      </c>
      <c r="N912" t="s">
        <v>220</v>
      </c>
      <c r="O912" t="s">
        <v>404</v>
      </c>
      <c r="P912">
        <v>6.4675744703425567E-5</v>
      </c>
      <c r="Q912" t="s">
        <v>159</v>
      </c>
      <c r="S912" t="s">
        <v>262</v>
      </c>
      <c r="T912" t="s">
        <v>404</v>
      </c>
      <c r="U912">
        <v>6.8998548624636808E-6</v>
      </c>
      <c r="V912" t="s">
        <v>159</v>
      </c>
    </row>
    <row r="913" spans="9:22" x14ac:dyDescent="0.45">
      <c r="I913" t="s">
        <v>177</v>
      </c>
      <c r="J913" t="s">
        <v>405</v>
      </c>
      <c r="K913">
        <v>1.5775266667983719E-4</v>
      </c>
      <c r="L913" t="s">
        <v>159</v>
      </c>
      <c r="N913" t="s">
        <v>220</v>
      </c>
      <c r="O913" t="s">
        <v>405</v>
      </c>
      <c r="P913">
        <v>2.048903095688614E-5</v>
      </c>
      <c r="Q913" t="s">
        <v>159</v>
      </c>
      <c r="S913" t="s">
        <v>262</v>
      </c>
      <c r="T913" t="s">
        <v>405</v>
      </c>
      <c r="U913">
        <v>7.7185246389704114E-6</v>
      </c>
      <c r="V913" t="s">
        <v>159</v>
      </c>
    </row>
    <row r="914" spans="9:22" x14ac:dyDescent="0.45">
      <c r="I914" t="s">
        <v>177</v>
      </c>
      <c r="J914" t="s">
        <v>406</v>
      </c>
      <c r="K914">
        <v>2.0460994892207375E-4</v>
      </c>
      <c r="L914" t="s">
        <v>159</v>
      </c>
      <c r="N914" t="s">
        <v>220</v>
      </c>
      <c r="O914" t="s">
        <v>406</v>
      </c>
      <c r="P914">
        <v>8.7698516130131174E-6</v>
      </c>
      <c r="Q914" t="s">
        <v>159</v>
      </c>
      <c r="S914" t="s">
        <v>262</v>
      </c>
      <c r="T914" t="s">
        <v>406</v>
      </c>
      <c r="U914">
        <v>7.5852671047382961E-6</v>
      </c>
      <c r="V914" t="s">
        <v>159</v>
      </c>
    </row>
    <row r="915" spans="9:22" x14ac:dyDescent="0.45">
      <c r="I915" t="s">
        <v>177</v>
      </c>
      <c r="J915" t="s">
        <v>407</v>
      </c>
      <c r="K915">
        <v>2.4339460889050664E-4</v>
      </c>
      <c r="L915" t="s">
        <v>159</v>
      </c>
      <c r="N915" t="s">
        <v>220</v>
      </c>
      <c r="O915" t="s">
        <v>407</v>
      </c>
      <c r="P915">
        <v>1.169356273754913E-5</v>
      </c>
      <c r="Q915" t="s">
        <v>159</v>
      </c>
      <c r="S915" t="s">
        <v>262</v>
      </c>
      <c r="T915" t="s">
        <v>407</v>
      </c>
      <c r="U915">
        <v>6.6103083273090293E-6</v>
      </c>
      <c r="V915" t="s">
        <v>159</v>
      </c>
    </row>
    <row r="916" spans="9:22" x14ac:dyDescent="0.45">
      <c r="I916" t="s">
        <v>177</v>
      </c>
      <c r="J916" t="s">
        <v>408</v>
      </c>
      <c r="K916">
        <v>2.4731662420723958E-4</v>
      </c>
      <c r="L916" t="s">
        <v>159</v>
      </c>
      <c r="N916" t="s">
        <v>220</v>
      </c>
      <c r="O916" t="s">
        <v>408</v>
      </c>
      <c r="P916">
        <v>3.4076077871277769E-5</v>
      </c>
      <c r="Q916" t="s">
        <v>159</v>
      </c>
      <c r="S916" t="s">
        <v>262</v>
      </c>
      <c r="T916" t="s">
        <v>408</v>
      </c>
      <c r="U916">
        <v>5.9330713427884729E-6</v>
      </c>
      <c r="V916" t="s">
        <v>159</v>
      </c>
    </row>
    <row r="917" spans="9:22" x14ac:dyDescent="0.45">
      <c r="I917" t="s">
        <v>177</v>
      </c>
      <c r="J917" t="s">
        <v>409</v>
      </c>
      <c r="K917">
        <v>2.8504340628705382E-4</v>
      </c>
      <c r="L917" t="s">
        <v>159</v>
      </c>
      <c r="N917" t="s">
        <v>220</v>
      </c>
      <c r="O917" t="s">
        <v>409</v>
      </c>
      <c r="P917">
        <v>6.5026900593881707E-5</v>
      </c>
      <c r="Q917" t="s">
        <v>159</v>
      </c>
      <c r="S917" t="s">
        <v>262</v>
      </c>
      <c r="T917" t="s">
        <v>409</v>
      </c>
      <c r="U917">
        <v>6.658249936156297E-6</v>
      </c>
      <c r="V917" t="s">
        <v>159</v>
      </c>
    </row>
    <row r="918" spans="9:22" x14ac:dyDescent="0.45">
      <c r="I918" t="s">
        <v>177</v>
      </c>
      <c r="J918" t="s">
        <v>410</v>
      </c>
      <c r="K918">
        <v>2.7593889313436116E-4</v>
      </c>
      <c r="L918" t="s">
        <v>159</v>
      </c>
      <c r="N918" t="s">
        <v>220</v>
      </c>
      <c r="O918" t="s">
        <v>410</v>
      </c>
      <c r="P918">
        <v>8.8876267345854324E-5</v>
      </c>
      <c r="Q918" t="s">
        <v>159</v>
      </c>
      <c r="S918" t="s">
        <v>262</v>
      </c>
      <c r="T918" t="s">
        <v>410</v>
      </c>
      <c r="U918">
        <v>1.2598187710841927E-5</v>
      </c>
      <c r="V918" t="s">
        <v>159</v>
      </c>
    </row>
    <row r="919" spans="9:22" x14ac:dyDescent="0.45">
      <c r="I919" t="s">
        <v>177</v>
      </c>
      <c r="J919" t="s">
        <v>411</v>
      </c>
      <c r="K919">
        <v>2.5944356928224856E-4</v>
      </c>
      <c r="L919" t="s">
        <v>159</v>
      </c>
      <c r="N919" t="s">
        <v>220</v>
      </c>
      <c r="O919" t="s">
        <v>411</v>
      </c>
      <c r="P919">
        <v>1.0840601677703302E-4</v>
      </c>
      <c r="Q919" t="s">
        <v>159</v>
      </c>
      <c r="S919" t="s">
        <v>262</v>
      </c>
      <c r="T919" t="s">
        <v>411</v>
      </c>
      <c r="U919">
        <v>2.3750922966246211E-5</v>
      </c>
      <c r="V919" t="s">
        <v>159</v>
      </c>
    </row>
    <row r="920" spans="9:22" x14ac:dyDescent="0.45">
      <c r="I920" t="s">
        <v>177</v>
      </c>
      <c r="J920" t="s">
        <v>412</v>
      </c>
      <c r="K920">
        <v>2.4412595251279643E-4</v>
      </c>
      <c r="L920" t="s">
        <v>159</v>
      </c>
      <c r="N920" t="s">
        <v>220</v>
      </c>
      <c r="O920" t="s">
        <v>412</v>
      </c>
      <c r="P920">
        <v>1.2894553132053278E-4</v>
      </c>
      <c r="Q920" t="s">
        <v>159</v>
      </c>
      <c r="S920" t="s">
        <v>262</v>
      </c>
      <c r="T920" t="s">
        <v>412</v>
      </c>
      <c r="U920">
        <v>3.3529619498771933E-5</v>
      </c>
      <c r="V920" t="s">
        <v>159</v>
      </c>
    </row>
    <row r="921" spans="9:22" x14ac:dyDescent="0.45">
      <c r="I921" t="s">
        <v>177</v>
      </c>
      <c r="J921" t="s">
        <v>413</v>
      </c>
      <c r="K921">
        <v>2.5724722033963564E-4</v>
      </c>
      <c r="L921" t="s">
        <v>159</v>
      </c>
      <c r="N921" t="s">
        <v>220</v>
      </c>
      <c r="O921" t="s">
        <v>413</v>
      </c>
      <c r="P921">
        <v>1.6920106726655646E-4</v>
      </c>
      <c r="Q921" t="s">
        <v>159</v>
      </c>
      <c r="S921" t="s">
        <v>262</v>
      </c>
      <c r="T921" t="s">
        <v>413</v>
      </c>
      <c r="U921">
        <v>3.9757631178629388E-5</v>
      </c>
      <c r="V921" t="s">
        <v>159</v>
      </c>
    </row>
    <row r="922" spans="9:22" x14ac:dyDescent="0.45">
      <c r="I922" t="s">
        <v>177</v>
      </c>
      <c r="J922" t="s">
        <v>414</v>
      </c>
      <c r="K922">
        <v>2.1535145298541526E-4</v>
      </c>
      <c r="L922" t="s">
        <v>159</v>
      </c>
      <c r="N922" t="s">
        <v>220</v>
      </c>
      <c r="O922" t="s">
        <v>414</v>
      </c>
      <c r="P922">
        <v>1.6676091285358115E-4</v>
      </c>
      <c r="Q922" t="s">
        <v>159</v>
      </c>
      <c r="S922" t="s">
        <v>262</v>
      </c>
      <c r="T922" t="s">
        <v>414</v>
      </c>
      <c r="U922">
        <v>4.9710369486409442E-5</v>
      </c>
      <c r="V922" t="s">
        <v>159</v>
      </c>
    </row>
    <row r="923" spans="9:22" x14ac:dyDescent="0.45">
      <c r="I923" t="s">
        <v>177</v>
      </c>
      <c r="J923" t="s">
        <v>415</v>
      </c>
      <c r="K923">
        <v>0</v>
      </c>
      <c r="L923" t="s">
        <v>159</v>
      </c>
      <c r="N923" t="s">
        <v>220</v>
      </c>
      <c r="O923" t="s">
        <v>415</v>
      </c>
      <c r="P923">
        <v>1.7535639180350543E-4</v>
      </c>
      <c r="Q923" t="s">
        <v>159</v>
      </c>
      <c r="S923" t="s">
        <v>262</v>
      </c>
      <c r="T923" t="s">
        <v>415</v>
      </c>
      <c r="U923">
        <v>6.23366445185239E-5</v>
      </c>
      <c r="V923" t="s">
        <v>159</v>
      </c>
    </row>
    <row r="924" spans="9:22" x14ac:dyDescent="0.45">
      <c r="I924" t="s">
        <v>177</v>
      </c>
      <c r="J924" t="s">
        <v>416</v>
      </c>
      <c r="K924">
        <v>0</v>
      </c>
      <c r="L924" t="s">
        <v>159</v>
      </c>
      <c r="N924" t="s">
        <v>220</v>
      </c>
      <c r="O924" t="s">
        <v>416</v>
      </c>
      <c r="P924">
        <v>1.8975378551077876E-4</v>
      </c>
      <c r="Q924" t="s">
        <v>159</v>
      </c>
      <c r="S924" t="s">
        <v>262</v>
      </c>
      <c r="T924" t="s">
        <v>416</v>
      </c>
      <c r="U924">
        <v>8.1777179005763012E-5</v>
      </c>
      <c r="V924" t="s">
        <v>159</v>
      </c>
    </row>
    <row r="925" spans="9:22" x14ac:dyDescent="0.45">
      <c r="I925" t="s">
        <v>177</v>
      </c>
      <c r="J925" t="s">
        <v>417</v>
      </c>
      <c r="K925">
        <v>0</v>
      </c>
      <c r="L925" t="s">
        <v>159</v>
      </c>
      <c r="N925" t="s">
        <v>220</v>
      </c>
      <c r="O925" t="s">
        <v>417</v>
      </c>
      <c r="P925">
        <v>1.6644076403997076E-4</v>
      </c>
      <c r="Q925" t="s">
        <v>159</v>
      </c>
      <c r="S925" t="s">
        <v>262</v>
      </c>
      <c r="T925" t="s">
        <v>417</v>
      </c>
      <c r="U925">
        <v>9.2073278323409768E-5</v>
      </c>
      <c r="V925" t="s">
        <v>159</v>
      </c>
    </row>
    <row r="926" spans="9:22" x14ac:dyDescent="0.45">
      <c r="I926" t="s">
        <v>177</v>
      </c>
      <c r="J926" t="s">
        <v>418</v>
      </c>
      <c r="K926">
        <v>0</v>
      </c>
      <c r="L926" t="s">
        <v>159</v>
      </c>
      <c r="N926" t="s">
        <v>220</v>
      </c>
      <c r="O926" t="s">
        <v>418</v>
      </c>
      <c r="P926">
        <v>1.5691651624353628E-4</v>
      </c>
      <c r="Q926" t="s">
        <v>159</v>
      </c>
      <c r="S926" t="s">
        <v>262</v>
      </c>
      <c r="T926" t="s">
        <v>418</v>
      </c>
      <c r="U926">
        <v>9.2544182972062591E-5</v>
      </c>
      <c r="V926" t="s">
        <v>159</v>
      </c>
    </row>
    <row r="927" spans="9:22" x14ac:dyDescent="0.45">
      <c r="I927" t="s">
        <v>177</v>
      </c>
      <c r="J927" t="s">
        <v>419</v>
      </c>
      <c r="K927">
        <v>0</v>
      </c>
      <c r="L927" t="s">
        <v>159</v>
      </c>
      <c r="N927" t="s">
        <v>220</v>
      </c>
      <c r="O927" t="s">
        <v>419</v>
      </c>
      <c r="P927">
        <v>1.4306389016106538E-4</v>
      </c>
      <c r="Q927" t="s">
        <v>159</v>
      </c>
      <c r="S927" t="s">
        <v>262</v>
      </c>
      <c r="T927" t="s">
        <v>419</v>
      </c>
      <c r="U927">
        <v>9.6591272508451945E-5</v>
      </c>
      <c r="V927" t="s">
        <v>159</v>
      </c>
    </row>
    <row r="928" spans="9:22" x14ac:dyDescent="0.45">
      <c r="I928" t="s">
        <v>177</v>
      </c>
      <c r="J928" t="s">
        <v>420</v>
      </c>
      <c r="K928">
        <v>0</v>
      </c>
      <c r="L928" t="s">
        <v>159</v>
      </c>
      <c r="N928" t="s">
        <v>220</v>
      </c>
      <c r="O928" t="s">
        <v>420</v>
      </c>
      <c r="P928">
        <v>1.233683545273172E-4</v>
      </c>
      <c r="Q928" t="s">
        <v>159</v>
      </c>
      <c r="S928" t="s">
        <v>262</v>
      </c>
      <c r="T928" t="s">
        <v>420</v>
      </c>
      <c r="U928">
        <v>9.9792480435402232E-5</v>
      </c>
      <c r="V928" t="s">
        <v>159</v>
      </c>
    </row>
    <row r="929" spans="9:22" x14ac:dyDescent="0.45">
      <c r="I929" t="s">
        <v>177</v>
      </c>
      <c r="J929" t="s">
        <v>313</v>
      </c>
      <c r="K929">
        <v>5.7903560268669427E-3</v>
      </c>
      <c r="L929" t="s">
        <v>159</v>
      </c>
      <c r="N929" t="s">
        <v>220</v>
      </c>
      <c r="O929" t="s">
        <v>313</v>
      </c>
      <c r="P929">
        <v>8.9403545797493052E-3</v>
      </c>
      <c r="Q929" t="s">
        <v>159</v>
      </c>
      <c r="S929" t="s">
        <v>262</v>
      </c>
      <c r="T929" t="s">
        <v>313</v>
      </c>
      <c r="U929">
        <v>1.7429721036419002E-2</v>
      </c>
      <c r="V929" t="s">
        <v>159</v>
      </c>
    </row>
    <row r="930" spans="9:22" x14ac:dyDescent="0.45">
      <c r="I930" t="s">
        <v>177</v>
      </c>
      <c r="J930" t="s">
        <v>314</v>
      </c>
      <c r="K930">
        <v>8.1778600541081957E-3</v>
      </c>
      <c r="L930" t="s">
        <v>159</v>
      </c>
      <c r="N930" t="s">
        <v>220</v>
      </c>
      <c r="O930" t="s">
        <v>314</v>
      </c>
      <c r="P930">
        <v>9.9785521538555745E-4</v>
      </c>
      <c r="Q930" t="s">
        <v>159</v>
      </c>
      <c r="S930" t="s">
        <v>262</v>
      </c>
      <c r="T930" t="s">
        <v>314</v>
      </c>
      <c r="U930">
        <v>2.6165377359557256E-3</v>
      </c>
      <c r="V930" t="s">
        <v>159</v>
      </c>
    </row>
    <row r="931" spans="9:22" x14ac:dyDescent="0.45">
      <c r="I931" t="s">
        <v>177</v>
      </c>
      <c r="J931" t="s">
        <v>315</v>
      </c>
      <c r="K931">
        <v>8.8165197235406764E-2</v>
      </c>
      <c r="L931" t="s">
        <v>159</v>
      </c>
      <c r="N931" t="s">
        <v>220</v>
      </c>
      <c r="O931" t="s">
        <v>315</v>
      </c>
      <c r="P931">
        <v>1.8794593784789263E-2</v>
      </c>
      <c r="Q931" t="s">
        <v>159</v>
      </c>
      <c r="S931" t="s">
        <v>262</v>
      </c>
      <c r="T931" t="s">
        <v>315</v>
      </c>
      <c r="U931">
        <v>2.4391077305334383E-2</v>
      </c>
      <c r="V931" t="s">
        <v>159</v>
      </c>
    </row>
    <row r="932" spans="9:22" x14ac:dyDescent="0.45">
      <c r="I932" t="s">
        <v>177</v>
      </c>
      <c r="J932" t="s">
        <v>316</v>
      </c>
      <c r="K932">
        <v>8.1590411695976056E-3</v>
      </c>
      <c r="L932" t="s">
        <v>159</v>
      </c>
      <c r="N932" t="s">
        <v>220</v>
      </c>
      <c r="O932" t="s">
        <v>316</v>
      </c>
      <c r="P932">
        <v>3.6602113334284403E-3</v>
      </c>
      <c r="Q932" t="s">
        <v>159</v>
      </c>
      <c r="S932" t="s">
        <v>262</v>
      </c>
      <c r="T932" t="s">
        <v>316</v>
      </c>
      <c r="U932">
        <v>2.886533279766409E-3</v>
      </c>
      <c r="V932" t="s">
        <v>159</v>
      </c>
    </row>
    <row r="933" spans="9:22" x14ac:dyDescent="0.45">
      <c r="I933" t="s">
        <v>177</v>
      </c>
      <c r="J933" t="s">
        <v>317</v>
      </c>
      <c r="K933">
        <v>6.3194391247672612E-3</v>
      </c>
      <c r="L933" t="s">
        <v>159</v>
      </c>
      <c r="N933" t="s">
        <v>220</v>
      </c>
      <c r="O933" t="s">
        <v>317</v>
      </c>
      <c r="P933">
        <v>3.9386299900861978E-3</v>
      </c>
      <c r="Q933" t="s">
        <v>159</v>
      </c>
      <c r="S933" t="s">
        <v>262</v>
      </c>
      <c r="T933" t="s">
        <v>317</v>
      </c>
      <c r="U933">
        <v>2.8281853333321475E-3</v>
      </c>
      <c r="V933" t="s">
        <v>159</v>
      </c>
    </row>
    <row r="934" spans="9:22" x14ac:dyDescent="0.45">
      <c r="I934" t="s">
        <v>177</v>
      </c>
      <c r="J934" t="s">
        <v>318</v>
      </c>
      <c r="K934">
        <v>3.5036138492101272E-3</v>
      </c>
      <c r="L934" t="s">
        <v>159</v>
      </c>
      <c r="N934" t="s">
        <v>220</v>
      </c>
      <c r="O934" t="s">
        <v>318</v>
      </c>
      <c r="P934">
        <v>1.4038008872127954E-2</v>
      </c>
      <c r="Q934" t="s">
        <v>159</v>
      </c>
      <c r="S934" t="s">
        <v>262</v>
      </c>
      <c r="T934" t="s">
        <v>318</v>
      </c>
      <c r="U934">
        <v>1.2661743610975716E-2</v>
      </c>
      <c r="V934" t="s">
        <v>159</v>
      </c>
    </row>
    <row r="935" spans="9:22" x14ac:dyDescent="0.45">
      <c r="I935" t="s">
        <v>178</v>
      </c>
      <c r="J935" t="s">
        <v>158</v>
      </c>
      <c r="K935">
        <v>5.8091517262474938E-3</v>
      </c>
      <c r="L935" t="s">
        <v>159</v>
      </c>
      <c r="N935" t="s">
        <v>221</v>
      </c>
      <c r="O935" t="s">
        <v>158</v>
      </c>
      <c r="P935">
        <v>0.11682546236853182</v>
      </c>
      <c r="Q935" t="s">
        <v>159</v>
      </c>
      <c r="S935" t="s">
        <v>263</v>
      </c>
      <c r="T935" t="s">
        <v>158</v>
      </c>
      <c r="U935">
        <v>0.13047048152005428</v>
      </c>
      <c r="V935" t="s">
        <v>159</v>
      </c>
    </row>
    <row r="936" spans="9:22" x14ac:dyDescent="0.45">
      <c r="I936" t="s">
        <v>178</v>
      </c>
      <c r="J936" t="s">
        <v>160</v>
      </c>
      <c r="K936">
        <v>2.1918251737373592E-2</v>
      </c>
      <c r="L936" t="s">
        <v>159</v>
      </c>
      <c r="N936" t="s">
        <v>221</v>
      </c>
      <c r="O936" t="s">
        <v>160</v>
      </c>
      <c r="P936">
        <v>1.6959551158394197E-2</v>
      </c>
      <c r="Q936" t="s">
        <v>159</v>
      </c>
      <c r="S936" t="s">
        <v>263</v>
      </c>
      <c r="T936" t="s">
        <v>160</v>
      </c>
      <c r="U936">
        <v>1.8110638399478671E-2</v>
      </c>
      <c r="V936" t="s">
        <v>159</v>
      </c>
    </row>
    <row r="937" spans="9:22" x14ac:dyDescent="0.45">
      <c r="I937" t="s">
        <v>178</v>
      </c>
      <c r="J937" t="s">
        <v>161</v>
      </c>
      <c r="K937">
        <v>0.37464705967213052</v>
      </c>
      <c r="L937" t="s">
        <v>159</v>
      </c>
      <c r="N937" t="s">
        <v>221</v>
      </c>
      <c r="O937" t="s">
        <v>161</v>
      </c>
      <c r="P937">
        <v>0.17379487190674986</v>
      </c>
      <c r="Q937" t="s">
        <v>159</v>
      </c>
      <c r="S937" t="s">
        <v>263</v>
      </c>
      <c r="T937" t="s">
        <v>161</v>
      </c>
      <c r="U937">
        <v>0.1673836793014816</v>
      </c>
      <c r="V937" t="s">
        <v>159</v>
      </c>
    </row>
    <row r="938" spans="9:22" x14ac:dyDescent="0.45">
      <c r="I938" t="s">
        <v>178</v>
      </c>
      <c r="J938" t="s">
        <v>287</v>
      </c>
      <c r="K938">
        <v>3.5959824521489894E-2</v>
      </c>
      <c r="L938" t="s">
        <v>159</v>
      </c>
      <c r="N938" t="s">
        <v>221</v>
      </c>
      <c r="O938" t="s">
        <v>287</v>
      </c>
      <c r="P938">
        <v>2.3182137153090029E-2</v>
      </c>
      <c r="Q938" t="s">
        <v>159</v>
      </c>
      <c r="S938" t="s">
        <v>263</v>
      </c>
      <c r="T938" t="s">
        <v>287</v>
      </c>
      <c r="U938">
        <v>2.0613298714764829E-2</v>
      </c>
      <c r="V938" t="s">
        <v>159</v>
      </c>
    </row>
    <row r="939" spans="9:22" x14ac:dyDescent="0.45">
      <c r="I939" t="s">
        <v>178</v>
      </c>
      <c r="J939" t="s">
        <v>288</v>
      </c>
      <c r="K939">
        <v>2.0383573884818963E-2</v>
      </c>
      <c r="L939" t="s">
        <v>159</v>
      </c>
      <c r="N939" t="s">
        <v>221</v>
      </c>
      <c r="O939" t="s">
        <v>288</v>
      </c>
      <c r="P939">
        <v>2.2320958198662592E-2</v>
      </c>
      <c r="Q939" t="s">
        <v>159</v>
      </c>
      <c r="S939" t="s">
        <v>263</v>
      </c>
      <c r="T939" t="s">
        <v>288</v>
      </c>
      <c r="U939">
        <v>2.0952120675755626E-2</v>
      </c>
      <c r="V939" t="s">
        <v>159</v>
      </c>
    </row>
    <row r="940" spans="9:22" x14ac:dyDescent="0.45">
      <c r="I940" t="s">
        <v>178</v>
      </c>
      <c r="J940" t="s">
        <v>308</v>
      </c>
      <c r="K940">
        <v>7.2681785271967985E-3</v>
      </c>
      <c r="L940" t="s">
        <v>159</v>
      </c>
      <c r="N940" t="s">
        <v>221</v>
      </c>
      <c r="O940" t="s">
        <v>308</v>
      </c>
      <c r="P940">
        <v>9.0795062788650308E-2</v>
      </c>
      <c r="Q940" t="s">
        <v>159</v>
      </c>
      <c r="S940" t="s">
        <v>263</v>
      </c>
      <c r="T940" t="s">
        <v>308</v>
      </c>
      <c r="U940">
        <v>0.10248199628405893</v>
      </c>
      <c r="V940" t="s">
        <v>159</v>
      </c>
    </row>
    <row r="941" spans="9:22" x14ac:dyDescent="0.45">
      <c r="I941" t="s">
        <v>178</v>
      </c>
      <c r="J941" t="s">
        <v>162</v>
      </c>
      <c r="K941">
        <v>0</v>
      </c>
      <c r="L941" t="s">
        <v>159</v>
      </c>
      <c r="N941" t="s">
        <v>221</v>
      </c>
      <c r="O941" t="s">
        <v>162</v>
      </c>
      <c r="P941">
        <v>2.6282369438486518E-2</v>
      </c>
      <c r="Q941" t="s">
        <v>159</v>
      </c>
      <c r="S941" t="s">
        <v>263</v>
      </c>
      <c r="T941" t="s">
        <v>162</v>
      </c>
      <c r="U941">
        <v>1.843771471104938E-2</v>
      </c>
      <c r="V941" t="s">
        <v>159</v>
      </c>
    </row>
    <row r="942" spans="9:22" x14ac:dyDescent="0.45">
      <c r="I942" t="s">
        <v>178</v>
      </c>
      <c r="J942" t="s">
        <v>163</v>
      </c>
      <c r="K942">
        <v>0</v>
      </c>
      <c r="L942" t="s">
        <v>159</v>
      </c>
      <c r="N942" t="s">
        <v>221</v>
      </c>
      <c r="O942" t="s">
        <v>163</v>
      </c>
      <c r="P942">
        <v>3.7640925362894626E-3</v>
      </c>
      <c r="Q942" t="s">
        <v>159</v>
      </c>
      <c r="S942" t="s">
        <v>263</v>
      </c>
      <c r="T942" t="s">
        <v>163</v>
      </c>
      <c r="U942">
        <v>2.4702075687206334E-3</v>
      </c>
      <c r="V942" t="s">
        <v>159</v>
      </c>
    </row>
    <row r="943" spans="9:22" x14ac:dyDescent="0.45">
      <c r="I943" t="s">
        <v>178</v>
      </c>
      <c r="J943" t="s">
        <v>164</v>
      </c>
      <c r="K943">
        <v>3.7904375312273787E-2</v>
      </c>
      <c r="L943" t="s">
        <v>159</v>
      </c>
      <c r="N943" t="s">
        <v>221</v>
      </c>
      <c r="O943" t="s">
        <v>164</v>
      </c>
      <c r="P943">
        <v>3.055656182033881E-2</v>
      </c>
      <c r="Q943" t="s">
        <v>159</v>
      </c>
      <c r="S943" t="s">
        <v>263</v>
      </c>
      <c r="T943" t="s">
        <v>164</v>
      </c>
      <c r="U943">
        <v>2.425484585614817E-2</v>
      </c>
      <c r="V943" t="s">
        <v>159</v>
      </c>
    </row>
    <row r="944" spans="9:22" x14ac:dyDescent="0.45">
      <c r="I944" t="s">
        <v>178</v>
      </c>
      <c r="J944" t="s">
        <v>289</v>
      </c>
      <c r="K944">
        <v>3.1613080263259183E-3</v>
      </c>
      <c r="L944" t="s">
        <v>159</v>
      </c>
      <c r="N944" t="s">
        <v>221</v>
      </c>
      <c r="O944" t="s">
        <v>289</v>
      </c>
      <c r="P944">
        <v>3.4131940705944223E-3</v>
      </c>
      <c r="Q944" t="s">
        <v>159</v>
      </c>
      <c r="S944" t="s">
        <v>263</v>
      </c>
      <c r="T944" t="s">
        <v>289</v>
      </c>
      <c r="U944">
        <v>3.2268009147774853E-3</v>
      </c>
      <c r="V944" t="s">
        <v>159</v>
      </c>
    </row>
    <row r="945" spans="9:22" x14ac:dyDescent="0.45">
      <c r="I945" t="s">
        <v>178</v>
      </c>
      <c r="J945" t="s">
        <v>290</v>
      </c>
      <c r="K945">
        <v>0</v>
      </c>
      <c r="L945" t="s">
        <v>159</v>
      </c>
      <c r="N945" t="s">
        <v>221</v>
      </c>
      <c r="O945" t="s">
        <v>290</v>
      </c>
      <c r="P945">
        <v>3.3903325723824759E-3</v>
      </c>
      <c r="Q945" t="s">
        <v>159</v>
      </c>
      <c r="S945" t="s">
        <v>263</v>
      </c>
      <c r="T945" t="s">
        <v>290</v>
      </c>
      <c r="U945">
        <v>3.2500416575350338E-3</v>
      </c>
      <c r="V945" t="s">
        <v>159</v>
      </c>
    </row>
    <row r="946" spans="9:22" x14ac:dyDescent="0.45">
      <c r="I946" t="s">
        <v>178</v>
      </c>
      <c r="J946" t="s">
        <v>309</v>
      </c>
      <c r="K946">
        <v>0</v>
      </c>
      <c r="L946" t="s">
        <v>159</v>
      </c>
      <c r="N946" t="s">
        <v>221</v>
      </c>
      <c r="O946" t="s">
        <v>309</v>
      </c>
      <c r="P946">
        <v>1.6191267014957038E-2</v>
      </c>
      <c r="Q946" t="s">
        <v>159</v>
      </c>
      <c r="S946" t="s">
        <v>263</v>
      </c>
      <c r="T946" t="s">
        <v>309</v>
      </c>
      <c r="U946">
        <v>1.507866884812804E-2</v>
      </c>
      <c r="V946" t="s">
        <v>159</v>
      </c>
    </row>
    <row r="947" spans="9:22" x14ac:dyDescent="0.45">
      <c r="I947" t="s">
        <v>178</v>
      </c>
      <c r="J947" t="s">
        <v>346</v>
      </c>
      <c r="K947">
        <v>0</v>
      </c>
      <c r="L947" t="s">
        <v>159</v>
      </c>
      <c r="N947" t="s">
        <v>221</v>
      </c>
      <c r="O947" t="s">
        <v>346</v>
      </c>
      <c r="P947">
        <v>1.8942444113245788E-5</v>
      </c>
      <c r="Q947" t="s">
        <v>159</v>
      </c>
      <c r="S947" t="s">
        <v>263</v>
      </c>
      <c r="T947" t="s">
        <v>346</v>
      </c>
      <c r="U947">
        <v>1.8601445018396785E-4</v>
      </c>
      <c r="V947" t="s">
        <v>159</v>
      </c>
    </row>
    <row r="948" spans="9:22" x14ac:dyDescent="0.45">
      <c r="I948" t="s">
        <v>178</v>
      </c>
      <c r="J948" t="s">
        <v>347</v>
      </c>
      <c r="K948">
        <v>0</v>
      </c>
      <c r="L948" t="s">
        <v>159</v>
      </c>
      <c r="N948" t="s">
        <v>221</v>
      </c>
      <c r="O948" t="s">
        <v>347</v>
      </c>
      <c r="P948">
        <v>1.7139367967429753E-5</v>
      </c>
      <c r="Q948" t="s">
        <v>159</v>
      </c>
      <c r="S948" t="s">
        <v>263</v>
      </c>
      <c r="T948" t="s">
        <v>347</v>
      </c>
      <c r="U948">
        <v>1.6969283238451419E-4</v>
      </c>
      <c r="V948" t="s">
        <v>159</v>
      </c>
    </row>
    <row r="949" spans="9:22" x14ac:dyDescent="0.45">
      <c r="I949" t="s">
        <v>178</v>
      </c>
      <c r="J949" t="s">
        <v>348</v>
      </c>
      <c r="K949">
        <v>0</v>
      </c>
      <c r="L949" t="s">
        <v>159</v>
      </c>
      <c r="N949" t="s">
        <v>221</v>
      </c>
      <c r="O949" t="s">
        <v>348</v>
      </c>
      <c r="P949">
        <v>1.6441155582772604E-5</v>
      </c>
      <c r="Q949" t="s">
        <v>159</v>
      </c>
      <c r="S949" t="s">
        <v>263</v>
      </c>
      <c r="T949" t="s">
        <v>348</v>
      </c>
      <c r="U949">
        <v>1.5017869545764853E-4</v>
      </c>
      <c r="V949" t="s">
        <v>159</v>
      </c>
    </row>
    <row r="950" spans="9:22" x14ac:dyDescent="0.45">
      <c r="I950" t="s">
        <v>178</v>
      </c>
      <c r="J950" t="s">
        <v>349</v>
      </c>
      <c r="K950">
        <v>0</v>
      </c>
      <c r="L950" t="s">
        <v>159</v>
      </c>
      <c r="N950" t="s">
        <v>221</v>
      </c>
      <c r="O950" t="s">
        <v>349</v>
      </c>
      <c r="P950">
        <v>1.7400100895438911E-5</v>
      </c>
      <c r="Q950" t="s">
        <v>159</v>
      </c>
      <c r="S950" t="s">
        <v>263</v>
      </c>
      <c r="T950" t="s">
        <v>349</v>
      </c>
      <c r="U950">
        <v>1.2650500865625969E-4</v>
      </c>
      <c r="V950" t="s">
        <v>159</v>
      </c>
    </row>
    <row r="951" spans="9:22" x14ac:dyDescent="0.45">
      <c r="I951" t="s">
        <v>178</v>
      </c>
      <c r="J951" t="s">
        <v>350</v>
      </c>
      <c r="K951">
        <v>0</v>
      </c>
      <c r="L951" t="s">
        <v>159</v>
      </c>
      <c r="N951" t="s">
        <v>221</v>
      </c>
      <c r="O951" t="s">
        <v>350</v>
      </c>
      <c r="P951">
        <v>1.8476840202526677E-5</v>
      </c>
      <c r="Q951" t="s">
        <v>159</v>
      </c>
      <c r="S951" t="s">
        <v>263</v>
      </c>
      <c r="T951" t="s">
        <v>350</v>
      </c>
      <c r="U951">
        <v>1.1165965666620521E-4</v>
      </c>
      <c r="V951" t="s">
        <v>159</v>
      </c>
    </row>
    <row r="952" spans="9:22" x14ac:dyDescent="0.45">
      <c r="I952" t="s">
        <v>178</v>
      </c>
      <c r="J952" t="s">
        <v>351</v>
      </c>
      <c r="K952">
        <v>0</v>
      </c>
      <c r="L952" t="s">
        <v>159</v>
      </c>
      <c r="N952" t="s">
        <v>221</v>
      </c>
      <c r="O952" t="s">
        <v>351</v>
      </c>
      <c r="P952">
        <v>2.0643822567518818E-5</v>
      </c>
      <c r="Q952" t="s">
        <v>159</v>
      </c>
      <c r="S952" t="s">
        <v>263</v>
      </c>
      <c r="T952" t="s">
        <v>351</v>
      </c>
      <c r="U952">
        <v>1.0614226757833285E-4</v>
      </c>
      <c r="V952" t="s">
        <v>159</v>
      </c>
    </row>
    <row r="953" spans="9:22" x14ac:dyDescent="0.45">
      <c r="I953" t="s">
        <v>178</v>
      </c>
      <c r="J953" t="s">
        <v>352</v>
      </c>
      <c r="K953">
        <v>0</v>
      </c>
      <c r="L953" t="s">
        <v>159</v>
      </c>
      <c r="N953" t="s">
        <v>221</v>
      </c>
      <c r="O953" t="s">
        <v>352</v>
      </c>
      <c r="P953">
        <v>2.3720831562396544E-5</v>
      </c>
      <c r="Q953" t="s">
        <v>159</v>
      </c>
      <c r="S953" t="s">
        <v>263</v>
      </c>
      <c r="T953" t="s">
        <v>352</v>
      </c>
      <c r="U953">
        <v>1.1059313887722496E-4</v>
      </c>
      <c r="V953" t="s">
        <v>159</v>
      </c>
    </row>
    <row r="954" spans="9:22" x14ac:dyDescent="0.45">
      <c r="I954" t="s">
        <v>178</v>
      </c>
      <c r="J954" t="s">
        <v>353</v>
      </c>
      <c r="K954">
        <v>0</v>
      </c>
      <c r="L954" t="s">
        <v>159</v>
      </c>
      <c r="N954" t="s">
        <v>221</v>
      </c>
      <c r="O954" t="s">
        <v>353</v>
      </c>
      <c r="P954">
        <v>3.1014983354269322E-5</v>
      </c>
      <c r="Q954" t="s">
        <v>159</v>
      </c>
      <c r="S954" t="s">
        <v>263</v>
      </c>
      <c r="T954" t="s">
        <v>353</v>
      </c>
      <c r="U954">
        <v>1.2304184874426099E-4</v>
      </c>
      <c r="V954" t="s">
        <v>159</v>
      </c>
    </row>
    <row r="955" spans="9:22" x14ac:dyDescent="0.45">
      <c r="I955" t="s">
        <v>178</v>
      </c>
      <c r="J955" t="s">
        <v>354</v>
      </c>
      <c r="K955">
        <v>1.4298070989979386E-4</v>
      </c>
      <c r="L955" t="s">
        <v>159</v>
      </c>
      <c r="N955" t="s">
        <v>221</v>
      </c>
      <c r="O955" t="s">
        <v>354</v>
      </c>
      <c r="P955">
        <v>3.6616043493052756E-5</v>
      </c>
      <c r="Q955" t="s">
        <v>159</v>
      </c>
      <c r="S955" t="s">
        <v>263</v>
      </c>
      <c r="T955" t="s">
        <v>354</v>
      </c>
      <c r="U955">
        <v>1.3677814959906303E-4</v>
      </c>
      <c r="V955" t="s">
        <v>159</v>
      </c>
    </row>
    <row r="956" spans="9:22" x14ac:dyDescent="0.45">
      <c r="I956" t="s">
        <v>178</v>
      </c>
      <c r="J956" t="s">
        <v>355</v>
      </c>
      <c r="K956">
        <v>1.6772560862951628E-4</v>
      </c>
      <c r="L956" t="s">
        <v>159</v>
      </c>
      <c r="N956" t="s">
        <v>221</v>
      </c>
      <c r="O956" t="s">
        <v>355</v>
      </c>
      <c r="P956">
        <v>3.3111518975889202E-5</v>
      </c>
      <c r="Q956" t="s">
        <v>159</v>
      </c>
      <c r="S956" t="s">
        <v>263</v>
      </c>
      <c r="T956" t="s">
        <v>355</v>
      </c>
      <c r="U956">
        <v>1.4205144188014294E-4</v>
      </c>
      <c r="V956" t="s">
        <v>159</v>
      </c>
    </row>
    <row r="957" spans="9:22" x14ac:dyDescent="0.45">
      <c r="I957" t="s">
        <v>178</v>
      </c>
      <c r="J957" t="s">
        <v>356</v>
      </c>
      <c r="K957">
        <v>1.5420831197131437E-4</v>
      </c>
      <c r="L957" t="s">
        <v>159</v>
      </c>
      <c r="N957" t="s">
        <v>221</v>
      </c>
      <c r="O957" t="s">
        <v>356</v>
      </c>
      <c r="P957">
        <v>1.6207272286817218E-5</v>
      </c>
      <c r="Q957" t="s">
        <v>159</v>
      </c>
      <c r="S957" t="s">
        <v>263</v>
      </c>
      <c r="T957" t="s">
        <v>356</v>
      </c>
      <c r="U957">
        <v>1.4779857796001829E-4</v>
      </c>
      <c r="V957" t="s">
        <v>159</v>
      </c>
    </row>
    <row r="958" spans="9:22" x14ac:dyDescent="0.45">
      <c r="I958" t="s">
        <v>178</v>
      </c>
      <c r="J958" t="s">
        <v>357</v>
      </c>
      <c r="K958">
        <v>1.5920983445443052E-4</v>
      </c>
      <c r="L958" t="s">
        <v>159</v>
      </c>
      <c r="N958" t="s">
        <v>221</v>
      </c>
      <c r="O958" t="s">
        <v>357</v>
      </c>
      <c r="P958">
        <v>1.0471191509828974E-5</v>
      </c>
      <c r="Q958" t="s">
        <v>159</v>
      </c>
      <c r="S958" t="s">
        <v>263</v>
      </c>
      <c r="T958" t="s">
        <v>357</v>
      </c>
      <c r="U958">
        <v>1.5457391911573461E-4</v>
      </c>
      <c r="V958" t="s">
        <v>159</v>
      </c>
    </row>
    <row r="959" spans="9:22" x14ac:dyDescent="0.45">
      <c r="I959" t="s">
        <v>178</v>
      </c>
      <c r="J959" t="s">
        <v>358</v>
      </c>
      <c r="K959">
        <v>1.9926157919973145E-4</v>
      </c>
      <c r="L959" t="s">
        <v>159</v>
      </c>
      <c r="N959" t="s">
        <v>221</v>
      </c>
      <c r="O959" t="s">
        <v>358</v>
      </c>
      <c r="P959">
        <v>2.3390248423408876E-5</v>
      </c>
      <c r="Q959" t="s">
        <v>159</v>
      </c>
      <c r="S959" t="s">
        <v>263</v>
      </c>
      <c r="T959" t="s">
        <v>358</v>
      </c>
      <c r="U959">
        <v>1.5461113863988793E-4</v>
      </c>
      <c r="V959" t="s">
        <v>159</v>
      </c>
    </row>
    <row r="960" spans="9:22" x14ac:dyDescent="0.45">
      <c r="I960" t="s">
        <v>178</v>
      </c>
      <c r="J960" t="s">
        <v>359</v>
      </c>
      <c r="K960">
        <v>1.8518135875508524E-4</v>
      </c>
      <c r="L960" t="s">
        <v>159</v>
      </c>
      <c r="N960" t="s">
        <v>221</v>
      </c>
      <c r="O960" t="s">
        <v>359</v>
      </c>
      <c r="P960">
        <v>3.8608573742294295E-5</v>
      </c>
      <c r="Q960" t="s">
        <v>159</v>
      </c>
      <c r="S960" t="s">
        <v>263</v>
      </c>
      <c r="T960" t="s">
        <v>359</v>
      </c>
      <c r="U960">
        <v>1.6453176720983303E-4</v>
      </c>
      <c r="V960" t="s">
        <v>159</v>
      </c>
    </row>
    <row r="961" spans="9:22" x14ac:dyDescent="0.45">
      <c r="I961" t="s">
        <v>178</v>
      </c>
      <c r="J961" t="s">
        <v>360</v>
      </c>
      <c r="K961">
        <v>1.5131639803521124E-4</v>
      </c>
      <c r="L961" t="s">
        <v>159</v>
      </c>
      <c r="N961" t="s">
        <v>221</v>
      </c>
      <c r="O961" t="s">
        <v>360</v>
      </c>
      <c r="P961">
        <v>4.4981540485999477E-5</v>
      </c>
      <c r="Q961" t="s">
        <v>159</v>
      </c>
      <c r="S961" t="s">
        <v>263</v>
      </c>
      <c r="T961" t="s">
        <v>360</v>
      </c>
      <c r="U961">
        <v>1.7977893202256995E-4</v>
      </c>
      <c r="V961" t="s">
        <v>159</v>
      </c>
    </row>
    <row r="962" spans="9:22" x14ac:dyDescent="0.45">
      <c r="I962" t="s">
        <v>178</v>
      </c>
      <c r="J962" t="s">
        <v>361</v>
      </c>
      <c r="K962">
        <v>1.305145378066398E-4</v>
      </c>
      <c r="L962" t="s">
        <v>159</v>
      </c>
      <c r="N962" t="s">
        <v>221</v>
      </c>
      <c r="O962" t="s">
        <v>361</v>
      </c>
      <c r="P962">
        <v>4.7480424685837854E-5</v>
      </c>
      <c r="Q962" t="s">
        <v>159</v>
      </c>
      <c r="S962" t="s">
        <v>263</v>
      </c>
      <c r="T962" t="s">
        <v>361</v>
      </c>
      <c r="U962">
        <v>1.9143211174895114E-4</v>
      </c>
      <c r="V962" t="s">
        <v>159</v>
      </c>
    </row>
    <row r="963" spans="9:22" x14ac:dyDescent="0.45">
      <c r="I963" t="s">
        <v>178</v>
      </c>
      <c r="J963" t="s">
        <v>362</v>
      </c>
      <c r="K963">
        <v>1.0393213180633431E-4</v>
      </c>
      <c r="L963" t="s">
        <v>159</v>
      </c>
      <c r="N963" t="s">
        <v>221</v>
      </c>
      <c r="O963" t="s">
        <v>362</v>
      </c>
      <c r="P963">
        <v>5.1623769819261414E-5</v>
      </c>
      <c r="Q963" t="s">
        <v>159</v>
      </c>
      <c r="S963" t="s">
        <v>263</v>
      </c>
      <c r="T963" t="s">
        <v>362</v>
      </c>
      <c r="U963">
        <v>1.9552781211028221E-4</v>
      </c>
      <c r="V963" t="s">
        <v>159</v>
      </c>
    </row>
    <row r="964" spans="9:22" x14ac:dyDescent="0.45">
      <c r="I964" t="s">
        <v>178</v>
      </c>
      <c r="J964" t="s">
        <v>363</v>
      </c>
      <c r="K964">
        <v>5.8532726183775921E-5</v>
      </c>
      <c r="L964" t="s">
        <v>159</v>
      </c>
      <c r="N964" t="s">
        <v>221</v>
      </c>
      <c r="O964" t="s">
        <v>363</v>
      </c>
      <c r="P964">
        <v>5.6487661531169826E-5</v>
      </c>
      <c r="Q964" t="s">
        <v>159</v>
      </c>
      <c r="S964" t="s">
        <v>263</v>
      </c>
      <c r="T964" t="s">
        <v>363</v>
      </c>
      <c r="U964">
        <v>1.9818860947749294E-4</v>
      </c>
      <c r="V964" t="s">
        <v>159</v>
      </c>
    </row>
    <row r="965" spans="9:22" x14ac:dyDescent="0.45">
      <c r="I965" t="s">
        <v>178</v>
      </c>
      <c r="J965" t="s">
        <v>364</v>
      </c>
      <c r="K965">
        <v>0</v>
      </c>
      <c r="L965" t="s">
        <v>159</v>
      </c>
      <c r="N965" t="s">
        <v>221</v>
      </c>
      <c r="O965" t="s">
        <v>364</v>
      </c>
      <c r="P965">
        <v>4.3901577245713847E-5</v>
      </c>
      <c r="Q965" t="s">
        <v>159</v>
      </c>
      <c r="S965" t="s">
        <v>263</v>
      </c>
      <c r="T965" t="s">
        <v>364</v>
      </c>
      <c r="U965">
        <v>1.9329702872805844E-4</v>
      </c>
      <c r="V965" t="s">
        <v>159</v>
      </c>
    </row>
    <row r="966" spans="9:22" x14ac:dyDescent="0.45">
      <c r="I966" t="s">
        <v>178</v>
      </c>
      <c r="J966" t="s">
        <v>365</v>
      </c>
      <c r="K966">
        <v>0</v>
      </c>
      <c r="L966" t="s">
        <v>159</v>
      </c>
      <c r="N966" t="s">
        <v>221</v>
      </c>
      <c r="O966" t="s">
        <v>365</v>
      </c>
      <c r="P966">
        <v>2.4989682130437456E-5</v>
      </c>
      <c r="Q966" t="s">
        <v>159</v>
      </c>
      <c r="S966" t="s">
        <v>263</v>
      </c>
      <c r="T966" t="s">
        <v>365</v>
      </c>
      <c r="U966">
        <v>1.9327388952966457E-4</v>
      </c>
      <c r="V966" t="s">
        <v>159</v>
      </c>
    </row>
    <row r="967" spans="9:22" x14ac:dyDescent="0.45">
      <c r="I967" t="s">
        <v>178</v>
      </c>
      <c r="J967" t="s">
        <v>366</v>
      </c>
      <c r="K967">
        <v>0</v>
      </c>
      <c r="L967" t="s">
        <v>159</v>
      </c>
      <c r="N967" t="s">
        <v>221</v>
      </c>
      <c r="O967" t="s">
        <v>366</v>
      </c>
      <c r="P967">
        <v>1.7989356280241935E-5</v>
      </c>
      <c r="Q967" t="s">
        <v>159</v>
      </c>
      <c r="S967" t="s">
        <v>263</v>
      </c>
      <c r="T967" t="s">
        <v>366</v>
      </c>
      <c r="U967">
        <v>1.9021790719240603E-4</v>
      </c>
      <c r="V967" t="s">
        <v>159</v>
      </c>
    </row>
    <row r="968" spans="9:22" x14ac:dyDescent="0.45">
      <c r="I968" t="s">
        <v>178</v>
      </c>
      <c r="J968" t="s">
        <v>367</v>
      </c>
      <c r="K968">
        <v>0</v>
      </c>
      <c r="L968" t="s">
        <v>159</v>
      </c>
      <c r="N968" t="s">
        <v>221</v>
      </c>
      <c r="O968" t="s">
        <v>367</v>
      </c>
      <c r="P968">
        <v>1.6701827546118215E-5</v>
      </c>
      <c r="Q968" t="s">
        <v>159</v>
      </c>
      <c r="S968" t="s">
        <v>263</v>
      </c>
      <c r="T968" t="s">
        <v>367</v>
      </c>
      <c r="U968">
        <v>1.77015807193092E-4</v>
      </c>
      <c r="V968" t="s">
        <v>159</v>
      </c>
    </row>
    <row r="969" spans="9:22" x14ac:dyDescent="0.45">
      <c r="I969" t="s">
        <v>178</v>
      </c>
      <c r="J969" t="s">
        <v>368</v>
      </c>
      <c r="K969">
        <v>0</v>
      </c>
      <c r="L969" t="s">
        <v>159</v>
      </c>
      <c r="N969" t="s">
        <v>221</v>
      </c>
      <c r="O969" t="s">
        <v>368</v>
      </c>
      <c r="P969">
        <v>1.8010182802513129E-5</v>
      </c>
      <c r="Q969" t="s">
        <v>159</v>
      </c>
      <c r="S969" t="s">
        <v>263</v>
      </c>
      <c r="T969" t="s">
        <v>368</v>
      </c>
      <c r="U969">
        <v>1.6585410619912599E-4</v>
      </c>
      <c r="V969" t="s">
        <v>159</v>
      </c>
    </row>
    <row r="970" spans="9:22" x14ac:dyDescent="0.45">
      <c r="I970" t="s">
        <v>178</v>
      </c>
      <c r="J970" t="s">
        <v>369</v>
      </c>
      <c r="K970">
        <v>0</v>
      </c>
      <c r="L970" t="s">
        <v>159</v>
      </c>
      <c r="N970" t="s">
        <v>221</v>
      </c>
      <c r="O970" t="s">
        <v>369</v>
      </c>
      <c r="P970">
        <v>2.137641673225147E-5</v>
      </c>
      <c r="Q970" t="s">
        <v>159</v>
      </c>
      <c r="S970" t="s">
        <v>263</v>
      </c>
      <c r="T970" t="s">
        <v>369</v>
      </c>
      <c r="U970">
        <v>1.566229865016003E-4</v>
      </c>
      <c r="V970" t="s">
        <v>159</v>
      </c>
    </row>
    <row r="971" spans="9:22" x14ac:dyDescent="0.45">
      <c r="I971" t="s">
        <v>178</v>
      </c>
      <c r="J971" t="s">
        <v>165</v>
      </c>
      <c r="K971">
        <v>0</v>
      </c>
      <c r="L971" t="s">
        <v>159</v>
      </c>
      <c r="N971" t="s">
        <v>221</v>
      </c>
      <c r="O971" t="s">
        <v>165</v>
      </c>
      <c r="P971">
        <v>3.0399008711412434E-2</v>
      </c>
      <c r="Q971" t="s">
        <v>159</v>
      </c>
      <c r="S971" t="s">
        <v>263</v>
      </c>
      <c r="T971" t="s">
        <v>165</v>
      </c>
      <c r="U971">
        <v>2.3411739337222192E-2</v>
      </c>
      <c r="V971" t="s">
        <v>159</v>
      </c>
    </row>
    <row r="972" spans="9:22" x14ac:dyDescent="0.45">
      <c r="I972" t="s">
        <v>178</v>
      </c>
      <c r="J972" t="s">
        <v>166</v>
      </c>
      <c r="K972">
        <v>5.3550105386853059E-4</v>
      </c>
      <c r="L972" t="s">
        <v>159</v>
      </c>
      <c r="N972" t="s">
        <v>221</v>
      </c>
      <c r="O972" t="s">
        <v>166</v>
      </c>
      <c r="P972">
        <v>4.615366728348674E-3</v>
      </c>
      <c r="Q972" t="s">
        <v>159</v>
      </c>
      <c r="S972" t="s">
        <v>263</v>
      </c>
      <c r="T972" t="s">
        <v>166</v>
      </c>
      <c r="U972">
        <v>3.4211482716047141E-3</v>
      </c>
      <c r="V972" t="s">
        <v>159</v>
      </c>
    </row>
    <row r="973" spans="9:22" x14ac:dyDescent="0.45">
      <c r="I973" t="s">
        <v>178</v>
      </c>
      <c r="J973" t="s">
        <v>167</v>
      </c>
      <c r="K973">
        <v>4.5540044410237283E-2</v>
      </c>
      <c r="L973" t="s">
        <v>159</v>
      </c>
      <c r="N973" t="s">
        <v>221</v>
      </c>
      <c r="O973" t="s">
        <v>167</v>
      </c>
      <c r="P973">
        <v>3.7988841875196452E-2</v>
      </c>
      <c r="Q973" t="s">
        <v>159</v>
      </c>
      <c r="S973" t="s">
        <v>263</v>
      </c>
      <c r="T973" t="s">
        <v>167</v>
      </c>
      <c r="U973">
        <v>3.1323542580932222E-2</v>
      </c>
      <c r="V973" t="s">
        <v>159</v>
      </c>
    </row>
    <row r="974" spans="9:22" x14ac:dyDescent="0.45">
      <c r="I974" t="s">
        <v>178</v>
      </c>
      <c r="J974" t="s">
        <v>291</v>
      </c>
      <c r="K974">
        <v>3.9886473326531278E-3</v>
      </c>
      <c r="L974" t="s">
        <v>159</v>
      </c>
      <c r="N974" t="s">
        <v>221</v>
      </c>
      <c r="O974" t="s">
        <v>291</v>
      </c>
      <c r="P974">
        <v>4.1933299647160969E-3</v>
      </c>
      <c r="Q974" t="s">
        <v>159</v>
      </c>
      <c r="S974" t="s">
        <v>263</v>
      </c>
      <c r="T974" t="s">
        <v>291</v>
      </c>
      <c r="U974">
        <v>4.1794335538431005E-3</v>
      </c>
      <c r="V974" t="s">
        <v>159</v>
      </c>
    </row>
    <row r="975" spans="9:22" x14ac:dyDescent="0.45">
      <c r="I975" t="s">
        <v>178</v>
      </c>
      <c r="J975" t="s">
        <v>292</v>
      </c>
      <c r="K975">
        <v>0</v>
      </c>
      <c r="L975" t="s">
        <v>159</v>
      </c>
      <c r="N975" t="s">
        <v>221</v>
      </c>
      <c r="O975" t="s">
        <v>292</v>
      </c>
      <c r="P975">
        <v>4.1830485515035546E-3</v>
      </c>
      <c r="Q975" t="s">
        <v>159</v>
      </c>
      <c r="S975" t="s">
        <v>263</v>
      </c>
      <c r="T975" t="s">
        <v>292</v>
      </c>
      <c r="U975">
        <v>4.2308020370429656E-3</v>
      </c>
      <c r="V975" t="s">
        <v>159</v>
      </c>
    </row>
    <row r="976" spans="9:22" x14ac:dyDescent="0.45">
      <c r="I976" t="s">
        <v>178</v>
      </c>
      <c r="J976" t="s">
        <v>310</v>
      </c>
      <c r="K976">
        <v>0</v>
      </c>
      <c r="L976" t="s">
        <v>159</v>
      </c>
      <c r="N976" t="s">
        <v>221</v>
      </c>
      <c r="O976" t="s">
        <v>310</v>
      </c>
      <c r="P976">
        <v>2.0424096149319084E-2</v>
      </c>
      <c r="Q976" t="s">
        <v>159</v>
      </c>
      <c r="S976" t="s">
        <v>263</v>
      </c>
      <c r="T976" t="s">
        <v>310</v>
      </c>
      <c r="U976">
        <v>2.042886931203541E-2</v>
      </c>
      <c r="V976" t="s">
        <v>159</v>
      </c>
    </row>
    <row r="977" spans="9:22" x14ac:dyDescent="0.45">
      <c r="I977" t="s">
        <v>178</v>
      </c>
      <c r="J977" t="s">
        <v>293</v>
      </c>
      <c r="K977">
        <v>0</v>
      </c>
      <c r="L977" t="s">
        <v>159</v>
      </c>
      <c r="N977" t="s">
        <v>221</v>
      </c>
      <c r="O977" t="s">
        <v>293</v>
      </c>
      <c r="P977">
        <v>5.0183149334243338E-3</v>
      </c>
      <c r="Q977" t="s">
        <v>159</v>
      </c>
      <c r="S977" t="s">
        <v>263</v>
      </c>
      <c r="T977" t="s">
        <v>293</v>
      </c>
      <c r="U977">
        <v>8.6490434449391466E-3</v>
      </c>
      <c r="V977" t="s">
        <v>159</v>
      </c>
    </row>
    <row r="978" spans="9:22" x14ac:dyDescent="0.45">
      <c r="I978" t="s">
        <v>178</v>
      </c>
      <c r="J978" t="s">
        <v>294</v>
      </c>
      <c r="K978">
        <v>8.7062278649197272E-4</v>
      </c>
      <c r="L978" t="s">
        <v>159</v>
      </c>
      <c r="N978" t="s">
        <v>221</v>
      </c>
      <c r="O978" t="s">
        <v>294</v>
      </c>
      <c r="P978">
        <v>8.3884104296108055E-4</v>
      </c>
      <c r="Q978" t="s">
        <v>159</v>
      </c>
      <c r="S978" t="s">
        <v>263</v>
      </c>
      <c r="T978" t="s">
        <v>294</v>
      </c>
      <c r="U978">
        <v>1.115005649563329E-3</v>
      </c>
      <c r="V978" t="s">
        <v>159</v>
      </c>
    </row>
    <row r="979" spans="9:22" x14ac:dyDescent="0.45">
      <c r="I979" t="s">
        <v>178</v>
      </c>
      <c r="J979" t="s">
        <v>295</v>
      </c>
      <c r="K979">
        <v>1.3530047242965084E-2</v>
      </c>
      <c r="L979" t="s">
        <v>159</v>
      </c>
      <c r="N979" t="s">
        <v>221</v>
      </c>
      <c r="O979" t="s">
        <v>295</v>
      </c>
      <c r="P979">
        <v>7.7412216211728913E-3</v>
      </c>
      <c r="Q979" t="s">
        <v>159</v>
      </c>
      <c r="S979" t="s">
        <v>263</v>
      </c>
      <c r="T979" t="s">
        <v>295</v>
      </c>
      <c r="U979">
        <v>9.1595858621517125E-3</v>
      </c>
      <c r="V979" t="s">
        <v>159</v>
      </c>
    </row>
    <row r="980" spans="9:22" x14ac:dyDescent="0.45">
      <c r="I980" t="s">
        <v>178</v>
      </c>
      <c r="J980" t="s">
        <v>296</v>
      </c>
      <c r="K980">
        <v>1.1303998423747681E-3</v>
      </c>
      <c r="L980" t="s">
        <v>159</v>
      </c>
      <c r="N980" t="s">
        <v>221</v>
      </c>
      <c r="O980" t="s">
        <v>296</v>
      </c>
      <c r="P980">
        <v>7.2806607757821759E-4</v>
      </c>
      <c r="Q980" t="s">
        <v>159</v>
      </c>
      <c r="S980" t="s">
        <v>263</v>
      </c>
      <c r="T980" t="s">
        <v>296</v>
      </c>
      <c r="U980">
        <v>1.2200883176315279E-3</v>
      </c>
      <c r="V980" t="s">
        <v>159</v>
      </c>
    </row>
    <row r="981" spans="9:22" x14ac:dyDescent="0.45">
      <c r="I981" t="s">
        <v>178</v>
      </c>
      <c r="J981" t="s">
        <v>297</v>
      </c>
      <c r="K981">
        <v>0</v>
      </c>
      <c r="L981" t="s">
        <v>159</v>
      </c>
      <c r="N981" t="s">
        <v>221</v>
      </c>
      <c r="O981" t="s">
        <v>297</v>
      </c>
      <c r="P981">
        <v>7.1907636753036478E-4</v>
      </c>
      <c r="Q981" t="s">
        <v>159</v>
      </c>
      <c r="S981" t="s">
        <v>263</v>
      </c>
      <c r="T981" t="s">
        <v>297</v>
      </c>
      <c r="U981">
        <v>1.2401484778850448E-3</v>
      </c>
      <c r="V981" t="s">
        <v>159</v>
      </c>
    </row>
    <row r="982" spans="9:22" x14ac:dyDescent="0.45">
      <c r="I982" t="s">
        <v>178</v>
      </c>
      <c r="J982" t="s">
        <v>311</v>
      </c>
      <c r="K982">
        <v>0</v>
      </c>
      <c r="L982" t="s">
        <v>159</v>
      </c>
      <c r="N982" t="s">
        <v>221</v>
      </c>
      <c r="O982" t="s">
        <v>311</v>
      </c>
      <c r="P982">
        <v>2.5737741459898279E-3</v>
      </c>
      <c r="Q982" t="s">
        <v>159</v>
      </c>
      <c r="S982" t="s">
        <v>263</v>
      </c>
      <c r="T982" t="s">
        <v>311</v>
      </c>
      <c r="U982">
        <v>6.3922402980102939E-3</v>
      </c>
      <c r="V982" t="s">
        <v>159</v>
      </c>
    </row>
    <row r="983" spans="9:22" x14ac:dyDescent="0.45">
      <c r="I983" t="s">
        <v>178</v>
      </c>
      <c r="J983" t="s">
        <v>298</v>
      </c>
      <c r="K983">
        <v>8.5658844633933699E-3</v>
      </c>
      <c r="L983" t="s">
        <v>159</v>
      </c>
      <c r="N983" t="s">
        <v>221</v>
      </c>
      <c r="O983" t="s">
        <v>298</v>
      </c>
      <c r="P983">
        <v>7.4195525417904348E-2</v>
      </c>
      <c r="Q983" t="s">
        <v>159</v>
      </c>
      <c r="S983" t="s">
        <v>263</v>
      </c>
      <c r="T983" t="s">
        <v>298</v>
      </c>
      <c r="U983">
        <v>7.8962755104430141E-2</v>
      </c>
      <c r="V983" t="s">
        <v>159</v>
      </c>
    </row>
    <row r="984" spans="9:22" x14ac:dyDescent="0.45">
      <c r="I984" t="s">
        <v>178</v>
      </c>
      <c r="J984" t="s">
        <v>299</v>
      </c>
      <c r="K984">
        <v>1.7928118364801595E-2</v>
      </c>
      <c r="L984" t="s">
        <v>159</v>
      </c>
      <c r="N984" t="s">
        <v>221</v>
      </c>
      <c r="O984" t="s">
        <v>299</v>
      </c>
      <c r="P984">
        <v>1.0483885640866405E-2</v>
      </c>
      <c r="Q984" t="s">
        <v>159</v>
      </c>
      <c r="S984" t="s">
        <v>263</v>
      </c>
      <c r="T984" t="s">
        <v>299</v>
      </c>
      <c r="U984">
        <v>1.0661433373579721E-2</v>
      </c>
      <c r="V984" t="s">
        <v>159</v>
      </c>
    </row>
    <row r="985" spans="9:22" x14ac:dyDescent="0.45">
      <c r="I985" t="s">
        <v>178</v>
      </c>
      <c r="J985" t="s">
        <v>300</v>
      </c>
      <c r="K985">
        <v>0.24151952172719041</v>
      </c>
      <c r="L985" t="s">
        <v>159</v>
      </c>
      <c r="N985" t="s">
        <v>221</v>
      </c>
      <c r="O985" t="s">
        <v>300</v>
      </c>
      <c r="P985">
        <v>0.11550524202732955</v>
      </c>
      <c r="Q985" t="s">
        <v>159</v>
      </c>
      <c r="S985" t="s">
        <v>263</v>
      </c>
      <c r="T985" t="s">
        <v>300</v>
      </c>
      <c r="U985">
        <v>0.10298431852472377</v>
      </c>
      <c r="V985" t="s">
        <v>159</v>
      </c>
    </row>
    <row r="986" spans="9:22" x14ac:dyDescent="0.45">
      <c r="I986" t="s">
        <v>178</v>
      </c>
      <c r="J986" t="s">
        <v>301</v>
      </c>
      <c r="K986">
        <v>2.2137456850854467E-2</v>
      </c>
      <c r="L986" t="s">
        <v>159</v>
      </c>
      <c r="N986" t="s">
        <v>221</v>
      </c>
      <c r="O986" t="s">
        <v>301</v>
      </c>
      <c r="P986">
        <v>1.5788224326837401E-2</v>
      </c>
      <c r="Q986" t="s">
        <v>159</v>
      </c>
      <c r="S986" t="s">
        <v>263</v>
      </c>
      <c r="T986" t="s">
        <v>301</v>
      </c>
      <c r="U986">
        <v>1.3098112421639416E-2</v>
      </c>
      <c r="V986" t="s">
        <v>159</v>
      </c>
    </row>
    <row r="987" spans="9:22" x14ac:dyDescent="0.45">
      <c r="I987" t="s">
        <v>178</v>
      </c>
      <c r="J987" t="s">
        <v>302</v>
      </c>
      <c r="K987">
        <v>1.3791967914455463E-2</v>
      </c>
      <c r="L987" t="s">
        <v>159</v>
      </c>
      <c r="N987" t="s">
        <v>221</v>
      </c>
      <c r="O987" t="s">
        <v>302</v>
      </c>
      <c r="P987">
        <v>1.4706757189194059E-2</v>
      </c>
      <c r="Q987" t="s">
        <v>159</v>
      </c>
      <c r="S987" t="s">
        <v>263</v>
      </c>
      <c r="T987" t="s">
        <v>302</v>
      </c>
      <c r="U987">
        <v>1.3275045824786273E-2</v>
      </c>
      <c r="V987" t="s">
        <v>159</v>
      </c>
    </row>
    <row r="988" spans="9:22" x14ac:dyDescent="0.45">
      <c r="I988" t="s">
        <v>178</v>
      </c>
      <c r="J988" t="s">
        <v>312</v>
      </c>
      <c r="K988">
        <v>5.3476167750079135E-5</v>
      </c>
      <c r="L988" t="s">
        <v>159</v>
      </c>
      <c r="N988" t="s">
        <v>221</v>
      </c>
      <c r="O988" t="s">
        <v>312</v>
      </c>
      <c r="P988">
        <v>5.6015946652612947E-2</v>
      </c>
      <c r="Q988" t="s">
        <v>159</v>
      </c>
      <c r="S988" t="s">
        <v>263</v>
      </c>
      <c r="T988" t="s">
        <v>312</v>
      </c>
      <c r="U988">
        <v>6.4591226093101584E-2</v>
      </c>
      <c r="V988" t="s">
        <v>159</v>
      </c>
    </row>
    <row r="989" spans="9:22" x14ac:dyDescent="0.45">
      <c r="I989" t="s">
        <v>178</v>
      </c>
      <c r="J989" t="s">
        <v>397</v>
      </c>
      <c r="K989">
        <v>0</v>
      </c>
      <c r="L989" t="s">
        <v>159</v>
      </c>
      <c r="N989" t="s">
        <v>221</v>
      </c>
      <c r="O989" t="s">
        <v>397</v>
      </c>
      <c r="P989">
        <v>1.9967972762909083E-5</v>
      </c>
      <c r="Q989" t="s">
        <v>159</v>
      </c>
      <c r="S989" t="s">
        <v>263</v>
      </c>
      <c r="T989" t="s">
        <v>397</v>
      </c>
      <c r="U989">
        <v>3.2688139347062564E-6</v>
      </c>
      <c r="V989" t="s">
        <v>159</v>
      </c>
    </row>
    <row r="990" spans="9:22" x14ac:dyDescent="0.45">
      <c r="I990" t="s">
        <v>178</v>
      </c>
      <c r="J990" t="s">
        <v>398</v>
      </c>
      <c r="K990">
        <v>0</v>
      </c>
      <c r="L990" t="s">
        <v>159</v>
      </c>
      <c r="N990" t="s">
        <v>221</v>
      </c>
      <c r="O990" t="s">
        <v>398</v>
      </c>
      <c r="P990">
        <v>1.9615583388175883E-5</v>
      </c>
      <c r="Q990" t="s">
        <v>159</v>
      </c>
      <c r="S990" t="s">
        <v>263</v>
      </c>
      <c r="T990" t="s">
        <v>398</v>
      </c>
      <c r="U990">
        <v>1.6187275451731887E-6</v>
      </c>
      <c r="V990" t="s">
        <v>159</v>
      </c>
    </row>
    <row r="991" spans="9:22" x14ac:dyDescent="0.45">
      <c r="I991" t="s">
        <v>178</v>
      </c>
      <c r="J991" t="s">
        <v>399</v>
      </c>
      <c r="K991">
        <v>0</v>
      </c>
      <c r="L991" t="s">
        <v>159</v>
      </c>
      <c r="N991" t="s">
        <v>221</v>
      </c>
      <c r="O991" t="s">
        <v>399</v>
      </c>
      <c r="P991">
        <v>2.1347192933209621E-5</v>
      </c>
      <c r="Q991" t="s">
        <v>159</v>
      </c>
      <c r="S991" t="s">
        <v>263</v>
      </c>
      <c r="T991" t="s">
        <v>399</v>
      </c>
      <c r="U991">
        <v>8.9004885289035722E-7</v>
      </c>
      <c r="V991" t="s">
        <v>159</v>
      </c>
    </row>
    <row r="992" spans="9:22" x14ac:dyDescent="0.45">
      <c r="I992" t="s">
        <v>178</v>
      </c>
      <c r="J992" t="s">
        <v>400</v>
      </c>
      <c r="K992">
        <v>0</v>
      </c>
      <c r="L992" t="s">
        <v>159</v>
      </c>
      <c r="N992" t="s">
        <v>221</v>
      </c>
      <c r="O992" t="s">
        <v>400</v>
      </c>
      <c r="P992">
        <v>2.4717288331913244E-5</v>
      </c>
      <c r="Q992" t="s">
        <v>159</v>
      </c>
      <c r="S992" t="s">
        <v>263</v>
      </c>
      <c r="T992" t="s">
        <v>400</v>
      </c>
      <c r="U992">
        <v>1.4747479691092224E-6</v>
      </c>
      <c r="V992" t="s">
        <v>159</v>
      </c>
    </row>
    <row r="993" spans="9:22" x14ac:dyDescent="0.45">
      <c r="I993" t="s">
        <v>178</v>
      </c>
      <c r="J993" t="s">
        <v>401</v>
      </c>
      <c r="K993">
        <v>0</v>
      </c>
      <c r="L993" t="s">
        <v>159</v>
      </c>
      <c r="N993" t="s">
        <v>221</v>
      </c>
      <c r="O993" t="s">
        <v>401</v>
      </c>
      <c r="P993">
        <v>2.5558260156846839E-5</v>
      </c>
      <c r="Q993" t="s">
        <v>159</v>
      </c>
      <c r="S993" t="s">
        <v>263</v>
      </c>
      <c r="T993" t="s">
        <v>401</v>
      </c>
      <c r="U993">
        <v>2.340789585800405E-6</v>
      </c>
      <c r="V993" t="s">
        <v>159</v>
      </c>
    </row>
    <row r="994" spans="9:22" x14ac:dyDescent="0.45">
      <c r="I994" t="s">
        <v>178</v>
      </c>
      <c r="J994" t="s">
        <v>402</v>
      </c>
      <c r="K994">
        <v>0</v>
      </c>
      <c r="L994" t="s">
        <v>159</v>
      </c>
      <c r="N994" t="s">
        <v>221</v>
      </c>
      <c r="O994" t="s">
        <v>402</v>
      </c>
      <c r="P994">
        <v>2.3635256113924071E-5</v>
      </c>
      <c r="Q994" t="s">
        <v>159</v>
      </c>
      <c r="S994" t="s">
        <v>263</v>
      </c>
      <c r="T994" t="s">
        <v>402</v>
      </c>
      <c r="U994">
        <v>2.9140300664495144E-6</v>
      </c>
      <c r="V994" t="s">
        <v>159</v>
      </c>
    </row>
    <row r="995" spans="9:22" x14ac:dyDescent="0.45">
      <c r="I995" t="s">
        <v>178</v>
      </c>
      <c r="J995" t="s">
        <v>403</v>
      </c>
      <c r="K995">
        <v>0</v>
      </c>
      <c r="L995" t="s">
        <v>159</v>
      </c>
      <c r="N995" t="s">
        <v>221</v>
      </c>
      <c r="O995" t="s">
        <v>403</v>
      </c>
      <c r="P995">
        <v>1.7477303740001455E-5</v>
      </c>
      <c r="Q995" t="s">
        <v>159</v>
      </c>
      <c r="S995" t="s">
        <v>263</v>
      </c>
      <c r="T995" t="s">
        <v>403</v>
      </c>
      <c r="U995">
        <v>3.4228028247861513E-6</v>
      </c>
      <c r="V995" t="s">
        <v>159</v>
      </c>
    </row>
    <row r="996" spans="9:22" x14ac:dyDescent="0.45">
      <c r="I996" t="s">
        <v>178</v>
      </c>
      <c r="J996" t="s">
        <v>404</v>
      </c>
      <c r="K996">
        <v>1.2879285584647943E-4</v>
      </c>
      <c r="L996" t="s">
        <v>159</v>
      </c>
      <c r="N996" t="s">
        <v>221</v>
      </c>
      <c r="O996" t="s">
        <v>404</v>
      </c>
      <c r="P996">
        <v>1.3008089227556358E-5</v>
      </c>
      <c r="Q996" t="s">
        <v>159</v>
      </c>
      <c r="S996" t="s">
        <v>263</v>
      </c>
      <c r="T996" t="s">
        <v>404</v>
      </c>
      <c r="U996">
        <v>4.3380836562409877E-6</v>
      </c>
      <c r="V996" t="s">
        <v>159</v>
      </c>
    </row>
    <row r="997" spans="9:22" x14ac:dyDescent="0.45">
      <c r="I997" t="s">
        <v>178</v>
      </c>
      <c r="J997" t="s">
        <v>405</v>
      </c>
      <c r="K997">
        <v>1.9921971078726018E-4</v>
      </c>
      <c r="L997" t="s">
        <v>159</v>
      </c>
      <c r="N997" t="s">
        <v>221</v>
      </c>
      <c r="O997" t="s">
        <v>405</v>
      </c>
      <c r="P997">
        <v>8.2005309513788285E-6</v>
      </c>
      <c r="Q997" t="s">
        <v>159</v>
      </c>
      <c r="S997" t="s">
        <v>263</v>
      </c>
      <c r="T997" t="s">
        <v>405</v>
      </c>
      <c r="U997">
        <v>5.3975337498864843E-6</v>
      </c>
      <c r="V997" t="s">
        <v>159</v>
      </c>
    </row>
    <row r="998" spans="9:22" x14ac:dyDescent="0.45">
      <c r="I998" t="s">
        <v>178</v>
      </c>
      <c r="J998" t="s">
        <v>406</v>
      </c>
      <c r="K998">
        <v>2.3243776310656841E-4</v>
      </c>
      <c r="L998" t="s">
        <v>159</v>
      </c>
      <c r="N998" t="s">
        <v>221</v>
      </c>
      <c r="O998" t="s">
        <v>406</v>
      </c>
      <c r="P998">
        <v>7.5234093804238726E-6</v>
      </c>
      <c r="Q998" t="s">
        <v>159</v>
      </c>
      <c r="S998" t="s">
        <v>263</v>
      </c>
      <c r="T998" t="s">
        <v>406</v>
      </c>
      <c r="U998">
        <v>6.0065021297637395E-6</v>
      </c>
      <c r="V998" t="s">
        <v>159</v>
      </c>
    </row>
    <row r="999" spans="9:22" x14ac:dyDescent="0.45">
      <c r="I999" t="s">
        <v>178</v>
      </c>
      <c r="J999" t="s">
        <v>407</v>
      </c>
      <c r="K999">
        <v>2.6397702866726066E-4</v>
      </c>
      <c r="L999" t="s">
        <v>159</v>
      </c>
      <c r="N999" t="s">
        <v>221</v>
      </c>
      <c r="O999" t="s">
        <v>407</v>
      </c>
      <c r="P999">
        <v>8.3139776594589723E-6</v>
      </c>
      <c r="Q999" t="s">
        <v>159</v>
      </c>
      <c r="S999" t="s">
        <v>263</v>
      </c>
      <c r="T999" t="s">
        <v>407</v>
      </c>
      <c r="U999">
        <v>6.0371329459487461E-6</v>
      </c>
      <c r="V999" t="s">
        <v>159</v>
      </c>
    </row>
    <row r="1000" spans="9:22" x14ac:dyDescent="0.45">
      <c r="I1000" t="s">
        <v>178</v>
      </c>
      <c r="J1000" t="s">
        <v>408</v>
      </c>
      <c r="K1000">
        <v>2.8219202870226036E-4</v>
      </c>
      <c r="L1000" t="s">
        <v>159</v>
      </c>
      <c r="N1000" t="s">
        <v>221</v>
      </c>
      <c r="O1000" t="s">
        <v>408</v>
      </c>
      <c r="P1000">
        <v>1.1312412606514223E-5</v>
      </c>
      <c r="Q1000" t="s">
        <v>159</v>
      </c>
      <c r="S1000" t="s">
        <v>263</v>
      </c>
      <c r="T1000" t="s">
        <v>408</v>
      </c>
      <c r="U1000">
        <v>6.410319111314681E-6</v>
      </c>
      <c r="V1000" t="s">
        <v>159</v>
      </c>
    </row>
    <row r="1001" spans="9:22" x14ac:dyDescent="0.45">
      <c r="I1001" t="s">
        <v>178</v>
      </c>
      <c r="J1001" t="s">
        <v>409</v>
      </c>
      <c r="K1001">
        <v>3.0643320697569103E-4</v>
      </c>
      <c r="L1001" t="s">
        <v>159</v>
      </c>
      <c r="N1001" t="s">
        <v>221</v>
      </c>
      <c r="O1001" t="s">
        <v>409</v>
      </c>
      <c r="P1001">
        <v>2.0340483767423651E-5</v>
      </c>
      <c r="Q1001" t="s">
        <v>159</v>
      </c>
      <c r="S1001" t="s">
        <v>263</v>
      </c>
      <c r="T1001" t="s">
        <v>409</v>
      </c>
      <c r="U1001">
        <v>9.733886670827277E-6</v>
      </c>
      <c r="V1001" t="s">
        <v>159</v>
      </c>
    </row>
    <row r="1002" spans="9:22" x14ac:dyDescent="0.45">
      <c r="I1002" t="s">
        <v>178</v>
      </c>
      <c r="J1002" t="s">
        <v>410</v>
      </c>
      <c r="K1002">
        <v>3.0018923504897846E-4</v>
      </c>
      <c r="L1002" t="s">
        <v>159</v>
      </c>
      <c r="N1002" t="s">
        <v>221</v>
      </c>
      <c r="O1002" t="s">
        <v>410</v>
      </c>
      <c r="P1002">
        <v>3.2982092953631653E-5</v>
      </c>
      <c r="Q1002" t="s">
        <v>159</v>
      </c>
      <c r="S1002" t="s">
        <v>263</v>
      </c>
      <c r="T1002" t="s">
        <v>410</v>
      </c>
      <c r="U1002">
        <v>1.525107394272789E-5</v>
      </c>
      <c r="V1002" t="s">
        <v>159</v>
      </c>
    </row>
    <row r="1003" spans="9:22" x14ac:dyDescent="0.45">
      <c r="I1003" t="s">
        <v>178</v>
      </c>
      <c r="J1003" t="s">
        <v>411</v>
      </c>
      <c r="K1003">
        <v>2.7698712685317772E-4</v>
      </c>
      <c r="L1003" t="s">
        <v>159</v>
      </c>
      <c r="N1003" t="s">
        <v>221</v>
      </c>
      <c r="O1003" t="s">
        <v>411</v>
      </c>
      <c r="P1003">
        <v>5.315813376149075E-5</v>
      </c>
      <c r="Q1003" t="s">
        <v>159</v>
      </c>
      <c r="S1003" t="s">
        <v>263</v>
      </c>
      <c r="T1003" t="s">
        <v>411</v>
      </c>
      <c r="U1003">
        <v>1.6613920302290912E-5</v>
      </c>
      <c r="V1003" t="s">
        <v>159</v>
      </c>
    </row>
    <row r="1004" spans="9:22" x14ac:dyDescent="0.45">
      <c r="I1004" t="s">
        <v>178</v>
      </c>
      <c r="J1004" t="s">
        <v>412</v>
      </c>
      <c r="K1004">
        <v>2.6754772107665957E-4</v>
      </c>
      <c r="L1004" t="s">
        <v>159</v>
      </c>
      <c r="N1004" t="s">
        <v>221</v>
      </c>
      <c r="O1004" t="s">
        <v>412</v>
      </c>
      <c r="P1004">
        <v>8.1384327724027541E-5</v>
      </c>
      <c r="Q1004" t="s">
        <v>159</v>
      </c>
      <c r="S1004" t="s">
        <v>263</v>
      </c>
      <c r="T1004" t="s">
        <v>412</v>
      </c>
      <c r="U1004">
        <v>1.5050883199037827E-5</v>
      </c>
      <c r="V1004" t="s">
        <v>159</v>
      </c>
    </row>
    <row r="1005" spans="9:22" x14ac:dyDescent="0.45">
      <c r="I1005" t="s">
        <v>178</v>
      </c>
      <c r="J1005" t="s">
        <v>413</v>
      </c>
      <c r="K1005">
        <v>2.6722207706721438E-4</v>
      </c>
      <c r="L1005" t="s">
        <v>159</v>
      </c>
      <c r="N1005" t="s">
        <v>221</v>
      </c>
      <c r="O1005" t="s">
        <v>413</v>
      </c>
      <c r="P1005">
        <v>1.0168220577471062E-4</v>
      </c>
      <c r="Q1005" t="s">
        <v>159</v>
      </c>
      <c r="S1005" t="s">
        <v>263</v>
      </c>
      <c r="T1005" t="s">
        <v>413</v>
      </c>
      <c r="U1005">
        <v>1.4263239042004162E-5</v>
      </c>
      <c r="V1005" t="s">
        <v>159</v>
      </c>
    </row>
    <row r="1006" spans="9:22" x14ac:dyDescent="0.45">
      <c r="I1006" t="s">
        <v>178</v>
      </c>
      <c r="J1006" t="s">
        <v>414</v>
      </c>
      <c r="K1006">
        <v>2.3182561683161309E-4</v>
      </c>
      <c r="L1006" t="s">
        <v>159</v>
      </c>
      <c r="N1006" t="s">
        <v>221</v>
      </c>
      <c r="O1006" t="s">
        <v>414</v>
      </c>
      <c r="P1006">
        <v>9.1516476348271872E-5</v>
      </c>
      <c r="Q1006" t="s">
        <v>159</v>
      </c>
      <c r="S1006" t="s">
        <v>263</v>
      </c>
      <c r="T1006" t="s">
        <v>414</v>
      </c>
      <c r="U1006">
        <v>1.4658503787363644E-5</v>
      </c>
      <c r="V1006" t="s">
        <v>159</v>
      </c>
    </row>
    <row r="1007" spans="9:22" x14ac:dyDescent="0.45">
      <c r="I1007" t="s">
        <v>178</v>
      </c>
      <c r="J1007" t="s">
        <v>415</v>
      </c>
      <c r="K1007">
        <v>1.5659673879652713E-4</v>
      </c>
      <c r="L1007" t="s">
        <v>159</v>
      </c>
      <c r="N1007" t="s">
        <v>221</v>
      </c>
      <c r="O1007" t="s">
        <v>415</v>
      </c>
      <c r="P1007">
        <v>7.1460638664190351E-5</v>
      </c>
      <c r="Q1007" t="s">
        <v>159</v>
      </c>
      <c r="S1007" t="s">
        <v>263</v>
      </c>
      <c r="T1007" t="s">
        <v>415</v>
      </c>
      <c r="U1007">
        <v>1.4384329918293443E-5</v>
      </c>
      <c r="V1007" t="s">
        <v>159</v>
      </c>
    </row>
    <row r="1008" spans="9:22" x14ac:dyDescent="0.45">
      <c r="I1008" t="s">
        <v>178</v>
      </c>
      <c r="J1008" t="s">
        <v>416</v>
      </c>
      <c r="K1008">
        <v>0</v>
      </c>
      <c r="L1008" t="s">
        <v>159</v>
      </c>
      <c r="N1008" t="s">
        <v>221</v>
      </c>
      <c r="O1008" t="s">
        <v>416</v>
      </c>
      <c r="P1008">
        <v>6.3193283044165271E-5</v>
      </c>
      <c r="Q1008" t="s">
        <v>159</v>
      </c>
      <c r="S1008" t="s">
        <v>263</v>
      </c>
      <c r="T1008" t="s">
        <v>416</v>
      </c>
      <c r="U1008">
        <v>9.8077695098530187E-6</v>
      </c>
      <c r="V1008" t="s">
        <v>159</v>
      </c>
    </row>
    <row r="1009" spans="9:22" x14ac:dyDescent="0.45">
      <c r="I1009" t="s">
        <v>178</v>
      </c>
      <c r="J1009" t="s">
        <v>417</v>
      </c>
      <c r="K1009">
        <v>0</v>
      </c>
      <c r="L1009" t="s">
        <v>159</v>
      </c>
      <c r="N1009" t="s">
        <v>221</v>
      </c>
      <c r="O1009" t="s">
        <v>417</v>
      </c>
      <c r="P1009">
        <v>6.2532485573854851E-5</v>
      </c>
      <c r="Q1009" t="s">
        <v>159</v>
      </c>
      <c r="S1009" t="s">
        <v>263</v>
      </c>
      <c r="T1009" t="s">
        <v>417</v>
      </c>
      <c r="U1009">
        <v>4.9121621913409095E-6</v>
      </c>
      <c r="V1009" t="s">
        <v>159</v>
      </c>
    </row>
    <row r="1010" spans="9:22" x14ac:dyDescent="0.45">
      <c r="I1010" t="s">
        <v>178</v>
      </c>
      <c r="J1010" t="s">
        <v>418</v>
      </c>
      <c r="K1010">
        <v>0</v>
      </c>
      <c r="L1010" t="s">
        <v>159</v>
      </c>
      <c r="N1010" t="s">
        <v>221</v>
      </c>
      <c r="O1010" t="s">
        <v>418</v>
      </c>
      <c r="P1010">
        <v>6.284072906278695E-5</v>
      </c>
      <c r="Q1010" t="s">
        <v>159</v>
      </c>
      <c r="S1010" t="s">
        <v>263</v>
      </c>
      <c r="T1010" t="s">
        <v>418</v>
      </c>
      <c r="U1010">
        <v>2.7142537996619582E-6</v>
      </c>
      <c r="V1010" t="s">
        <v>159</v>
      </c>
    </row>
    <row r="1011" spans="9:22" x14ac:dyDescent="0.45">
      <c r="I1011" t="s">
        <v>178</v>
      </c>
      <c r="J1011" t="s">
        <v>419</v>
      </c>
      <c r="K1011">
        <v>0</v>
      </c>
      <c r="L1011" t="s">
        <v>159</v>
      </c>
      <c r="N1011" t="s">
        <v>221</v>
      </c>
      <c r="O1011" t="s">
        <v>419</v>
      </c>
      <c r="P1011">
        <v>6.8416637730289303E-5</v>
      </c>
      <c r="Q1011" t="s">
        <v>159</v>
      </c>
      <c r="S1011" t="s">
        <v>263</v>
      </c>
      <c r="T1011" t="s">
        <v>419</v>
      </c>
      <c r="U1011">
        <v>2.9141633931506483E-6</v>
      </c>
      <c r="V1011" t="s">
        <v>159</v>
      </c>
    </row>
    <row r="1012" spans="9:22" x14ac:dyDescent="0.45">
      <c r="I1012" t="s">
        <v>178</v>
      </c>
      <c r="J1012" t="s">
        <v>420</v>
      </c>
      <c r="K1012">
        <v>0</v>
      </c>
      <c r="L1012" t="s">
        <v>159</v>
      </c>
      <c r="N1012" t="s">
        <v>221</v>
      </c>
      <c r="O1012" t="s">
        <v>420</v>
      </c>
      <c r="P1012">
        <v>7.9905468476308163E-5</v>
      </c>
      <c r="Q1012" t="s">
        <v>159</v>
      </c>
      <c r="S1012" t="s">
        <v>263</v>
      </c>
      <c r="T1012" t="s">
        <v>420</v>
      </c>
      <c r="U1012">
        <v>2.611061284392444E-6</v>
      </c>
      <c r="V1012" t="s">
        <v>159</v>
      </c>
    </row>
    <row r="1013" spans="9:22" x14ac:dyDescent="0.45">
      <c r="I1013" t="s">
        <v>178</v>
      </c>
      <c r="J1013" t="s">
        <v>313</v>
      </c>
      <c r="K1013">
        <v>4.4380168604434131E-3</v>
      </c>
      <c r="L1013" t="s">
        <v>159</v>
      </c>
      <c r="N1013" t="s">
        <v>221</v>
      </c>
      <c r="O1013" t="s">
        <v>313</v>
      </c>
      <c r="P1013">
        <v>1.3561707072954324E-2</v>
      </c>
      <c r="Q1013" t="s">
        <v>159</v>
      </c>
      <c r="S1013" t="s">
        <v>263</v>
      </c>
      <c r="T1013" t="s">
        <v>313</v>
      </c>
      <c r="U1013">
        <v>2.1085385041541567E-2</v>
      </c>
      <c r="V1013" t="s">
        <v>159</v>
      </c>
    </row>
    <row r="1014" spans="9:22" x14ac:dyDescent="0.45">
      <c r="I1014" t="s">
        <v>178</v>
      </c>
      <c r="J1014" t="s">
        <v>314</v>
      </c>
      <c r="K1014">
        <v>6.8187887658386894E-3</v>
      </c>
      <c r="L1014" t="s">
        <v>159</v>
      </c>
      <c r="N1014" t="s">
        <v>221</v>
      </c>
      <c r="O1014" t="s">
        <v>314</v>
      </c>
      <c r="P1014">
        <v>1.9938782194285297E-3</v>
      </c>
      <c r="Q1014" t="s">
        <v>159</v>
      </c>
      <c r="S1014" t="s">
        <v>263</v>
      </c>
      <c r="T1014" t="s">
        <v>314</v>
      </c>
      <c r="U1014">
        <v>3.000717696655485E-3</v>
      </c>
      <c r="V1014" t="s">
        <v>159</v>
      </c>
    </row>
    <row r="1015" spans="9:22" x14ac:dyDescent="0.45">
      <c r="I1015" t="s">
        <v>178</v>
      </c>
      <c r="J1015" t="s">
        <v>315</v>
      </c>
      <c r="K1015">
        <v>8.8355648508494325E-2</v>
      </c>
      <c r="L1015" t="s">
        <v>159</v>
      </c>
      <c r="N1015" t="s">
        <v>221</v>
      </c>
      <c r="O1015" t="s">
        <v>315</v>
      </c>
      <c r="P1015">
        <v>2.821020413071915E-2</v>
      </c>
      <c r="Q1015" t="s">
        <v>159</v>
      </c>
      <c r="S1015" t="s">
        <v>263</v>
      </c>
      <c r="T1015" t="s">
        <v>315</v>
      </c>
      <c r="U1015">
        <v>2.5326018987620779E-2</v>
      </c>
      <c r="V1015" t="s">
        <v>159</v>
      </c>
    </row>
    <row r="1016" spans="9:22" x14ac:dyDescent="0.45">
      <c r="I1016" t="s">
        <v>178</v>
      </c>
      <c r="J1016" t="s">
        <v>316</v>
      </c>
      <c r="K1016">
        <v>8.6372124435667615E-3</v>
      </c>
      <c r="L1016" t="s">
        <v>159</v>
      </c>
      <c r="N1016" t="s">
        <v>221</v>
      </c>
      <c r="O1016" t="s">
        <v>316</v>
      </c>
      <c r="P1016">
        <v>3.9172500598381402E-3</v>
      </c>
      <c r="Q1016" t="s">
        <v>159</v>
      </c>
      <c r="S1016" t="s">
        <v>263</v>
      </c>
      <c r="T1016" t="s">
        <v>316</v>
      </c>
      <c r="U1016">
        <v>3.0151573181358658E-3</v>
      </c>
      <c r="V1016" t="s">
        <v>159</v>
      </c>
    </row>
    <row r="1017" spans="9:22" x14ac:dyDescent="0.45">
      <c r="I1017" t="s">
        <v>178</v>
      </c>
      <c r="J1017" t="s">
        <v>317</v>
      </c>
      <c r="K1017">
        <v>6.8366085448817613E-3</v>
      </c>
      <c r="L1017" t="s">
        <v>159</v>
      </c>
      <c r="N1017" t="s">
        <v>221</v>
      </c>
      <c r="O1017" t="s">
        <v>317</v>
      </c>
      <c r="P1017">
        <v>3.5716923609219291E-3</v>
      </c>
      <c r="Q1017" t="s">
        <v>159</v>
      </c>
      <c r="S1017" t="s">
        <v>263</v>
      </c>
      <c r="T1017" t="s">
        <v>317</v>
      </c>
      <c r="U1017">
        <v>3.0767151492388091E-3</v>
      </c>
      <c r="V1017" t="s">
        <v>159</v>
      </c>
    </row>
    <row r="1018" spans="9:22" x14ac:dyDescent="0.45">
      <c r="I1018" t="s">
        <v>178</v>
      </c>
      <c r="J1018" t="s">
        <v>318</v>
      </c>
      <c r="K1018">
        <v>3.9040290053841934E-3</v>
      </c>
      <c r="L1018" t="s">
        <v>159</v>
      </c>
      <c r="N1018" t="s">
        <v>221</v>
      </c>
      <c r="O1018" t="s">
        <v>318</v>
      </c>
      <c r="P1018">
        <v>1.3495022631043848E-2</v>
      </c>
      <c r="Q1018" t="s">
        <v>159</v>
      </c>
      <c r="S1018" t="s">
        <v>263</v>
      </c>
      <c r="T1018" t="s">
        <v>318</v>
      </c>
      <c r="U1018">
        <v>1.5428556006659591E-2</v>
      </c>
      <c r="V1018" t="s">
        <v>159</v>
      </c>
    </row>
    <row r="1019" spans="9:22" x14ac:dyDescent="0.45">
      <c r="I1019" t="s">
        <v>179</v>
      </c>
      <c r="J1019" t="s">
        <v>158</v>
      </c>
      <c r="K1019">
        <v>8.0045574795972099E-3</v>
      </c>
      <c r="L1019" t="s">
        <v>159</v>
      </c>
      <c r="N1019" t="s">
        <v>222</v>
      </c>
      <c r="O1019" t="s">
        <v>158</v>
      </c>
      <c r="P1019">
        <v>0.10537664326511269</v>
      </c>
      <c r="Q1019" t="s">
        <v>159</v>
      </c>
      <c r="S1019" t="s">
        <v>264</v>
      </c>
      <c r="T1019" t="s">
        <v>158</v>
      </c>
      <c r="U1019">
        <v>0.12719805018006677</v>
      </c>
      <c r="V1019" t="s">
        <v>159</v>
      </c>
    </row>
    <row r="1020" spans="9:22" x14ac:dyDescent="0.45">
      <c r="I1020" t="s">
        <v>179</v>
      </c>
      <c r="J1020" t="s">
        <v>160</v>
      </c>
      <c r="K1020">
        <v>2.7070001178531179E-2</v>
      </c>
      <c r="L1020" t="s">
        <v>159</v>
      </c>
      <c r="N1020" t="s">
        <v>222</v>
      </c>
      <c r="O1020" t="s">
        <v>160</v>
      </c>
      <c r="P1020">
        <v>1.4724595122171063E-2</v>
      </c>
      <c r="Q1020" t="s">
        <v>159</v>
      </c>
      <c r="S1020" t="s">
        <v>264</v>
      </c>
      <c r="T1020" t="s">
        <v>160</v>
      </c>
      <c r="U1020">
        <v>1.7869378361027786E-2</v>
      </c>
      <c r="V1020" t="s">
        <v>159</v>
      </c>
    </row>
    <row r="1021" spans="9:22" x14ac:dyDescent="0.45">
      <c r="I1021" t="s">
        <v>179</v>
      </c>
      <c r="J1021" t="s">
        <v>161</v>
      </c>
      <c r="K1021">
        <v>0.37661123031560007</v>
      </c>
      <c r="L1021" t="s">
        <v>159</v>
      </c>
      <c r="N1021" t="s">
        <v>222</v>
      </c>
      <c r="O1021" t="s">
        <v>161</v>
      </c>
      <c r="P1021">
        <v>0.17677166303327982</v>
      </c>
      <c r="Q1021" t="s">
        <v>159</v>
      </c>
      <c r="S1021" t="s">
        <v>264</v>
      </c>
      <c r="T1021" t="s">
        <v>161</v>
      </c>
      <c r="U1021">
        <v>0.15733393670096729</v>
      </c>
      <c r="V1021" t="s">
        <v>159</v>
      </c>
    </row>
    <row r="1022" spans="9:22" x14ac:dyDescent="0.45">
      <c r="I1022" t="s">
        <v>179</v>
      </c>
      <c r="J1022" t="s">
        <v>287</v>
      </c>
      <c r="K1022">
        <v>3.4898819431750078E-2</v>
      </c>
      <c r="L1022" t="s">
        <v>159</v>
      </c>
      <c r="N1022" t="s">
        <v>222</v>
      </c>
      <c r="O1022" t="s">
        <v>287</v>
      </c>
      <c r="P1022">
        <v>2.4971665876914059E-2</v>
      </c>
      <c r="Q1022" t="s">
        <v>159</v>
      </c>
      <c r="S1022" t="s">
        <v>264</v>
      </c>
      <c r="T1022" t="s">
        <v>287</v>
      </c>
      <c r="U1022">
        <v>1.7910563031279712E-2</v>
      </c>
      <c r="V1022" t="s">
        <v>159</v>
      </c>
    </row>
    <row r="1023" spans="9:22" x14ac:dyDescent="0.45">
      <c r="I1023" t="s">
        <v>179</v>
      </c>
      <c r="J1023" t="s">
        <v>288</v>
      </c>
      <c r="K1023">
        <v>1.9033208819808328E-2</v>
      </c>
      <c r="L1023" t="s">
        <v>159</v>
      </c>
      <c r="N1023" t="s">
        <v>222</v>
      </c>
      <c r="O1023" t="s">
        <v>288</v>
      </c>
      <c r="P1023">
        <v>2.287012443907608E-2</v>
      </c>
      <c r="Q1023" t="s">
        <v>159</v>
      </c>
      <c r="S1023" t="s">
        <v>264</v>
      </c>
      <c r="T1023" t="s">
        <v>288</v>
      </c>
      <c r="U1023">
        <v>1.7868941983784806E-2</v>
      </c>
      <c r="V1023" t="s">
        <v>159</v>
      </c>
    </row>
    <row r="1024" spans="9:22" x14ac:dyDescent="0.45">
      <c r="I1024" t="s">
        <v>179</v>
      </c>
      <c r="J1024" t="s">
        <v>308</v>
      </c>
      <c r="K1024">
        <v>6.1032881669155215E-3</v>
      </c>
      <c r="L1024" t="s">
        <v>159</v>
      </c>
      <c r="N1024" t="s">
        <v>222</v>
      </c>
      <c r="O1024" t="s">
        <v>308</v>
      </c>
      <c r="P1024">
        <v>8.9150318170992185E-2</v>
      </c>
      <c r="Q1024" t="s">
        <v>159</v>
      </c>
      <c r="S1024" t="s">
        <v>264</v>
      </c>
      <c r="T1024" t="s">
        <v>308</v>
      </c>
      <c r="U1024">
        <v>8.8175355692300755E-2</v>
      </c>
      <c r="V1024" t="s">
        <v>159</v>
      </c>
    </row>
    <row r="1025" spans="9:22" x14ac:dyDescent="0.45">
      <c r="I1025" t="s">
        <v>179</v>
      </c>
      <c r="J1025" t="s">
        <v>162</v>
      </c>
      <c r="K1025">
        <v>0</v>
      </c>
      <c r="L1025" t="s">
        <v>159</v>
      </c>
      <c r="N1025" t="s">
        <v>222</v>
      </c>
      <c r="O1025" t="s">
        <v>162</v>
      </c>
      <c r="P1025">
        <v>2.0935191127828802E-2</v>
      </c>
      <c r="Q1025" t="s">
        <v>159</v>
      </c>
      <c r="S1025" t="s">
        <v>264</v>
      </c>
      <c r="T1025" t="s">
        <v>162</v>
      </c>
      <c r="U1025">
        <v>2.5949842783251575E-2</v>
      </c>
      <c r="V1025" t="s">
        <v>159</v>
      </c>
    </row>
    <row r="1026" spans="9:22" x14ac:dyDescent="0.45">
      <c r="I1026" t="s">
        <v>179</v>
      </c>
      <c r="J1026" t="s">
        <v>163</v>
      </c>
      <c r="K1026">
        <v>0</v>
      </c>
      <c r="L1026" t="s">
        <v>159</v>
      </c>
      <c r="N1026" t="s">
        <v>222</v>
      </c>
      <c r="O1026" t="s">
        <v>163</v>
      </c>
      <c r="P1026">
        <v>2.8425792400193564E-3</v>
      </c>
      <c r="Q1026" t="s">
        <v>159</v>
      </c>
      <c r="S1026" t="s">
        <v>264</v>
      </c>
      <c r="T1026" t="s">
        <v>163</v>
      </c>
      <c r="U1026">
        <v>3.5978258532396081E-3</v>
      </c>
      <c r="V1026" t="s">
        <v>159</v>
      </c>
    </row>
    <row r="1027" spans="9:22" x14ac:dyDescent="0.45">
      <c r="I1027" t="s">
        <v>179</v>
      </c>
      <c r="J1027" t="s">
        <v>164</v>
      </c>
      <c r="K1027">
        <v>3.7195245870859789E-2</v>
      </c>
      <c r="L1027" t="s">
        <v>159</v>
      </c>
      <c r="N1027" t="s">
        <v>222</v>
      </c>
      <c r="O1027" t="s">
        <v>164</v>
      </c>
      <c r="P1027">
        <v>2.7219607195633912E-2</v>
      </c>
      <c r="Q1027" t="s">
        <v>159</v>
      </c>
      <c r="S1027" t="s">
        <v>264</v>
      </c>
      <c r="T1027" t="s">
        <v>164</v>
      </c>
      <c r="U1027">
        <v>3.0520681110584185E-2</v>
      </c>
      <c r="V1027" t="s">
        <v>159</v>
      </c>
    </row>
    <row r="1028" spans="9:22" x14ac:dyDescent="0.45">
      <c r="I1028" t="s">
        <v>179</v>
      </c>
      <c r="J1028" t="s">
        <v>289</v>
      </c>
      <c r="K1028">
        <v>3.1643779024215363E-3</v>
      </c>
      <c r="L1028" t="s">
        <v>159</v>
      </c>
      <c r="N1028" t="s">
        <v>222</v>
      </c>
      <c r="O1028" t="s">
        <v>289</v>
      </c>
      <c r="P1028">
        <v>3.3233574846829074E-3</v>
      </c>
      <c r="Q1028" t="s">
        <v>159</v>
      </c>
      <c r="S1028" t="s">
        <v>264</v>
      </c>
      <c r="T1028" t="s">
        <v>289</v>
      </c>
      <c r="U1028">
        <v>3.1322165535846856E-3</v>
      </c>
      <c r="V1028" t="s">
        <v>159</v>
      </c>
    </row>
    <row r="1029" spans="9:22" x14ac:dyDescent="0.45">
      <c r="I1029" t="s">
        <v>179</v>
      </c>
      <c r="J1029" t="s">
        <v>290</v>
      </c>
      <c r="K1029">
        <v>0</v>
      </c>
      <c r="L1029" t="s">
        <v>159</v>
      </c>
      <c r="N1029" t="s">
        <v>222</v>
      </c>
      <c r="O1029" t="s">
        <v>290</v>
      </c>
      <c r="P1029">
        <v>3.2989746608913036E-3</v>
      </c>
      <c r="Q1029" t="s">
        <v>159</v>
      </c>
      <c r="S1029" t="s">
        <v>264</v>
      </c>
      <c r="T1029" t="s">
        <v>290</v>
      </c>
      <c r="U1029">
        <v>3.1817430761811576E-3</v>
      </c>
      <c r="V1029" t="s">
        <v>159</v>
      </c>
    </row>
    <row r="1030" spans="9:22" x14ac:dyDescent="0.45">
      <c r="I1030" t="s">
        <v>179</v>
      </c>
      <c r="J1030" t="s">
        <v>309</v>
      </c>
      <c r="K1030">
        <v>0</v>
      </c>
      <c r="L1030" t="s">
        <v>159</v>
      </c>
      <c r="N1030" t="s">
        <v>222</v>
      </c>
      <c r="O1030" t="s">
        <v>309</v>
      </c>
      <c r="P1030">
        <v>1.5926134640833641E-2</v>
      </c>
      <c r="Q1030" t="s">
        <v>159</v>
      </c>
      <c r="S1030" t="s">
        <v>264</v>
      </c>
      <c r="T1030" t="s">
        <v>309</v>
      </c>
      <c r="U1030">
        <v>1.6476907276351212E-2</v>
      </c>
      <c r="V1030" t="s">
        <v>159</v>
      </c>
    </row>
    <row r="1031" spans="9:22" x14ac:dyDescent="0.45">
      <c r="I1031" t="s">
        <v>179</v>
      </c>
      <c r="J1031" t="s">
        <v>346</v>
      </c>
      <c r="K1031">
        <v>0</v>
      </c>
      <c r="L1031" t="s">
        <v>159</v>
      </c>
      <c r="N1031" t="s">
        <v>222</v>
      </c>
      <c r="O1031" t="s">
        <v>346</v>
      </c>
      <c r="P1031">
        <v>1.5431082772864573E-5</v>
      </c>
      <c r="Q1031" t="s">
        <v>159</v>
      </c>
      <c r="S1031" t="s">
        <v>264</v>
      </c>
      <c r="T1031" t="s">
        <v>346</v>
      </c>
      <c r="U1031">
        <v>4.8348856076716221E-5</v>
      </c>
      <c r="V1031" t="s">
        <v>159</v>
      </c>
    </row>
    <row r="1032" spans="9:22" x14ac:dyDescent="0.45">
      <c r="I1032" t="s">
        <v>179</v>
      </c>
      <c r="J1032" t="s">
        <v>347</v>
      </c>
      <c r="K1032">
        <v>0</v>
      </c>
      <c r="L1032" t="s">
        <v>159</v>
      </c>
      <c r="N1032" t="s">
        <v>222</v>
      </c>
      <c r="O1032" t="s">
        <v>347</v>
      </c>
      <c r="P1032">
        <v>3.9980125722215634E-6</v>
      </c>
      <c r="Q1032" t="s">
        <v>159</v>
      </c>
      <c r="S1032" t="s">
        <v>264</v>
      </c>
      <c r="T1032" t="s">
        <v>347</v>
      </c>
      <c r="U1032">
        <v>4.8678668521526024E-5</v>
      </c>
      <c r="V1032" t="s">
        <v>159</v>
      </c>
    </row>
    <row r="1033" spans="9:22" x14ac:dyDescent="0.45">
      <c r="I1033" t="s">
        <v>179</v>
      </c>
      <c r="J1033" t="s">
        <v>348</v>
      </c>
      <c r="K1033">
        <v>0</v>
      </c>
      <c r="L1033" t="s">
        <v>159</v>
      </c>
      <c r="N1033" t="s">
        <v>222</v>
      </c>
      <c r="O1033" t="s">
        <v>348</v>
      </c>
      <c r="P1033">
        <v>2.2645467879278705E-6</v>
      </c>
      <c r="Q1033" t="s">
        <v>159</v>
      </c>
      <c r="S1033" t="s">
        <v>264</v>
      </c>
      <c r="T1033" t="s">
        <v>348</v>
      </c>
      <c r="U1033">
        <v>4.1747864562580183E-5</v>
      </c>
      <c r="V1033" t="s">
        <v>159</v>
      </c>
    </row>
    <row r="1034" spans="9:22" x14ac:dyDescent="0.45">
      <c r="I1034" t="s">
        <v>179</v>
      </c>
      <c r="J1034" t="s">
        <v>349</v>
      </c>
      <c r="K1034">
        <v>0</v>
      </c>
      <c r="L1034" t="s">
        <v>159</v>
      </c>
      <c r="N1034" t="s">
        <v>222</v>
      </c>
      <c r="O1034" t="s">
        <v>349</v>
      </c>
      <c r="P1034">
        <v>6.1919634098920366E-6</v>
      </c>
      <c r="Q1034" t="s">
        <v>159</v>
      </c>
      <c r="S1034" t="s">
        <v>264</v>
      </c>
      <c r="T1034" t="s">
        <v>349</v>
      </c>
      <c r="U1034">
        <v>3.3658879418257483E-5</v>
      </c>
      <c r="V1034" t="s">
        <v>159</v>
      </c>
    </row>
    <row r="1035" spans="9:22" x14ac:dyDescent="0.45">
      <c r="I1035" t="s">
        <v>179</v>
      </c>
      <c r="J1035" t="s">
        <v>350</v>
      </c>
      <c r="K1035">
        <v>0</v>
      </c>
      <c r="L1035" t="s">
        <v>159</v>
      </c>
      <c r="N1035" t="s">
        <v>222</v>
      </c>
      <c r="O1035" t="s">
        <v>350</v>
      </c>
      <c r="P1035">
        <v>1.6512280949928155E-5</v>
      </c>
      <c r="Q1035" t="s">
        <v>159</v>
      </c>
      <c r="S1035" t="s">
        <v>264</v>
      </c>
      <c r="T1035" t="s">
        <v>350</v>
      </c>
      <c r="U1035">
        <v>2.723096006209617E-5</v>
      </c>
      <c r="V1035" t="s">
        <v>159</v>
      </c>
    </row>
    <row r="1036" spans="9:22" x14ac:dyDescent="0.45">
      <c r="I1036" t="s">
        <v>179</v>
      </c>
      <c r="J1036" t="s">
        <v>351</v>
      </c>
      <c r="K1036">
        <v>0</v>
      </c>
      <c r="L1036" t="s">
        <v>159</v>
      </c>
      <c r="N1036" t="s">
        <v>222</v>
      </c>
      <c r="O1036" t="s">
        <v>351</v>
      </c>
      <c r="P1036">
        <v>3.0840284809927706E-5</v>
      </c>
      <c r="Q1036" t="s">
        <v>159</v>
      </c>
      <c r="S1036" t="s">
        <v>264</v>
      </c>
      <c r="T1036" t="s">
        <v>351</v>
      </c>
      <c r="U1036">
        <v>2.3938459351452387E-5</v>
      </c>
      <c r="V1036" t="s">
        <v>159</v>
      </c>
    </row>
    <row r="1037" spans="9:22" x14ac:dyDescent="0.45">
      <c r="I1037" t="s">
        <v>179</v>
      </c>
      <c r="J1037" t="s">
        <v>352</v>
      </c>
      <c r="K1037">
        <v>0</v>
      </c>
      <c r="L1037" t="s">
        <v>159</v>
      </c>
      <c r="N1037" t="s">
        <v>222</v>
      </c>
      <c r="O1037" t="s">
        <v>352</v>
      </c>
      <c r="P1037">
        <v>3.8063552199444032E-5</v>
      </c>
      <c r="Q1037" t="s">
        <v>159</v>
      </c>
      <c r="S1037" t="s">
        <v>264</v>
      </c>
      <c r="T1037" t="s">
        <v>352</v>
      </c>
      <c r="U1037">
        <v>2.8158077947215401E-5</v>
      </c>
      <c r="V1037" t="s">
        <v>159</v>
      </c>
    </row>
    <row r="1038" spans="9:22" x14ac:dyDescent="0.45">
      <c r="I1038" t="s">
        <v>179</v>
      </c>
      <c r="J1038" t="s">
        <v>353</v>
      </c>
      <c r="K1038">
        <v>0</v>
      </c>
      <c r="L1038" t="s">
        <v>159</v>
      </c>
      <c r="N1038" t="s">
        <v>222</v>
      </c>
      <c r="O1038" t="s">
        <v>353</v>
      </c>
      <c r="P1038">
        <v>4.0909045295278071E-5</v>
      </c>
      <c r="Q1038" t="s">
        <v>159</v>
      </c>
      <c r="S1038" t="s">
        <v>264</v>
      </c>
      <c r="T1038" t="s">
        <v>353</v>
      </c>
      <c r="U1038">
        <v>3.575667965658784E-5</v>
      </c>
      <c r="V1038" t="s">
        <v>159</v>
      </c>
    </row>
    <row r="1039" spans="9:22" x14ac:dyDescent="0.45">
      <c r="I1039" t="s">
        <v>179</v>
      </c>
      <c r="J1039" t="s">
        <v>354</v>
      </c>
      <c r="K1039">
        <v>1.6024719258123928E-4</v>
      </c>
      <c r="L1039" t="s">
        <v>159</v>
      </c>
      <c r="N1039" t="s">
        <v>222</v>
      </c>
      <c r="O1039" t="s">
        <v>354</v>
      </c>
      <c r="P1039">
        <v>3.7880074058535268E-5</v>
      </c>
      <c r="Q1039" t="s">
        <v>159</v>
      </c>
      <c r="S1039" t="s">
        <v>264</v>
      </c>
      <c r="T1039" t="s">
        <v>354</v>
      </c>
      <c r="U1039">
        <v>4.6574031227005612E-5</v>
      </c>
      <c r="V1039" t="s">
        <v>159</v>
      </c>
    </row>
    <row r="1040" spans="9:22" x14ac:dyDescent="0.45">
      <c r="I1040" t="s">
        <v>179</v>
      </c>
      <c r="J1040" t="s">
        <v>355</v>
      </c>
      <c r="K1040">
        <v>1.7516440515388565E-4</v>
      </c>
      <c r="L1040" t="s">
        <v>159</v>
      </c>
      <c r="N1040" t="s">
        <v>222</v>
      </c>
      <c r="O1040" t="s">
        <v>355</v>
      </c>
      <c r="P1040">
        <v>2.7775417478922401E-5</v>
      </c>
      <c r="Q1040" t="s">
        <v>159</v>
      </c>
      <c r="S1040" t="s">
        <v>264</v>
      </c>
      <c r="T1040" t="s">
        <v>355</v>
      </c>
      <c r="U1040">
        <v>4.9585695642795084E-5</v>
      </c>
      <c r="V1040" t="s">
        <v>159</v>
      </c>
    </row>
    <row r="1041" spans="9:22" x14ac:dyDescent="0.45">
      <c r="I1041" t="s">
        <v>179</v>
      </c>
      <c r="J1041" t="s">
        <v>356</v>
      </c>
      <c r="K1041">
        <v>1.5949048829410451E-4</v>
      </c>
      <c r="L1041" t="s">
        <v>159</v>
      </c>
      <c r="N1041" t="s">
        <v>222</v>
      </c>
      <c r="O1041" t="s">
        <v>356</v>
      </c>
      <c r="P1041">
        <v>1.7087058285920589E-5</v>
      </c>
      <c r="Q1041" t="s">
        <v>159</v>
      </c>
      <c r="S1041" t="s">
        <v>264</v>
      </c>
      <c r="T1041" t="s">
        <v>356</v>
      </c>
      <c r="U1041">
        <v>4.251231072391306E-5</v>
      </c>
      <c r="V1041" t="s">
        <v>159</v>
      </c>
    </row>
    <row r="1042" spans="9:22" x14ac:dyDescent="0.45">
      <c r="I1042" t="s">
        <v>179</v>
      </c>
      <c r="J1042" t="s">
        <v>357</v>
      </c>
      <c r="K1042">
        <v>1.6575000360176869E-4</v>
      </c>
      <c r="L1042" t="s">
        <v>159</v>
      </c>
      <c r="N1042" t="s">
        <v>222</v>
      </c>
      <c r="O1042" t="s">
        <v>357</v>
      </c>
      <c r="P1042">
        <v>1.011303049076576E-5</v>
      </c>
      <c r="Q1042" t="s">
        <v>159</v>
      </c>
      <c r="S1042" t="s">
        <v>264</v>
      </c>
      <c r="T1042" t="s">
        <v>357</v>
      </c>
      <c r="U1042">
        <v>4.5333398150732986E-5</v>
      </c>
      <c r="V1042" t="s">
        <v>159</v>
      </c>
    </row>
    <row r="1043" spans="9:22" x14ac:dyDescent="0.45">
      <c r="I1043" t="s">
        <v>179</v>
      </c>
      <c r="J1043" t="s">
        <v>358</v>
      </c>
      <c r="K1043">
        <v>2.0864005485324327E-4</v>
      </c>
      <c r="L1043" t="s">
        <v>159</v>
      </c>
      <c r="N1043" t="s">
        <v>222</v>
      </c>
      <c r="O1043" t="s">
        <v>358</v>
      </c>
      <c r="P1043">
        <v>6.900564180050953E-6</v>
      </c>
      <c r="Q1043" t="s">
        <v>159</v>
      </c>
      <c r="S1043" t="s">
        <v>264</v>
      </c>
      <c r="T1043" t="s">
        <v>358</v>
      </c>
      <c r="U1043">
        <v>4.6368756971470363E-5</v>
      </c>
      <c r="V1043" t="s">
        <v>159</v>
      </c>
    </row>
    <row r="1044" spans="9:22" x14ac:dyDescent="0.45">
      <c r="I1044" t="s">
        <v>179</v>
      </c>
      <c r="J1044" t="s">
        <v>359</v>
      </c>
      <c r="K1044">
        <v>1.8543653237996613E-4</v>
      </c>
      <c r="L1044" t="s">
        <v>159</v>
      </c>
      <c r="N1044" t="s">
        <v>222</v>
      </c>
      <c r="O1044" t="s">
        <v>359</v>
      </c>
      <c r="P1044">
        <v>4.0493638752233313E-6</v>
      </c>
      <c r="Q1044" t="s">
        <v>159</v>
      </c>
      <c r="S1044" t="s">
        <v>264</v>
      </c>
      <c r="T1044" t="s">
        <v>359</v>
      </c>
      <c r="U1044">
        <v>4.6844057733361204E-5</v>
      </c>
      <c r="V1044" t="s">
        <v>159</v>
      </c>
    </row>
    <row r="1045" spans="9:22" x14ac:dyDescent="0.45">
      <c r="I1045" t="s">
        <v>179</v>
      </c>
      <c r="J1045" t="s">
        <v>360</v>
      </c>
      <c r="K1045">
        <v>1.5224838852879132E-4</v>
      </c>
      <c r="L1045" t="s">
        <v>159</v>
      </c>
      <c r="N1045" t="s">
        <v>222</v>
      </c>
      <c r="O1045" t="s">
        <v>360</v>
      </c>
      <c r="P1045">
        <v>1.4406290933707148E-6</v>
      </c>
      <c r="Q1045" t="s">
        <v>159</v>
      </c>
      <c r="S1045" t="s">
        <v>264</v>
      </c>
      <c r="T1045" t="s">
        <v>360</v>
      </c>
      <c r="U1045">
        <v>3.6351014390055301E-5</v>
      </c>
      <c r="V1045" t="s">
        <v>159</v>
      </c>
    </row>
    <row r="1046" spans="9:22" x14ac:dyDescent="0.45">
      <c r="I1046" t="s">
        <v>179</v>
      </c>
      <c r="J1046" t="s">
        <v>361</v>
      </c>
      <c r="K1046">
        <v>1.3672534853451386E-4</v>
      </c>
      <c r="L1046" t="s">
        <v>159</v>
      </c>
      <c r="N1046" t="s">
        <v>222</v>
      </c>
      <c r="O1046" t="s">
        <v>361</v>
      </c>
      <c r="P1046">
        <v>1.2808818384796431E-6</v>
      </c>
      <c r="Q1046" t="s">
        <v>159</v>
      </c>
      <c r="S1046" t="s">
        <v>264</v>
      </c>
      <c r="T1046" t="s">
        <v>361</v>
      </c>
      <c r="U1046">
        <v>3.0212000677336406E-5</v>
      </c>
      <c r="V1046" t="s">
        <v>159</v>
      </c>
    </row>
    <row r="1047" spans="9:22" x14ac:dyDescent="0.45">
      <c r="I1047" t="s">
        <v>179</v>
      </c>
      <c r="J1047" t="s">
        <v>362</v>
      </c>
      <c r="K1047">
        <v>1.0671584185376594E-4</v>
      </c>
      <c r="L1047" t="s">
        <v>159</v>
      </c>
      <c r="N1047" t="s">
        <v>222</v>
      </c>
      <c r="O1047" t="s">
        <v>362</v>
      </c>
      <c r="P1047">
        <v>1.5436809702134689E-5</v>
      </c>
      <c r="Q1047" t="s">
        <v>159</v>
      </c>
      <c r="S1047" t="s">
        <v>264</v>
      </c>
      <c r="T1047" t="s">
        <v>362</v>
      </c>
      <c r="U1047">
        <v>2.7660934693296841E-5</v>
      </c>
      <c r="V1047" t="s">
        <v>159</v>
      </c>
    </row>
    <row r="1048" spans="9:22" x14ac:dyDescent="0.45">
      <c r="I1048" t="s">
        <v>179</v>
      </c>
      <c r="J1048" t="s">
        <v>363</v>
      </c>
      <c r="K1048">
        <v>5.3203871747487929E-5</v>
      </c>
      <c r="L1048" t="s">
        <v>159</v>
      </c>
      <c r="N1048" t="s">
        <v>222</v>
      </c>
      <c r="O1048" t="s">
        <v>363</v>
      </c>
      <c r="P1048">
        <v>1.8072144364779705E-5</v>
      </c>
      <c r="Q1048" t="s">
        <v>159</v>
      </c>
      <c r="S1048" t="s">
        <v>264</v>
      </c>
      <c r="T1048" t="s">
        <v>363</v>
      </c>
      <c r="U1048">
        <v>2.2661319604762725E-5</v>
      </c>
      <c r="V1048" t="s">
        <v>159</v>
      </c>
    </row>
    <row r="1049" spans="9:22" x14ac:dyDescent="0.45">
      <c r="I1049" t="s">
        <v>179</v>
      </c>
      <c r="J1049" t="s">
        <v>364</v>
      </c>
      <c r="K1049">
        <v>0</v>
      </c>
      <c r="L1049" t="s">
        <v>159</v>
      </c>
      <c r="N1049" t="s">
        <v>222</v>
      </c>
      <c r="O1049" t="s">
        <v>364</v>
      </c>
      <c r="P1049">
        <v>8.9053103638069121E-6</v>
      </c>
      <c r="Q1049" t="s">
        <v>159</v>
      </c>
      <c r="S1049" t="s">
        <v>264</v>
      </c>
      <c r="T1049" t="s">
        <v>364</v>
      </c>
      <c r="U1049">
        <v>2.0574746733237785E-5</v>
      </c>
      <c r="V1049" t="s">
        <v>159</v>
      </c>
    </row>
    <row r="1050" spans="9:22" x14ac:dyDescent="0.45">
      <c r="I1050" t="s">
        <v>179</v>
      </c>
      <c r="J1050" t="s">
        <v>365</v>
      </c>
      <c r="K1050">
        <v>0</v>
      </c>
      <c r="L1050" t="s">
        <v>159</v>
      </c>
      <c r="N1050" t="s">
        <v>222</v>
      </c>
      <c r="O1050" t="s">
        <v>365</v>
      </c>
      <c r="P1050">
        <v>5.3008339674812907E-7</v>
      </c>
      <c r="Q1050" t="s">
        <v>159</v>
      </c>
      <c r="S1050" t="s">
        <v>264</v>
      </c>
      <c r="T1050" t="s">
        <v>365</v>
      </c>
      <c r="U1050">
        <v>1.9823300283866477E-5</v>
      </c>
      <c r="V1050" t="s">
        <v>159</v>
      </c>
    </row>
    <row r="1051" spans="9:22" x14ac:dyDescent="0.45">
      <c r="I1051" t="s">
        <v>179</v>
      </c>
      <c r="J1051" t="s">
        <v>366</v>
      </c>
      <c r="K1051">
        <v>0</v>
      </c>
      <c r="L1051" t="s">
        <v>159</v>
      </c>
      <c r="N1051" t="s">
        <v>222</v>
      </c>
      <c r="O1051" t="s">
        <v>366</v>
      </c>
      <c r="P1051">
        <v>3.7202458009000994E-8</v>
      </c>
      <c r="Q1051" t="s">
        <v>159</v>
      </c>
      <c r="S1051" t="s">
        <v>264</v>
      </c>
      <c r="T1051" t="s">
        <v>366</v>
      </c>
      <c r="U1051">
        <v>1.6423556323380855E-5</v>
      </c>
      <c r="V1051" t="s">
        <v>159</v>
      </c>
    </row>
    <row r="1052" spans="9:22" x14ac:dyDescent="0.45">
      <c r="I1052" t="s">
        <v>179</v>
      </c>
      <c r="J1052" t="s">
        <v>367</v>
      </c>
      <c r="K1052">
        <v>0</v>
      </c>
      <c r="L1052" t="s">
        <v>159</v>
      </c>
      <c r="N1052" t="s">
        <v>222</v>
      </c>
      <c r="O1052" t="s">
        <v>367</v>
      </c>
      <c r="P1052">
        <v>0</v>
      </c>
      <c r="Q1052" t="s">
        <v>159</v>
      </c>
      <c r="S1052" t="s">
        <v>264</v>
      </c>
      <c r="T1052" t="s">
        <v>367</v>
      </c>
      <c r="U1052">
        <v>1.2654686747905116E-5</v>
      </c>
      <c r="V1052" t="s">
        <v>159</v>
      </c>
    </row>
    <row r="1053" spans="9:22" x14ac:dyDescent="0.45">
      <c r="I1053" t="s">
        <v>179</v>
      </c>
      <c r="J1053" t="s">
        <v>368</v>
      </c>
      <c r="K1053">
        <v>0</v>
      </c>
      <c r="L1053" t="s">
        <v>159</v>
      </c>
      <c r="N1053" t="s">
        <v>222</v>
      </c>
      <c r="O1053" t="s">
        <v>368</v>
      </c>
      <c r="P1053">
        <v>0</v>
      </c>
      <c r="Q1053" t="s">
        <v>159</v>
      </c>
      <c r="S1053" t="s">
        <v>264</v>
      </c>
      <c r="T1053" t="s">
        <v>368</v>
      </c>
      <c r="U1053">
        <v>9.4190590796113889E-6</v>
      </c>
      <c r="V1053" t="s">
        <v>159</v>
      </c>
    </row>
    <row r="1054" spans="9:22" x14ac:dyDescent="0.45">
      <c r="I1054" t="s">
        <v>179</v>
      </c>
      <c r="J1054" t="s">
        <v>369</v>
      </c>
      <c r="K1054">
        <v>0</v>
      </c>
      <c r="L1054" t="s">
        <v>159</v>
      </c>
      <c r="N1054" t="s">
        <v>222</v>
      </c>
      <c r="O1054" t="s">
        <v>369</v>
      </c>
      <c r="P1054">
        <v>3.6244309469288856E-8</v>
      </c>
      <c r="Q1054" t="s">
        <v>159</v>
      </c>
      <c r="S1054" t="s">
        <v>264</v>
      </c>
      <c r="T1054" t="s">
        <v>369</v>
      </c>
      <c r="U1054">
        <v>2.9429221522120713E-6</v>
      </c>
      <c r="V1054" t="s">
        <v>159</v>
      </c>
    </row>
    <row r="1055" spans="9:22" x14ac:dyDescent="0.45">
      <c r="I1055" t="s">
        <v>179</v>
      </c>
      <c r="J1055" t="s">
        <v>165</v>
      </c>
      <c r="K1055">
        <v>0</v>
      </c>
      <c r="L1055" t="s">
        <v>159</v>
      </c>
      <c r="N1055" t="s">
        <v>222</v>
      </c>
      <c r="O1055" t="s">
        <v>165</v>
      </c>
      <c r="P1055">
        <v>2.5238322696758665E-2</v>
      </c>
      <c r="Q1055" t="s">
        <v>159</v>
      </c>
      <c r="S1055" t="s">
        <v>264</v>
      </c>
      <c r="T1055" t="s">
        <v>165</v>
      </c>
      <c r="U1055">
        <v>3.0647793526300607E-2</v>
      </c>
      <c r="V1055" t="s">
        <v>159</v>
      </c>
    </row>
    <row r="1056" spans="9:22" x14ac:dyDescent="0.45">
      <c r="I1056" t="s">
        <v>179</v>
      </c>
      <c r="J1056" t="s">
        <v>166</v>
      </c>
      <c r="K1056">
        <v>9.9793328355439101E-4</v>
      </c>
      <c r="L1056" t="s">
        <v>159</v>
      </c>
      <c r="N1056" t="s">
        <v>222</v>
      </c>
      <c r="O1056" t="s">
        <v>166</v>
      </c>
      <c r="P1056">
        <v>3.8993815069535993E-3</v>
      </c>
      <c r="Q1056" t="s">
        <v>159</v>
      </c>
      <c r="S1056" t="s">
        <v>264</v>
      </c>
      <c r="T1056" t="s">
        <v>166</v>
      </c>
      <c r="U1056">
        <v>4.238450527377465E-3</v>
      </c>
      <c r="V1056" t="s">
        <v>159</v>
      </c>
    </row>
    <row r="1057" spans="9:22" x14ac:dyDescent="0.45">
      <c r="I1057" t="s">
        <v>179</v>
      </c>
      <c r="J1057" t="s">
        <v>167</v>
      </c>
      <c r="K1057">
        <v>4.5287946829846819E-2</v>
      </c>
      <c r="L1057" t="s">
        <v>159</v>
      </c>
      <c r="N1057" t="s">
        <v>222</v>
      </c>
      <c r="O1057" t="s">
        <v>167</v>
      </c>
      <c r="P1057">
        <v>4.2082042100887292E-2</v>
      </c>
      <c r="Q1057" t="s">
        <v>159</v>
      </c>
      <c r="S1057" t="s">
        <v>264</v>
      </c>
      <c r="T1057" t="s">
        <v>167</v>
      </c>
      <c r="U1057">
        <v>3.9000670240323262E-2</v>
      </c>
      <c r="V1057" t="s">
        <v>159</v>
      </c>
    </row>
    <row r="1058" spans="9:22" x14ac:dyDescent="0.45">
      <c r="I1058" t="s">
        <v>179</v>
      </c>
      <c r="J1058" t="s">
        <v>291</v>
      </c>
      <c r="K1058">
        <v>3.7452271699705115E-3</v>
      </c>
      <c r="L1058" t="s">
        <v>159</v>
      </c>
      <c r="N1058" t="s">
        <v>222</v>
      </c>
      <c r="O1058" t="s">
        <v>291</v>
      </c>
      <c r="P1058">
        <v>5.037136294520554E-3</v>
      </c>
      <c r="Q1058" t="s">
        <v>159</v>
      </c>
      <c r="S1058" t="s">
        <v>264</v>
      </c>
      <c r="T1058" t="s">
        <v>291</v>
      </c>
      <c r="U1058">
        <v>4.3950426795801066E-3</v>
      </c>
      <c r="V1058" t="s">
        <v>159</v>
      </c>
    </row>
    <row r="1059" spans="9:22" x14ac:dyDescent="0.45">
      <c r="I1059" t="s">
        <v>179</v>
      </c>
      <c r="J1059" t="s">
        <v>292</v>
      </c>
      <c r="K1059">
        <v>0</v>
      </c>
      <c r="L1059" t="s">
        <v>159</v>
      </c>
      <c r="N1059" t="s">
        <v>222</v>
      </c>
      <c r="O1059" t="s">
        <v>292</v>
      </c>
      <c r="P1059">
        <v>4.8602448964108584E-3</v>
      </c>
      <c r="Q1059" t="s">
        <v>159</v>
      </c>
      <c r="S1059" t="s">
        <v>264</v>
      </c>
      <c r="T1059" t="s">
        <v>292</v>
      </c>
      <c r="U1059">
        <v>4.4376600535362505E-3</v>
      </c>
      <c r="V1059" t="s">
        <v>159</v>
      </c>
    </row>
    <row r="1060" spans="9:22" x14ac:dyDescent="0.45">
      <c r="I1060" t="s">
        <v>179</v>
      </c>
      <c r="J1060" t="s">
        <v>310</v>
      </c>
      <c r="K1060">
        <v>0</v>
      </c>
      <c r="L1060" t="s">
        <v>159</v>
      </c>
      <c r="N1060" t="s">
        <v>222</v>
      </c>
      <c r="O1060" t="s">
        <v>310</v>
      </c>
      <c r="P1060">
        <v>2.1262490734895743E-2</v>
      </c>
      <c r="Q1060" t="s">
        <v>159</v>
      </c>
      <c r="S1060" t="s">
        <v>264</v>
      </c>
      <c r="T1060" t="s">
        <v>310</v>
      </c>
      <c r="U1060">
        <v>2.2807271697668937E-2</v>
      </c>
      <c r="V1060" t="s">
        <v>159</v>
      </c>
    </row>
    <row r="1061" spans="9:22" x14ac:dyDescent="0.45">
      <c r="I1061" t="s">
        <v>179</v>
      </c>
      <c r="J1061" t="s">
        <v>293</v>
      </c>
      <c r="K1061">
        <v>0</v>
      </c>
      <c r="L1061" t="s">
        <v>159</v>
      </c>
      <c r="N1061" t="s">
        <v>222</v>
      </c>
      <c r="O1061" t="s">
        <v>293</v>
      </c>
      <c r="P1061">
        <v>2.7051632686806736E-3</v>
      </c>
      <c r="Q1061" t="s">
        <v>159</v>
      </c>
      <c r="S1061" t="s">
        <v>264</v>
      </c>
      <c r="T1061" t="s">
        <v>293</v>
      </c>
      <c r="U1061">
        <v>6.0760258773636441E-3</v>
      </c>
      <c r="V1061" t="s">
        <v>159</v>
      </c>
    </row>
    <row r="1062" spans="9:22" x14ac:dyDescent="0.45">
      <c r="I1062" t="s">
        <v>179</v>
      </c>
      <c r="J1062" t="s">
        <v>294</v>
      </c>
      <c r="K1062">
        <v>8.4295529252034675E-4</v>
      </c>
      <c r="L1062" t="s">
        <v>159</v>
      </c>
      <c r="N1062" t="s">
        <v>222</v>
      </c>
      <c r="O1062" t="s">
        <v>294</v>
      </c>
      <c r="P1062">
        <v>5.5935104488143324E-4</v>
      </c>
      <c r="Q1062" t="s">
        <v>159</v>
      </c>
      <c r="S1062" t="s">
        <v>264</v>
      </c>
      <c r="T1062" t="s">
        <v>294</v>
      </c>
      <c r="U1062">
        <v>8.1444704239283863E-4</v>
      </c>
      <c r="V1062" t="s">
        <v>159</v>
      </c>
    </row>
    <row r="1063" spans="9:22" x14ac:dyDescent="0.45">
      <c r="I1063" t="s">
        <v>179</v>
      </c>
      <c r="J1063" t="s">
        <v>295</v>
      </c>
      <c r="K1063">
        <v>1.4214779896730315E-2</v>
      </c>
      <c r="L1063" t="s">
        <v>159</v>
      </c>
      <c r="N1063" t="s">
        <v>222</v>
      </c>
      <c r="O1063" t="s">
        <v>295</v>
      </c>
      <c r="P1063">
        <v>5.6487155739942908E-3</v>
      </c>
      <c r="Q1063" t="s">
        <v>159</v>
      </c>
      <c r="S1063" t="s">
        <v>264</v>
      </c>
      <c r="T1063" t="s">
        <v>295</v>
      </c>
      <c r="U1063">
        <v>8.3468902679108472E-3</v>
      </c>
      <c r="V1063" t="s">
        <v>159</v>
      </c>
    </row>
    <row r="1064" spans="9:22" x14ac:dyDescent="0.45">
      <c r="I1064" t="s">
        <v>179</v>
      </c>
      <c r="J1064" t="s">
        <v>296</v>
      </c>
      <c r="K1064">
        <v>1.2350897631867956E-3</v>
      </c>
      <c r="L1064" t="s">
        <v>159</v>
      </c>
      <c r="N1064" t="s">
        <v>222</v>
      </c>
      <c r="O1064" t="s">
        <v>296</v>
      </c>
      <c r="P1064">
        <v>6.0624995250205932E-4</v>
      </c>
      <c r="Q1064" t="s">
        <v>159</v>
      </c>
      <c r="S1064" t="s">
        <v>264</v>
      </c>
      <c r="T1064" t="s">
        <v>296</v>
      </c>
      <c r="U1064">
        <v>9.995653978278837E-4</v>
      </c>
      <c r="V1064" t="s">
        <v>159</v>
      </c>
    </row>
    <row r="1065" spans="9:22" x14ac:dyDescent="0.45">
      <c r="I1065" t="s">
        <v>179</v>
      </c>
      <c r="J1065" t="s">
        <v>297</v>
      </c>
      <c r="K1065">
        <v>0</v>
      </c>
      <c r="L1065" t="s">
        <v>159</v>
      </c>
      <c r="N1065" t="s">
        <v>222</v>
      </c>
      <c r="O1065" t="s">
        <v>297</v>
      </c>
      <c r="P1065">
        <v>5.7243376901393371E-4</v>
      </c>
      <c r="Q1065" t="s">
        <v>159</v>
      </c>
      <c r="S1065" t="s">
        <v>264</v>
      </c>
      <c r="T1065" t="s">
        <v>297</v>
      </c>
      <c r="U1065">
        <v>1.0281176025001035E-3</v>
      </c>
      <c r="V1065" t="s">
        <v>159</v>
      </c>
    </row>
    <row r="1066" spans="9:22" x14ac:dyDescent="0.45">
      <c r="I1066" t="s">
        <v>179</v>
      </c>
      <c r="J1066" t="s">
        <v>311</v>
      </c>
      <c r="K1066">
        <v>0</v>
      </c>
      <c r="L1066" t="s">
        <v>159</v>
      </c>
      <c r="N1066" t="s">
        <v>222</v>
      </c>
      <c r="O1066" t="s">
        <v>311</v>
      </c>
      <c r="P1066">
        <v>1.8423820891501545E-3</v>
      </c>
      <c r="Q1066" t="s">
        <v>159</v>
      </c>
      <c r="S1066" t="s">
        <v>264</v>
      </c>
      <c r="T1066" t="s">
        <v>311</v>
      </c>
      <c r="U1066">
        <v>4.9425334464695703E-3</v>
      </c>
      <c r="V1066" t="s">
        <v>159</v>
      </c>
    </row>
    <row r="1067" spans="9:22" x14ac:dyDescent="0.45">
      <c r="I1067" t="s">
        <v>179</v>
      </c>
      <c r="J1067" t="s">
        <v>298</v>
      </c>
      <c r="K1067">
        <v>1.0779913771764715E-2</v>
      </c>
      <c r="L1067" t="s">
        <v>159</v>
      </c>
      <c r="N1067" t="s">
        <v>222</v>
      </c>
      <c r="O1067" t="s">
        <v>298</v>
      </c>
      <c r="P1067">
        <v>6.9441197762010215E-2</v>
      </c>
      <c r="Q1067" t="s">
        <v>159</v>
      </c>
      <c r="S1067" t="s">
        <v>264</v>
      </c>
      <c r="T1067" t="s">
        <v>298</v>
      </c>
      <c r="U1067">
        <v>8.6293195619168234E-2</v>
      </c>
      <c r="V1067" t="s">
        <v>159</v>
      </c>
    </row>
    <row r="1068" spans="9:22" x14ac:dyDescent="0.45">
      <c r="I1068" t="s">
        <v>179</v>
      </c>
      <c r="J1068" t="s">
        <v>299</v>
      </c>
      <c r="K1068">
        <v>1.9904409413702473E-2</v>
      </c>
      <c r="L1068" t="s">
        <v>159</v>
      </c>
      <c r="N1068" t="s">
        <v>222</v>
      </c>
      <c r="O1068" t="s">
        <v>299</v>
      </c>
      <c r="P1068">
        <v>9.4045743724149675E-3</v>
      </c>
      <c r="Q1068" t="s">
        <v>159</v>
      </c>
      <c r="S1068" t="s">
        <v>264</v>
      </c>
      <c r="T1068" t="s">
        <v>299</v>
      </c>
      <c r="U1068">
        <v>1.2139565281356275E-2</v>
      </c>
      <c r="V1068" t="s">
        <v>159</v>
      </c>
    </row>
    <row r="1069" spans="9:22" x14ac:dyDescent="0.45">
      <c r="I1069" t="s">
        <v>179</v>
      </c>
      <c r="J1069" t="s">
        <v>300</v>
      </c>
      <c r="K1069">
        <v>0.23983490446230621</v>
      </c>
      <c r="L1069" t="s">
        <v>159</v>
      </c>
      <c r="N1069" t="s">
        <v>222</v>
      </c>
      <c r="O1069" t="s">
        <v>300</v>
      </c>
      <c r="P1069">
        <v>0.12009856574852719</v>
      </c>
      <c r="Q1069" t="s">
        <v>159</v>
      </c>
      <c r="S1069" t="s">
        <v>264</v>
      </c>
      <c r="T1069" t="s">
        <v>300</v>
      </c>
      <c r="U1069">
        <v>0.10895768037539309</v>
      </c>
      <c r="V1069" t="s">
        <v>159</v>
      </c>
    </row>
    <row r="1070" spans="9:22" x14ac:dyDescent="0.45">
      <c r="I1070" t="s">
        <v>179</v>
      </c>
      <c r="J1070" t="s">
        <v>301</v>
      </c>
      <c r="K1070">
        <v>2.1204614054791453E-2</v>
      </c>
      <c r="L1070" t="s">
        <v>159</v>
      </c>
      <c r="N1070" t="s">
        <v>222</v>
      </c>
      <c r="O1070" t="s">
        <v>301</v>
      </c>
      <c r="P1070">
        <v>1.5798648764087767E-2</v>
      </c>
      <c r="Q1070" t="s">
        <v>159</v>
      </c>
      <c r="S1070" t="s">
        <v>264</v>
      </c>
      <c r="T1070" t="s">
        <v>301</v>
      </c>
      <c r="U1070">
        <v>1.2776140359155697E-2</v>
      </c>
      <c r="V1070" t="s">
        <v>159</v>
      </c>
    </row>
    <row r="1071" spans="9:22" x14ac:dyDescent="0.45">
      <c r="I1071" t="s">
        <v>179</v>
      </c>
      <c r="J1071" t="s">
        <v>302</v>
      </c>
      <c r="K1071">
        <v>1.1798104233100955E-2</v>
      </c>
      <c r="L1071" t="s">
        <v>159</v>
      </c>
      <c r="N1071" t="s">
        <v>222</v>
      </c>
      <c r="O1071" t="s">
        <v>302</v>
      </c>
      <c r="P1071">
        <v>1.4397432759594878E-2</v>
      </c>
      <c r="Q1071" t="s">
        <v>159</v>
      </c>
      <c r="S1071" t="s">
        <v>264</v>
      </c>
      <c r="T1071" t="s">
        <v>302</v>
      </c>
      <c r="U1071">
        <v>1.2674764112894728E-2</v>
      </c>
      <c r="V1071" t="s">
        <v>159</v>
      </c>
    </row>
    <row r="1072" spans="9:22" x14ac:dyDescent="0.45">
      <c r="I1072" t="s">
        <v>179</v>
      </c>
      <c r="J1072" t="s">
        <v>312</v>
      </c>
      <c r="K1072">
        <v>0</v>
      </c>
      <c r="L1072" t="s">
        <v>159</v>
      </c>
      <c r="N1072" t="s">
        <v>222</v>
      </c>
      <c r="O1072" t="s">
        <v>312</v>
      </c>
      <c r="P1072">
        <v>5.8875412214571425E-2</v>
      </c>
      <c r="Q1072" t="s">
        <v>159</v>
      </c>
      <c r="S1072" t="s">
        <v>264</v>
      </c>
      <c r="T1072" t="s">
        <v>312</v>
      </c>
      <c r="U1072">
        <v>6.1560487223595875E-2</v>
      </c>
      <c r="V1072" t="s">
        <v>159</v>
      </c>
    </row>
    <row r="1073" spans="9:22" x14ac:dyDescent="0.45">
      <c r="I1073" t="s">
        <v>179</v>
      </c>
      <c r="J1073" t="s">
        <v>397</v>
      </c>
      <c r="K1073">
        <v>0</v>
      </c>
      <c r="L1073" t="s">
        <v>159</v>
      </c>
      <c r="N1073" t="s">
        <v>222</v>
      </c>
      <c r="O1073" t="s">
        <v>397</v>
      </c>
      <c r="P1073">
        <v>1.2896590810002672E-4</v>
      </c>
      <c r="Q1073" t="s">
        <v>159</v>
      </c>
      <c r="S1073" t="s">
        <v>264</v>
      </c>
      <c r="T1073" t="s">
        <v>397</v>
      </c>
      <c r="U1073">
        <v>2.2073937110660808E-4</v>
      </c>
      <c r="V1073" t="s">
        <v>159</v>
      </c>
    </row>
    <row r="1074" spans="9:22" x14ac:dyDescent="0.45">
      <c r="I1074" t="s">
        <v>179</v>
      </c>
      <c r="J1074" t="s">
        <v>398</v>
      </c>
      <c r="K1074">
        <v>0</v>
      </c>
      <c r="L1074" t="s">
        <v>159</v>
      </c>
      <c r="N1074" t="s">
        <v>222</v>
      </c>
      <c r="O1074" t="s">
        <v>398</v>
      </c>
      <c r="P1074">
        <v>1.1455540447029095E-4</v>
      </c>
      <c r="Q1074" t="s">
        <v>159</v>
      </c>
      <c r="S1074" t="s">
        <v>264</v>
      </c>
      <c r="T1074" t="s">
        <v>398</v>
      </c>
      <c r="U1074">
        <v>2.2073937110660808E-4</v>
      </c>
      <c r="V1074" t="s">
        <v>159</v>
      </c>
    </row>
    <row r="1075" spans="9:22" x14ac:dyDescent="0.45">
      <c r="I1075" t="s">
        <v>179</v>
      </c>
      <c r="J1075" t="s">
        <v>399</v>
      </c>
      <c r="K1075">
        <v>0</v>
      </c>
      <c r="L1075" t="s">
        <v>159</v>
      </c>
      <c r="N1075" t="s">
        <v>222</v>
      </c>
      <c r="O1075" t="s">
        <v>399</v>
      </c>
      <c r="P1075">
        <v>9.3476137484527273E-5</v>
      </c>
      <c r="Q1075" t="s">
        <v>159</v>
      </c>
      <c r="S1075" t="s">
        <v>264</v>
      </c>
      <c r="T1075" t="s">
        <v>399</v>
      </c>
      <c r="U1075">
        <v>2.2073937110660808E-4</v>
      </c>
      <c r="V1075" t="s">
        <v>159</v>
      </c>
    </row>
    <row r="1076" spans="9:22" x14ac:dyDescent="0.45">
      <c r="I1076" t="s">
        <v>179</v>
      </c>
      <c r="J1076" t="s">
        <v>400</v>
      </c>
      <c r="K1076">
        <v>0</v>
      </c>
      <c r="L1076" t="s">
        <v>159</v>
      </c>
      <c r="N1076" t="s">
        <v>222</v>
      </c>
      <c r="O1076" t="s">
        <v>400</v>
      </c>
      <c r="P1076">
        <v>7.5296848437317912E-5</v>
      </c>
      <c r="Q1076" t="s">
        <v>159</v>
      </c>
      <c r="S1076" t="s">
        <v>264</v>
      </c>
      <c r="T1076" t="s">
        <v>400</v>
      </c>
      <c r="U1076">
        <v>2.2073937110660808E-4</v>
      </c>
      <c r="V1076" t="s">
        <v>159</v>
      </c>
    </row>
    <row r="1077" spans="9:22" x14ac:dyDescent="0.45">
      <c r="I1077" t="s">
        <v>179</v>
      </c>
      <c r="J1077" t="s">
        <v>401</v>
      </c>
      <c r="K1077">
        <v>0</v>
      </c>
      <c r="L1077" t="s">
        <v>159</v>
      </c>
      <c r="N1077" t="s">
        <v>222</v>
      </c>
      <c r="O1077" t="s">
        <v>401</v>
      </c>
      <c r="P1077">
        <v>7.2793708113218851E-5</v>
      </c>
      <c r="Q1077" t="s">
        <v>159</v>
      </c>
      <c r="S1077" t="s">
        <v>264</v>
      </c>
      <c r="T1077" t="s">
        <v>401</v>
      </c>
      <c r="U1077">
        <v>2.2073937110660808E-4</v>
      </c>
      <c r="V1077" t="s">
        <v>159</v>
      </c>
    </row>
    <row r="1078" spans="9:22" x14ac:dyDescent="0.45">
      <c r="I1078" t="s">
        <v>179</v>
      </c>
      <c r="J1078" t="s">
        <v>402</v>
      </c>
      <c r="K1078">
        <v>0</v>
      </c>
      <c r="L1078" t="s">
        <v>159</v>
      </c>
      <c r="N1078" t="s">
        <v>222</v>
      </c>
      <c r="O1078" t="s">
        <v>402</v>
      </c>
      <c r="P1078">
        <v>7.4956624215528786E-5</v>
      </c>
      <c r="Q1078" t="s">
        <v>159</v>
      </c>
      <c r="S1078" t="s">
        <v>264</v>
      </c>
      <c r="T1078" t="s">
        <v>402</v>
      </c>
      <c r="U1078">
        <v>2.2073937110660808E-4</v>
      </c>
      <c r="V1078" t="s">
        <v>159</v>
      </c>
    </row>
    <row r="1079" spans="9:22" x14ac:dyDescent="0.45">
      <c r="I1079" t="s">
        <v>179</v>
      </c>
      <c r="J1079" t="s">
        <v>403</v>
      </c>
      <c r="K1079">
        <v>0</v>
      </c>
      <c r="L1079" t="s">
        <v>159</v>
      </c>
      <c r="N1079" t="s">
        <v>222</v>
      </c>
      <c r="O1079" t="s">
        <v>403</v>
      </c>
      <c r="P1079">
        <v>7.4015150216309134E-5</v>
      </c>
      <c r="Q1079" t="s">
        <v>159</v>
      </c>
      <c r="S1079" t="s">
        <v>264</v>
      </c>
      <c r="T1079" t="s">
        <v>403</v>
      </c>
      <c r="U1079">
        <v>2.2003581530489311E-4</v>
      </c>
      <c r="V1079" t="s">
        <v>159</v>
      </c>
    </row>
    <row r="1080" spans="9:22" x14ac:dyDescent="0.45">
      <c r="I1080" t="s">
        <v>179</v>
      </c>
      <c r="J1080" t="s">
        <v>404</v>
      </c>
      <c r="K1080">
        <v>1.5160443492126053E-4</v>
      </c>
      <c r="L1080" t="s">
        <v>159</v>
      </c>
      <c r="N1080" t="s">
        <v>222</v>
      </c>
      <c r="O1080" t="s">
        <v>404</v>
      </c>
      <c r="P1080">
        <v>6.5884987111147333E-5</v>
      </c>
      <c r="Q1080" t="s">
        <v>159</v>
      </c>
      <c r="S1080" t="s">
        <v>264</v>
      </c>
      <c r="T1080" t="s">
        <v>404</v>
      </c>
      <c r="U1080">
        <v>2.1961523167482414E-4</v>
      </c>
      <c r="V1080" t="s">
        <v>159</v>
      </c>
    </row>
    <row r="1081" spans="9:22" x14ac:dyDescent="0.45">
      <c r="I1081" t="s">
        <v>179</v>
      </c>
      <c r="J1081" t="s">
        <v>405</v>
      </c>
      <c r="K1081">
        <v>2.2780679822107709E-4</v>
      </c>
      <c r="L1081" t="s">
        <v>159</v>
      </c>
      <c r="N1081" t="s">
        <v>222</v>
      </c>
      <c r="O1081" t="s">
        <v>405</v>
      </c>
      <c r="P1081">
        <v>8.2924860745257331E-5</v>
      </c>
      <c r="Q1081" t="s">
        <v>159</v>
      </c>
      <c r="S1081" t="s">
        <v>264</v>
      </c>
      <c r="T1081" t="s">
        <v>405</v>
      </c>
      <c r="U1081">
        <v>2.1951385743718889E-4</v>
      </c>
      <c r="V1081" t="s">
        <v>159</v>
      </c>
    </row>
    <row r="1082" spans="9:22" x14ac:dyDescent="0.45">
      <c r="I1082" t="s">
        <v>179</v>
      </c>
      <c r="J1082" t="s">
        <v>406</v>
      </c>
      <c r="K1082">
        <v>2.5871869120868275E-4</v>
      </c>
      <c r="L1082" t="s">
        <v>159</v>
      </c>
      <c r="N1082" t="s">
        <v>222</v>
      </c>
      <c r="O1082" t="s">
        <v>406</v>
      </c>
      <c r="P1082">
        <v>9.2119187933154882E-5</v>
      </c>
      <c r="Q1082" t="s">
        <v>159</v>
      </c>
      <c r="S1082" t="s">
        <v>264</v>
      </c>
      <c r="T1082" t="s">
        <v>406</v>
      </c>
      <c r="U1082">
        <v>2.2051833128663989E-4</v>
      </c>
      <c r="V1082" t="s">
        <v>159</v>
      </c>
    </row>
    <row r="1083" spans="9:22" x14ac:dyDescent="0.45">
      <c r="I1083" t="s">
        <v>179</v>
      </c>
      <c r="J1083" t="s">
        <v>407</v>
      </c>
      <c r="K1083">
        <v>2.7881945158763044E-4</v>
      </c>
      <c r="L1083" t="s">
        <v>159</v>
      </c>
      <c r="N1083" t="s">
        <v>222</v>
      </c>
      <c r="O1083" t="s">
        <v>407</v>
      </c>
      <c r="P1083">
        <v>9.6350102221763996E-5</v>
      </c>
      <c r="Q1083" t="s">
        <v>159</v>
      </c>
      <c r="S1083" t="s">
        <v>264</v>
      </c>
      <c r="T1083" t="s">
        <v>407</v>
      </c>
      <c r="U1083">
        <v>2.2073937110660808E-4</v>
      </c>
      <c r="V1083" t="s">
        <v>159</v>
      </c>
    </row>
    <row r="1084" spans="9:22" x14ac:dyDescent="0.45">
      <c r="I1084" t="s">
        <v>179</v>
      </c>
      <c r="J1084" t="s">
        <v>408</v>
      </c>
      <c r="K1084">
        <v>2.8986604441726474E-4</v>
      </c>
      <c r="L1084" t="s">
        <v>159</v>
      </c>
      <c r="N1084" t="s">
        <v>222</v>
      </c>
      <c r="O1084" t="s">
        <v>408</v>
      </c>
      <c r="P1084">
        <v>1.1701614543199141E-4</v>
      </c>
      <c r="Q1084" t="s">
        <v>159</v>
      </c>
      <c r="S1084" t="s">
        <v>264</v>
      </c>
      <c r="T1084" t="s">
        <v>408</v>
      </c>
      <c r="U1084">
        <v>2.2073937110660808E-4</v>
      </c>
      <c r="V1084" t="s">
        <v>159</v>
      </c>
    </row>
    <row r="1085" spans="9:22" x14ac:dyDescent="0.45">
      <c r="I1085" t="s">
        <v>179</v>
      </c>
      <c r="J1085" t="s">
        <v>409</v>
      </c>
      <c r="K1085">
        <v>3.1547304536900156E-4</v>
      </c>
      <c r="L1085" t="s">
        <v>159</v>
      </c>
      <c r="N1085" t="s">
        <v>222</v>
      </c>
      <c r="O1085" t="s">
        <v>409</v>
      </c>
      <c r="P1085">
        <v>1.197048914048826E-4</v>
      </c>
      <c r="Q1085" t="s">
        <v>159</v>
      </c>
      <c r="S1085" t="s">
        <v>264</v>
      </c>
      <c r="T1085" t="s">
        <v>409</v>
      </c>
      <c r="U1085">
        <v>2.2048661486539641E-4</v>
      </c>
      <c r="V1085" t="s">
        <v>159</v>
      </c>
    </row>
    <row r="1086" spans="9:22" x14ac:dyDescent="0.45">
      <c r="I1086" t="s">
        <v>179</v>
      </c>
      <c r="J1086" t="s">
        <v>410</v>
      </c>
      <c r="K1086">
        <v>2.9330394307157235E-4</v>
      </c>
      <c r="L1086" t="s">
        <v>159</v>
      </c>
      <c r="N1086" t="s">
        <v>222</v>
      </c>
      <c r="O1086" t="s">
        <v>410</v>
      </c>
      <c r="P1086">
        <v>1.0895564292904067E-4</v>
      </c>
      <c r="Q1086" t="s">
        <v>159</v>
      </c>
      <c r="S1086" t="s">
        <v>264</v>
      </c>
      <c r="T1086" t="s">
        <v>410</v>
      </c>
      <c r="U1086">
        <v>2.2071972329993926E-4</v>
      </c>
      <c r="V1086" t="s">
        <v>159</v>
      </c>
    </row>
    <row r="1087" spans="9:22" x14ac:dyDescent="0.45">
      <c r="I1087" t="s">
        <v>179</v>
      </c>
      <c r="J1087" t="s">
        <v>411</v>
      </c>
      <c r="K1087">
        <v>2.7306356447054006E-4</v>
      </c>
      <c r="L1087" t="s">
        <v>159</v>
      </c>
      <c r="N1087" t="s">
        <v>222</v>
      </c>
      <c r="O1087" t="s">
        <v>411</v>
      </c>
      <c r="P1087">
        <v>1.0539011223364792E-4</v>
      </c>
      <c r="Q1087" t="s">
        <v>159</v>
      </c>
      <c r="S1087" t="s">
        <v>264</v>
      </c>
      <c r="T1087" t="s">
        <v>411</v>
      </c>
      <c r="U1087">
        <v>2.1920783848208513E-4</v>
      </c>
      <c r="V1087" t="s">
        <v>159</v>
      </c>
    </row>
    <row r="1088" spans="9:22" x14ac:dyDescent="0.45">
      <c r="I1088" t="s">
        <v>179</v>
      </c>
      <c r="J1088" t="s">
        <v>412</v>
      </c>
      <c r="K1088">
        <v>2.6546443238478713E-4</v>
      </c>
      <c r="L1088" t="s">
        <v>159</v>
      </c>
      <c r="N1088" t="s">
        <v>222</v>
      </c>
      <c r="O1088" t="s">
        <v>412</v>
      </c>
      <c r="P1088">
        <v>1.2811270244452426E-4</v>
      </c>
      <c r="Q1088" t="s">
        <v>159</v>
      </c>
      <c r="S1088" t="s">
        <v>264</v>
      </c>
      <c r="T1088" t="s">
        <v>412</v>
      </c>
      <c r="U1088">
        <v>2.1570546820221751E-4</v>
      </c>
      <c r="V1088" t="s">
        <v>159</v>
      </c>
    </row>
    <row r="1089" spans="9:22" x14ac:dyDescent="0.45">
      <c r="I1089" t="s">
        <v>179</v>
      </c>
      <c r="J1089" t="s">
        <v>413</v>
      </c>
      <c r="K1089">
        <v>2.6594133433170214E-4</v>
      </c>
      <c r="L1089" t="s">
        <v>159</v>
      </c>
      <c r="N1089" t="s">
        <v>222</v>
      </c>
      <c r="O1089" t="s">
        <v>413</v>
      </c>
      <c r="P1089">
        <v>1.4864816648038493E-4</v>
      </c>
      <c r="Q1089" t="s">
        <v>159</v>
      </c>
      <c r="S1089" t="s">
        <v>264</v>
      </c>
      <c r="T1089" t="s">
        <v>413</v>
      </c>
      <c r="U1089">
        <v>2.1063048818833278E-4</v>
      </c>
      <c r="V1089" t="s">
        <v>159</v>
      </c>
    </row>
    <row r="1090" spans="9:22" x14ac:dyDescent="0.45">
      <c r="I1090" t="s">
        <v>179</v>
      </c>
      <c r="J1090" t="s">
        <v>414</v>
      </c>
      <c r="K1090">
        <v>2.2742658605393981E-4</v>
      </c>
      <c r="L1090" t="s">
        <v>159</v>
      </c>
      <c r="N1090" t="s">
        <v>222</v>
      </c>
      <c r="O1090" t="s">
        <v>414</v>
      </c>
      <c r="P1090">
        <v>1.1947740189935827E-4</v>
      </c>
      <c r="Q1090" t="s">
        <v>159</v>
      </c>
      <c r="S1090" t="s">
        <v>264</v>
      </c>
      <c r="T1090" t="s">
        <v>414</v>
      </c>
      <c r="U1090">
        <v>1.968069125554962E-4</v>
      </c>
      <c r="V1090" t="s">
        <v>159</v>
      </c>
    </row>
    <row r="1091" spans="9:22" x14ac:dyDescent="0.45">
      <c r="I1091" t="s">
        <v>179</v>
      </c>
      <c r="J1091" t="s">
        <v>415</v>
      </c>
      <c r="K1091">
        <v>1.7365291050629998E-5</v>
      </c>
      <c r="L1091" t="s">
        <v>159</v>
      </c>
      <c r="N1091" t="s">
        <v>222</v>
      </c>
      <c r="O1091" t="s">
        <v>415</v>
      </c>
      <c r="P1091">
        <v>7.1758530285185839E-5</v>
      </c>
      <c r="Q1091" t="s">
        <v>159</v>
      </c>
      <c r="S1091" t="s">
        <v>264</v>
      </c>
      <c r="T1091" t="s">
        <v>415</v>
      </c>
      <c r="U1091">
        <v>1.7188645828741119E-4</v>
      </c>
      <c r="V1091" t="s">
        <v>159</v>
      </c>
    </row>
    <row r="1092" spans="9:22" x14ac:dyDescent="0.45">
      <c r="I1092" t="s">
        <v>179</v>
      </c>
      <c r="J1092" t="s">
        <v>416</v>
      </c>
      <c r="K1092">
        <v>0</v>
      </c>
      <c r="L1092" t="s">
        <v>159</v>
      </c>
      <c r="N1092" t="s">
        <v>222</v>
      </c>
      <c r="O1092" t="s">
        <v>416</v>
      </c>
      <c r="P1092">
        <v>2.9425230589118272E-5</v>
      </c>
      <c r="Q1092" t="s">
        <v>159</v>
      </c>
      <c r="S1092" t="s">
        <v>264</v>
      </c>
      <c r="T1092" t="s">
        <v>416</v>
      </c>
      <c r="U1092">
        <v>1.4622884980310948E-4</v>
      </c>
      <c r="V1092" t="s">
        <v>159</v>
      </c>
    </row>
    <row r="1093" spans="9:22" x14ac:dyDescent="0.45">
      <c r="I1093" t="s">
        <v>179</v>
      </c>
      <c r="J1093" t="s">
        <v>417</v>
      </c>
      <c r="K1093">
        <v>0</v>
      </c>
      <c r="L1093" t="s">
        <v>159</v>
      </c>
      <c r="N1093" t="s">
        <v>222</v>
      </c>
      <c r="O1093" t="s">
        <v>417</v>
      </c>
      <c r="P1093">
        <v>1.5127982838085573E-5</v>
      </c>
      <c r="Q1093" t="s">
        <v>159</v>
      </c>
      <c r="S1093" t="s">
        <v>264</v>
      </c>
      <c r="T1093" t="s">
        <v>417</v>
      </c>
      <c r="U1093">
        <v>1.1588072735915211E-4</v>
      </c>
      <c r="V1093" t="s">
        <v>159</v>
      </c>
    </row>
    <row r="1094" spans="9:22" x14ac:dyDescent="0.45">
      <c r="I1094" t="s">
        <v>179</v>
      </c>
      <c r="J1094" t="s">
        <v>418</v>
      </c>
      <c r="K1094">
        <v>0</v>
      </c>
      <c r="L1094" t="s">
        <v>159</v>
      </c>
      <c r="N1094" t="s">
        <v>222</v>
      </c>
      <c r="O1094" t="s">
        <v>418</v>
      </c>
      <c r="P1094">
        <v>1.3986035221319742E-5</v>
      </c>
      <c r="Q1094" t="s">
        <v>159</v>
      </c>
      <c r="S1094" t="s">
        <v>264</v>
      </c>
      <c r="T1094" t="s">
        <v>418</v>
      </c>
      <c r="U1094">
        <v>9.7866713306260996E-5</v>
      </c>
      <c r="V1094" t="s">
        <v>159</v>
      </c>
    </row>
    <row r="1095" spans="9:22" x14ac:dyDescent="0.45">
      <c r="I1095" t="s">
        <v>179</v>
      </c>
      <c r="J1095" t="s">
        <v>419</v>
      </c>
      <c r="K1095">
        <v>0</v>
      </c>
      <c r="L1095" t="s">
        <v>159</v>
      </c>
      <c r="N1095" t="s">
        <v>222</v>
      </c>
      <c r="O1095" t="s">
        <v>419</v>
      </c>
      <c r="P1095">
        <v>2.6105950113160343E-5</v>
      </c>
      <c r="Q1095" t="s">
        <v>159</v>
      </c>
      <c r="S1095" t="s">
        <v>264</v>
      </c>
      <c r="T1095" t="s">
        <v>419</v>
      </c>
      <c r="U1095">
        <v>9.9880306952085832E-5</v>
      </c>
      <c r="V1095" t="s">
        <v>159</v>
      </c>
    </row>
    <row r="1096" spans="9:22" x14ac:dyDescent="0.45">
      <c r="I1096" t="s">
        <v>179</v>
      </c>
      <c r="J1096" t="s">
        <v>420</v>
      </c>
      <c r="K1096">
        <v>0</v>
      </c>
      <c r="L1096" t="s">
        <v>159</v>
      </c>
      <c r="N1096" t="s">
        <v>222</v>
      </c>
      <c r="O1096" t="s">
        <v>420</v>
      </c>
      <c r="P1096">
        <v>3.8927477525980497E-5</v>
      </c>
      <c r="Q1096" t="s">
        <v>159</v>
      </c>
      <c r="S1096" t="s">
        <v>264</v>
      </c>
      <c r="T1096" t="s">
        <v>420</v>
      </c>
      <c r="U1096">
        <v>1.3007154769175056E-4</v>
      </c>
      <c r="V1096" t="s">
        <v>159</v>
      </c>
    </row>
    <row r="1097" spans="9:22" x14ac:dyDescent="0.45">
      <c r="I1097" t="s">
        <v>179</v>
      </c>
      <c r="J1097" t="s">
        <v>313</v>
      </c>
      <c r="K1097">
        <v>5.3770466704069209E-3</v>
      </c>
      <c r="L1097" t="s">
        <v>159</v>
      </c>
      <c r="N1097" t="s">
        <v>222</v>
      </c>
      <c r="O1097" t="s">
        <v>313</v>
      </c>
      <c r="P1097">
        <v>1.7907218451407025E-2</v>
      </c>
      <c r="Q1097" t="s">
        <v>159</v>
      </c>
      <c r="S1097" t="s">
        <v>264</v>
      </c>
      <c r="T1097" t="s">
        <v>313</v>
      </c>
      <c r="U1097">
        <v>1.8135015145459572E-2</v>
      </c>
      <c r="V1097" t="s">
        <v>159</v>
      </c>
    </row>
    <row r="1098" spans="9:22" x14ac:dyDescent="0.45">
      <c r="I1098" t="s">
        <v>179</v>
      </c>
      <c r="J1098" t="s">
        <v>314</v>
      </c>
      <c r="K1098">
        <v>7.7423594926795932E-3</v>
      </c>
      <c r="L1098" t="s">
        <v>159</v>
      </c>
      <c r="N1098" t="s">
        <v>222</v>
      </c>
      <c r="O1098" t="s">
        <v>314</v>
      </c>
      <c r="P1098">
        <v>2.6111786668842284E-3</v>
      </c>
      <c r="Q1098" t="s">
        <v>159</v>
      </c>
      <c r="S1098" t="s">
        <v>264</v>
      </c>
      <c r="T1098" t="s">
        <v>314</v>
      </c>
      <c r="U1098">
        <v>2.5198587587044459E-3</v>
      </c>
      <c r="V1098" t="s">
        <v>159</v>
      </c>
    </row>
    <row r="1099" spans="9:22" x14ac:dyDescent="0.45">
      <c r="I1099" t="s">
        <v>179</v>
      </c>
      <c r="J1099" t="s">
        <v>315</v>
      </c>
      <c r="K1099">
        <v>8.4122618898821416E-2</v>
      </c>
      <c r="L1099" t="s">
        <v>159</v>
      </c>
      <c r="N1099" t="s">
        <v>222</v>
      </c>
      <c r="O1099" t="s">
        <v>315</v>
      </c>
      <c r="P1099">
        <v>3.9551451990083232E-2</v>
      </c>
      <c r="Q1099" t="s">
        <v>159</v>
      </c>
      <c r="S1099" t="s">
        <v>264</v>
      </c>
      <c r="T1099" t="s">
        <v>315</v>
      </c>
      <c r="U1099">
        <v>2.2513918754686203E-2</v>
      </c>
      <c r="V1099" t="s">
        <v>159</v>
      </c>
    </row>
    <row r="1100" spans="9:22" x14ac:dyDescent="0.45">
      <c r="I1100" t="s">
        <v>179</v>
      </c>
      <c r="J1100" t="s">
        <v>316</v>
      </c>
      <c r="K1100">
        <v>7.4524338916331992E-3</v>
      </c>
      <c r="L1100" t="s">
        <v>159</v>
      </c>
      <c r="N1100" t="s">
        <v>222</v>
      </c>
      <c r="O1100" t="s">
        <v>316</v>
      </c>
      <c r="P1100">
        <v>5.4765234666042774E-3</v>
      </c>
      <c r="Q1100" t="s">
        <v>159</v>
      </c>
      <c r="S1100" t="s">
        <v>264</v>
      </c>
      <c r="T1100" t="s">
        <v>316</v>
      </c>
      <c r="U1100">
        <v>2.849118948238789E-3</v>
      </c>
      <c r="V1100" t="s">
        <v>159</v>
      </c>
    </row>
    <row r="1101" spans="9:22" x14ac:dyDescent="0.45">
      <c r="I1101" t="s">
        <v>179</v>
      </c>
      <c r="J1101" t="s">
        <v>317</v>
      </c>
      <c r="K1101">
        <v>6.0751674746186528E-3</v>
      </c>
      <c r="L1101" t="s">
        <v>159</v>
      </c>
      <c r="N1101" t="s">
        <v>222</v>
      </c>
      <c r="O1101" t="s">
        <v>317</v>
      </c>
      <c r="P1101">
        <v>4.8712257421163084E-3</v>
      </c>
      <c r="Q1101" t="s">
        <v>159</v>
      </c>
      <c r="S1101" t="s">
        <v>264</v>
      </c>
      <c r="T1101" t="s">
        <v>317</v>
      </c>
      <c r="U1101">
        <v>2.9408672714195836E-3</v>
      </c>
      <c r="V1101" t="s">
        <v>159</v>
      </c>
    </row>
    <row r="1102" spans="9:22" x14ac:dyDescent="0.45">
      <c r="I1102" t="s">
        <v>179</v>
      </c>
      <c r="J1102" t="s">
        <v>318</v>
      </c>
      <c r="K1102">
        <v>2.9352904902604296E-3</v>
      </c>
      <c r="L1102" t="s">
        <v>159</v>
      </c>
      <c r="N1102" t="s">
        <v>222</v>
      </c>
      <c r="O1102" t="s">
        <v>318</v>
      </c>
      <c r="P1102">
        <v>1.7524071104476416E-2</v>
      </c>
      <c r="Q1102" t="s">
        <v>159</v>
      </c>
      <c r="S1102" t="s">
        <v>264</v>
      </c>
      <c r="T1102" t="s">
        <v>318</v>
      </c>
      <c r="U1102">
        <v>1.4235047097774171E-2</v>
      </c>
      <c r="V1102" t="s">
        <v>159</v>
      </c>
    </row>
    <row r="1103" spans="9:22" x14ac:dyDescent="0.45">
      <c r="I1103" t="s">
        <v>180</v>
      </c>
      <c r="J1103" t="s">
        <v>158</v>
      </c>
      <c r="K1103">
        <v>5.4395696237115312E-3</v>
      </c>
      <c r="L1103" t="s">
        <v>159</v>
      </c>
      <c r="N1103" t="s">
        <v>223</v>
      </c>
      <c r="O1103" t="s">
        <v>158</v>
      </c>
      <c r="P1103">
        <v>0.1064411421057498</v>
      </c>
      <c r="Q1103" t="s">
        <v>159</v>
      </c>
      <c r="S1103" t="s">
        <v>265</v>
      </c>
      <c r="T1103" t="s">
        <v>158</v>
      </c>
      <c r="U1103">
        <v>0.12335566162731601</v>
      </c>
      <c r="V1103" t="s">
        <v>159</v>
      </c>
    </row>
    <row r="1104" spans="9:22" x14ac:dyDescent="0.45">
      <c r="I1104" t="s">
        <v>180</v>
      </c>
      <c r="J1104" t="s">
        <v>160</v>
      </c>
      <c r="K1104">
        <v>2.4069857322992664E-2</v>
      </c>
      <c r="L1104" t="s">
        <v>159</v>
      </c>
      <c r="N1104" t="s">
        <v>223</v>
      </c>
      <c r="O1104" t="s">
        <v>160</v>
      </c>
      <c r="P1104">
        <v>1.5849593403506501E-2</v>
      </c>
      <c r="Q1104" t="s">
        <v>159</v>
      </c>
      <c r="S1104" t="s">
        <v>265</v>
      </c>
      <c r="T1104" t="s">
        <v>160</v>
      </c>
      <c r="U1104">
        <v>1.6915987881078769E-2</v>
      </c>
      <c r="V1104" t="s">
        <v>159</v>
      </c>
    </row>
    <row r="1105" spans="9:22" x14ac:dyDescent="0.45">
      <c r="I1105" t="s">
        <v>180</v>
      </c>
      <c r="J1105" t="s">
        <v>161</v>
      </c>
      <c r="K1105">
        <v>0.37658140078801811</v>
      </c>
      <c r="L1105" t="s">
        <v>159</v>
      </c>
      <c r="N1105" t="s">
        <v>223</v>
      </c>
      <c r="O1105" t="s">
        <v>161</v>
      </c>
      <c r="P1105">
        <v>0.1859173723632046</v>
      </c>
      <c r="Q1105" t="s">
        <v>159</v>
      </c>
      <c r="S1105" t="s">
        <v>265</v>
      </c>
      <c r="T1105" t="s">
        <v>161</v>
      </c>
      <c r="U1105">
        <v>0.15609544332203504</v>
      </c>
      <c r="V1105" t="s">
        <v>159</v>
      </c>
    </row>
    <row r="1106" spans="9:22" x14ac:dyDescent="0.45">
      <c r="I1106" t="s">
        <v>180</v>
      </c>
      <c r="J1106" t="s">
        <v>287</v>
      </c>
      <c r="K1106">
        <v>3.5534854603356147E-2</v>
      </c>
      <c r="L1106" t="s">
        <v>159</v>
      </c>
      <c r="N1106" t="s">
        <v>223</v>
      </c>
      <c r="O1106" t="s">
        <v>287</v>
      </c>
      <c r="P1106">
        <v>2.2810326878751203E-2</v>
      </c>
      <c r="Q1106" t="s">
        <v>159</v>
      </c>
      <c r="S1106" t="s">
        <v>265</v>
      </c>
      <c r="T1106" t="s">
        <v>287</v>
      </c>
      <c r="U1106">
        <v>1.9097049557016858E-2</v>
      </c>
      <c r="V1106" t="s">
        <v>159</v>
      </c>
    </row>
    <row r="1107" spans="9:22" x14ac:dyDescent="0.45">
      <c r="I1107" t="s">
        <v>180</v>
      </c>
      <c r="J1107" t="s">
        <v>288</v>
      </c>
      <c r="K1107">
        <v>2.0024156280375592E-2</v>
      </c>
      <c r="L1107" t="s">
        <v>159</v>
      </c>
      <c r="N1107" t="s">
        <v>223</v>
      </c>
      <c r="O1107" t="s">
        <v>288</v>
      </c>
      <c r="P1107">
        <v>2.0960906856800736E-2</v>
      </c>
      <c r="Q1107" t="s">
        <v>159</v>
      </c>
      <c r="S1107" t="s">
        <v>265</v>
      </c>
      <c r="T1107" t="s">
        <v>288</v>
      </c>
      <c r="U1107">
        <v>1.9091079460387066E-2</v>
      </c>
      <c r="V1107" t="s">
        <v>159</v>
      </c>
    </row>
    <row r="1108" spans="9:22" x14ac:dyDescent="0.45">
      <c r="I1108" t="s">
        <v>180</v>
      </c>
      <c r="J1108" t="s">
        <v>308</v>
      </c>
      <c r="K1108">
        <v>6.8037268673095111E-3</v>
      </c>
      <c r="L1108" t="s">
        <v>159</v>
      </c>
      <c r="N1108" t="s">
        <v>223</v>
      </c>
      <c r="O1108" t="s">
        <v>308</v>
      </c>
      <c r="P1108">
        <v>8.7064712069963052E-2</v>
      </c>
      <c r="Q1108" t="s">
        <v>159</v>
      </c>
      <c r="S1108" t="s">
        <v>265</v>
      </c>
      <c r="T1108" t="s">
        <v>308</v>
      </c>
      <c r="U1108">
        <v>9.2370306459543819E-2</v>
      </c>
      <c r="V1108" t="s">
        <v>159</v>
      </c>
    </row>
    <row r="1109" spans="9:22" x14ac:dyDescent="0.45">
      <c r="I1109" t="s">
        <v>180</v>
      </c>
      <c r="J1109" t="s">
        <v>162</v>
      </c>
      <c r="K1109">
        <v>0</v>
      </c>
      <c r="L1109" t="s">
        <v>159</v>
      </c>
      <c r="N1109" t="s">
        <v>223</v>
      </c>
      <c r="O1109" t="s">
        <v>162</v>
      </c>
      <c r="P1109">
        <v>2.5298285336123796E-2</v>
      </c>
      <c r="Q1109" t="s">
        <v>159</v>
      </c>
      <c r="S1109" t="s">
        <v>265</v>
      </c>
      <c r="T1109" t="s">
        <v>162</v>
      </c>
      <c r="U1109">
        <v>2.5920658224249504E-2</v>
      </c>
      <c r="V1109" t="s">
        <v>159</v>
      </c>
    </row>
    <row r="1110" spans="9:22" x14ac:dyDescent="0.45">
      <c r="I1110" t="s">
        <v>180</v>
      </c>
      <c r="J1110" t="s">
        <v>163</v>
      </c>
      <c r="K1110">
        <v>0</v>
      </c>
      <c r="L1110" t="s">
        <v>159</v>
      </c>
      <c r="N1110" t="s">
        <v>223</v>
      </c>
      <c r="O1110" t="s">
        <v>163</v>
      </c>
      <c r="P1110">
        <v>3.4103058783915025E-3</v>
      </c>
      <c r="Q1110" t="s">
        <v>159</v>
      </c>
      <c r="S1110" t="s">
        <v>265</v>
      </c>
      <c r="T1110" t="s">
        <v>163</v>
      </c>
      <c r="U1110">
        <v>3.5888834629160078E-3</v>
      </c>
      <c r="V1110" t="s">
        <v>159</v>
      </c>
    </row>
    <row r="1111" spans="9:22" x14ac:dyDescent="0.45">
      <c r="I1111" t="s">
        <v>180</v>
      </c>
      <c r="J1111" t="s">
        <v>164</v>
      </c>
      <c r="K1111">
        <v>3.9810533379930339E-2</v>
      </c>
      <c r="L1111" t="s">
        <v>159</v>
      </c>
      <c r="N1111" t="s">
        <v>223</v>
      </c>
      <c r="O1111" t="s">
        <v>164</v>
      </c>
      <c r="P1111">
        <v>3.2508138355171634E-2</v>
      </c>
      <c r="Q1111" t="s">
        <v>159</v>
      </c>
      <c r="S1111" t="s">
        <v>265</v>
      </c>
      <c r="T1111" t="s">
        <v>164</v>
      </c>
      <c r="U1111">
        <v>3.0251108764731374E-2</v>
      </c>
      <c r="V1111" t="s">
        <v>159</v>
      </c>
    </row>
    <row r="1112" spans="9:22" x14ac:dyDescent="0.45">
      <c r="I1112" t="s">
        <v>180</v>
      </c>
      <c r="J1112" t="s">
        <v>289</v>
      </c>
      <c r="K1112">
        <v>3.3614119584657403E-3</v>
      </c>
      <c r="L1112" t="s">
        <v>159</v>
      </c>
      <c r="N1112" t="s">
        <v>223</v>
      </c>
      <c r="O1112" t="s">
        <v>289</v>
      </c>
      <c r="P1112">
        <v>3.2766664001460848E-3</v>
      </c>
      <c r="Q1112" t="s">
        <v>159</v>
      </c>
      <c r="S1112" t="s">
        <v>265</v>
      </c>
      <c r="T1112" t="s">
        <v>289</v>
      </c>
      <c r="U1112">
        <v>3.5234836754266621E-3</v>
      </c>
      <c r="V1112" t="s">
        <v>159</v>
      </c>
    </row>
    <row r="1113" spans="9:22" x14ac:dyDescent="0.45">
      <c r="I1113" t="s">
        <v>180</v>
      </c>
      <c r="J1113" t="s">
        <v>290</v>
      </c>
      <c r="K1113">
        <v>0</v>
      </c>
      <c r="L1113" t="s">
        <v>159</v>
      </c>
      <c r="N1113" t="s">
        <v>223</v>
      </c>
      <c r="O1113" t="s">
        <v>290</v>
      </c>
      <c r="P1113">
        <v>3.3436091540521365E-3</v>
      </c>
      <c r="Q1113" t="s">
        <v>159</v>
      </c>
      <c r="S1113" t="s">
        <v>265</v>
      </c>
      <c r="T1113" t="s">
        <v>290</v>
      </c>
      <c r="U1113">
        <v>3.5495519566541142E-3</v>
      </c>
      <c r="V1113" t="s">
        <v>159</v>
      </c>
    </row>
    <row r="1114" spans="9:22" x14ac:dyDescent="0.45">
      <c r="I1114" t="s">
        <v>180</v>
      </c>
      <c r="J1114" t="s">
        <v>309</v>
      </c>
      <c r="K1114">
        <v>0</v>
      </c>
      <c r="L1114" t="s">
        <v>159</v>
      </c>
      <c r="N1114" t="s">
        <v>223</v>
      </c>
      <c r="O1114" t="s">
        <v>309</v>
      </c>
      <c r="P1114">
        <v>1.7747940756528906E-2</v>
      </c>
      <c r="Q1114" t="s">
        <v>159</v>
      </c>
      <c r="S1114" t="s">
        <v>265</v>
      </c>
      <c r="T1114" t="s">
        <v>309</v>
      </c>
      <c r="U1114">
        <v>1.7635340412370623E-2</v>
      </c>
      <c r="V1114" t="s">
        <v>159</v>
      </c>
    </row>
    <row r="1115" spans="9:22" x14ac:dyDescent="0.45">
      <c r="I1115" t="s">
        <v>180</v>
      </c>
      <c r="J1115" t="s">
        <v>346</v>
      </c>
      <c r="K1115">
        <v>0</v>
      </c>
      <c r="L1115" t="s">
        <v>159</v>
      </c>
      <c r="N1115" t="s">
        <v>223</v>
      </c>
      <c r="O1115" t="s">
        <v>346</v>
      </c>
      <c r="P1115">
        <v>4.3243708810191686E-5</v>
      </c>
      <c r="Q1115" t="s">
        <v>159</v>
      </c>
      <c r="S1115" t="s">
        <v>265</v>
      </c>
      <c r="T1115" t="s">
        <v>346</v>
      </c>
      <c r="U1115">
        <v>1.3323110511929783E-4</v>
      </c>
      <c r="V1115" t="s">
        <v>159</v>
      </c>
    </row>
    <row r="1116" spans="9:22" x14ac:dyDescent="0.45">
      <c r="I1116" t="s">
        <v>180</v>
      </c>
      <c r="J1116" t="s">
        <v>347</v>
      </c>
      <c r="K1116">
        <v>0</v>
      </c>
      <c r="L1116" t="s">
        <v>159</v>
      </c>
      <c r="N1116" t="s">
        <v>223</v>
      </c>
      <c r="O1116" t="s">
        <v>347</v>
      </c>
      <c r="P1116">
        <v>3.6130901068303618E-5</v>
      </c>
      <c r="Q1116" t="s">
        <v>159</v>
      </c>
      <c r="S1116" t="s">
        <v>265</v>
      </c>
      <c r="T1116" t="s">
        <v>347</v>
      </c>
      <c r="U1116">
        <v>1.3276027109447957E-4</v>
      </c>
      <c r="V1116" t="s">
        <v>159</v>
      </c>
    </row>
    <row r="1117" spans="9:22" x14ac:dyDescent="0.45">
      <c r="I1117" t="s">
        <v>180</v>
      </c>
      <c r="J1117" t="s">
        <v>348</v>
      </c>
      <c r="K1117">
        <v>0</v>
      </c>
      <c r="L1117" t="s">
        <v>159</v>
      </c>
      <c r="N1117" t="s">
        <v>223</v>
      </c>
      <c r="O1117" t="s">
        <v>348</v>
      </c>
      <c r="P1117">
        <v>2.511991363128204E-5</v>
      </c>
      <c r="Q1117" t="s">
        <v>159</v>
      </c>
      <c r="S1117" t="s">
        <v>265</v>
      </c>
      <c r="T1117" t="s">
        <v>348</v>
      </c>
      <c r="U1117">
        <v>1.2686959309694988E-4</v>
      </c>
      <c r="V1117" t="s">
        <v>159</v>
      </c>
    </row>
    <row r="1118" spans="9:22" x14ac:dyDescent="0.45">
      <c r="I1118" t="s">
        <v>180</v>
      </c>
      <c r="J1118" t="s">
        <v>349</v>
      </c>
      <c r="K1118">
        <v>0</v>
      </c>
      <c r="L1118" t="s">
        <v>159</v>
      </c>
      <c r="N1118" t="s">
        <v>223</v>
      </c>
      <c r="O1118" t="s">
        <v>349</v>
      </c>
      <c r="P1118">
        <v>1.7669305912092149E-5</v>
      </c>
      <c r="Q1118" t="s">
        <v>159</v>
      </c>
      <c r="S1118" t="s">
        <v>265</v>
      </c>
      <c r="T1118" t="s">
        <v>349</v>
      </c>
      <c r="U1118">
        <v>1.1932302323696992E-4</v>
      </c>
      <c r="V1118" t="s">
        <v>159</v>
      </c>
    </row>
    <row r="1119" spans="9:22" x14ac:dyDescent="0.45">
      <c r="I1119" t="s">
        <v>180</v>
      </c>
      <c r="J1119" t="s">
        <v>350</v>
      </c>
      <c r="K1119">
        <v>0</v>
      </c>
      <c r="L1119" t="s">
        <v>159</v>
      </c>
      <c r="N1119" t="s">
        <v>223</v>
      </c>
      <c r="O1119" t="s">
        <v>350</v>
      </c>
      <c r="P1119">
        <v>1.7610553229545758E-5</v>
      </c>
      <c r="Q1119" t="s">
        <v>159</v>
      </c>
      <c r="S1119" t="s">
        <v>265</v>
      </c>
      <c r="T1119" t="s">
        <v>350</v>
      </c>
      <c r="U1119">
        <v>1.0990532272542371E-4</v>
      </c>
      <c r="V1119" t="s">
        <v>159</v>
      </c>
    </row>
    <row r="1120" spans="9:22" x14ac:dyDescent="0.45">
      <c r="I1120" t="s">
        <v>180</v>
      </c>
      <c r="J1120" t="s">
        <v>351</v>
      </c>
      <c r="K1120">
        <v>0</v>
      </c>
      <c r="L1120" t="s">
        <v>159</v>
      </c>
      <c r="N1120" t="s">
        <v>223</v>
      </c>
      <c r="O1120" t="s">
        <v>351</v>
      </c>
      <c r="P1120">
        <v>2.3173127848009892E-5</v>
      </c>
      <c r="Q1120" t="s">
        <v>159</v>
      </c>
      <c r="S1120" t="s">
        <v>265</v>
      </c>
      <c r="T1120" t="s">
        <v>351</v>
      </c>
      <c r="U1120">
        <v>9.90531975805529E-5</v>
      </c>
      <c r="V1120" t="s">
        <v>159</v>
      </c>
    </row>
    <row r="1121" spans="9:22" x14ac:dyDescent="0.45">
      <c r="I1121" t="s">
        <v>180</v>
      </c>
      <c r="J1121" t="s">
        <v>352</v>
      </c>
      <c r="K1121">
        <v>0</v>
      </c>
      <c r="L1121" t="s">
        <v>159</v>
      </c>
      <c r="N1121" t="s">
        <v>223</v>
      </c>
      <c r="O1121" t="s">
        <v>352</v>
      </c>
      <c r="P1121">
        <v>3.1178752003561959E-5</v>
      </c>
      <c r="Q1121" t="s">
        <v>159</v>
      </c>
      <c r="S1121" t="s">
        <v>265</v>
      </c>
      <c r="T1121" t="s">
        <v>352</v>
      </c>
      <c r="U1121">
        <v>9.4405287866381287E-5</v>
      </c>
      <c r="V1121" t="s">
        <v>159</v>
      </c>
    </row>
    <row r="1122" spans="9:22" x14ac:dyDescent="0.45">
      <c r="I1122" t="s">
        <v>180</v>
      </c>
      <c r="J1122" t="s">
        <v>353</v>
      </c>
      <c r="K1122">
        <v>0</v>
      </c>
      <c r="L1122" t="s">
        <v>159</v>
      </c>
      <c r="N1122" t="s">
        <v>223</v>
      </c>
      <c r="O1122" t="s">
        <v>353</v>
      </c>
      <c r="P1122">
        <v>3.930492900539935E-5</v>
      </c>
      <c r="Q1122" t="s">
        <v>159</v>
      </c>
      <c r="S1122" t="s">
        <v>265</v>
      </c>
      <c r="T1122" t="s">
        <v>353</v>
      </c>
      <c r="U1122">
        <v>9.2320272638603422E-5</v>
      </c>
      <c r="V1122" t="s">
        <v>159</v>
      </c>
    </row>
    <row r="1123" spans="9:22" x14ac:dyDescent="0.45">
      <c r="I1123" t="s">
        <v>180</v>
      </c>
      <c r="J1123" t="s">
        <v>354</v>
      </c>
      <c r="K1123">
        <v>1.4944136130451283E-4</v>
      </c>
      <c r="L1123" t="s">
        <v>159</v>
      </c>
      <c r="N1123" t="s">
        <v>223</v>
      </c>
      <c r="O1123" t="s">
        <v>354</v>
      </c>
      <c r="P1123">
        <v>4.7828363960331E-5</v>
      </c>
      <c r="Q1123" t="s">
        <v>159</v>
      </c>
      <c r="S1123" t="s">
        <v>265</v>
      </c>
      <c r="T1123" t="s">
        <v>354</v>
      </c>
      <c r="U1123">
        <v>8.059650870770744E-5</v>
      </c>
      <c r="V1123" t="s">
        <v>159</v>
      </c>
    </row>
    <row r="1124" spans="9:22" x14ac:dyDescent="0.45">
      <c r="I1124" t="s">
        <v>180</v>
      </c>
      <c r="J1124" t="s">
        <v>355</v>
      </c>
      <c r="K1124">
        <v>1.7291938892078921E-4</v>
      </c>
      <c r="L1124" t="s">
        <v>159</v>
      </c>
      <c r="N1124" t="s">
        <v>223</v>
      </c>
      <c r="O1124" t="s">
        <v>355</v>
      </c>
      <c r="P1124">
        <v>5.1942751343585043E-5</v>
      </c>
      <c r="Q1124" t="s">
        <v>159</v>
      </c>
      <c r="S1124" t="s">
        <v>265</v>
      </c>
      <c r="T1124" t="s">
        <v>355</v>
      </c>
      <c r="U1124">
        <v>6.1927044106195941E-5</v>
      </c>
      <c r="V1124" t="s">
        <v>159</v>
      </c>
    </row>
    <row r="1125" spans="9:22" x14ac:dyDescent="0.45">
      <c r="I1125" t="s">
        <v>180</v>
      </c>
      <c r="J1125" t="s">
        <v>356</v>
      </c>
      <c r="K1125">
        <v>1.6288153702299828E-4</v>
      </c>
      <c r="L1125" t="s">
        <v>159</v>
      </c>
      <c r="N1125" t="s">
        <v>223</v>
      </c>
      <c r="O1125" t="s">
        <v>356</v>
      </c>
      <c r="P1125">
        <v>5.0481887277406089E-5</v>
      </c>
      <c r="Q1125" t="s">
        <v>159</v>
      </c>
      <c r="S1125" t="s">
        <v>265</v>
      </c>
      <c r="T1125" t="s">
        <v>356</v>
      </c>
      <c r="U1125">
        <v>5.7050346530217096E-5</v>
      </c>
      <c r="V1125" t="s">
        <v>159</v>
      </c>
    </row>
    <row r="1126" spans="9:22" x14ac:dyDescent="0.45">
      <c r="I1126" t="s">
        <v>180</v>
      </c>
      <c r="J1126" t="s">
        <v>357</v>
      </c>
      <c r="K1126">
        <v>1.6957261079040029E-4</v>
      </c>
      <c r="L1126" t="s">
        <v>159</v>
      </c>
      <c r="N1126" t="s">
        <v>223</v>
      </c>
      <c r="O1126" t="s">
        <v>357</v>
      </c>
      <c r="P1126">
        <v>7.9025119436612235E-5</v>
      </c>
      <c r="Q1126" t="s">
        <v>159</v>
      </c>
      <c r="S1126" t="s">
        <v>265</v>
      </c>
      <c r="T1126" t="s">
        <v>357</v>
      </c>
      <c r="U1126">
        <v>6.3697088378405014E-5</v>
      </c>
      <c r="V1126" t="s">
        <v>159</v>
      </c>
    </row>
    <row r="1127" spans="9:22" x14ac:dyDescent="0.45">
      <c r="I1127" t="s">
        <v>180</v>
      </c>
      <c r="J1127" t="s">
        <v>358</v>
      </c>
      <c r="K1127">
        <v>2.0612114193446516E-4</v>
      </c>
      <c r="L1127" t="s">
        <v>159</v>
      </c>
      <c r="N1127" t="s">
        <v>223</v>
      </c>
      <c r="O1127" t="s">
        <v>358</v>
      </c>
      <c r="P1127">
        <v>8.7064106874423935E-5</v>
      </c>
      <c r="Q1127" t="s">
        <v>159</v>
      </c>
      <c r="S1127" t="s">
        <v>265</v>
      </c>
      <c r="T1127" t="s">
        <v>358</v>
      </c>
      <c r="U1127">
        <v>6.2073657765045068E-5</v>
      </c>
      <c r="V1127" t="s">
        <v>159</v>
      </c>
    </row>
    <row r="1128" spans="9:22" x14ac:dyDescent="0.45">
      <c r="I1128" t="s">
        <v>180</v>
      </c>
      <c r="J1128" t="s">
        <v>359</v>
      </c>
      <c r="K1128">
        <v>1.9539060521679883E-4</v>
      </c>
      <c r="L1128" t="s">
        <v>159</v>
      </c>
      <c r="N1128" t="s">
        <v>223</v>
      </c>
      <c r="O1128" t="s">
        <v>359</v>
      </c>
      <c r="P1128">
        <v>9.0208716659926865E-5</v>
      </c>
      <c r="Q1128" t="s">
        <v>159</v>
      </c>
      <c r="S1128" t="s">
        <v>265</v>
      </c>
      <c r="T1128" t="s">
        <v>359</v>
      </c>
      <c r="U1128">
        <v>5.7516682060699521E-5</v>
      </c>
      <c r="V1128" t="s">
        <v>159</v>
      </c>
    </row>
    <row r="1129" spans="9:22" x14ac:dyDescent="0.45">
      <c r="I1129" t="s">
        <v>180</v>
      </c>
      <c r="J1129" t="s">
        <v>360</v>
      </c>
      <c r="K1129">
        <v>1.6190431178831469E-4</v>
      </c>
      <c r="L1129" t="s">
        <v>159</v>
      </c>
      <c r="N1129" t="s">
        <v>223</v>
      </c>
      <c r="O1129" t="s">
        <v>360</v>
      </c>
      <c r="P1129">
        <v>7.9779705662759532E-5</v>
      </c>
      <c r="Q1129" t="s">
        <v>159</v>
      </c>
      <c r="S1129" t="s">
        <v>265</v>
      </c>
      <c r="T1129" t="s">
        <v>360</v>
      </c>
      <c r="U1129">
        <v>5.3958039365758301E-5</v>
      </c>
      <c r="V1129" t="s">
        <v>159</v>
      </c>
    </row>
    <row r="1130" spans="9:22" x14ac:dyDescent="0.45">
      <c r="I1130" t="s">
        <v>180</v>
      </c>
      <c r="J1130" t="s">
        <v>361</v>
      </c>
      <c r="K1130">
        <v>1.5193087862546846E-4</v>
      </c>
      <c r="L1130" t="s">
        <v>159</v>
      </c>
      <c r="N1130" t="s">
        <v>223</v>
      </c>
      <c r="O1130" t="s">
        <v>361</v>
      </c>
      <c r="P1130">
        <v>5.3612360691465107E-5</v>
      </c>
      <c r="Q1130" t="s">
        <v>159</v>
      </c>
      <c r="S1130" t="s">
        <v>265</v>
      </c>
      <c r="T1130" t="s">
        <v>361</v>
      </c>
      <c r="U1130">
        <v>5.0446850179128593E-5</v>
      </c>
      <c r="V1130" t="s">
        <v>159</v>
      </c>
    </row>
    <row r="1131" spans="9:22" x14ac:dyDescent="0.45">
      <c r="I1131" t="s">
        <v>180</v>
      </c>
      <c r="J1131" t="s">
        <v>362</v>
      </c>
      <c r="K1131">
        <v>1.4517944838332369E-4</v>
      </c>
      <c r="L1131" t="s">
        <v>159</v>
      </c>
      <c r="N1131" t="s">
        <v>223</v>
      </c>
      <c r="O1131" t="s">
        <v>362</v>
      </c>
      <c r="P1131">
        <v>2.9773041398479914E-5</v>
      </c>
      <c r="Q1131" t="s">
        <v>159</v>
      </c>
      <c r="S1131" t="s">
        <v>265</v>
      </c>
      <c r="T1131" t="s">
        <v>362</v>
      </c>
      <c r="U1131">
        <v>4.4211489242161866E-5</v>
      </c>
      <c r="V1131" t="s">
        <v>159</v>
      </c>
    </row>
    <row r="1132" spans="9:22" x14ac:dyDescent="0.45">
      <c r="I1132" t="s">
        <v>180</v>
      </c>
      <c r="J1132" t="s">
        <v>363</v>
      </c>
      <c r="K1132">
        <v>9.0919702516718831E-5</v>
      </c>
      <c r="L1132" t="s">
        <v>159</v>
      </c>
      <c r="N1132" t="s">
        <v>223</v>
      </c>
      <c r="O1132" t="s">
        <v>363</v>
      </c>
      <c r="P1132">
        <v>2.0008575217286657E-5</v>
      </c>
      <c r="Q1132" t="s">
        <v>159</v>
      </c>
      <c r="S1132" t="s">
        <v>265</v>
      </c>
      <c r="T1132" t="s">
        <v>363</v>
      </c>
      <c r="U1132">
        <v>4.1372446035254863E-5</v>
      </c>
      <c r="V1132" t="s">
        <v>159</v>
      </c>
    </row>
    <row r="1133" spans="9:22" x14ac:dyDescent="0.45">
      <c r="I1133" t="s">
        <v>180</v>
      </c>
      <c r="J1133" t="s">
        <v>364</v>
      </c>
      <c r="K1133">
        <v>0</v>
      </c>
      <c r="L1133" t="s">
        <v>159</v>
      </c>
      <c r="N1133" t="s">
        <v>223</v>
      </c>
      <c r="O1133" t="s">
        <v>364</v>
      </c>
      <c r="P1133">
        <v>1.594863739025541E-5</v>
      </c>
      <c r="Q1133" t="s">
        <v>159</v>
      </c>
      <c r="S1133" t="s">
        <v>265</v>
      </c>
      <c r="T1133" t="s">
        <v>364</v>
      </c>
      <c r="U1133">
        <v>4.1817019910431949E-5</v>
      </c>
      <c r="V1133" t="s">
        <v>159</v>
      </c>
    </row>
    <row r="1134" spans="9:22" x14ac:dyDescent="0.45">
      <c r="I1134" t="s">
        <v>180</v>
      </c>
      <c r="J1134" t="s">
        <v>365</v>
      </c>
      <c r="K1134">
        <v>0</v>
      </c>
      <c r="L1134" t="s">
        <v>159</v>
      </c>
      <c r="N1134" t="s">
        <v>223</v>
      </c>
      <c r="O1134" t="s">
        <v>365</v>
      </c>
      <c r="P1134">
        <v>1.1459329170512328E-5</v>
      </c>
      <c r="Q1134" t="s">
        <v>159</v>
      </c>
      <c r="S1134" t="s">
        <v>265</v>
      </c>
      <c r="T1134" t="s">
        <v>365</v>
      </c>
      <c r="U1134">
        <v>3.7817576261951054E-5</v>
      </c>
      <c r="V1134" t="s">
        <v>159</v>
      </c>
    </row>
    <row r="1135" spans="9:22" x14ac:dyDescent="0.45">
      <c r="I1135" t="s">
        <v>180</v>
      </c>
      <c r="J1135" t="s">
        <v>366</v>
      </c>
      <c r="K1135">
        <v>0</v>
      </c>
      <c r="L1135" t="s">
        <v>159</v>
      </c>
      <c r="N1135" t="s">
        <v>223</v>
      </c>
      <c r="O1135" t="s">
        <v>366</v>
      </c>
      <c r="P1135">
        <v>8.7738031184918257E-6</v>
      </c>
      <c r="Q1135" t="s">
        <v>159</v>
      </c>
      <c r="S1135" t="s">
        <v>265</v>
      </c>
      <c r="T1135" t="s">
        <v>366</v>
      </c>
      <c r="U1135">
        <v>3.2295474210114768E-5</v>
      </c>
      <c r="V1135" t="s">
        <v>159</v>
      </c>
    </row>
    <row r="1136" spans="9:22" x14ac:dyDescent="0.45">
      <c r="I1136" t="s">
        <v>180</v>
      </c>
      <c r="J1136" t="s">
        <v>367</v>
      </c>
      <c r="K1136">
        <v>0</v>
      </c>
      <c r="L1136" t="s">
        <v>159</v>
      </c>
      <c r="N1136" t="s">
        <v>223</v>
      </c>
      <c r="O1136" t="s">
        <v>367</v>
      </c>
      <c r="P1136">
        <v>8.4596944537748231E-6</v>
      </c>
      <c r="Q1136" t="s">
        <v>159</v>
      </c>
      <c r="S1136" t="s">
        <v>265</v>
      </c>
      <c r="T1136" t="s">
        <v>367</v>
      </c>
      <c r="U1136">
        <v>2.7688793840993551E-5</v>
      </c>
      <c r="V1136" t="s">
        <v>159</v>
      </c>
    </row>
    <row r="1137" spans="9:22" x14ac:dyDescent="0.45">
      <c r="I1137" t="s">
        <v>180</v>
      </c>
      <c r="J1137" t="s">
        <v>368</v>
      </c>
      <c r="K1137">
        <v>0</v>
      </c>
      <c r="L1137" t="s">
        <v>159</v>
      </c>
      <c r="N1137" t="s">
        <v>223</v>
      </c>
      <c r="O1137" t="s">
        <v>368</v>
      </c>
      <c r="P1137">
        <v>8.4440922210075748E-6</v>
      </c>
      <c r="Q1137" t="s">
        <v>159</v>
      </c>
      <c r="S1137" t="s">
        <v>265</v>
      </c>
      <c r="T1137" t="s">
        <v>368</v>
      </c>
      <c r="U1137">
        <v>2.5107936389579163E-5</v>
      </c>
      <c r="V1137" t="s">
        <v>159</v>
      </c>
    </row>
    <row r="1138" spans="9:22" x14ac:dyDescent="0.45">
      <c r="I1138" t="s">
        <v>180</v>
      </c>
      <c r="J1138" t="s">
        <v>369</v>
      </c>
      <c r="K1138">
        <v>0</v>
      </c>
      <c r="L1138" t="s">
        <v>159</v>
      </c>
      <c r="N1138" t="s">
        <v>223</v>
      </c>
      <c r="O1138" t="s">
        <v>369</v>
      </c>
      <c r="P1138">
        <v>9.8288951756974385E-6</v>
      </c>
      <c r="Q1138" t="s">
        <v>159</v>
      </c>
      <c r="S1138" t="s">
        <v>265</v>
      </c>
      <c r="T1138" t="s">
        <v>369</v>
      </c>
      <c r="U1138">
        <v>1.2333816825615354E-5</v>
      </c>
      <c r="V1138" t="s">
        <v>159</v>
      </c>
    </row>
    <row r="1139" spans="9:22" x14ac:dyDescent="0.45">
      <c r="I1139" t="s">
        <v>180</v>
      </c>
      <c r="J1139" t="s">
        <v>165</v>
      </c>
      <c r="K1139">
        <v>0</v>
      </c>
      <c r="L1139" t="s">
        <v>159</v>
      </c>
      <c r="N1139" t="s">
        <v>223</v>
      </c>
      <c r="O1139" t="s">
        <v>165</v>
      </c>
      <c r="P1139">
        <v>2.9509787276424431E-2</v>
      </c>
      <c r="Q1139" t="s">
        <v>159</v>
      </c>
      <c r="S1139" t="s">
        <v>265</v>
      </c>
      <c r="T1139" t="s">
        <v>165</v>
      </c>
      <c r="U1139">
        <v>3.0178254072819738E-2</v>
      </c>
      <c r="V1139" t="s">
        <v>159</v>
      </c>
    </row>
    <row r="1140" spans="9:22" x14ac:dyDescent="0.45">
      <c r="I1140" t="s">
        <v>180</v>
      </c>
      <c r="J1140" t="s">
        <v>166</v>
      </c>
      <c r="K1140">
        <v>7.606360416414188E-4</v>
      </c>
      <c r="L1140" t="s">
        <v>159</v>
      </c>
      <c r="N1140" t="s">
        <v>223</v>
      </c>
      <c r="O1140" t="s">
        <v>166</v>
      </c>
      <c r="P1140">
        <v>4.1271703000601255E-3</v>
      </c>
      <c r="Q1140" t="s">
        <v>159</v>
      </c>
      <c r="S1140" t="s">
        <v>265</v>
      </c>
      <c r="T1140" t="s">
        <v>166</v>
      </c>
      <c r="U1140">
        <v>4.321609715041295E-3</v>
      </c>
      <c r="V1140" t="s">
        <v>159</v>
      </c>
    </row>
    <row r="1141" spans="9:22" x14ac:dyDescent="0.45">
      <c r="I1141" t="s">
        <v>180</v>
      </c>
      <c r="J1141" t="s">
        <v>167</v>
      </c>
      <c r="K1141">
        <v>4.768259821623666E-2</v>
      </c>
      <c r="L1141" t="s">
        <v>159</v>
      </c>
      <c r="N1141" t="s">
        <v>223</v>
      </c>
      <c r="O1141" t="s">
        <v>167</v>
      </c>
      <c r="P1141">
        <v>3.9657774637849495E-2</v>
      </c>
      <c r="Q1141" t="s">
        <v>159</v>
      </c>
      <c r="S1141" t="s">
        <v>265</v>
      </c>
      <c r="T1141" t="s">
        <v>167</v>
      </c>
      <c r="U1141">
        <v>4.0180415492041655E-2</v>
      </c>
      <c r="V1141" t="s">
        <v>159</v>
      </c>
    </row>
    <row r="1142" spans="9:22" x14ac:dyDescent="0.45">
      <c r="I1142" t="s">
        <v>180</v>
      </c>
      <c r="J1142" t="s">
        <v>291</v>
      </c>
      <c r="K1142">
        <v>3.9038683963197509E-3</v>
      </c>
      <c r="L1142" t="s">
        <v>159</v>
      </c>
      <c r="N1142" t="s">
        <v>223</v>
      </c>
      <c r="O1142" t="s">
        <v>291</v>
      </c>
      <c r="P1142">
        <v>4.4246187266819385E-3</v>
      </c>
      <c r="Q1142" t="s">
        <v>159</v>
      </c>
      <c r="S1142" t="s">
        <v>265</v>
      </c>
      <c r="T1142" t="s">
        <v>291</v>
      </c>
      <c r="U1142">
        <v>4.4978860203002896E-3</v>
      </c>
      <c r="V1142" t="s">
        <v>159</v>
      </c>
    </row>
    <row r="1143" spans="9:22" x14ac:dyDescent="0.45">
      <c r="I1143" t="s">
        <v>180</v>
      </c>
      <c r="J1143" t="s">
        <v>292</v>
      </c>
      <c r="K1143">
        <v>0</v>
      </c>
      <c r="L1143" t="s">
        <v>159</v>
      </c>
      <c r="N1143" t="s">
        <v>223</v>
      </c>
      <c r="O1143" t="s">
        <v>292</v>
      </c>
      <c r="P1143">
        <v>4.3430442051470113E-3</v>
      </c>
      <c r="Q1143" t="s">
        <v>159</v>
      </c>
      <c r="S1143" t="s">
        <v>265</v>
      </c>
      <c r="T1143" t="s">
        <v>292</v>
      </c>
      <c r="U1143">
        <v>4.493600164184733E-3</v>
      </c>
      <c r="V1143" t="s">
        <v>159</v>
      </c>
    </row>
    <row r="1144" spans="9:22" x14ac:dyDescent="0.45">
      <c r="I1144" t="s">
        <v>180</v>
      </c>
      <c r="J1144" t="s">
        <v>310</v>
      </c>
      <c r="K1144">
        <v>0</v>
      </c>
      <c r="L1144" t="s">
        <v>159</v>
      </c>
      <c r="N1144" t="s">
        <v>223</v>
      </c>
      <c r="O1144" t="s">
        <v>310</v>
      </c>
      <c r="P1144">
        <v>2.26789192913971E-2</v>
      </c>
      <c r="Q1144" t="s">
        <v>159</v>
      </c>
      <c r="S1144" t="s">
        <v>265</v>
      </c>
      <c r="T1144" t="s">
        <v>310</v>
      </c>
      <c r="U1144">
        <v>2.22473345852441E-2</v>
      </c>
      <c r="V1144" t="s">
        <v>159</v>
      </c>
    </row>
    <row r="1145" spans="9:22" x14ac:dyDescent="0.45">
      <c r="I1145" t="s">
        <v>180</v>
      </c>
      <c r="J1145" t="s">
        <v>293</v>
      </c>
      <c r="K1145">
        <v>0</v>
      </c>
      <c r="L1145" t="s">
        <v>159</v>
      </c>
      <c r="N1145" t="s">
        <v>223</v>
      </c>
      <c r="O1145" t="s">
        <v>293</v>
      </c>
      <c r="P1145">
        <v>3.3461984339092053E-3</v>
      </c>
      <c r="Q1145" t="s">
        <v>159</v>
      </c>
      <c r="S1145" t="s">
        <v>265</v>
      </c>
      <c r="T1145" t="s">
        <v>293</v>
      </c>
      <c r="U1145">
        <v>5.04971141770795E-3</v>
      </c>
      <c r="V1145" t="s">
        <v>159</v>
      </c>
    </row>
    <row r="1146" spans="9:22" x14ac:dyDescent="0.45">
      <c r="I1146" t="s">
        <v>180</v>
      </c>
      <c r="J1146" t="s">
        <v>294</v>
      </c>
      <c r="K1146">
        <v>9.5531208961882499E-4</v>
      </c>
      <c r="L1146" t="s">
        <v>159</v>
      </c>
      <c r="N1146" t="s">
        <v>223</v>
      </c>
      <c r="O1146" t="s">
        <v>294</v>
      </c>
      <c r="P1146">
        <v>5.4842921370223334E-4</v>
      </c>
      <c r="Q1146" t="s">
        <v>159</v>
      </c>
      <c r="S1146" t="s">
        <v>265</v>
      </c>
      <c r="T1146" t="s">
        <v>294</v>
      </c>
      <c r="U1146">
        <v>7.0802274493349552E-4</v>
      </c>
      <c r="V1146" t="s">
        <v>159</v>
      </c>
    </row>
    <row r="1147" spans="9:22" x14ac:dyDescent="0.45">
      <c r="I1147" t="s">
        <v>180</v>
      </c>
      <c r="J1147" t="s">
        <v>295</v>
      </c>
      <c r="K1147">
        <v>1.4708367920104434E-2</v>
      </c>
      <c r="L1147" t="s">
        <v>159</v>
      </c>
      <c r="N1147" t="s">
        <v>223</v>
      </c>
      <c r="O1147" t="s">
        <v>295</v>
      </c>
      <c r="P1147">
        <v>6.7377672760606166E-3</v>
      </c>
      <c r="Q1147" t="s">
        <v>159</v>
      </c>
      <c r="S1147" t="s">
        <v>265</v>
      </c>
      <c r="T1147" t="s">
        <v>295</v>
      </c>
      <c r="U1147">
        <v>7.8554310303839553E-3</v>
      </c>
      <c r="V1147" t="s">
        <v>159</v>
      </c>
    </row>
    <row r="1148" spans="9:22" x14ac:dyDescent="0.45">
      <c r="I1148" t="s">
        <v>180</v>
      </c>
      <c r="J1148" t="s">
        <v>296</v>
      </c>
      <c r="K1148">
        <v>1.2740303225192199E-3</v>
      </c>
      <c r="L1148" t="s">
        <v>159</v>
      </c>
      <c r="N1148" t="s">
        <v>223</v>
      </c>
      <c r="O1148" t="s">
        <v>296</v>
      </c>
      <c r="P1148">
        <v>5.8444907830852331E-4</v>
      </c>
      <c r="Q1148" t="s">
        <v>159</v>
      </c>
      <c r="S1148" t="s">
        <v>265</v>
      </c>
      <c r="T1148" t="s">
        <v>296</v>
      </c>
      <c r="U1148">
        <v>9.8852429596584749E-4</v>
      </c>
      <c r="V1148" t="s">
        <v>159</v>
      </c>
    </row>
    <row r="1149" spans="9:22" x14ac:dyDescent="0.45">
      <c r="I1149" t="s">
        <v>180</v>
      </c>
      <c r="J1149" t="s">
        <v>297</v>
      </c>
      <c r="K1149">
        <v>2.1608056074377336E-7</v>
      </c>
      <c r="L1149" t="s">
        <v>159</v>
      </c>
      <c r="N1149" t="s">
        <v>223</v>
      </c>
      <c r="O1149" t="s">
        <v>297</v>
      </c>
      <c r="P1149">
        <v>4.4170895095908157E-4</v>
      </c>
      <c r="Q1149" t="s">
        <v>159</v>
      </c>
      <c r="S1149" t="s">
        <v>265</v>
      </c>
      <c r="T1149" t="s">
        <v>297</v>
      </c>
      <c r="U1149">
        <v>9.5129471780360181E-4</v>
      </c>
      <c r="V1149" t="s">
        <v>159</v>
      </c>
    </row>
    <row r="1150" spans="9:22" x14ac:dyDescent="0.45">
      <c r="I1150" t="s">
        <v>180</v>
      </c>
      <c r="J1150" t="s">
        <v>311</v>
      </c>
      <c r="K1150">
        <v>0</v>
      </c>
      <c r="L1150" t="s">
        <v>159</v>
      </c>
      <c r="N1150" t="s">
        <v>223</v>
      </c>
      <c r="O1150" t="s">
        <v>311</v>
      </c>
      <c r="P1150">
        <v>1.4514028776802456E-3</v>
      </c>
      <c r="Q1150" t="s">
        <v>159</v>
      </c>
      <c r="S1150" t="s">
        <v>265</v>
      </c>
      <c r="T1150" t="s">
        <v>311</v>
      </c>
      <c r="U1150">
        <v>4.4988556059295604E-3</v>
      </c>
      <c r="V1150" t="s">
        <v>159</v>
      </c>
    </row>
    <row r="1151" spans="9:22" x14ac:dyDescent="0.45">
      <c r="I1151" t="s">
        <v>180</v>
      </c>
      <c r="J1151" t="s">
        <v>298</v>
      </c>
      <c r="K1151">
        <v>8.5334397245529024E-3</v>
      </c>
      <c r="L1151" t="s">
        <v>159</v>
      </c>
      <c r="N1151" t="s">
        <v>223</v>
      </c>
      <c r="O1151" t="s">
        <v>298</v>
      </c>
      <c r="P1151">
        <v>6.8561138540196118E-2</v>
      </c>
      <c r="Q1151" t="s">
        <v>159</v>
      </c>
      <c r="S1151" t="s">
        <v>265</v>
      </c>
      <c r="T1151" t="s">
        <v>298</v>
      </c>
      <c r="U1151">
        <v>8.1659051569900387E-2</v>
      </c>
      <c r="V1151" t="s">
        <v>159</v>
      </c>
    </row>
    <row r="1152" spans="9:22" x14ac:dyDescent="0.45">
      <c r="I1152" t="s">
        <v>180</v>
      </c>
      <c r="J1152" t="s">
        <v>299</v>
      </c>
      <c r="K1152">
        <v>1.8614636105434169E-2</v>
      </c>
      <c r="L1152" t="s">
        <v>159</v>
      </c>
      <c r="N1152" t="s">
        <v>223</v>
      </c>
      <c r="O1152" t="s">
        <v>299</v>
      </c>
      <c r="P1152">
        <v>9.7567321796009111E-3</v>
      </c>
      <c r="Q1152" t="s">
        <v>159</v>
      </c>
      <c r="S1152" t="s">
        <v>265</v>
      </c>
      <c r="T1152" t="s">
        <v>299</v>
      </c>
      <c r="U1152">
        <v>1.1522938201319229E-2</v>
      </c>
      <c r="V1152" t="s">
        <v>159</v>
      </c>
    </row>
    <row r="1153" spans="9:22" x14ac:dyDescent="0.45">
      <c r="I1153" t="s">
        <v>180</v>
      </c>
      <c r="J1153" t="s">
        <v>300</v>
      </c>
      <c r="K1153">
        <v>0.23791598576183118</v>
      </c>
      <c r="L1153" t="s">
        <v>159</v>
      </c>
      <c r="N1153" t="s">
        <v>223</v>
      </c>
      <c r="O1153" t="s">
        <v>300</v>
      </c>
      <c r="P1153">
        <v>0.11890683301003789</v>
      </c>
      <c r="Q1153" t="s">
        <v>159</v>
      </c>
      <c r="S1153" t="s">
        <v>265</v>
      </c>
      <c r="T1153" t="s">
        <v>300</v>
      </c>
      <c r="U1153">
        <v>0.10775904619209069</v>
      </c>
      <c r="V1153" t="s">
        <v>159</v>
      </c>
    </row>
    <row r="1154" spans="9:22" x14ac:dyDescent="0.45">
      <c r="I1154" t="s">
        <v>180</v>
      </c>
      <c r="J1154" t="s">
        <v>301</v>
      </c>
      <c r="K1154">
        <v>2.1733342907262129E-2</v>
      </c>
      <c r="L1154" t="s">
        <v>159</v>
      </c>
      <c r="N1154" t="s">
        <v>223</v>
      </c>
      <c r="O1154" t="s">
        <v>301</v>
      </c>
      <c r="P1154">
        <v>1.4199343376525484E-2</v>
      </c>
      <c r="Q1154" t="s">
        <v>159</v>
      </c>
      <c r="S1154" t="s">
        <v>265</v>
      </c>
      <c r="T1154" t="s">
        <v>301</v>
      </c>
      <c r="U1154">
        <v>1.2910652261756552E-2</v>
      </c>
      <c r="V1154" t="s">
        <v>159</v>
      </c>
    </row>
    <row r="1155" spans="9:22" x14ac:dyDescent="0.45">
      <c r="I1155" t="s">
        <v>180</v>
      </c>
      <c r="J1155" t="s">
        <v>302</v>
      </c>
      <c r="K1155">
        <v>1.3879456857867133E-2</v>
      </c>
      <c r="L1155" t="s">
        <v>159</v>
      </c>
      <c r="N1155" t="s">
        <v>223</v>
      </c>
      <c r="O1155" t="s">
        <v>302</v>
      </c>
      <c r="P1155">
        <v>1.3185675618817207E-2</v>
      </c>
      <c r="Q1155" t="s">
        <v>159</v>
      </c>
      <c r="S1155" t="s">
        <v>265</v>
      </c>
      <c r="T1155" t="s">
        <v>302</v>
      </c>
      <c r="U1155">
        <v>1.2851605000760795E-2</v>
      </c>
      <c r="V1155" t="s">
        <v>159</v>
      </c>
    </row>
    <row r="1156" spans="9:22" x14ac:dyDescent="0.45">
      <c r="I1156" t="s">
        <v>180</v>
      </c>
      <c r="J1156" t="s">
        <v>312</v>
      </c>
      <c r="K1156">
        <v>3.2292965065901619E-7</v>
      </c>
      <c r="L1156" t="s">
        <v>159</v>
      </c>
      <c r="N1156" t="s">
        <v>223</v>
      </c>
      <c r="O1156" t="s">
        <v>312</v>
      </c>
      <c r="P1156">
        <v>5.6056910889075856E-2</v>
      </c>
      <c r="Q1156" t="s">
        <v>159</v>
      </c>
      <c r="S1156" t="s">
        <v>265</v>
      </c>
      <c r="T1156" t="s">
        <v>312</v>
      </c>
      <c r="U1156">
        <v>6.0907345843587098E-2</v>
      </c>
      <c r="V1156" t="s">
        <v>159</v>
      </c>
    </row>
    <row r="1157" spans="9:22" x14ac:dyDescent="0.45">
      <c r="I1157" t="s">
        <v>180</v>
      </c>
      <c r="J1157" t="s">
        <v>397</v>
      </c>
      <c r="K1157">
        <v>0</v>
      </c>
      <c r="L1157" t="s">
        <v>159</v>
      </c>
      <c r="N1157" t="s">
        <v>223</v>
      </c>
      <c r="O1157" t="s">
        <v>397</v>
      </c>
      <c r="P1157">
        <v>7.7418904220364392E-5</v>
      </c>
      <c r="Q1157" t="s">
        <v>159</v>
      </c>
      <c r="S1157" t="s">
        <v>265</v>
      </c>
      <c r="T1157" t="s">
        <v>397</v>
      </c>
      <c r="U1157">
        <v>2.1385487007752232E-4</v>
      </c>
      <c r="V1157" t="s">
        <v>159</v>
      </c>
    </row>
    <row r="1158" spans="9:22" x14ac:dyDescent="0.45">
      <c r="I1158" t="s">
        <v>180</v>
      </c>
      <c r="J1158" t="s">
        <v>398</v>
      </c>
      <c r="K1158">
        <v>0</v>
      </c>
      <c r="L1158" t="s">
        <v>159</v>
      </c>
      <c r="N1158" t="s">
        <v>223</v>
      </c>
      <c r="O1158" t="s">
        <v>398</v>
      </c>
      <c r="P1158">
        <v>6.7151756899025384E-5</v>
      </c>
      <c r="Q1158" t="s">
        <v>159</v>
      </c>
      <c r="S1158" t="s">
        <v>265</v>
      </c>
      <c r="T1158" t="s">
        <v>398</v>
      </c>
      <c r="U1158">
        <v>2.1323293983724218E-4</v>
      </c>
      <c r="V1158" t="s">
        <v>159</v>
      </c>
    </row>
    <row r="1159" spans="9:22" x14ac:dyDescent="0.45">
      <c r="I1159" t="s">
        <v>180</v>
      </c>
      <c r="J1159" t="s">
        <v>399</v>
      </c>
      <c r="K1159">
        <v>0</v>
      </c>
      <c r="L1159" t="s">
        <v>159</v>
      </c>
      <c r="N1159" t="s">
        <v>223</v>
      </c>
      <c r="O1159" t="s">
        <v>399</v>
      </c>
      <c r="P1159">
        <v>6.1173045427447345E-5</v>
      </c>
      <c r="Q1159" t="s">
        <v>159</v>
      </c>
      <c r="S1159" t="s">
        <v>265</v>
      </c>
      <c r="T1159" t="s">
        <v>399</v>
      </c>
      <c r="U1159">
        <v>2.1327121227564006E-4</v>
      </c>
      <c r="V1159" t="s">
        <v>159</v>
      </c>
    </row>
    <row r="1160" spans="9:22" x14ac:dyDescent="0.45">
      <c r="I1160" t="s">
        <v>180</v>
      </c>
      <c r="J1160" t="s">
        <v>400</v>
      </c>
      <c r="K1160">
        <v>0</v>
      </c>
      <c r="L1160" t="s">
        <v>159</v>
      </c>
      <c r="N1160" t="s">
        <v>223</v>
      </c>
      <c r="O1160" t="s">
        <v>400</v>
      </c>
      <c r="P1160">
        <v>5.0908359953308155E-5</v>
      </c>
      <c r="Q1160" t="s">
        <v>159</v>
      </c>
      <c r="S1160" t="s">
        <v>265</v>
      </c>
      <c r="T1160" t="s">
        <v>400</v>
      </c>
      <c r="U1160">
        <v>2.1485028618474923E-4</v>
      </c>
      <c r="V1160" t="s">
        <v>159</v>
      </c>
    </row>
    <row r="1161" spans="9:22" x14ac:dyDescent="0.45">
      <c r="I1161" t="s">
        <v>180</v>
      </c>
      <c r="J1161" t="s">
        <v>401</v>
      </c>
      <c r="K1161">
        <v>0</v>
      </c>
      <c r="L1161" t="s">
        <v>159</v>
      </c>
      <c r="N1161" t="s">
        <v>223</v>
      </c>
      <c r="O1161" t="s">
        <v>401</v>
      </c>
      <c r="P1161">
        <v>4.188806601427858E-5</v>
      </c>
      <c r="Q1161" t="s">
        <v>159</v>
      </c>
      <c r="S1161" t="s">
        <v>265</v>
      </c>
      <c r="T1161" t="s">
        <v>401</v>
      </c>
      <c r="U1161">
        <v>2.1835360420641216E-4</v>
      </c>
      <c r="V1161" t="s">
        <v>159</v>
      </c>
    </row>
    <row r="1162" spans="9:22" x14ac:dyDescent="0.45">
      <c r="I1162" t="s">
        <v>180</v>
      </c>
      <c r="J1162" t="s">
        <v>402</v>
      </c>
      <c r="K1162">
        <v>0</v>
      </c>
      <c r="L1162" t="s">
        <v>159</v>
      </c>
      <c r="N1162" t="s">
        <v>223</v>
      </c>
      <c r="O1162" t="s">
        <v>402</v>
      </c>
      <c r="P1162">
        <v>3.046758982209629E-5</v>
      </c>
      <c r="Q1162" t="s">
        <v>159</v>
      </c>
      <c r="S1162" t="s">
        <v>265</v>
      </c>
      <c r="T1162" t="s">
        <v>402</v>
      </c>
      <c r="U1162">
        <v>2.1871740916145358E-4</v>
      </c>
      <c r="V1162" t="s">
        <v>159</v>
      </c>
    </row>
    <row r="1163" spans="9:22" x14ac:dyDescent="0.45">
      <c r="I1163" t="s">
        <v>180</v>
      </c>
      <c r="J1163" t="s">
        <v>403</v>
      </c>
      <c r="K1163">
        <v>0</v>
      </c>
      <c r="L1163" t="s">
        <v>159</v>
      </c>
      <c r="N1163" t="s">
        <v>223</v>
      </c>
      <c r="O1163" t="s">
        <v>403</v>
      </c>
      <c r="P1163">
        <v>2.4239183837170922E-5</v>
      </c>
      <c r="Q1163" t="s">
        <v>159</v>
      </c>
      <c r="S1163" t="s">
        <v>265</v>
      </c>
      <c r="T1163" t="s">
        <v>403</v>
      </c>
      <c r="U1163">
        <v>2.1875865022352408E-4</v>
      </c>
      <c r="V1163" t="s">
        <v>159</v>
      </c>
    </row>
    <row r="1164" spans="9:22" x14ac:dyDescent="0.45">
      <c r="I1164" t="s">
        <v>180</v>
      </c>
      <c r="J1164" t="s">
        <v>404</v>
      </c>
      <c r="K1164">
        <v>1.5695379701043799E-4</v>
      </c>
      <c r="L1164" t="s">
        <v>159</v>
      </c>
      <c r="N1164" t="s">
        <v>223</v>
      </c>
      <c r="O1164" t="s">
        <v>404</v>
      </c>
      <c r="P1164">
        <v>2.08933156627249E-5</v>
      </c>
      <c r="Q1164" t="s">
        <v>159</v>
      </c>
      <c r="S1164" t="s">
        <v>265</v>
      </c>
      <c r="T1164" t="s">
        <v>404</v>
      </c>
      <c r="U1164">
        <v>2.1904504055005107E-4</v>
      </c>
      <c r="V1164" t="s">
        <v>159</v>
      </c>
    </row>
    <row r="1165" spans="9:22" x14ac:dyDescent="0.45">
      <c r="I1165" t="s">
        <v>180</v>
      </c>
      <c r="J1165" t="s">
        <v>405</v>
      </c>
      <c r="K1165">
        <v>2.364031227251163E-4</v>
      </c>
      <c r="L1165" t="s">
        <v>159</v>
      </c>
      <c r="N1165" t="s">
        <v>223</v>
      </c>
      <c r="O1165" t="s">
        <v>405</v>
      </c>
      <c r="P1165">
        <v>2.0498527577303417E-5</v>
      </c>
      <c r="Q1165" t="s">
        <v>159</v>
      </c>
      <c r="S1165" t="s">
        <v>265</v>
      </c>
      <c r="T1165" t="s">
        <v>405</v>
      </c>
      <c r="U1165">
        <v>2.1936037199973414E-4</v>
      </c>
      <c r="V1165" t="s">
        <v>159</v>
      </c>
    </row>
    <row r="1166" spans="9:22" x14ac:dyDescent="0.45">
      <c r="I1166" t="s">
        <v>180</v>
      </c>
      <c r="J1166" t="s">
        <v>406</v>
      </c>
      <c r="K1166">
        <v>2.6096461547566341E-4</v>
      </c>
      <c r="L1166" t="s">
        <v>159</v>
      </c>
      <c r="N1166" t="s">
        <v>223</v>
      </c>
      <c r="O1166" t="s">
        <v>406</v>
      </c>
      <c r="P1166">
        <v>1.909404784042694E-5</v>
      </c>
      <c r="Q1166" t="s">
        <v>159</v>
      </c>
      <c r="S1166" t="s">
        <v>265</v>
      </c>
      <c r="T1166" t="s">
        <v>406</v>
      </c>
      <c r="U1166">
        <v>2.1986831433680771E-4</v>
      </c>
      <c r="V1166" t="s">
        <v>159</v>
      </c>
    </row>
    <row r="1167" spans="9:22" x14ac:dyDescent="0.45">
      <c r="I1167" t="s">
        <v>180</v>
      </c>
      <c r="J1167" t="s">
        <v>407</v>
      </c>
      <c r="K1167">
        <v>2.6684990064828576E-4</v>
      </c>
      <c r="L1167" t="s">
        <v>159</v>
      </c>
      <c r="N1167" t="s">
        <v>223</v>
      </c>
      <c r="O1167" t="s">
        <v>407</v>
      </c>
      <c r="P1167">
        <v>2.1736837182871709E-5</v>
      </c>
      <c r="Q1167" t="s">
        <v>159</v>
      </c>
      <c r="S1167" t="s">
        <v>265</v>
      </c>
      <c r="T1167" t="s">
        <v>407</v>
      </c>
      <c r="U1167">
        <v>2.1885665732563589E-4</v>
      </c>
      <c r="V1167" t="s">
        <v>159</v>
      </c>
    </row>
    <row r="1168" spans="9:22" x14ac:dyDescent="0.45">
      <c r="I1168" t="s">
        <v>180</v>
      </c>
      <c r="J1168" t="s">
        <v>408</v>
      </c>
      <c r="K1168">
        <v>2.807995876268334E-4</v>
      </c>
      <c r="L1168" t="s">
        <v>159</v>
      </c>
      <c r="N1168" t="s">
        <v>223</v>
      </c>
      <c r="O1168" t="s">
        <v>408</v>
      </c>
      <c r="P1168">
        <v>3.3403209778849225E-5</v>
      </c>
      <c r="Q1168" t="s">
        <v>159</v>
      </c>
      <c r="S1168" t="s">
        <v>265</v>
      </c>
      <c r="T1168" t="s">
        <v>408</v>
      </c>
      <c r="U1168">
        <v>2.1933078410183828E-4</v>
      </c>
      <c r="V1168" t="s">
        <v>159</v>
      </c>
    </row>
    <row r="1169" spans="9:22" x14ac:dyDescent="0.45">
      <c r="I1169" t="s">
        <v>180</v>
      </c>
      <c r="J1169" t="s">
        <v>409</v>
      </c>
      <c r="K1169">
        <v>3.0293384864084582E-4</v>
      </c>
      <c r="L1169" t="s">
        <v>159</v>
      </c>
      <c r="N1169" t="s">
        <v>223</v>
      </c>
      <c r="O1169" t="s">
        <v>409</v>
      </c>
      <c r="P1169">
        <v>4.430580260835243E-5</v>
      </c>
      <c r="Q1169" t="s">
        <v>159</v>
      </c>
      <c r="S1169" t="s">
        <v>265</v>
      </c>
      <c r="T1169" t="s">
        <v>409</v>
      </c>
      <c r="U1169">
        <v>2.1901698087075402E-4</v>
      </c>
      <c r="V1169" t="s">
        <v>159</v>
      </c>
    </row>
    <row r="1170" spans="9:22" x14ac:dyDescent="0.45">
      <c r="I1170" t="s">
        <v>180</v>
      </c>
      <c r="J1170" t="s">
        <v>410</v>
      </c>
      <c r="K1170">
        <v>2.8843202745291953E-4</v>
      </c>
      <c r="L1170" t="s">
        <v>159</v>
      </c>
      <c r="N1170" t="s">
        <v>223</v>
      </c>
      <c r="O1170" t="s">
        <v>410</v>
      </c>
      <c r="P1170">
        <v>5.6576105572481396E-5</v>
      </c>
      <c r="Q1170" t="s">
        <v>159</v>
      </c>
      <c r="S1170" t="s">
        <v>265</v>
      </c>
      <c r="T1170" t="s">
        <v>410</v>
      </c>
      <c r="U1170">
        <v>2.1931037562342861E-4</v>
      </c>
      <c r="V1170" t="s">
        <v>159</v>
      </c>
    </row>
    <row r="1171" spans="9:22" x14ac:dyDescent="0.45">
      <c r="I1171" t="s">
        <v>180</v>
      </c>
      <c r="J1171" t="s">
        <v>411</v>
      </c>
      <c r="K1171">
        <v>2.6811512567079547E-4</v>
      </c>
      <c r="L1171" t="s">
        <v>159</v>
      </c>
      <c r="N1171" t="s">
        <v>223</v>
      </c>
      <c r="O1171" t="s">
        <v>411</v>
      </c>
      <c r="P1171">
        <v>4.439437948385065E-5</v>
      </c>
      <c r="Q1171" t="s">
        <v>159</v>
      </c>
      <c r="S1171" t="s">
        <v>265</v>
      </c>
      <c r="T1171" t="s">
        <v>411</v>
      </c>
      <c r="U1171">
        <v>2.1988394302383847E-4</v>
      </c>
      <c r="V1171" t="s">
        <v>159</v>
      </c>
    </row>
    <row r="1172" spans="9:22" x14ac:dyDescent="0.45">
      <c r="I1172" t="s">
        <v>180</v>
      </c>
      <c r="J1172" t="s">
        <v>412</v>
      </c>
      <c r="K1172">
        <v>2.5764310989396827E-4</v>
      </c>
      <c r="L1172" t="s">
        <v>159</v>
      </c>
      <c r="N1172" t="s">
        <v>223</v>
      </c>
      <c r="O1172" t="s">
        <v>412</v>
      </c>
      <c r="P1172">
        <v>3.0468006996889559E-5</v>
      </c>
      <c r="Q1172" t="s">
        <v>159</v>
      </c>
      <c r="S1172" t="s">
        <v>265</v>
      </c>
      <c r="T1172" t="s">
        <v>412</v>
      </c>
      <c r="U1172">
        <v>2.1880303222965045E-4</v>
      </c>
      <c r="V1172" t="s">
        <v>159</v>
      </c>
    </row>
    <row r="1173" spans="9:22" x14ac:dyDescent="0.45">
      <c r="I1173" t="s">
        <v>180</v>
      </c>
      <c r="J1173" t="s">
        <v>413</v>
      </c>
      <c r="K1173">
        <v>2.5452262737148704E-4</v>
      </c>
      <c r="L1173" t="s">
        <v>159</v>
      </c>
      <c r="N1173" t="s">
        <v>223</v>
      </c>
      <c r="O1173" t="s">
        <v>413</v>
      </c>
      <c r="P1173">
        <v>3.5130365051696158E-5</v>
      </c>
      <c r="Q1173" t="s">
        <v>159</v>
      </c>
      <c r="S1173" t="s">
        <v>265</v>
      </c>
      <c r="T1173" t="s">
        <v>413</v>
      </c>
      <c r="U1173">
        <v>2.138967595641821E-4</v>
      </c>
      <c r="V1173" t="s">
        <v>159</v>
      </c>
    </row>
    <row r="1174" spans="9:22" x14ac:dyDescent="0.45">
      <c r="I1174" t="s">
        <v>180</v>
      </c>
      <c r="J1174" t="s">
        <v>414</v>
      </c>
      <c r="K1174">
        <v>2.2077201995865728E-4</v>
      </c>
      <c r="L1174" t="s">
        <v>159</v>
      </c>
      <c r="N1174" t="s">
        <v>223</v>
      </c>
      <c r="O1174" t="s">
        <v>414</v>
      </c>
      <c r="P1174">
        <v>3.2157192553476599E-5</v>
      </c>
      <c r="Q1174" t="s">
        <v>159</v>
      </c>
      <c r="S1174" t="s">
        <v>265</v>
      </c>
      <c r="T1174" t="s">
        <v>414</v>
      </c>
      <c r="U1174">
        <v>2.0863911574688844E-4</v>
      </c>
      <c r="V1174" t="s">
        <v>159</v>
      </c>
    </row>
    <row r="1175" spans="9:22" x14ac:dyDescent="0.45">
      <c r="I1175" t="s">
        <v>180</v>
      </c>
      <c r="J1175" t="s">
        <v>415</v>
      </c>
      <c r="K1175">
        <v>1.7048173023985475E-4</v>
      </c>
      <c r="L1175" t="s">
        <v>159</v>
      </c>
      <c r="N1175" t="s">
        <v>223</v>
      </c>
      <c r="O1175" t="s">
        <v>415</v>
      </c>
      <c r="P1175">
        <v>2.1251095551719698E-5</v>
      </c>
      <c r="Q1175" t="s">
        <v>159</v>
      </c>
      <c r="S1175" t="s">
        <v>265</v>
      </c>
      <c r="T1175" t="s">
        <v>415</v>
      </c>
      <c r="U1175">
        <v>2.0719297753729699E-4</v>
      </c>
      <c r="V1175" t="s">
        <v>159</v>
      </c>
    </row>
    <row r="1176" spans="9:22" x14ac:dyDescent="0.45">
      <c r="I1176" t="s">
        <v>180</v>
      </c>
      <c r="J1176" t="s">
        <v>416</v>
      </c>
      <c r="K1176">
        <v>0</v>
      </c>
      <c r="L1176" t="s">
        <v>159</v>
      </c>
      <c r="N1176" t="s">
        <v>223</v>
      </c>
      <c r="O1176" t="s">
        <v>416</v>
      </c>
      <c r="P1176">
        <v>1.3532233229051843E-5</v>
      </c>
      <c r="Q1176" t="s">
        <v>159</v>
      </c>
      <c r="S1176" t="s">
        <v>265</v>
      </c>
      <c r="T1176" t="s">
        <v>416</v>
      </c>
      <c r="U1176">
        <v>2.0428312293712032E-4</v>
      </c>
      <c r="V1176" t="s">
        <v>159</v>
      </c>
    </row>
    <row r="1177" spans="9:22" x14ac:dyDescent="0.45">
      <c r="I1177" t="s">
        <v>180</v>
      </c>
      <c r="J1177" t="s">
        <v>417</v>
      </c>
      <c r="K1177">
        <v>0</v>
      </c>
      <c r="L1177" t="s">
        <v>159</v>
      </c>
      <c r="N1177" t="s">
        <v>223</v>
      </c>
      <c r="O1177" t="s">
        <v>417</v>
      </c>
      <c r="P1177">
        <v>1.2156836801193212E-5</v>
      </c>
      <c r="Q1177" t="s">
        <v>159</v>
      </c>
      <c r="S1177" t="s">
        <v>265</v>
      </c>
      <c r="T1177" t="s">
        <v>417</v>
      </c>
      <c r="U1177">
        <v>1.9048176377059548E-4</v>
      </c>
      <c r="V1177" t="s">
        <v>159</v>
      </c>
    </row>
    <row r="1178" spans="9:22" x14ac:dyDescent="0.45">
      <c r="I1178" t="s">
        <v>180</v>
      </c>
      <c r="J1178" t="s">
        <v>418</v>
      </c>
      <c r="K1178">
        <v>0</v>
      </c>
      <c r="L1178" t="s">
        <v>159</v>
      </c>
      <c r="N1178" t="s">
        <v>223</v>
      </c>
      <c r="O1178" t="s">
        <v>418</v>
      </c>
      <c r="P1178">
        <v>1.100252236849013E-5</v>
      </c>
      <c r="Q1178" t="s">
        <v>159</v>
      </c>
      <c r="S1178" t="s">
        <v>265</v>
      </c>
      <c r="T1178" t="s">
        <v>418</v>
      </c>
      <c r="U1178">
        <v>1.8303624450467112E-4</v>
      </c>
      <c r="V1178" t="s">
        <v>159</v>
      </c>
    </row>
    <row r="1179" spans="9:22" x14ac:dyDescent="0.45">
      <c r="I1179" t="s">
        <v>180</v>
      </c>
      <c r="J1179" t="s">
        <v>419</v>
      </c>
      <c r="K1179">
        <v>0</v>
      </c>
      <c r="L1179" t="s">
        <v>159</v>
      </c>
      <c r="N1179" t="s">
        <v>223</v>
      </c>
      <c r="O1179" t="s">
        <v>419</v>
      </c>
      <c r="P1179">
        <v>1.0048965581561994E-5</v>
      </c>
      <c r="Q1179" t="s">
        <v>159</v>
      </c>
      <c r="S1179" t="s">
        <v>265</v>
      </c>
      <c r="T1179" t="s">
        <v>419</v>
      </c>
      <c r="U1179">
        <v>1.818244721402758E-4</v>
      </c>
      <c r="V1179" t="s">
        <v>159</v>
      </c>
    </row>
    <row r="1180" spans="9:22" x14ac:dyDescent="0.45">
      <c r="I1180" t="s">
        <v>180</v>
      </c>
      <c r="J1180" t="s">
        <v>420</v>
      </c>
      <c r="K1180">
        <v>0</v>
      </c>
      <c r="L1180" t="s">
        <v>159</v>
      </c>
      <c r="N1180" t="s">
        <v>223</v>
      </c>
      <c r="O1180" t="s">
        <v>420</v>
      </c>
      <c r="P1180">
        <v>2.8440605158212129E-6</v>
      </c>
      <c r="Q1180" t="s">
        <v>159</v>
      </c>
      <c r="S1180" t="s">
        <v>265</v>
      </c>
      <c r="T1180" t="s">
        <v>420</v>
      </c>
      <c r="U1180">
        <v>1.9188222731255196E-4</v>
      </c>
      <c r="V1180" t="s">
        <v>159</v>
      </c>
    </row>
    <row r="1181" spans="9:22" x14ac:dyDescent="0.45">
      <c r="I1181" t="s">
        <v>180</v>
      </c>
      <c r="J1181" t="s">
        <v>313</v>
      </c>
      <c r="K1181">
        <v>4.7943396436458613E-3</v>
      </c>
      <c r="L1181" t="s">
        <v>159</v>
      </c>
      <c r="N1181" t="s">
        <v>223</v>
      </c>
      <c r="O1181" t="s">
        <v>313</v>
      </c>
      <c r="P1181">
        <v>1.5311056361190865E-2</v>
      </c>
      <c r="Q1181" t="s">
        <v>159</v>
      </c>
      <c r="S1181" t="s">
        <v>265</v>
      </c>
      <c r="T1181" t="s">
        <v>313</v>
      </c>
      <c r="U1181">
        <v>1.9159342530818885E-2</v>
      </c>
      <c r="V1181" t="s">
        <v>159</v>
      </c>
    </row>
    <row r="1182" spans="9:22" x14ac:dyDescent="0.45">
      <c r="I1182" t="s">
        <v>180</v>
      </c>
      <c r="J1182" t="s">
        <v>314</v>
      </c>
      <c r="K1182">
        <v>7.4263520449844569E-3</v>
      </c>
      <c r="L1182" t="s">
        <v>159</v>
      </c>
      <c r="N1182" t="s">
        <v>223</v>
      </c>
      <c r="O1182" t="s">
        <v>314</v>
      </c>
      <c r="P1182">
        <v>2.2789780620762739E-3</v>
      </c>
      <c r="Q1182" t="s">
        <v>159</v>
      </c>
      <c r="S1182" t="s">
        <v>265</v>
      </c>
      <c r="T1182" t="s">
        <v>314</v>
      </c>
      <c r="U1182">
        <v>2.7371894124698895E-3</v>
      </c>
      <c r="V1182" t="s">
        <v>159</v>
      </c>
    </row>
    <row r="1183" spans="9:22" x14ac:dyDescent="0.45">
      <c r="I1183" t="s">
        <v>180</v>
      </c>
      <c r="J1183" t="s">
        <v>315</v>
      </c>
      <c r="K1183">
        <v>8.4062072030189838E-2</v>
      </c>
      <c r="L1183" t="s">
        <v>159</v>
      </c>
      <c r="N1183" t="s">
        <v>223</v>
      </c>
      <c r="O1183" t="s">
        <v>315</v>
      </c>
      <c r="P1183">
        <v>3.4377538116859778E-2</v>
      </c>
      <c r="Q1183" t="s">
        <v>159</v>
      </c>
      <c r="S1183" t="s">
        <v>265</v>
      </c>
      <c r="T1183" t="s">
        <v>315</v>
      </c>
      <c r="U1183">
        <v>2.5054205990140507E-2</v>
      </c>
      <c r="V1183" t="s">
        <v>159</v>
      </c>
    </row>
    <row r="1184" spans="9:22" x14ac:dyDescent="0.45">
      <c r="I1184" t="s">
        <v>180</v>
      </c>
      <c r="J1184" t="s">
        <v>316</v>
      </c>
      <c r="K1184">
        <v>7.9025370577061813E-3</v>
      </c>
      <c r="L1184" t="s">
        <v>159</v>
      </c>
      <c r="N1184" t="s">
        <v>223</v>
      </c>
      <c r="O1184" t="s">
        <v>316</v>
      </c>
      <c r="P1184">
        <v>4.4571311619363198E-3</v>
      </c>
      <c r="Q1184" t="s">
        <v>159</v>
      </c>
      <c r="S1184" t="s">
        <v>265</v>
      </c>
      <c r="T1184" t="s">
        <v>316</v>
      </c>
      <c r="U1184">
        <v>3.2093943005587541E-3</v>
      </c>
      <c r="V1184" t="s">
        <v>159</v>
      </c>
    </row>
    <row r="1185" spans="9:22" x14ac:dyDescent="0.45">
      <c r="I1185" t="s">
        <v>180</v>
      </c>
      <c r="J1185" t="s">
        <v>317</v>
      </c>
      <c r="K1185">
        <v>6.3069668667423929E-3</v>
      </c>
      <c r="L1185" t="s">
        <v>159</v>
      </c>
      <c r="N1185" t="s">
        <v>223</v>
      </c>
      <c r="O1185" t="s">
        <v>317</v>
      </c>
      <c r="P1185">
        <v>3.9692262119030231E-3</v>
      </c>
      <c r="Q1185" t="s">
        <v>159</v>
      </c>
      <c r="S1185" t="s">
        <v>265</v>
      </c>
      <c r="T1185" t="s">
        <v>317</v>
      </c>
      <c r="U1185">
        <v>3.2103063268094584E-3</v>
      </c>
      <c r="V1185" t="s">
        <v>159</v>
      </c>
    </row>
    <row r="1186" spans="9:22" x14ac:dyDescent="0.45">
      <c r="I1186" t="s">
        <v>180</v>
      </c>
      <c r="J1186" t="s">
        <v>318</v>
      </c>
      <c r="K1186">
        <v>3.348875679749651E-3</v>
      </c>
      <c r="L1186" t="s">
        <v>159</v>
      </c>
      <c r="N1186" t="s">
        <v>223</v>
      </c>
      <c r="O1186" t="s">
        <v>318</v>
      </c>
      <c r="P1186">
        <v>1.4790355963120798E-2</v>
      </c>
      <c r="Q1186" t="s">
        <v>159</v>
      </c>
      <c r="S1186" t="s">
        <v>265</v>
      </c>
      <c r="T1186" t="s">
        <v>318</v>
      </c>
      <c r="U1186">
        <v>1.4929897704992956E-2</v>
      </c>
      <c r="V1186" t="s">
        <v>159</v>
      </c>
    </row>
    <row r="1187" spans="9:22" x14ac:dyDescent="0.45">
      <c r="I1187" t="s">
        <v>181</v>
      </c>
      <c r="J1187" t="s">
        <v>158</v>
      </c>
      <c r="K1187">
        <v>1.3598993078403381E-2</v>
      </c>
      <c r="L1187" t="s">
        <v>159</v>
      </c>
      <c r="N1187" t="s">
        <v>224</v>
      </c>
      <c r="O1187" t="s">
        <v>158</v>
      </c>
      <c r="P1187">
        <v>9.9962701258671849E-2</v>
      </c>
      <c r="Q1187" t="s">
        <v>159</v>
      </c>
      <c r="S1187" t="s">
        <v>266</v>
      </c>
      <c r="T1187" t="s">
        <v>158</v>
      </c>
      <c r="U1187">
        <v>0.11174924479647989</v>
      </c>
      <c r="V1187" t="s">
        <v>159</v>
      </c>
    </row>
    <row r="1188" spans="9:22" x14ac:dyDescent="0.45">
      <c r="I1188" t="s">
        <v>181</v>
      </c>
      <c r="J1188" t="s">
        <v>160</v>
      </c>
      <c r="K1188">
        <v>2.9345539834860407E-2</v>
      </c>
      <c r="L1188" t="s">
        <v>159</v>
      </c>
      <c r="N1188" t="s">
        <v>224</v>
      </c>
      <c r="O1188" t="s">
        <v>160</v>
      </c>
      <c r="P1188">
        <v>1.3812137456823879E-2</v>
      </c>
      <c r="Q1188" t="s">
        <v>159</v>
      </c>
      <c r="S1188" t="s">
        <v>266</v>
      </c>
      <c r="T1188" t="s">
        <v>160</v>
      </c>
      <c r="U1188">
        <v>1.5348016523301783E-2</v>
      </c>
      <c r="V1188" t="s">
        <v>159</v>
      </c>
    </row>
    <row r="1189" spans="9:22" x14ac:dyDescent="0.45">
      <c r="I1189" t="s">
        <v>181</v>
      </c>
      <c r="J1189" t="s">
        <v>161</v>
      </c>
      <c r="K1189">
        <v>0.3805672495504156</v>
      </c>
      <c r="L1189" t="s">
        <v>159</v>
      </c>
      <c r="N1189" t="s">
        <v>224</v>
      </c>
      <c r="O1189" t="s">
        <v>161</v>
      </c>
      <c r="P1189">
        <v>0.13614568548340031</v>
      </c>
      <c r="Q1189" t="s">
        <v>159</v>
      </c>
      <c r="S1189" t="s">
        <v>266</v>
      </c>
      <c r="T1189" t="s">
        <v>161</v>
      </c>
      <c r="U1189">
        <v>0.16848676185455838</v>
      </c>
      <c r="V1189" t="s">
        <v>159</v>
      </c>
    </row>
    <row r="1190" spans="9:22" x14ac:dyDescent="0.45">
      <c r="I1190" t="s">
        <v>181</v>
      </c>
      <c r="J1190" t="s">
        <v>287</v>
      </c>
      <c r="K1190">
        <v>2.5028277163421261E-2</v>
      </c>
      <c r="L1190" t="s">
        <v>159</v>
      </c>
      <c r="N1190" t="s">
        <v>224</v>
      </c>
      <c r="O1190" t="s">
        <v>287</v>
      </c>
      <c r="P1190">
        <v>2.6337289921972297E-2</v>
      </c>
      <c r="Q1190" t="s">
        <v>159</v>
      </c>
      <c r="S1190" t="s">
        <v>266</v>
      </c>
      <c r="T1190" t="s">
        <v>287</v>
      </c>
      <c r="U1190">
        <v>2.3645427113626927E-2</v>
      </c>
      <c r="V1190" t="s">
        <v>159</v>
      </c>
    </row>
    <row r="1191" spans="9:22" x14ac:dyDescent="0.45">
      <c r="I1191" t="s">
        <v>181</v>
      </c>
      <c r="J1191" t="s">
        <v>288</v>
      </c>
      <c r="K1191">
        <v>1.3174450393203221E-2</v>
      </c>
      <c r="L1191" t="s">
        <v>159</v>
      </c>
      <c r="N1191" t="s">
        <v>224</v>
      </c>
      <c r="O1191" t="s">
        <v>288</v>
      </c>
      <c r="P1191">
        <v>2.7273829075931032E-2</v>
      </c>
      <c r="Q1191" t="s">
        <v>159</v>
      </c>
      <c r="S1191" t="s">
        <v>266</v>
      </c>
      <c r="T1191" t="s">
        <v>288</v>
      </c>
      <c r="U1191">
        <v>2.2216837375863292E-2</v>
      </c>
      <c r="V1191" t="s">
        <v>159</v>
      </c>
    </row>
    <row r="1192" spans="9:22" x14ac:dyDescent="0.45">
      <c r="I1192" t="s">
        <v>181</v>
      </c>
      <c r="J1192" t="s">
        <v>308</v>
      </c>
      <c r="K1192">
        <v>3.3940665624020166E-5</v>
      </c>
      <c r="L1192" t="s">
        <v>159</v>
      </c>
      <c r="N1192" t="s">
        <v>224</v>
      </c>
      <c r="O1192" t="s">
        <v>308</v>
      </c>
      <c r="P1192">
        <v>0.10037488952954099</v>
      </c>
      <c r="Q1192" t="s">
        <v>159</v>
      </c>
      <c r="S1192" t="s">
        <v>266</v>
      </c>
      <c r="T1192" t="s">
        <v>308</v>
      </c>
      <c r="U1192">
        <v>9.096563974719743E-2</v>
      </c>
      <c r="V1192" t="s">
        <v>159</v>
      </c>
    </row>
    <row r="1193" spans="9:22" x14ac:dyDescent="0.45">
      <c r="I1193" t="s">
        <v>181</v>
      </c>
      <c r="J1193" t="s">
        <v>162</v>
      </c>
      <c r="K1193">
        <v>0</v>
      </c>
      <c r="L1193" t="s">
        <v>159</v>
      </c>
      <c r="N1193" t="s">
        <v>224</v>
      </c>
      <c r="O1193" t="s">
        <v>162</v>
      </c>
      <c r="P1193">
        <v>2.2331723957211596E-2</v>
      </c>
      <c r="Q1193" t="s">
        <v>159</v>
      </c>
      <c r="S1193" t="s">
        <v>266</v>
      </c>
      <c r="T1193" t="s">
        <v>162</v>
      </c>
      <c r="U1193">
        <v>2.1089694723440668E-2</v>
      </c>
      <c r="V1193" t="s">
        <v>159</v>
      </c>
    </row>
    <row r="1194" spans="9:22" x14ac:dyDescent="0.45">
      <c r="I1194" t="s">
        <v>181</v>
      </c>
      <c r="J1194" t="s">
        <v>163</v>
      </c>
      <c r="K1194">
        <v>3.9282827084381175E-4</v>
      </c>
      <c r="L1194" t="s">
        <v>159</v>
      </c>
      <c r="N1194" t="s">
        <v>224</v>
      </c>
      <c r="O1194" t="s">
        <v>163</v>
      </c>
      <c r="P1194">
        <v>3.2452351125837899E-3</v>
      </c>
      <c r="Q1194" t="s">
        <v>159</v>
      </c>
      <c r="S1194" t="s">
        <v>266</v>
      </c>
      <c r="T1194" t="s">
        <v>163</v>
      </c>
      <c r="U1194">
        <v>2.9427062963109578E-3</v>
      </c>
      <c r="V1194" t="s">
        <v>159</v>
      </c>
    </row>
    <row r="1195" spans="9:22" x14ac:dyDescent="0.45">
      <c r="I1195" t="s">
        <v>181</v>
      </c>
      <c r="J1195" t="s">
        <v>164</v>
      </c>
      <c r="K1195">
        <v>3.4590650806473722E-2</v>
      </c>
      <c r="L1195" t="s">
        <v>159</v>
      </c>
      <c r="N1195" t="s">
        <v>224</v>
      </c>
      <c r="O1195" t="s">
        <v>164</v>
      </c>
      <c r="P1195">
        <v>2.1063564813640075E-2</v>
      </c>
      <c r="Q1195" t="s">
        <v>159</v>
      </c>
      <c r="S1195" t="s">
        <v>266</v>
      </c>
      <c r="T1195" t="s">
        <v>164</v>
      </c>
      <c r="U1195">
        <v>2.7589188242554713E-2</v>
      </c>
      <c r="V1195" t="s">
        <v>159</v>
      </c>
    </row>
    <row r="1196" spans="9:22" x14ac:dyDescent="0.45">
      <c r="I1196" t="s">
        <v>181</v>
      </c>
      <c r="J1196" t="s">
        <v>289</v>
      </c>
      <c r="K1196">
        <v>0</v>
      </c>
      <c r="L1196" t="s">
        <v>159</v>
      </c>
      <c r="N1196" t="s">
        <v>224</v>
      </c>
      <c r="O1196" t="s">
        <v>289</v>
      </c>
      <c r="P1196">
        <v>4.2033921934840051E-3</v>
      </c>
      <c r="Q1196" t="s">
        <v>159</v>
      </c>
      <c r="S1196" t="s">
        <v>266</v>
      </c>
      <c r="T1196" t="s">
        <v>289</v>
      </c>
      <c r="U1196">
        <v>3.4167129237162998E-3</v>
      </c>
      <c r="V1196" t="s">
        <v>159</v>
      </c>
    </row>
    <row r="1197" spans="9:22" x14ac:dyDescent="0.45">
      <c r="I1197" t="s">
        <v>181</v>
      </c>
      <c r="J1197" t="s">
        <v>290</v>
      </c>
      <c r="K1197">
        <v>0</v>
      </c>
      <c r="L1197" t="s">
        <v>159</v>
      </c>
      <c r="N1197" t="s">
        <v>224</v>
      </c>
      <c r="O1197" t="s">
        <v>290</v>
      </c>
      <c r="P1197">
        <v>4.1244933014975282E-3</v>
      </c>
      <c r="Q1197" t="s">
        <v>159</v>
      </c>
      <c r="S1197" t="s">
        <v>266</v>
      </c>
      <c r="T1197" t="s">
        <v>290</v>
      </c>
      <c r="U1197">
        <v>3.4132315176891351E-3</v>
      </c>
      <c r="V1197" t="s">
        <v>159</v>
      </c>
    </row>
    <row r="1198" spans="9:22" x14ac:dyDescent="0.45">
      <c r="I1198" t="s">
        <v>181</v>
      </c>
      <c r="J1198" t="s">
        <v>309</v>
      </c>
      <c r="K1198">
        <v>0</v>
      </c>
      <c r="L1198" t="s">
        <v>159</v>
      </c>
      <c r="N1198" t="s">
        <v>224</v>
      </c>
      <c r="O1198" t="s">
        <v>309</v>
      </c>
      <c r="P1198">
        <v>1.2947907341442723E-2</v>
      </c>
      <c r="Q1198" t="s">
        <v>159</v>
      </c>
      <c r="S1198" t="s">
        <v>266</v>
      </c>
      <c r="T1198" t="s">
        <v>309</v>
      </c>
      <c r="U1198">
        <v>1.6023276272348053E-2</v>
      </c>
      <c r="V1198" t="s">
        <v>159</v>
      </c>
    </row>
    <row r="1199" spans="9:22" x14ac:dyDescent="0.45">
      <c r="I1199" t="s">
        <v>181</v>
      </c>
      <c r="J1199" t="s">
        <v>346</v>
      </c>
      <c r="K1199">
        <v>0</v>
      </c>
      <c r="L1199" t="s">
        <v>159</v>
      </c>
      <c r="N1199" t="s">
        <v>224</v>
      </c>
      <c r="O1199" t="s">
        <v>346</v>
      </c>
      <c r="P1199">
        <v>1.9242075285665187E-5</v>
      </c>
      <c r="Q1199" t="s">
        <v>159</v>
      </c>
      <c r="S1199" t="s">
        <v>266</v>
      </c>
      <c r="T1199" t="s">
        <v>346</v>
      </c>
      <c r="U1199">
        <v>9.5776969634177328E-6</v>
      </c>
      <c r="V1199" t="s">
        <v>159</v>
      </c>
    </row>
    <row r="1200" spans="9:22" x14ac:dyDescent="0.45">
      <c r="I1200" t="s">
        <v>181</v>
      </c>
      <c r="J1200" t="s">
        <v>347</v>
      </c>
      <c r="K1200">
        <v>0</v>
      </c>
      <c r="L1200" t="s">
        <v>159</v>
      </c>
      <c r="N1200" t="s">
        <v>224</v>
      </c>
      <c r="O1200" t="s">
        <v>347</v>
      </c>
      <c r="P1200">
        <v>9.1220203559657026E-6</v>
      </c>
      <c r="Q1200" t="s">
        <v>159</v>
      </c>
      <c r="S1200" t="s">
        <v>266</v>
      </c>
      <c r="T1200" t="s">
        <v>347</v>
      </c>
      <c r="U1200">
        <v>7.8110212416912438E-6</v>
      </c>
      <c r="V1200" t="s">
        <v>159</v>
      </c>
    </row>
    <row r="1201" spans="9:22" x14ac:dyDescent="0.45">
      <c r="I1201" t="s">
        <v>181</v>
      </c>
      <c r="J1201" t="s">
        <v>348</v>
      </c>
      <c r="K1201">
        <v>0</v>
      </c>
      <c r="L1201" t="s">
        <v>159</v>
      </c>
      <c r="N1201" t="s">
        <v>224</v>
      </c>
      <c r="O1201" t="s">
        <v>348</v>
      </c>
      <c r="P1201">
        <v>2.9457230846350247E-6</v>
      </c>
      <c r="Q1201" t="s">
        <v>159</v>
      </c>
      <c r="S1201" t="s">
        <v>266</v>
      </c>
      <c r="T1201" t="s">
        <v>348</v>
      </c>
      <c r="U1201">
        <v>7.2312043453663006E-6</v>
      </c>
      <c r="V1201" t="s">
        <v>159</v>
      </c>
    </row>
    <row r="1202" spans="9:22" x14ac:dyDescent="0.45">
      <c r="I1202" t="s">
        <v>181</v>
      </c>
      <c r="J1202" t="s">
        <v>349</v>
      </c>
      <c r="K1202">
        <v>0</v>
      </c>
      <c r="L1202" t="s">
        <v>159</v>
      </c>
      <c r="N1202" t="s">
        <v>224</v>
      </c>
      <c r="O1202" t="s">
        <v>349</v>
      </c>
      <c r="P1202">
        <v>1.2950561495143184E-6</v>
      </c>
      <c r="Q1202" t="s">
        <v>159</v>
      </c>
      <c r="S1202" t="s">
        <v>266</v>
      </c>
      <c r="T1202" t="s">
        <v>349</v>
      </c>
      <c r="U1202">
        <v>1.0480596673922356E-5</v>
      </c>
      <c r="V1202" t="s">
        <v>159</v>
      </c>
    </row>
    <row r="1203" spans="9:22" x14ac:dyDescent="0.45">
      <c r="I1203" t="s">
        <v>181</v>
      </c>
      <c r="J1203" t="s">
        <v>350</v>
      </c>
      <c r="K1203">
        <v>0</v>
      </c>
      <c r="L1203" t="s">
        <v>159</v>
      </c>
      <c r="N1203" t="s">
        <v>224</v>
      </c>
      <c r="O1203" t="s">
        <v>350</v>
      </c>
      <c r="P1203">
        <v>8.7370526259430396E-7</v>
      </c>
      <c r="Q1203" t="s">
        <v>159</v>
      </c>
      <c r="S1203" t="s">
        <v>266</v>
      </c>
      <c r="T1203" t="s">
        <v>350</v>
      </c>
      <c r="U1203">
        <v>1.9796078059001511E-5</v>
      </c>
      <c r="V1203" t="s">
        <v>159</v>
      </c>
    </row>
    <row r="1204" spans="9:22" x14ac:dyDescent="0.45">
      <c r="I1204" t="s">
        <v>181</v>
      </c>
      <c r="J1204" t="s">
        <v>351</v>
      </c>
      <c r="K1204">
        <v>0</v>
      </c>
      <c r="L1204" t="s">
        <v>159</v>
      </c>
      <c r="N1204" t="s">
        <v>224</v>
      </c>
      <c r="O1204" t="s">
        <v>351</v>
      </c>
      <c r="P1204">
        <v>1.2256049274915478E-6</v>
      </c>
      <c r="Q1204" t="s">
        <v>159</v>
      </c>
      <c r="S1204" t="s">
        <v>266</v>
      </c>
      <c r="T1204" t="s">
        <v>351</v>
      </c>
      <c r="U1204">
        <v>2.8999798625421611E-5</v>
      </c>
      <c r="V1204" t="s">
        <v>159</v>
      </c>
    </row>
    <row r="1205" spans="9:22" x14ac:dyDescent="0.45">
      <c r="I1205" t="s">
        <v>181</v>
      </c>
      <c r="J1205" t="s">
        <v>352</v>
      </c>
      <c r="K1205">
        <v>0</v>
      </c>
      <c r="L1205" t="s">
        <v>159</v>
      </c>
      <c r="N1205" t="s">
        <v>224</v>
      </c>
      <c r="O1205" t="s">
        <v>352</v>
      </c>
      <c r="P1205">
        <v>2.2946589327686442E-6</v>
      </c>
      <c r="Q1205" t="s">
        <v>159</v>
      </c>
      <c r="S1205" t="s">
        <v>266</v>
      </c>
      <c r="T1205" t="s">
        <v>352</v>
      </c>
      <c r="U1205">
        <v>3.4994054886459842E-5</v>
      </c>
      <c r="V1205" t="s">
        <v>159</v>
      </c>
    </row>
    <row r="1206" spans="9:22" x14ac:dyDescent="0.45">
      <c r="I1206" t="s">
        <v>181</v>
      </c>
      <c r="J1206" t="s">
        <v>353</v>
      </c>
      <c r="K1206">
        <v>1.4571246714430594E-6</v>
      </c>
      <c r="L1206" t="s">
        <v>159</v>
      </c>
      <c r="N1206" t="s">
        <v>224</v>
      </c>
      <c r="O1206" t="s">
        <v>353</v>
      </c>
      <c r="P1206">
        <v>5.1319784454229284E-6</v>
      </c>
      <c r="Q1206" t="s">
        <v>159</v>
      </c>
      <c r="S1206" t="s">
        <v>266</v>
      </c>
      <c r="T1206" t="s">
        <v>353</v>
      </c>
      <c r="U1206">
        <v>3.7321169807090146E-5</v>
      </c>
      <c r="V1206" t="s">
        <v>159</v>
      </c>
    </row>
    <row r="1207" spans="9:22" x14ac:dyDescent="0.45">
      <c r="I1207" t="s">
        <v>181</v>
      </c>
      <c r="J1207" t="s">
        <v>354</v>
      </c>
      <c r="K1207">
        <v>1.420563276232248E-4</v>
      </c>
      <c r="L1207" t="s">
        <v>159</v>
      </c>
      <c r="N1207" t="s">
        <v>224</v>
      </c>
      <c r="O1207" t="s">
        <v>354</v>
      </c>
      <c r="P1207">
        <v>3.3629134089792848E-6</v>
      </c>
      <c r="Q1207" t="s">
        <v>159</v>
      </c>
      <c r="S1207" t="s">
        <v>266</v>
      </c>
      <c r="T1207" t="s">
        <v>354</v>
      </c>
      <c r="U1207">
        <v>3.5432330376667771E-5</v>
      </c>
      <c r="V1207" t="s">
        <v>159</v>
      </c>
    </row>
    <row r="1208" spans="9:22" x14ac:dyDescent="0.45">
      <c r="I1208" t="s">
        <v>181</v>
      </c>
      <c r="J1208" t="s">
        <v>355</v>
      </c>
      <c r="K1208">
        <v>1.6447066306528738E-4</v>
      </c>
      <c r="L1208" t="s">
        <v>159</v>
      </c>
      <c r="N1208" t="s">
        <v>224</v>
      </c>
      <c r="O1208" t="s">
        <v>355</v>
      </c>
      <c r="P1208">
        <v>4.996587587626933E-7</v>
      </c>
      <c r="Q1208" t="s">
        <v>159</v>
      </c>
      <c r="S1208" t="s">
        <v>266</v>
      </c>
      <c r="T1208" t="s">
        <v>355</v>
      </c>
      <c r="U1208">
        <v>3.1109010103854788E-5</v>
      </c>
      <c r="V1208" t="s">
        <v>159</v>
      </c>
    </row>
    <row r="1209" spans="9:22" x14ac:dyDescent="0.45">
      <c r="I1209" t="s">
        <v>181</v>
      </c>
      <c r="J1209" t="s">
        <v>356</v>
      </c>
      <c r="K1209">
        <v>1.6155465623040254E-4</v>
      </c>
      <c r="L1209" t="s">
        <v>159</v>
      </c>
      <c r="N1209" t="s">
        <v>224</v>
      </c>
      <c r="O1209" t="s">
        <v>356</v>
      </c>
      <c r="P1209">
        <v>1.900153961183792E-6</v>
      </c>
      <c r="Q1209" t="s">
        <v>159</v>
      </c>
      <c r="S1209" t="s">
        <v>266</v>
      </c>
      <c r="T1209" t="s">
        <v>356</v>
      </c>
      <c r="U1209">
        <v>2.4273820669963762E-5</v>
      </c>
      <c r="V1209" t="s">
        <v>159</v>
      </c>
    </row>
    <row r="1210" spans="9:22" x14ac:dyDescent="0.45">
      <c r="I1210" t="s">
        <v>181</v>
      </c>
      <c r="J1210" t="s">
        <v>357</v>
      </c>
      <c r="K1210">
        <v>1.8403262507682528E-4</v>
      </c>
      <c r="L1210" t="s">
        <v>159</v>
      </c>
      <c r="N1210" t="s">
        <v>224</v>
      </c>
      <c r="O1210" t="s">
        <v>357</v>
      </c>
      <c r="P1210">
        <v>2.7561377554521209E-5</v>
      </c>
      <c r="Q1210" t="s">
        <v>159</v>
      </c>
      <c r="S1210" t="s">
        <v>266</v>
      </c>
      <c r="T1210" t="s">
        <v>357</v>
      </c>
      <c r="U1210">
        <v>1.9878923282482615E-5</v>
      </c>
      <c r="V1210" t="s">
        <v>159</v>
      </c>
    </row>
    <row r="1211" spans="9:22" x14ac:dyDescent="0.45">
      <c r="I1211" t="s">
        <v>181</v>
      </c>
      <c r="J1211" t="s">
        <v>358</v>
      </c>
      <c r="K1211">
        <v>2.3633488190464959E-4</v>
      </c>
      <c r="L1211" t="s">
        <v>159</v>
      </c>
      <c r="N1211" t="s">
        <v>224</v>
      </c>
      <c r="O1211" t="s">
        <v>358</v>
      </c>
      <c r="P1211">
        <v>2.8331283995829559E-5</v>
      </c>
      <c r="Q1211" t="s">
        <v>159</v>
      </c>
      <c r="S1211" t="s">
        <v>266</v>
      </c>
      <c r="T1211" t="s">
        <v>358</v>
      </c>
      <c r="U1211">
        <v>1.3740088340561536E-5</v>
      </c>
      <c r="V1211" t="s">
        <v>159</v>
      </c>
    </row>
    <row r="1212" spans="9:22" x14ac:dyDescent="0.45">
      <c r="I1212" t="s">
        <v>181</v>
      </c>
      <c r="J1212" t="s">
        <v>359</v>
      </c>
      <c r="K1212">
        <v>1.771727320391479E-4</v>
      </c>
      <c r="L1212" t="s">
        <v>159</v>
      </c>
      <c r="N1212" t="s">
        <v>224</v>
      </c>
      <c r="O1212" t="s">
        <v>359</v>
      </c>
      <c r="P1212">
        <v>3.9112906866369889E-5</v>
      </c>
      <c r="Q1212" t="s">
        <v>159</v>
      </c>
      <c r="S1212" t="s">
        <v>266</v>
      </c>
      <c r="T1212" t="s">
        <v>359</v>
      </c>
      <c r="U1212">
        <v>8.7412594426251168E-6</v>
      </c>
      <c r="V1212" t="s">
        <v>159</v>
      </c>
    </row>
    <row r="1213" spans="9:22" x14ac:dyDescent="0.45">
      <c r="I1213" t="s">
        <v>181</v>
      </c>
      <c r="J1213" t="s">
        <v>360</v>
      </c>
      <c r="K1213">
        <v>1.6000892004404291E-4</v>
      </c>
      <c r="L1213" t="s">
        <v>159</v>
      </c>
      <c r="N1213" t="s">
        <v>224</v>
      </c>
      <c r="O1213" t="s">
        <v>360</v>
      </c>
      <c r="P1213">
        <v>6.7009056970578789E-5</v>
      </c>
      <c r="Q1213" t="s">
        <v>159</v>
      </c>
      <c r="S1213" t="s">
        <v>266</v>
      </c>
      <c r="T1213" t="s">
        <v>360</v>
      </c>
      <c r="U1213">
        <v>7.6744526214033342E-6</v>
      </c>
      <c r="V1213" t="s">
        <v>159</v>
      </c>
    </row>
    <row r="1214" spans="9:22" x14ac:dyDescent="0.45">
      <c r="I1214" t="s">
        <v>181</v>
      </c>
      <c r="J1214" t="s">
        <v>361</v>
      </c>
      <c r="K1214">
        <v>1.7506528692157652E-4</v>
      </c>
      <c r="L1214" t="s">
        <v>159</v>
      </c>
      <c r="N1214" t="s">
        <v>224</v>
      </c>
      <c r="O1214" t="s">
        <v>361</v>
      </c>
      <c r="P1214">
        <v>1.0613295112885198E-4</v>
      </c>
      <c r="Q1214" t="s">
        <v>159</v>
      </c>
      <c r="S1214" t="s">
        <v>266</v>
      </c>
      <c r="T1214" t="s">
        <v>361</v>
      </c>
      <c r="U1214">
        <v>1.0730726871385849E-5</v>
      </c>
      <c r="V1214" t="s">
        <v>159</v>
      </c>
    </row>
    <row r="1215" spans="9:22" x14ac:dyDescent="0.45">
      <c r="I1215" t="s">
        <v>181</v>
      </c>
      <c r="J1215" t="s">
        <v>362</v>
      </c>
      <c r="K1215">
        <v>1.5673151336664042E-4</v>
      </c>
      <c r="L1215" t="s">
        <v>159</v>
      </c>
      <c r="N1215" t="s">
        <v>224</v>
      </c>
      <c r="O1215" t="s">
        <v>362</v>
      </c>
      <c r="P1215">
        <v>1.5127266761748865E-4</v>
      </c>
      <c r="Q1215" t="s">
        <v>159</v>
      </c>
      <c r="S1215" t="s">
        <v>266</v>
      </c>
      <c r="T1215" t="s">
        <v>362</v>
      </c>
      <c r="U1215">
        <v>2.0243766310358165E-5</v>
      </c>
      <c r="V1215" t="s">
        <v>159</v>
      </c>
    </row>
    <row r="1216" spans="9:22" x14ac:dyDescent="0.45">
      <c r="I1216" t="s">
        <v>181</v>
      </c>
      <c r="J1216" t="s">
        <v>363</v>
      </c>
      <c r="K1216">
        <v>0</v>
      </c>
      <c r="L1216" t="s">
        <v>159</v>
      </c>
      <c r="N1216" t="s">
        <v>224</v>
      </c>
      <c r="O1216" t="s">
        <v>363</v>
      </c>
      <c r="P1216">
        <v>1.8042605393952426E-4</v>
      </c>
      <c r="Q1216" t="s">
        <v>159</v>
      </c>
      <c r="S1216" t="s">
        <v>266</v>
      </c>
      <c r="T1216" t="s">
        <v>363</v>
      </c>
      <c r="U1216">
        <v>2.0127714292437656E-5</v>
      </c>
      <c r="V1216" t="s">
        <v>159</v>
      </c>
    </row>
    <row r="1217" spans="9:22" x14ac:dyDescent="0.45">
      <c r="I1217" t="s">
        <v>181</v>
      </c>
      <c r="J1217" t="s">
        <v>364</v>
      </c>
      <c r="K1217">
        <v>0</v>
      </c>
      <c r="L1217" t="s">
        <v>159</v>
      </c>
      <c r="N1217" t="s">
        <v>224</v>
      </c>
      <c r="O1217" t="s">
        <v>364</v>
      </c>
      <c r="P1217">
        <v>1.3420202847793912E-4</v>
      </c>
      <c r="Q1217" t="s">
        <v>159</v>
      </c>
      <c r="S1217" t="s">
        <v>266</v>
      </c>
      <c r="T1217" t="s">
        <v>364</v>
      </c>
      <c r="U1217">
        <v>1.2635927008543728E-5</v>
      </c>
      <c r="V1217" t="s">
        <v>159</v>
      </c>
    </row>
    <row r="1218" spans="9:22" x14ac:dyDescent="0.45">
      <c r="I1218" t="s">
        <v>181</v>
      </c>
      <c r="J1218" t="s">
        <v>365</v>
      </c>
      <c r="K1218">
        <v>0</v>
      </c>
      <c r="L1218" t="s">
        <v>159</v>
      </c>
      <c r="N1218" t="s">
        <v>224</v>
      </c>
      <c r="O1218" t="s">
        <v>365</v>
      </c>
      <c r="P1218">
        <v>8.059907172300669E-5</v>
      </c>
      <c r="Q1218" t="s">
        <v>159</v>
      </c>
      <c r="S1218" t="s">
        <v>266</v>
      </c>
      <c r="T1218" t="s">
        <v>365</v>
      </c>
      <c r="U1218">
        <v>5.6185338606900914E-6</v>
      </c>
      <c r="V1218" t="s">
        <v>159</v>
      </c>
    </row>
    <row r="1219" spans="9:22" x14ac:dyDescent="0.45">
      <c r="I1219" t="s">
        <v>181</v>
      </c>
      <c r="J1219" t="s">
        <v>366</v>
      </c>
      <c r="K1219">
        <v>0</v>
      </c>
      <c r="L1219" t="s">
        <v>159</v>
      </c>
      <c r="N1219" t="s">
        <v>224</v>
      </c>
      <c r="O1219" t="s">
        <v>366</v>
      </c>
      <c r="P1219">
        <v>4.6545371058144242E-5</v>
      </c>
      <c r="Q1219" t="s">
        <v>159</v>
      </c>
      <c r="S1219" t="s">
        <v>266</v>
      </c>
      <c r="T1219" t="s">
        <v>366</v>
      </c>
      <c r="U1219">
        <v>4.0222459892621246E-6</v>
      </c>
      <c r="V1219" t="s">
        <v>159</v>
      </c>
    </row>
    <row r="1220" spans="9:22" x14ac:dyDescent="0.45">
      <c r="I1220" t="s">
        <v>181</v>
      </c>
      <c r="J1220" t="s">
        <v>367</v>
      </c>
      <c r="K1220">
        <v>0</v>
      </c>
      <c r="L1220" t="s">
        <v>159</v>
      </c>
      <c r="N1220" t="s">
        <v>224</v>
      </c>
      <c r="O1220" t="s">
        <v>367</v>
      </c>
      <c r="P1220">
        <v>3.1018567873423598E-5</v>
      </c>
      <c r="Q1220" t="s">
        <v>159</v>
      </c>
      <c r="S1220" t="s">
        <v>266</v>
      </c>
      <c r="T1220" t="s">
        <v>367</v>
      </c>
      <c r="U1220">
        <v>2.980268182217707E-6</v>
      </c>
      <c r="V1220" t="s">
        <v>159</v>
      </c>
    </row>
    <row r="1221" spans="9:22" x14ac:dyDescent="0.45">
      <c r="I1221" t="s">
        <v>181</v>
      </c>
      <c r="J1221" t="s">
        <v>368</v>
      </c>
      <c r="K1221">
        <v>0</v>
      </c>
      <c r="L1221" t="s">
        <v>159</v>
      </c>
      <c r="N1221" t="s">
        <v>224</v>
      </c>
      <c r="O1221" t="s">
        <v>368</v>
      </c>
      <c r="P1221">
        <v>2.1760476430494132E-5</v>
      </c>
      <c r="Q1221" t="s">
        <v>159</v>
      </c>
      <c r="S1221" t="s">
        <v>266</v>
      </c>
      <c r="T1221" t="s">
        <v>368</v>
      </c>
      <c r="U1221">
        <v>1.5496951842924763E-6</v>
      </c>
      <c r="V1221" t="s">
        <v>159</v>
      </c>
    </row>
    <row r="1222" spans="9:22" x14ac:dyDescent="0.45">
      <c r="I1222" t="s">
        <v>181</v>
      </c>
      <c r="J1222" t="s">
        <v>369</v>
      </c>
      <c r="K1222">
        <v>0</v>
      </c>
      <c r="L1222" t="s">
        <v>159</v>
      </c>
      <c r="N1222" t="s">
        <v>224</v>
      </c>
      <c r="O1222" t="s">
        <v>369</v>
      </c>
      <c r="P1222">
        <v>1.5063480489633468E-5</v>
      </c>
      <c r="Q1222" t="s">
        <v>159</v>
      </c>
      <c r="S1222" t="s">
        <v>266</v>
      </c>
      <c r="T1222" t="s">
        <v>369</v>
      </c>
      <c r="U1222">
        <v>2.71307647780203E-7</v>
      </c>
      <c r="V1222" t="s">
        <v>159</v>
      </c>
    </row>
    <row r="1223" spans="9:22" x14ac:dyDescent="0.45">
      <c r="I1223" t="s">
        <v>181</v>
      </c>
      <c r="J1223" t="s">
        <v>165</v>
      </c>
      <c r="K1223">
        <v>0</v>
      </c>
      <c r="L1223" t="s">
        <v>159</v>
      </c>
      <c r="N1223" t="s">
        <v>224</v>
      </c>
      <c r="O1223" t="s">
        <v>165</v>
      </c>
      <c r="P1223">
        <v>2.9017925434565529E-2</v>
      </c>
      <c r="Q1223" t="s">
        <v>159</v>
      </c>
      <c r="S1223" t="s">
        <v>266</v>
      </c>
      <c r="T1223" t="s">
        <v>165</v>
      </c>
      <c r="U1223">
        <v>2.6635906480984125E-2</v>
      </c>
      <c r="V1223" t="s">
        <v>159</v>
      </c>
    </row>
    <row r="1224" spans="9:22" x14ac:dyDescent="0.45">
      <c r="I1224" t="s">
        <v>181</v>
      </c>
      <c r="J1224" t="s">
        <v>166</v>
      </c>
      <c r="K1224">
        <v>3.8523333054247101E-3</v>
      </c>
      <c r="L1224" t="s">
        <v>159</v>
      </c>
      <c r="N1224" t="s">
        <v>224</v>
      </c>
      <c r="O1224" t="s">
        <v>166</v>
      </c>
      <c r="P1224">
        <v>4.8236291054847046E-3</v>
      </c>
      <c r="Q1224" t="s">
        <v>159</v>
      </c>
      <c r="S1224" t="s">
        <v>266</v>
      </c>
      <c r="T1224" t="s">
        <v>166</v>
      </c>
      <c r="U1224">
        <v>4.1048878946181805E-3</v>
      </c>
      <c r="V1224" t="s">
        <v>159</v>
      </c>
    </row>
    <row r="1225" spans="9:22" x14ac:dyDescent="0.45">
      <c r="I1225" t="s">
        <v>181</v>
      </c>
      <c r="J1225" t="s">
        <v>167</v>
      </c>
      <c r="K1225">
        <v>5.2337659125390783E-2</v>
      </c>
      <c r="L1225" t="s">
        <v>159</v>
      </c>
      <c r="N1225" t="s">
        <v>224</v>
      </c>
      <c r="O1225" t="s">
        <v>167</v>
      </c>
      <c r="P1225">
        <v>2.8719778978629051E-2</v>
      </c>
      <c r="Q1225" t="s">
        <v>159</v>
      </c>
      <c r="S1225" t="s">
        <v>266</v>
      </c>
      <c r="T1225" t="s">
        <v>167</v>
      </c>
      <c r="U1225">
        <v>4.1645456484197714E-2</v>
      </c>
      <c r="V1225" t="s">
        <v>159</v>
      </c>
    </row>
    <row r="1226" spans="9:22" x14ac:dyDescent="0.45">
      <c r="I1226" t="s">
        <v>181</v>
      </c>
      <c r="J1226" t="s">
        <v>291</v>
      </c>
      <c r="K1226">
        <v>2.8681563165478723E-3</v>
      </c>
      <c r="L1226" t="s">
        <v>159</v>
      </c>
      <c r="N1226" t="s">
        <v>224</v>
      </c>
      <c r="O1226" t="s">
        <v>291</v>
      </c>
      <c r="P1226">
        <v>5.4967622958919738E-3</v>
      </c>
      <c r="Q1226" t="s">
        <v>159</v>
      </c>
      <c r="S1226" t="s">
        <v>266</v>
      </c>
      <c r="T1226" t="s">
        <v>291</v>
      </c>
      <c r="U1226">
        <v>4.7904110375584013E-3</v>
      </c>
      <c r="V1226" t="s">
        <v>159</v>
      </c>
    </row>
    <row r="1227" spans="9:22" x14ac:dyDescent="0.45">
      <c r="I1227" t="s">
        <v>181</v>
      </c>
      <c r="J1227" t="s">
        <v>292</v>
      </c>
      <c r="K1227">
        <v>0</v>
      </c>
      <c r="L1227" t="s">
        <v>159</v>
      </c>
      <c r="N1227" t="s">
        <v>224</v>
      </c>
      <c r="O1227" t="s">
        <v>292</v>
      </c>
      <c r="P1227">
        <v>6.6332532733699929E-3</v>
      </c>
      <c r="Q1227" t="s">
        <v>159</v>
      </c>
      <c r="S1227" t="s">
        <v>266</v>
      </c>
      <c r="T1227" t="s">
        <v>292</v>
      </c>
      <c r="U1227">
        <v>4.625353273355848E-3</v>
      </c>
      <c r="V1227" t="s">
        <v>159</v>
      </c>
    </row>
    <row r="1228" spans="9:22" x14ac:dyDescent="0.45">
      <c r="I1228" t="s">
        <v>181</v>
      </c>
      <c r="J1228" t="s">
        <v>310</v>
      </c>
      <c r="K1228">
        <v>0</v>
      </c>
      <c r="L1228" t="s">
        <v>159</v>
      </c>
      <c r="N1228" t="s">
        <v>224</v>
      </c>
      <c r="O1228" t="s">
        <v>310</v>
      </c>
      <c r="P1228">
        <v>2.5350462254877717E-2</v>
      </c>
      <c r="Q1228" t="s">
        <v>159</v>
      </c>
      <c r="S1228" t="s">
        <v>266</v>
      </c>
      <c r="T1228" t="s">
        <v>310</v>
      </c>
      <c r="U1228">
        <v>2.0457866993310449E-2</v>
      </c>
      <c r="V1228" t="s">
        <v>159</v>
      </c>
    </row>
    <row r="1229" spans="9:22" x14ac:dyDescent="0.45">
      <c r="I1229" t="s">
        <v>181</v>
      </c>
      <c r="J1229" t="s">
        <v>293</v>
      </c>
      <c r="K1229">
        <v>0</v>
      </c>
      <c r="L1229" t="s">
        <v>159</v>
      </c>
      <c r="N1229" t="s">
        <v>224</v>
      </c>
      <c r="O1229" t="s">
        <v>293</v>
      </c>
      <c r="P1229">
        <v>7.0896697508363218E-3</v>
      </c>
      <c r="Q1229" t="s">
        <v>159</v>
      </c>
      <c r="S1229" t="s">
        <v>266</v>
      </c>
      <c r="T1229" t="s">
        <v>293</v>
      </c>
      <c r="U1229">
        <v>3.0442873899969836E-3</v>
      </c>
      <c r="V1229" t="s">
        <v>159</v>
      </c>
    </row>
    <row r="1230" spans="9:22" x14ac:dyDescent="0.45">
      <c r="I1230" t="s">
        <v>181</v>
      </c>
      <c r="J1230" t="s">
        <v>294</v>
      </c>
      <c r="K1230">
        <v>1.2529910600307837E-3</v>
      </c>
      <c r="L1230" t="s">
        <v>159</v>
      </c>
      <c r="N1230" t="s">
        <v>224</v>
      </c>
      <c r="O1230" t="s">
        <v>294</v>
      </c>
      <c r="P1230">
        <v>1.0315586196843782E-3</v>
      </c>
      <c r="Q1230" t="s">
        <v>159</v>
      </c>
      <c r="S1230" t="s">
        <v>266</v>
      </c>
      <c r="T1230" t="s">
        <v>294</v>
      </c>
      <c r="U1230">
        <v>4.6913359680795684E-4</v>
      </c>
      <c r="V1230" t="s">
        <v>159</v>
      </c>
    </row>
    <row r="1231" spans="9:22" x14ac:dyDescent="0.45">
      <c r="I1231" t="s">
        <v>181</v>
      </c>
      <c r="J1231" t="s">
        <v>295</v>
      </c>
      <c r="K1231">
        <v>1.605878033210759E-2</v>
      </c>
      <c r="L1231" t="s">
        <v>159</v>
      </c>
      <c r="N1231" t="s">
        <v>224</v>
      </c>
      <c r="O1231" t="s">
        <v>295</v>
      </c>
      <c r="P1231">
        <v>8.714757832487291E-3</v>
      </c>
      <c r="Q1231" t="s">
        <v>159</v>
      </c>
      <c r="S1231" t="s">
        <v>266</v>
      </c>
      <c r="T1231" t="s">
        <v>295</v>
      </c>
      <c r="U1231">
        <v>5.5720773307617981E-3</v>
      </c>
      <c r="V1231" t="s">
        <v>159</v>
      </c>
    </row>
    <row r="1232" spans="9:22" x14ac:dyDescent="0.45">
      <c r="I1232" t="s">
        <v>181</v>
      </c>
      <c r="J1232" t="s">
        <v>296</v>
      </c>
      <c r="K1232">
        <v>1.1616146572171705E-3</v>
      </c>
      <c r="L1232" t="s">
        <v>159</v>
      </c>
      <c r="N1232" t="s">
        <v>224</v>
      </c>
      <c r="O1232" t="s">
        <v>296</v>
      </c>
      <c r="P1232">
        <v>2.3513839962972798E-3</v>
      </c>
      <c r="Q1232" t="s">
        <v>159</v>
      </c>
      <c r="S1232" t="s">
        <v>266</v>
      </c>
      <c r="T1232" t="s">
        <v>296</v>
      </c>
      <c r="U1232">
        <v>7.4911795365639039E-4</v>
      </c>
      <c r="V1232" t="s">
        <v>159</v>
      </c>
    </row>
    <row r="1233" spans="9:22" x14ac:dyDescent="0.45">
      <c r="I1233" t="s">
        <v>181</v>
      </c>
      <c r="J1233" t="s">
        <v>297</v>
      </c>
      <c r="K1233">
        <v>0</v>
      </c>
      <c r="L1233" t="s">
        <v>159</v>
      </c>
      <c r="N1233" t="s">
        <v>224</v>
      </c>
      <c r="O1233" t="s">
        <v>297</v>
      </c>
      <c r="P1233">
        <v>2.7213077576872498E-3</v>
      </c>
      <c r="Q1233" t="s">
        <v>159</v>
      </c>
      <c r="S1233" t="s">
        <v>266</v>
      </c>
      <c r="T1233" t="s">
        <v>297</v>
      </c>
      <c r="U1233">
        <v>7.3077424085233537E-4</v>
      </c>
      <c r="V1233" t="s">
        <v>159</v>
      </c>
    </row>
    <row r="1234" spans="9:22" x14ac:dyDescent="0.45">
      <c r="I1234" t="s">
        <v>181</v>
      </c>
      <c r="J1234" t="s">
        <v>311</v>
      </c>
      <c r="K1234">
        <v>0</v>
      </c>
      <c r="L1234" t="s">
        <v>159</v>
      </c>
      <c r="N1234" t="s">
        <v>224</v>
      </c>
      <c r="O1234" t="s">
        <v>311</v>
      </c>
      <c r="P1234">
        <v>9.9559387007667581E-3</v>
      </c>
      <c r="Q1234" t="s">
        <v>159</v>
      </c>
      <c r="S1234" t="s">
        <v>266</v>
      </c>
      <c r="T1234" t="s">
        <v>311</v>
      </c>
      <c r="U1234">
        <v>2.9306196043032405E-3</v>
      </c>
      <c r="V1234" t="s">
        <v>159</v>
      </c>
    </row>
    <row r="1235" spans="9:22" x14ac:dyDescent="0.45">
      <c r="I1235" t="s">
        <v>181</v>
      </c>
      <c r="J1235" t="s">
        <v>298</v>
      </c>
      <c r="K1235">
        <v>1.716858634023994E-2</v>
      </c>
      <c r="L1235" t="s">
        <v>159</v>
      </c>
      <c r="N1235" t="s">
        <v>224</v>
      </c>
      <c r="O1235" t="s">
        <v>298</v>
      </c>
      <c r="P1235">
        <v>7.007321221334295E-2</v>
      </c>
      <c r="Q1235" t="s">
        <v>159</v>
      </c>
      <c r="S1235" t="s">
        <v>266</v>
      </c>
      <c r="T1235" t="s">
        <v>298</v>
      </c>
      <c r="U1235">
        <v>7.2982606832436708E-2</v>
      </c>
      <c r="V1235" t="s">
        <v>159</v>
      </c>
    </row>
    <row r="1236" spans="9:22" x14ac:dyDescent="0.45">
      <c r="I1236" t="s">
        <v>181</v>
      </c>
      <c r="J1236" t="s">
        <v>299</v>
      </c>
      <c r="K1236">
        <v>2.1128641926512873E-2</v>
      </c>
      <c r="L1236" t="s">
        <v>159</v>
      </c>
      <c r="N1236" t="s">
        <v>224</v>
      </c>
      <c r="O1236" t="s">
        <v>299</v>
      </c>
      <c r="P1236">
        <v>8.8793684853396646E-3</v>
      </c>
      <c r="Q1236" t="s">
        <v>159</v>
      </c>
      <c r="S1236" t="s">
        <v>266</v>
      </c>
      <c r="T1236" t="s">
        <v>299</v>
      </c>
      <c r="U1236">
        <v>1.0331161266688248E-2</v>
      </c>
      <c r="V1236" t="s">
        <v>159</v>
      </c>
    </row>
    <row r="1237" spans="9:22" x14ac:dyDescent="0.45">
      <c r="I1237" t="s">
        <v>181</v>
      </c>
      <c r="J1237" t="s">
        <v>300</v>
      </c>
      <c r="K1237">
        <v>0.24754818482147017</v>
      </c>
      <c r="L1237" t="s">
        <v>159</v>
      </c>
      <c r="N1237" t="s">
        <v>224</v>
      </c>
      <c r="O1237" t="s">
        <v>300</v>
      </c>
      <c r="P1237">
        <v>0.11752374240861606</v>
      </c>
      <c r="Q1237" t="s">
        <v>159</v>
      </c>
      <c r="S1237" t="s">
        <v>266</v>
      </c>
      <c r="T1237" t="s">
        <v>300</v>
      </c>
      <c r="U1237">
        <v>0.11650322775302395</v>
      </c>
      <c r="V1237" t="s">
        <v>159</v>
      </c>
    </row>
    <row r="1238" spans="9:22" x14ac:dyDescent="0.45">
      <c r="I1238" t="s">
        <v>181</v>
      </c>
      <c r="J1238" t="s">
        <v>301</v>
      </c>
      <c r="K1238">
        <v>1.8508904121008609E-2</v>
      </c>
      <c r="L1238" t="s">
        <v>159</v>
      </c>
      <c r="N1238" t="s">
        <v>224</v>
      </c>
      <c r="O1238" t="s">
        <v>301</v>
      </c>
      <c r="P1238">
        <v>2.3709386086630195E-2</v>
      </c>
      <c r="Q1238" t="s">
        <v>159</v>
      </c>
      <c r="S1238" t="s">
        <v>266</v>
      </c>
      <c r="T1238" t="s">
        <v>301</v>
      </c>
      <c r="U1238">
        <v>1.5059102135467553E-2</v>
      </c>
      <c r="V1238" t="s">
        <v>159</v>
      </c>
    </row>
    <row r="1239" spans="9:22" x14ac:dyDescent="0.45">
      <c r="I1239" t="s">
        <v>181</v>
      </c>
      <c r="J1239" t="s">
        <v>302</v>
      </c>
      <c r="K1239">
        <v>5.3726615623448503E-3</v>
      </c>
      <c r="L1239" t="s">
        <v>159</v>
      </c>
      <c r="N1239" t="s">
        <v>224</v>
      </c>
      <c r="O1239" t="s">
        <v>302</v>
      </c>
      <c r="P1239">
        <v>2.4826635019306393E-2</v>
      </c>
      <c r="Q1239" t="s">
        <v>159</v>
      </c>
      <c r="S1239" t="s">
        <v>266</v>
      </c>
      <c r="T1239" t="s">
        <v>302</v>
      </c>
      <c r="U1239">
        <v>1.4114680760734893E-2</v>
      </c>
      <c r="V1239" t="s">
        <v>159</v>
      </c>
    </row>
    <row r="1240" spans="9:22" x14ac:dyDescent="0.45">
      <c r="I1240" t="s">
        <v>181</v>
      </c>
      <c r="J1240" t="s">
        <v>312</v>
      </c>
      <c r="K1240">
        <v>0</v>
      </c>
      <c r="L1240" t="s">
        <v>159</v>
      </c>
      <c r="N1240" t="s">
        <v>224</v>
      </c>
      <c r="O1240" t="s">
        <v>312</v>
      </c>
      <c r="P1240">
        <v>9.1479928462861987E-2</v>
      </c>
      <c r="Q1240" t="s">
        <v>159</v>
      </c>
      <c r="S1240" t="s">
        <v>266</v>
      </c>
      <c r="T1240" t="s">
        <v>312</v>
      </c>
      <c r="U1240">
        <v>5.9064536612437497E-2</v>
      </c>
      <c r="V1240" t="s">
        <v>159</v>
      </c>
    </row>
    <row r="1241" spans="9:22" x14ac:dyDescent="0.45">
      <c r="I1241" t="s">
        <v>181</v>
      </c>
      <c r="J1241" t="s">
        <v>397</v>
      </c>
      <c r="K1241">
        <v>0</v>
      </c>
      <c r="L1241" t="s">
        <v>159</v>
      </c>
      <c r="N1241" t="s">
        <v>224</v>
      </c>
      <c r="O1241" t="s">
        <v>397</v>
      </c>
      <c r="P1241">
        <v>1.2595330264789294E-5</v>
      </c>
      <c r="Q1241" t="s">
        <v>159</v>
      </c>
      <c r="S1241" t="s">
        <v>266</v>
      </c>
      <c r="T1241" t="s">
        <v>397</v>
      </c>
      <c r="U1241">
        <v>1.2449049721168637E-4</v>
      </c>
      <c r="V1241" t="s">
        <v>159</v>
      </c>
    </row>
    <row r="1242" spans="9:22" x14ac:dyDescent="0.45">
      <c r="I1242" t="s">
        <v>181</v>
      </c>
      <c r="J1242" t="s">
        <v>398</v>
      </c>
      <c r="K1242">
        <v>0</v>
      </c>
      <c r="L1242" t="s">
        <v>159</v>
      </c>
      <c r="N1242" t="s">
        <v>224</v>
      </c>
      <c r="O1242" t="s">
        <v>398</v>
      </c>
      <c r="P1242">
        <v>1.939213189859364E-5</v>
      </c>
      <c r="Q1242" t="s">
        <v>159</v>
      </c>
      <c r="S1242" t="s">
        <v>266</v>
      </c>
      <c r="T1242" t="s">
        <v>398</v>
      </c>
      <c r="U1242">
        <v>1.178189835365917E-4</v>
      </c>
      <c r="V1242" t="s">
        <v>159</v>
      </c>
    </row>
    <row r="1243" spans="9:22" x14ac:dyDescent="0.45">
      <c r="I1243" t="s">
        <v>181</v>
      </c>
      <c r="J1243" t="s">
        <v>399</v>
      </c>
      <c r="K1243">
        <v>0</v>
      </c>
      <c r="L1243" t="s">
        <v>159</v>
      </c>
      <c r="N1243" t="s">
        <v>224</v>
      </c>
      <c r="O1243" t="s">
        <v>399</v>
      </c>
      <c r="P1243">
        <v>2.889942205974761E-5</v>
      </c>
      <c r="Q1243" t="s">
        <v>159</v>
      </c>
      <c r="S1243" t="s">
        <v>266</v>
      </c>
      <c r="T1243" t="s">
        <v>399</v>
      </c>
      <c r="U1243">
        <v>1.1120051479394618E-4</v>
      </c>
      <c r="V1243" t="s">
        <v>159</v>
      </c>
    </row>
    <row r="1244" spans="9:22" x14ac:dyDescent="0.45">
      <c r="I1244" t="s">
        <v>181</v>
      </c>
      <c r="J1244" t="s">
        <v>400</v>
      </c>
      <c r="K1244">
        <v>0</v>
      </c>
      <c r="L1244" t="s">
        <v>159</v>
      </c>
      <c r="N1244" t="s">
        <v>224</v>
      </c>
      <c r="O1244" t="s">
        <v>400</v>
      </c>
      <c r="P1244">
        <v>3.9392061934196187E-5</v>
      </c>
      <c r="Q1244" t="s">
        <v>159</v>
      </c>
      <c r="S1244" t="s">
        <v>266</v>
      </c>
      <c r="T1244" t="s">
        <v>400</v>
      </c>
      <c r="U1244">
        <v>1.1194228483405864E-4</v>
      </c>
      <c r="V1244" t="s">
        <v>159</v>
      </c>
    </row>
    <row r="1245" spans="9:22" x14ac:dyDescent="0.45">
      <c r="I1245" t="s">
        <v>181</v>
      </c>
      <c r="J1245" t="s">
        <v>401</v>
      </c>
      <c r="K1245">
        <v>0</v>
      </c>
      <c r="L1245" t="s">
        <v>159</v>
      </c>
      <c r="N1245" t="s">
        <v>224</v>
      </c>
      <c r="O1245" t="s">
        <v>401</v>
      </c>
      <c r="P1245">
        <v>4.5156305259573715E-5</v>
      </c>
      <c r="Q1245" t="s">
        <v>159</v>
      </c>
      <c r="S1245" t="s">
        <v>266</v>
      </c>
      <c r="T1245" t="s">
        <v>401</v>
      </c>
      <c r="U1245">
        <v>1.277417609571783E-4</v>
      </c>
      <c r="V1245" t="s">
        <v>159</v>
      </c>
    </row>
    <row r="1246" spans="9:22" x14ac:dyDescent="0.45">
      <c r="I1246" t="s">
        <v>181</v>
      </c>
      <c r="J1246" t="s">
        <v>402</v>
      </c>
      <c r="K1246">
        <v>0</v>
      </c>
      <c r="L1246" t="s">
        <v>159</v>
      </c>
      <c r="N1246" t="s">
        <v>224</v>
      </c>
      <c r="O1246" t="s">
        <v>402</v>
      </c>
      <c r="P1246">
        <v>4.7622901094980627E-5</v>
      </c>
      <c r="Q1246" t="s">
        <v>159</v>
      </c>
      <c r="S1246" t="s">
        <v>266</v>
      </c>
      <c r="T1246" t="s">
        <v>402</v>
      </c>
      <c r="U1246">
        <v>1.344209720231775E-4</v>
      </c>
      <c r="V1246" t="s">
        <v>159</v>
      </c>
    </row>
    <row r="1247" spans="9:22" x14ac:dyDescent="0.45">
      <c r="I1247" t="s">
        <v>181</v>
      </c>
      <c r="J1247" t="s">
        <v>403</v>
      </c>
      <c r="K1247">
        <v>1.2968714140572724E-4</v>
      </c>
      <c r="L1247" t="s">
        <v>159</v>
      </c>
      <c r="N1247" t="s">
        <v>224</v>
      </c>
      <c r="O1247" t="s">
        <v>403</v>
      </c>
      <c r="P1247">
        <v>3.3434320013496583E-5</v>
      </c>
      <c r="Q1247" t="s">
        <v>159</v>
      </c>
      <c r="S1247" t="s">
        <v>266</v>
      </c>
      <c r="T1247" t="s">
        <v>403</v>
      </c>
      <c r="U1247">
        <v>1.3647615313977903E-4</v>
      </c>
      <c r="V1247" t="s">
        <v>159</v>
      </c>
    </row>
    <row r="1248" spans="9:22" x14ac:dyDescent="0.45">
      <c r="I1248" t="s">
        <v>181</v>
      </c>
      <c r="J1248" t="s">
        <v>404</v>
      </c>
      <c r="K1248">
        <v>1.2965977887452508E-4</v>
      </c>
      <c r="L1248" t="s">
        <v>159</v>
      </c>
      <c r="N1248" t="s">
        <v>224</v>
      </c>
      <c r="O1248" t="s">
        <v>404</v>
      </c>
      <c r="P1248">
        <v>1.2836830787878437E-5</v>
      </c>
      <c r="Q1248" t="s">
        <v>159</v>
      </c>
      <c r="S1248" t="s">
        <v>266</v>
      </c>
      <c r="T1248" t="s">
        <v>404</v>
      </c>
      <c r="U1248">
        <v>1.2973359825265427E-4</v>
      </c>
      <c r="V1248" t="s">
        <v>159</v>
      </c>
    </row>
    <row r="1249" spans="9:22" x14ac:dyDescent="0.45">
      <c r="I1249" t="s">
        <v>181</v>
      </c>
      <c r="J1249" t="s">
        <v>405</v>
      </c>
      <c r="K1249">
        <v>1.6862043166264069E-4</v>
      </c>
      <c r="L1249" t="s">
        <v>159</v>
      </c>
      <c r="N1249" t="s">
        <v>224</v>
      </c>
      <c r="O1249" t="s">
        <v>405</v>
      </c>
      <c r="P1249">
        <v>5.5547610700782978E-8</v>
      </c>
      <c r="Q1249" t="s">
        <v>159</v>
      </c>
      <c r="S1249" t="s">
        <v>266</v>
      </c>
      <c r="T1249" t="s">
        <v>405</v>
      </c>
      <c r="U1249">
        <v>1.546354417785282E-4</v>
      </c>
      <c r="V1249" t="s">
        <v>159</v>
      </c>
    </row>
    <row r="1250" spans="9:22" x14ac:dyDescent="0.45">
      <c r="I1250" t="s">
        <v>181</v>
      </c>
      <c r="J1250" t="s">
        <v>406</v>
      </c>
      <c r="K1250">
        <v>1.8200527207337056E-4</v>
      </c>
      <c r="L1250" t="s">
        <v>159</v>
      </c>
      <c r="N1250" t="s">
        <v>224</v>
      </c>
      <c r="O1250" t="s">
        <v>406</v>
      </c>
      <c r="P1250">
        <v>0</v>
      </c>
      <c r="Q1250" t="s">
        <v>159</v>
      </c>
      <c r="S1250" t="s">
        <v>266</v>
      </c>
      <c r="T1250" t="s">
        <v>406</v>
      </c>
      <c r="U1250">
        <v>1.6985038356856223E-4</v>
      </c>
      <c r="V1250" t="s">
        <v>159</v>
      </c>
    </row>
    <row r="1251" spans="9:22" x14ac:dyDescent="0.45">
      <c r="I1251" t="s">
        <v>181</v>
      </c>
      <c r="J1251" t="s">
        <v>407</v>
      </c>
      <c r="K1251">
        <v>1.9802225649863967E-4</v>
      </c>
      <c r="L1251" t="s">
        <v>159</v>
      </c>
      <c r="N1251" t="s">
        <v>224</v>
      </c>
      <c r="O1251" t="s">
        <v>407</v>
      </c>
      <c r="P1251">
        <v>3.9020113496412097E-8</v>
      </c>
      <c r="Q1251" t="s">
        <v>159</v>
      </c>
      <c r="S1251" t="s">
        <v>266</v>
      </c>
      <c r="T1251" t="s">
        <v>407</v>
      </c>
      <c r="U1251">
        <v>1.7047054383983158E-4</v>
      </c>
      <c r="V1251" t="s">
        <v>159</v>
      </c>
    </row>
    <row r="1252" spans="9:22" x14ac:dyDescent="0.45">
      <c r="I1252" t="s">
        <v>181</v>
      </c>
      <c r="J1252" t="s">
        <v>408</v>
      </c>
      <c r="K1252">
        <v>2.0603271486291044E-4</v>
      </c>
      <c r="L1252" t="s">
        <v>159</v>
      </c>
      <c r="N1252" t="s">
        <v>224</v>
      </c>
      <c r="O1252" t="s">
        <v>408</v>
      </c>
      <c r="P1252">
        <v>6.3539276784666619E-6</v>
      </c>
      <c r="Q1252" t="s">
        <v>159</v>
      </c>
      <c r="S1252" t="s">
        <v>266</v>
      </c>
      <c r="T1252" t="s">
        <v>408</v>
      </c>
      <c r="U1252">
        <v>1.8813155692009792E-4</v>
      </c>
      <c r="V1252" t="s">
        <v>159</v>
      </c>
    </row>
    <row r="1253" spans="9:22" x14ac:dyDescent="0.45">
      <c r="I1253" t="s">
        <v>181</v>
      </c>
      <c r="J1253" t="s">
        <v>409</v>
      </c>
      <c r="K1253">
        <v>2.3329695889359327E-4</v>
      </c>
      <c r="L1253" t="s">
        <v>159</v>
      </c>
      <c r="N1253" t="s">
        <v>224</v>
      </c>
      <c r="O1253" t="s">
        <v>409</v>
      </c>
      <c r="P1253">
        <v>5.4831431561329693E-5</v>
      </c>
      <c r="Q1253" t="s">
        <v>159</v>
      </c>
      <c r="S1253" t="s">
        <v>266</v>
      </c>
      <c r="T1253" t="s">
        <v>409</v>
      </c>
      <c r="U1253">
        <v>1.9039553976746233E-4</v>
      </c>
      <c r="V1253" t="s">
        <v>159</v>
      </c>
    </row>
    <row r="1254" spans="9:22" x14ac:dyDescent="0.45">
      <c r="I1254" t="s">
        <v>181</v>
      </c>
      <c r="J1254" t="s">
        <v>410</v>
      </c>
      <c r="K1254">
        <v>2.5689065760706344E-4</v>
      </c>
      <c r="L1254" t="s">
        <v>159</v>
      </c>
      <c r="N1254" t="s">
        <v>224</v>
      </c>
      <c r="O1254" t="s">
        <v>410</v>
      </c>
      <c r="P1254">
        <v>9.5401580702139874E-5</v>
      </c>
      <c r="Q1254" t="s">
        <v>159</v>
      </c>
      <c r="S1254" t="s">
        <v>266</v>
      </c>
      <c r="T1254" t="s">
        <v>410</v>
      </c>
      <c r="U1254">
        <v>1.7002799235160657E-4</v>
      </c>
      <c r="V1254" t="s">
        <v>159</v>
      </c>
    </row>
    <row r="1255" spans="9:22" x14ac:dyDescent="0.45">
      <c r="I1255" t="s">
        <v>181</v>
      </c>
      <c r="J1255" t="s">
        <v>411</v>
      </c>
      <c r="K1255">
        <v>2.4879558568831908E-4</v>
      </c>
      <c r="L1255" t="s">
        <v>159</v>
      </c>
      <c r="N1255" t="s">
        <v>224</v>
      </c>
      <c r="O1255" t="s">
        <v>411</v>
      </c>
      <c r="P1255">
        <v>1.5148172626835166E-4</v>
      </c>
      <c r="Q1255" t="s">
        <v>159</v>
      </c>
      <c r="S1255" t="s">
        <v>266</v>
      </c>
      <c r="T1255" t="s">
        <v>411</v>
      </c>
      <c r="U1255">
        <v>1.6931122647486732E-4</v>
      </c>
      <c r="V1255" t="s">
        <v>159</v>
      </c>
    </row>
    <row r="1256" spans="9:22" x14ac:dyDescent="0.45">
      <c r="I1256" t="s">
        <v>181</v>
      </c>
      <c r="J1256" t="s">
        <v>412</v>
      </c>
      <c r="K1256">
        <v>2.2351827781572596E-4</v>
      </c>
      <c r="L1256" t="s">
        <v>159</v>
      </c>
      <c r="N1256" t="s">
        <v>224</v>
      </c>
      <c r="O1256" t="s">
        <v>412</v>
      </c>
      <c r="P1256">
        <v>2.3992396793920477E-4</v>
      </c>
      <c r="Q1256" t="s">
        <v>159</v>
      </c>
      <c r="S1256" t="s">
        <v>266</v>
      </c>
      <c r="T1256" t="s">
        <v>412</v>
      </c>
      <c r="U1256">
        <v>1.8569481516591253E-4</v>
      </c>
      <c r="V1256" t="s">
        <v>159</v>
      </c>
    </row>
    <row r="1257" spans="9:22" x14ac:dyDescent="0.45">
      <c r="I1257" t="s">
        <v>181</v>
      </c>
      <c r="J1257" t="s">
        <v>413</v>
      </c>
      <c r="K1257">
        <v>2.126476748247631E-4</v>
      </c>
      <c r="L1257" t="s">
        <v>159</v>
      </c>
      <c r="N1257" t="s">
        <v>224</v>
      </c>
      <c r="O1257" t="s">
        <v>413</v>
      </c>
      <c r="P1257">
        <v>3.6672794468918318E-4</v>
      </c>
      <c r="Q1257" t="s">
        <v>159</v>
      </c>
      <c r="S1257" t="s">
        <v>266</v>
      </c>
      <c r="T1257" t="s">
        <v>413</v>
      </c>
      <c r="U1257">
        <v>1.863716104732432E-4</v>
      </c>
      <c r="V1257" t="s">
        <v>159</v>
      </c>
    </row>
    <row r="1258" spans="9:22" x14ac:dyDescent="0.45">
      <c r="I1258" t="s">
        <v>181</v>
      </c>
      <c r="J1258" t="s">
        <v>414</v>
      </c>
      <c r="K1258">
        <v>1.4474938449805382E-4</v>
      </c>
      <c r="L1258" t="s">
        <v>159</v>
      </c>
      <c r="N1258" t="s">
        <v>224</v>
      </c>
      <c r="O1258" t="s">
        <v>414</v>
      </c>
      <c r="P1258">
        <v>3.8965461689131984E-4</v>
      </c>
      <c r="Q1258" t="s">
        <v>159</v>
      </c>
      <c r="S1258" t="s">
        <v>266</v>
      </c>
      <c r="T1258" t="s">
        <v>414</v>
      </c>
      <c r="U1258">
        <v>1.7681819466156096E-4</v>
      </c>
      <c r="V1258" t="s">
        <v>159</v>
      </c>
    </row>
    <row r="1259" spans="9:22" x14ac:dyDescent="0.45">
      <c r="I1259" t="s">
        <v>181</v>
      </c>
      <c r="J1259" t="s">
        <v>415</v>
      </c>
      <c r="K1259">
        <v>0</v>
      </c>
      <c r="L1259" t="s">
        <v>159</v>
      </c>
      <c r="N1259" t="s">
        <v>224</v>
      </c>
      <c r="O1259" t="s">
        <v>415</v>
      </c>
      <c r="P1259">
        <v>2.8332323478158673E-4</v>
      </c>
      <c r="Q1259" t="s">
        <v>159</v>
      </c>
      <c r="S1259" t="s">
        <v>266</v>
      </c>
      <c r="T1259" t="s">
        <v>415</v>
      </c>
      <c r="U1259">
        <v>1.47847985454432E-4</v>
      </c>
      <c r="V1259" t="s">
        <v>159</v>
      </c>
    </row>
    <row r="1260" spans="9:22" x14ac:dyDescent="0.45">
      <c r="I1260" t="s">
        <v>181</v>
      </c>
      <c r="J1260" t="s">
        <v>416</v>
      </c>
      <c r="K1260">
        <v>0</v>
      </c>
      <c r="L1260" t="s">
        <v>159</v>
      </c>
      <c r="N1260" t="s">
        <v>224</v>
      </c>
      <c r="O1260" t="s">
        <v>416</v>
      </c>
      <c r="P1260">
        <v>1.9614485387592422E-4</v>
      </c>
      <c r="Q1260" t="s">
        <v>159</v>
      </c>
      <c r="S1260" t="s">
        <v>266</v>
      </c>
      <c r="T1260" t="s">
        <v>416</v>
      </c>
      <c r="U1260">
        <v>1.0348232502051606E-4</v>
      </c>
      <c r="V1260" t="s">
        <v>159</v>
      </c>
    </row>
    <row r="1261" spans="9:22" x14ac:dyDescent="0.45">
      <c r="I1261" t="s">
        <v>181</v>
      </c>
      <c r="J1261" t="s">
        <v>417</v>
      </c>
      <c r="K1261">
        <v>0</v>
      </c>
      <c r="L1261" t="s">
        <v>159</v>
      </c>
      <c r="N1261" t="s">
        <v>224</v>
      </c>
      <c r="O1261" t="s">
        <v>417</v>
      </c>
      <c r="P1261">
        <v>1.559036706504367E-4</v>
      </c>
      <c r="Q1261" t="s">
        <v>159</v>
      </c>
      <c r="S1261" t="s">
        <v>266</v>
      </c>
      <c r="T1261" t="s">
        <v>417</v>
      </c>
      <c r="U1261">
        <v>7.326901885109227E-5</v>
      </c>
      <c r="V1261" t="s">
        <v>159</v>
      </c>
    </row>
    <row r="1262" spans="9:22" x14ac:dyDescent="0.45">
      <c r="I1262" t="s">
        <v>181</v>
      </c>
      <c r="J1262" t="s">
        <v>418</v>
      </c>
      <c r="K1262">
        <v>0</v>
      </c>
      <c r="L1262" t="s">
        <v>159</v>
      </c>
      <c r="N1262" t="s">
        <v>224</v>
      </c>
      <c r="O1262" t="s">
        <v>418</v>
      </c>
      <c r="P1262">
        <v>1.0978800718797095E-4</v>
      </c>
      <c r="Q1262" t="s">
        <v>159</v>
      </c>
      <c r="S1262" t="s">
        <v>266</v>
      </c>
      <c r="T1262" t="s">
        <v>418</v>
      </c>
      <c r="U1262">
        <v>6.049904124469143E-5</v>
      </c>
      <c r="V1262" t="s">
        <v>159</v>
      </c>
    </row>
    <row r="1263" spans="9:22" x14ac:dyDescent="0.45">
      <c r="I1263" t="s">
        <v>181</v>
      </c>
      <c r="J1263" t="s">
        <v>419</v>
      </c>
      <c r="K1263">
        <v>0</v>
      </c>
      <c r="L1263" t="s">
        <v>159</v>
      </c>
      <c r="N1263" t="s">
        <v>224</v>
      </c>
      <c r="O1263" t="s">
        <v>419</v>
      </c>
      <c r="P1263">
        <v>1.0168749562488665E-4</v>
      </c>
      <c r="Q1263" t="s">
        <v>159</v>
      </c>
      <c r="S1263" t="s">
        <v>266</v>
      </c>
      <c r="T1263" t="s">
        <v>419</v>
      </c>
      <c r="U1263">
        <v>6.3530498169246018E-5</v>
      </c>
      <c r="V1263" t="s">
        <v>159</v>
      </c>
    </row>
    <row r="1264" spans="9:22" x14ac:dyDescent="0.45">
      <c r="I1264" t="s">
        <v>181</v>
      </c>
      <c r="J1264" t="s">
        <v>420</v>
      </c>
      <c r="K1264">
        <v>0</v>
      </c>
      <c r="L1264" t="s">
        <v>159</v>
      </c>
      <c r="N1264" t="s">
        <v>224</v>
      </c>
      <c r="O1264" t="s">
        <v>420</v>
      </c>
      <c r="P1264">
        <v>1.1705907031316026E-4</v>
      </c>
      <c r="Q1264" t="s">
        <v>159</v>
      </c>
      <c r="S1264" t="s">
        <v>266</v>
      </c>
      <c r="T1264" t="s">
        <v>420</v>
      </c>
      <c r="U1264">
        <v>7.2920030673872201E-5</v>
      </c>
      <c r="V1264" t="s">
        <v>159</v>
      </c>
    </row>
    <row r="1265" spans="9:22" x14ac:dyDescent="0.45">
      <c r="I1265" t="s">
        <v>181</v>
      </c>
      <c r="J1265" t="s">
        <v>313</v>
      </c>
      <c r="K1265">
        <v>7.6768981594689985E-3</v>
      </c>
      <c r="L1265" t="s">
        <v>159</v>
      </c>
      <c r="N1265" t="s">
        <v>224</v>
      </c>
      <c r="O1265" t="s">
        <v>313</v>
      </c>
      <c r="P1265">
        <v>1.1515732506043685E-2</v>
      </c>
      <c r="Q1265" t="s">
        <v>159</v>
      </c>
      <c r="S1265" t="s">
        <v>266</v>
      </c>
      <c r="T1265" t="s">
        <v>313</v>
      </c>
      <c r="U1265">
        <v>2.0305729342655766E-2</v>
      </c>
      <c r="V1265" t="s">
        <v>159</v>
      </c>
    </row>
    <row r="1266" spans="9:22" x14ac:dyDescent="0.45">
      <c r="I1266" t="s">
        <v>181</v>
      </c>
      <c r="J1266" t="s">
        <v>314</v>
      </c>
      <c r="K1266">
        <v>6.9695075519490444E-3</v>
      </c>
      <c r="L1266" t="s">
        <v>159</v>
      </c>
      <c r="N1266" t="s">
        <v>224</v>
      </c>
      <c r="O1266" t="s">
        <v>314</v>
      </c>
      <c r="P1266">
        <v>1.2238444423438312E-3</v>
      </c>
      <c r="Q1266" t="s">
        <v>159</v>
      </c>
      <c r="S1266" t="s">
        <v>266</v>
      </c>
      <c r="T1266" t="s">
        <v>314</v>
      </c>
      <c r="U1266">
        <v>3.1007004545476106E-3</v>
      </c>
      <c r="V1266" t="s">
        <v>159</v>
      </c>
    </row>
    <row r="1267" spans="9:22" x14ac:dyDescent="0.45">
      <c r="I1267" t="s">
        <v>181</v>
      </c>
      <c r="J1267" t="s">
        <v>315</v>
      </c>
      <c r="K1267">
        <v>8.565741847150192E-2</v>
      </c>
      <c r="L1267" t="s">
        <v>159</v>
      </c>
      <c r="N1267" t="s">
        <v>224</v>
      </c>
      <c r="O1267" t="s">
        <v>315</v>
      </c>
      <c r="P1267">
        <v>2.2289267906085861E-2</v>
      </c>
      <c r="Q1267" t="s">
        <v>159</v>
      </c>
      <c r="S1267" t="s">
        <v>266</v>
      </c>
      <c r="T1267" t="s">
        <v>315</v>
      </c>
      <c r="U1267">
        <v>3.5495916779526765E-2</v>
      </c>
      <c r="V1267" t="s">
        <v>159</v>
      </c>
    </row>
    <row r="1268" spans="9:22" x14ac:dyDescent="0.45">
      <c r="I1268" t="s">
        <v>181</v>
      </c>
      <c r="J1268" t="s">
        <v>316</v>
      </c>
      <c r="K1268">
        <v>7.0277133595924406E-3</v>
      </c>
      <c r="L1268" t="s">
        <v>159</v>
      </c>
      <c r="N1268" t="s">
        <v>224</v>
      </c>
      <c r="O1268" t="s">
        <v>316</v>
      </c>
      <c r="P1268">
        <v>3.8296355197927922E-3</v>
      </c>
      <c r="Q1268" t="s">
        <v>159</v>
      </c>
      <c r="S1268" t="s">
        <v>266</v>
      </c>
      <c r="T1268" t="s">
        <v>316</v>
      </c>
      <c r="U1268">
        <v>4.8118630926994414E-3</v>
      </c>
      <c r="V1268" t="s">
        <v>159</v>
      </c>
    </row>
    <row r="1269" spans="9:22" x14ac:dyDescent="0.45">
      <c r="I1269" t="s">
        <v>181</v>
      </c>
      <c r="J1269" t="s">
        <v>317</v>
      </c>
      <c r="K1269">
        <v>4.7852082602991303E-3</v>
      </c>
      <c r="L1269" t="s">
        <v>159</v>
      </c>
      <c r="N1269" t="s">
        <v>224</v>
      </c>
      <c r="O1269" t="s">
        <v>317</v>
      </c>
      <c r="P1269">
        <v>3.6956799641302538E-3</v>
      </c>
      <c r="Q1269" t="s">
        <v>159</v>
      </c>
      <c r="S1269" t="s">
        <v>266</v>
      </c>
      <c r="T1269" t="s">
        <v>317</v>
      </c>
      <c r="U1269">
        <v>4.4302708952498344E-3</v>
      </c>
      <c r="V1269" t="s">
        <v>159</v>
      </c>
    </row>
    <row r="1270" spans="9:22" x14ac:dyDescent="0.45">
      <c r="I1270" t="s">
        <v>181</v>
      </c>
      <c r="J1270" t="s">
        <v>318</v>
      </c>
      <c r="K1270">
        <v>0</v>
      </c>
      <c r="L1270" t="s">
        <v>159</v>
      </c>
      <c r="N1270" t="s">
        <v>224</v>
      </c>
      <c r="O1270" t="s">
        <v>318</v>
      </c>
      <c r="P1270">
        <v>1.3739655296829825E-2</v>
      </c>
      <c r="Q1270" t="s">
        <v>159</v>
      </c>
      <c r="S1270" t="s">
        <v>266</v>
      </c>
      <c r="T1270" t="s">
        <v>318</v>
      </c>
      <c r="U1270">
        <v>1.750525174708684E-2</v>
      </c>
      <c r="V1270" t="s">
        <v>159</v>
      </c>
    </row>
    <row r="1271" spans="9:22" x14ac:dyDescent="0.45">
      <c r="I1271" t="s">
        <v>182</v>
      </c>
      <c r="J1271" t="s">
        <v>158</v>
      </c>
      <c r="K1271">
        <v>1.3729889898042935E-2</v>
      </c>
      <c r="L1271" t="s">
        <v>159</v>
      </c>
      <c r="N1271" t="s">
        <v>225</v>
      </c>
      <c r="O1271" t="s">
        <v>158</v>
      </c>
      <c r="P1271">
        <v>0.12151462300363233</v>
      </c>
      <c r="Q1271" t="s">
        <v>159</v>
      </c>
      <c r="S1271" t="s">
        <v>267</v>
      </c>
      <c r="T1271" t="s">
        <v>158</v>
      </c>
      <c r="U1271">
        <v>0.13074007245208005</v>
      </c>
      <c r="V1271" t="s">
        <v>159</v>
      </c>
    </row>
    <row r="1272" spans="9:22" x14ac:dyDescent="0.45">
      <c r="I1272" t="s">
        <v>182</v>
      </c>
      <c r="J1272" t="s">
        <v>160</v>
      </c>
      <c r="K1272">
        <v>3.1533896160951119E-2</v>
      </c>
      <c r="L1272" t="s">
        <v>159</v>
      </c>
      <c r="N1272" t="s">
        <v>225</v>
      </c>
      <c r="O1272" t="s">
        <v>160</v>
      </c>
      <c r="P1272">
        <v>1.6350964176114879E-2</v>
      </c>
      <c r="Q1272" t="s">
        <v>159</v>
      </c>
      <c r="S1272" t="s">
        <v>267</v>
      </c>
      <c r="T1272" t="s">
        <v>160</v>
      </c>
      <c r="U1272">
        <v>1.7570593972240173E-2</v>
      </c>
      <c r="V1272" t="s">
        <v>159</v>
      </c>
    </row>
    <row r="1273" spans="9:22" x14ac:dyDescent="0.45">
      <c r="I1273" t="s">
        <v>182</v>
      </c>
      <c r="J1273" t="s">
        <v>161</v>
      </c>
      <c r="K1273">
        <v>0.37424886774096305</v>
      </c>
      <c r="L1273" t="s">
        <v>159</v>
      </c>
      <c r="N1273" t="s">
        <v>225</v>
      </c>
      <c r="O1273" t="s">
        <v>161</v>
      </c>
      <c r="P1273">
        <v>0.1622387958926941</v>
      </c>
      <c r="Q1273" t="s">
        <v>159</v>
      </c>
      <c r="S1273" t="s">
        <v>267</v>
      </c>
      <c r="T1273" t="s">
        <v>161</v>
      </c>
      <c r="U1273">
        <v>0.16103283242255848</v>
      </c>
      <c r="V1273" t="s">
        <v>159</v>
      </c>
    </row>
    <row r="1274" spans="9:22" x14ac:dyDescent="0.45">
      <c r="I1274" t="s">
        <v>182</v>
      </c>
      <c r="J1274" t="s">
        <v>287</v>
      </c>
      <c r="K1274">
        <v>2.3502789500008885E-2</v>
      </c>
      <c r="L1274" t="s">
        <v>159</v>
      </c>
      <c r="N1274" t="s">
        <v>225</v>
      </c>
      <c r="O1274" t="s">
        <v>287</v>
      </c>
      <c r="P1274">
        <v>2.295337059432144E-2</v>
      </c>
      <c r="Q1274" t="s">
        <v>159</v>
      </c>
      <c r="S1274" t="s">
        <v>267</v>
      </c>
      <c r="T1274" t="s">
        <v>287</v>
      </c>
      <c r="U1274">
        <v>2.0438078086032815E-2</v>
      </c>
      <c r="V1274" t="s">
        <v>159</v>
      </c>
    </row>
    <row r="1275" spans="9:22" x14ac:dyDescent="0.45">
      <c r="I1275" t="s">
        <v>182</v>
      </c>
      <c r="J1275" t="s">
        <v>288</v>
      </c>
      <c r="K1275">
        <v>1.1984681801644387E-2</v>
      </c>
      <c r="L1275" t="s">
        <v>159</v>
      </c>
      <c r="N1275" t="s">
        <v>225</v>
      </c>
      <c r="O1275" t="s">
        <v>288</v>
      </c>
      <c r="P1275">
        <v>2.3647063545289646E-2</v>
      </c>
      <c r="Q1275" t="s">
        <v>159</v>
      </c>
      <c r="S1275" t="s">
        <v>267</v>
      </c>
      <c r="T1275" t="s">
        <v>288</v>
      </c>
      <c r="U1275">
        <v>2.0488220993151809E-2</v>
      </c>
      <c r="V1275" t="s">
        <v>159</v>
      </c>
    </row>
    <row r="1276" spans="9:22" x14ac:dyDescent="0.45">
      <c r="I1276" t="s">
        <v>182</v>
      </c>
      <c r="J1276" t="s">
        <v>308</v>
      </c>
      <c r="K1276">
        <v>0</v>
      </c>
      <c r="L1276" t="s">
        <v>159</v>
      </c>
      <c r="N1276" t="s">
        <v>225</v>
      </c>
      <c r="O1276" t="s">
        <v>308</v>
      </c>
      <c r="P1276">
        <v>0.10514939953050695</v>
      </c>
      <c r="Q1276" t="s">
        <v>159</v>
      </c>
      <c r="S1276" t="s">
        <v>267</v>
      </c>
      <c r="T1276" t="s">
        <v>308</v>
      </c>
      <c r="U1276">
        <v>9.9550515580430848E-2</v>
      </c>
      <c r="V1276" t="s">
        <v>159</v>
      </c>
    </row>
    <row r="1277" spans="9:22" x14ac:dyDescent="0.45">
      <c r="I1277" t="s">
        <v>182</v>
      </c>
      <c r="J1277" t="s">
        <v>162</v>
      </c>
      <c r="K1277">
        <v>0</v>
      </c>
      <c r="L1277" t="s">
        <v>159</v>
      </c>
      <c r="N1277" t="s">
        <v>225</v>
      </c>
      <c r="O1277" t="s">
        <v>162</v>
      </c>
      <c r="P1277">
        <v>1.6950234342318911E-2</v>
      </c>
      <c r="Q1277" t="s">
        <v>159</v>
      </c>
      <c r="S1277" t="s">
        <v>267</v>
      </c>
      <c r="T1277" t="s">
        <v>162</v>
      </c>
      <c r="U1277">
        <v>2.4115905971878748E-2</v>
      </c>
      <c r="V1277" t="s">
        <v>159</v>
      </c>
    </row>
    <row r="1278" spans="9:22" x14ac:dyDescent="0.45">
      <c r="I1278" t="s">
        <v>182</v>
      </c>
      <c r="J1278" t="s">
        <v>163</v>
      </c>
      <c r="K1278">
        <v>2.5023238997760712E-3</v>
      </c>
      <c r="L1278" t="s">
        <v>159</v>
      </c>
      <c r="N1278" t="s">
        <v>225</v>
      </c>
      <c r="O1278" t="s">
        <v>163</v>
      </c>
      <c r="P1278">
        <v>2.2962279133207667E-3</v>
      </c>
      <c r="Q1278" t="s">
        <v>159</v>
      </c>
      <c r="S1278" t="s">
        <v>267</v>
      </c>
      <c r="T1278" t="s">
        <v>163</v>
      </c>
      <c r="U1278">
        <v>3.3343520681207222E-3</v>
      </c>
      <c r="V1278" t="s">
        <v>159</v>
      </c>
    </row>
    <row r="1279" spans="9:22" x14ac:dyDescent="0.45">
      <c r="I1279" t="s">
        <v>182</v>
      </c>
      <c r="J1279" t="s">
        <v>164</v>
      </c>
      <c r="K1279">
        <v>3.9280319240717385E-2</v>
      </c>
      <c r="L1279" t="s">
        <v>159</v>
      </c>
      <c r="N1279" t="s">
        <v>225</v>
      </c>
      <c r="O1279" t="s">
        <v>164</v>
      </c>
      <c r="P1279">
        <v>2.1977183382840264E-2</v>
      </c>
      <c r="Q1279" t="s">
        <v>159</v>
      </c>
      <c r="S1279" t="s">
        <v>267</v>
      </c>
      <c r="T1279" t="s">
        <v>164</v>
      </c>
      <c r="U1279">
        <v>2.9617884883303146E-2</v>
      </c>
      <c r="V1279" t="s">
        <v>159</v>
      </c>
    </row>
    <row r="1280" spans="9:22" x14ac:dyDescent="0.45">
      <c r="I1280" t="s">
        <v>182</v>
      </c>
      <c r="J1280" t="s">
        <v>289</v>
      </c>
      <c r="K1280">
        <v>0</v>
      </c>
      <c r="L1280" t="s">
        <v>159</v>
      </c>
      <c r="N1280" t="s">
        <v>225</v>
      </c>
      <c r="O1280" t="s">
        <v>289</v>
      </c>
      <c r="P1280">
        <v>3.2567564007862674E-3</v>
      </c>
      <c r="Q1280" t="s">
        <v>159</v>
      </c>
      <c r="S1280" t="s">
        <v>267</v>
      </c>
      <c r="T1280" t="s">
        <v>289</v>
      </c>
      <c r="U1280">
        <v>3.2978152995777089E-3</v>
      </c>
      <c r="V1280" t="s">
        <v>159</v>
      </c>
    </row>
    <row r="1281" spans="9:22" x14ac:dyDescent="0.45">
      <c r="I1281" t="s">
        <v>182</v>
      </c>
      <c r="J1281" t="s">
        <v>290</v>
      </c>
      <c r="K1281">
        <v>0</v>
      </c>
      <c r="L1281" t="s">
        <v>159</v>
      </c>
      <c r="N1281" t="s">
        <v>225</v>
      </c>
      <c r="O1281" t="s">
        <v>290</v>
      </c>
      <c r="P1281">
        <v>3.3077156032901328E-3</v>
      </c>
      <c r="Q1281" t="s">
        <v>159</v>
      </c>
      <c r="S1281" t="s">
        <v>267</v>
      </c>
      <c r="T1281" t="s">
        <v>290</v>
      </c>
      <c r="U1281">
        <v>3.3361631720996718E-3</v>
      </c>
      <c r="V1281" t="s">
        <v>159</v>
      </c>
    </row>
    <row r="1282" spans="9:22" x14ac:dyDescent="0.45">
      <c r="I1282" t="s">
        <v>182</v>
      </c>
      <c r="J1282" t="s">
        <v>309</v>
      </c>
      <c r="K1282">
        <v>0</v>
      </c>
      <c r="L1282" t="s">
        <v>159</v>
      </c>
      <c r="N1282" t="s">
        <v>225</v>
      </c>
      <c r="O1282" t="s">
        <v>309</v>
      </c>
      <c r="P1282">
        <v>1.4610829570560027E-2</v>
      </c>
      <c r="Q1282" t="s">
        <v>159</v>
      </c>
      <c r="S1282" t="s">
        <v>267</v>
      </c>
      <c r="T1282" t="s">
        <v>309</v>
      </c>
      <c r="U1282">
        <v>1.7219635536329658E-2</v>
      </c>
      <c r="V1282" t="s">
        <v>159</v>
      </c>
    </row>
    <row r="1283" spans="9:22" x14ac:dyDescent="0.45">
      <c r="I1283" t="s">
        <v>182</v>
      </c>
      <c r="J1283" t="s">
        <v>346</v>
      </c>
      <c r="K1283">
        <v>0</v>
      </c>
      <c r="L1283" t="s">
        <v>159</v>
      </c>
      <c r="N1283" t="s">
        <v>225</v>
      </c>
      <c r="O1283" t="s">
        <v>346</v>
      </c>
      <c r="P1283">
        <v>1.0615665058074334E-4</v>
      </c>
      <c r="Q1283" t="s">
        <v>159</v>
      </c>
      <c r="S1283" t="s">
        <v>267</v>
      </c>
      <c r="T1283" t="s">
        <v>346</v>
      </c>
      <c r="U1283">
        <v>1.3224807008040902E-4</v>
      </c>
      <c r="V1283" t="s">
        <v>159</v>
      </c>
    </row>
    <row r="1284" spans="9:22" x14ac:dyDescent="0.45">
      <c r="I1284" t="s">
        <v>182</v>
      </c>
      <c r="J1284" t="s">
        <v>347</v>
      </c>
      <c r="K1284">
        <v>0</v>
      </c>
      <c r="L1284" t="s">
        <v>159</v>
      </c>
      <c r="N1284" t="s">
        <v>225</v>
      </c>
      <c r="O1284" t="s">
        <v>347</v>
      </c>
      <c r="P1284">
        <v>9.1038738032784075E-5</v>
      </c>
      <c r="Q1284" t="s">
        <v>159</v>
      </c>
      <c r="S1284" t="s">
        <v>267</v>
      </c>
      <c r="T1284" t="s">
        <v>347</v>
      </c>
      <c r="U1284">
        <v>1.2209691300391014E-4</v>
      </c>
      <c r="V1284" t="s">
        <v>159</v>
      </c>
    </row>
    <row r="1285" spans="9:22" x14ac:dyDescent="0.45">
      <c r="I1285" t="s">
        <v>182</v>
      </c>
      <c r="J1285" t="s">
        <v>348</v>
      </c>
      <c r="K1285">
        <v>0</v>
      </c>
      <c r="L1285" t="s">
        <v>159</v>
      </c>
      <c r="N1285" t="s">
        <v>225</v>
      </c>
      <c r="O1285" t="s">
        <v>348</v>
      </c>
      <c r="P1285">
        <v>7.8696524919211024E-5</v>
      </c>
      <c r="Q1285" t="s">
        <v>159</v>
      </c>
      <c r="S1285" t="s">
        <v>267</v>
      </c>
      <c r="T1285" t="s">
        <v>348</v>
      </c>
      <c r="U1285">
        <v>1.0933924126222885E-4</v>
      </c>
      <c r="V1285" t="s">
        <v>159</v>
      </c>
    </row>
    <row r="1286" spans="9:22" x14ac:dyDescent="0.45">
      <c r="I1286" t="s">
        <v>182</v>
      </c>
      <c r="J1286" t="s">
        <v>349</v>
      </c>
      <c r="K1286">
        <v>0</v>
      </c>
      <c r="L1286" t="s">
        <v>159</v>
      </c>
      <c r="N1286" t="s">
        <v>225</v>
      </c>
      <c r="O1286" t="s">
        <v>349</v>
      </c>
      <c r="P1286">
        <v>6.3593938355530579E-5</v>
      </c>
      <c r="Q1286" t="s">
        <v>159</v>
      </c>
      <c r="S1286" t="s">
        <v>267</v>
      </c>
      <c r="T1286" t="s">
        <v>349</v>
      </c>
      <c r="U1286">
        <v>9.3647744461764987E-5</v>
      </c>
      <c r="V1286" t="s">
        <v>159</v>
      </c>
    </row>
    <row r="1287" spans="9:22" x14ac:dyDescent="0.45">
      <c r="I1287" t="s">
        <v>182</v>
      </c>
      <c r="J1287" t="s">
        <v>350</v>
      </c>
      <c r="K1287">
        <v>0</v>
      </c>
      <c r="L1287" t="s">
        <v>159</v>
      </c>
      <c r="N1287" t="s">
        <v>225</v>
      </c>
      <c r="O1287" t="s">
        <v>350</v>
      </c>
      <c r="P1287">
        <v>5.2690384196247352E-5</v>
      </c>
      <c r="Q1287" t="s">
        <v>159</v>
      </c>
      <c r="S1287" t="s">
        <v>267</v>
      </c>
      <c r="T1287" t="s">
        <v>350</v>
      </c>
      <c r="U1287">
        <v>8.5176927364563382E-5</v>
      </c>
      <c r="V1287" t="s">
        <v>159</v>
      </c>
    </row>
    <row r="1288" spans="9:22" x14ac:dyDescent="0.45">
      <c r="I1288" t="s">
        <v>182</v>
      </c>
      <c r="J1288" t="s">
        <v>351</v>
      </c>
      <c r="K1288">
        <v>0</v>
      </c>
      <c r="L1288" t="s">
        <v>159</v>
      </c>
      <c r="N1288" t="s">
        <v>225</v>
      </c>
      <c r="O1288" t="s">
        <v>351</v>
      </c>
      <c r="P1288">
        <v>4.5983453890590345E-5</v>
      </c>
      <c r="Q1288" t="s">
        <v>159</v>
      </c>
      <c r="S1288" t="s">
        <v>267</v>
      </c>
      <c r="T1288" t="s">
        <v>351</v>
      </c>
      <c r="U1288">
        <v>7.3522900691874672E-5</v>
      </c>
      <c r="V1288" t="s">
        <v>159</v>
      </c>
    </row>
    <row r="1289" spans="9:22" x14ac:dyDescent="0.45">
      <c r="I1289" t="s">
        <v>182</v>
      </c>
      <c r="J1289" t="s">
        <v>352</v>
      </c>
      <c r="K1289">
        <v>0</v>
      </c>
      <c r="L1289" t="s">
        <v>159</v>
      </c>
      <c r="N1289" t="s">
        <v>225</v>
      </c>
      <c r="O1289" t="s">
        <v>352</v>
      </c>
      <c r="P1289">
        <v>4.4924470846573392E-5</v>
      </c>
      <c r="Q1289" t="s">
        <v>159</v>
      </c>
      <c r="S1289" t="s">
        <v>267</v>
      </c>
      <c r="T1289" t="s">
        <v>352</v>
      </c>
      <c r="U1289">
        <v>6.5351355288483304E-5</v>
      </c>
      <c r="V1289" t="s">
        <v>159</v>
      </c>
    </row>
    <row r="1290" spans="9:22" x14ac:dyDescent="0.45">
      <c r="I1290" t="s">
        <v>182</v>
      </c>
      <c r="J1290" t="s">
        <v>353</v>
      </c>
      <c r="K1290">
        <v>8.5030100500935811E-5</v>
      </c>
      <c r="L1290" t="s">
        <v>159</v>
      </c>
      <c r="N1290" t="s">
        <v>225</v>
      </c>
      <c r="O1290" t="s">
        <v>353</v>
      </c>
      <c r="P1290">
        <v>4.8325277465004595E-5</v>
      </c>
      <c r="Q1290" t="s">
        <v>159</v>
      </c>
      <c r="S1290" t="s">
        <v>267</v>
      </c>
      <c r="T1290" t="s">
        <v>353</v>
      </c>
      <c r="U1290">
        <v>5.1278911856541751E-5</v>
      </c>
      <c r="V1290" t="s">
        <v>159</v>
      </c>
    </row>
    <row r="1291" spans="9:22" x14ac:dyDescent="0.45">
      <c r="I1291" t="s">
        <v>182</v>
      </c>
      <c r="J1291" t="s">
        <v>354</v>
      </c>
      <c r="K1291">
        <v>1.582558860796317E-4</v>
      </c>
      <c r="L1291" t="s">
        <v>159</v>
      </c>
      <c r="N1291" t="s">
        <v>225</v>
      </c>
      <c r="O1291" t="s">
        <v>354</v>
      </c>
      <c r="P1291">
        <v>5.1633424953726923E-5</v>
      </c>
      <c r="Q1291" t="s">
        <v>159</v>
      </c>
      <c r="S1291" t="s">
        <v>267</v>
      </c>
      <c r="T1291" t="s">
        <v>354</v>
      </c>
      <c r="U1291">
        <v>4.0038679446768635E-5</v>
      </c>
      <c r="V1291" t="s">
        <v>159</v>
      </c>
    </row>
    <row r="1292" spans="9:22" x14ac:dyDescent="0.45">
      <c r="I1292" t="s">
        <v>182</v>
      </c>
      <c r="J1292" t="s">
        <v>355</v>
      </c>
      <c r="K1292">
        <v>1.7513157832299564E-4</v>
      </c>
      <c r="L1292" t="s">
        <v>159</v>
      </c>
      <c r="N1292" t="s">
        <v>225</v>
      </c>
      <c r="O1292" t="s">
        <v>355</v>
      </c>
      <c r="P1292">
        <v>5.3049279615498188E-5</v>
      </c>
      <c r="Q1292" t="s">
        <v>159</v>
      </c>
      <c r="S1292" t="s">
        <v>267</v>
      </c>
      <c r="T1292" t="s">
        <v>355</v>
      </c>
      <c r="U1292">
        <v>3.3787692877739755E-5</v>
      </c>
      <c r="V1292" t="s">
        <v>159</v>
      </c>
    </row>
    <row r="1293" spans="9:22" x14ac:dyDescent="0.45">
      <c r="I1293" t="s">
        <v>182</v>
      </c>
      <c r="J1293" t="s">
        <v>356</v>
      </c>
      <c r="K1293">
        <v>1.6685027710372581E-4</v>
      </c>
      <c r="L1293" t="s">
        <v>159</v>
      </c>
      <c r="N1293" t="s">
        <v>225</v>
      </c>
      <c r="O1293" t="s">
        <v>356</v>
      </c>
      <c r="P1293">
        <v>7.3343649348961746E-5</v>
      </c>
      <c r="Q1293" t="s">
        <v>159</v>
      </c>
      <c r="S1293" t="s">
        <v>267</v>
      </c>
      <c r="T1293" t="s">
        <v>356</v>
      </c>
      <c r="U1293">
        <v>3.3674862345771745E-5</v>
      </c>
      <c r="V1293" t="s">
        <v>159</v>
      </c>
    </row>
    <row r="1294" spans="9:22" x14ac:dyDescent="0.45">
      <c r="I1294" t="s">
        <v>182</v>
      </c>
      <c r="J1294" t="s">
        <v>357</v>
      </c>
      <c r="K1294">
        <v>1.8949700971856366E-4</v>
      </c>
      <c r="L1294" t="s">
        <v>159</v>
      </c>
      <c r="N1294" t="s">
        <v>225</v>
      </c>
      <c r="O1294" t="s">
        <v>357</v>
      </c>
      <c r="P1294">
        <v>8.7118004818072849E-5</v>
      </c>
      <c r="Q1294" t="s">
        <v>159</v>
      </c>
      <c r="S1294" t="s">
        <v>267</v>
      </c>
      <c r="T1294" t="s">
        <v>357</v>
      </c>
      <c r="U1294">
        <v>3.4126729929091885E-5</v>
      </c>
      <c r="V1294" t="s">
        <v>159</v>
      </c>
    </row>
    <row r="1295" spans="9:22" x14ac:dyDescent="0.45">
      <c r="I1295" t="s">
        <v>182</v>
      </c>
      <c r="J1295" t="s">
        <v>358</v>
      </c>
      <c r="K1295">
        <v>2.3327300072540955E-4</v>
      </c>
      <c r="L1295" t="s">
        <v>159</v>
      </c>
      <c r="N1295" t="s">
        <v>225</v>
      </c>
      <c r="O1295" t="s">
        <v>358</v>
      </c>
      <c r="P1295">
        <v>8.4056064461437025E-5</v>
      </c>
      <c r="Q1295" t="s">
        <v>159</v>
      </c>
      <c r="S1295" t="s">
        <v>267</v>
      </c>
      <c r="T1295" t="s">
        <v>358</v>
      </c>
      <c r="U1295">
        <v>2.8869029468414834E-5</v>
      </c>
      <c r="V1295" t="s">
        <v>159</v>
      </c>
    </row>
    <row r="1296" spans="9:22" x14ac:dyDescent="0.45">
      <c r="I1296" t="s">
        <v>182</v>
      </c>
      <c r="J1296" t="s">
        <v>359</v>
      </c>
      <c r="K1296">
        <v>1.7914913452755585E-4</v>
      </c>
      <c r="L1296" t="s">
        <v>159</v>
      </c>
      <c r="N1296" t="s">
        <v>225</v>
      </c>
      <c r="O1296" t="s">
        <v>359</v>
      </c>
      <c r="P1296">
        <v>9.5459662926768447E-5</v>
      </c>
      <c r="Q1296" t="s">
        <v>159</v>
      </c>
      <c r="S1296" t="s">
        <v>267</v>
      </c>
      <c r="T1296" t="s">
        <v>359</v>
      </c>
      <c r="U1296">
        <v>2.7243338365913271E-5</v>
      </c>
      <c r="V1296" t="s">
        <v>159</v>
      </c>
    </row>
    <row r="1297" spans="9:22" x14ac:dyDescent="0.45">
      <c r="I1297" t="s">
        <v>182</v>
      </c>
      <c r="J1297" t="s">
        <v>360</v>
      </c>
      <c r="K1297">
        <v>1.6388644506493735E-4</v>
      </c>
      <c r="L1297" t="s">
        <v>159</v>
      </c>
      <c r="N1297" t="s">
        <v>225</v>
      </c>
      <c r="O1297" t="s">
        <v>360</v>
      </c>
      <c r="P1297">
        <v>1.1294012243969704E-4</v>
      </c>
      <c r="Q1297" t="s">
        <v>159</v>
      </c>
      <c r="S1297" t="s">
        <v>267</v>
      </c>
      <c r="T1297" t="s">
        <v>360</v>
      </c>
      <c r="U1297">
        <v>2.5713020341786065E-5</v>
      </c>
      <c r="V1297" t="s">
        <v>159</v>
      </c>
    </row>
    <row r="1298" spans="9:22" x14ac:dyDescent="0.45">
      <c r="I1298" t="s">
        <v>182</v>
      </c>
      <c r="J1298" t="s">
        <v>361</v>
      </c>
      <c r="K1298">
        <v>1.7835552220702133E-4</v>
      </c>
      <c r="L1298" t="s">
        <v>159</v>
      </c>
      <c r="N1298" t="s">
        <v>225</v>
      </c>
      <c r="O1298" t="s">
        <v>361</v>
      </c>
      <c r="P1298">
        <v>1.2518229790142534E-4</v>
      </c>
      <c r="Q1298" t="s">
        <v>159</v>
      </c>
      <c r="S1298" t="s">
        <v>267</v>
      </c>
      <c r="T1298" t="s">
        <v>361</v>
      </c>
      <c r="U1298">
        <v>2.6652569696328206E-5</v>
      </c>
      <c r="V1298" t="s">
        <v>159</v>
      </c>
    </row>
    <row r="1299" spans="9:22" x14ac:dyDescent="0.45">
      <c r="I1299" t="s">
        <v>182</v>
      </c>
      <c r="J1299" t="s">
        <v>362</v>
      </c>
      <c r="K1299">
        <v>1.7049430991760239E-4</v>
      </c>
      <c r="L1299" t="s">
        <v>159</v>
      </c>
      <c r="N1299" t="s">
        <v>225</v>
      </c>
      <c r="O1299" t="s">
        <v>362</v>
      </c>
      <c r="P1299">
        <v>1.3265205093696201E-4</v>
      </c>
      <c r="Q1299" t="s">
        <v>159</v>
      </c>
      <c r="S1299" t="s">
        <v>267</v>
      </c>
      <c r="T1299" t="s">
        <v>362</v>
      </c>
      <c r="U1299">
        <v>2.5066510217840328E-5</v>
      </c>
      <c r="V1299" t="s">
        <v>159</v>
      </c>
    </row>
    <row r="1300" spans="9:22" x14ac:dyDescent="0.45">
      <c r="I1300" t="s">
        <v>182</v>
      </c>
      <c r="J1300" t="s">
        <v>363</v>
      </c>
      <c r="K1300">
        <v>0</v>
      </c>
      <c r="L1300" t="s">
        <v>159</v>
      </c>
      <c r="N1300" t="s">
        <v>225</v>
      </c>
      <c r="O1300" t="s">
        <v>363</v>
      </c>
      <c r="P1300">
        <v>1.3977361681617571E-4</v>
      </c>
      <c r="Q1300" t="s">
        <v>159</v>
      </c>
      <c r="S1300" t="s">
        <v>267</v>
      </c>
      <c r="T1300" t="s">
        <v>363</v>
      </c>
      <c r="U1300">
        <v>2.2702694668714188E-5</v>
      </c>
      <c r="V1300" t="s">
        <v>159</v>
      </c>
    </row>
    <row r="1301" spans="9:22" x14ac:dyDescent="0.45">
      <c r="I1301" t="s">
        <v>182</v>
      </c>
      <c r="J1301" t="s">
        <v>364</v>
      </c>
      <c r="K1301">
        <v>0</v>
      </c>
      <c r="L1301" t="s">
        <v>159</v>
      </c>
      <c r="N1301" t="s">
        <v>225</v>
      </c>
      <c r="O1301" t="s">
        <v>364</v>
      </c>
      <c r="P1301">
        <v>1.3599364916557112E-4</v>
      </c>
      <c r="Q1301" t="s">
        <v>159</v>
      </c>
      <c r="S1301" t="s">
        <v>267</v>
      </c>
      <c r="T1301" t="s">
        <v>364</v>
      </c>
      <c r="U1301">
        <v>2.0744970429099793E-5</v>
      </c>
      <c r="V1301" t="s">
        <v>159</v>
      </c>
    </row>
    <row r="1302" spans="9:22" x14ac:dyDescent="0.45">
      <c r="I1302" t="s">
        <v>182</v>
      </c>
      <c r="J1302" t="s">
        <v>365</v>
      </c>
      <c r="K1302">
        <v>0</v>
      </c>
      <c r="L1302" t="s">
        <v>159</v>
      </c>
      <c r="N1302" t="s">
        <v>225</v>
      </c>
      <c r="O1302" t="s">
        <v>365</v>
      </c>
      <c r="P1302">
        <v>1.2619743652241442E-4</v>
      </c>
      <c r="Q1302" t="s">
        <v>159</v>
      </c>
      <c r="S1302" t="s">
        <v>267</v>
      </c>
      <c r="T1302" t="s">
        <v>365</v>
      </c>
      <c r="U1302">
        <v>1.6834500874304877E-5</v>
      </c>
      <c r="V1302" t="s">
        <v>159</v>
      </c>
    </row>
    <row r="1303" spans="9:22" x14ac:dyDescent="0.45">
      <c r="I1303" t="s">
        <v>182</v>
      </c>
      <c r="J1303" t="s">
        <v>366</v>
      </c>
      <c r="K1303">
        <v>0</v>
      </c>
      <c r="L1303" t="s">
        <v>159</v>
      </c>
      <c r="N1303" t="s">
        <v>225</v>
      </c>
      <c r="O1303" t="s">
        <v>366</v>
      </c>
      <c r="P1303">
        <v>1.1768688138464254E-4</v>
      </c>
      <c r="Q1303" t="s">
        <v>159</v>
      </c>
      <c r="S1303" t="s">
        <v>267</v>
      </c>
      <c r="T1303" t="s">
        <v>366</v>
      </c>
      <c r="U1303">
        <v>1.4234375101177654E-5</v>
      </c>
      <c r="V1303" t="s">
        <v>159</v>
      </c>
    </row>
    <row r="1304" spans="9:22" x14ac:dyDescent="0.45">
      <c r="I1304" t="s">
        <v>182</v>
      </c>
      <c r="J1304" t="s">
        <v>367</v>
      </c>
      <c r="K1304">
        <v>0</v>
      </c>
      <c r="L1304" t="s">
        <v>159</v>
      </c>
      <c r="N1304" t="s">
        <v>225</v>
      </c>
      <c r="O1304" t="s">
        <v>367</v>
      </c>
      <c r="P1304">
        <v>1.0787087453217904E-4</v>
      </c>
      <c r="Q1304" t="s">
        <v>159</v>
      </c>
      <c r="S1304" t="s">
        <v>267</v>
      </c>
      <c r="T1304" t="s">
        <v>367</v>
      </c>
      <c r="U1304">
        <v>1.0686158444363773E-5</v>
      </c>
      <c r="V1304" t="s">
        <v>159</v>
      </c>
    </row>
    <row r="1305" spans="9:22" x14ac:dyDescent="0.45">
      <c r="I1305" t="s">
        <v>182</v>
      </c>
      <c r="J1305" t="s">
        <v>368</v>
      </c>
      <c r="K1305">
        <v>0</v>
      </c>
      <c r="L1305" t="s">
        <v>159</v>
      </c>
      <c r="N1305" t="s">
        <v>225</v>
      </c>
      <c r="O1305" t="s">
        <v>368</v>
      </c>
      <c r="P1305">
        <v>9.89035159344228E-5</v>
      </c>
      <c r="Q1305" t="s">
        <v>159</v>
      </c>
      <c r="S1305" t="s">
        <v>267</v>
      </c>
      <c r="T1305" t="s">
        <v>368</v>
      </c>
      <c r="U1305">
        <v>8.3766881452628973E-6</v>
      </c>
      <c r="V1305" t="s">
        <v>159</v>
      </c>
    </row>
    <row r="1306" spans="9:22" x14ac:dyDescent="0.45">
      <c r="I1306" t="s">
        <v>182</v>
      </c>
      <c r="J1306" t="s">
        <v>369</v>
      </c>
      <c r="K1306">
        <v>0</v>
      </c>
      <c r="L1306" t="s">
        <v>159</v>
      </c>
      <c r="N1306" t="s">
        <v>225</v>
      </c>
      <c r="O1306" t="s">
        <v>369</v>
      </c>
      <c r="P1306">
        <v>8.7878641471885038E-5</v>
      </c>
      <c r="Q1306" t="s">
        <v>159</v>
      </c>
      <c r="S1306" t="s">
        <v>267</v>
      </c>
      <c r="T1306" t="s">
        <v>369</v>
      </c>
      <c r="U1306">
        <v>2.2334120372881945E-6</v>
      </c>
      <c r="V1306" t="s">
        <v>159</v>
      </c>
    </row>
    <row r="1307" spans="9:22" x14ac:dyDescent="0.45">
      <c r="I1307" t="s">
        <v>182</v>
      </c>
      <c r="J1307" t="s">
        <v>165</v>
      </c>
      <c r="K1307">
        <v>0</v>
      </c>
      <c r="L1307" t="s">
        <v>159</v>
      </c>
      <c r="N1307" t="s">
        <v>225</v>
      </c>
      <c r="O1307" t="s">
        <v>165</v>
      </c>
      <c r="P1307">
        <v>2.1462882097689925E-2</v>
      </c>
      <c r="Q1307" t="s">
        <v>159</v>
      </c>
      <c r="S1307" t="s">
        <v>267</v>
      </c>
      <c r="T1307" t="s">
        <v>165</v>
      </c>
      <c r="U1307">
        <v>2.7848947500259322E-2</v>
      </c>
      <c r="V1307" t="s">
        <v>159</v>
      </c>
    </row>
    <row r="1308" spans="9:22" x14ac:dyDescent="0.45">
      <c r="I1308" t="s">
        <v>182</v>
      </c>
      <c r="J1308" t="s">
        <v>166</v>
      </c>
      <c r="K1308">
        <v>4.5671977120786073E-3</v>
      </c>
      <c r="L1308" t="s">
        <v>159</v>
      </c>
      <c r="N1308" t="s">
        <v>225</v>
      </c>
      <c r="O1308" t="s">
        <v>166</v>
      </c>
      <c r="P1308">
        <v>2.9681003692130364E-3</v>
      </c>
      <c r="Q1308" t="s">
        <v>159</v>
      </c>
      <c r="S1308" t="s">
        <v>267</v>
      </c>
      <c r="T1308" t="s">
        <v>166</v>
      </c>
      <c r="U1308">
        <v>4.1295453884704261E-3</v>
      </c>
      <c r="V1308" t="s">
        <v>159</v>
      </c>
    </row>
    <row r="1309" spans="9:22" x14ac:dyDescent="0.45">
      <c r="I1309" t="s">
        <v>182</v>
      </c>
      <c r="J1309" t="s">
        <v>167</v>
      </c>
      <c r="K1309">
        <v>5.6596631483674373E-2</v>
      </c>
      <c r="L1309" t="s">
        <v>159</v>
      </c>
      <c r="N1309" t="s">
        <v>225</v>
      </c>
      <c r="O1309" t="s">
        <v>167</v>
      </c>
      <c r="P1309">
        <v>2.7113198651515884E-2</v>
      </c>
      <c r="Q1309" t="s">
        <v>159</v>
      </c>
      <c r="S1309" t="s">
        <v>267</v>
      </c>
      <c r="T1309" t="s">
        <v>167</v>
      </c>
      <c r="U1309">
        <v>3.4732915639587261E-2</v>
      </c>
      <c r="V1309" t="s">
        <v>159</v>
      </c>
    </row>
    <row r="1310" spans="9:22" x14ac:dyDescent="0.45">
      <c r="I1310" t="s">
        <v>182</v>
      </c>
      <c r="J1310" t="s">
        <v>291</v>
      </c>
      <c r="K1310">
        <v>3.2756335696657382E-3</v>
      </c>
      <c r="L1310" t="s">
        <v>159</v>
      </c>
      <c r="N1310" t="s">
        <v>225</v>
      </c>
      <c r="O1310" t="s">
        <v>291</v>
      </c>
      <c r="P1310">
        <v>4.507252026133118E-3</v>
      </c>
      <c r="Q1310" t="s">
        <v>159</v>
      </c>
      <c r="S1310" t="s">
        <v>267</v>
      </c>
      <c r="T1310" t="s">
        <v>291</v>
      </c>
      <c r="U1310">
        <v>3.8182867520307889E-3</v>
      </c>
      <c r="V1310" t="s">
        <v>159</v>
      </c>
    </row>
    <row r="1311" spans="9:22" x14ac:dyDescent="0.45">
      <c r="I1311" t="s">
        <v>182</v>
      </c>
      <c r="J1311" t="s">
        <v>292</v>
      </c>
      <c r="K1311">
        <v>0</v>
      </c>
      <c r="L1311" t="s">
        <v>159</v>
      </c>
      <c r="N1311" t="s">
        <v>225</v>
      </c>
      <c r="O1311" t="s">
        <v>292</v>
      </c>
      <c r="P1311">
        <v>4.7518544234192422E-3</v>
      </c>
      <c r="Q1311" t="s">
        <v>159</v>
      </c>
      <c r="S1311" t="s">
        <v>267</v>
      </c>
      <c r="T1311" t="s">
        <v>292</v>
      </c>
      <c r="U1311">
        <v>3.8134619297943654E-3</v>
      </c>
      <c r="V1311" t="s">
        <v>159</v>
      </c>
    </row>
    <row r="1312" spans="9:22" x14ac:dyDescent="0.45">
      <c r="I1312" t="s">
        <v>182</v>
      </c>
      <c r="J1312" t="s">
        <v>310</v>
      </c>
      <c r="K1312">
        <v>0</v>
      </c>
      <c r="L1312" t="s">
        <v>159</v>
      </c>
      <c r="N1312" t="s">
        <v>225</v>
      </c>
      <c r="O1312" t="s">
        <v>310</v>
      </c>
      <c r="P1312">
        <v>2.0904654040621664E-2</v>
      </c>
      <c r="Q1312" t="s">
        <v>159</v>
      </c>
      <c r="S1312" t="s">
        <v>267</v>
      </c>
      <c r="T1312" t="s">
        <v>310</v>
      </c>
      <c r="U1312">
        <v>1.9454216880783411E-2</v>
      </c>
      <c r="V1312" t="s">
        <v>159</v>
      </c>
    </row>
    <row r="1313" spans="9:22" x14ac:dyDescent="0.45">
      <c r="I1313" t="s">
        <v>182</v>
      </c>
      <c r="J1313" t="s">
        <v>293</v>
      </c>
      <c r="K1313">
        <v>0</v>
      </c>
      <c r="L1313" t="s">
        <v>159</v>
      </c>
      <c r="N1313" t="s">
        <v>225</v>
      </c>
      <c r="O1313" t="s">
        <v>293</v>
      </c>
      <c r="P1313">
        <v>8.8498595165443627E-3</v>
      </c>
      <c r="Q1313" t="s">
        <v>159</v>
      </c>
      <c r="S1313" t="s">
        <v>267</v>
      </c>
      <c r="T1313" t="s">
        <v>293</v>
      </c>
      <c r="U1313">
        <v>3.3211354002650119E-3</v>
      </c>
      <c r="V1313" t="s">
        <v>159</v>
      </c>
    </row>
    <row r="1314" spans="9:22" x14ac:dyDescent="0.45">
      <c r="I1314" t="s">
        <v>182</v>
      </c>
      <c r="J1314" t="s">
        <v>294</v>
      </c>
      <c r="K1314">
        <v>1.3659277043725979E-3</v>
      </c>
      <c r="L1314" t="s">
        <v>159</v>
      </c>
      <c r="N1314" t="s">
        <v>225</v>
      </c>
      <c r="O1314" t="s">
        <v>294</v>
      </c>
      <c r="P1314">
        <v>1.2477262142093638E-3</v>
      </c>
      <c r="Q1314" t="s">
        <v>159</v>
      </c>
      <c r="S1314" t="s">
        <v>267</v>
      </c>
      <c r="T1314" t="s">
        <v>294</v>
      </c>
      <c r="U1314">
        <v>4.5982122127516704E-4</v>
      </c>
      <c r="V1314" t="s">
        <v>159</v>
      </c>
    </row>
    <row r="1315" spans="9:22" x14ac:dyDescent="0.45">
      <c r="I1315" t="s">
        <v>182</v>
      </c>
      <c r="J1315" t="s">
        <v>295</v>
      </c>
      <c r="K1315">
        <v>1.5921467073225431E-2</v>
      </c>
      <c r="L1315" t="s">
        <v>159</v>
      </c>
      <c r="N1315" t="s">
        <v>225</v>
      </c>
      <c r="O1315" t="s">
        <v>295</v>
      </c>
      <c r="P1315">
        <v>1.061741570996666E-2</v>
      </c>
      <c r="Q1315" t="s">
        <v>159</v>
      </c>
      <c r="S1315" t="s">
        <v>267</v>
      </c>
      <c r="T1315" t="s">
        <v>295</v>
      </c>
      <c r="U1315">
        <v>5.6450272877217756E-3</v>
      </c>
      <c r="V1315" t="s">
        <v>159</v>
      </c>
    </row>
    <row r="1316" spans="9:22" x14ac:dyDescent="0.45">
      <c r="I1316" t="s">
        <v>182</v>
      </c>
      <c r="J1316" t="s">
        <v>296</v>
      </c>
      <c r="K1316">
        <v>1.075965580239252E-3</v>
      </c>
      <c r="L1316" t="s">
        <v>159</v>
      </c>
      <c r="N1316" t="s">
        <v>225</v>
      </c>
      <c r="O1316" t="s">
        <v>296</v>
      </c>
      <c r="P1316">
        <v>1.5105909849801916E-3</v>
      </c>
      <c r="Q1316" t="s">
        <v>159</v>
      </c>
      <c r="S1316" t="s">
        <v>267</v>
      </c>
      <c r="T1316" t="s">
        <v>296</v>
      </c>
      <c r="U1316">
        <v>7.6104571726711171E-4</v>
      </c>
      <c r="V1316" t="s">
        <v>159</v>
      </c>
    </row>
    <row r="1317" spans="9:22" x14ac:dyDescent="0.45">
      <c r="I1317" t="s">
        <v>182</v>
      </c>
      <c r="J1317" t="s">
        <v>297</v>
      </c>
      <c r="K1317">
        <v>0</v>
      </c>
      <c r="L1317" t="s">
        <v>159</v>
      </c>
      <c r="N1317" t="s">
        <v>225</v>
      </c>
      <c r="O1317" t="s">
        <v>297</v>
      </c>
      <c r="P1317">
        <v>1.5561220636251618E-3</v>
      </c>
      <c r="Q1317" t="s">
        <v>159</v>
      </c>
      <c r="S1317" t="s">
        <v>267</v>
      </c>
      <c r="T1317" t="s">
        <v>297</v>
      </c>
      <c r="U1317">
        <v>7.5016378130165562E-4</v>
      </c>
      <c r="V1317" t="s">
        <v>159</v>
      </c>
    </row>
    <row r="1318" spans="9:22" x14ac:dyDescent="0.45">
      <c r="I1318" t="s">
        <v>182</v>
      </c>
      <c r="J1318" t="s">
        <v>311</v>
      </c>
      <c r="K1318">
        <v>0</v>
      </c>
      <c r="L1318" t="s">
        <v>159</v>
      </c>
      <c r="N1318" t="s">
        <v>225</v>
      </c>
      <c r="O1318" t="s">
        <v>311</v>
      </c>
      <c r="P1318">
        <v>6.937101009656472E-3</v>
      </c>
      <c r="Q1318" t="s">
        <v>159</v>
      </c>
      <c r="S1318" t="s">
        <v>267</v>
      </c>
      <c r="T1318" t="s">
        <v>311</v>
      </c>
      <c r="U1318">
        <v>3.4390302757760067E-3</v>
      </c>
      <c r="V1318" t="s">
        <v>159</v>
      </c>
    </row>
    <row r="1319" spans="9:22" x14ac:dyDescent="0.45">
      <c r="I1319" t="s">
        <v>182</v>
      </c>
      <c r="J1319" t="s">
        <v>298</v>
      </c>
      <c r="K1319">
        <v>1.8321799436044384E-2</v>
      </c>
      <c r="L1319" t="s">
        <v>159</v>
      </c>
      <c r="N1319" t="s">
        <v>225</v>
      </c>
      <c r="O1319" t="s">
        <v>298</v>
      </c>
      <c r="P1319">
        <v>7.8781766864520514E-2</v>
      </c>
      <c r="Q1319" t="s">
        <v>159</v>
      </c>
      <c r="S1319" t="s">
        <v>267</v>
      </c>
      <c r="T1319" t="s">
        <v>298</v>
      </c>
      <c r="U1319">
        <v>7.7213630412259329E-2</v>
      </c>
      <c r="V1319" t="s">
        <v>159</v>
      </c>
    </row>
    <row r="1320" spans="9:22" x14ac:dyDescent="0.45">
      <c r="I1320" t="s">
        <v>182</v>
      </c>
      <c r="J1320" t="s">
        <v>299</v>
      </c>
      <c r="K1320">
        <v>2.2478879488667607E-2</v>
      </c>
      <c r="L1320" t="s">
        <v>159</v>
      </c>
      <c r="N1320" t="s">
        <v>225</v>
      </c>
      <c r="O1320" t="s">
        <v>299</v>
      </c>
      <c r="P1320">
        <v>1.0196307092936851E-2</v>
      </c>
      <c r="Q1320" t="s">
        <v>159</v>
      </c>
      <c r="S1320" t="s">
        <v>267</v>
      </c>
      <c r="T1320" t="s">
        <v>299</v>
      </c>
      <c r="U1320">
        <v>1.105210502637068E-2</v>
      </c>
      <c r="V1320" t="s">
        <v>159</v>
      </c>
    </row>
    <row r="1321" spans="9:22" x14ac:dyDescent="0.45">
      <c r="I1321" t="s">
        <v>182</v>
      </c>
      <c r="J1321" t="s">
        <v>300</v>
      </c>
      <c r="K1321">
        <v>0.24845027223690352</v>
      </c>
      <c r="L1321" t="s">
        <v>159</v>
      </c>
      <c r="N1321" t="s">
        <v>225</v>
      </c>
      <c r="O1321" t="s">
        <v>300</v>
      </c>
      <c r="P1321">
        <v>0.10991251778210956</v>
      </c>
      <c r="Q1321" t="s">
        <v>159</v>
      </c>
      <c r="S1321" t="s">
        <v>267</v>
      </c>
      <c r="T1321" t="s">
        <v>300</v>
      </c>
      <c r="U1321">
        <v>0.10023542451697301</v>
      </c>
      <c r="V1321" t="s">
        <v>159</v>
      </c>
    </row>
    <row r="1322" spans="9:22" x14ac:dyDescent="0.45">
      <c r="I1322" t="s">
        <v>182</v>
      </c>
      <c r="J1322" t="s">
        <v>301</v>
      </c>
      <c r="K1322">
        <v>1.7851025385849584E-2</v>
      </c>
      <c r="L1322" t="s">
        <v>159</v>
      </c>
      <c r="N1322" t="s">
        <v>225</v>
      </c>
      <c r="O1322" t="s">
        <v>301</v>
      </c>
      <c r="P1322">
        <v>1.5959704117695366E-2</v>
      </c>
      <c r="Q1322" t="s">
        <v>159</v>
      </c>
      <c r="S1322" t="s">
        <v>267</v>
      </c>
      <c r="T1322" t="s">
        <v>301</v>
      </c>
      <c r="U1322">
        <v>1.2256530815088077E-2</v>
      </c>
      <c r="V1322" t="s">
        <v>159</v>
      </c>
    </row>
    <row r="1323" spans="9:22" x14ac:dyDescent="0.45">
      <c r="I1323" t="s">
        <v>182</v>
      </c>
      <c r="J1323" t="s">
        <v>302</v>
      </c>
      <c r="K1323">
        <v>4.9493527143602807E-3</v>
      </c>
      <c r="L1323" t="s">
        <v>159</v>
      </c>
      <c r="N1323" t="s">
        <v>225</v>
      </c>
      <c r="O1323" t="s">
        <v>302</v>
      </c>
      <c r="P1323">
        <v>1.6410282243493453E-2</v>
      </c>
      <c r="Q1323" t="s">
        <v>159</v>
      </c>
      <c r="S1323" t="s">
        <v>267</v>
      </c>
      <c r="T1323" t="s">
        <v>302</v>
      </c>
      <c r="U1323">
        <v>1.2249752943731722E-2</v>
      </c>
      <c r="V1323" t="s">
        <v>159</v>
      </c>
    </row>
    <row r="1324" spans="9:22" x14ac:dyDescent="0.45">
      <c r="I1324" t="s">
        <v>182</v>
      </c>
      <c r="J1324" t="s">
        <v>312</v>
      </c>
      <c r="K1324">
        <v>0</v>
      </c>
      <c r="L1324" t="s">
        <v>159</v>
      </c>
      <c r="N1324" t="s">
        <v>225</v>
      </c>
      <c r="O1324" t="s">
        <v>312</v>
      </c>
      <c r="P1324">
        <v>7.2861709957461523E-2</v>
      </c>
      <c r="Q1324" t="s">
        <v>159</v>
      </c>
      <c r="S1324" t="s">
        <v>267</v>
      </c>
      <c r="T1324" t="s">
        <v>312</v>
      </c>
      <c r="U1324">
        <v>5.8058911322609957E-2</v>
      </c>
      <c r="V1324" t="s">
        <v>159</v>
      </c>
    </row>
    <row r="1325" spans="9:22" x14ac:dyDescent="0.45">
      <c r="I1325" t="s">
        <v>182</v>
      </c>
      <c r="J1325" t="s">
        <v>397</v>
      </c>
      <c r="K1325">
        <v>0</v>
      </c>
      <c r="L1325" t="s">
        <v>159</v>
      </c>
      <c r="N1325" t="s">
        <v>225</v>
      </c>
      <c r="O1325" t="s">
        <v>397</v>
      </c>
      <c r="P1325">
        <v>3.7855261139091521E-5</v>
      </c>
      <c r="Q1325" t="s">
        <v>159</v>
      </c>
      <c r="S1325" t="s">
        <v>267</v>
      </c>
      <c r="T1325" t="s">
        <v>397</v>
      </c>
      <c r="U1325">
        <v>1.4201443695693622E-4</v>
      </c>
      <c r="V1325" t="s">
        <v>159</v>
      </c>
    </row>
    <row r="1326" spans="9:22" x14ac:dyDescent="0.45">
      <c r="I1326" t="s">
        <v>182</v>
      </c>
      <c r="J1326" t="s">
        <v>398</v>
      </c>
      <c r="K1326">
        <v>0</v>
      </c>
      <c r="L1326" t="s">
        <v>159</v>
      </c>
      <c r="N1326" t="s">
        <v>225</v>
      </c>
      <c r="O1326" t="s">
        <v>398</v>
      </c>
      <c r="P1326">
        <v>2.8443864175265752E-5</v>
      </c>
      <c r="Q1326" t="s">
        <v>159</v>
      </c>
      <c r="S1326" t="s">
        <v>267</v>
      </c>
      <c r="T1326" t="s">
        <v>398</v>
      </c>
      <c r="U1326">
        <v>1.4047448855837512E-4</v>
      </c>
      <c r="V1326" t="s">
        <v>159</v>
      </c>
    </row>
    <row r="1327" spans="9:22" x14ac:dyDescent="0.45">
      <c r="I1327" t="s">
        <v>182</v>
      </c>
      <c r="J1327" t="s">
        <v>399</v>
      </c>
      <c r="K1327">
        <v>0</v>
      </c>
      <c r="L1327" t="s">
        <v>159</v>
      </c>
      <c r="N1327" t="s">
        <v>225</v>
      </c>
      <c r="O1327" t="s">
        <v>399</v>
      </c>
      <c r="P1327">
        <v>1.7982946189688447E-5</v>
      </c>
      <c r="Q1327" t="s">
        <v>159</v>
      </c>
      <c r="S1327" t="s">
        <v>267</v>
      </c>
      <c r="T1327" t="s">
        <v>399</v>
      </c>
      <c r="U1327">
        <v>1.5023254401799087E-4</v>
      </c>
      <c r="V1327" t="s">
        <v>159</v>
      </c>
    </row>
    <row r="1328" spans="9:22" x14ac:dyDescent="0.45">
      <c r="I1328" t="s">
        <v>182</v>
      </c>
      <c r="J1328" t="s">
        <v>400</v>
      </c>
      <c r="K1328">
        <v>0</v>
      </c>
      <c r="L1328" t="s">
        <v>159</v>
      </c>
      <c r="N1328" t="s">
        <v>225</v>
      </c>
      <c r="O1328" t="s">
        <v>400</v>
      </c>
      <c r="P1328">
        <v>1.1027875341631701E-5</v>
      </c>
      <c r="Q1328" t="s">
        <v>159</v>
      </c>
      <c r="S1328" t="s">
        <v>267</v>
      </c>
      <c r="T1328" t="s">
        <v>400</v>
      </c>
      <c r="U1328">
        <v>1.6783753770644274E-4</v>
      </c>
      <c r="V1328" t="s">
        <v>159</v>
      </c>
    </row>
    <row r="1329" spans="9:22" x14ac:dyDescent="0.45">
      <c r="I1329" t="s">
        <v>182</v>
      </c>
      <c r="J1329" t="s">
        <v>401</v>
      </c>
      <c r="K1329">
        <v>0</v>
      </c>
      <c r="L1329" t="s">
        <v>159</v>
      </c>
      <c r="N1329" t="s">
        <v>225</v>
      </c>
      <c r="O1329" t="s">
        <v>401</v>
      </c>
      <c r="P1329">
        <v>8.0120171747114843E-6</v>
      </c>
      <c r="Q1329" t="s">
        <v>159</v>
      </c>
      <c r="S1329" t="s">
        <v>267</v>
      </c>
      <c r="T1329" t="s">
        <v>401</v>
      </c>
      <c r="U1329">
        <v>1.7306674670236342E-4</v>
      </c>
      <c r="V1329" t="s">
        <v>159</v>
      </c>
    </row>
    <row r="1330" spans="9:22" x14ac:dyDescent="0.45">
      <c r="I1330" t="s">
        <v>182</v>
      </c>
      <c r="J1330" t="s">
        <v>402</v>
      </c>
      <c r="K1330">
        <v>0</v>
      </c>
      <c r="L1330" t="s">
        <v>159</v>
      </c>
      <c r="N1330" t="s">
        <v>225</v>
      </c>
      <c r="O1330" t="s">
        <v>402</v>
      </c>
      <c r="P1330">
        <v>6.6463925313463413E-6</v>
      </c>
      <c r="Q1330" t="s">
        <v>159</v>
      </c>
      <c r="S1330" t="s">
        <v>267</v>
      </c>
      <c r="T1330" t="s">
        <v>402</v>
      </c>
      <c r="U1330">
        <v>1.7395805634284171E-4</v>
      </c>
      <c r="V1330" t="s">
        <v>159</v>
      </c>
    </row>
    <row r="1331" spans="9:22" x14ac:dyDescent="0.45">
      <c r="I1331" t="s">
        <v>182</v>
      </c>
      <c r="J1331" t="s">
        <v>403</v>
      </c>
      <c r="K1331">
        <v>1.8840884257239886E-4</v>
      </c>
      <c r="L1331" t="s">
        <v>159</v>
      </c>
      <c r="N1331" t="s">
        <v>225</v>
      </c>
      <c r="O1331" t="s">
        <v>403</v>
      </c>
      <c r="P1331">
        <v>6.2011130550659714E-6</v>
      </c>
      <c r="Q1331" t="s">
        <v>159</v>
      </c>
      <c r="S1331" t="s">
        <v>267</v>
      </c>
      <c r="T1331" t="s">
        <v>403</v>
      </c>
      <c r="U1331">
        <v>1.6869336082169038E-4</v>
      </c>
      <c r="V1331" t="s">
        <v>159</v>
      </c>
    </row>
    <row r="1332" spans="9:22" x14ac:dyDescent="0.45">
      <c r="I1332" t="s">
        <v>182</v>
      </c>
      <c r="J1332" t="s">
        <v>404</v>
      </c>
      <c r="K1332">
        <v>2.5336545414560141E-4</v>
      </c>
      <c r="L1332" t="s">
        <v>159</v>
      </c>
      <c r="N1332" t="s">
        <v>225</v>
      </c>
      <c r="O1332" t="s">
        <v>404</v>
      </c>
      <c r="P1332">
        <v>3.7414387919159489E-6</v>
      </c>
      <c r="Q1332" t="s">
        <v>159</v>
      </c>
      <c r="S1332" t="s">
        <v>267</v>
      </c>
      <c r="T1332" t="s">
        <v>404</v>
      </c>
      <c r="U1332">
        <v>1.6337121700341873E-4</v>
      </c>
      <c r="V1332" t="s">
        <v>159</v>
      </c>
    </row>
    <row r="1333" spans="9:22" x14ac:dyDescent="0.45">
      <c r="I1333" t="s">
        <v>182</v>
      </c>
      <c r="J1333" t="s">
        <v>405</v>
      </c>
      <c r="K1333">
        <v>3.0230140296074029E-4</v>
      </c>
      <c r="L1333" t="s">
        <v>159</v>
      </c>
      <c r="N1333" t="s">
        <v>225</v>
      </c>
      <c r="O1333" t="s">
        <v>405</v>
      </c>
      <c r="P1333">
        <v>2.7903663580880264E-6</v>
      </c>
      <c r="Q1333" t="s">
        <v>159</v>
      </c>
      <c r="S1333" t="s">
        <v>267</v>
      </c>
      <c r="T1333" t="s">
        <v>405</v>
      </c>
      <c r="U1333">
        <v>1.5715758714810791E-4</v>
      </c>
      <c r="V1333" t="s">
        <v>159</v>
      </c>
    </row>
    <row r="1334" spans="9:22" x14ac:dyDescent="0.45">
      <c r="I1334" t="s">
        <v>182</v>
      </c>
      <c r="J1334" t="s">
        <v>406</v>
      </c>
      <c r="K1334">
        <v>2.9792890099400665E-4</v>
      </c>
      <c r="L1334" t="s">
        <v>159</v>
      </c>
      <c r="N1334" t="s">
        <v>225</v>
      </c>
      <c r="O1334" t="s">
        <v>406</v>
      </c>
      <c r="P1334">
        <v>3.3080373470659919E-6</v>
      </c>
      <c r="Q1334" t="s">
        <v>159</v>
      </c>
      <c r="S1334" t="s">
        <v>267</v>
      </c>
      <c r="T1334" t="s">
        <v>406</v>
      </c>
      <c r="U1334">
        <v>1.4568833815090126E-4</v>
      </c>
      <c r="V1334" t="s">
        <v>159</v>
      </c>
    </row>
    <row r="1335" spans="9:22" x14ac:dyDescent="0.45">
      <c r="I1335" t="s">
        <v>182</v>
      </c>
      <c r="J1335" t="s">
        <v>407</v>
      </c>
      <c r="K1335">
        <v>3.0170551969342538E-4</v>
      </c>
      <c r="L1335" t="s">
        <v>159</v>
      </c>
      <c r="N1335" t="s">
        <v>225</v>
      </c>
      <c r="O1335" t="s">
        <v>407</v>
      </c>
      <c r="P1335">
        <v>4.630305869094237E-6</v>
      </c>
      <c r="Q1335" t="s">
        <v>159</v>
      </c>
      <c r="S1335" t="s">
        <v>267</v>
      </c>
      <c r="T1335" t="s">
        <v>407</v>
      </c>
      <c r="U1335">
        <v>1.3411098457271348E-4</v>
      </c>
      <c r="V1335" t="s">
        <v>159</v>
      </c>
    </row>
    <row r="1336" spans="9:22" x14ac:dyDescent="0.45">
      <c r="I1336" t="s">
        <v>182</v>
      </c>
      <c r="J1336" t="s">
        <v>408</v>
      </c>
      <c r="K1336">
        <v>3.1934928568395991E-4</v>
      </c>
      <c r="L1336" t="s">
        <v>159</v>
      </c>
      <c r="N1336" t="s">
        <v>225</v>
      </c>
      <c r="O1336" t="s">
        <v>408</v>
      </c>
      <c r="P1336">
        <v>8.8397364429769349E-6</v>
      </c>
      <c r="Q1336" t="s">
        <v>159</v>
      </c>
      <c r="S1336" t="s">
        <v>267</v>
      </c>
      <c r="T1336" t="s">
        <v>408</v>
      </c>
      <c r="U1336">
        <v>1.6111633488844073E-4</v>
      </c>
      <c r="V1336" t="s">
        <v>159</v>
      </c>
    </row>
    <row r="1337" spans="9:22" x14ac:dyDescent="0.45">
      <c r="I1337" t="s">
        <v>182</v>
      </c>
      <c r="J1337" t="s">
        <v>409</v>
      </c>
      <c r="K1337">
        <v>3.35053853610425E-4</v>
      </c>
      <c r="L1337" t="s">
        <v>159</v>
      </c>
      <c r="N1337" t="s">
        <v>225</v>
      </c>
      <c r="O1337" t="s">
        <v>409</v>
      </c>
      <c r="P1337">
        <v>1.8187400212983566E-5</v>
      </c>
      <c r="Q1337" t="s">
        <v>159</v>
      </c>
      <c r="S1337" t="s">
        <v>267</v>
      </c>
      <c r="T1337" t="s">
        <v>409</v>
      </c>
      <c r="U1337">
        <v>1.6740709022677343E-4</v>
      </c>
      <c r="V1337" t="s">
        <v>159</v>
      </c>
    </row>
    <row r="1338" spans="9:22" x14ac:dyDescent="0.45">
      <c r="I1338" t="s">
        <v>182</v>
      </c>
      <c r="J1338" t="s">
        <v>410</v>
      </c>
      <c r="K1338">
        <v>3.0806023203486005E-4</v>
      </c>
      <c r="L1338" t="s">
        <v>159</v>
      </c>
      <c r="N1338" t="s">
        <v>225</v>
      </c>
      <c r="O1338" t="s">
        <v>410</v>
      </c>
      <c r="P1338">
        <v>2.9508421486441719E-5</v>
      </c>
      <c r="Q1338" t="s">
        <v>159</v>
      </c>
      <c r="S1338" t="s">
        <v>267</v>
      </c>
      <c r="T1338" t="s">
        <v>410</v>
      </c>
      <c r="U1338">
        <v>1.7848621231316734E-4</v>
      </c>
      <c r="V1338" t="s">
        <v>159</v>
      </c>
    </row>
    <row r="1339" spans="9:22" x14ac:dyDescent="0.45">
      <c r="I1339" t="s">
        <v>182</v>
      </c>
      <c r="J1339" t="s">
        <v>411</v>
      </c>
      <c r="K1339">
        <v>2.9096464865048803E-4</v>
      </c>
      <c r="L1339" t="s">
        <v>159</v>
      </c>
      <c r="N1339" t="s">
        <v>225</v>
      </c>
      <c r="O1339" t="s">
        <v>411</v>
      </c>
      <c r="P1339">
        <v>4.4375445892821805E-5</v>
      </c>
      <c r="Q1339" t="s">
        <v>159</v>
      </c>
      <c r="S1339" t="s">
        <v>267</v>
      </c>
      <c r="T1339" t="s">
        <v>411</v>
      </c>
      <c r="U1339">
        <v>1.8475635758415283E-4</v>
      </c>
      <c r="V1339" t="s">
        <v>159</v>
      </c>
    </row>
    <row r="1340" spans="9:22" x14ac:dyDescent="0.45">
      <c r="I1340" t="s">
        <v>182</v>
      </c>
      <c r="J1340" t="s">
        <v>412</v>
      </c>
      <c r="K1340">
        <v>2.865927651890649E-4</v>
      </c>
      <c r="L1340" t="s">
        <v>159</v>
      </c>
      <c r="N1340" t="s">
        <v>225</v>
      </c>
      <c r="O1340" t="s">
        <v>412</v>
      </c>
      <c r="P1340">
        <v>6.3702991540094979E-5</v>
      </c>
      <c r="Q1340" t="s">
        <v>159</v>
      </c>
      <c r="S1340" t="s">
        <v>267</v>
      </c>
      <c r="T1340" t="s">
        <v>412</v>
      </c>
      <c r="U1340">
        <v>1.8135578773009531E-4</v>
      </c>
      <c r="V1340" t="s">
        <v>159</v>
      </c>
    </row>
    <row r="1341" spans="9:22" x14ac:dyDescent="0.45">
      <c r="I1341" t="s">
        <v>182</v>
      </c>
      <c r="J1341" t="s">
        <v>413</v>
      </c>
      <c r="K1341">
        <v>2.8003143268551017E-4</v>
      </c>
      <c r="L1341" t="s">
        <v>159</v>
      </c>
      <c r="N1341" t="s">
        <v>225</v>
      </c>
      <c r="O1341" t="s">
        <v>413</v>
      </c>
      <c r="P1341">
        <v>8.2033241102259013E-5</v>
      </c>
      <c r="Q1341" t="s">
        <v>159</v>
      </c>
      <c r="S1341" t="s">
        <v>267</v>
      </c>
      <c r="T1341" t="s">
        <v>413</v>
      </c>
      <c r="U1341">
        <v>1.7167165671726735E-4</v>
      </c>
      <c r="V1341" t="s">
        <v>159</v>
      </c>
    </row>
    <row r="1342" spans="9:22" x14ac:dyDescent="0.45">
      <c r="I1342" t="s">
        <v>182</v>
      </c>
      <c r="J1342" t="s">
        <v>414</v>
      </c>
      <c r="K1342">
        <v>2.0794453136284709E-4</v>
      </c>
      <c r="L1342" t="s">
        <v>159</v>
      </c>
      <c r="N1342" t="s">
        <v>225</v>
      </c>
      <c r="O1342" t="s">
        <v>414</v>
      </c>
      <c r="P1342">
        <v>9.2165259714378309E-5</v>
      </c>
      <c r="Q1342" t="s">
        <v>159</v>
      </c>
      <c r="S1342" t="s">
        <v>267</v>
      </c>
      <c r="T1342" t="s">
        <v>414</v>
      </c>
      <c r="U1342">
        <v>1.6592583244860173E-4</v>
      </c>
      <c r="V1342" t="s">
        <v>159</v>
      </c>
    </row>
    <row r="1343" spans="9:22" x14ac:dyDescent="0.45">
      <c r="I1343" t="s">
        <v>182</v>
      </c>
      <c r="J1343" t="s">
        <v>415</v>
      </c>
      <c r="K1343">
        <v>0</v>
      </c>
      <c r="L1343" t="s">
        <v>159</v>
      </c>
      <c r="N1343" t="s">
        <v>225</v>
      </c>
      <c r="O1343" t="s">
        <v>415</v>
      </c>
      <c r="P1343">
        <v>8.9248500191435983E-5</v>
      </c>
      <c r="Q1343" t="s">
        <v>159</v>
      </c>
      <c r="S1343" t="s">
        <v>267</v>
      </c>
      <c r="T1343" t="s">
        <v>415</v>
      </c>
      <c r="U1343">
        <v>1.6139265019474072E-4</v>
      </c>
      <c r="V1343" t="s">
        <v>159</v>
      </c>
    </row>
    <row r="1344" spans="9:22" x14ac:dyDescent="0.45">
      <c r="I1344" t="s">
        <v>182</v>
      </c>
      <c r="J1344" t="s">
        <v>416</v>
      </c>
      <c r="K1344">
        <v>0</v>
      </c>
      <c r="L1344" t="s">
        <v>159</v>
      </c>
      <c r="N1344" t="s">
        <v>225</v>
      </c>
      <c r="O1344" t="s">
        <v>416</v>
      </c>
      <c r="P1344">
        <v>7.558313043412323E-5</v>
      </c>
      <c r="Q1344" t="s">
        <v>159</v>
      </c>
      <c r="S1344" t="s">
        <v>267</v>
      </c>
      <c r="T1344" t="s">
        <v>416</v>
      </c>
      <c r="U1344">
        <v>1.6263511632909296E-4</v>
      </c>
      <c r="V1344" t="s">
        <v>159</v>
      </c>
    </row>
    <row r="1345" spans="9:22" x14ac:dyDescent="0.45">
      <c r="I1345" t="s">
        <v>182</v>
      </c>
      <c r="J1345" t="s">
        <v>417</v>
      </c>
      <c r="K1345">
        <v>0</v>
      </c>
      <c r="L1345" t="s">
        <v>159</v>
      </c>
      <c r="N1345" t="s">
        <v>225</v>
      </c>
      <c r="O1345" t="s">
        <v>417</v>
      </c>
      <c r="P1345">
        <v>6.8163808548259763E-5</v>
      </c>
      <c r="Q1345" t="s">
        <v>159</v>
      </c>
      <c r="S1345" t="s">
        <v>267</v>
      </c>
      <c r="T1345" t="s">
        <v>417</v>
      </c>
      <c r="U1345">
        <v>1.7061958267674691E-4</v>
      </c>
      <c r="V1345" t="s">
        <v>159</v>
      </c>
    </row>
    <row r="1346" spans="9:22" x14ac:dyDescent="0.45">
      <c r="I1346" t="s">
        <v>182</v>
      </c>
      <c r="J1346" t="s">
        <v>418</v>
      </c>
      <c r="K1346">
        <v>0</v>
      </c>
      <c r="L1346" t="s">
        <v>159</v>
      </c>
      <c r="N1346" t="s">
        <v>225</v>
      </c>
      <c r="O1346" t="s">
        <v>418</v>
      </c>
      <c r="P1346">
        <v>6.3526141864735496E-5</v>
      </c>
      <c r="Q1346" t="s">
        <v>159</v>
      </c>
      <c r="S1346" t="s">
        <v>267</v>
      </c>
      <c r="T1346" t="s">
        <v>418</v>
      </c>
      <c r="U1346">
        <v>1.8031639613743674E-4</v>
      </c>
      <c r="V1346" t="s">
        <v>159</v>
      </c>
    </row>
    <row r="1347" spans="9:22" x14ac:dyDescent="0.45">
      <c r="I1347" t="s">
        <v>182</v>
      </c>
      <c r="J1347" t="s">
        <v>419</v>
      </c>
      <c r="K1347">
        <v>0</v>
      </c>
      <c r="L1347" t="s">
        <v>159</v>
      </c>
      <c r="N1347" t="s">
        <v>225</v>
      </c>
      <c r="O1347" t="s">
        <v>419</v>
      </c>
      <c r="P1347">
        <v>6.2921646056045944E-5</v>
      </c>
      <c r="Q1347" t="s">
        <v>159</v>
      </c>
      <c r="S1347" t="s">
        <v>267</v>
      </c>
      <c r="T1347" t="s">
        <v>419</v>
      </c>
      <c r="U1347">
        <v>1.8908461511821126E-4</v>
      </c>
      <c r="V1347" t="s">
        <v>159</v>
      </c>
    </row>
    <row r="1348" spans="9:22" x14ac:dyDescent="0.45">
      <c r="I1348" t="s">
        <v>182</v>
      </c>
      <c r="J1348" t="s">
        <v>420</v>
      </c>
      <c r="K1348">
        <v>0</v>
      </c>
      <c r="L1348" t="s">
        <v>159</v>
      </c>
      <c r="N1348" t="s">
        <v>225</v>
      </c>
      <c r="O1348" t="s">
        <v>420</v>
      </c>
      <c r="P1348">
        <v>6.0623606182610074E-5</v>
      </c>
      <c r="Q1348" t="s">
        <v>159</v>
      </c>
      <c r="S1348" t="s">
        <v>267</v>
      </c>
      <c r="T1348" t="s">
        <v>420</v>
      </c>
      <c r="U1348">
        <v>2.0075130016924896E-4</v>
      </c>
      <c r="V1348" t="s">
        <v>159</v>
      </c>
    </row>
    <row r="1349" spans="9:22" x14ac:dyDescent="0.45">
      <c r="I1349" t="s">
        <v>182</v>
      </c>
      <c r="J1349" t="s">
        <v>313</v>
      </c>
      <c r="K1349">
        <v>7.8425973330494315E-3</v>
      </c>
      <c r="L1349" t="s">
        <v>159</v>
      </c>
      <c r="N1349" t="s">
        <v>225</v>
      </c>
      <c r="O1349" t="s">
        <v>313</v>
      </c>
      <c r="P1349">
        <v>1.810031525186474E-2</v>
      </c>
      <c r="Q1349" t="s">
        <v>159</v>
      </c>
      <c r="S1349" t="s">
        <v>267</v>
      </c>
      <c r="T1349" t="s">
        <v>313</v>
      </c>
      <c r="U1349">
        <v>2.4148356486294199E-2</v>
      </c>
      <c r="V1349" t="s">
        <v>159</v>
      </c>
    </row>
    <row r="1350" spans="9:22" x14ac:dyDescent="0.45">
      <c r="I1350" t="s">
        <v>182</v>
      </c>
      <c r="J1350" t="s">
        <v>314</v>
      </c>
      <c r="K1350">
        <v>6.9132579333182299E-3</v>
      </c>
      <c r="L1350" t="s">
        <v>159</v>
      </c>
      <c r="N1350" t="s">
        <v>225</v>
      </c>
      <c r="O1350" t="s">
        <v>314</v>
      </c>
      <c r="P1350">
        <v>2.3560670863934752E-3</v>
      </c>
      <c r="Q1350" t="s">
        <v>159</v>
      </c>
      <c r="S1350" t="s">
        <v>267</v>
      </c>
      <c r="T1350" t="s">
        <v>314</v>
      </c>
      <c r="U1350">
        <v>3.322564290872073E-3</v>
      </c>
      <c r="V1350" t="s">
        <v>159</v>
      </c>
    </row>
    <row r="1351" spans="9:22" x14ac:dyDescent="0.45">
      <c r="I1351" t="s">
        <v>182</v>
      </c>
      <c r="J1351" t="s">
        <v>315</v>
      </c>
      <c r="K1351">
        <v>7.9195371138744072E-2</v>
      </c>
      <c r="L1351" t="s">
        <v>159</v>
      </c>
      <c r="N1351" t="s">
        <v>225</v>
      </c>
      <c r="O1351" t="s">
        <v>315</v>
      </c>
      <c r="P1351">
        <v>2.4539787445483477E-2</v>
      </c>
      <c r="Q1351" t="s">
        <v>159</v>
      </c>
      <c r="S1351" t="s">
        <v>267</v>
      </c>
      <c r="T1351" t="s">
        <v>315</v>
      </c>
      <c r="U1351">
        <v>3.0526439769181717E-2</v>
      </c>
      <c r="V1351" t="s">
        <v>159</v>
      </c>
    </row>
    <row r="1352" spans="9:22" x14ac:dyDescent="0.45">
      <c r="I1352" t="s">
        <v>182</v>
      </c>
      <c r="J1352" t="s">
        <v>316</v>
      </c>
      <c r="K1352">
        <v>5.6074197390858886E-3</v>
      </c>
      <c r="L1352" t="s">
        <v>159</v>
      </c>
      <c r="N1352" t="s">
        <v>225</v>
      </c>
      <c r="O1352" t="s">
        <v>316</v>
      </c>
      <c r="P1352">
        <v>3.2314386554931933E-3</v>
      </c>
      <c r="Q1352" t="s">
        <v>159</v>
      </c>
      <c r="S1352" t="s">
        <v>267</v>
      </c>
      <c r="T1352" t="s">
        <v>316</v>
      </c>
      <c r="U1352">
        <v>3.9474552505550592E-3</v>
      </c>
      <c r="V1352" t="s">
        <v>159</v>
      </c>
    </row>
    <row r="1353" spans="9:22" x14ac:dyDescent="0.45">
      <c r="I1353" t="s">
        <v>182</v>
      </c>
      <c r="J1353" t="s">
        <v>317</v>
      </c>
      <c r="K1353">
        <v>3.7328030948624146E-3</v>
      </c>
      <c r="L1353" t="s">
        <v>159</v>
      </c>
      <c r="N1353" t="s">
        <v>225</v>
      </c>
      <c r="O1353" t="s">
        <v>317</v>
      </c>
      <c r="P1353">
        <v>3.1760075798243212E-3</v>
      </c>
      <c r="Q1353" t="s">
        <v>159</v>
      </c>
      <c r="S1353" t="s">
        <v>267</v>
      </c>
      <c r="T1353" t="s">
        <v>317</v>
      </c>
      <c r="U1353">
        <v>3.9471107124152893E-3</v>
      </c>
      <c r="V1353" t="s">
        <v>159</v>
      </c>
    </row>
    <row r="1354" spans="9:22" x14ac:dyDescent="0.45">
      <c r="I1354" t="s">
        <v>182</v>
      </c>
      <c r="J1354" t="s">
        <v>318</v>
      </c>
      <c r="K1354">
        <v>0</v>
      </c>
      <c r="L1354" t="s">
        <v>159</v>
      </c>
      <c r="N1354" t="s">
        <v>225</v>
      </c>
      <c r="O1354" t="s">
        <v>318</v>
      </c>
      <c r="P1354">
        <v>1.4743507300314781E-2</v>
      </c>
      <c r="Q1354" t="s">
        <v>159</v>
      </c>
      <c r="S1354" t="s">
        <v>267</v>
      </c>
      <c r="T1354" t="s">
        <v>318</v>
      </c>
      <c r="U1354">
        <v>1.9030278714394461E-2</v>
      </c>
      <c r="V1354" t="s">
        <v>159</v>
      </c>
    </row>
    <row r="1355" spans="9:22" x14ac:dyDescent="0.45">
      <c r="I1355" t="s">
        <v>183</v>
      </c>
      <c r="J1355" t="s">
        <v>158</v>
      </c>
      <c r="K1355">
        <v>1.1886181355141325E-2</v>
      </c>
      <c r="L1355" t="s">
        <v>159</v>
      </c>
      <c r="N1355" t="s">
        <v>226</v>
      </c>
      <c r="O1355" t="s">
        <v>158</v>
      </c>
      <c r="P1355">
        <v>0.11872920487777089</v>
      </c>
      <c r="Q1355" t="s">
        <v>159</v>
      </c>
      <c r="S1355" t="s">
        <v>268</v>
      </c>
      <c r="T1355" t="s">
        <v>158</v>
      </c>
      <c r="U1355">
        <v>0.12803626769329615</v>
      </c>
      <c r="V1355" t="s">
        <v>159</v>
      </c>
    </row>
    <row r="1356" spans="9:22" x14ac:dyDescent="0.45">
      <c r="I1356" t="s">
        <v>183</v>
      </c>
      <c r="J1356" t="s">
        <v>160</v>
      </c>
      <c r="K1356">
        <v>2.9209020761161924E-2</v>
      </c>
      <c r="L1356" t="s">
        <v>159</v>
      </c>
      <c r="N1356" t="s">
        <v>226</v>
      </c>
      <c r="O1356" t="s">
        <v>160</v>
      </c>
      <c r="P1356">
        <v>1.8483685619360757E-2</v>
      </c>
      <c r="Q1356" t="s">
        <v>159</v>
      </c>
      <c r="S1356" t="s">
        <v>268</v>
      </c>
      <c r="T1356" t="s">
        <v>160</v>
      </c>
      <c r="U1356">
        <v>1.8207813628134176E-2</v>
      </c>
      <c r="V1356" t="s">
        <v>159</v>
      </c>
    </row>
    <row r="1357" spans="9:22" x14ac:dyDescent="0.45">
      <c r="I1357" t="s">
        <v>183</v>
      </c>
      <c r="J1357" t="s">
        <v>161</v>
      </c>
      <c r="K1357">
        <v>0.37685112765832002</v>
      </c>
      <c r="L1357" t="s">
        <v>159</v>
      </c>
      <c r="N1357" t="s">
        <v>226</v>
      </c>
      <c r="O1357" t="s">
        <v>161</v>
      </c>
      <c r="P1357">
        <v>0.18054316136019408</v>
      </c>
      <c r="Q1357" t="s">
        <v>159</v>
      </c>
      <c r="S1357" t="s">
        <v>268</v>
      </c>
      <c r="T1357" t="s">
        <v>161</v>
      </c>
      <c r="U1357">
        <v>0.1661998672972512</v>
      </c>
      <c r="V1357" t="s">
        <v>159</v>
      </c>
    </row>
    <row r="1358" spans="9:22" x14ac:dyDescent="0.45">
      <c r="I1358" t="s">
        <v>183</v>
      </c>
      <c r="J1358" t="s">
        <v>287</v>
      </c>
      <c r="K1358">
        <v>2.6794508350617474E-2</v>
      </c>
      <c r="L1358" t="s">
        <v>159</v>
      </c>
      <c r="N1358" t="s">
        <v>226</v>
      </c>
      <c r="O1358" t="s">
        <v>287</v>
      </c>
      <c r="P1358">
        <v>2.5576538149985267E-2</v>
      </c>
      <c r="Q1358" t="s">
        <v>159</v>
      </c>
      <c r="S1358" t="s">
        <v>268</v>
      </c>
      <c r="T1358" t="s">
        <v>287</v>
      </c>
      <c r="U1358">
        <v>1.8797526472033074E-2</v>
      </c>
      <c r="V1358" t="s">
        <v>159</v>
      </c>
    </row>
    <row r="1359" spans="9:22" x14ac:dyDescent="0.45">
      <c r="I1359" t="s">
        <v>183</v>
      </c>
      <c r="J1359" t="s">
        <v>288</v>
      </c>
      <c r="K1359">
        <v>1.4488244441475229E-2</v>
      </c>
      <c r="L1359" t="s">
        <v>159</v>
      </c>
      <c r="N1359" t="s">
        <v>226</v>
      </c>
      <c r="O1359" t="s">
        <v>288</v>
      </c>
      <c r="P1359">
        <v>2.2785715827335792E-2</v>
      </c>
      <c r="Q1359" t="s">
        <v>159</v>
      </c>
      <c r="S1359" t="s">
        <v>268</v>
      </c>
      <c r="T1359" t="s">
        <v>288</v>
      </c>
      <c r="U1359">
        <v>1.8585699891831963E-2</v>
      </c>
      <c r="V1359" t="s">
        <v>159</v>
      </c>
    </row>
    <row r="1360" spans="9:22" x14ac:dyDescent="0.45">
      <c r="I1360" t="s">
        <v>183</v>
      </c>
      <c r="J1360" t="s">
        <v>308</v>
      </c>
      <c r="K1360">
        <v>1.1199837815115508E-4</v>
      </c>
      <c r="L1360" t="s">
        <v>159</v>
      </c>
      <c r="N1360" t="s">
        <v>226</v>
      </c>
      <c r="O1360" t="s">
        <v>308</v>
      </c>
      <c r="P1360">
        <v>7.7635121457723222E-2</v>
      </c>
      <c r="Q1360" t="s">
        <v>159</v>
      </c>
      <c r="S1360" t="s">
        <v>268</v>
      </c>
      <c r="T1360" t="s">
        <v>308</v>
      </c>
      <c r="U1360">
        <v>9.1399604826742337E-2</v>
      </c>
      <c r="V1360" t="s">
        <v>159</v>
      </c>
    </row>
    <row r="1361" spans="9:22" x14ac:dyDescent="0.45">
      <c r="I1361" t="s">
        <v>183</v>
      </c>
      <c r="J1361" t="s">
        <v>162</v>
      </c>
      <c r="K1361">
        <v>0</v>
      </c>
      <c r="L1361" t="s">
        <v>159</v>
      </c>
      <c r="N1361" t="s">
        <v>226</v>
      </c>
      <c r="O1361" t="s">
        <v>162</v>
      </c>
      <c r="P1361">
        <v>1.4090800506148795E-2</v>
      </c>
      <c r="Q1361" t="s">
        <v>159</v>
      </c>
      <c r="S1361" t="s">
        <v>268</v>
      </c>
      <c r="T1361" t="s">
        <v>162</v>
      </c>
      <c r="U1361">
        <v>2.5439545051129765E-2</v>
      </c>
      <c r="V1361" t="s">
        <v>159</v>
      </c>
    </row>
    <row r="1362" spans="9:22" x14ac:dyDescent="0.45">
      <c r="I1362" t="s">
        <v>183</v>
      </c>
      <c r="J1362" t="s">
        <v>163</v>
      </c>
      <c r="K1362">
        <v>3.0277350562826695E-4</v>
      </c>
      <c r="L1362" t="s">
        <v>159</v>
      </c>
      <c r="N1362" t="s">
        <v>226</v>
      </c>
      <c r="O1362" t="s">
        <v>163</v>
      </c>
      <c r="P1362">
        <v>2.5539298300593567E-3</v>
      </c>
      <c r="Q1362" t="s">
        <v>159</v>
      </c>
      <c r="S1362" t="s">
        <v>268</v>
      </c>
      <c r="T1362" t="s">
        <v>163</v>
      </c>
      <c r="U1362">
        <v>3.9330474029504181E-3</v>
      </c>
      <c r="V1362" t="s">
        <v>159</v>
      </c>
    </row>
    <row r="1363" spans="9:22" x14ac:dyDescent="0.45">
      <c r="I1363" t="s">
        <v>183</v>
      </c>
      <c r="J1363" t="s">
        <v>164</v>
      </c>
      <c r="K1363">
        <v>3.8004054310418527E-2</v>
      </c>
      <c r="L1363" t="s">
        <v>159</v>
      </c>
      <c r="N1363" t="s">
        <v>226</v>
      </c>
      <c r="O1363" t="s">
        <v>164</v>
      </c>
      <c r="P1363">
        <v>2.3796111504919542E-2</v>
      </c>
      <c r="Q1363" t="s">
        <v>159</v>
      </c>
      <c r="S1363" t="s">
        <v>268</v>
      </c>
      <c r="T1363" t="s">
        <v>164</v>
      </c>
      <c r="U1363">
        <v>3.1639048027739362E-2</v>
      </c>
      <c r="V1363" t="s">
        <v>159</v>
      </c>
    </row>
    <row r="1364" spans="9:22" x14ac:dyDescent="0.45">
      <c r="I1364" t="s">
        <v>183</v>
      </c>
      <c r="J1364" t="s">
        <v>289</v>
      </c>
      <c r="K1364">
        <v>4.776454861807922E-4</v>
      </c>
      <c r="L1364" t="s">
        <v>159</v>
      </c>
      <c r="N1364" t="s">
        <v>226</v>
      </c>
      <c r="O1364" t="s">
        <v>289</v>
      </c>
      <c r="P1364">
        <v>3.6014867997476259E-3</v>
      </c>
      <c r="Q1364" t="s">
        <v>159</v>
      </c>
      <c r="S1364" t="s">
        <v>268</v>
      </c>
      <c r="T1364" t="s">
        <v>289</v>
      </c>
      <c r="U1364">
        <v>3.2945581703443501E-3</v>
      </c>
      <c r="V1364" t="s">
        <v>159</v>
      </c>
    </row>
    <row r="1365" spans="9:22" x14ac:dyDescent="0.45">
      <c r="I1365" t="s">
        <v>183</v>
      </c>
      <c r="J1365" t="s">
        <v>290</v>
      </c>
      <c r="K1365">
        <v>0</v>
      </c>
      <c r="L1365" t="s">
        <v>159</v>
      </c>
      <c r="N1365" t="s">
        <v>226</v>
      </c>
      <c r="O1365" t="s">
        <v>290</v>
      </c>
      <c r="P1365">
        <v>2.6129285162549407E-3</v>
      </c>
      <c r="Q1365" t="s">
        <v>159</v>
      </c>
      <c r="S1365" t="s">
        <v>268</v>
      </c>
      <c r="T1365" t="s">
        <v>290</v>
      </c>
      <c r="U1365">
        <v>3.3465476594702549E-3</v>
      </c>
      <c r="V1365" t="s">
        <v>159</v>
      </c>
    </row>
    <row r="1366" spans="9:22" x14ac:dyDescent="0.45">
      <c r="I1366" t="s">
        <v>183</v>
      </c>
      <c r="J1366" t="s">
        <v>309</v>
      </c>
      <c r="K1366">
        <v>0</v>
      </c>
      <c r="L1366" t="s">
        <v>159</v>
      </c>
      <c r="N1366" t="s">
        <v>226</v>
      </c>
      <c r="O1366" t="s">
        <v>309</v>
      </c>
      <c r="P1366">
        <v>7.6312607408515276E-3</v>
      </c>
      <c r="Q1366" t="s">
        <v>159</v>
      </c>
      <c r="S1366" t="s">
        <v>268</v>
      </c>
      <c r="T1366" t="s">
        <v>309</v>
      </c>
      <c r="U1366">
        <v>1.7377734898757737E-2</v>
      </c>
      <c r="V1366" t="s">
        <v>159</v>
      </c>
    </row>
    <row r="1367" spans="9:22" x14ac:dyDescent="0.45">
      <c r="I1367" t="s">
        <v>183</v>
      </c>
      <c r="J1367" t="s">
        <v>346</v>
      </c>
      <c r="K1367">
        <v>0</v>
      </c>
      <c r="L1367" t="s">
        <v>159</v>
      </c>
      <c r="N1367" t="s">
        <v>226</v>
      </c>
      <c r="O1367" t="s">
        <v>346</v>
      </c>
      <c r="P1367">
        <v>1.0076466224149203E-5</v>
      </c>
      <c r="Q1367" t="s">
        <v>159</v>
      </c>
      <c r="S1367" t="s">
        <v>268</v>
      </c>
      <c r="T1367" t="s">
        <v>346</v>
      </c>
      <c r="U1367">
        <v>7.2591346367171947E-5</v>
      </c>
      <c r="V1367" t="s">
        <v>159</v>
      </c>
    </row>
    <row r="1368" spans="9:22" x14ac:dyDescent="0.45">
      <c r="I1368" t="s">
        <v>183</v>
      </c>
      <c r="J1368" t="s">
        <v>347</v>
      </c>
      <c r="K1368">
        <v>0</v>
      </c>
      <c r="L1368" t="s">
        <v>159</v>
      </c>
      <c r="N1368" t="s">
        <v>226</v>
      </c>
      <c r="O1368" t="s">
        <v>347</v>
      </c>
      <c r="P1368">
        <v>7.9892772001373822E-6</v>
      </c>
      <c r="Q1368" t="s">
        <v>159</v>
      </c>
      <c r="S1368" t="s">
        <v>268</v>
      </c>
      <c r="T1368" t="s">
        <v>347</v>
      </c>
      <c r="U1368">
        <v>7.9791377979187075E-5</v>
      </c>
      <c r="V1368" t="s">
        <v>159</v>
      </c>
    </row>
    <row r="1369" spans="9:22" x14ac:dyDescent="0.45">
      <c r="I1369" t="s">
        <v>183</v>
      </c>
      <c r="J1369" t="s">
        <v>348</v>
      </c>
      <c r="K1369">
        <v>0</v>
      </c>
      <c r="L1369" t="s">
        <v>159</v>
      </c>
      <c r="N1369" t="s">
        <v>226</v>
      </c>
      <c r="O1369" t="s">
        <v>348</v>
      </c>
      <c r="P1369">
        <v>5.0689232066588065E-6</v>
      </c>
      <c r="Q1369" t="s">
        <v>159</v>
      </c>
      <c r="S1369" t="s">
        <v>268</v>
      </c>
      <c r="T1369" t="s">
        <v>348</v>
      </c>
      <c r="U1369">
        <v>7.1796491274788267E-5</v>
      </c>
      <c r="V1369" t="s">
        <v>159</v>
      </c>
    </row>
    <row r="1370" spans="9:22" x14ac:dyDescent="0.45">
      <c r="I1370" t="s">
        <v>183</v>
      </c>
      <c r="J1370" t="s">
        <v>349</v>
      </c>
      <c r="K1370">
        <v>0</v>
      </c>
      <c r="L1370" t="s">
        <v>159</v>
      </c>
      <c r="N1370" t="s">
        <v>226</v>
      </c>
      <c r="O1370" t="s">
        <v>349</v>
      </c>
      <c r="P1370">
        <v>2.6385929113832733E-6</v>
      </c>
      <c r="Q1370" t="s">
        <v>159</v>
      </c>
      <c r="S1370" t="s">
        <v>268</v>
      </c>
      <c r="T1370" t="s">
        <v>349</v>
      </c>
      <c r="U1370">
        <v>5.1478392427499646E-5</v>
      </c>
      <c r="V1370" t="s">
        <v>159</v>
      </c>
    </row>
    <row r="1371" spans="9:22" x14ac:dyDescent="0.45">
      <c r="I1371" t="s">
        <v>183</v>
      </c>
      <c r="J1371" t="s">
        <v>350</v>
      </c>
      <c r="K1371">
        <v>0</v>
      </c>
      <c r="L1371" t="s">
        <v>159</v>
      </c>
      <c r="N1371" t="s">
        <v>226</v>
      </c>
      <c r="O1371" t="s">
        <v>350</v>
      </c>
      <c r="P1371">
        <v>5.0076924977268141E-6</v>
      </c>
      <c r="Q1371" t="s">
        <v>159</v>
      </c>
      <c r="S1371" t="s">
        <v>268</v>
      </c>
      <c r="T1371" t="s">
        <v>350</v>
      </c>
      <c r="U1371">
        <v>3.6790980131399766E-5</v>
      </c>
      <c r="V1371" t="s">
        <v>159</v>
      </c>
    </row>
    <row r="1372" spans="9:22" x14ac:dyDescent="0.45">
      <c r="I1372" t="s">
        <v>183</v>
      </c>
      <c r="J1372" t="s">
        <v>351</v>
      </c>
      <c r="K1372">
        <v>0</v>
      </c>
      <c r="L1372" t="s">
        <v>159</v>
      </c>
      <c r="N1372" t="s">
        <v>226</v>
      </c>
      <c r="O1372" t="s">
        <v>351</v>
      </c>
      <c r="P1372">
        <v>2.3127715212003944E-5</v>
      </c>
      <c r="Q1372" t="s">
        <v>159</v>
      </c>
      <c r="S1372" t="s">
        <v>268</v>
      </c>
      <c r="T1372" t="s">
        <v>351</v>
      </c>
      <c r="U1372">
        <v>2.9358901532009601E-5</v>
      </c>
      <c r="V1372" t="s">
        <v>159</v>
      </c>
    </row>
    <row r="1373" spans="9:22" x14ac:dyDescent="0.45">
      <c r="I1373" t="s">
        <v>183</v>
      </c>
      <c r="J1373" t="s">
        <v>352</v>
      </c>
      <c r="K1373">
        <v>0</v>
      </c>
      <c r="L1373" t="s">
        <v>159</v>
      </c>
      <c r="N1373" t="s">
        <v>226</v>
      </c>
      <c r="O1373" t="s">
        <v>352</v>
      </c>
      <c r="P1373">
        <v>3.3063806777682304E-5</v>
      </c>
      <c r="Q1373" t="s">
        <v>159</v>
      </c>
      <c r="S1373" t="s">
        <v>268</v>
      </c>
      <c r="T1373" t="s">
        <v>352</v>
      </c>
      <c r="U1373">
        <v>2.1967244423265185E-5</v>
      </c>
      <c r="V1373" t="s">
        <v>159</v>
      </c>
    </row>
    <row r="1374" spans="9:22" x14ac:dyDescent="0.45">
      <c r="I1374" t="s">
        <v>183</v>
      </c>
      <c r="J1374" t="s">
        <v>353</v>
      </c>
      <c r="K1374">
        <v>1.3060133374616267E-6</v>
      </c>
      <c r="L1374" t="s">
        <v>159</v>
      </c>
      <c r="N1374" t="s">
        <v>226</v>
      </c>
      <c r="O1374" t="s">
        <v>353</v>
      </c>
      <c r="P1374">
        <v>3.8707845589942536E-5</v>
      </c>
      <c r="Q1374" t="s">
        <v>159</v>
      </c>
      <c r="S1374" t="s">
        <v>268</v>
      </c>
      <c r="T1374" t="s">
        <v>353</v>
      </c>
      <c r="U1374">
        <v>1.4192864739361327E-5</v>
      </c>
      <c r="V1374" t="s">
        <v>159</v>
      </c>
    </row>
    <row r="1375" spans="9:22" x14ac:dyDescent="0.45">
      <c r="I1375" t="s">
        <v>183</v>
      </c>
      <c r="J1375" t="s">
        <v>354</v>
      </c>
      <c r="K1375">
        <v>1.7314876232844755E-4</v>
      </c>
      <c r="L1375" t="s">
        <v>159</v>
      </c>
      <c r="N1375" t="s">
        <v>226</v>
      </c>
      <c r="O1375" t="s">
        <v>354</v>
      </c>
      <c r="P1375">
        <v>4.3969984309140297E-5</v>
      </c>
      <c r="Q1375" t="s">
        <v>159</v>
      </c>
      <c r="S1375" t="s">
        <v>268</v>
      </c>
      <c r="T1375" t="s">
        <v>354</v>
      </c>
      <c r="U1375">
        <v>1.3336452352295017E-5</v>
      </c>
      <c r="V1375" t="s">
        <v>159</v>
      </c>
    </row>
    <row r="1376" spans="9:22" x14ac:dyDescent="0.45">
      <c r="I1376" t="s">
        <v>183</v>
      </c>
      <c r="J1376" t="s">
        <v>355</v>
      </c>
      <c r="K1376">
        <v>1.7532521503768229E-4</v>
      </c>
      <c r="L1376" t="s">
        <v>159</v>
      </c>
      <c r="N1376" t="s">
        <v>226</v>
      </c>
      <c r="O1376" t="s">
        <v>355</v>
      </c>
      <c r="P1376">
        <v>4.4661986164341355E-5</v>
      </c>
      <c r="Q1376" t="s">
        <v>159</v>
      </c>
      <c r="S1376" t="s">
        <v>268</v>
      </c>
      <c r="T1376" t="s">
        <v>355</v>
      </c>
      <c r="U1376">
        <v>2.3157280701325433E-5</v>
      </c>
      <c r="V1376" t="s">
        <v>159</v>
      </c>
    </row>
    <row r="1377" spans="9:22" x14ac:dyDescent="0.45">
      <c r="I1377" t="s">
        <v>183</v>
      </c>
      <c r="J1377" t="s">
        <v>356</v>
      </c>
      <c r="K1377">
        <v>1.628874838249673E-4</v>
      </c>
      <c r="L1377" t="s">
        <v>159</v>
      </c>
      <c r="N1377" t="s">
        <v>226</v>
      </c>
      <c r="O1377" t="s">
        <v>356</v>
      </c>
      <c r="P1377">
        <v>5.4385330507892568E-6</v>
      </c>
      <c r="Q1377" t="s">
        <v>159</v>
      </c>
      <c r="S1377" t="s">
        <v>268</v>
      </c>
      <c r="T1377" t="s">
        <v>356</v>
      </c>
      <c r="U1377">
        <v>4.0817869429119701E-5</v>
      </c>
      <c r="V1377" t="s">
        <v>159</v>
      </c>
    </row>
    <row r="1378" spans="9:22" x14ac:dyDescent="0.45">
      <c r="I1378" t="s">
        <v>183</v>
      </c>
      <c r="J1378" t="s">
        <v>357</v>
      </c>
      <c r="K1378">
        <v>1.7992049738162465E-4</v>
      </c>
      <c r="L1378" t="s">
        <v>159</v>
      </c>
      <c r="N1378" t="s">
        <v>226</v>
      </c>
      <c r="O1378" t="s">
        <v>357</v>
      </c>
      <c r="P1378">
        <v>1.648753975440822E-6</v>
      </c>
      <c r="Q1378" t="s">
        <v>159</v>
      </c>
      <c r="S1378" t="s">
        <v>268</v>
      </c>
      <c r="T1378" t="s">
        <v>357</v>
      </c>
      <c r="U1378">
        <v>7.2936368646933842E-5</v>
      </c>
      <c r="V1378" t="s">
        <v>159</v>
      </c>
    </row>
    <row r="1379" spans="9:22" x14ac:dyDescent="0.45">
      <c r="I1379" t="s">
        <v>183</v>
      </c>
      <c r="J1379" t="s">
        <v>358</v>
      </c>
      <c r="K1379">
        <v>2.3168364119181961E-4</v>
      </c>
      <c r="L1379" t="s">
        <v>159</v>
      </c>
      <c r="N1379" t="s">
        <v>226</v>
      </c>
      <c r="O1379" t="s">
        <v>358</v>
      </c>
      <c r="P1379">
        <v>7.1565475982290234E-6</v>
      </c>
      <c r="Q1379" t="s">
        <v>159</v>
      </c>
      <c r="S1379" t="s">
        <v>268</v>
      </c>
      <c r="T1379" t="s">
        <v>358</v>
      </c>
      <c r="U1379">
        <v>8.5718275080581599E-5</v>
      </c>
      <c r="V1379" t="s">
        <v>159</v>
      </c>
    </row>
    <row r="1380" spans="9:22" x14ac:dyDescent="0.45">
      <c r="I1380" t="s">
        <v>183</v>
      </c>
      <c r="J1380" t="s">
        <v>359</v>
      </c>
      <c r="K1380">
        <v>1.7860028404933584E-4</v>
      </c>
      <c r="L1380" t="s">
        <v>159</v>
      </c>
      <c r="N1380" t="s">
        <v>226</v>
      </c>
      <c r="O1380" t="s">
        <v>359</v>
      </c>
      <c r="P1380">
        <v>2.2767166060710339E-6</v>
      </c>
      <c r="Q1380" t="s">
        <v>159</v>
      </c>
      <c r="S1380" t="s">
        <v>268</v>
      </c>
      <c r="T1380" t="s">
        <v>359</v>
      </c>
      <c r="U1380">
        <v>8.7748739992247628E-5</v>
      </c>
      <c r="V1380" t="s">
        <v>159</v>
      </c>
    </row>
    <row r="1381" spans="9:22" x14ac:dyDescent="0.45">
      <c r="I1381" t="s">
        <v>183</v>
      </c>
      <c r="J1381" t="s">
        <v>360</v>
      </c>
      <c r="K1381">
        <v>1.5929666993239243E-4</v>
      </c>
      <c r="L1381" t="s">
        <v>159</v>
      </c>
      <c r="N1381" t="s">
        <v>226</v>
      </c>
      <c r="O1381" t="s">
        <v>360</v>
      </c>
      <c r="P1381">
        <v>3.6333100936664575E-6</v>
      </c>
      <c r="Q1381" t="s">
        <v>159</v>
      </c>
      <c r="S1381" t="s">
        <v>268</v>
      </c>
      <c r="T1381" t="s">
        <v>360</v>
      </c>
      <c r="U1381">
        <v>7.552398306958536E-5</v>
      </c>
      <c r="V1381" t="s">
        <v>159</v>
      </c>
    </row>
    <row r="1382" spans="9:22" x14ac:dyDescent="0.45">
      <c r="I1382" t="s">
        <v>183</v>
      </c>
      <c r="J1382" t="s">
        <v>361</v>
      </c>
      <c r="K1382">
        <v>1.7249232502543956E-4</v>
      </c>
      <c r="L1382" t="s">
        <v>159</v>
      </c>
      <c r="N1382" t="s">
        <v>226</v>
      </c>
      <c r="O1382" t="s">
        <v>361</v>
      </c>
      <c r="P1382">
        <v>1.3891399806068336E-5</v>
      </c>
      <c r="Q1382" t="s">
        <v>159</v>
      </c>
      <c r="S1382" t="s">
        <v>268</v>
      </c>
      <c r="T1382" t="s">
        <v>361</v>
      </c>
      <c r="U1382">
        <v>5.2526846333331289E-5</v>
      </c>
      <c r="V1382" t="s">
        <v>159</v>
      </c>
    </row>
    <row r="1383" spans="9:22" x14ac:dyDescent="0.45">
      <c r="I1383" t="s">
        <v>183</v>
      </c>
      <c r="J1383" t="s">
        <v>362</v>
      </c>
      <c r="K1383">
        <v>1.7076909481885625E-4</v>
      </c>
      <c r="L1383" t="s">
        <v>159</v>
      </c>
      <c r="N1383" t="s">
        <v>226</v>
      </c>
      <c r="O1383" t="s">
        <v>362</v>
      </c>
      <c r="P1383">
        <v>6.3256711440189169E-5</v>
      </c>
      <c r="Q1383" t="s">
        <v>159</v>
      </c>
      <c r="S1383" t="s">
        <v>268</v>
      </c>
      <c r="T1383" t="s">
        <v>362</v>
      </c>
      <c r="U1383">
        <v>3.225385606639402E-5</v>
      </c>
      <c r="V1383" t="s">
        <v>159</v>
      </c>
    </row>
    <row r="1384" spans="9:22" x14ac:dyDescent="0.45">
      <c r="I1384" t="s">
        <v>183</v>
      </c>
      <c r="J1384" t="s">
        <v>363</v>
      </c>
      <c r="K1384">
        <v>0</v>
      </c>
      <c r="L1384" t="s">
        <v>159</v>
      </c>
      <c r="N1384" t="s">
        <v>226</v>
      </c>
      <c r="O1384" t="s">
        <v>363</v>
      </c>
      <c r="P1384">
        <v>9.2039593288161916E-5</v>
      </c>
      <c r="Q1384" t="s">
        <v>159</v>
      </c>
      <c r="S1384" t="s">
        <v>268</v>
      </c>
      <c r="T1384" t="s">
        <v>363</v>
      </c>
      <c r="U1384">
        <v>2.2543136907147376E-5</v>
      </c>
      <c r="V1384" t="s">
        <v>159</v>
      </c>
    </row>
    <row r="1385" spans="9:22" x14ac:dyDescent="0.45">
      <c r="I1385" t="s">
        <v>183</v>
      </c>
      <c r="J1385" t="s">
        <v>364</v>
      </c>
      <c r="K1385">
        <v>0</v>
      </c>
      <c r="L1385" t="s">
        <v>159</v>
      </c>
      <c r="N1385" t="s">
        <v>226</v>
      </c>
      <c r="O1385" t="s">
        <v>364</v>
      </c>
      <c r="P1385">
        <v>5.2858581839726147E-5</v>
      </c>
      <c r="Q1385" t="s">
        <v>159</v>
      </c>
      <c r="S1385" t="s">
        <v>268</v>
      </c>
      <c r="T1385" t="s">
        <v>364</v>
      </c>
      <c r="U1385">
        <v>1.4800618568218849E-5</v>
      </c>
      <c r="V1385" t="s">
        <v>159</v>
      </c>
    </row>
    <row r="1386" spans="9:22" x14ac:dyDescent="0.45">
      <c r="I1386" t="s">
        <v>183</v>
      </c>
      <c r="J1386" t="s">
        <v>365</v>
      </c>
      <c r="K1386">
        <v>0</v>
      </c>
      <c r="L1386" t="s">
        <v>159</v>
      </c>
      <c r="N1386" t="s">
        <v>226</v>
      </c>
      <c r="O1386" t="s">
        <v>365</v>
      </c>
      <c r="P1386">
        <v>1.4274412582204882E-5</v>
      </c>
      <c r="Q1386" t="s">
        <v>159</v>
      </c>
      <c r="S1386" t="s">
        <v>268</v>
      </c>
      <c r="T1386" t="s">
        <v>365</v>
      </c>
      <c r="U1386">
        <v>8.2345349361824198E-6</v>
      </c>
      <c r="V1386" t="s">
        <v>159</v>
      </c>
    </row>
    <row r="1387" spans="9:22" x14ac:dyDescent="0.45">
      <c r="I1387" t="s">
        <v>183</v>
      </c>
      <c r="J1387" t="s">
        <v>366</v>
      </c>
      <c r="K1387">
        <v>0</v>
      </c>
      <c r="L1387" t="s">
        <v>159</v>
      </c>
      <c r="N1387" t="s">
        <v>226</v>
      </c>
      <c r="O1387" t="s">
        <v>366</v>
      </c>
      <c r="P1387">
        <v>8.8254617335520254E-7</v>
      </c>
      <c r="Q1387" t="s">
        <v>159</v>
      </c>
      <c r="S1387" t="s">
        <v>268</v>
      </c>
      <c r="T1387" t="s">
        <v>366</v>
      </c>
      <c r="U1387">
        <v>5.7260248071710538E-6</v>
      </c>
      <c r="V1387" t="s">
        <v>159</v>
      </c>
    </row>
    <row r="1388" spans="9:22" x14ac:dyDescent="0.45">
      <c r="I1388" t="s">
        <v>183</v>
      </c>
      <c r="J1388" t="s">
        <v>367</v>
      </c>
      <c r="K1388">
        <v>0</v>
      </c>
      <c r="L1388" t="s">
        <v>159</v>
      </c>
      <c r="N1388" t="s">
        <v>226</v>
      </c>
      <c r="O1388" t="s">
        <v>367</v>
      </c>
      <c r="P1388">
        <v>2.701344219269516E-6</v>
      </c>
      <c r="Q1388" t="s">
        <v>159</v>
      </c>
      <c r="S1388" t="s">
        <v>268</v>
      </c>
      <c r="T1388" t="s">
        <v>367</v>
      </c>
      <c r="U1388">
        <v>5.5745978531813867E-6</v>
      </c>
      <c r="V1388" t="s">
        <v>159</v>
      </c>
    </row>
    <row r="1389" spans="9:22" x14ac:dyDescent="0.45">
      <c r="I1389" t="s">
        <v>183</v>
      </c>
      <c r="J1389" t="s">
        <v>368</v>
      </c>
      <c r="K1389">
        <v>0</v>
      </c>
      <c r="L1389" t="s">
        <v>159</v>
      </c>
      <c r="N1389" t="s">
        <v>226</v>
      </c>
      <c r="O1389" t="s">
        <v>368</v>
      </c>
      <c r="P1389">
        <v>2.3229783867170648E-6</v>
      </c>
      <c r="Q1389" t="s">
        <v>159</v>
      </c>
      <c r="S1389" t="s">
        <v>268</v>
      </c>
      <c r="T1389" t="s">
        <v>368</v>
      </c>
      <c r="U1389">
        <v>3.6885798284176904E-6</v>
      </c>
      <c r="V1389" t="s">
        <v>159</v>
      </c>
    </row>
    <row r="1390" spans="9:22" x14ac:dyDescent="0.45">
      <c r="I1390" t="s">
        <v>183</v>
      </c>
      <c r="J1390" t="s">
        <v>369</v>
      </c>
      <c r="K1390">
        <v>0</v>
      </c>
      <c r="L1390" t="s">
        <v>159</v>
      </c>
      <c r="N1390" t="s">
        <v>226</v>
      </c>
      <c r="O1390" t="s">
        <v>369</v>
      </c>
      <c r="P1390">
        <v>2.6235632709958624E-7</v>
      </c>
      <c r="Q1390" t="s">
        <v>159</v>
      </c>
      <c r="S1390" t="s">
        <v>268</v>
      </c>
      <c r="T1390" t="s">
        <v>369</v>
      </c>
      <c r="U1390">
        <v>2.9406768341495726E-6</v>
      </c>
      <c r="V1390" t="s">
        <v>159</v>
      </c>
    </row>
    <row r="1391" spans="9:22" x14ac:dyDescent="0.45">
      <c r="I1391" t="s">
        <v>183</v>
      </c>
      <c r="J1391" t="s">
        <v>165</v>
      </c>
      <c r="K1391">
        <v>0</v>
      </c>
      <c r="L1391" t="s">
        <v>159</v>
      </c>
      <c r="N1391" t="s">
        <v>226</v>
      </c>
      <c r="O1391" t="s">
        <v>165</v>
      </c>
      <c r="P1391">
        <v>3.1911231560916929E-2</v>
      </c>
      <c r="Q1391" t="s">
        <v>159</v>
      </c>
      <c r="S1391" t="s">
        <v>268</v>
      </c>
      <c r="T1391" t="s">
        <v>165</v>
      </c>
      <c r="U1391">
        <v>2.9326019420313518E-2</v>
      </c>
      <c r="V1391" t="s">
        <v>159</v>
      </c>
    </row>
    <row r="1392" spans="9:22" x14ac:dyDescent="0.45">
      <c r="I1392" t="s">
        <v>183</v>
      </c>
      <c r="J1392" t="s">
        <v>166</v>
      </c>
      <c r="K1392">
        <v>4.0067703692473113E-3</v>
      </c>
      <c r="L1392" t="s">
        <v>159</v>
      </c>
      <c r="N1392" t="s">
        <v>226</v>
      </c>
      <c r="O1392" t="s">
        <v>166</v>
      </c>
      <c r="P1392">
        <v>5.7449467032069995E-3</v>
      </c>
      <c r="Q1392" t="s">
        <v>159</v>
      </c>
      <c r="S1392" t="s">
        <v>268</v>
      </c>
      <c r="T1392" t="s">
        <v>166</v>
      </c>
      <c r="U1392">
        <v>4.0295491670534131E-3</v>
      </c>
      <c r="V1392" t="s">
        <v>159</v>
      </c>
    </row>
    <row r="1393" spans="9:22" x14ac:dyDescent="0.45">
      <c r="I1393" t="s">
        <v>183</v>
      </c>
      <c r="J1393" t="s">
        <v>167</v>
      </c>
      <c r="K1393">
        <v>5.3110294665893086E-2</v>
      </c>
      <c r="L1393" t="s">
        <v>159</v>
      </c>
      <c r="N1393" t="s">
        <v>226</v>
      </c>
      <c r="O1393" t="s">
        <v>167</v>
      </c>
      <c r="P1393">
        <v>4.7773208083289734E-2</v>
      </c>
      <c r="Q1393" t="s">
        <v>159</v>
      </c>
      <c r="S1393" t="s">
        <v>268</v>
      </c>
      <c r="T1393" t="s">
        <v>167</v>
      </c>
      <c r="U1393">
        <v>3.4617188598351958E-2</v>
      </c>
      <c r="V1393" t="s">
        <v>159</v>
      </c>
    </row>
    <row r="1394" spans="9:22" x14ac:dyDescent="0.45">
      <c r="I1394" t="s">
        <v>183</v>
      </c>
      <c r="J1394" t="s">
        <v>291</v>
      </c>
      <c r="K1394">
        <v>4.1588135179225633E-3</v>
      </c>
      <c r="L1394" t="s">
        <v>159</v>
      </c>
      <c r="N1394" t="s">
        <v>226</v>
      </c>
      <c r="O1394" t="s">
        <v>291</v>
      </c>
      <c r="P1394">
        <v>4.1634528217756603E-3</v>
      </c>
      <c r="Q1394" t="s">
        <v>159</v>
      </c>
      <c r="S1394" t="s">
        <v>268</v>
      </c>
      <c r="T1394" t="s">
        <v>291</v>
      </c>
      <c r="U1394">
        <v>3.6562023123193834E-3</v>
      </c>
      <c r="V1394" t="s">
        <v>159</v>
      </c>
    </row>
    <row r="1395" spans="9:22" x14ac:dyDescent="0.45">
      <c r="I1395" t="s">
        <v>183</v>
      </c>
      <c r="J1395" t="s">
        <v>292</v>
      </c>
      <c r="K1395">
        <v>0</v>
      </c>
      <c r="L1395" t="s">
        <v>159</v>
      </c>
      <c r="N1395" t="s">
        <v>226</v>
      </c>
      <c r="O1395" t="s">
        <v>292</v>
      </c>
      <c r="P1395">
        <v>3.3142407359812625E-3</v>
      </c>
      <c r="Q1395" t="s">
        <v>159</v>
      </c>
      <c r="S1395" t="s">
        <v>268</v>
      </c>
      <c r="T1395" t="s">
        <v>292</v>
      </c>
      <c r="U1395">
        <v>3.7649964582200201E-3</v>
      </c>
      <c r="V1395" t="s">
        <v>159</v>
      </c>
    </row>
    <row r="1396" spans="9:22" x14ac:dyDescent="0.45">
      <c r="I1396" t="s">
        <v>183</v>
      </c>
      <c r="J1396" t="s">
        <v>310</v>
      </c>
      <c r="K1396">
        <v>0</v>
      </c>
      <c r="L1396" t="s">
        <v>159</v>
      </c>
      <c r="N1396" t="s">
        <v>226</v>
      </c>
      <c r="O1396" t="s">
        <v>310</v>
      </c>
      <c r="P1396">
        <v>1.096431386787433E-2</v>
      </c>
      <c r="Q1396" t="s">
        <v>159</v>
      </c>
      <c r="S1396" t="s">
        <v>268</v>
      </c>
      <c r="T1396" t="s">
        <v>310</v>
      </c>
      <c r="U1396">
        <v>2.1471940399062927E-2</v>
      </c>
      <c r="V1396" t="s">
        <v>159</v>
      </c>
    </row>
    <row r="1397" spans="9:22" x14ac:dyDescent="0.45">
      <c r="I1397" t="s">
        <v>183</v>
      </c>
      <c r="J1397" t="s">
        <v>293</v>
      </c>
      <c r="K1397">
        <v>0</v>
      </c>
      <c r="L1397" t="s">
        <v>159</v>
      </c>
      <c r="N1397" t="s">
        <v>226</v>
      </c>
      <c r="O1397" t="s">
        <v>293</v>
      </c>
      <c r="P1397">
        <v>8.4570427510616362E-3</v>
      </c>
      <c r="Q1397" t="s">
        <v>159</v>
      </c>
      <c r="S1397" t="s">
        <v>268</v>
      </c>
      <c r="T1397" t="s">
        <v>293</v>
      </c>
      <c r="U1397">
        <v>4.9297207254106632E-3</v>
      </c>
      <c r="V1397" t="s">
        <v>159</v>
      </c>
    </row>
    <row r="1398" spans="9:22" x14ac:dyDescent="0.45">
      <c r="I1398" t="s">
        <v>183</v>
      </c>
      <c r="J1398" t="s">
        <v>294</v>
      </c>
      <c r="K1398">
        <v>1.290274979247203E-3</v>
      </c>
      <c r="L1398" t="s">
        <v>159</v>
      </c>
      <c r="N1398" t="s">
        <v>226</v>
      </c>
      <c r="O1398" t="s">
        <v>294</v>
      </c>
      <c r="P1398">
        <v>1.9998763150901777E-3</v>
      </c>
      <c r="Q1398" t="s">
        <v>159</v>
      </c>
      <c r="S1398" t="s">
        <v>268</v>
      </c>
      <c r="T1398" t="s">
        <v>294</v>
      </c>
      <c r="U1398">
        <v>5.9995187407444264E-4</v>
      </c>
      <c r="V1398" t="s">
        <v>159</v>
      </c>
    </row>
    <row r="1399" spans="9:22" x14ac:dyDescent="0.45">
      <c r="I1399" t="s">
        <v>183</v>
      </c>
      <c r="J1399" t="s">
        <v>295</v>
      </c>
      <c r="K1399">
        <v>1.5741333818754037E-2</v>
      </c>
      <c r="L1399" t="s">
        <v>159</v>
      </c>
      <c r="N1399" t="s">
        <v>226</v>
      </c>
      <c r="O1399" t="s">
        <v>295</v>
      </c>
      <c r="P1399">
        <v>1.4771928138338645E-2</v>
      </c>
      <c r="Q1399" t="s">
        <v>159</v>
      </c>
      <c r="S1399" t="s">
        <v>268</v>
      </c>
      <c r="T1399" t="s">
        <v>295</v>
      </c>
      <c r="U1399">
        <v>7.2050000836747794E-3</v>
      </c>
      <c r="V1399" t="s">
        <v>159</v>
      </c>
    </row>
    <row r="1400" spans="9:22" x14ac:dyDescent="0.45">
      <c r="I1400" t="s">
        <v>183</v>
      </c>
      <c r="J1400" t="s">
        <v>296</v>
      </c>
      <c r="K1400">
        <v>1.2106826829188094E-3</v>
      </c>
      <c r="L1400" t="s">
        <v>159</v>
      </c>
      <c r="N1400" t="s">
        <v>226</v>
      </c>
      <c r="O1400" t="s">
        <v>296</v>
      </c>
      <c r="P1400">
        <v>1.1260358245395081E-3</v>
      </c>
      <c r="Q1400" t="s">
        <v>159</v>
      </c>
      <c r="S1400" t="s">
        <v>268</v>
      </c>
      <c r="T1400" t="s">
        <v>296</v>
      </c>
      <c r="U1400">
        <v>9.2103094130270558E-4</v>
      </c>
      <c r="V1400" t="s">
        <v>159</v>
      </c>
    </row>
    <row r="1401" spans="9:22" x14ac:dyDescent="0.45">
      <c r="I1401" t="s">
        <v>183</v>
      </c>
      <c r="J1401" t="s">
        <v>297</v>
      </c>
      <c r="K1401">
        <v>0</v>
      </c>
      <c r="L1401" t="s">
        <v>159</v>
      </c>
      <c r="N1401" t="s">
        <v>226</v>
      </c>
      <c r="O1401" t="s">
        <v>297</v>
      </c>
      <c r="P1401">
        <v>1.187982543256203E-3</v>
      </c>
      <c r="Q1401" t="s">
        <v>159</v>
      </c>
      <c r="S1401" t="s">
        <v>268</v>
      </c>
      <c r="T1401" t="s">
        <v>297</v>
      </c>
      <c r="U1401">
        <v>8.7886114356361845E-4</v>
      </c>
      <c r="V1401" t="s">
        <v>159</v>
      </c>
    </row>
    <row r="1402" spans="9:22" x14ac:dyDescent="0.45">
      <c r="I1402" t="s">
        <v>183</v>
      </c>
      <c r="J1402" t="s">
        <v>311</v>
      </c>
      <c r="K1402">
        <v>0</v>
      </c>
      <c r="L1402" t="s">
        <v>159</v>
      </c>
      <c r="N1402" t="s">
        <v>226</v>
      </c>
      <c r="O1402" t="s">
        <v>311</v>
      </c>
      <c r="P1402">
        <v>4.0141611039840458E-3</v>
      </c>
      <c r="Q1402" t="s">
        <v>159</v>
      </c>
      <c r="S1402" t="s">
        <v>268</v>
      </c>
      <c r="T1402" t="s">
        <v>311</v>
      </c>
      <c r="U1402">
        <v>3.3737728015204413E-3</v>
      </c>
      <c r="V1402" t="s">
        <v>159</v>
      </c>
    </row>
    <row r="1403" spans="9:22" x14ac:dyDescent="0.45">
      <c r="I1403" t="s">
        <v>183</v>
      </c>
      <c r="J1403" t="s">
        <v>298</v>
      </c>
      <c r="K1403">
        <v>1.5768203118183121E-2</v>
      </c>
      <c r="L1403" t="s">
        <v>159</v>
      </c>
      <c r="N1403" t="s">
        <v>226</v>
      </c>
      <c r="O1403" t="s">
        <v>298</v>
      </c>
      <c r="P1403">
        <v>6.5245515919235761E-2</v>
      </c>
      <c r="Q1403" t="s">
        <v>159</v>
      </c>
      <c r="S1403" t="s">
        <v>268</v>
      </c>
      <c r="T1403" t="s">
        <v>298</v>
      </c>
      <c r="U1403">
        <v>8.3674906702893029E-2</v>
      </c>
      <c r="V1403" t="s">
        <v>159</v>
      </c>
    </row>
    <row r="1404" spans="9:22" x14ac:dyDescent="0.45">
      <c r="I1404" t="s">
        <v>183</v>
      </c>
      <c r="J1404" t="s">
        <v>299</v>
      </c>
      <c r="K1404">
        <v>2.158160154252773E-2</v>
      </c>
      <c r="L1404" t="s">
        <v>159</v>
      </c>
      <c r="N1404" t="s">
        <v>226</v>
      </c>
      <c r="O1404" t="s">
        <v>299</v>
      </c>
      <c r="P1404">
        <v>9.6040599863142419E-3</v>
      </c>
      <c r="Q1404" t="s">
        <v>159</v>
      </c>
      <c r="S1404" t="s">
        <v>268</v>
      </c>
      <c r="T1404" t="s">
        <v>299</v>
      </c>
      <c r="U1404">
        <v>1.1817396441072998E-2</v>
      </c>
      <c r="V1404" t="s">
        <v>159</v>
      </c>
    </row>
    <row r="1405" spans="9:22" x14ac:dyDescent="0.45">
      <c r="I1405" t="s">
        <v>183</v>
      </c>
      <c r="J1405" t="s">
        <v>300</v>
      </c>
      <c r="K1405">
        <v>0.24800749091290275</v>
      </c>
      <c r="L1405" t="s">
        <v>159</v>
      </c>
      <c r="N1405" t="s">
        <v>226</v>
      </c>
      <c r="O1405" t="s">
        <v>300</v>
      </c>
      <c r="P1405">
        <v>0.14646161677021691</v>
      </c>
      <c r="Q1405" t="s">
        <v>159</v>
      </c>
      <c r="S1405" t="s">
        <v>268</v>
      </c>
      <c r="T1405" t="s">
        <v>300</v>
      </c>
      <c r="U1405">
        <v>0.10682027709333571</v>
      </c>
      <c r="V1405" t="s">
        <v>159</v>
      </c>
    </row>
    <row r="1406" spans="9:22" x14ac:dyDescent="0.45">
      <c r="I1406" t="s">
        <v>183</v>
      </c>
      <c r="J1406" t="s">
        <v>301</v>
      </c>
      <c r="K1406">
        <v>1.9322467992692178E-2</v>
      </c>
      <c r="L1406" t="s">
        <v>159</v>
      </c>
      <c r="N1406" t="s">
        <v>226</v>
      </c>
      <c r="O1406" t="s">
        <v>301</v>
      </c>
      <c r="P1406">
        <v>2.4724517191561005E-2</v>
      </c>
      <c r="Q1406" t="s">
        <v>159</v>
      </c>
      <c r="S1406" t="s">
        <v>268</v>
      </c>
      <c r="T1406" t="s">
        <v>301</v>
      </c>
      <c r="U1406">
        <v>1.2200729065448425E-2</v>
      </c>
      <c r="V1406" t="s">
        <v>159</v>
      </c>
    </row>
    <row r="1407" spans="9:22" x14ac:dyDescent="0.45">
      <c r="I1407" t="s">
        <v>183</v>
      </c>
      <c r="J1407" t="s">
        <v>302</v>
      </c>
      <c r="K1407">
        <v>6.4230464767589795E-3</v>
      </c>
      <c r="L1407" t="s">
        <v>159</v>
      </c>
      <c r="N1407" t="s">
        <v>226</v>
      </c>
      <c r="O1407" t="s">
        <v>302</v>
      </c>
      <c r="P1407">
        <v>2.0299955594399881E-2</v>
      </c>
      <c r="Q1407" t="s">
        <v>159</v>
      </c>
      <c r="S1407" t="s">
        <v>268</v>
      </c>
      <c r="T1407" t="s">
        <v>302</v>
      </c>
      <c r="U1407">
        <v>1.2117107659758939E-2</v>
      </c>
      <c r="V1407" t="s">
        <v>159</v>
      </c>
    </row>
    <row r="1408" spans="9:22" x14ac:dyDescent="0.45">
      <c r="I1408" t="s">
        <v>183</v>
      </c>
      <c r="J1408" t="s">
        <v>312</v>
      </c>
      <c r="K1408">
        <v>0</v>
      </c>
      <c r="L1408" t="s">
        <v>159</v>
      </c>
      <c r="N1408" t="s">
        <v>226</v>
      </c>
      <c r="O1408" t="s">
        <v>312</v>
      </c>
      <c r="P1408">
        <v>5.2891550367774022E-2</v>
      </c>
      <c r="Q1408" t="s">
        <v>159</v>
      </c>
      <c r="S1408" t="s">
        <v>268</v>
      </c>
      <c r="T1408" t="s">
        <v>312</v>
      </c>
      <c r="U1408">
        <v>5.9782649404834E-2</v>
      </c>
      <c r="V1408" t="s">
        <v>159</v>
      </c>
    </row>
    <row r="1409" spans="9:22" x14ac:dyDescent="0.45">
      <c r="I1409" t="s">
        <v>183</v>
      </c>
      <c r="J1409" t="s">
        <v>397</v>
      </c>
      <c r="K1409">
        <v>0</v>
      </c>
      <c r="L1409" t="s">
        <v>159</v>
      </c>
      <c r="N1409" t="s">
        <v>226</v>
      </c>
      <c r="O1409" t="s">
        <v>397</v>
      </c>
      <c r="P1409">
        <v>4.9997857995221541E-6</v>
      </c>
      <c r="Q1409" t="s">
        <v>159</v>
      </c>
      <c r="S1409" t="s">
        <v>268</v>
      </c>
      <c r="T1409" t="s">
        <v>397</v>
      </c>
      <c r="U1409">
        <v>2.0806655595940405E-4</v>
      </c>
      <c r="V1409" t="s">
        <v>159</v>
      </c>
    </row>
    <row r="1410" spans="9:22" x14ac:dyDescent="0.45">
      <c r="I1410" t="s">
        <v>183</v>
      </c>
      <c r="J1410" t="s">
        <v>398</v>
      </c>
      <c r="K1410">
        <v>0</v>
      </c>
      <c r="L1410" t="s">
        <v>159</v>
      </c>
      <c r="N1410" t="s">
        <v>226</v>
      </c>
      <c r="O1410" t="s">
        <v>398</v>
      </c>
      <c r="P1410">
        <v>8.7874165371605366E-6</v>
      </c>
      <c r="Q1410" t="s">
        <v>159</v>
      </c>
      <c r="S1410" t="s">
        <v>268</v>
      </c>
      <c r="T1410" t="s">
        <v>398</v>
      </c>
      <c r="U1410">
        <v>2.0189647578539827E-4</v>
      </c>
      <c r="V1410" t="s">
        <v>159</v>
      </c>
    </row>
    <row r="1411" spans="9:22" x14ac:dyDescent="0.45">
      <c r="I1411" t="s">
        <v>183</v>
      </c>
      <c r="J1411" t="s">
        <v>399</v>
      </c>
      <c r="K1411">
        <v>0</v>
      </c>
      <c r="L1411" t="s">
        <v>159</v>
      </c>
      <c r="N1411" t="s">
        <v>226</v>
      </c>
      <c r="O1411" t="s">
        <v>399</v>
      </c>
      <c r="P1411">
        <v>1.0153578135934646E-5</v>
      </c>
      <c r="Q1411" t="s">
        <v>159</v>
      </c>
      <c r="S1411" t="s">
        <v>268</v>
      </c>
      <c r="T1411" t="s">
        <v>399</v>
      </c>
      <c r="U1411">
        <v>1.9797673154124928E-4</v>
      </c>
      <c r="V1411" t="s">
        <v>159</v>
      </c>
    </row>
    <row r="1412" spans="9:22" x14ac:dyDescent="0.45">
      <c r="I1412" t="s">
        <v>183</v>
      </c>
      <c r="J1412" t="s">
        <v>400</v>
      </c>
      <c r="K1412">
        <v>0</v>
      </c>
      <c r="L1412" t="s">
        <v>159</v>
      </c>
      <c r="N1412" t="s">
        <v>226</v>
      </c>
      <c r="O1412" t="s">
        <v>400</v>
      </c>
      <c r="P1412">
        <v>1.261453002147508E-5</v>
      </c>
      <c r="Q1412" t="s">
        <v>159</v>
      </c>
      <c r="S1412" t="s">
        <v>268</v>
      </c>
      <c r="T1412" t="s">
        <v>400</v>
      </c>
      <c r="U1412">
        <v>1.8113185954051069E-4</v>
      </c>
      <c r="V1412" t="s">
        <v>159</v>
      </c>
    </row>
    <row r="1413" spans="9:22" x14ac:dyDescent="0.45">
      <c r="I1413" t="s">
        <v>183</v>
      </c>
      <c r="J1413" t="s">
        <v>401</v>
      </c>
      <c r="K1413">
        <v>0</v>
      </c>
      <c r="L1413" t="s">
        <v>159</v>
      </c>
      <c r="N1413" t="s">
        <v>226</v>
      </c>
      <c r="O1413" t="s">
        <v>401</v>
      </c>
      <c r="P1413">
        <v>6.6621879496750164E-6</v>
      </c>
      <c r="Q1413" t="s">
        <v>159</v>
      </c>
      <c r="S1413" t="s">
        <v>268</v>
      </c>
      <c r="T1413" t="s">
        <v>401</v>
      </c>
      <c r="U1413">
        <v>1.7203987624662647E-4</v>
      </c>
      <c r="V1413" t="s">
        <v>159</v>
      </c>
    </row>
    <row r="1414" spans="9:22" x14ac:dyDescent="0.45">
      <c r="I1414" t="s">
        <v>183</v>
      </c>
      <c r="J1414" t="s">
        <v>402</v>
      </c>
      <c r="K1414">
        <v>0</v>
      </c>
      <c r="L1414" t="s">
        <v>159</v>
      </c>
      <c r="N1414" t="s">
        <v>226</v>
      </c>
      <c r="O1414" t="s">
        <v>402</v>
      </c>
      <c r="P1414">
        <v>3.5017566411106443E-6</v>
      </c>
      <c r="Q1414" t="s">
        <v>159</v>
      </c>
      <c r="S1414" t="s">
        <v>268</v>
      </c>
      <c r="T1414" t="s">
        <v>402</v>
      </c>
      <c r="U1414">
        <v>1.5617133963743277E-4</v>
      </c>
      <c r="V1414" t="s">
        <v>159</v>
      </c>
    </row>
    <row r="1415" spans="9:22" x14ac:dyDescent="0.45">
      <c r="I1415" t="s">
        <v>183</v>
      </c>
      <c r="J1415" t="s">
        <v>403</v>
      </c>
      <c r="K1415">
        <v>1.8376385285900763E-4</v>
      </c>
      <c r="L1415" t="s">
        <v>159</v>
      </c>
      <c r="N1415" t="s">
        <v>226</v>
      </c>
      <c r="O1415" t="s">
        <v>403</v>
      </c>
      <c r="P1415">
        <v>1.2834094153007082E-6</v>
      </c>
      <c r="Q1415" t="s">
        <v>159</v>
      </c>
      <c r="S1415" t="s">
        <v>268</v>
      </c>
      <c r="T1415" t="s">
        <v>403</v>
      </c>
      <c r="U1415">
        <v>1.4520279847985882E-4</v>
      </c>
      <c r="V1415" t="s">
        <v>159</v>
      </c>
    </row>
    <row r="1416" spans="9:22" x14ac:dyDescent="0.45">
      <c r="I1416" t="s">
        <v>183</v>
      </c>
      <c r="J1416" t="s">
        <v>404</v>
      </c>
      <c r="K1416">
        <v>2.5230963953889345E-4</v>
      </c>
      <c r="L1416" t="s">
        <v>159</v>
      </c>
      <c r="N1416" t="s">
        <v>226</v>
      </c>
      <c r="O1416" t="s">
        <v>404</v>
      </c>
      <c r="P1416">
        <v>1.1340316597684006E-6</v>
      </c>
      <c r="Q1416" t="s">
        <v>159</v>
      </c>
      <c r="S1416" t="s">
        <v>268</v>
      </c>
      <c r="T1416" t="s">
        <v>404</v>
      </c>
      <c r="U1416">
        <v>1.3740185330010269E-4</v>
      </c>
      <c r="V1416" t="s">
        <v>159</v>
      </c>
    </row>
    <row r="1417" spans="9:22" x14ac:dyDescent="0.45">
      <c r="I1417" t="s">
        <v>183</v>
      </c>
      <c r="J1417" t="s">
        <v>405</v>
      </c>
      <c r="K1417">
        <v>2.9305154824368982E-4</v>
      </c>
      <c r="L1417" t="s">
        <v>159</v>
      </c>
      <c r="N1417" t="s">
        <v>226</v>
      </c>
      <c r="O1417" t="s">
        <v>405</v>
      </c>
      <c r="P1417">
        <v>9.7042844086216466E-7</v>
      </c>
      <c r="Q1417" t="s">
        <v>159</v>
      </c>
      <c r="S1417" t="s">
        <v>268</v>
      </c>
      <c r="T1417" t="s">
        <v>405</v>
      </c>
      <c r="U1417">
        <v>1.3966980147533741E-4</v>
      </c>
      <c r="V1417" t="s">
        <v>159</v>
      </c>
    </row>
    <row r="1418" spans="9:22" x14ac:dyDescent="0.45">
      <c r="I1418" t="s">
        <v>183</v>
      </c>
      <c r="J1418" t="s">
        <v>406</v>
      </c>
      <c r="K1418">
        <v>2.9203678569480752E-4</v>
      </c>
      <c r="L1418" t="s">
        <v>159</v>
      </c>
      <c r="N1418" t="s">
        <v>226</v>
      </c>
      <c r="O1418" t="s">
        <v>406</v>
      </c>
      <c r="P1418">
        <v>1.880336217321436E-7</v>
      </c>
      <c r="Q1418" t="s">
        <v>159</v>
      </c>
      <c r="S1418" t="s">
        <v>268</v>
      </c>
      <c r="T1418" t="s">
        <v>406</v>
      </c>
      <c r="U1418">
        <v>1.2820439077856124E-4</v>
      </c>
      <c r="V1418" t="s">
        <v>159</v>
      </c>
    </row>
    <row r="1419" spans="9:22" x14ac:dyDescent="0.45">
      <c r="I1419" t="s">
        <v>183</v>
      </c>
      <c r="J1419" t="s">
        <v>407</v>
      </c>
      <c r="K1419">
        <v>2.937766840318245E-4</v>
      </c>
      <c r="L1419" t="s">
        <v>159</v>
      </c>
      <c r="N1419" t="s">
        <v>226</v>
      </c>
      <c r="O1419" t="s">
        <v>407</v>
      </c>
      <c r="P1419">
        <v>2.2737240700656952E-6</v>
      </c>
      <c r="Q1419" t="s">
        <v>159</v>
      </c>
      <c r="S1419" t="s">
        <v>268</v>
      </c>
      <c r="T1419" t="s">
        <v>407</v>
      </c>
      <c r="U1419">
        <v>1.1964261080173383E-4</v>
      </c>
      <c r="V1419" t="s">
        <v>159</v>
      </c>
    </row>
    <row r="1420" spans="9:22" x14ac:dyDescent="0.45">
      <c r="I1420" t="s">
        <v>183</v>
      </c>
      <c r="J1420" t="s">
        <v>408</v>
      </c>
      <c r="K1420">
        <v>3.1115831644595816E-4</v>
      </c>
      <c r="L1420" t="s">
        <v>159</v>
      </c>
      <c r="N1420" t="s">
        <v>226</v>
      </c>
      <c r="O1420" t="s">
        <v>408</v>
      </c>
      <c r="P1420">
        <v>1.4745922902787291E-5</v>
      </c>
      <c r="Q1420" t="s">
        <v>159</v>
      </c>
      <c r="S1420" t="s">
        <v>268</v>
      </c>
      <c r="T1420" t="s">
        <v>408</v>
      </c>
      <c r="U1420">
        <v>1.1877495529384546E-4</v>
      </c>
      <c r="V1420" t="s">
        <v>159</v>
      </c>
    </row>
    <row r="1421" spans="9:22" x14ac:dyDescent="0.45">
      <c r="I1421" t="s">
        <v>183</v>
      </c>
      <c r="J1421" t="s">
        <v>409</v>
      </c>
      <c r="K1421">
        <v>3.2886117910819654E-4</v>
      </c>
      <c r="L1421" t="s">
        <v>159</v>
      </c>
      <c r="N1421" t="s">
        <v>226</v>
      </c>
      <c r="O1421" t="s">
        <v>409</v>
      </c>
      <c r="P1421">
        <v>1.9436243876667668E-5</v>
      </c>
      <c r="Q1421" t="s">
        <v>159</v>
      </c>
      <c r="S1421" t="s">
        <v>268</v>
      </c>
      <c r="T1421" t="s">
        <v>409</v>
      </c>
      <c r="U1421">
        <v>1.1412707495329307E-4</v>
      </c>
      <c r="V1421" t="s">
        <v>159</v>
      </c>
    </row>
    <row r="1422" spans="9:22" x14ac:dyDescent="0.45">
      <c r="I1422" t="s">
        <v>183</v>
      </c>
      <c r="J1422" t="s">
        <v>410</v>
      </c>
      <c r="K1422">
        <v>2.9990396899439196E-4</v>
      </c>
      <c r="L1422" t="s">
        <v>159</v>
      </c>
      <c r="N1422" t="s">
        <v>226</v>
      </c>
      <c r="O1422" t="s">
        <v>410</v>
      </c>
      <c r="P1422">
        <v>3.4861625081083151E-5</v>
      </c>
      <c r="Q1422" t="s">
        <v>159</v>
      </c>
      <c r="S1422" t="s">
        <v>268</v>
      </c>
      <c r="T1422" t="s">
        <v>410</v>
      </c>
      <c r="U1422">
        <v>1.0740556171001394E-4</v>
      </c>
      <c r="V1422" t="s">
        <v>159</v>
      </c>
    </row>
    <row r="1423" spans="9:22" x14ac:dyDescent="0.45">
      <c r="I1423" t="s">
        <v>183</v>
      </c>
      <c r="J1423" t="s">
        <v>411</v>
      </c>
      <c r="K1423">
        <v>2.8245265992552784E-4</v>
      </c>
      <c r="L1423" t="s">
        <v>159</v>
      </c>
      <c r="N1423" t="s">
        <v>226</v>
      </c>
      <c r="O1423" t="s">
        <v>411</v>
      </c>
      <c r="P1423">
        <v>5.6388050286818217E-5</v>
      </c>
      <c r="Q1423" t="s">
        <v>159</v>
      </c>
      <c r="S1423" t="s">
        <v>268</v>
      </c>
      <c r="T1423" t="s">
        <v>411</v>
      </c>
      <c r="U1423">
        <v>8.7653645555925931E-5</v>
      </c>
      <c r="V1423" t="s">
        <v>159</v>
      </c>
    </row>
    <row r="1424" spans="9:22" x14ac:dyDescent="0.45">
      <c r="I1424" t="s">
        <v>183</v>
      </c>
      <c r="J1424" t="s">
        <v>412</v>
      </c>
      <c r="K1424">
        <v>2.7825899432983394E-4</v>
      </c>
      <c r="L1424" t="s">
        <v>159</v>
      </c>
      <c r="N1424" t="s">
        <v>226</v>
      </c>
      <c r="O1424" t="s">
        <v>412</v>
      </c>
      <c r="P1424">
        <v>1.2532275581970378E-4</v>
      </c>
      <c r="Q1424" t="s">
        <v>159</v>
      </c>
      <c r="S1424" t="s">
        <v>268</v>
      </c>
      <c r="T1424" t="s">
        <v>412</v>
      </c>
      <c r="U1424">
        <v>6.2746240987360139E-5</v>
      </c>
      <c r="V1424" t="s">
        <v>159</v>
      </c>
    </row>
    <row r="1425" spans="9:22" x14ac:dyDescent="0.45">
      <c r="I1425" t="s">
        <v>183</v>
      </c>
      <c r="J1425" t="s">
        <v>413</v>
      </c>
      <c r="K1425">
        <v>2.741717040062851E-4</v>
      </c>
      <c r="L1425" t="s">
        <v>159</v>
      </c>
      <c r="N1425" t="s">
        <v>226</v>
      </c>
      <c r="O1425" t="s">
        <v>413</v>
      </c>
      <c r="P1425">
        <v>2.519699921598746E-4</v>
      </c>
      <c r="Q1425" t="s">
        <v>159</v>
      </c>
      <c r="S1425" t="s">
        <v>268</v>
      </c>
      <c r="T1425" t="s">
        <v>413</v>
      </c>
      <c r="U1425">
        <v>4.8352532314864619E-5</v>
      </c>
      <c r="V1425" t="s">
        <v>159</v>
      </c>
    </row>
    <row r="1426" spans="9:22" x14ac:dyDescent="0.45">
      <c r="I1426" t="s">
        <v>183</v>
      </c>
      <c r="J1426" t="s">
        <v>414</v>
      </c>
      <c r="K1426">
        <v>2.1523543559775332E-4</v>
      </c>
      <c r="L1426" t="s">
        <v>159</v>
      </c>
      <c r="N1426" t="s">
        <v>226</v>
      </c>
      <c r="O1426" t="s">
        <v>414</v>
      </c>
      <c r="P1426">
        <v>3.0733711027578972E-4</v>
      </c>
      <c r="Q1426" t="s">
        <v>159</v>
      </c>
      <c r="S1426" t="s">
        <v>268</v>
      </c>
      <c r="T1426" t="s">
        <v>414</v>
      </c>
      <c r="U1426">
        <v>3.7516571261982757E-5</v>
      </c>
      <c r="V1426" t="s">
        <v>159</v>
      </c>
    </row>
    <row r="1427" spans="9:22" x14ac:dyDescent="0.45">
      <c r="I1427" t="s">
        <v>183</v>
      </c>
      <c r="J1427" t="s">
        <v>415</v>
      </c>
      <c r="K1427">
        <v>0</v>
      </c>
      <c r="L1427" t="s">
        <v>159</v>
      </c>
      <c r="N1427" t="s">
        <v>226</v>
      </c>
      <c r="O1427" t="s">
        <v>415</v>
      </c>
      <c r="P1427">
        <v>2.2372498130121958E-4</v>
      </c>
      <c r="Q1427" t="s">
        <v>159</v>
      </c>
      <c r="S1427" t="s">
        <v>268</v>
      </c>
      <c r="T1427" t="s">
        <v>415</v>
      </c>
      <c r="U1427">
        <v>2.4934159633111565E-5</v>
      </c>
      <c r="V1427" t="s">
        <v>159</v>
      </c>
    </row>
    <row r="1428" spans="9:22" x14ac:dyDescent="0.45">
      <c r="I1428" t="s">
        <v>183</v>
      </c>
      <c r="J1428" t="s">
        <v>416</v>
      </c>
      <c r="K1428">
        <v>0</v>
      </c>
      <c r="L1428" t="s">
        <v>159</v>
      </c>
      <c r="N1428" t="s">
        <v>226</v>
      </c>
      <c r="O1428" t="s">
        <v>416</v>
      </c>
      <c r="P1428">
        <v>9.0253616388685418E-5</v>
      </c>
      <c r="Q1428" t="s">
        <v>159</v>
      </c>
      <c r="S1428" t="s">
        <v>268</v>
      </c>
      <c r="T1428" t="s">
        <v>416</v>
      </c>
      <c r="U1428">
        <v>9.7458058225415023E-6</v>
      </c>
      <c r="V1428" t="s">
        <v>159</v>
      </c>
    </row>
    <row r="1429" spans="9:22" x14ac:dyDescent="0.45">
      <c r="I1429" t="s">
        <v>183</v>
      </c>
      <c r="J1429" t="s">
        <v>417</v>
      </c>
      <c r="K1429">
        <v>0</v>
      </c>
      <c r="L1429" t="s">
        <v>159</v>
      </c>
      <c r="N1429" t="s">
        <v>226</v>
      </c>
      <c r="O1429" t="s">
        <v>417</v>
      </c>
      <c r="P1429">
        <v>5.7665456549654653E-5</v>
      </c>
      <c r="Q1429" t="s">
        <v>159</v>
      </c>
      <c r="S1429" t="s">
        <v>268</v>
      </c>
      <c r="T1429" t="s">
        <v>417</v>
      </c>
      <c r="U1429">
        <v>1.7991966646864408E-6</v>
      </c>
      <c r="V1429" t="s">
        <v>159</v>
      </c>
    </row>
    <row r="1430" spans="9:22" x14ac:dyDescent="0.45">
      <c r="I1430" t="s">
        <v>183</v>
      </c>
      <c r="J1430" t="s">
        <v>418</v>
      </c>
      <c r="K1430">
        <v>0</v>
      </c>
      <c r="L1430" t="s">
        <v>159</v>
      </c>
      <c r="N1430" t="s">
        <v>226</v>
      </c>
      <c r="O1430" t="s">
        <v>418</v>
      </c>
      <c r="P1430">
        <v>3.1497947286784943E-5</v>
      </c>
      <c r="Q1430" t="s">
        <v>159</v>
      </c>
      <c r="S1430" t="s">
        <v>268</v>
      </c>
      <c r="T1430" t="s">
        <v>418</v>
      </c>
      <c r="U1430">
        <v>4.0198260714998734E-7</v>
      </c>
      <c r="V1430" t="s">
        <v>159</v>
      </c>
    </row>
    <row r="1431" spans="9:22" x14ac:dyDescent="0.45">
      <c r="I1431" t="s">
        <v>183</v>
      </c>
      <c r="J1431" t="s">
        <v>419</v>
      </c>
      <c r="K1431">
        <v>0</v>
      </c>
      <c r="L1431" t="s">
        <v>159</v>
      </c>
      <c r="N1431" t="s">
        <v>226</v>
      </c>
      <c r="O1431" t="s">
        <v>419</v>
      </c>
      <c r="P1431">
        <v>1.7275207221931641E-5</v>
      </c>
      <c r="Q1431" t="s">
        <v>159</v>
      </c>
      <c r="S1431" t="s">
        <v>268</v>
      </c>
      <c r="T1431" t="s">
        <v>419</v>
      </c>
      <c r="U1431">
        <v>8.6204077749134663E-7</v>
      </c>
      <c r="V1431" t="s">
        <v>159</v>
      </c>
    </row>
    <row r="1432" spans="9:22" x14ac:dyDescent="0.45">
      <c r="I1432" t="s">
        <v>183</v>
      </c>
      <c r="J1432" t="s">
        <v>420</v>
      </c>
      <c r="K1432">
        <v>0</v>
      </c>
      <c r="L1432" t="s">
        <v>159</v>
      </c>
      <c r="N1432" t="s">
        <v>226</v>
      </c>
      <c r="O1432" t="s">
        <v>420</v>
      </c>
      <c r="P1432">
        <v>1.0707156766398149E-5</v>
      </c>
      <c r="Q1432" t="s">
        <v>159</v>
      </c>
      <c r="S1432" t="s">
        <v>268</v>
      </c>
      <c r="T1432" t="s">
        <v>420</v>
      </c>
      <c r="U1432">
        <v>6.2939825162961387E-6</v>
      </c>
      <c r="V1432" t="s">
        <v>159</v>
      </c>
    </row>
    <row r="1433" spans="9:22" x14ac:dyDescent="0.45">
      <c r="I1433" t="s">
        <v>183</v>
      </c>
      <c r="J1433" t="s">
        <v>313</v>
      </c>
      <c r="K1433">
        <v>7.9924018114853872E-3</v>
      </c>
      <c r="L1433" t="s">
        <v>159</v>
      </c>
      <c r="N1433" t="s">
        <v>226</v>
      </c>
      <c r="O1433" t="s">
        <v>313</v>
      </c>
      <c r="P1433">
        <v>5.0585449166122608E-3</v>
      </c>
      <c r="Q1433" t="s">
        <v>159</v>
      </c>
      <c r="S1433" t="s">
        <v>268</v>
      </c>
      <c r="T1433" t="s">
        <v>313</v>
      </c>
      <c r="U1433">
        <v>1.9160377657247069E-2</v>
      </c>
      <c r="V1433" t="s">
        <v>159</v>
      </c>
    </row>
    <row r="1434" spans="9:22" x14ac:dyDescent="0.45">
      <c r="I1434" t="s">
        <v>183</v>
      </c>
      <c r="J1434" t="s">
        <v>314</v>
      </c>
      <c r="K1434">
        <v>7.2356298822827932E-3</v>
      </c>
      <c r="L1434" t="s">
        <v>159</v>
      </c>
      <c r="N1434" t="s">
        <v>226</v>
      </c>
      <c r="O1434" t="s">
        <v>314</v>
      </c>
      <c r="P1434">
        <v>6.0536100752909021E-4</v>
      </c>
      <c r="Q1434" t="s">
        <v>159</v>
      </c>
      <c r="S1434" t="s">
        <v>268</v>
      </c>
      <c r="T1434" t="s">
        <v>314</v>
      </c>
      <c r="U1434">
        <v>2.818550670940086E-3</v>
      </c>
      <c r="V1434" t="s">
        <v>159</v>
      </c>
    </row>
    <row r="1435" spans="9:22" x14ac:dyDescent="0.45">
      <c r="I1435" t="s">
        <v>183</v>
      </c>
      <c r="J1435" t="s">
        <v>315</v>
      </c>
      <c r="K1435">
        <v>8.1147337314719722E-2</v>
      </c>
      <c r="L1435" t="s">
        <v>159</v>
      </c>
      <c r="N1435" t="s">
        <v>226</v>
      </c>
      <c r="O1435" t="s">
        <v>315</v>
      </c>
      <c r="P1435">
        <v>2.235758651741343E-2</v>
      </c>
      <c r="Q1435" t="s">
        <v>159</v>
      </c>
      <c r="S1435" t="s">
        <v>268</v>
      </c>
      <c r="T1435" t="s">
        <v>315</v>
      </c>
      <c r="U1435">
        <v>2.7425640591494216E-2</v>
      </c>
      <c r="V1435" t="s">
        <v>159</v>
      </c>
    </row>
    <row r="1436" spans="9:22" x14ac:dyDescent="0.45">
      <c r="I1436" t="s">
        <v>183</v>
      </c>
      <c r="J1436" t="s">
        <v>316</v>
      </c>
      <c r="K1436">
        <v>5.7838706048131639E-3</v>
      </c>
      <c r="L1436" t="s">
        <v>159</v>
      </c>
      <c r="N1436" t="s">
        <v>226</v>
      </c>
      <c r="O1436" t="s">
        <v>316</v>
      </c>
      <c r="P1436">
        <v>4.7314601539704031E-3</v>
      </c>
      <c r="Q1436" t="s">
        <v>159</v>
      </c>
      <c r="S1436" t="s">
        <v>268</v>
      </c>
      <c r="T1436" t="s">
        <v>316</v>
      </c>
      <c r="U1436">
        <v>3.1489277564682228E-3</v>
      </c>
      <c r="V1436" t="s">
        <v>159</v>
      </c>
    </row>
    <row r="1437" spans="9:22" x14ac:dyDescent="0.45">
      <c r="I1437" t="s">
        <v>183</v>
      </c>
      <c r="J1437" t="s">
        <v>317</v>
      </c>
      <c r="K1437">
        <v>4.1838153068480613E-3</v>
      </c>
      <c r="L1437" t="s">
        <v>159</v>
      </c>
      <c r="N1437" t="s">
        <v>226</v>
      </c>
      <c r="O1437" t="s">
        <v>317</v>
      </c>
      <c r="P1437">
        <v>3.873401113399776E-3</v>
      </c>
      <c r="Q1437" t="s">
        <v>159</v>
      </c>
      <c r="S1437" t="s">
        <v>268</v>
      </c>
      <c r="T1437" t="s">
        <v>317</v>
      </c>
      <c r="U1437">
        <v>3.0546052974310435E-3</v>
      </c>
      <c r="V1437" t="s">
        <v>159</v>
      </c>
    </row>
    <row r="1438" spans="9:22" x14ac:dyDescent="0.45">
      <c r="I1438" t="s">
        <v>183</v>
      </c>
      <c r="J1438" t="s">
        <v>318</v>
      </c>
      <c r="K1438">
        <v>0</v>
      </c>
      <c r="L1438" t="s">
        <v>159</v>
      </c>
      <c r="N1438" t="s">
        <v>226</v>
      </c>
      <c r="O1438" t="s">
        <v>318</v>
      </c>
      <c r="P1438">
        <v>8.907353798215242E-3</v>
      </c>
      <c r="Q1438" t="s">
        <v>159</v>
      </c>
      <c r="S1438" t="s">
        <v>268</v>
      </c>
      <c r="T1438" t="s">
        <v>318</v>
      </c>
      <c r="U1438">
        <v>1.3613823230599105E-2</v>
      </c>
      <c r="V1438" t="s">
        <v>159</v>
      </c>
    </row>
    <row r="1439" spans="9:22" x14ac:dyDescent="0.45">
      <c r="I1439" t="s">
        <v>184</v>
      </c>
      <c r="J1439" t="s">
        <v>158</v>
      </c>
      <c r="K1439">
        <v>6.9445874433932591E-3</v>
      </c>
      <c r="L1439" t="s">
        <v>159</v>
      </c>
      <c r="N1439" t="s">
        <v>227</v>
      </c>
      <c r="O1439" t="s">
        <v>158</v>
      </c>
      <c r="P1439">
        <v>0.12225128624496666</v>
      </c>
      <c r="Q1439" t="s">
        <v>159</v>
      </c>
      <c r="S1439" t="s">
        <v>269</v>
      </c>
      <c r="T1439" t="s">
        <v>158</v>
      </c>
      <c r="U1439">
        <v>0.1204494464121165</v>
      </c>
      <c r="V1439" t="s">
        <v>159</v>
      </c>
    </row>
    <row r="1440" spans="9:22" x14ac:dyDescent="0.45">
      <c r="I1440" t="s">
        <v>184</v>
      </c>
      <c r="J1440" t="s">
        <v>160</v>
      </c>
      <c r="K1440">
        <v>2.2041097401591513E-2</v>
      </c>
      <c r="L1440" t="s">
        <v>159</v>
      </c>
      <c r="N1440" t="s">
        <v>227</v>
      </c>
      <c r="O1440" t="s">
        <v>160</v>
      </c>
      <c r="P1440">
        <v>1.671514898651659E-2</v>
      </c>
      <c r="Q1440" t="s">
        <v>159</v>
      </c>
      <c r="S1440" t="s">
        <v>269</v>
      </c>
      <c r="T1440" t="s">
        <v>160</v>
      </c>
      <c r="U1440">
        <v>1.7158986879705712E-2</v>
      </c>
      <c r="V1440" t="s">
        <v>159</v>
      </c>
    </row>
    <row r="1441" spans="9:22" x14ac:dyDescent="0.45">
      <c r="I1441" t="s">
        <v>184</v>
      </c>
      <c r="J1441" t="s">
        <v>161</v>
      </c>
      <c r="K1441">
        <v>0.37838339371089313</v>
      </c>
      <c r="L1441" t="s">
        <v>159</v>
      </c>
      <c r="N1441" t="s">
        <v>227</v>
      </c>
      <c r="O1441" t="s">
        <v>161</v>
      </c>
      <c r="P1441">
        <v>0.16687184472380495</v>
      </c>
      <c r="Q1441" t="s">
        <v>159</v>
      </c>
      <c r="S1441" t="s">
        <v>269</v>
      </c>
      <c r="T1441" t="s">
        <v>161</v>
      </c>
      <c r="U1441">
        <v>0.17010850496580945</v>
      </c>
      <c r="V1441" t="s">
        <v>159</v>
      </c>
    </row>
    <row r="1442" spans="9:22" x14ac:dyDescent="0.45">
      <c r="I1442" t="s">
        <v>184</v>
      </c>
      <c r="J1442" t="s">
        <v>287</v>
      </c>
      <c r="K1442">
        <v>3.3883408262731028E-2</v>
      </c>
      <c r="L1442" t="s">
        <v>159</v>
      </c>
      <c r="N1442" t="s">
        <v>227</v>
      </c>
      <c r="O1442" t="s">
        <v>287</v>
      </c>
      <c r="P1442">
        <v>2.1996170395566415E-2</v>
      </c>
      <c r="Q1442" t="s">
        <v>159</v>
      </c>
      <c r="S1442" t="s">
        <v>269</v>
      </c>
      <c r="T1442" t="s">
        <v>287</v>
      </c>
      <c r="U1442">
        <v>2.0878569841247498E-2</v>
      </c>
      <c r="V1442" t="s">
        <v>159</v>
      </c>
    </row>
    <row r="1443" spans="9:22" x14ac:dyDescent="0.45">
      <c r="I1443" t="s">
        <v>184</v>
      </c>
      <c r="J1443" t="s">
        <v>288</v>
      </c>
      <c r="K1443">
        <v>1.8636441018673316E-2</v>
      </c>
      <c r="L1443" t="s">
        <v>159</v>
      </c>
      <c r="N1443" t="s">
        <v>227</v>
      </c>
      <c r="O1443" t="s">
        <v>288</v>
      </c>
      <c r="P1443">
        <v>2.165298962682816E-2</v>
      </c>
      <c r="Q1443" t="s">
        <v>159</v>
      </c>
      <c r="S1443" t="s">
        <v>269</v>
      </c>
      <c r="T1443" t="s">
        <v>288</v>
      </c>
      <c r="U1443">
        <v>2.029789149085633E-2</v>
      </c>
      <c r="V1443" t="s">
        <v>159</v>
      </c>
    </row>
    <row r="1444" spans="9:22" x14ac:dyDescent="0.45">
      <c r="I1444" t="s">
        <v>184</v>
      </c>
      <c r="J1444" t="s">
        <v>308</v>
      </c>
      <c r="K1444">
        <v>6.293339160146046E-3</v>
      </c>
      <c r="L1444" t="s">
        <v>159</v>
      </c>
      <c r="N1444" t="s">
        <v>227</v>
      </c>
      <c r="O1444" t="s">
        <v>308</v>
      </c>
      <c r="P1444">
        <v>0.1009991634266082</v>
      </c>
      <c r="Q1444" t="s">
        <v>159</v>
      </c>
      <c r="S1444" t="s">
        <v>269</v>
      </c>
      <c r="T1444" t="s">
        <v>308</v>
      </c>
      <c r="U1444">
        <v>9.0585508197829748E-2</v>
      </c>
      <c r="V1444" t="s">
        <v>159</v>
      </c>
    </row>
    <row r="1445" spans="9:22" x14ac:dyDescent="0.45">
      <c r="I1445" t="s">
        <v>184</v>
      </c>
      <c r="J1445" t="s">
        <v>162</v>
      </c>
      <c r="K1445">
        <v>0</v>
      </c>
      <c r="L1445" t="s">
        <v>159</v>
      </c>
      <c r="N1445" t="s">
        <v>227</v>
      </c>
      <c r="O1445" t="s">
        <v>162</v>
      </c>
      <c r="P1445">
        <v>1.8080543619097313E-2</v>
      </c>
      <c r="Q1445" t="s">
        <v>159</v>
      </c>
      <c r="S1445" t="s">
        <v>269</v>
      </c>
      <c r="T1445" t="s">
        <v>162</v>
      </c>
      <c r="U1445">
        <v>2.7073284387605548E-2</v>
      </c>
      <c r="V1445" t="s">
        <v>159</v>
      </c>
    </row>
    <row r="1446" spans="9:22" x14ac:dyDescent="0.45">
      <c r="I1446" t="s">
        <v>184</v>
      </c>
      <c r="J1446" t="s">
        <v>163</v>
      </c>
      <c r="K1446">
        <v>0</v>
      </c>
      <c r="L1446" t="s">
        <v>159</v>
      </c>
      <c r="N1446" t="s">
        <v>227</v>
      </c>
      <c r="O1446" t="s">
        <v>163</v>
      </c>
      <c r="P1446">
        <v>2.9067025445910773E-3</v>
      </c>
      <c r="Q1446" t="s">
        <v>159</v>
      </c>
      <c r="S1446" t="s">
        <v>269</v>
      </c>
      <c r="T1446" t="s">
        <v>163</v>
      </c>
      <c r="U1446">
        <v>3.8769071864061893E-3</v>
      </c>
      <c r="V1446" t="s">
        <v>159</v>
      </c>
    </row>
    <row r="1447" spans="9:22" x14ac:dyDescent="0.45">
      <c r="I1447" t="s">
        <v>184</v>
      </c>
      <c r="J1447" t="s">
        <v>164</v>
      </c>
      <c r="K1447">
        <v>3.3755763773361702E-2</v>
      </c>
      <c r="L1447" t="s">
        <v>159</v>
      </c>
      <c r="N1447" t="s">
        <v>227</v>
      </c>
      <c r="O1447" t="s">
        <v>164</v>
      </c>
      <c r="P1447">
        <v>2.6709084064703372E-2</v>
      </c>
      <c r="Q1447" t="s">
        <v>159</v>
      </c>
      <c r="S1447" t="s">
        <v>269</v>
      </c>
      <c r="T1447" t="s">
        <v>164</v>
      </c>
      <c r="U1447">
        <v>3.106734007733292E-2</v>
      </c>
      <c r="V1447" t="s">
        <v>159</v>
      </c>
    </row>
    <row r="1448" spans="9:22" x14ac:dyDescent="0.45">
      <c r="I1448" t="s">
        <v>184</v>
      </c>
      <c r="J1448" t="s">
        <v>289</v>
      </c>
      <c r="K1448">
        <v>2.8648877433933941E-3</v>
      </c>
      <c r="L1448" t="s">
        <v>159</v>
      </c>
      <c r="N1448" t="s">
        <v>227</v>
      </c>
      <c r="O1448" t="s">
        <v>289</v>
      </c>
      <c r="P1448">
        <v>3.3457354951482348E-3</v>
      </c>
      <c r="Q1448" t="s">
        <v>159</v>
      </c>
      <c r="S1448" t="s">
        <v>269</v>
      </c>
      <c r="T1448" t="s">
        <v>289</v>
      </c>
      <c r="U1448">
        <v>3.3300010947187268E-3</v>
      </c>
      <c r="V1448" t="s">
        <v>159</v>
      </c>
    </row>
    <row r="1449" spans="9:22" x14ac:dyDescent="0.45">
      <c r="I1449" t="s">
        <v>184</v>
      </c>
      <c r="J1449" t="s">
        <v>290</v>
      </c>
      <c r="K1449">
        <v>0</v>
      </c>
      <c r="L1449" t="s">
        <v>159</v>
      </c>
      <c r="N1449" t="s">
        <v>227</v>
      </c>
      <c r="O1449" t="s">
        <v>290</v>
      </c>
      <c r="P1449">
        <v>3.1806589136843429E-3</v>
      </c>
      <c r="Q1449" t="s">
        <v>159</v>
      </c>
      <c r="S1449" t="s">
        <v>269</v>
      </c>
      <c r="T1449" t="s">
        <v>290</v>
      </c>
      <c r="U1449">
        <v>3.5086552938050279E-3</v>
      </c>
      <c r="V1449" t="s">
        <v>159</v>
      </c>
    </row>
    <row r="1450" spans="9:22" x14ac:dyDescent="0.45">
      <c r="I1450" t="s">
        <v>184</v>
      </c>
      <c r="J1450" t="s">
        <v>309</v>
      </c>
      <c r="K1450">
        <v>0</v>
      </c>
      <c r="L1450" t="s">
        <v>159</v>
      </c>
      <c r="N1450" t="s">
        <v>227</v>
      </c>
      <c r="O1450" t="s">
        <v>309</v>
      </c>
      <c r="P1450">
        <v>1.3689014930457924E-2</v>
      </c>
      <c r="Q1450" t="s">
        <v>159</v>
      </c>
      <c r="S1450" t="s">
        <v>269</v>
      </c>
      <c r="T1450" t="s">
        <v>309</v>
      </c>
      <c r="U1450">
        <v>1.8599165948639074E-2</v>
      </c>
      <c r="V1450" t="s">
        <v>159</v>
      </c>
    </row>
    <row r="1451" spans="9:22" x14ac:dyDescent="0.45">
      <c r="I1451" t="s">
        <v>184</v>
      </c>
      <c r="J1451" t="s">
        <v>346</v>
      </c>
      <c r="K1451">
        <v>0</v>
      </c>
      <c r="L1451" t="s">
        <v>159</v>
      </c>
      <c r="N1451" t="s">
        <v>227</v>
      </c>
      <c r="O1451" t="s">
        <v>346</v>
      </c>
      <c r="P1451">
        <v>5.6785015058216534E-5</v>
      </c>
      <c r="Q1451" t="s">
        <v>159</v>
      </c>
      <c r="S1451" t="s">
        <v>269</v>
      </c>
      <c r="T1451" t="s">
        <v>346</v>
      </c>
      <c r="U1451">
        <v>3.1434736406826358E-5</v>
      </c>
      <c r="V1451" t="s">
        <v>159</v>
      </c>
    </row>
    <row r="1452" spans="9:22" x14ac:dyDescent="0.45">
      <c r="I1452" t="s">
        <v>184</v>
      </c>
      <c r="J1452" t="s">
        <v>347</v>
      </c>
      <c r="K1452">
        <v>0</v>
      </c>
      <c r="L1452" t="s">
        <v>159</v>
      </c>
      <c r="N1452" t="s">
        <v>227</v>
      </c>
      <c r="O1452" t="s">
        <v>347</v>
      </c>
      <c r="P1452">
        <v>5.5437674579338547E-5</v>
      </c>
      <c r="Q1452" t="s">
        <v>159</v>
      </c>
      <c r="S1452" t="s">
        <v>269</v>
      </c>
      <c r="T1452" t="s">
        <v>347</v>
      </c>
      <c r="U1452">
        <v>2.5170640903096576E-5</v>
      </c>
      <c r="V1452" t="s">
        <v>159</v>
      </c>
    </row>
    <row r="1453" spans="9:22" x14ac:dyDescent="0.45">
      <c r="I1453" t="s">
        <v>184</v>
      </c>
      <c r="J1453" t="s">
        <v>348</v>
      </c>
      <c r="K1453">
        <v>0</v>
      </c>
      <c r="L1453" t="s">
        <v>159</v>
      </c>
      <c r="N1453" t="s">
        <v>227</v>
      </c>
      <c r="O1453" t="s">
        <v>348</v>
      </c>
      <c r="P1453">
        <v>5.3595827943659112E-5</v>
      </c>
      <c r="Q1453" t="s">
        <v>159</v>
      </c>
      <c r="S1453" t="s">
        <v>269</v>
      </c>
      <c r="T1453" t="s">
        <v>348</v>
      </c>
      <c r="U1453">
        <v>1.7928617994604399E-5</v>
      </c>
      <c r="V1453" t="s">
        <v>159</v>
      </c>
    </row>
    <row r="1454" spans="9:22" x14ac:dyDescent="0.45">
      <c r="I1454" t="s">
        <v>184</v>
      </c>
      <c r="J1454" t="s">
        <v>349</v>
      </c>
      <c r="K1454">
        <v>0</v>
      </c>
      <c r="L1454" t="s">
        <v>159</v>
      </c>
      <c r="N1454" t="s">
        <v>227</v>
      </c>
      <c r="O1454" t="s">
        <v>349</v>
      </c>
      <c r="P1454">
        <v>5.0318293123055744E-5</v>
      </c>
      <c r="Q1454" t="s">
        <v>159</v>
      </c>
      <c r="S1454" t="s">
        <v>269</v>
      </c>
      <c r="T1454" t="s">
        <v>349</v>
      </c>
      <c r="U1454">
        <v>1.2284754683050803E-5</v>
      </c>
      <c r="V1454" t="s">
        <v>159</v>
      </c>
    </row>
    <row r="1455" spans="9:22" x14ac:dyDescent="0.45">
      <c r="I1455" t="s">
        <v>184</v>
      </c>
      <c r="J1455" t="s">
        <v>350</v>
      </c>
      <c r="K1455">
        <v>0</v>
      </c>
      <c r="L1455" t="s">
        <v>159</v>
      </c>
      <c r="N1455" t="s">
        <v>227</v>
      </c>
      <c r="O1455" t="s">
        <v>350</v>
      </c>
      <c r="P1455">
        <v>4.8950172229341924E-5</v>
      </c>
      <c r="Q1455" t="s">
        <v>159</v>
      </c>
      <c r="S1455" t="s">
        <v>269</v>
      </c>
      <c r="T1455" t="s">
        <v>350</v>
      </c>
      <c r="U1455">
        <v>7.6854735479842661E-6</v>
      </c>
      <c r="V1455" t="s">
        <v>159</v>
      </c>
    </row>
    <row r="1456" spans="9:22" x14ac:dyDescent="0.45">
      <c r="I1456" t="s">
        <v>184</v>
      </c>
      <c r="J1456" t="s">
        <v>351</v>
      </c>
      <c r="K1456">
        <v>0</v>
      </c>
      <c r="L1456" t="s">
        <v>159</v>
      </c>
      <c r="N1456" t="s">
        <v>227</v>
      </c>
      <c r="O1456" t="s">
        <v>351</v>
      </c>
      <c r="P1456">
        <v>5.6083528549387707E-5</v>
      </c>
      <c r="Q1456" t="s">
        <v>159</v>
      </c>
      <c r="S1456" t="s">
        <v>269</v>
      </c>
      <c r="T1456" t="s">
        <v>351</v>
      </c>
      <c r="U1456">
        <v>6.4629524667931286E-6</v>
      </c>
      <c r="V1456" t="s">
        <v>159</v>
      </c>
    </row>
    <row r="1457" spans="9:22" x14ac:dyDescent="0.45">
      <c r="I1457" t="s">
        <v>184</v>
      </c>
      <c r="J1457" t="s">
        <v>352</v>
      </c>
      <c r="K1457">
        <v>0</v>
      </c>
      <c r="L1457" t="s">
        <v>159</v>
      </c>
      <c r="N1457" t="s">
        <v>227</v>
      </c>
      <c r="O1457" t="s">
        <v>352</v>
      </c>
      <c r="P1457">
        <v>6.577400296304467E-5</v>
      </c>
      <c r="Q1457" t="s">
        <v>159</v>
      </c>
      <c r="S1457" t="s">
        <v>269</v>
      </c>
      <c r="T1457" t="s">
        <v>352</v>
      </c>
      <c r="U1457">
        <v>8.1906319826069459E-6</v>
      </c>
      <c r="V1457" t="s">
        <v>159</v>
      </c>
    </row>
    <row r="1458" spans="9:22" x14ac:dyDescent="0.45">
      <c r="I1458" t="s">
        <v>184</v>
      </c>
      <c r="J1458" t="s">
        <v>353</v>
      </c>
      <c r="K1458">
        <v>0</v>
      </c>
      <c r="L1458" t="s">
        <v>159</v>
      </c>
      <c r="N1458" t="s">
        <v>227</v>
      </c>
      <c r="O1458" t="s">
        <v>353</v>
      </c>
      <c r="P1458">
        <v>7.8763419070188386E-5</v>
      </c>
      <c r="Q1458" t="s">
        <v>159</v>
      </c>
      <c r="S1458" t="s">
        <v>269</v>
      </c>
      <c r="T1458" t="s">
        <v>353</v>
      </c>
      <c r="U1458">
        <v>1.1526170331654425E-5</v>
      </c>
      <c r="V1458" t="s">
        <v>159</v>
      </c>
    </row>
    <row r="1459" spans="9:22" x14ac:dyDescent="0.45">
      <c r="I1459" t="s">
        <v>184</v>
      </c>
      <c r="J1459" t="s">
        <v>354</v>
      </c>
      <c r="K1459">
        <v>9.2258607879312164E-5</v>
      </c>
      <c r="L1459" t="s">
        <v>159</v>
      </c>
      <c r="N1459" t="s">
        <v>227</v>
      </c>
      <c r="O1459" t="s">
        <v>354</v>
      </c>
      <c r="P1459">
        <v>9.1796080688605008E-5</v>
      </c>
      <c r="Q1459" t="s">
        <v>159</v>
      </c>
      <c r="S1459" t="s">
        <v>269</v>
      </c>
      <c r="T1459" t="s">
        <v>354</v>
      </c>
      <c r="U1459">
        <v>1.4945498011356741E-5</v>
      </c>
      <c r="V1459" t="s">
        <v>159</v>
      </c>
    </row>
    <row r="1460" spans="9:22" x14ac:dyDescent="0.45">
      <c r="I1460" t="s">
        <v>184</v>
      </c>
      <c r="J1460" t="s">
        <v>355</v>
      </c>
      <c r="K1460">
        <v>1.1866267373922618E-4</v>
      </c>
      <c r="L1460" t="s">
        <v>159</v>
      </c>
      <c r="N1460" t="s">
        <v>227</v>
      </c>
      <c r="O1460" t="s">
        <v>355</v>
      </c>
      <c r="P1460">
        <v>1.0125460465945386E-4</v>
      </c>
      <c r="Q1460" t="s">
        <v>159</v>
      </c>
      <c r="S1460" t="s">
        <v>269</v>
      </c>
      <c r="T1460" t="s">
        <v>355</v>
      </c>
      <c r="U1460">
        <v>1.5285516772551001E-5</v>
      </c>
      <c r="V1460" t="s">
        <v>159</v>
      </c>
    </row>
    <row r="1461" spans="9:22" x14ac:dyDescent="0.45">
      <c r="I1461" t="s">
        <v>184</v>
      </c>
      <c r="J1461" t="s">
        <v>356</v>
      </c>
      <c r="K1461">
        <v>1.319112851368764E-4</v>
      </c>
      <c r="L1461" t="s">
        <v>159</v>
      </c>
      <c r="N1461" t="s">
        <v>227</v>
      </c>
      <c r="O1461" t="s">
        <v>356</v>
      </c>
      <c r="P1461">
        <v>1.1150785996346605E-4</v>
      </c>
      <c r="Q1461" t="s">
        <v>159</v>
      </c>
      <c r="S1461" t="s">
        <v>269</v>
      </c>
      <c r="T1461" t="s">
        <v>356</v>
      </c>
      <c r="U1461">
        <v>1.3738952679528906E-5</v>
      </c>
      <c r="V1461" t="s">
        <v>159</v>
      </c>
    </row>
    <row r="1462" spans="9:22" x14ac:dyDescent="0.45">
      <c r="I1462" t="s">
        <v>184</v>
      </c>
      <c r="J1462" t="s">
        <v>357</v>
      </c>
      <c r="K1462">
        <v>1.5388899972815961E-4</v>
      </c>
      <c r="L1462" t="s">
        <v>159</v>
      </c>
      <c r="N1462" t="s">
        <v>227</v>
      </c>
      <c r="O1462" t="s">
        <v>357</v>
      </c>
      <c r="P1462">
        <v>1.3069485556541449E-4</v>
      </c>
      <c r="Q1462" t="s">
        <v>159</v>
      </c>
      <c r="S1462" t="s">
        <v>269</v>
      </c>
      <c r="T1462" t="s">
        <v>357</v>
      </c>
      <c r="U1462">
        <v>2.4719789677769513E-5</v>
      </c>
      <c r="V1462" t="s">
        <v>159</v>
      </c>
    </row>
    <row r="1463" spans="9:22" x14ac:dyDescent="0.45">
      <c r="I1463" t="s">
        <v>184</v>
      </c>
      <c r="J1463" t="s">
        <v>358</v>
      </c>
      <c r="K1463">
        <v>2.0316295305357267E-4</v>
      </c>
      <c r="L1463" t="s">
        <v>159</v>
      </c>
      <c r="N1463" t="s">
        <v>227</v>
      </c>
      <c r="O1463" t="s">
        <v>358</v>
      </c>
      <c r="P1463">
        <v>1.3613642055437461E-4</v>
      </c>
      <c r="Q1463" t="s">
        <v>159</v>
      </c>
      <c r="S1463" t="s">
        <v>269</v>
      </c>
      <c r="T1463" t="s">
        <v>358</v>
      </c>
      <c r="U1463">
        <v>4.8315112734168369E-5</v>
      </c>
      <c r="V1463" t="s">
        <v>159</v>
      </c>
    </row>
    <row r="1464" spans="9:22" x14ac:dyDescent="0.45">
      <c r="I1464" t="s">
        <v>184</v>
      </c>
      <c r="J1464" t="s">
        <v>359</v>
      </c>
      <c r="K1464">
        <v>1.7196817979832658E-4</v>
      </c>
      <c r="L1464" t="s">
        <v>159</v>
      </c>
      <c r="N1464" t="s">
        <v>227</v>
      </c>
      <c r="O1464" t="s">
        <v>359</v>
      </c>
      <c r="P1464">
        <v>1.3740503832133837E-4</v>
      </c>
      <c r="Q1464" t="s">
        <v>159</v>
      </c>
      <c r="S1464" t="s">
        <v>269</v>
      </c>
      <c r="T1464" t="s">
        <v>359</v>
      </c>
      <c r="U1464">
        <v>6.3236662816837117E-5</v>
      </c>
      <c r="V1464" t="s">
        <v>159</v>
      </c>
    </row>
    <row r="1465" spans="9:22" x14ac:dyDescent="0.45">
      <c r="I1465" t="s">
        <v>184</v>
      </c>
      <c r="J1465" t="s">
        <v>360</v>
      </c>
      <c r="K1465">
        <v>1.2204965337018484E-4</v>
      </c>
      <c r="L1465" t="s">
        <v>159</v>
      </c>
      <c r="N1465" t="s">
        <v>227</v>
      </c>
      <c r="O1465" t="s">
        <v>360</v>
      </c>
      <c r="P1465">
        <v>1.3811024843760257E-4</v>
      </c>
      <c r="Q1465" t="s">
        <v>159</v>
      </c>
      <c r="S1465" t="s">
        <v>269</v>
      </c>
      <c r="T1465" t="s">
        <v>360</v>
      </c>
      <c r="U1465">
        <v>6.9525169529075561E-5</v>
      </c>
      <c r="V1465" t="s">
        <v>159</v>
      </c>
    </row>
    <row r="1466" spans="9:22" x14ac:dyDescent="0.45">
      <c r="I1466" t="s">
        <v>184</v>
      </c>
      <c r="J1466" t="s">
        <v>361</v>
      </c>
      <c r="K1466">
        <v>8.9801631129313663E-5</v>
      </c>
      <c r="L1466" t="s">
        <v>159</v>
      </c>
      <c r="N1466" t="s">
        <v>227</v>
      </c>
      <c r="O1466" t="s">
        <v>361</v>
      </c>
      <c r="P1466">
        <v>1.4138567919355052E-4</v>
      </c>
      <c r="Q1466" t="s">
        <v>159</v>
      </c>
      <c r="S1466" t="s">
        <v>269</v>
      </c>
      <c r="T1466" t="s">
        <v>361</v>
      </c>
      <c r="U1466">
        <v>6.9455955346061894E-5</v>
      </c>
      <c r="V1466" t="s">
        <v>159</v>
      </c>
    </row>
    <row r="1467" spans="9:22" x14ac:dyDescent="0.45">
      <c r="I1467" t="s">
        <v>184</v>
      </c>
      <c r="J1467" t="s">
        <v>362</v>
      </c>
      <c r="K1467">
        <v>5.6246939454542198E-5</v>
      </c>
      <c r="L1467" t="s">
        <v>159</v>
      </c>
      <c r="N1467" t="s">
        <v>227</v>
      </c>
      <c r="O1467" t="s">
        <v>362</v>
      </c>
      <c r="P1467">
        <v>1.3720861402803029E-4</v>
      </c>
      <c r="Q1467" t="s">
        <v>159</v>
      </c>
      <c r="S1467" t="s">
        <v>269</v>
      </c>
      <c r="T1467" t="s">
        <v>362</v>
      </c>
      <c r="U1467">
        <v>6.3634689478522514E-5</v>
      </c>
      <c r="V1467" t="s">
        <v>159</v>
      </c>
    </row>
    <row r="1468" spans="9:22" x14ac:dyDescent="0.45">
      <c r="I1468" t="s">
        <v>184</v>
      </c>
      <c r="J1468" t="s">
        <v>363</v>
      </c>
      <c r="K1468">
        <v>1.5708770041190357E-5</v>
      </c>
      <c r="L1468" t="s">
        <v>159</v>
      </c>
      <c r="N1468" t="s">
        <v>227</v>
      </c>
      <c r="O1468" t="s">
        <v>363</v>
      </c>
      <c r="P1468">
        <v>1.2908144469499266E-4</v>
      </c>
      <c r="Q1468" t="s">
        <v>159</v>
      </c>
      <c r="S1468" t="s">
        <v>269</v>
      </c>
      <c r="T1468" t="s">
        <v>363</v>
      </c>
      <c r="U1468">
        <v>4.8264443255930581E-5</v>
      </c>
      <c r="V1468" t="s">
        <v>159</v>
      </c>
    </row>
    <row r="1469" spans="9:22" x14ac:dyDescent="0.45">
      <c r="I1469" t="s">
        <v>184</v>
      </c>
      <c r="J1469" t="s">
        <v>364</v>
      </c>
      <c r="K1469">
        <v>0</v>
      </c>
      <c r="L1469" t="s">
        <v>159</v>
      </c>
      <c r="N1469" t="s">
        <v>227</v>
      </c>
      <c r="O1469" t="s">
        <v>364</v>
      </c>
      <c r="P1469">
        <v>1.1566564863098185E-4</v>
      </c>
      <c r="Q1469" t="s">
        <v>159</v>
      </c>
      <c r="S1469" t="s">
        <v>269</v>
      </c>
      <c r="T1469" t="s">
        <v>364</v>
      </c>
      <c r="U1469">
        <v>3.0245759132442135E-5</v>
      </c>
      <c r="V1469" t="s">
        <v>159</v>
      </c>
    </row>
    <row r="1470" spans="9:22" x14ac:dyDescent="0.45">
      <c r="I1470" t="s">
        <v>184</v>
      </c>
      <c r="J1470" t="s">
        <v>365</v>
      </c>
      <c r="K1470">
        <v>0</v>
      </c>
      <c r="L1470" t="s">
        <v>159</v>
      </c>
      <c r="N1470" t="s">
        <v>227</v>
      </c>
      <c r="O1470" t="s">
        <v>365</v>
      </c>
      <c r="P1470">
        <v>1.0670185269191254E-4</v>
      </c>
      <c r="Q1470" t="s">
        <v>159</v>
      </c>
      <c r="S1470" t="s">
        <v>269</v>
      </c>
      <c r="T1470" t="s">
        <v>365</v>
      </c>
      <c r="U1470">
        <v>1.9202522472453892E-5</v>
      </c>
      <c r="V1470" t="s">
        <v>159</v>
      </c>
    </row>
    <row r="1471" spans="9:22" x14ac:dyDescent="0.45">
      <c r="I1471" t="s">
        <v>184</v>
      </c>
      <c r="J1471" t="s">
        <v>366</v>
      </c>
      <c r="K1471">
        <v>0</v>
      </c>
      <c r="L1471" t="s">
        <v>159</v>
      </c>
      <c r="N1471" t="s">
        <v>227</v>
      </c>
      <c r="O1471" t="s">
        <v>366</v>
      </c>
      <c r="P1471">
        <v>9.8667657088695679E-5</v>
      </c>
      <c r="Q1471" t="s">
        <v>159</v>
      </c>
      <c r="S1471" t="s">
        <v>269</v>
      </c>
      <c r="T1471" t="s">
        <v>366</v>
      </c>
      <c r="U1471">
        <v>1.3825669451709546E-5</v>
      </c>
      <c r="V1471" t="s">
        <v>159</v>
      </c>
    </row>
    <row r="1472" spans="9:22" x14ac:dyDescent="0.45">
      <c r="I1472" t="s">
        <v>184</v>
      </c>
      <c r="J1472" t="s">
        <v>367</v>
      </c>
      <c r="K1472">
        <v>0</v>
      </c>
      <c r="L1472" t="s">
        <v>159</v>
      </c>
      <c r="N1472" t="s">
        <v>227</v>
      </c>
      <c r="O1472" t="s">
        <v>367</v>
      </c>
      <c r="P1472">
        <v>9.007847106125214E-5</v>
      </c>
      <c r="Q1472" t="s">
        <v>159</v>
      </c>
      <c r="S1472" t="s">
        <v>269</v>
      </c>
      <c r="T1472" t="s">
        <v>367</v>
      </c>
      <c r="U1472">
        <v>1.1232931064871206E-5</v>
      </c>
      <c r="V1472" t="s">
        <v>159</v>
      </c>
    </row>
    <row r="1473" spans="9:22" x14ac:dyDescent="0.45">
      <c r="I1473" t="s">
        <v>184</v>
      </c>
      <c r="J1473" t="s">
        <v>368</v>
      </c>
      <c r="K1473">
        <v>0</v>
      </c>
      <c r="L1473" t="s">
        <v>159</v>
      </c>
      <c r="N1473" t="s">
        <v>227</v>
      </c>
      <c r="O1473" t="s">
        <v>368</v>
      </c>
      <c r="P1473">
        <v>8.4603484315383984E-5</v>
      </c>
      <c r="Q1473" t="s">
        <v>159</v>
      </c>
      <c r="S1473" t="s">
        <v>269</v>
      </c>
      <c r="T1473" t="s">
        <v>368</v>
      </c>
      <c r="U1473">
        <v>1.0403821083317684E-5</v>
      </c>
      <c r="V1473" t="s">
        <v>159</v>
      </c>
    </row>
    <row r="1474" spans="9:22" x14ac:dyDescent="0.45">
      <c r="I1474" t="s">
        <v>184</v>
      </c>
      <c r="J1474" t="s">
        <v>369</v>
      </c>
      <c r="K1474">
        <v>0</v>
      </c>
      <c r="L1474" t="s">
        <v>159</v>
      </c>
      <c r="N1474" t="s">
        <v>227</v>
      </c>
      <c r="O1474" t="s">
        <v>369</v>
      </c>
      <c r="P1474">
        <v>7.5314126156973558E-5</v>
      </c>
      <c r="Q1474" t="s">
        <v>159</v>
      </c>
      <c r="S1474" t="s">
        <v>269</v>
      </c>
      <c r="T1474" t="s">
        <v>369</v>
      </c>
      <c r="U1474">
        <v>1.1638449729812486E-5</v>
      </c>
      <c r="V1474" t="s">
        <v>159</v>
      </c>
    </row>
    <row r="1475" spans="9:22" x14ac:dyDescent="0.45">
      <c r="I1475" t="s">
        <v>184</v>
      </c>
      <c r="J1475" t="s">
        <v>165</v>
      </c>
      <c r="K1475">
        <v>0</v>
      </c>
      <c r="L1475" t="s">
        <v>159</v>
      </c>
      <c r="N1475" t="s">
        <v>227</v>
      </c>
      <c r="O1475" t="s">
        <v>165</v>
      </c>
      <c r="P1475">
        <v>2.4297092740577557E-2</v>
      </c>
      <c r="Q1475" t="s">
        <v>159</v>
      </c>
      <c r="S1475" t="s">
        <v>269</v>
      </c>
      <c r="T1475" t="s">
        <v>165</v>
      </c>
      <c r="U1475">
        <v>2.9943317790690573E-2</v>
      </c>
      <c r="V1475" t="s">
        <v>159</v>
      </c>
    </row>
    <row r="1476" spans="9:22" x14ac:dyDescent="0.45">
      <c r="I1476" t="s">
        <v>184</v>
      </c>
      <c r="J1476" t="s">
        <v>166</v>
      </c>
      <c r="K1476">
        <v>8.3874553119506819E-4</v>
      </c>
      <c r="L1476" t="s">
        <v>159</v>
      </c>
      <c r="N1476" t="s">
        <v>227</v>
      </c>
      <c r="O1476" t="s">
        <v>166</v>
      </c>
      <c r="P1476">
        <v>3.6133870950669942E-3</v>
      </c>
      <c r="Q1476" t="s">
        <v>159</v>
      </c>
      <c r="S1476" t="s">
        <v>269</v>
      </c>
      <c r="T1476" t="s">
        <v>166</v>
      </c>
      <c r="U1476">
        <v>4.0664135408410226E-3</v>
      </c>
      <c r="V1476" t="s">
        <v>159</v>
      </c>
    </row>
    <row r="1477" spans="9:22" x14ac:dyDescent="0.45">
      <c r="I1477" t="s">
        <v>184</v>
      </c>
      <c r="J1477" t="s">
        <v>167</v>
      </c>
      <c r="K1477">
        <v>4.7280255088612347E-2</v>
      </c>
      <c r="L1477" t="s">
        <v>159</v>
      </c>
      <c r="N1477" t="s">
        <v>227</v>
      </c>
      <c r="O1477" t="s">
        <v>167</v>
      </c>
      <c r="P1477">
        <v>3.440866004675848E-2</v>
      </c>
      <c r="Q1477" t="s">
        <v>159</v>
      </c>
      <c r="S1477" t="s">
        <v>269</v>
      </c>
      <c r="T1477" t="s">
        <v>167</v>
      </c>
      <c r="U1477">
        <v>3.386574704681411E-2</v>
      </c>
      <c r="V1477" t="s">
        <v>159</v>
      </c>
    </row>
    <row r="1478" spans="9:22" x14ac:dyDescent="0.45">
      <c r="I1478" t="s">
        <v>184</v>
      </c>
      <c r="J1478" t="s">
        <v>291</v>
      </c>
      <c r="K1478">
        <v>4.1401856016099366E-3</v>
      </c>
      <c r="L1478" t="s">
        <v>159</v>
      </c>
      <c r="N1478" t="s">
        <v>227</v>
      </c>
      <c r="O1478" t="s">
        <v>291</v>
      </c>
      <c r="P1478">
        <v>4.4525705326456779E-3</v>
      </c>
      <c r="Q1478" t="s">
        <v>159</v>
      </c>
      <c r="S1478" t="s">
        <v>269</v>
      </c>
      <c r="T1478" t="s">
        <v>291</v>
      </c>
      <c r="U1478">
        <v>3.8580205621937618E-3</v>
      </c>
      <c r="V1478" t="s">
        <v>159</v>
      </c>
    </row>
    <row r="1479" spans="9:22" x14ac:dyDescent="0.45">
      <c r="I1479" t="s">
        <v>184</v>
      </c>
      <c r="J1479" t="s">
        <v>292</v>
      </c>
      <c r="K1479">
        <v>0</v>
      </c>
      <c r="L1479" t="s">
        <v>159</v>
      </c>
      <c r="N1479" t="s">
        <v>227</v>
      </c>
      <c r="O1479" t="s">
        <v>292</v>
      </c>
      <c r="P1479">
        <v>4.318084725104779E-3</v>
      </c>
      <c r="Q1479" t="s">
        <v>159</v>
      </c>
      <c r="S1479" t="s">
        <v>269</v>
      </c>
      <c r="T1479" t="s">
        <v>292</v>
      </c>
      <c r="U1479">
        <v>3.9282739700971609E-3</v>
      </c>
      <c r="V1479" t="s">
        <v>159</v>
      </c>
    </row>
    <row r="1480" spans="9:22" x14ac:dyDescent="0.45">
      <c r="I1480" t="s">
        <v>184</v>
      </c>
      <c r="J1480" t="s">
        <v>310</v>
      </c>
      <c r="K1480">
        <v>0</v>
      </c>
      <c r="L1480" t="s">
        <v>159</v>
      </c>
      <c r="N1480" t="s">
        <v>227</v>
      </c>
      <c r="O1480" t="s">
        <v>310</v>
      </c>
      <c r="P1480">
        <v>2.0239314912552691E-2</v>
      </c>
      <c r="Q1480" t="s">
        <v>159</v>
      </c>
      <c r="S1480" t="s">
        <v>269</v>
      </c>
      <c r="T1480" t="s">
        <v>310</v>
      </c>
      <c r="U1480">
        <v>2.148790016208782E-2</v>
      </c>
      <c r="V1480" t="s">
        <v>159</v>
      </c>
    </row>
    <row r="1481" spans="9:22" x14ac:dyDescent="0.45">
      <c r="I1481" t="s">
        <v>184</v>
      </c>
      <c r="J1481" t="s">
        <v>293</v>
      </c>
      <c r="K1481">
        <v>0</v>
      </c>
      <c r="L1481" t="s">
        <v>159</v>
      </c>
      <c r="N1481" t="s">
        <v>227</v>
      </c>
      <c r="O1481" t="s">
        <v>293</v>
      </c>
      <c r="P1481">
        <v>6.1941803512479124E-3</v>
      </c>
      <c r="Q1481" t="s">
        <v>159</v>
      </c>
      <c r="S1481" t="s">
        <v>269</v>
      </c>
      <c r="T1481" t="s">
        <v>293</v>
      </c>
      <c r="U1481">
        <v>4.5288788051253276E-3</v>
      </c>
      <c r="V1481" t="s">
        <v>159</v>
      </c>
    </row>
    <row r="1482" spans="9:22" x14ac:dyDescent="0.45">
      <c r="I1482" t="s">
        <v>184</v>
      </c>
      <c r="J1482" t="s">
        <v>294</v>
      </c>
      <c r="K1482">
        <v>9.5438563958694393E-4</v>
      </c>
      <c r="L1482" t="s">
        <v>159</v>
      </c>
      <c r="N1482" t="s">
        <v>227</v>
      </c>
      <c r="O1482" t="s">
        <v>294</v>
      </c>
      <c r="P1482">
        <v>7.1550575637423914E-4</v>
      </c>
      <c r="Q1482" t="s">
        <v>159</v>
      </c>
      <c r="S1482" t="s">
        <v>269</v>
      </c>
      <c r="T1482" t="s">
        <v>294</v>
      </c>
      <c r="U1482">
        <v>6.0315102566072909E-4</v>
      </c>
      <c r="V1482" t="s">
        <v>159</v>
      </c>
    </row>
    <row r="1483" spans="9:22" x14ac:dyDescent="0.45">
      <c r="I1483" t="s">
        <v>184</v>
      </c>
      <c r="J1483" t="s">
        <v>295</v>
      </c>
      <c r="K1483">
        <v>1.2821076152037987E-2</v>
      </c>
      <c r="L1483" t="s">
        <v>159</v>
      </c>
      <c r="N1483" t="s">
        <v>227</v>
      </c>
      <c r="O1483" t="s">
        <v>295</v>
      </c>
      <c r="P1483">
        <v>8.3033257649410448E-3</v>
      </c>
      <c r="Q1483" t="s">
        <v>159</v>
      </c>
      <c r="S1483" t="s">
        <v>269</v>
      </c>
      <c r="T1483" t="s">
        <v>295</v>
      </c>
      <c r="U1483">
        <v>6.3781920595619565E-3</v>
      </c>
      <c r="V1483" t="s">
        <v>159</v>
      </c>
    </row>
    <row r="1484" spans="9:22" x14ac:dyDescent="0.45">
      <c r="I1484" t="s">
        <v>184</v>
      </c>
      <c r="J1484" t="s">
        <v>296</v>
      </c>
      <c r="K1484">
        <v>1.0286233470870468E-3</v>
      </c>
      <c r="L1484" t="s">
        <v>159</v>
      </c>
      <c r="N1484" t="s">
        <v>227</v>
      </c>
      <c r="O1484" t="s">
        <v>296</v>
      </c>
      <c r="P1484">
        <v>1.2785347413539962E-3</v>
      </c>
      <c r="Q1484" t="s">
        <v>159</v>
      </c>
      <c r="S1484" t="s">
        <v>269</v>
      </c>
      <c r="T1484" t="s">
        <v>296</v>
      </c>
      <c r="U1484">
        <v>7.807069306197445E-4</v>
      </c>
      <c r="V1484" t="s">
        <v>159</v>
      </c>
    </row>
    <row r="1485" spans="9:22" x14ac:dyDescent="0.45">
      <c r="I1485" t="s">
        <v>184</v>
      </c>
      <c r="J1485" t="s">
        <v>297</v>
      </c>
      <c r="K1485">
        <v>0</v>
      </c>
      <c r="L1485" t="s">
        <v>159</v>
      </c>
      <c r="N1485" t="s">
        <v>227</v>
      </c>
      <c r="O1485" t="s">
        <v>297</v>
      </c>
      <c r="P1485">
        <v>1.2459101844245674E-3</v>
      </c>
      <c r="Q1485" t="s">
        <v>159</v>
      </c>
      <c r="S1485" t="s">
        <v>269</v>
      </c>
      <c r="T1485" t="s">
        <v>297</v>
      </c>
      <c r="U1485">
        <v>7.1518331589202379E-4</v>
      </c>
      <c r="V1485" t="s">
        <v>159</v>
      </c>
    </row>
    <row r="1486" spans="9:22" x14ac:dyDescent="0.45">
      <c r="I1486" t="s">
        <v>184</v>
      </c>
      <c r="J1486" t="s">
        <v>311</v>
      </c>
      <c r="K1486">
        <v>0</v>
      </c>
      <c r="L1486" t="s">
        <v>159</v>
      </c>
      <c r="N1486" t="s">
        <v>227</v>
      </c>
      <c r="O1486" t="s">
        <v>311</v>
      </c>
      <c r="P1486">
        <v>5.3902514773875136E-3</v>
      </c>
      <c r="Q1486" t="s">
        <v>159</v>
      </c>
      <c r="S1486" t="s">
        <v>269</v>
      </c>
      <c r="T1486" t="s">
        <v>311</v>
      </c>
      <c r="U1486">
        <v>2.594620020123862E-3</v>
      </c>
      <c r="V1486" t="s">
        <v>159</v>
      </c>
    </row>
    <row r="1487" spans="9:22" x14ac:dyDescent="0.45">
      <c r="I1487" t="s">
        <v>184</v>
      </c>
      <c r="J1487" t="s">
        <v>298</v>
      </c>
      <c r="K1487">
        <v>9.4988272885703998E-3</v>
      </c>
      <c r="L1487" t="s">
        <v>159</v>
      </c>
      <c r="N1487" t="s">
        <v>227</v>
      </c>
      <c r="O1487" t="s">
        <v>298</v>
      </c>
      <c r="P1487">
        <v>7.5901383107833745E-2</v>
      </c>
      <c r="Q1487" t="s">
        <v>159</v>
      </c>
      <c r="S1487" t="s">
        <v>269</v>
      </c>
      <c r="T1487" t="s">
        <v>298</v>
      </c>
      <c r="U1487">
        <v>8.1586758562905468E-2</v>
      </c>
      <c r="V1487" t="s">
        <v>159</v>
      </c>
    </row>
    <row r="1488" spans="9:22" x14ac:dyDescent="0.45">
      <c r="I1488" t="s">
        <v>184</v>
      </c>
      <c r="J1488" t="s">
        <v>299</v>
      </c>
      <c r="K1488">
        <v>1.8288969312071541E-2</v>
      </c>
      <c r="L1488" t="s">
        <v>159</v>
      </c>
      <c r="N1488" t="s">
        <v>227</v>
      </c>
      <c r="O1488" t="s">
        <v>299</v>
      </c>
      <c r="P1488">
        <v>1.1091573921104164E-2</v>
      </c>
      <c r="Q1488" t="s">
        <v>159</v>
      </c>
      <c r="S1488" t="s">
        <v>269</v>
      </c>
      <c r="T1488" t="s">
        <v>299</v>
      </c>
      <c r="U1488">
        <v>1.1210434047634726E-2</v>
      </c>
      <c r="V1488" t="s">
        <v>159</v>
      </c>
    </row>
    <row r="1489" spans="9:22" x14ac:dyDescent="0.45">
      <c r="I1489" t="s">
        <v>184</v>
      </c>
      <c r="J1489" t="s">
        <v>300</v>
      </c>
      <c r="K1489">
        <v>0.24409800941473228</v>
      </c>
      <c r="L1489" t="s">
        <v>159</v>
      </c>
      <c r="N1489" t="s">
        <v>227</v>
      </c>
      <c r="O1489" t="s">
        <v>300</v>
      </c>
      <c r="P1489">
        <v>0.12176666276056089</v>
      </c>
      <c r="Q1489" t="s">
        <v>159</v>
      </c>
      <c r="S1489" t="s">
        <v>269</v>
      </c>
      <c r="T1489" t="s">
        <v>300</v>
      </c>
      <c r="U1489">
        <v>0.11057962658429481</v>
      </c>
      <c r="V1489" t="s">
        <v>159</v>
      </c>
    </row>
    <row r="1490" spans="9:22" x14ac:dyDescent="0.45">
      <c r="I1490" t="s">
        <v>184</v>
      </c>
      <c r="J1490" t="s">
        <v>301</v>
      </c>
      <c r="K1490">
        <v>2.0593480724830936E-2</v>
      </c>
      <c r="L1490" t="s">
        <v>159</v>
      </c>
      <c r="N1490" t="s">
        <v>227</v>
      </c>
      <c r="O1490" t="s">
        <v>301</v>
      </c>
      <c r="P1490">
        <v>1.4894569840844243E-2</v>
      </c>
      <c r="Q1490" t="s">
        <v>159</v>
      </c>
      <c r="S1490" t="s">
        <v>269</v>
      </c>
      <c r="T1490" t="s">
        <v>301</v>
      </c>
      <c r="U1490">
        <v>1.3649289300148564E-2</v>
      </c>
      <c r="V1490" t="s">
        <v>159</v>
      </c>
    </row>
    <row r="1491" spans="9:22" x14ac:dyDescent="0.45">
      <c r="I1491" t="s">
        <v>184</v>
      </c>
      <c r="J1491" t="s">
        <v>302</v>
      </c>
      <c r="K1491">
        <v>1.1347137363140188E-2</v>
      </c>
      <c r="L1491" t="s">
        <v>159</v>
      </c>
      <c r="N1491" t="s">
        <v>227</v>
      </c>
      <c r="O1491" t="s">
        <v>302</v>
      </c>
      <c r="P1491">
        <v>1.4073834564484928E-2</v>
      </c>
      <c r="Q1491" t="s">
        <v>159</v>
      </c>
      <c r="S1491" t="s">
        <v>269</v>
      </c>
      <c r="T1491" t="s">
        <v>302</v>
      </c>
      <c r="U1491">
        <v>1.3042907929875999E-2</v>
      </c>
      <c r="V1491" t="s">
        <v>159</v>
      </c>
    </row>
    <row r="1492" spans="9:22" x14ac:dyDescent="0.45">
      <c r="I1492" t="s">
        <v>184</v>
      </c>
      <c r="J1492" t="s">
        <v>312</v>
      </c>
      <c r="K1492">
        <v>1.1982524921330705E-4</v>
      </c>
      <c r="L1492" t="s">
        <v>159</v>
      </c>
      <c r="N1492" t="s">
        <v>227</v>
      </c>
      <c r="O1492" t="s">
        <v>312</v>
      </c>
      <c r="P1492">
        <v>6.1941758161027996E-2</v>
      </c>
      <c r="Q1492" t="s">
        <v>159</v>
      </c>
      <c r="S1492" t="s">
        <v>269</v>
      </c>
      <c r="T1492" t="s">
        <v>312</v>
      </c>
      <c r="U1492">
        <v>5.8796347890064271E-2</v>
      </c>
      <c r="V1492" t="s">
        <v>159</v>
      </c>
    </row>
    <row r="1493" spans="9:22" x14ac:dyDescent="0.45">
      <c r="I1493" t="s">
        <v>184</v>
      </c>
      <c r="J1493" t="s">
        <v>397</v>
      </c>
      <c r="K1493">
        <v>0</v>
      </c>
      <c r="L1493" t="s">
        <v>159</v>
      </c>
      <c r="N1493" t="s">
        <v>227</v>
      </c>
      <c r="O1493" t="s">
        <v>397</v>
      </c>
      <c r="P1493">
        <v>1.151618125758598E-6</v>
      </c>
      <c r="Q1493" t="s">
        <v>159</v>
      </c>
      <c r="S1493" t="s">
        <v>269</v>
      </c>
      <c r="T1493" t="s">
        <v>397</v>
      </c>
      <c r="U1493">
        <v>8.8369945998169347E-5</v>
      </c>
      <c r="V1493" t="s">
        <v>159</v>
      </c>
    </row>
    <row r="1494" spans="9:22" x14ac:dyDescent="0.45">
      <c r="I1494" t="s">
        <v>184</v>
      </c>
      <c r="J1494" t="s">
        <v>398</v>
      </c>
      <c r="K1494">
        <v>0</v>
      </c>
      <c r="L1494" t="s">
        <v>159</v>
      </c>
      <c r="N1494" t="s">
        <v>227</v>
      </c>
      <c r="O1494" t="s">
        <v>398</v>
      </c>
      <c r="P1494">
        <v>6.1202462983067484E-7</v>
      </c>
      <c r="Q1494" t="s">
        <v>159</v>
      </c>
      <c r="S1494" t="s">
        <v>269</v>
      </c>
      <c r="T1494" t="s">
        <v>398</v>
      </c>
      <c r="U1494">
        <v>8.6744046205821783E-5</v>
      </c>
      <c r="V1494" t="s">
        <v>159</v>
      </c>
    </row>
    <row r="1495" spans="9:22" x14ac:dyDescent="0.45">
      <c r="I1495" t="s">
        <v>184</v>
      </c>
      <c r="J1495" t="s">
        <v>399</v>
      </c>
      <c r="K1495">
        <v>0</v>
      </c>
      <c r="L1495" t="s">
        <v>159</v>
      </c>
      <c r="N1495" t="s">
        <v>227</v>
      </c>
      <c r="O1495" t="s">
        <v>399</v>
      </c>
      <c r="P1495">
        <v>1.3423004289548134E-6</v>
      </c>
      <c r="Q1495" t="s">
        <v>159</v>
      </c>
      <c r="S1495" t="s">
        <v>269</v>
      </c>
      <c r="T1495" t="s">
        <v>399</v>
      </c>
      <c r="U1495">
        <v>8.7476214496169484E-5</v>
      </c>
      <c r="V1495" t="s">
        <v>159</v>
      </c>
    </row>
    <row r="1496" spans="9:22" x14ac:dyDescent="0.45">
      <c r="I1496" t="s">
        <v>184</v>
      </c>
      <c r="J1496" t="s">
        <v>400</v>
      </c>
      <c r="K1496">
        <v>0</v>
      </c>
      <c r="L1496" t="s">
        <v>159</v>
      </c>
      <c r="N1496" t="s">
        <v>227</v>
      </c>
      <c r="O1496" t="s">
        <v>400</v>
      </c>
      <c r="P1496">
        <v>2.8763140735255619E-6</v>
      </c>
      <c r="Q1496" t="s">
        <v>159</v>
      </c>
      <c r="S1496" t="s">
        <v>269</v>
      </c>
      <c r="T1496" t="s">
        <v>400</v>
      </c>
      <c r="U1496">
        <v>8.5608091590742895E-5</v>
      </c>
      <c r="V1496" t="s">
        <v>159</v>
      </c>
    </row>
    <row r="1497" spans="9:22" x14ac:dyDescent="0.45">
      <c r="I1497" t="s">
        <v>184</v>
      </c>
      <c r="J1497" t="s">
        <v>401</v>
      </c>
      <c r="K1497">
        <v>0</v>
      </c>
      <c r="L1497" t="s">
        <v>159</v>
      </c>
      <c r="N1497" t="s">
        <v>227</v>
      </c>
      <c r="O1497" t="s">
        <v>401</v>
      </c>
      <c r="P1497">
        <v>5.0268916744648722E-6</v>
      </c>
      <c r="Q1497" t="s">
        <v>159</v>
      </c>
      <c r="S1497" t="s">
        <v>269</v>
      </c>
      <c r="T1497" t="s">
        <v>401</v>
      </c>
      <c r="U1497">
        <v>7.6519555630734487E-5</v>
      </c>
      <c r="V1497" t="s">
        <v>159</v>
      </c>
    </row>
    <row r="1498" spans="9:22" x14ac:dyDescent="0.45">
      <c r="I1498" t="s">
        <v>184</v>
      </c>
      <c r="J1498" t="s">
        <v>402</v>
      </c>
      <c r="K1498">
        <v>0</v>
      </c>
      <c r="L1498" t="s">
        <v>159</v>
      </c>
      <c r="N1498" t="s">
        <v>227</v>
      </c>
      <c r="O1498" t="s">
        <v>402</v>
      </c>
      <c r="P1498">
        <v>5.6409913369241254E-6</v>
      </c>
      <c r="Q1498" t="s">
        <v>159</v>
      </c>
      <c r="S1498" t="s">
        <v>269</v>
      </c>
      <c r="T1498" t="s">
        <v>402</v>
      </c>
      <c r="U1498">
        <v>6.5930630509998162E-5</v>
      </c>
      <c r="V1498" t="s">
        <v>159</v>
      </c>
    </row>
    <row r="1499" spans="9:22" x14ac:dyDescent="0.45">
      <c r="I1499" t="s">
        <v>184</v>
      </c>
      <c r="J1499" t="s">
        <v>403</v>
      </c>
      <c r="K1499">
        <v>0</v>
      </c>
      <c r="L1499" t="s">
        <v>159</v>
      </c>
      <c r="N1499" t="s">
        <v>227</v>
      </c>
      <c r="O1499" t="s">
        <v>403</v>
      </c>
      <c r="P1499">
        <v>4.2325958834624397E-6</v>
      </c>
      <c r="Q1499" t="s">
        <v>159</v>
      </c>
      <c r="S1499" t="s">
        <v>269</v>
      </c>
      <c r="T1499" t="s">
        <v>403</v>
      </c>
      <c r="U1499">
        <v>5.5442431341297948E-5</v>
      </c>
      <c r="V1499" t="s">
        <v>159</v>
      </c>
    </row>
    <row r="1500" spans="9:22" x14ac:dyDescent="0.45">
      <c r="I1500" t="s">
        <v>184</v>
      </c>
      <c r="J1500" t="s">
        <v>404</v>
      </c>
      <c r="K1500">
        <v>7.4042596776791958E-5</v>
      </c>
      <c r="L1500" t="s">
        <v>159</v>
      </c>
      <c r="N1500" t="s">
        <v>227</v>
      </c>
      <c r="O1500" t="s">
        <v>404</v>
      </c>
      <c r="P1500">
        <v>2.243095024184017E-6</v>
      </c>
      <c r="Q1500" t="s">
        <v>159</v>
      </c>
      <c r="S1500" t="s">
        <v>269</v>
      </c>
      <c r="T1500" t="s">
        <v>404</v>
      </c>
      <c r="U1500">
        <v>4.6729840025022611E-5</v>
      </c>
      <c r="V1500" t="s">
        <v>159</v>
      </c>
    </row>
    <row r="1501" spans="9:22" x14ac:dyDescent="0.45">
      <c r="I1501" t="s">
        <v>184</v>
      </c>
      <c r="J1501" t="s">
        <v>405</v>
      </c>
      <c r="K1501">
        <v>1.4842898305142093E-4</v>
      </c>
      <c r="L1501" t="s">
        <v>159</v>
      </c>
      <c r="N1501" t="s">
        <v>227</v>
      </c>
      <c r="O1501" t="s">
        <v>405</v>
      </c>
      <c r="P1501">
        <v>1.3022559586787579E-6</v>
      </c>
      <c r="Q1501" t="s">
        <v>159</v>
      </c>
      <c r="S1501" t="s">
        <v>269</v>
      </c>
      <c r="T1501" t="s">
        <v>405</v>
      </c>
      <c r="U1501">
        <v>3.9935166219291806E-5</v>
      </c>
      <c r="V1501" t="s">
        <v>159</v>
      </c>
    </row>
    <row r="1502" spans="9:22" x14ac:dyDescent="0.45">
      <c r="I1502" t="s">
        <v>184</v>
      </c>
      <c r="J1502" t="s">
        <v>406</v>
      </c>
      <c r="K1502">
        <v>1.9001361199844769E-4</v>
      </c>
      <c r="L1502" t="s">
        <v>159</v>
      </c>
      <c r="N1502" t="s">
        <v>227</v>
      </c>
      <c r="O1502" t="s">
        <v>406</v>
      </c>
      <c r="P1502">
        <v>1.3039082969226939E-6</v>
      </c>
      <c r="Q1502" t="s">
        <v>159</v>
      </c>
      <c r="S1502" t="s">
        <v>269</v>
      </c>
      <c r="T1502" t="s">
        <v>406</v>
      </c>
      <c r="U1502">
        <v>3.7129752849904328E-5</v>
      </c>
      <c r="V1502" t="s">
        <v>159</v>
      </c>
    </row>
    <row r="1503" spans="9:22" x14ac:dyDescent="0.45">
      <c r="I1503" t="s">
        <v>184</v>
      </c>
      <c r="J1503" t="s">
        <v>407</v>
      </c>
      <c r="K1503">
        <v>2.247951029486294E-4</v>
      </c>
      <c r="L1503" t="s">
        <v>159</v>
      </c>
      <c r="N1503" t="s">
        <v>227</v>
      </c>
      <c r="O1503" t="s">
        <v>407</v>
      </c>
      <c r="P1503">
        <v>3.7174708302140679E-6</v>
      </c>
      <c r="Q1503" t="s">
        <v>159</v>
      </c>
      <c r="S1503" t="s">
        <v>269</v>
      </c>
      <c r="T1503" t="s">
        <v>407</v>
      </c>
      <c r="U1503">
        <v>3.5223279566402774E-5</v>
      </c>
      <c r="V1503" t="s">
        <v>159</v>
      </c>
    </row>
    <row r="1504" spans="9:22" x14ac:dyDescent="0.45">
      <c r="I1504" t="s">
        <v>184</v>
      </c>
      <c r="J1504" t="s">
        <v>408</v>
      </c>
      <c r="K1504">
        <v>2.4724502940927308E-4</v>
      </c>
      <c r="L1504" t="s">
        <v>159</v>
      </c>
      <c r="N1504" t="s">
        <v>227</v>
      </c>
      <c r="O1504" t="s">
        <v>408</v>
      </c>
      <c r="P1504">
        <v>1.228119684775143E-5</v>
      </c>
      <c r="Q1504" t="s">
        <v>159</v>
      </c>
      <c r="S1504" t="s">
        <v>269</v>
      </c>
      <c r="T1504" t="s">
        <v>408</v>
      </c>
      <c r="U1504">
        <v>3.3771545014049685E-5</v>
      </c>
      <c r="V1504" t="s">
        <v>159</v>
      </c>
    </row>
    <row r="1505" spans="9:22" x14ac:dyDescent="0.45">
      <c r="I1505" t="s">
        <v>184</v>
      </c>
      <c r="J1505" t="s">
        <v>409</v>
      </c>
      <c r="K1505">
        <v>2.6934663490357623E-4</v>
      </c>
      <c r="L1505" t="s">
        <v>159</v>
      </c>
      <c r="N1505" t="s">
        <v>227</v>
      </c>
      <c r="O1505" t="s">
        <v>409</v>
      </c>
      <c r="P1505">
        <v>2.3825535560159341E-5</v>
      </c>
      <c r="Q1505" t="s">
        <v>159</v>
      </c>
      <c r="S1505" t="s">
        <v>269</v>
      </c>
      <c r="T1505" t="s">
        <v>409</v>
      </c>
      <c r="U1505">
        <v>3.3265406245054375E-5</v>
      </c>
      <c r="V1505" t="s">
        <v>159</v>
      </c>
    </row>
    <row r="1506" spans="9:22" x14ac:dyDescent="0.45">
      <c r="I1506" t="s">
        <v>184</v>
      </c>
      <c r="J1506" t="s">
        <v>410</v>
      </c>
      <c r="K1506">
        <v>2.8652189334894709E-4</v>
      </c>
      <c r="L1506" t="s">
        <v>159</v>
      </c>
      <c r="N1506" t="s">
        <v>227</v>
      </c>
      <c r="O1506" t="s">
        <v>410</v>
      </c>
      <c r="P1506">
        <v>3.8711699270384688E-5</v>
      </c>
      <c r="Q1506" t="s">
        <v>159</v>
      </c>
      <c r="S1506" t="s">
        <v>269</v>
      </c>
      <c r="T1506" t="s">
        <v>410</v>
      </c>
      <c r="U1506">
        <v>3.5502484141275626E-5</v>
      </c>
      <c r="V1506" t="s">
        <v>159</v>
      </c>
    </row>
    <row r="1507" spans="9:22" x14ac:dyDescent="0.45">
      <c r="I1507" t="s">
        <v>184</v>
      </c>
      <c r="J1507" t="s">
        <v>411</v>
      </c>
      <c r="K1507">
        <v>2.8942495335998876E-4</v>
      </c>
      <c r="L1507" t="s">
        <v>159</v>
      </c>
      <c r="N1507" t="s">
        <v>227</v>
      </c>
      <c r="O1507" t="s">
        <v>411</v>
      </c>
      <c r="P1507">
        <v>5.4184777796199912E-5</v>
      </c>
      <c r="Q1507" t="s">
        <v>159</v>
      </c>
      <c r="S1507" t="s">
        <v>269</v>
      </c>
      <c r="T1507" t="s">
        <v>411</v>
      </c>
      <c r="U1507">
        <v>3.7829243285260867E-5</v>
      </c>
      <c r="V1507" t="s">
        <v>159</v>
      </c>
    </row>
    <row r="1508" spans="9:22" x14ac:dyDescent="0.45">
      <c r="I1508" t="s">
        <v>184</v>
      </c>
      <c r="J1508" t="s">
        <v>412</v>
      </c>
      <c r="K1508">
        <v>2.3539675185179352E-4</v>
      </c>
      <c r="L1508" t="s">
        <v>159</v>
      </c>
      <c r="N1508" t="s">
        <v>227</v>
      </c>
      <c r="O1508" t="s">
        <v>412</v>
      </c>
      <c r="P1508">
        <v>6.5416758890492058E-5</v>
      </c>
      <c r="Q1508" t="s">
        <v>159</v>
      </c>
      <c r="S1508" t="s">
        <v>269</v>
      </c>
      <c r="T1508" t="s">
        <v>412</v>
      </c>
      <c r="U1508">
        <v>3.4726665328757649E-5</v>
      </c>
      <c r="V1508" t="s">
        <v>159</v>
      </c>
    </row>
    <row r="1509" spans="9:22" x14ac:dyDescent="0.45">
      <c r="I1509" t="s">
        <v>184</v>
      </c>
      <c r="J1509" t="s">
        <v>413</v>
      </c>
      <c r="K1509">
        <v>1.9771684998176159E-4</v>
      </c>
      <c r="L1509" t="s">
        <v>159</v>
      </c>
      <c r="N1509" t="s">
        <v>227</v>
      </c>
      <c r="O1509" t="s">
        <v>413</v>
      </c>
      <c r="P1509">
        <v>7.0090037742757245E-5</v>
      </c>
      <c r="Q1509" t="s">
        <v>159</v>
      </c>
      <c r="S1509" t="s">
        <v>269</v>
      </c>
      <c r="T1509" t="s">
        <v>413</v>
      </c>
      <c r="U1509">
        <v>2.6767053881002287E-5</v>
      </c>
      <c r="V1509" t="s">
        <v>159</v>
      </c>
    </row>
    <row r="1510" spans="9:22" x14ac:dyDescent="0.45">
      <c r="I1510" t="s">
        <v>184</v>
      </c>
      <c r="J1510" t="s">
        <v>414</v>
      </c>
      <c r="K1510">
        <v>1.1792112635570116E-4</v>
      </c>
      <c r="L1510" t="s">
        <v>159</v>
      </c>
      <c r="N1510" t="s">
        <v>227</v>
      </c>
      <c r="O1510" t="s">
        <v>414</v>
      </c>
      <c r="P1510">
        <v>5.9287725636015539E-5</v>
      </c>
      <c r="Q1510" t="s">
        <v>159</v>
      </c>
      <c r="S1510" t="s">
        <v>269</v>
      </c>
      <c r="T1510" t="s">
        <v>414</v>
      </c>
      <c r="U1510">
        <v>2.0242498276100963E-5</v>
      </c>
      <c r="V1510" t="s">
        <v>159</v>
      </c>
    </row>
    <row r="1511" spans="9:22" x14ac:dyDescent="0.45">
      <c r="I1511" t="s">
        <v>184</v>
      </c>
      <c r="J1511" t="s">
        <v>415</v>
      </c>
      <c r="K1511">
        <v>0</v>
      </c>
      <c r="L1511" t="s">
        <v>159</v>
      </c>
      <c r="N1511" t="s">
        <v>227</v>
      </c>
      <c r="O1511" t="s">
        <v>415</v>
      </c>
      <c r="P1511">
        <v>4.2469967907501472E-5</v>
      </c>
      <c r="Q1511" t="s">
        <v>159</v>
      </c>
      <c r="S1511" t="s">
        <v>269</v>
      </c>
      <c r="T1511" t="s">
        <v>415</v>
      </c>
      <c r="U1511">
        <v>1.5668613594788291E-5</v>
      </c>
      <c r="V1511" t="s">
        <v>159</v>
      </c>
    </row>
    <row r="1512" spans="9:22" x14ac:dyDescent="0.45">
      <c r="I1512" t="s">
        <v>184</v>
      </c>
      <c r="J1512" t="s">
        <v>416</v>
      </c>
      <c r="K1512">
        <v>0</v>
      </c>
      <c r="L1512" t="s">
        <v>159</v>
      </c>
      <c r="N1512" t="s">
        <v>227</v>
      </c>
      <c r="O1512" t="s">
        <v>416</v>
      </c>
      <c r="P1512">
        <v>3.2884077981422168E-5</v>
      </c>
      <c r="Q1512" t="s">
        <v>159</v>
      </c>
      <c r="S1512" t="s">
        <v>269</v>
      </c>
      <c r="T1512" t="s">
        <v>416</v>
      </c>
      <c r="U1512">
        <v>1.5592273467388121E-5</v>
      </c>
      <c r="V1512" t="s">
        <v>159</v>
      </c>
    </row>
    <row r="1513" spans="9:22" x14ac:dyDescent="0.45">
      <c r="I1513" t="s">
        <v>184</v>
      </c>
      <c r="J1513" t="s">
        <v>417</v>
      </c>
      <c r="K1513">
        <v>0</v>
      </c>
      <c r="L1513" t="s">
        <v>159</v>
      </c>
      <c r="N1513" t="s">
        <v>227</v>
      </c>
      <c r="O1513" t="s">
        <v>417</v>
      </c>
      <c r="P1513">
        <v>2.8367953573165171E-5</v>
      </c>
      <c r="Q1513" t="s">
        <v>159</v>
      </c>
      <c r="S1513" t="s">
        <v>269</v>
      </c>
      <c r="T1513" t="s">
        <v>417</v>
      </c>
      <c r="U1513">
        <v>1.7498829912819162E-5</v>
      </c>
      <c r="V1513" t="s">
        <v>159</v>
      </c>
    </row>
    <row r="1514" spans="9:22" x14ac:dyDescent="0.45">
      <c r="I1514" t="s">
        <v>184</v>
      </c>
      <c r="J1514" t="s">
        <v>418</v>
      </c>
      <c r="K1514">
        <v>0</v>
      </c>
      <c r="L1514" t="s">
        <v>159</v>
      </c>
      <c r="N1514" t="s">
        <v>227</v>
      </c>
      <c r="O1514" t="s">
        <v>418</v>
      </c>
      <c r="P1514">
        <v>2.4607541050035998E-5</v>
      </c>
      <c r="Q1514" t="s">
        <v>159</v>
      </c>
      <c r="S1514" t="s">
        <v>269</v>
      </c>
      <c r="T1514" t="s">
        <v>418</v>
      </c>
      <c r="U1514">
        <v>2.0355895832815979E-5</v>
      </c>
      <c r="V1514" t="s">
        <v>159</v>
      </c>
    </row>
    <row r="1515" spans="9:22" x14ac:dyDescent="0.45">
      <c r="I1515" t="s">
        <v>184</v>
      </c>
      <c r="J1515" t="s">
        <v>419</v>
      </c>
      <c r="K1515">
        <v>0</v>
      </c>
      <c r="L1515" t="s">
        <v>159</v>
      </c>
      <c r="N1515" t="s">
        <v>227</v>
      </c>
      <c r="O1515" t="s">
        <v>419</v>
      </c>
      <c r="P1515">
        <v>2.3908637166614397E-5</v>
      </c>
      <c r="Q1515" t="s">
        <v>159</v>
      </c>
      <c r="S1515" t="s">
        <v>269</v>
      </c>
      <c r="T1515" t="s">
        <v>419</v>
      </c>
      <c r="U1515">
        <v>2.3061954131576531E-5</v>
      </c>
      <c r="V1515" t="s">
        <v>159</v>
      </c>
    </row>
    <row r="1516" spans="9:22" x14ac:dyDescent="0.45">
      <c r="I1516" t="s">
        <v>184</v>
      </c>
      <c r="J1516" t="s">
        <v>420</v>
      </c>
      <c r="K1516">
        <v>0</v>
      </c>
      <c r="L1516" t="s">
        <v>159</v>
      </c>
      <c r="N1516" t="s">
        <v>227</v>
      </c>
      <c r="O1516" t="s">
        <v>420</v>
      </c>
      <c r="P1516">
        <v>2.5212483880374847E-5</v>
      </c>
      <c r="Q1516" t="s">
        <v>159</v>
      </c>
      <c r="S1516" t="s">
        <v>269</v>
      </c>
      <c r="T1516" t="s">
        <v>420</v>
      </c>
      <c r="U1516">
        <v>2.75347166009289E-5</v>
      </c>
      <c r="V1516" t="s">
        <v>159</v>
      </c>
    </row>
    <row r="1517" spans="9:22" x14ac:dyDescent="0.45">
      <c r="I1517" t="s">
        <v>184</v>
      </c>
      <c r="J1517" t="s">
        <v>313</v>
      </c>
      <c r="K1517">
        <v>4.7709538464240911E-3</v>
      </c>
      <c r="L1517" t="s">
        <v>159</v>
      </c>
      <c r="N1517" t="s">
        <v>227</v>
      </c>
      <c r="O1517" t="s">
        <v>313</v>
      </c>
      <c r="P1517">
        <v>1.6795438827421939E-2</v>
      </c>
      <c r="Q1517" t="s">
        <v>159</v>
      </c>
      <c r="S1517" t="s">
        <v>269</v>
      </c>
      <c r="T1517" t="s">
        <v>313</v>
      </c>
      <c r="U1517">
        <v>1.7169209974873745E-2</v>
      </c>
      <c r="V1517" t="s">
        <v>159</v>
      </c>
    </row>
    <row r="1518" spans="9:22" x14ac:dyDescent="0.45">
      <c r="I1518" t="s">
        <v>184</v>
      </c>
      <c r="J1518" t="s">
        <v>314</v>
      </c>
      <c r="K1518">
        <v>6.9480675966942726E-3</v>
      </c>
      <c r="L1518" t="s">
        <v>159</v>
      </c>
      <c r="N1518" t="s">
        <v>227</v>
      </c>
      <c r="O1518" t="s">
        <v>314</v>
      </c>
      <c r="P1518">
        <v>2.3404436833736686E-3</v>
      </c>
      <c r="Q1518" t="s">
        <v>159</v>
      </c>
      <c r="S1518" t="s">
        <v>269</v>
      </c>
      <c r="T1518" t="s">
        <v>314</v>
      </c>
      <c r="U1518">
        <v>2.5959953676515778E-3</v>
      </c>
      <c r="V1518" t="s">
        <v>159</v>
      </c>
    </row>
    <row r="1519" spans="9:22" x14ac:dyDescent="0.45">
      <c r="I1519" t="s">
        <v>184</v>
      </c>
      <c r="J1519" t="s">
        <v>315</v>
      </c>
      <c r="K1519">
        <v>9.2033099669800958E-2</v>
      </c>
      <c r="L1519" t="s">
        <v>159</v>
      </c>
      <c r="N1519" t="s">
        <v>227</v>
      </c>
      <c r="O1519" t="s">
        <v>315</v>
      </c>
      <c r="P1519">
        <v>2.5199991581552297E-2</v>
      </c>
      <c r="Q1519" t="s">
        <v>159</v>
      </c>
      <c r="S1519" t="s">
        <v>269</v>
      </c>
      <c r="T1519" t="s">
        <v>315</v>
      </c>
      <c r="U1519">
        <v>2.8939429927964739E-2</v>
      </c>
      <c r="V1519" t="s">
        <v>159</v>
      </c>
    </row>
    <row r="1520" spans="9:22" x14ac:dyDescent="0.45">
      <c r="I1520" t="s">
        <v>184</v>
      </c>
      <c r="J1520" t="s">
        <v>316</v>
      </c>
      <c r="K1520">
        <v>8.6827324174102768E-3</v>
      </c>
      <c r="L1520" t="s">
        <v>159</v>
      </c>
      <c r="N1520" t="s">
        <v>227</v>
      </c>
      <c r="O1520" t="s">
        <v>316</v>
      </c>
      <c r="P1520">
        <v>3.2909972363981688E-3</v>
      </c>
      <c r="Q1520" t="s">
        <v>159</v>
      </c>
      <c r="S1520" t="s">
        <v>269</v>
      </c>
      <c r="T1520" t="s">
        <v>316</v>
      </c>
      <c r="U1520">
        <v>3.511688320761935E-3</v>
      </c>
      <c r="V1520" t="s">
        <v>159</v>
      </c>
    </row>
    <row r="1521" spans="9:22" x14ac:dyDescent="0.45">
      <c r="I1521" t="s">
        <v>184</v>
      </c>
      <c r="J1521" t="s">
        <v>317</v>
      </c>
      <c r="K1521">
        <v>6.5638678477357403E-3</v>
      </c>
      <c r="L1521" t="s">
        <v>159</v>
      </c>
      <c r="N1521" t="s">
        <v>227</v>
      </c>
      <c r="O1521" t="s">
        <v>317</v>
      </c>
      <c r="P1521">
        <v>3.2086071132196039E-3</v>
      </c>
      <c r="Q1521" t="s">
        <v>159</v>
      </c>
      <c r="S1521" t="s">
        <v>269</v>
      </c>
      <c r="T1521" t="s">
        <v>317</v>
      </c>
      <c r="U1521">
        <v>3.3812406007800427E-3</v>
      </c>
      <c r="V1521" t="s">
        <v>159</v>
      </c>
    </row>
    <row r="1522" spans="9:22" x14ac:dyDescent="0.45">
      <c r="I1522" t="s">
        <v>184</v>
      </c>
      <c r="J1522" t="s">
        <v>318</v>
      </c>
      <c r="K1522">
        <v>3.7523261677449606E-3</v>
      </c>
      <c r="L1522" t="s">
        <v>159</v>
      </c>
      <c r="N1522" t="s">
        <v>227</v>
      </c>
      <c r="O1522" t="s">
        <v>318</v>
      </c>
      <c r="P1522">
        <v>1.3817560022637038E-2</v>
      </c>
      <c r="Q1522" t="s">
        <v>159</v>
      </c>
      <c r="S1522" t="s">
        <v>269</v>
      </c>
      <c r="T1522" t="s">
        <v>318</v>
      </c>
      <c r="U1522">
        <v>1.4157123431566448E-2</v>
      </c>
      <c r="V1522" t="s">
        <v>159</v>
      </c>
    </row>
    <row r="1523" spans="9:22" x14ac:dyDescent="0.45">
      <c r="I1523" t="s">
        <v>185</v>
      </c>
      <c r="J1523" t="s">
        <v>158</v>
      </c>
      <c r="K1523">
        <v>8.8601583874263565E-3</v>
      </c>
      <c r="L1523" t="s">
        <v>159</v>
      </c>
      <c r="N1523" t="s">
        <v>228</v>
      </c>
      <c r="O1523" t="s">
        <v>158</v>
      </c>
      <c r="P1523">
        <v>0.1087259379561907</v>
      </c>
      <c r="Q1523" t="s">
        <v>159</v>
      </c>
      <c r="S1523" t="s">
        <v>270</v>
      </c>
      <c r="T1523" t="s">
        <v>158</v>
      </c>
      <c r="U1523">
        <v>0.12430683772082177</v>
      </c>
      <c r="V1523" t="s">
        <v>159</v>
      </c>
    </row>
    <row r="1524" spans="9:22" x14ac:dyDescent="0.45">
      <c r="I1524" t="s">
        <v>185</v>
      </c>
      <c r="J1524" t="s">
        <v>160</v>
      </c>
      <c r="K1524">
        <v>2.4557718835529461E-2</v>
      </c>
      <c r="L1524" t="s">
        <v>159</v>
      </c>
      <c r="N1524" t="s">
        <v>228</v>
      </c>
      <c r="O1524" t="s">
        <v>160</v>
      </c>
      <c r="P1524">
        <v>1.4454045267689838E-2</v>
      </c>
      <c r="Q1524" t="s">
        <v>159</v>
      </c>
      <c r="S1524" t="s">
        <v>270</v>
      </c>
      <c r="T1524" t="s">
        <v>160</v>
      </c>
      <c r="U1524">
        <v>1.7289854119226785E-2</v>
      </c>
      <c r="V1524" t="s">
        <v>159</v>
      </c>
    </row>
    <row r="1525" spans="9:22" x14ac:dyDescent="0.45">
      <c r="I1525" t="s">
        <v>185</v>
      </c>
      <c r="J1525" t="s">
        <v>161</v>
      </c>
      <c r="K1525">
        <v>0.3751240301800236</v>
      </c>
      <c r="L1525" t="s">
        <v>159</v>
      </c>
      <c r="N1525" t="s">
        <v>228</v>
      </c>
      <c r="O1525" t="s">
        <v>161</v>
      </c>
      <c r="P1525">
        <v>0.17370680671848487</v>
      </c>
      <c r="Q1525" t="s">
        <v>159</v>
      </c>
      <c r="S1525" t="s">
        <v>270</v>
      </c>
      <c r="T1525" t="s">
        <v>161</v>
      </c>
      <c r="U1525">
        <v>0.15824068655661047</v>
      </c>
      <c r="V1525" t="s">
        <v>159</v>
      </c>
    </row>
    <row r="1526" spans="9:22" x14ac:dyDescent="0.45">
      <c r="I1526" t="s">
        <v>185</v>
      </c>
      <c r="J1526" t="s">
        <v>287</v>
      </c>
      <c r="K1526">
        <v>3.0327366639677552E-2</v>
      </c>
      <c r="L1526" t="s">
        <v>159</v>
      </c>
      <c r="N1526" t="s">
        <v>228</v>
      </c>
      <c r="O1526" t="s">
        <v>287</v>
      </c>
      <c r="P1526">
        <v>2.7945363894249942E-2</v>
      </c>
      <c r="Q1526" t="s">
        <v>159</v>
      </c>
      <c r="S1526" t="s">
        <v>270</v>
      </c>
      <c r="T1526" t="s">
        <v>287</v>
      </c>
      <c r="U1526">
        <v>1.9210940083435948E-2</v>
      </c>
      <c r="V1526" t="s">
        <v>159</v>
      </c>
    </row>
    <row r="1527" spans="9:22" x14ac:dyDescent="0.45">
      <c r="I1527" t="s">
        <v>185</v>
      </c>
      <c r="J1527" t="s">
        <v>288</v>
      </c>
      <c r="K1527">
        <v>1.7207066099815552E-2</v>
      </c>
      <c r="L1527" t="s">
        <v>159</v>
      </c>
      <c r="N1527" t="s">
        <v>228</v>
      </c>
      <c r="O1527" t="s">
        <v>288</v>
      </c>
      <c r="P1527">
        <v>2.5344314996356802E-2</v>
      </c>
      <c r="Q1527" t="s">
        <v>159</v>
      </c>
      <c r="S1527" t="s">
        <v>270</v>
      </c>
      <c r="T1527" t="s">
        <v>288</v>
      </c>
      <c r="U1527">
        <v>1.8914440698415153E-2</v>
      </c>
      <c r="V1527" t="s">
        <v>159</v>
      </c>
    </row>
    <row r="1528" spans="9:22" x14ac:dyDescent="0.45">
      <c r="I1528" t="s">
        <v>185</v>
      </c>
      <c r="J1528" t="s">
        <v>308</v>
      </c>
      <c r="K1528">
        <v>5.1075501163643641E-3</v>
      </c>
      <c r="L1528" t="s">
        <v>159</v>
      </c>
      <c r="N1528" t="s">
        <v>228</v>
      </c>
      <c r="O1528" t="s">
        <v>308</v>
      </c>
      <c r="P1528">
        <v>9.7839627215380087E-2</v>
      </c>
      <c r="Q1528" t="s">
        <v>159</v>
      </c>
      <c r="S1528" t="s">
        <v>270</v>
      </c>
      <c r="T1528" t="s">
        <v>308</v>
      </c>
      <c r="U1528">
        <v>8.9720467089477868E-2</v>
      </c>
      <c r="V1528" t="s">
        <v>159</v>
      </c>
    </row>
    <row r="1529" spans="9:22" x14ac:dyDescent="0.45">
      <c r="I1529" t="s">
        <v>185</v>
      </c>
      <c r="J1529" t="s">
        <v>162</v>
      </c>
      <c r="K1529">
        <v>0</v>
      </c>
      <c r="L1529" t="s">
        <v>159</v>
      </c>
      <c r="N1529" t="s">
        <v>228</v>
      </c>
      <c r="O1529" t="s">
        <v>162</v>
      </c>
      <c r="P1529">
        <v>1.2511576180929363E-2</v>
      </c>
      <c r="Q1529" t="s">
        <v>159</v>
      </c>
      <c r="S1529" t="s">
        <v>270</v>
      </c>
      <c r="T1529" t="s">
        <v>162</v>
      </c>
      <c r="U1529">
        <v>2.5108061071844906E-2</v>
      </c>
      <c r="V1529" t="s">
        <v>159</v>
      </c>
    </row>
    <row r="1530" spans="9:22" x14ac:dyDescent="0.45">
      <c r="I1530" t="s">
        <v>185</v>
      </c>
      <c r="J1530" t="s">
        <v>163</v>
      </c>
      <c r="K1530">
        <v>0</v>
      </c>
      <c r="L1530" t="s">
        <v>159</v>
      </c>
      <c r="N1530" t="s">
        <v>228</v>
      </c>
      <c r="O1530" t="s">
        <v>163</v>
      </c>
      <c r="P1530">
        <v>1.8179905067487181E-3</v>
      </c>
      <c r="Q1530" t="s">
        <v>159</v>
      </c>
      <c r="S1530" t="s">
        <v>270</v>
      </c>
      <c r="T1530" t="s">
        <v>163</v>
      </c>
      <c r="U1530">
        <v>3.6585703528015548E-3</v>
      </c>
      <c r="V1530" t="s">
        <v>159</v>
      </c>
    </row>
    <row r="1531" spans="9:22" x14ac:dyDescent="0.45">
      <c r="I1531" t="s">
        <v>185</v>
      </c>
      <c r="J1531" t="s">
        <v>164</v>
      </c>
      <c r="K1531">
        <v>3.436651152947269E-2</v>
      </c>
      <c r="L1531" t="s">
        <v>159</v>
      </c>
      <c r="N1531" t="s">
        <v>228</v>
      </c>
      <c r="O1531" t="s">
        <v>164</v>
      </c>
      <c r="P1531">
        <v>2.4791568049775739E-2</v>
      </c>
      <c r="Q1531" t="s">
        <v>159</v>
      </c>
      <c r="S1531" t="s">
        <v>270</v>
      </c>
      <c r="T1531" t="s">
        <v>164</v>
      </c>
      <c r="U1531">
        <v>2.7674857669152588E-2</v>
      </c>
      <c r="V1531" t="s">
        <v>159</v>
      </c>
    </row>
    <row r="1532" spans="9:22" x14ac:dyDescent="0.45">
      <c r="I1532" t="s">
        <v>185</v>
      </c>
      <c r="J1532" t="s">
        <v>289</v>
      </c>
      <c r="K1532">
        <v>1.6190382844038242E-3</v>
      </c>
      <c r="L1532" t="s">
        <v>159</v>
      </c>
      <c r="N1532" t="s">
        <v>228</v>
      </c>
      <c r="O1532" t="s">
        <v>289</v>
      </c>
      <c r="P1532">
        <v>3.9074133344039952E-3</v>
      </c>
      <c r="Q1532" t="s">
        <v>159</v>
      </c>
      <c r="S1532" t="s">
        <v>270</v>
      </c>
      <c r="T1532" t="s">
        <v>289</v>
      </c>
      <c r="U1532">
        <v>2.8494010495715466E-3</v>
      </c>
      <c r="V1532" t="s">
        <v>159</v>
      </c>
    </row>
    <row r="1533" spans="9:22" x14ac:dyDescent="0.45">
      <c r="I1533" t="s">
        <v>185</v>
      </c>
      <c r="J1533" t="s">
        <v>290</v>
      </c>
      <c r="K1533">
        <v>0</v>
      </c>
      <c r="L1533" t="s">
        <v>159</v>
      </c>
      <c r="N1533" t="s">
        <v>228</v>
      </c>
      <c r="O1533" t="s">
        <v>290</v>
      </c>
      <c r="P1533">
        <v>3.06262472720455E-3</v>
      </c>
      <c r="Q1533" t="s">
        <v>159</v>
      </c>
      <c r="S1533" t="s">
        <v>270</v>
      </c>
      <c r="T1533" t="s">
        <v>290</v>
      </c>
      <c r="U1533">
        <v>2.8647509891915166E-3</v>
      </c>
      <c r="V1533" t="s">
        <v>159</v>
      </c>
    </row>
    <row r="1534" spans="9:22" x14ac:dyDescent="0.45">
      <c r="I1534" t="s">
        <v>185</v>
      </c>
      <c r="J1534" t="s">
        <v>309</v>
      </c>
      <c r="K1534">
        <v>0</v>
      </c>
      <c r="L1534" t="s">
        <v>159</v>
      </c>
      <c r="N1534" t="s">
        <v>228</v>
      </c>
      <c r="O1534" t="s">
        <v>309</v>
      </c>
      <c r="P1534">
        <v>1.1470810579049324E-2</v>
      </c>
      <c r="Q1534" t="s">
        <v>159</v>
      </c>
      <c r="S1534" t="s">
        <v>270</v>
      </c>
      <c r="T1534" t="s">
        <v>309</v>
      </c>
      <c r="U1534">
        <v>1.4831823342148954E-2</v>
      </c>
      <c r="V1534" t="s">
        <v>159</v>
      </c>
    </row>
    <row r="1535" spans="9:22" x14ac:dyDescent="0.45">
      <c r="I1535" t="s">
        <v>185</v>
      </c>
      <c r="J1535" t="s">
        <v>346</v>
      </c>
      <c r="K1535">
        <v>0</v>
      </c>
      <c r="L1535" t="s">
        <v>159</v>
      </c>
      <c r="N1535" t="s">
        <v>228</v>
      </c>
      <c r="O1535" t="s">
        <v>346</v>
      </c>
      <c r="P1535">
        <v>2.1617666916648601E-5</v>
      </c>
      <c r="Q1535" t="s">
        <v>159</v>
      </c>
      <c r="S1535" t="s">
        <v>270</v>
      </c>
      <c r="T1535" t="s">
        <v>346</v>
      </c>
      <c r="U1535">
        <v>4.6471100411077601E-5</v>
      </c>
      <c r="V1535" t="s">
        <v>159</v>
      </c>
    </row>
    <row r="1536" spans="9:22" x14ac:dyDescent="0.45">
      <c r="I1536" t="s">
        <v>185</v>
      </c>
      <c r="J1536" t="s">
        <v>347</v>
      </c>
      <c r="K1536">
        <v>0</v>
      </c>
      <c r="L1536" t="s">
        <v>159</v>
      </c>
      <c r="N1536" t="s">
        <v>228</v>
      </c>
      <c r="O1536" t="s">
        <v>347</v>
      </c>
      <c r="P1536">
        <v>1.6990052736532062E-5</v>
      </c>
      <c r="Q1536" t="s">
        <v>159</v>
      </c>
      <c r="S1536" t="s">
        <v>270</v>
      </c>
      <c r="T1536" t="s">
        <v>347</v>
      </c>
      <c r="U1536">
        <v>3.9061720465931771E-5</v>
      </c>
      <c r="V1536" t="s">
        <v>159</v>
      </c>
    </row>
    <row r="1537" spans="9:22" x14ac:dyDescent="0.45">
      <c r="I1537" t="s">
        <v>185</v>
      </c>
      <c r="J1537" t="s">
        <v>348</v>
      </c>
      <c r="K1537">
        <v>0</v>
      </c>
      <c r="L1537" t="s">
        <v>159</v>
      </c>
      <c r="N1537" t="s">
        <v>228</v>
      </c>
      <c r="O1537" t="s">
        <v>348</v>
      </c>
      <c r="P1537">
        <v>1.4266578565759299E-5</v>
      </c>
      <c r="Q1537" t="s">
        <v>159</v>
      </c>
      <c r="S1537" t="s">
        <v>270</v>
      </c>
      <c r="T1537" t="s">
        <v>348</v>
      </c>
      <c r="U1537">
        <v>2.6494631698040364E-5</v>
      </c>
      <c r="V1537" t="s">
        <v>159</v>
      </c>
    </row>
    <row r="1538" spans="9:22" x14ac:dyDescent="0.45">
      <c r="I1538" t="s">
        <v>185</v>
      </c>
      <c r="J1538" t="s">
        <v>349</v>
      </c>
      <c r="K1538">
        <v>0</v>
      </c>
      <c r="L1538" t="s">
        <v>159</v>
      </c>
      <c r="N1538" t="s">
        <v>228</v>
      </c>
      <c r="O1538" t="s">
        <v>349</v>
      </c>
      <c r="P1538">
        <v>1.1751760472891278E-5</v>
      </c>
      <c r="Q1538" t="s">
        <v>159</v>
      </c>
      <c r="S1538" t="s">
        <v>270</v>
      </c>
      <c r="T1538" t="s">
        <v>349</v>
      </c>
      <c r="U1538">
        <v>1.6821104427165561E-5</v>
      </c>
      <c r="V1538" t="s">
        <v>159</v>
      </c>
    </row>
    <row r="1539" spans="9:22" x14ac:dyDescent="0.45">
      <c r="I1539" t="s">
        <v>185</v>
      </c>
      <c r="J1539" t="s">
        <v>350</v>
      </c>
      <c r="K1539">
        <v>0</v>
      </c>
      <c r="L1539" t="s">
        <v>159</v>
      </c>
      <c r="N1539" t="s">
        <v>228</v>
      </c>
      <c r="O1539" t="s">
        <v>350</v>
      </c>
      <c r="P1539">
        <v>7.8287615949657782E-6</v>
      </c>
      <c r="Q1539" t="s">
        <v>159</v>
      </c>
      <c r="S1539" t="s">
        <v>270</v>
      </c>
      <c r="T1539" t="s">
        <v>350</v>
      </c>
      <c r="U1539">
        <v>1.260878282308662E-5</v>
      </c>
      <c r="V1539" t="s">
        <v>159</v>
      </c>
    </row>
    <row r="1540" spans="9:22" x14ac:dyDescent="0.45">
      <c r="I1540" t="s">
        <v>185</v>
      </c>
      <c r="J1540" t="s">
        <v>351</v>
      </c>
      <c r="K1540">
        <v>0</v>
      </c>
      <c r="L1540" t="s">
        <v>159</v>
      </c>
      <c r="N1540" t="s">
        <v>228</v>
      </c>
      <c r="O1540" t="s">
        <v>351</v>
      </c>
      <c r="P1540">
        <v>5.7661128309066148E-6</v>
      </c>
      <c r="Q1540" t="s">
        <v>159</v>
      </c>
      <c r="S1540" t="s">
        <v>270</v>
      </c>
      <c r="T1540" t="s">
        <v>351</v>
      </c>
      <c r="U1540">
        <v>1.283276625019725E-5</v>
      </c>
      <c r="V1540" t="s">
        <v>159</v>
      </c>
    </row>
    <row r="1541" spans="9:22" x14ac:dyDescent="0.45">
      <c r="I1541" t="s">
        <v>185</v>
      </c>
      <c r="J1541" t="s">
        <v>352</v>
      </c>
      <c r="K1541">
        <v>0</v>
      </c>
      <c r="L1541" t="s">
        <v>159</v>
      </c>
      <c r="N1541" t="s">
        <v>228</v>
      </c>
      <c r="O1541" t="s">
        <v>352</v>
      </c>
      <c r="P1541">
        <v>6.1486786080908015E-6</v>
      </c>
      <c r="Q1541" t="s">
        <v>159</v>
      </c>
      <c r="S1541" t="s">
        <v>270</v>
      </c>
      <c r="T1541" t="s">
        <v>352</v>
      </c>
      <c r="U1541">
        <v>1.8061760288723405E-5</v>
      </c>
      <c r="V1541" t="s">
        <v>159</v>
      </c>
    </row>
    <row r="1542" spans="9:22" x14ac:dyDescent="0.45">
      <c r="I1542" t="s">
        <v>185</v>
      </c>
      <c r="J1542" t="s">
        <v>353</v>
      </c>
      <c r="K1542">
        <v>0</v>
      </c>
      <c r="L1542" t="s">
        <v>159</v>
      </c>
      <c r="N1542" t="s">
        <v>228</v>
      </c>
      <c r="O1542" t="s">
        <v>353</v>
      </c>
      <c r="P1542">
        <v>1.2079875065812188E-5</v>
      </c>
      <c r="Q1542" t="s">
        <v>159</v>
      </c>
      <c r="S1542" t="s">
        <v>270</v>
      </c>
      <c r="T1542" t="s">
        <v>353</v>
      </c>
      <c r="U1542">
        <v>2.8461850211939765E-5</v>
      </c>
      <c r="V1542" t="s">
        <v>159</v>
      </c>
    </row>
    <row r="1543" spans="9:22" x14ac:dyDescent="0.45">
      <c r="I1543" t="s">
        <v>185</v>
      </c>
      <c r="J1543" t="s">
        <v>354</v>
      </c>
      <c r="K1543">
        <v>1.579077953182922E-4</v>
      </c>
      <c r="L1543" t="s">
        <v>159</v>
      </c>
      <c r="N1543" t="s">
        <v>228</v>
      </c>
      <c r="O1543" t="s">
        <v>354</v>
      </c>
      <c r="P1543">
        <v>1.6786644040292991E-5</v>
      </c>
      <c r="Q1543" t="s">
        <v>159</v>
      </c>
      <c r="S1543" t="s">
        <v>270</v>
      </c>
      <c r="T1543" t="s">
        <v>354</v>
      </c>
      <c r="U1543">
        <v>4.1504513745464852E-5</v>
      </c>
      <c r="V1543" t="s">
        <v>159</v>
      </c>
    </row>
    <row r="1544" spans="9:22" x14ac:dyDescent="0.45">
      <c r="I1544" t="s">
        <v>185</v>
      </c>
      <c r="J1544" t="s">
        <v>355</v>
      </c>
      <c r="K1544">
        <v>1.730395957176457E-4</v>
      </c>
      <c r="L1544" t="s">
        <v>159</v>
      </c>
      <c r="N1544" t="s">
        <v>228</v>
      </c>
      <c r="O1544" t="s">
        <v>355</v>
      </c>
      <c r="P1544">
        <v>1.9743283323372644E-5</v>
      </c>
      <c r="Q1544" t="s">
        <v>159</v>
      </c>
      <c r="S1544" t="s">
        <v>270</v>
      </c>
      <c r="T1544" t="s">
        <v>355</v>
      </c>
      <c r="U1544">
        <v>4.8210982696419783E-5</v>
      </c>
      <c r="V1544" t="s">
        <v>159</v>
      </c>
    </row>
    <row r="1545" spans="9:22" x14ac:dyDescent="0.45">
      <c r="I1545" t="s">
        <v>185</v>
      </c>
      <c r="J1545" t="s">
        <v>356</v>
      </c>
      <c r="K1545">
        <v>1.5464426582196414E-4</v>
      </c>
      <c r="L1545" t="s">
        <v>159</v>
      </c>
      <c r="N1545" t="s">
        <v>228</v>
      </c>
      <c r="O1545" t="s">
        <v>356</v>
      </c>
      <c r="P1545">
        <v>2.409520349221375E-5</v>
      </c>
      <c r="Q1545" t="s">
        <v>159</v>
      </c>
      <c r="S1545" t="s">
        <v>270</v>
      </c>
      <c r="T1545" t="s">
        <v>356</v>
      </c>
      <c r="U1545">
        <v>4.8631331856497817E-5</v>
      </c>
      <c r="V1545" t="s">
        <v>159</v>
      </c>
    </row>
    <row r="1546" spans="9:22" x14ac:dyDescent="0.45">
      <c r="I1546" t="s">
        <v>185</v>
      </c>
      <c r="J1546" t="s">
        <v>357</v>
      </c>
      <c r="K1546">
        <v>1.648963240703275E-4</v>
      </c>
      <c r="L1546" t="s">
        <v>159</v>
      </c>
      <c r="N1546" t="s">
        <v>228</v>
      </c>
      <c r="O1546" t="s">
        <v>357</v>
      </c>
      <c r="P1546">
        <v>4.4140504937529479E-5</v>
      </c>
      <c r="Q1546" t="s">
        <v>159</v>
      </c>
      <c r="S1546" t="s">
        <v>270</v>
      </c>
      <c r="T1546" t="s">
        <v>357</v>
      </c>
      <c r="U1546">
        <v>4.3120973337337982E-5</v>
      </c>
      <c r="V1546" t="s">
        <v>159</v>
      </c>
    </row>
    <row r="1547" spans="9:22" x14ac:dyDescent="0.45">
      <c r="I1547" t="s">
        <v>185</v>
      </c>
      <c r="J1547" t="s">
        <v>358</v>
      </c>
      <c r="K1547">
        <v>2.1785039809719815E-4</v>
      </c>
      <c r="L1547" t="s">
        <v>159</v>
      </c>
      <c r="N1547" t="s">
        <v>228</v>
      </c>
      <c r="O1547" t="s">
        <v>358</v>
      </c>
      <c r="P1547">
        <v>5.9924931589159002E-5</v>
      </c>
      <c r="Q1547" t="s">
        <v>159</v>
      </c>
      <c r="S1547" t="s">
        <v>270</v>
      </c>
      <c r="T1547" t="s">
        <v>358</v>
      </c>
      <c r="U1547">
        <v>3.7929101124068899E-5</v>
      </c>
      <c r="V1547" t="s">
        <v>159</v>
      </c>
    </row>
    <row r="1548" spans="9:22" x14ac:dyDescent="0.45">
      <c r="I1548" t="s">
        <v>185</v>
      </c>
      <c r="J1548" t="s">
        <v>359</v>
      </c>
      <c r="K1548">
        <v>1.7547052732791034E-4</v>
      </c>
      <c r="L1548" t="s">
        <v>159</v>
      </c>
      <c r="N1548" t="s">
        <v>228</v>
      </c>
      <c r="O1548" t="s">
        <v>359</v>
      </c>
      <c r="P1548">
        <v>8.7215577517566482E-5</v>
      </c>
      <c r="Q1548" t="s">
        <v>159</v>
      </c>
      <c r="S1548" t="s">
        <v>270</v>
      </c>
      <c r="T1548" t="s">
        <v>359</v>
      </c>
      <c r="U1548">
        <v>3.1007946038924075E-5</v>
      </c>
      <c r="V1548" t="s">
        <v>159</v>
      </c>
    </row>
    <row r="1549" spans="9:22" x14ac:dyDescent="0.45">
      <c r="I1549" t="s">
        <v>185</v>
      </c>
      <c r="J1549" t="s">
        <v>360</v>
      </c>
      <c r="K1549">
        <v>1.3658092309501346E-4</v>
      </c>
      <c r="L1549" t="s">
        <v>159</v>
      </c>
      <c r="N1549" t="s">
        <v>228</v>
      </c>
      <c r="O1549" t="s">
        <v>360</v>
      </c>
      <c r="P1549">
        <v>1.1353143011523262E-4</v>
      </c>
      <c r="Q1549" t="s">
        <v>159</v>
      </c>
      <c r="S1549" t="s">
        <v>270</v>
      </c>
      <c r="T1549" t="s">
        <v>360</v>
      </c>
      <c r="U1549">
        <v>2.0677661867018676E-5</v>
      </c>
      <c r="V1549" t="s">
        <v>159</v>
      </c>
    </row>
    <row r="1550" spans="9:22" x14ac:dyDescent="0.45">
      <c r="I1550" t="s">
        <v>185</v>
      </c>
      <c r="J1550" t="s">
        <v>361</v>
      </c>
      <c r="K1550">
        <v>1.1079564434297072E-4</v>
      </c>
      <c r="L1550" t="s">
        <v>159</v>
      </c>
      <c r="N1550" t="s">
        <v>228</v>
      </c>
      <c r="O1550" t="s">
        <v>361</v>
      </c>
      <c r="P1550">
        <v>1.3087153752999102E-4</v>
      </c>
      <c r="Q1550" t="s">
        <v>159</v>
      </c>
      <c r="S1550" t="s">
        <v>270</v>
      </c>
      <c r="T1550" t="s">
        <v>361</v>
      </c>
      <c r="U1550">
        <v>1.1952561155365124E-5</v>
      </c>
      <c r="V1550" t="s">
        <v>159</v>
      </c>
    </row>
    <row r="1551" spans="9:22" x14ac:dyDescent="0.45">
      <c r="I1551" t="s">
        <v>185</v>
      </c>
      <c r="J1551" t="s">
        <v>362</v>
      </c>
      <c r="K1551">
        <v>7.9549156968913677E-5</v>
      </c>
      <c r="L1551" t="s">
        <v>159</v>
      </c>
      <c r="N1551" t="s">
        <v>228</v>
      </c>
      <c r="O1551" t="s">
        <v>362</v>
      </c>
      <c r="P1551">
        <v>1.3262973482486596E-4</v>
      </c>
      <c r="Q1551" t="s">
        <v>159</v>
      </c>
      <c r="S1551" t="s">
        <v>270</v>
      </c>
      <c r="T1551" t="s">
        <v>362</v>
      </c>
      <c r="U1551">
        <v>9.2252370288174845E-6</v>
      </c>
      <c r="V1551" t="s">
        <v>159</v>
      </c>
    </row>
    <row r="1552" spans="9:22" x14ac:dyDescent="0.45">
      <c r="I1552" t="s">
        <v>185</v>
      </c>
      <c r="J1552" t="s">
        <v>363</v>
      </c>
      <c r="K1552">
        <v>1.646321123908652E-5</v>
      </c>
      <c r="L1552" t="s">
        <v>159</v>
      </c>
      <c r="N1552" t="s">
        <v>228</v>
      </c>
      <c r="O1552" t="s">
        <v>363</v>
      </c>
      <c r="P1552">
        <v>1.1780805159469977E-4</v>
      </c>
      <c r="Q1552" t="s">
        <v>159</v>
      </c>
      <c r="S1552" t="s">
        <v>270</v>
      </c>
      <c r="T1552" t="s">
        <v>363</v>
      </c>
      <c r="U1552">
        <v>7.1041597828578764E-6</v>
      </c>
      <c r="V1552" t="s">
        <v>159</v>
      </c>
    </row>
    <row r="1553" spans="9:22" x14ac:dyDescent="0.45">
      <c r="I1553" t="s">
        <v>185</v>
      </c>
      <c r="J1553" t="s">
        <v>364</v>
      </c>
      <c r="K1553">
        <v>0</v>
      </c>
      <c r="L1553" t="s">
        <v>159</v>
      </c>
      <c r="N1553" t="s">
        <v>228</v>
      </c>
      <c r="O1553" t="s">
        <v>364</v>
      </c>
      <c r="P1553">
        <v>8.3269777356214452E-5</v>
      </c>
      <c r="Q1553" t="s">
        <v>159</v>
      </c>
      <c r="S1553" t="s">
        <v>270</v>
      </c>
      <c r="T1553" t="s">
        <v>364</v>
      </c>
      <c r="U1553">
        <v>4.8307192925226484E-6</v>
      </c>
      <c r="V1553" t="s">
        <v>159</v>
      </c>
    </row>
    <row r="1554" spans="9:22" x14ac:dyDescent="0.45">
      <c r="I1554" t="s">
        <v>185</v>
      </c>
      <c r="J1554" t="s">
        <v>365</v>
      </c>
      <c r="K1554">
        <v>0</v>
      </c>
      <c r="L1554" t="s">
        <v>159</v>
      </c>
      <c r="N1554" t="s">
        <v>228</v>
      </c>
      <c r="O1554" t="s">
        <v>365</v>
      </c>
      <c r="P1554">
        <v>5.5736826458028542E-5</v>
      </c>
      <c r="Q1554" t="s">
        <v>159</v>
      </c>
      <c r="S1554" t="s">
        <v>270</v>
      </c>
      <c r="T1554" t="s">
        <v>365</v>
      </c>
      <c r="U1554">
        <v>3.4706468108288154E-6</v>
      </c>
      <c r="V1554" t="s">
        <v>159</v>
      </c>
    </row>
    <row r="1555" spans="9:22" x14ac:dyDescent="0.45">
      <c r="I1555" t="s">
        <v>185</v>
      </c>
      <c r="J1555" t="s">
        <v>366</v>
      </c>
      <c r="K1555">
        <v>0</v>
      </c>
      <c r="L1555" t="s">
        <v>159</v>
      </c>
      <c r="N1555" t="s">
        <v>228</v>
      </c>
      <c r="O1555" t="s">
        <v>366</v>
      </c>
      <c r="P1555">
        <v>3.7851693210815702E-5</v>
      </c>
      <c r="Q1555" t="s">
        <v>159</v>
      </c>
      <c r="S1555" t="s">
        <v>270</v>
      </c>
      <c r="T1555" t="s">
        <v>366</v>
      </c>
      <c r="U1555">
        <v>1.7120499497698739E-6</v>
      </c>
      <c r="V1555" t="s">
        <v>159</v>
      </c>
    </row>
    <row r="1556" spans="9:22" x14ac:dyDescent="0.45">
      <c r="I1556" t="s">
        <v>185</v>
      </c>
      <c r="J1556" t="s">
        <v>367</v>
      </c>
      <c r="K1556">
        <v>0</v>
      </c>
      <c r="L1556" t="s">
        <v>159</v>
      </c>
      <c r="N1556" t="s">
        <v>228</v>
      </c>
      <c r="O1556" t="s">
        <v>367</v>
      </c>
      <c r="P1556">
        <v>2.5844600207447296E-5</v>
      </c>
      <c r="Q1556" t="s">
        <v>159</v>
      </c>
      <c r="S1556" t="s">
        <v>270</v>
      </c>
      <c r="T1556" t="s">
        <v>367</v>
      </c>
      <c r="U1556">
        <v>9.1608866475481135E-7</v>
      </c>
      <c r="V1556" t="s">
        <v>159</v>
      </c>
    </row>
    <row r="1557" spans="9:22" x14ac:dyDescent="0.45">
      <c r="I1557" t="s">
        <v>185</v>
      </c>
      <c r="J1557" t="s">
        <v>368</v>
      </c>
      <c r="K1557">
        <v>0</v>
      </c>
      <c r="L1557" t="s">
        <v>159</v>
      </c>
      <c r="N1557" t="s">
        <v>228</v>
      </c>
      <c r="O1557" t="s">
        <v>368</v>
      </c>
      <c r="P1557">
        <v>2.0209803734863341E-5</v>
      </c>
      <c r="Q1557" t="s">
        <v>159</v>
      </c>
      <c r="S1557" t="s">
        <v>270</v>
      </c>
      <c r="T1557" t="s">
        <v>368</v>
      </c>
      <c r="U1557">
        <v>2.5504179952789311E-7</v>
      </c>
      <c r="V1557" t="s">
        <v>159</v>
      </c>
    </row>
    <row r="1558" spans="9:22" x14ac:dyDescent="0.45">
      <c r="I1558" t="s">
        <v>185</v>
      </c>
      <c r="J1558" t="s">
        <v>369</v>
      </c>
      <c r="K1558">
        <v>0</v>
      </c>
      <c r="L1558" t="s">
        <v>159</v>
      </c>
      <c r="N1558" t="s">
        <v>228</v>
      </c>
      <c r="O1558" t="s">
        <v>369</v>
      </c>
      <c r="P1558">
        <v>1.6615752355065796E-5</v>
      </c>
      <c r="Q1558" t="s">
        <v>159</v>
      </c>
      <c r="S1558" t="s">
        <v>270</v>
      </c>
      <c r="T1558" t="s">
        <v>369</v>
      </c>
      <c r="U1558">
        <v>0</v>
      </c>
      <c r="V1558" t="s">
        <v>159</v>
      </c>
    </row>
    <row r="1559" spans="9:22" x14ac:dyDescent="0.45">
      <c r="I1559" t="s">
        <v>185</v>
      </c>
      <c r="J1559" t="s">
        <v>165</v>
      </c>
      <c r="K1559">
        <v>0</v>
      </c>
      <c r="L1559" t="s">
        <v>159</v>
      </c>
      <c r="N1559" t="s">
        <v>228</v>
      </c>
      <c r="O1559" t="s">
        <v>165</v>
      </c>
      <c r="P1559">
        <v>1.7336377036388462E-2</v>
      </c>
      <c r="Q1559" t="s">
        <v>159</v>
      </c>
      <c r="S1559" t="s">
        <v>270</v>
      </c>
      <c r="T1559" t="s">
        <v>165</v>
      </c>
      <c r="U1559">
        <v>2.9523180317517054E-2</v>
      </c>
      <c r="V1559" t="s">
        <v>159</v>
      </c>
    </row>
    <row r="1560" spans="9:22" x14ac:dyDescent="0.45">
      <c r="I1560" t="s">
        <v>185</v>
      </c>
      <c r="J1560" t="s">
        <v>166</v>
      </c>
      <c r="K1560">
        <v>1.4553882229545348E-3</v>
      </c>
      <c r="L1560" t="s">
        <v>159</v>
      </c>
      <c r="N1560" t="s">
        <v>228</v>
      </c>
      <c r="O1560" t="s">
        <v>166</v>
      </c>
      <c r="P1560">
        <v>2.9438050316058623E-3</v>
      </c>
      <c r="Q1560" t="s">
        <v>159</v>
      </c>
      <c r="S1560" t="s">
        <v>270</v>
      </c>
      <c r="T1560" t="s">
        <v>166</v>
      </c>
      <c r="U1560">
        <v>4.226140432726018E-3</v>
      </c>
      <c r="V1560" t="s">
        <v>159</v>
      </c>
    </row>
    <row r="1561" spans="9:22" x14ac:dyDescent="0.45">
      <c r="I1561" t="s">
        <v>185</v>
      </c>
      <c r="J1561" t="s">
        <v>167</v>
      </c>
      <c r="K1561">
        <v>4.8636627788022094E-2</v>
      </c>
      <c r="L1561" t="s">
        <v>159</v>
      </c>
      <c r="N1561" t="s">
        <v>228</v>
      </c>
      <c r="O1561" t="s">
        <v>167</v>
      </c>
      <c r="P1561">
        <v>2.7740246429937079E-2</v>
      </c>
      <c r="Q1561" t="s">
        <v>159</v>
      </c>
      <c r="S1561" t="s">
        <v>270</v>
      </c>
      <c r="T1561" t="s">
        <v>167</v>
      </c>
      <c r="U1561">
        <v>3.9329230503948966E-2</v>
      </c>
      <c r="V1561" t="s">
        <v>159</v>
      </c>
    </row>
    <row r="1562" spans="9:22" x14ac:dyDescent="0.45">
      <c r="I1562" t="s">
        <v>185</v>
      </c>
      <c r="J1562" t="s">
        <v>291</v>
      </c>
      <c r="K1562">
        <v>3.8536306283689214E-3</v>
      </c>
      <c r="L1562" t="s">
        <v>159</v>
      </c>
      <c r="N1562" t="s">
        <v>228</v>
      </c>
      <c r="O1562" t="s">
        <v>291</v>
      </c>
      <c r="P1562">
        <v>4.8911368379637044E-3</v>
      </c>
      <c r="Q1562" t="s">
        <v>159</v>
      </c>
      <c r="S1562" t="s">
        <v>270</v>
      </c>
      <c r="T1562" t="s">
        <v>291</v>
      </c>
      <c r="U1562">
        <v>4.4660184211073855E-3</v>
      </c>
      <c r="V1562" t="s">
        <v>159</v>
      </c>
    </row>
    <row r="1563" spans="9:22" x14ac:dyDescent="0.45">
      <c r="I1563" t="s">
        <v>185</v>
      </c>
      <c r="J1563" t="s">
        <v>292</v>
      </c>
      <c r="K1563">
        <v>0</v>
      </c>
      <c r="L1563" t="s">
        <v>159</v>
      </c>
      <c r="N1563" t="s">
        <v>228</v>
      </c>
      <c r="O1563" t="s">
        <v>292</v>
      </c>
      <c r="P1563">
        <v>3.9597576760879794E-3</v>
      </c>
      <c r="Q1563" t="s">
        <v>159</v>
      </c>
      <c r="S1563" t="s">
        <v>270</v>
      </c>
      <c r="T1563" t="s">
        <v>292</v>
      </c>
      <c r="U1563">
        <v>4.551072872123159E-3</v>
      </c>
      <c r="V1563" t="s">
        <v>159</v>
      </c>
    </row>
    <row r="1564" spans="9:22" x14ac:dyDescent="0.45">
      <c r="I1564" t="s">
        <v>185</v>
      </c>
      <c r="J1564" t="s">
        <v>310</v>
      </c>
      <c r="K1564">
        <v>0</v>
      </c>
      <c r="L1564" t="s">
        <v>159</v>
      </c>
      <c r="N1564" t="s">
        <v>228</v>
      </c>
      <c r="O1564" t="s">
        <v>310</v>
      </c>
      <c r="P1564">
        <v>1.3280515582458966E-2</v>
      </c>
      <c r="Q1564" t="s">
        <v>159</v>
      </c>
      <c r="S1564" t="s">
        <v>270</v>
      </c>
      <c r="T1564" t="s">
        <v>310</v>
      </c>
      <c r="U1564">
        <v>2.2933544453989256E-2</v>
      </c>
      <c r="V1564" t="s">
        <v>159</v>
      </c>
    </row>
    <row r="1565" spans="9:22" x14ac:dyDescent="0.45">
      <c r="I1565" t="s">
        <v>185</v>
      </c>
      <c r="J1565" t="s">
        <v>293</v>
      </c>
      <c r="K1565">
        <v>0</v>
      </c>
      <c r="L1565" t="s">
        <v>159</v>
      </c>
      <c r="N1565" t="s">
        <v>228</v>
      </c>
      <c r="O1565" t="s">
        <v>293</v>
      </c>
      <c r="P1565">
        <v>8.4629359110779262E-3</v>
      </c>
      <c r="Q1565" t="s">
        <v>159</v>
      </c>
      <c r="S1565" t="s">
        <v>270</v>
      </c>
      <c r="T1565" t="s">
        <v>293</v>
      </c>
      <c r="U1565">
        <v>3.9552932571968787E-3</v>
      </c>
      <c r="V1565" t="s">
        <v>159</v>
      </c>
    </row>
    <row r="1566" spans="9:22" x14ac:dyDescent="0.45">
      <c r="I1566" t="s">
        <v>185</v>
      </c>
      <c r="J1566" t="s">
        <v>294</v>
      </c>
      <c r="K1566">
        <v>1.007335982427787E-3</v>
      </c>
      <c r="L1566" t="s">
        <v>159</v>
      </c>
      <c r="N1566" t="s">
        <v>228</v>
      </c>
      <c r="O1566" t="s">
        <v>294</v>
      </c>
      <c r="P1566">
        <v>1.1413475457297179E-3</v>
      </c>
      <c r="Q1566" t="s">
        <v>159</v>
      </c>
      <c r="S1566" t="s">
        <v>270</v>
      </c>
      <c r="T1566" t="s">
        <v>294</v>
      </c>
      <c r="U1566">
        <v>6.3260266845544617E-4</v>
      </c>
      <c r="V1566" t="s">
        <v>159</v>
      </c>
    </row>
    <row r="1567" spans="9:22" x14ac:dyDescent="0.45">
      <c r="I1567" t="s">
        <v>185</v>
      </c>
      <c r="J1567" t="s">
        <v>295</v>
      </c>
      <c r="K1567">
        <v>1.4507475401076744E-2</v>
      </c>
      <c r="L1567" t="s">
        <v>159</v>
      </c>
      <c r="N1567" t="s">
        <v>228</v>
      </c>
      <c r="O1567" t="s">
        <v>295</v>
      </c>
      <c r="P1567">
        <v>8.5728232737362631E-3</v>
      </c>
      <c r="Q1567" t="s">
        <v>159</v>
      </c>
      <c r="S1567" t="s">
        <v>270</v>
      </c>
      <c r="T1567" t="s">
        <v>295</v>
      </c>
      <c r="U1567">
        <v>6.8866714012667382E-3</v>
      </c>
      <c r="V1567" t="s">
        <v>159</v>
      </c>
    </row>
    <row r="1568" spans="9:22" x14ac:dyDescent="0.45">
      <c r="I1568" t="s">
        <v>185</v>
      </c>
      <c r="J1568" t="s">
        <v>296</v>
      </c>
      <c r="K1568">
        <v>1.1228635167581818E-3</v>
      </c>
      <c r="L1568" t="s">
        <v>159</v>
      </c>
      <c r="N1568" t="s">
        <v>228</v>
      </c>
      <c r="O1568" t="s">
        <v>296</v>
      </c>
      <c r="P1568">
        <v>1.5798646899860933E-3</v>
      </c>
      <c r="Q1568" t="s">
        <v>159</v>
      </c>
      <c r="S1568" t="s">
        <v>270</v>
      </c>
      <c r="T1568" t="s">
        <v>296</v>
      </c>
      <c r="U1568">
        <v>7.9099645915764612E-4</v>
      </c>
      <c r="V1568" t="s">
        <v>159</v>
      </c>
    </row>
    <row r="1569" spans="9:22" x14ac:dyDescent="0.45">
      <c r="I1569" t="s">
        <v>185</v>
      </c>
      <c r="J1569" t="s">
        <v>297</v>
      </c>
      <c r="K1569">
        <v>0</v>
      </c>
      <c r="L1569" t="s">
        <v>159</v>
      </c>
      <c r="N1569" t="s">
        <v>228</v>
      </c>
      <c r="O1569" t="s">
        <v>297</v>
      </c>
      <c r="P1569">
        <v>1.4600714587530391E-3</v>
      </c>
      <c r="Q1569" t="s">
        <v>159</v>
      </c>
      <c r="S1569" t="s">
        <v>270</v>
      </c>
      <c r="T1569" t="s">
        <v>297</v>
      </c>
      <c r="U1569">
        <v>7.8223418828545258E-4</v>
      </c>
      <c r="V1569" t="s">
        <v>159</v>
      </c>
    </row>
    <row r="1570" spans="9:22" x14ac:dyDescent="0.45">
      <c r="I1570" t="s">
        <v>185</v>
      </c>
      <c r="J1570" t="s">
        <v>311</v>
      </c>
      <c r="K1570">
        <v>0</v>
      </c>
      <c r="L1570" t="s">
        <v>159</v>
      </c>
      <c r="N1570" t="s">
        <v>228</v>
      </c>
      <c r="O1570" t="s">
        <v>311</v>
      </c>
      <c r="P1570">
        <v>5.8549604209346242E-3</v>
      </c>
      <c r="Q1570" t="s">
        <v>159</v>
      </c>
      <c r="S1570" t="s">
        <v>270</v>
      </c>
      <c r="T1570" t="s">
        <v>311</v>
      </c>
      <c r="U1570">
        <v>3.3403453208360025E-3</v>
      </c>
      <c r="V1570" t="s">
        <v>159</v>
      </c>
    </row>
    <row r="1571" spans="9:22" x14ac:dyDescent="0.45">
      <c r="I1571" t="s">
        <v>185</v>
      </c>
      <c r="J1571" t="s">
        <v>298</v>
      </c>
      <c r="K1571">
        <v>1.1864724662587738E-2</v>
      </c>
      <c r="L1571" t="s">
        <v>159</v>
      </c>
      <c r="N1571" t="s">
        <v>228</v>
      </c>
      <c r="O1571" t="s">
        <v>298</v>
      </c>
      <c r="P1571">
        <v>7.1170938639856865E-2</v>
      </c>
      <c r="Q1571" t="s">
        <v>159</v>
      </c>
      <c r="S1571" t="s">
        <v>270</v>
      </c>
      <c r="T1571" t="s">
        <v>298</v>
      </c>
      <c r="U1571">
        <v>8.4597315689572239E-2</v>
      </c>
      <c r="V1571" t="s">
        <v>159</v>
      </c>
    </row>
    <row r="1572" spans="9:22" x14ac:dyDescent="0.45">
      <c r="I1572" t="s">
        <v>185</v>
      </c>
      <c r="J1572" t="s">
        <v>299</v>
      </c>
      <c r="K1572">
        <v>1.94338234336679E-2</v>
      </c>
      <c r="L1572" t="s">
        <v>159</v>
      </c>
      <c r="N1572" t="s">
        <v>228</v>
      </c>
      <c r="O1572" t="s">
        <v>299</v>
      </c>
      <c r="P1572">
        <v>9.9079070729844575E-3</v>
      </c>
      <c r="Q1572" t="s">
        <v>159</v>
      </c>
      <c r="S1572" t="s">
        <v>270</v>
      </c>
      <c r="T1572" t="s">
        <v>299</v>
      </c>
      <c r="U1572">
        <v>1.1277107919976116E-2</v>
      </c>
      <c r="V1572" t="s">
        <v>159</v>
      </c>
    </row>
    <row r="1573" spans="9:22" x14ac:dyDescent="0.45">
      <c r="I1573" t="s">
        <v>185</v>
      </c>
      <c r="J1573" t="s">
        <v>300</v>
      </c>
      <c r="K1573">
        <v>0.24636242474612663</v>
      </c>
      <c r="L1573" t="s">
        <v>159</v>
      </c>
      <c r="N1573" t="s">
        <v>228</v>
      </c>
      <c r="O1573" t="s">
        <v>300</v>
      </c>
      <c r="P1573">
        <v>0.14187117925204046</v>
      </c>
      <c r="Q1573" t="s">
        <v>159</v>
      </c>
      <c r="S1573" t="s">
        <v>270</v>
      </c>
      <c r="T1573" t="s">
        <v>300</v>
      </c>
      <c r="U1573">
        <v>0.10907969168912071</v>
      </c>
      <c r="V1573" t="s">
        <v>159</v>
      </c>
    </row>
    <row r="1574" spans="9:22" x14ac:dyDescent="0.45">
      <c r="I1574" t="s">
        <v>185</v>
      </c>
      <c r="J1574" t="s">
        <v>301</v>
      </c>
      <c r="K1574">
        <v>2.0428836876334459E-2</v>
      </c>
      <c r="L1574" t="s">
        <v>159</v>
      </c>
      <c r="N1574" t="s">
        <v>228</v>
      </c>
      <c r="O1574" t="s">
        <v>301</v>
      </c>
      <c r="P1574">
        <v>2.1852255854415692E-2</v>
      </c>
      <c r="Q1574" t="s">
        <v>159</v>
      </c>
      <c r="S1574" t="s">
        <v>270</v>
      </c>
      <c r="T1574" t="s">
        <v>301</v>
      </c>
      <c r="U1574">
        <v>1.3302950210352068E-2</v>
      </c>
      <c r="V1574" t="s">
        <v>159</v>
      </c>
    </row>
    <row r="1575" spans="9:22" x14ac:dyDescent="0.45">
      <c r="I1575" t="s">
        <v>185</v>
      </c>
      <c r="J1575" t="s">
        <v>302</v>
      </c>
      <c r="K1575">
        <v>9.5153931795743576E-3</v>
      </c>
      <c r="L1575" t="s">
        <v>159</v>
      </c>
      <c r="N1575" t="s">
        <v>228</v>
      </c>
      <c r="O1575" t="s">
        <v>302</v>
      </c>
      <c r="P1575">
        <v>1.8655603571848454E-2</v>
      </c>
      <c r="Q1575" t="s">
        <v>159</v>
      </c>
      <c r="S1575" t="s">
        <v>270</v>
      </c>
      <c r="T1575" t="s">
        <v>302</v>
      </c>
      <c r="U1575">
        <v>1.3095860797955113E-2</v>
      </c>
      <c r="V1575" t="s">
        <v>159</v>
      </c>
    </row>
    <row r="1576" spans="9:22" x14ac:dyDescent="0.45">
      <c r="I1576" t="s">
        <v>185</v>
      </c>
      <c r="J1576" t="s">
        <v>312</v>
      </c>
      <c r="K1576">
        <v>0</v>
      </c>
      <c r="L1576" t="s">
        <v>159</v>
      </c>
      <c r="N1576" t="s">
        <v>228</v>
      </c>
      <c r="O1576" t="s">
        <v>312</v>
      </c>
      <c r="P1576">
        <v>6.487867932441671E-2</v>
      </c>
      <c r="Q1576" t="s">
        <v>159</v>
      </c>
      <c r="S1576" t="s">
        <v>270</v>
      </c>
      <c r="T1576" t="s">
        <v>312</v>
      </c>
      <c r="U1576">
        <v>6.3160140117435926E-2</v>
      </c>
      <c r="V1576" t="s">
        <v>159</v>
      </c>
    </row>
    <row r="1577" spans="9:22" x14ac:dyDescent="0.45">
      <c r="I1577" t="s">
        <v>185</v>
      </c>
      <c r="J1577" t="s">
        <v>397</v>
      </c>
      <c r="K1577">
        <v>0</v>
      </c>
      <c r="L1577" t="s">
        <v>159</v>
      </c>
      <c r="N1577" t="s">
        <v>228</v>
      </c>
      <c r="O1577" t="s">
        <v>397</v>
      </c>
      <c r="P1577">
        <v>1.7423089299795272E-7</v>
      </c>
      <c r="Q1577" t="s">
        <v>159</v>
      </c>
      <c r="S1577" t="s">
        <v>270</v>
      </c>
      <c r="T1577" t="s">
        <v>397</v>
      </c>
      <c r="U1577">
        <v>2.2607799534023215E-4</v>
      </c>
      <c r="V1577" t="s">
        <v>159</v>
      </c>
    </row>
    <row r="1578" spans="9:22" x14ac:dyDescent="0.45">
      <c r="I1578" t="s">
        <v>185</v>
      </c>
      <c r="J1578" t="s">
        <v>398</v>
      </c>
      <c r="K1578">
        <v>0</v>
      </c>
      <c r="L1578" t="s">
        <v>159</v>
      </c>
      <c r="N1578" t="s">
        <v>228</v>
      </c>
      <c r="O1578" t="s">
        <v>398</v>
      </c>
      <c r="P1578">
        <v>3.4402150157437434E-7</v>
      </c>
      <c r="Q1578" t="s">
        <v>159</v>
      </c>
      <c r="S1578" t="s">
        <v>270</v>
      </c>
      <c r="T1578" t="s">
        <v>398</v>
      </c>
      <c r="U1578">
        <v>2.180449288436146E-4</v>
      </c>
      <c r="V1578" t="s">
        <v>159</v>
      </c>
    </row>
    <row r="1579" spans="9:22" x14ac:dyDescent="0.45">
      <c r="I1579" t="s">
        <v>185</v>
      </c>
      <c r="J1579" t="s">
        <v>399</v>
      </c>
      <c r="K1579">
        <v>0</v>
      </c>
      <c r="L1579" t="s">
        <v>159</v>
      </c>
      <c r="N1579" t="s">
        <v>228</v>
      </c>
      <c r="O1579" t="s">
        <v>399</v>
      </c>
      <c r="P1579">
        <v>5.0348027600562446E-7</v>
      </c>
      <c r="Q1579" t="s">
        <v>159</v>
      </c>
      <c r="S1579" t="s">
        <v>270</v>
      </c>
      <c r="T1579" t="s">
        <v>399</v>
      </c>
      <c r="U1579">
        <v>2.1242362443570962E-4</v>
      </c>
      <c r="V1579" t="s">
        <v>159</v>
      </c>
    </row>
    <row r="1580" spans="9:22" x14ac:dyDescent="0.45">
      <c r="I1580" t="s">
        <v>185</v>
      </c>
      <c r="J1580" t="s">
        <v>400</v>
      </c>
      <c r="K1580">
        <v>0</v>
      </c>
      <c r="L1580" t="s">
        <v>159</v>
      </c>
      <c r="N1580" t="s">
        <v>228</v>
      </c>
      <c r="O1580" t="s">
        <v>400</v>
      </c>
      <c r="P1580">
        <v>1.2540313976466635E-6</v>
      </c>
      <c r="Q1580" t="s">
        <v>159</v>
      </c>
      <c r="S1580" t="s">
        <v>270</v>
      </c>
      <c r="T1580" t="s">
        <v>400</v>
      </c>
      <c r="U1580">
        <v>2.0262517338308928E-4</v>
      </c>
      <c r="V1580" t="s">
        <v>159</v>
      </c>
    </row>
    <row r="1581" spans="9:22" x14ac:dyDescent="0.45">
      <c r="I1581" t="s">
        <v>185</v>
      </c>
      <c r="J1581" t="s">
        <v>401</v>
      </c>
      <c r="K1581">
        <v>0</v>
      </c>
      <c r="L1581" t="s">
        <v>159</v>
      </c>
      <c r="N1581" t="s">
        <v>228</v>
      </c>
      <c r="O1581" t="s">
        <v>401</v>
      </c>
      <c r="P1581">
        <v>3.0583156653996243E-7</v>
      </c>
      <c r="Q1581" t="s">
        <v>159</v>
      </c>
      <c r="S1581" t="s">
        <v>270</v>
      </c>
      <c r="T1581" t="s">
        <v>401</v>
      </c>
      <c r="U1581">
        <v>1.9520422956174243E-4</v>
      </c>
      <c r="V1581" t="s">
        <v>159</v>
      </c>
    </row>
    <row r="1582" spans="9:22" x14ac:dyDescent="0.45">
      <c r="I1582" t="s">
        <v>185</v>
      </c>
      <c r="J1582" t="s">
        <v>402</v>
      </c>
      <c r="K1582">
        <v>0</v>
      </c>
      <c r="L1582" t="s">
        <v>159</v>
      </c>
      <c r="N1582" t="s">
        <v>228</v>
      </c>
      <c r="O1582" t="s">
        <v>402</v>
      </c>
      <c r="P1582">
        <v>1.8505210016959683E-7</v>
      </c>
      <c r="Q1582" t="s">
        <v>159</v>
      </c>
      <c r="S1582" t="s">
        <v>270</v>
      </c>
      <c r="T1582" t="s">
        <v>402</v>
      </c>
      <c r="U1582">
        <v>1.872912461969288E-4</v>
      </c>
      <c r="V1582" t="s">
        <v>159</v>
      </c>
    </row>
    <row r="1583" spans="9:22" x14ac:dyDescent="0.45">
      <c r="I1583" t="s">
        <v>185</v>
      </c>
      <c r="J1583" t="s">
        <v>403</v>
      </c>
      <c r="K1583">
        <v>0</v>
      </c>
      <c r="L1583" t="s">
        <v>159</v>
      </c>
      <c r="N1583" t="s">
        <v>228</v>
      </c>
      <c r="O1583" t="s">
        <v>403</v>
      </c>
      <c r="P1583">
        <v>5.0111105580669505E-7</v>
      </c>
      <c r="Q1583" t="s">
        <v>159</v>
      </c>
      <c r="S1583" t="s">
        <v>270</v>
      </c>
      <c r="T1583" t="s">
        <v>403</v>
      </c>
      <c r="U1583">
        <v>1.7975847271962855E-4</v>
      </c>
      <c r="V1583" t="s">
        <v>159</v>
      </c>
    </row>
    <row r="1584" spans="9:22" x14ac:dyDescent="0.45">
      <c r="I1584" t="s">
        <v>185</v>
      </c>
      <c r="J1584" t="s">
        <v>404</v>
      </c>
      <c r="K1584">
        <v>1.0905930275826933E-4</v>
      </c>
      <c r="L1584" t="s">
        <v>159</v>
      </c>
      <c r="N1584" t="s">
        <v>228</v>
      </c>
      <c r="O1584" t="s">
        <v>404</v>
      </c>
      <c r="P1584">
        <v>4.2875745153582706E-7</v>
      </c>
      <c r="Q1584" t="s">
        <v>159</v>
      </c>
      <c r="S1584" t="s">
        <v>270</v>
      </c>
      <c r="T1584" t="s">
        <v>404</v>
      </c>
      <c r="U1584">
        <v>1.6889449144008922E-4</v>
      </c>
      <c r="V1584" t="s">
        <v>159</v>
      </c>
    </row>
    <row r="1585" spans="9:22" x14ac:dyDescent="0.45">
      <c r="I1585" t="s">
        <v>185</v>
      </c>
      <c r="J1585" t="s">
        <v>405</v>
      </c>
      <c r="K1585">
        <v>1.4790687929187808E-4</v>
      </c>
      <c r="L1585" t="s">
        <v>159</v>
      </c>
      <c r="N1585" t="s">
        <v>228</v>
      </c>
      <c r="O1585" t="s">
        <v>405</v>
      </c>
      <c r="P1585">
        <v>1.139377679376936E-7</v>
      </c>
      <c r="Q1585" t="s">
        <v>159</v>
      </c>
      <c r="S1585" t="s">
        <v>270</v>
      </c>
      <c r="T1585" t="s">
        <v>405</v>
      </c>
      <c r="U1585">
        <v>1.5557508015184875E-4</v>
      </c>
      <c r="V1585" t="s">
        <v>159</v>
      </c>
    </row>
    <row r="1586" spans="9:22" x14ac:dyDescent="0.45">
      <c r="I1586" t="s">
        <v>185</v>
      </c>
      <c r="J1586" t="s">
        <v>406</v>
      </c>
      <c r="K1586">
        <v>1.8472844498770635E-4</v>
      </c>
      <c r="L1586" t="s">
        <v>159</v>
      </c>
      <c r="N1586" t="s">
        <v>228</v>
      </c>
      <c r="O1586" t="s">
        <v>406</v>
      </c>
      <c r="P1586">
        <v>1.7977987989461256E-7</v>
      </c>
      <c r="Q1586" t="s">
        <v>159</v>
      </c>
      <c r="S1586" t="s">
        <v>270</v>
      </c>
      <c r="T1586" t="s">
        <v>406</v>
      </c>
      <c r="U1586">
        <v>1.5579774538247072E-4</v>
      </c>
      <c r="V1586" t="s">
        <v>159</v>
      </c>
    </row>
    <row r="1587" spans="9:22" x14ac:dyDescent="0.45">
      <c r="I1587" t="s">
        <v>185</v>
      </c>
      <c r="J1587" t="s">
        <v>407</v>
      </c>
      <c r="K1587">
        <v>2.071019866823602E-4</v>
      </c>
      <c r="L1587" t="s">
        <v>159</v>
      </c>
      <c r="N1587" t="s">
        <v>228</v>
      </c>
      <c r="O1587" t="s">
        <v>407</v>
      </c>
      <c r="P1587">
        <v>1.7649699799322712E-6</v>
      </c>
      <c r="Q1587" t="s">
        <v>159</v>
      </c>
      <c r="S1587" t="s">
        <v>270</v>
      </c>
      <c r="T1587" t="s">
        <v>407</v>
      </c>
      <c r="U1587">
        <v>1.6182055903514133E-4</v>
      </c>
      <c r="V1587" t="s">
        <v>159</v>
      </c>
    </row>
    <row r="1588" spans="9:22" x14ac:dyDescent="0.45">
      <c r="I1588" t="s">
        <v>185</v>
      </c>
      <c r="J1588" t="s">
        <v>408</v>
      </c>
      <c r="K1588">
        <v>2.3185610671473916E-4</v>
      </c>
      <c r="L1588" t="s">
        <v>159</v>
      </c>
      <c r="N1588" t="s">
        <v>228</v>
      </c>
      <c r="O1588" t="s">
        <v>408</v>
      </c>
      <c r="P1588">
        <v>1.7621610911523649E-5</v>
      </c>
      <c r="Q1588" t="s">
        <v>159</v>
      </c>
      <c r="S1588" t="s">
        <v>270</v>
      </c>
      <c r="T1588" t="s">
        <v>408</v>
      </c>
      <c r="U1588">
        <v>1.724499358795865E-4</v>
      </c>
      <c r="V1588" t="s">
        <v>159</v>
      </c>
    </row>
    <row r="1589" spans="9:22" x14ac:dyDescent="0.45">
      <c r="I1589" t="s">
        <v>185</v>
      </c>
      <c r="J1589" t="s">
        <v>409</v>
      </c>
      <c r="K1589">
        <v>2.8703415422479047E-4</v>
      </c>
      <c r="L1589" t="s">
        <v>159</v>
      </c>
      <c r="N1589" t="s">
        <v>228</v>
      </c>
      <c r="O1589" t="s">
        <v>409</v>
      </c>
      <c r="P1589">
        <v>4.9717299113678811E-5</v>
      </c>
      <c r="Q1589" t="s">
        <v>159</v>
      </c>
      <c r="S1589" t="s">
        <v>270</v>
      </c>
      <c r="T1589" t="s">
        <v>409</v>
      </c>
      <c r="U1589">
        <v>1.6617680617754928E-4</v>
      </c>
      <c r="V1589" t="s">
        <v>159</v>
      </c>
    </row>
    <row r="1590" spans="9:22" x14ac:dyDescent="0.45">
      <c r="I1590" t="s">
        <v>185</v>
      </c>
      <c r="J1590" t="s">
        <v>410</v>
      </c>
      <c r="K1590">
        <v>2.8907152773255401E-4</v>
      </c>
      <c r="L1590" t="s">
        <v>159</v>
      </c>
      <c r="N1590" t="s">
        <v>228</v>
      </c>
      <c r="O1590" t="s">
        <v>410</v>
      </c>
      <c r="P1590">
        <v>6.7801208413234475E-5</v>
      </c>
      <c r="Q1590" t="s">
        <v>159</v>
      </c>
      <c r="S1590" t="s">
        <v>270</v>
      </c>
      <c r="T1590" t="s">
        <v>410</v>
      </c>
      <c r="U1590">
        <v>1.5765086667849734E-4</v>
      </c>
      <c r="V1590" t="s">
        <v>159</v>
      </c>
    </row>
    <row r="1591" spans="9:22" x14ac:dyDescent="0.45">
      <c r="I1591" t="s">
        <v>185</v>
      </c>
      <c r="J1591" t="s">
        <v>411</v>
      </c>
      <c r="K1591">
        <v>2.7798903267008931E-4</v>
      </c>
      <c r="L1591" t="s">
        <v>159</v>
      </c>
      <c r="N1591" t="s">
        <v>228</v>
      </c>
      <c r="O1591" t="s">
        <v>411</v>
      </c>
      <c r="P1591">
        <v>9.6007271005953753E-5</v>
      </c>
      <c r="Q1591" t="s">
        <v>159</v>
      </c>
      <c r="S1591" t="s">
        <v>270</v>
      </c>
      <c r="T1591" t="s">
        <v>411</v>
      </c>
      <c r="U1591">
        <v>1.3881860537963843E-4</v>
      </c>
      <c r="V1591" t="s">
        <v>159</v>
      </c>
    </row>
    <row r="1592" spans="9:22" x14ac:dyDescent="0.45">
      <c r="I1592" t="s">
        <v>185</v>
      </c>
      <c r="J1592" t="s">
        <v>412</v>
      </c>
      <c r="K1592">
        <v>2.5736894204846902E-4</v>
      </c>
      <c r="L1592" t="s">
        <v>159</v>
      </c>
      <c r="N1592" t="s">
        <v>228</v>
      </c>
      <c r="O1592" t="s">
        <v>412</v>
      </c>
      <c r="P1592">
        <v>1.3692426069268149E-4</v>
      </c>
      <c r="Q1592" t="s">
        <v>159</v>
      </c>
      <c r="S1592" t="s">
        <v>270</v>
      </c>
      <c r="T1592" t="s">
        <v>412</v>
      </c>
      <c r="U1592">
        <v>1.3103716871794174E-4</v>
      </c>
      <c r="V1592" t="s">
        <v>159</v>
      </c>
    </row>
    <row r="1593" spans="9:22" x14ac:dyDescent="0.45">
      <c r="I1593" t="s">
        <v>185</v>
      </c>
      <c r="J1593" t="s">
        <v>413</v>
      </c>
      <c r="K1593">
        <v>2.5831109335603254E-4</v>
      </c>
      <c r="L1593" t="s">
        <v>159</v>
      </c>
      <c r="N1593" t="s">
        <v>228</v>
      </c>
      <c r="O1593" t="s">
        <v>413</v>
      </c>
      <c r="P1593">
        <v>1.3531132526754157E-4</v>
      </c>
      <c r="Q1593" t="s">
        <v>159</v>
      </c>
      <c r="S1593" t="s">
        <v>270</v>
      </c>
      <c r="T1593" t="s">
        <v>413</v>
      </c>
      <c r="U1593">
        <v>1.2958527140997936E-4</v>
      </c>
      <c r="V1593" t="s">
        <v>159</v>
      </c>
    </row>
    <row r="1594" spans="9:22" x14ac:dyDescent="0.45">
      <c r="I1594" t="s">
        <v>185</v>
      </c>
      <c r="J1594" t="s">
        <v>414</v>
      </c>
      <c r="K1594">
        <v>2.0037829736111086E-4</v>
      </c>
      <c r="L1594" t="s">
        <v>159</v>
      </c>
      <c r="N1594" t="s">
        <v>228</v>
      </c>
      <c r="O1594" t="s">
        <v>414</v>
      </c>
      <c r="P1594">
        <v>9.747051032896973E-5</v>
      </c>
      <c r="Q1594" t="s">
        <v>159</v>
      </c>
      <c r="S1594" t="s">
        <v>270</v>
      </c>
      <c r="T1594" t="s">
        <v>414</v>
      </c>
      <c r="U1594">
        <v>1.0926495044972657E-4</v>
      </c>
      <c r="V1594" t="s">
        <v>159</v>
      </c>
    </row>
    <row r="1595" spans="9:22" x14ac:dyDescent="0.45">
      <c r="I1595" t="s">
        <v>185</v>
      </c>
      <c r="J1595" t="s">
        <v>415</v>
      </c>
      <c r="K1595">
        <v>0</v>
      </c>
      <c r="L1595" t="s">
        <v>159</v>
      </c>
      <c r="N1595" t="s">
        <v>228</v>
      </c>
      <c r="O1595" t="s">
        <v>415</v>
      </c>
      <c r="P1595">
        <v>6.2675103938472729E-5</v>
      </c>
      <c r="Q1595" t="s">
        <v>159</v>
      </c>
      <c r="S1595" t="s">
        <v>270</v>
      </c>
      <c r="T1595" t="s">
        <v>415</v>
      </c>
      <c r="U1595">
        <v>7.4128866138135002E-5</v>
      </c>
      <c r="V1595" t="s">
        <v>159</v>
      </c>
    </row>
    <row r="1596" spans="9:22" x14ac:dyDescent="0.45">
      <c r="I1596" t="s">
        <v>185</v>
      </c>
      <c r="J1596" t="s">
        <v>416</v>
      </c>
      <c r="K1596">
        <v>0</v>
      </c>
      <c r="L1596" t="s">
        <v>159</v>
      </c>
      <c r="N1596" t="s">
        <v>228</v>
      </c>
      <c r="O1596" t="s">
        <v>416</v>
      </c>
      <c r="P1596">
        <v>2.8472881047857302E-5</v>
      </c>
      <c r="Q1596" t="s">
        <v>159</v>
      </c>
      <c r="S1596" t="s">
        <v>270</v>
      </c>
      <c r="T1596" t="s">
        <v>416</v>
      </c>
      <c r="U1596">
        <v>3.5363839550279828E-5</v>
      </c>
      <c r="V1596" t="s">
        <v>159</v>
      </c>
    </row>
    <row r="1597" spans="9:22" x14ac:dyDescent="0.45">
      <c r="I1597" t="s">
        <v>185</v>
      </c>
      <c r="J1597" t="s">
        <v>417</v>
      </c>
      <c r="K1597">
        <v>0</v>
      </c>
      <c r="L1597" t="s">
        <v>159</v>
      </c>
      <c r="N1597" t="s">
        <v>228</v>
      </c>
      <c r="O1597" t="s">
        <v>417</v>
      </c>
      <c r="P1597">
        <v>9.1081673763110497E-6</v>
      </c>
      <c r="Q1597" t="s">
        <v>159</v>
      </c>
      <c r="S1597" t="s">
        <v>270</v>
      </c>
      <c r="T1597" t="s">
        <v>417</v>
      </c>
      <c r="U1597">
        <v>1.3218133902304918E-5</v>
      </c>
      <c r="V1597" t="s">
        <v>159</v>
      </c>
    </row>
    <row r="1598" spans="9:22" x14ac:dyDescent="0.45">
      <c r="I1598" t="s">
        <v>185</v>
      </c>
      <c r="J1598" t="s">
        <v>418</v>
      </c>
      <c r="K1598">
        <v>0</v>
      </c>
      <c r="L1598" t="s">
        <v>159</v>
      </c>
      <c r="N1598" t="s">
        <v>228</v>
      </c>
      <c r="O1598" t="s">
        <v>418</v>
      </c>
      <c r="P1598">
        <v>3.4697428869930114E-6</v>
      </c>
      <c r="Q1598" t="s">
        <v>159</v>
      </c>
      <c r="S1598" t="s">
        <v>270</v>
      </c>
      <c r="T1598" t="s">
        <v>418</v>
      </c>
      <c r="U1598">
        <v>6.3677371373090819E-6</v>
      </c>
      <c r="V1598" t="s">
        <v>159</v>
      </c>
    </row>
    <row r="1599" spans="9:22" x14ac:dyDescent="0.45">
      <c r="I1599" t="s">
        <v>185</v>
      </c>
      <c r="J1599" t="s">
        <v>419</v>
      </c>
      <c r="K1599">
        <v>0</v>
      </c>
      <c r="L1599" t="s">
        <v>159</v>
      </c>
      <c r="N1599" t="s">
        <v>228</v>
      </c>
      <c r="O1599" t="s">
        <v>419</v>
      </c>
      <c r="P1599">
        <v>1.3509868209821846E-6</v>
      </c>
      <c r="Q1599" t="s">
        <v>159</v>
      </c>
      <c r="S1599" t="s">
        <v>270</v>
      </c>
      <c r="T1599" t="s">
        <v>419</v>
      </c>
      <c r="U1599">
        <v>8.2201999618567864E-6</v>
      </c>
      <c r="V1599" t="s">
        <v>159</v>
      </c>
    </row>
    <row r="1600" spans="9:22" x14ac:dyDescent="0.45">
      <c r="I1600" t="s">
        <v>185</v>
      </c>
      <c r="J1600" t="s">
        <v>420</v>
      </c>
      <c r="K1600">
        <v>0</v>
      </c>
      <c r="L1600" t="s">
        <v>159</v>
      </c>
      <c r="N1600" t="s">
        <v>228</v>
      </c>
      <c r="O1600" t="s">
        <v>420</v>
      </c>
      <c r="P1600">
        <v>3.4676550986213823E-6</v>
      </c>
      <c r="Q1600" t="s">
        <v>159</v>
      </c>
      <c r="S1600" t="s">
        <v>270</v>
      </c>
      <c r="T1600" t="s">
        <v>420</v>
      </c>
      <c r="U1600">
        <v>2.2429511992106905E-5</v>
      </c>
      <c r="V1600" t="s">
        <v>159</v>
      </c>
    </row>
    <row r="1601" spans="9:22" x14ac:dyDescent="0.45">
      <c r="I1601" t="s">
        <v>185</v>
      </c>
      <c r="J1601" t="s">
        <v>313</v>
      </c>
      <c r="K1601">
        <v>6.718088081406547E-3</v>
      </c>
      <c r="L1601" t="s">
        <v>159</v>
      </c>
      <c r="N1601" t="s">
        <v>228</v>
      </c>
      <c r="O1601" t="s">
        <v>313</v>
      </c>
      <c r="P1601">
        <v>1.5362049432196396E-2</v>
      </c>
      <c r="Q1601" t="s">
        <v>159</v>
      </c>
      <c r="S1601" t="s">
        <v>270</v>
      </c>
      <c r="T1601" t="s">
        <v>313</v>
      </c>
      <c r="U1601">
        <v>2.0146496779016768E-2</v>
      </c>
      <c r="V1601" t="s">
        <v>159</v>
      </c>
    </row>
    <row r="1602" spans="9:22" x14ac:dyDescent="0.45">
      <c r="I1602" t="s">
        <v>185</v>
      </c>
      <c r="J1602" t="s">
        <v>314</v>
      </c>
      <c r="K1602">
        <v>7.4074268328311529E-3</v>
      </c>
      <c r="L1602" t="s">
        <v>159</v>
      </c>
      <c r="N1602" t="s">
        <v>228</v>
      </c>
      <c r="O1602" t="s">
        <v>314</v>
      </c>
      <c r="P1602">
        <v>1.7905999721070862E-3</v>
      </c>
      <c r="Q1602" t="s">
        <v>159</v>
      </c>
      <c r="S1602" t="s">
        <v>270</v>
      </c>
      <c r="T1602" t="s">
        <v>314</v>
      </c>
      <c r="U1602">
        <v>2.8454418876426549E-3</v>
      </c>
      <c r="V1602" t="s">
        <v>159</v>
      </c>
    </row>
    <row r="1603" spans="9:22" x14ac:dyDescent="0.45">
      <c r="I1603" t="s">
        <v>185</v>
      </c>
      <c r="J1603" t="s">
        <v>315</v>
      </c>
      <c r="K1603">
        <v>8.9564611767168692E-2</v>
      </c>
      <c r="L1603" t="s">
        <v>159</v>
      </c>
      <c r="N1603" t="s">
        <v>228</v>
      </c>
      <c r="O1603" t="s">
        <v>315</v>
      </c>
      <c r="P1603">
        <v>2.6795719027162872E-2</v>
      </c>
      <c r="Q1603" t="s">
        <v>159</v>
      </c>
      <c r="S1603" t="s">
        <v>270</v>
      </c>
      <c r="T1603" t="s">
        <v>315</v>
      </c>
      <c r="U1603">
        <v>2.9451137469175638E-2</v>
      </c>
      <c r="V1603" t="s">
        <v>159</v>
      </c>
    </row>
    <row r="1604" spans="9:22" x14ac:dyDescent="0.45">
      <c r="I1604" t="s">
        <v>185</v>
      </c>
      <c r="J1604" t="s">
        <v>316</v>
      </c>
      <c r="K1604">
        <v>7.9912805766663483E-3</v>
      </c>
      <c r="L1604" t="s">
        <v>159</v>
      </c>
      <c r="N1604" t="s">
        <v>228</v>
      </c>
      <c r="O1604" t="s">
        <v>316</v>
      </c>
      <c r="P1604">
        <v>4.1413289358049618E-3</v>
      </c>
      <c r="Q1604" t="s">
        <v>159</v>
      </c>
      <c r="S1604" t="s">
        <v>270</v>
      </c>
      <c r="T1604" t="s">
        <v>316</v>
      </c>
      <c r="U1604">
        <v>3.5310549855962058E-3</v>
      </c>
      <c r="V1604" t="s">
        <v>159</v>
      </c>
    </row>
    <row r="1605" spans="9:22" x14ac:dyDescent="0.45">
      <c r="I1605" t="s">
        <v>185</v>
      </c>
      <c r="J1605" t="s">
        <v>317</v>
      </c>
      <c r="K1605">
        <v>6.1631257105855403E-3</v>
      </c>
      <c r="L1605" t="s">
        <v>159</v>
      </c>
      <c r="N1605" t="s">
        <v>228</v>
      </c>
      <c r="O1605" t="s">
        <v>317</v>
      </c>
      <c r="P1605">
        <v>3.8010123876023412E-3</v>
      </c>
      <c r="Q1605" t="s">
        <v>159</v>
      </c>
      <c r="S1605" t="s">
        <v>270</v>
      </c>
      <c r="T1605" t="s">
        <v>317</v>
      </c>
      <c r="U1605">
        <v>3.4733210009098422E-3</v>
      </c>
      <c r="V1605" t="s">
        <v>159</v>
      </c>
    </row>
    <row r="1606" spans="9:22" x14ac:dyDescent="0.45">
      <c r="I1606" t="s">
        <v>185</v>
      </c>
      <c r="J1606" t="s">
        <v>318</v>
      </c>
      <c r="K1606">
        <v>2.9594989109029799E-3</v>
      </c>
      <c r="L1606" t="s">
        <v>159</v>
      </c>
      <c r="N1606" t="s">
        <v>228</v>
      </c>
      <c r="O1606" t="s">
        <v>318</v>
      </c>
      <c r="P1606">
        <v>1.5172927142592288E-2</v>
      </c>
      <c r="Q1606" t="s">
        <v>159</v>
      </c>
      <c r="S1606" t="s">
        <v>270</v>
      </c>
      <c r="T1606" t="s">
        <v>318</v>
      </c>
      <c r="U1606">
        <v>1.6211872242345184E-2</v>
      </c>
      <c r="V1606" t="s">
        <v>159</v>
      </c>
    </row>
    <row r="1607" spans="9:22" x14ac:dyDescent="0.45">
      <c r="I1607" t="s">
        <v>186</v>
      </c>
      <c r="J1607" t="s">
        <v>158</v>
      </c>
      <c r="K1607">
        <v>1.1135807075060504E-2</v>
      </c>
      <c r="L1607" t="s">
        <v>159</v>
      </c>
      <c r="N1607" t="s">
        <v>229</v>
      </c>
      <c r="O1607" t="s">
        <v>158</v>
      </c>
      <c r="P1607">
        <v>0.13623530850784163</v>
      </c>
      <c r="Q1607" t="s">
        <v>159</v>
      </c>
      <c r="S1607" t="s">
        <v>271</v>
      </c>
      <c r="T1607" t="s">
        <v>158</v>
      </c>
      <c r="U1607">
        <v>0.11292966908909058</v>
      </c>
      <c r="V1607" t="s">
        <v>159</v>
      </c>
    </row>
    <row r="1608" spans="9:22" x14ac:dyDescent="0.45">
      <c r="I1608" t="s">
        <v>186</v>
      </c>
      <c r="J1608" t="s">
        <v>160</v>
      </c>
      <c r="K1608">
        <v>2.6954554616661453E-2</v>
      </c>
      <c r="L1608" t="s">
        <v>159</v>
      </c>
      <c r="N1608" t="s">
        <v>229</v>
      </c>
      <c r="O1608" t="s">
        <v>160</v>
      </c>
      <c r="P1608">
        <v>1.5978329388512354E-2</v>
      </c>
      <c r="Q1608" t="s">
        <v>159</v>
      </c>
      <c r="S1608" t="s">
        <v>271</v>
      </c>
      <c r="T1608" t="s">
        <v>160</v>
      </c>
      <c r="U1608">
        <v>1.6049096231233077E-2</v>
      </c>
      <c r="V1608" t="s">
        <v>159</v>
      </c>
    </row>
    <row r="1609" spans="9:22" x14ac:dyDescent="0.45">
      <c r="I1609" t="s">
        <v>186</v>
      </c>
      <c r="J1609" t="s">
        <v>161</v>
      </c>
      <c r="K1609">
        <v>0.37758724119936793</v>
      </c>
      <c r="L1609" t="s">
        <v>159</v>
      </c>
      <c r="N1609" t="s">
        <v>229</v>
      </c>
      <c r="O1609" t="s">
        <v>161</v>
      </c>
      <c r="P1609">
        <v>0.12569461069681498</v>
      </c>
      <c r="Q1609" t="s">
        <v>159</v>
      </c>
      <c r="S1609" t="s">
        <v>271</v>
      </c>
      <c r="T1609" t="s">
        <v>161</v>
      </c>
      <c r="U1609">
        <v>0.17377421093354883</v>
      </c>
      <c r="V1609" t="s">
        <v>159</v>
      </c>
    </row>
    <row r="1610" spans="9:22" x14ac:dyDescent="0.45">
      <c r="I1610" t="s">
        <v>186</v>
      </c>
      <c r="J1610" t="s">
        <v>287</v>
      </c>
      <c r="K1610">
        <v>2.7478410973173828E-2</v>
      </c>
      <c r="L1610" t="s">
        <v>159</v>
      </c>
      <c r="N1610" t="s">
        <v>229</v>
      </c>
      <c r="O1610" t="s">
        <v>287</v>
      </c>
      <c r="P1610">
        <v>1.5947078522393639E-2</v>
      </c>
      <c r="Q1610" t="s">
        <v>159</v>
      </c>
      <c r="S1610" t="s">
        <v>271</v>
      </c>
      <c r="T1610" t="s">
        <v>287</v>
      </c>
      <c r="U1610">
        <v>2.0814973443125523E-2</v>
      </c>
      <c r="V1610" t="s">
        <v>159</v>
      </c>
    </row>
    <row r="1611" spans="9:22" x14ac:dyDescent="0.45">
      <c r="I1611" t="s">
        <v>186</v>
      </c>
      <c r="J1611" t="s">
        <v>288</v>
      </c>
      <c r="K1611">
        <v>1.5371258571065057E-2</v>
      </c>
      <c r="L1611" t="s">
        <v>159</v>
      </c>
      <c r="N1611" t="s">
        <v>229</v>
      </c>
      <c r="O1611" t="s">
        <v>288</v>
      </c>
      <c r="P1611">
        <v>1.8925627178248774E-2</v>
      </c>
      <c r="Q1611" t="s">
        <v>159</v>
      </c>
      <c r="S1611" t="s">
        <v>271</v>
      </c>
      <c r="T1611" t="s">
        <v>288</v>
      </c>
      <c r="U1611">
        <v>1.9660465008506406E-2</v>
      </c>
      <c r="V1611" t="s">
        <v>159</v>
      </c>
    </row>
    <row r="1612" spans="9:22" x14ac:dyDescent="0.45">
      <c r="I1612" t="s">
        <v>186</v>
      </c>
      <c r="J1612" t="s">
        <v>308</v>
      </c>
      <c r="K1612">
        <v>2.9372053073119307E-3</v>
      </c>
      <c r="L1612" t="s">
        <v>159</v>
      </c>
      <c r="N1612" t="s">
        <v>229</v>
      </c>
      <c r="O1612" t="s">
        <v>308</v>
      </c>
      <c r="P1612">
        <v>0.12099864831249109</v>
      </c>
      <c r="Q1612" t="s">
        <v>159</v>
      </c>
      <c r="S1612" t="s">
        <v>271</v>
      </c>
      <c r="T1612" t="s">
        <v>308</v>
      </c>
      <c r="U1612">
        <v>8.9569564095100515E-2</v>
      </c>
      <c r="V1612" t="s">
        <v>159</v>
      </c>
    </row>
    <row r="1613" spans="9:22" x14ac:dyDescent="0.45">
      <c r="I1613" t="s">
        <v>186</v>
      </c>
      <c r="J1613" t="s">
        <v>162</v>
      </c>
      <c r="K1613">
        <v>0</v>
      </c>
      <c r="L1613" t="s">
        <v>159</v>
      </c>
      <c r="N1613" t="s">
        <v>229</v>
      </c>
      <c r="O1613" t="s">
        <v>162</v>
      </c>
      <c r="P1613">
        <v>1.6791647361210332E-2</v>
      </c>
      <c r="Q1613" t="s">
        <v>159</v>
      </c>
      <c r="S1613" t="s">
        <v>271</v>
      </c>
      <c r="T1613" t="s">
        <v>162</v>
      </c>
      <c r="U1613">
        <v>2.5114757622847497E-2</v>
      </c>
      <c r="V1613" t="s">
        <v>159</v>
      </c>
    </row>
    <row r="1614" spans="9:22" x14ac:dyDescent="0.45">
      <c r="I1614" t="s">
        <v>186</v>
      </c>
      <c r="J1614" t="s">
        <v>163</v>
      </c>
      <c r="K1614">
        <v>0</v>
      </c>
      <c r="L1614" t="s">
        <v>159</v>
      </c>
      <c r="N1614" t="s">
        <v>229</v>
      </c>
      <c r="O1614" t="s">
        <v>163</v>
      </c>
      <c r="P1614">
        <v>2.4985121237959306E-3</v>
      </c>
      <c r="Q1614" t="s">
        <v>159</v>
      </c>
      <c r="S1614" t="s">
        <v>271</v>
      </c>
      <c r="T1614" t="s">
        <v>163</v>
      </c>
      <c r="U1614">
        <v>3.3832433425460533E-3</v>
      </c>
      <c r="V1614" t="s">
        <v>159</v>
      </c>
    </row>
    <row r="1615" spans="9:22" x14ac:dyDescent="0.45">
      <c r="I1615" t="s">
        <v>186</v>
      </c>
      <c r="J1615" t="s">
        <v>164</v>
      </c>
      <c r="K1615">
        <v>3.4970239961399065E-2</v>
      </c>
      <c r="L1615" t="s">
        <v>159</v>
      </c>
      <c r="N1615" t="s">
        <v>229</v>
      </c>
      <c r="O1615" t="s">
        <v>164</v>
      </c>
      <c r="P1615">
        <v>1.9304223434881099E-2</v>
      </c>
      <c r="Q1615" t="s">
        <v>159</v>
      </c>
      <c r="S1615" t="s">
        <v>271</v>
      </c>
      <c r="T1615" t="s">
        <v>164</v>
      </c>
      <c r="U1615">
        <v>2.9441415375584278E-2</v>
      </c>
      <c r="V1615" t="s">
        <v>159</v>
      </c>
    </row>
    <row r="1616" spans="9:22" x14ac:dyDescent="0.45">
      <c r="I1616" t="s">
        <v>186</v>
      </c>
      <c r="J1616" t="s">
        <v>289</v>
      </c>
      <c r="K1616">
        <v>4.151413529264983E-4</v>
      </c>
      <c r="L1616" t="s">
        <v>159</v>
      </c>
      <c r="N1616" t="s">
        <v>229</v>
      </c>
      <c r="O1616" t="s">
        <v>289</v>
      </c>
      <c r="P1616">
        <v>1.8951989132243131E-3</v>
      </c>
      <c r="Q1616" t="s">
        <v>159</v>
      </c>
      <c r="S1616" t="s">
        <v>271</v>
      </c>
      <c r="T1616" t="s">
        <v>289</v>
      </c>
      <c r="U1616">
        <v>3.2013388107041824E-3</v>
      </c>
      <c r="V1616" t="s">
        <v>159</v>
      </c>
    </row>
    <row r="1617" spans="9:22" x14ac:dyDescent="0.45">
      <c r="I1617" t="s">
        <v>186</v>
      </c>
      <c r="J1617" t="s">
        <v>290</v>
      </c>
      <c r="K1617">
        <v>0</v>
      </c>
      <c r="L1617" t="s">
        <v>159</v>
      </c>
      <c r="N1617" t="s">
        <v>229</v>
      </c>
      <c r="O1617" t="s">
        <v>290</v>
      </c>
      <c r="P1617">
        <v>2.3436247935558841E-3</v>
      </c>
      <c r="Q1617" t="s">
        <v>159</v>
      </c>
      <c r="S1617" t="s">
        <v>271</v>
      </c>
      <c r="T1617" t="s">
        <v>290</v>
      </c>
      <c r="U1617">
        <v>3.2220005772296491E-3</v>
      </c>
      <c r="V1617" t="s">
        <v>159</v>
      </c>
    </row>
    <row r="1618" spans="9:22" x14ac:dyDescent="0.45">
      <c r="I1618" t="s">
        <v>186</v>
      </c>
      <c r="J1618" t="s">
        <v>309</v>
      </c>
      <c r="K1618">
        <v>0</v>
      </c>
      <c r="L1618" t="s">
        <v>159</v>
      </c>
      <c r="N1618" t="s">
        <v>229</v>
      </c>
      <c r="O1618" t="s">
        <v>309</v>
      </c>
      <c r="P1618">
        <v>1.3677805249440619E-2</v>
      </c>
      <c r="Q1618" t="s">
        <v>159</v>
      </c>
      <c r="S1618" t="s">
        <v>271</v>
      </c>
      <c r="T1618" t="s">
        <v>309</v>
      </c>
      <c r="U1618">
        <v>1.7319332614038625E-2</v>
      </c>
      <c r="V1618" t="s">
        <v>159</v>
      </c>
    </row>
    <row r="1619" spans="9:22" x14ac:dyDescent="0.45">
      <c r="I1619" t="s">
        <v>186</v>
      </c>
      <c r="J1619" t="s">
        <v>346</v>
      </c>
      <c r="K1619">
        <v>0</v>
      </c>
      <c r="L1619" t="s">
        <v>159</v>
      </c>
      <c r="N1619" t="s">
        <v>229</v>
      </c>
      <c r="O1619" t="s">
        <v>346</v>
      </c>
      <c r="P1619">
        <v>3.4560392771709133E-5</v>
      </c>
      <c r="Q1619" t="s">
        <v>159</v>
      </c>
      <c r="S1619" t="s">
        <v>271</v>
      </c>
      <c r="T1619" t="s">
        <v>346</v>
      </c>
      <c r="U1619">
        <v>5.7311065809476725E-5</v>
      </c>
      <c r="V1619" t="s">
        <v>159</v>
      </c>
    </row>
    <row r="1620" spans="9:22" x14ac:dyDescent="0.45">
      <c r="I1620" t="s">
        <v>186</v>
      </c>
      <c r="J1620" t="s">
        <v>347</v>
      </c>
      <c r="K1620">
        <v>0</v>
      </c>
      <c r="L1620" t="s">
        <v>159</v>
      </c>
      <c r="N1620" t="s">
        <v>229</v>
      </c>
      <c r="O1620" t="s">
        <v>347</v>
      </c>
      <c r="P1620">
        <v>2.8532133843748304E-5</v>
      </c>
      <c r="Q1620" t="s">
        <v>159</v>
      </c>
      <c r="S1620" t="s">
        <v>271</v>
      </c>
      <c r="T1620" t="s">
        <v>347</v>
      </c>
      <c r="U1620">
        <v>4.9977969698025225E-5</v>
      </c>
      <c r="V1620" t="s">
        <v>159</v>
      </c>
    </row>
    <row r="1621" spans="9:22" x14ac:dyDescent="0.45">
      <c r="I1621" t="s">
        <v>186</v>
      </c>
      <c r="J1621" t="s">
        <v>348</v>
      </c>
      <c r="K1621">
        <v>0</v>
      </c>
      <c r="L1621" t="s">
        <v>159</v>
      </c>
      <c r="N1621" t="s">
        <v>229</v>
      </c>
      <c r="O1621" t="s">
        <v>348</v>
      </c>
      <c r="P1621">
        <v>2.7854240413181728E-5</v>
      </c>
      <c r="Q1621" t="s">
        <v>159</v>
      </c>
      <c r="S1621" t="s">
        <v>271</v>
      </c>
      <c r="T1621" t="s">
        <v>348</v>
      </c>
      <c r="U1621">
        <v>3.2882238832798951E-5</v>
      </c>
      <c r="V1621" t="s">
        <v>159</v>
      </c>
    </row>
    <row r="1622" spans="9:22" x14ac:dyDescent="0.45">
      <c r="I1622" t="s">
        <v>186</v>
      </c>
      <c r="J1622" t="s">
        <v>349</v>
      </c>
      <c r="K1622">
        <v>0</v>
      </c>
      <c r="L1622" t="s">
        <v>159</v>
      </c>
      <c r="N1622" t="s">
        <v>229</v>
      </c>
      <c r="O1622" t="s">
        <v>349</v>
      </c>
      <c r="P1622">
        <v>2.8069114165971847E-5</v>
      </c>
      <c r="Q1622" t="s">
        <v>159</v>
      </c>
      <c r="S1622" t="s">
        <v>271</v>
      </c>
      <c r="T1622" t="s">
        <v>349</v>
      </c>
      <c r="U1622">
        <v>1.9849927426964025E-5</v>
      </c>
      <c r="V1622" t="s">
        <v>159</v>
      </c>
    </row>
    <row r="1623" spans="9:22" x14ac:dyDescent="0.45">
      <c r="I1623" t="s">
        <v>186</v>
      </c>
      <c r="J1623" t="s">
        <v>350</v>
      </c>
      <c r="K1623">
        <v>0</v>
      </c>
      <c r="L1623" t="s">
        <v>159</v>
      </c>
      <c r="N1623" t="s">
        <v>229</v>
      </c>
      <c r="O1623" t="s">
        <v>350</v>
      </c>
      <c r="P1623">
        <v>2.8994842797055104E-5</v>
      </c>
      <c r="Q1623" t="s">
        <v>159</v>
      </c>
      <c r="S1623" t="s">
        <v>271</v>
      </c>
      <c r="T1623" t="s">
        <v>350</v>
      </c>
      <c r="U1623">
        <v>1.5602591908771828E-5</v>
      </c>
      <c r="V1623" t="s">
        <v>159</v>
      </c>
    </row>
    <row r="1624" spans="9:22" x14ac:dyDescent="0.45">
      <c r="I1624" t="s">
        <v>186</v>
      </c>
      <c r="J1624" t="s">
        <v>351</v>
      </c>
      <c r="K1624">
        <v>0</v>
      </c>
      <c r="L1624" t="s">
        <v>159</v>
      </c>
      <c r="N1624" t="s">
        <v>229</v>
      </c>
      <c r="O1624" t="s">
        <v>351</v>
      </c>
      <c r="P1624">
        <v>2.764045258146128E-5</v>
      </c>
      <c r="Q1624" t="s">
        <v>159</v>
      </c>
      <c r="S1624" t="s">
        <v>271</v>
      </c>
      <c r="T1624" t="s">
        <v>351</v>
      </c>
      <c r="U1624">
        <v>1.9797984742330651E-5</v>
      </c>
      <c r="V1624" t="s">
        <v>159</v>
      </c>
    </row>
    <row r="1625" spans="9:22" x14ac:dyDescent="0.45">
      <c r="I1625" t="s">
        <v>186</v>
      </c>
      <c r="J1625" t="s">
        <v>352</v>
      </c>
      <c r="K1625">
        <v>0</v>
      </c>
      <c r="L1625" t="s">
        <v>159</v>
      </c>
      <c r="N1625" t="s">
        <v>229</v>
      </c>
      <c r="O1625" t="s">
        <v>352</v>
      </c>
      <c r="P1625">
        <v>2.2982915627176704E-5</v>
      </c>
      <c r="Q1625" t="s">
        <v>159</v>
      </c>
      <c r="S1625" t="s">
        <v>271</v>
      </c>
      <c r="T1625" t="s">
        <v>352</v>
      </c>
      <c r="U1625">
        <v>2.6376464047761436E-5</v>
      </c>
      <c r="V1625" t="s">
        <v>159</v>
      </c>
    </row>
    <row r="1626" spans="9:22" x14ac:dyDescent="0.45">
      <c r="I1626" t="s">
        <v>186</v>
      </c>
      <c r="J1626" t="s">
        <v>353</v>
      </c>
      <c r="K1626">
        <v>0</v>
      </c>
      <c r="L1626" t="s">
        <v>159</v>
      </c>
      <c r="N1626" t="s">
        <v>229</v>
      </c>
      <c r="O1626" t="s">
        <v>353</v>
      </c>
      <c r="P1626">
        <v>2.0148452784579928E-5</v>
      </c>
      <c r="Q1626" t="s">
        <v>159</v>
      </c>
      <c r="S1626" t="s">
        <v>271</v>
      </c>
      <c r="T1626" t="s">
        <v>353</v>
      </c>
      <c r="U1626">
        <v>3.3992423652850183E-5</v>
      </c>
      <c r="V1626" t="s">
        <v>159</v>
      </c>
    </row>
    <row r="1627" spans="9:22" x14ac:dyDescent="0.45">
      <c r="I1627" t="s">
        <v>186</v>
      </c>
      <c r="J1627" t="s">
        <v>354</v>
      </c>
      <c r="K1627">
        <v>1.7439977031400553E-4</v>
      </c>
      <c r="L1627" t="s">
        <v>159</v>
      </c>
      <c r="N1627" t="s">
        <v>229</v>
      </c>
      <c r="O1627" t="s">
        <v>354</v>
      </c>
      <c r="P1627">
        <v>1.2177151577655498E-5</v>
      </c>
      <c r="Q1627" t="s">
        <v>159</v>
      </c>
      <c r="S1627" t="s">
        <v>271</v>
      </c>
      <c r="T1627" t="s">
        <v>354</v>
      </c>
      <c r="U1627">
        <v>4.844364030615701E-5</v>
      </c>
      <c r="V1627" t="s">
        <v>159</v>
      </c>
    </row>
    <row r="1628" spans="9:22" x14ac:dyDescent="0.45">
      <c r="I1628" t="s">
        <v>186</v>
      </c>
      <c r="J1628" t="s">
        <v>355</v>
      </c>
      <c r="K1628">
        <v>1.7878179562792726E-4</v>
      </c>
      <c r="L1628" t="s">
        <v>159</v>
      </c>
      <c r="N1628" t="s">
        <v>229</v>
      </c>
      <c r="O1628" t="s">
        <v>355</v>
      </c>
      <c r="P1628">
        <v>2.8139285913519324E-6</v>
      </c>
      <c r="Q1628" t="s">
        <v>159</v>
      </c>
      <c r="S1628" t="s">
        <v>271</v>
      </c>
      <c r="T1628" t="s">
        <v>355</v>
      </c>
      <c r="U1628">
        <v>6.1644575662153479E-5</v>
      </c>
      <c r="V1628" t="s">
        <v>159</v>
      </c>
    </row>
    <row r="1629" spans="9:22" x14ac:dyDescent="0.45">
      <c r="I1629" t="s">
        <v>186</v>
      </c>
      <c r="J1629" t="s">
        <v>356</v>
      </c>
      <c r="K1629">
        <v>1.5804427844549182E-4</v>
      </c>
      <c r="L1629" t="s">
        <v>159</v>
      </c>
      <c r="N1629" t="s">
        <v>229</v>
      </c>
      <c r="O1629" t="s">
        <v>356</v>
      </c>
      <c r="P1629">
        <v>6.01076150432407E-6</v>
      </c>
      <c r="Q1629" t="s">
        <v>159</v>
      </c>
      <c r="S1629" t="s">
        <v>271</v>
      </c>
      <c r="T1629" t="s">
        <v>356</v>
      </c>
      <c r="U1629">
        <v>6.5666906018247559E-5</v>
      </c>
      <c r="V1629" t="s">
        <v>159</v>
      </c>
    </row>
    <row r="1630" spans="9:22" x14ac:dyDescent="0.45">
      <c r="I1630" t="s">
        <v>186</v>
      </c>
      <c r="J1630" t="s">
        <v>357</v>
      </c>
      <c r="K1630">
        <v>1.7269600575447734E-4</v>
      </c>
      <c r="L1630" t="s">
        <v>159</v>
      </c>
      <c r="N1630" t="s">
        <v>229</v>
      </c>
      <c r="O1630" t="s">
        <v>357</v>
      </c>
      <c r="P1630">
        <v>5.8525073558232864E-6</v>
      </c>
      <c r="Q1630" t="s">
        <v>159</v>
      </c>
      <c r="S1630" t="s">
        <v>271</v>
      </c>
      <c r="T1630" t="s">
        <v>357</v>
      </c>
      <c r="U1630">
        <v>7.4881857911443536E-5</v>
      </c>
      <c r="V1630" t="s">
        <v>159</v>
      </c>
    </row>
    <row r="1631" spans="9:22" x14ac:dyDescent="0.45">
      <c r="I1631" t="s">
        <v>186</v>
      </c>
      <c r="J1631" t="s">
        <v>358</v>
      </c>
      <c r="K1631">
        <v>2.3026338091966907E-4</v>
      </c>
      <c r="L1631" t="s">
        <v>159</v>
      </c>
      <c r="N1631" t="s">
        <v>229</v>
      </c>
      <c r="O1631" t="s">
        <v>358</v>
      </c>
      <c r="P1631">
        <v>7.0802312424182048E-6</v>
      </c>
      <c r="Q1631" t="s">
        <v>159</v>
      </c>
      <c r="S1631" t="s">
        <v>271</v>
      </c>
      <c r="T1631" t="s">
        <v>358</v>
      </c>
      <c r="U1631">
        <v>7.0484854870632397E-5</v>
      </c>
      <c r="V1631" t="s">
        <v>159</v>
      </c>
    </row>
    <row r="1632" spans="9:22" x14ac:dyDescent="0.45">
      <c r="I1632" t="s">
        <v>186</v>
      </c>
      <c r="J1632" t="s">
        <v>359</v>
      </c>
      <c r="K1632">
        <v>1.7669483461873976E-4</v>
      </c>
      <c r="L1632" t="s">
        <v>159</v>
      </c>
      <c r="N1632" t="s">
        <v>229</v>
      </c>
      <c r="O1632" t="s">
        <v>359</v>
      </c>
      <c r="P1632">
        <v>1.1960577452648335E-5</v>
      </c>
      <c r="Q1632" t="s">
        <v>159</v>
      </c>
      <c r="S1632" t="s">
        <v>271</v>
      </c>
      <c r="T1632" t="s">
        <v>359</v>
      </c>
      <c r="U1632">
        <v>5.8845138744220753E-5</v>
      </c>
      <c r="V1632" t="s">
        <v>159</v>
      </c>
    </row>
    <row r="1633" spans="9:22" x14ac:dyDescent="0.45">
      <c r="I1633" t="s">
        <v>186</v>
      </c>
      <c r="J1633" t="s">
        <v>360</v>
      </c>
      <c r="K1633">
        <v>1.5439779773136644E-4</v>
      </c>
      <c r="L1633" t="s">
        <v>159</v>
      </c>
      <c r="N1633" t="s">
        <v>229</v>
      </c>
      <c r="O1633" t="s">
        <v>360</v>
      </c>
      <c r="P1633">
        <v>1.4984803300087951E-5</v>
      </c>
      <c r="Q1633" t="s">
        <v>159</v>
      </c>
      <c r="S1633" t="s">
        <v>271</v>
      </c>
      <c r="T1633" t="s">
        <v>360</v>
      </c>
      <c r="U1633">
        <v>4.0128176479745029E-5</v>
      </c>
      <c r="V1633" t="s">
        <v>159</v>
      </c>
    </row>
    <row r="1634" spans="9:22" x14ac:dyDescent="0.45">
      <c r="I1634" t="s">
        <v>186</v>
      </c>
      <c r="J1634" t="s">
        <v>361</v>
      </c>
      <c r="K1634">
        <v>1.5565919446457752E-4</v>
      </c>
      <c r="L1634" t="s">
        <v>159</v>
      </c>
      <c r="N1634" t="s">
        <v>229</v>
      </c>
      <c r="O1634" t="s">
        <v>361</v>
      </c>
      <c r="P1634">
        <v>2.3949324831726452E-5</v>
      </c>
      <c r="Q1634" t="s">
        <v>159</v>
      </c>
      <c r="S1634" t="s">
        <v>271</v>
      </c>
      <c r="T1634" t="s">
        <v>361</v>
      </c>
      <c r="U1634">
        <v>1.9669273692288574E-5</v>
      </c>
      <c r="V1634" t="s">
        <v>159</v>
      </c>
    </row>
    <row r="1635" spans="9:22" x14ac:dyDescent="0.45">
      <c r="I1635" t="s">
        <v>186</v>
      </c>
      <c r="J1635" t="s">
        <v>362</v>
      </c>
      <c r="K1635">
        <v>1.1091478452964546E-4</v>
      </c>
      <c r="L1635" t="s">
        <v>159</v>
      </c>
      <c r="N1635" t="s">
        <v>229</v>
      </c>
      <c r="O1635" t="s">
        <v>362</v>
      </c>
      <c r="P1635">
        <v>3.9732103731085582E-5</v>
      </c>
      <c r="Q1635" t="s">
        <v>159</v>
      </c>
      <c r="S1635" t="s">
        <v>271</v>
      </c>
      <c r="T1635" t="s">
        <v>362</v>
      </c>
      <c r="U1635">
        <v>9.2838150205462192E-6</v>
      </c>
      <c r="V1635" t="s">
        <v>159</v>
      </c>
    </row>
    <row r="1636" spans="9:22" x14ac:dyDescent="0.45">
      <c r="I1636" t="s">
        <v>186</v>
      </c>
      <c r="J1636" t="s">
        <v>363</v>
      </c>
      <c r="K1636">
        <v>0</v>
      </c>
      <c r="L1636" t="s">
        <v>159</v>
      </c>
      <c r="N1636" t="s">
        <v>229</v>
      </c>
      <c r="O1636" t="s">
        <v>363</v>
      </c>
      <c r="P1636">
        <v>6.2069591886697238E-5</v>
      </c>
      <c r="Q1636" t="s">
        <v>159</v>
      </c>
      <c r="S1636" t="s">
        <v>271</v>
      </c>
      <c r="T1636" t="s">
        <v>363</v>
      </c>
      <c r="U1636">
        <v>5.7882416829897073E-6</v>
      </c>
      <c r="V1636" t="s">
        <v>159</v>
      </c>
    </row>
    <row r="1637" spans="9:22" x14ac:dyDescent="0.45">
      <c r="I1637" t="s">
        <v>186</v>
      </c>
      <c r="J1637" t="s">
        <v>364</v>
      </c>
      <c r="K1637">
        <v>0</v>
      </c>
      <c r="L1637" t="s">
        <v>159</v>
      </c>
      <c r="N1637" t="s">
        <v>229</v>
      </c>
      <c r="O1637" t="s">
        <v>364</v>
      </c>
      <c r="P1637">
        <v>9.056903903126362E-5</v>
      </c>
      <c r="Q1637" t="s">
        <v>159</v>
      </c>
      <c r="S1637" t="s">
        <v>271</v>
      </c>
      <c r="T1637" t="s">
        <v>364</v>
      </c>
      <c r="U1637">
        <v>3.541814115848853E-6</v>
      </c>
      <c r="V1637" t="s">
        <v>159</v>
      </c>
    </row>
    <row r="1638" spans="9:22" x14ac:dyDescent="0.45">
      <c r="I1638" t="s">
        <v>186</v>
      </c>
      <c r="J1638" t="s">
        <v>365</v>
      </c>
      <c r="K1638">
        <v>0</v>
      </c>
      <c r="L1638" t="s">
        <v>159</v>
      </c>
      <c r="N1638" t="s">
        <v>229</v>
      </c>
      <c r="O1638" t="s">
        <v>365</v>
      </c>
      <c r="P1638">
        <v>1.0289656076986448E-4</v>
      </c>
      <c r="Q1638" t="s">
        <v>159</v>
      </c>
      <c r="S1638" t="s">
        <v>271</v>
      </c>
      <c r="T1638" t="s">
        <v>365</v>
      </c>
      <c r="U1638">
        <v>1.4350924168740603E-6</v>
      </c>
      <c r="V1638" t="s">
        <v>159</v>
      </c>
    </row>
    <row r="1639" spans="9:22" x14ac:dyDescent="0.45">
      <c r="I1639" t="s">
        <v>186</v>
      </c>
      <c r="J1639" t="s">
        <v>366</v>
      </c>
      <c r="K1639">
        <v>0</v>
      </c>
      <c r="L1639" t="s">
        <v>159</v>
      </c>
      <c r="N1639" t="s">
        <v>229</v>
      </c>
      <c r="O1639" t="s">
        <v>366</v>
      </c>
      <c r="P1639">
        <v>9.4103966115421811E-5</v>
      </c>
      <c r="Q1639" t="s">
        <v>159</v>
      </c>
      <c r="S1639" t="s">
        <v>271</v>
      </c>
      <c r="T1639" t="s">
        <v>366</v>
      </c>
      <c r="U1639">
        <v>9.3943913835291273E-7</v>
      </c>
      <c r="V1639" t="s">
        <v>159</v>
      </c>
    </row>
    <row r="1640" spans="9:22" x14ac:dyDescent="0.45">
      <c r="I1640" t="s">
        <v>186</v>
      </c>
      <c r="J1640" t="s">
        <v>367</v>
      </c>
      <c r="K1640">
        <v>0</v>
      </c>
      <c r="L1640" t="s">
        <v>159</v>
      </c>
      <c r="N1640" t="s">
        <v>229</v>
      </c>
      <c r="O1640" t="s">
        <v>367</v>
      </c>
      <c r="P1640">
        <v>7.3151009197849749E-5</v>
      </c>
      <c r="Q1640" t="s">
        <v>159</v>
      </c>
      <c r="S1640" t="s">
        <v>271</v>
      </c>
      <c r="T1640" t="s">
        <v>367</v>
      </c>
      <c r="U1640">
        <v>1.0334442680322806E-6</v>
      </c>
      <c r="V1640" t="s">
        <v>159</v>
      </c>
    </row>
    <row r="1641" spans="9:22" x14ac:dyDescent="0.45">
      <c r="I1641" t="s">
        <v>186</v>
      </c>
      <c r="J1641" t="s">
        <v>368</v>
      </c>
      <c r="K1641">
        <v>0</v>
      </c>
      <c r="L1641" t="s">
        <v>159</v>
      </c>
      <c r="N1641" t="s">
        <v>229</v>
      </c>
      <c r="O1641" t="s">
        <v>368</v>
      </c>
      <c r="P1641">
        <v>5.5652541948088811E-5</v>
      </c>
      <c r="Q1641" t="s">
        <v>159</v>
      </c>
      <c r="S1641" t="s">
        <v>271</v>
      </c>
      <c r="T1641" t="s">
        <v>368</v>
      </c>
      <c r="U1641">
        <v>9.1106684566394663E-7</v>
      </c>
      <c r="V1641" t="s">
        <v>159</v>
      </c>
    </row>
    <row r="1642" spans="9:22" x14ac:dyDescent="0.45">
      <c r="I1642" t="s">
        <v>186</v>
      </c>
      <c r="J1642" t="s">
        <v>369</v>
      </c>
      <c r="K1642">
        <v>0</v>
      </c>
      <c r="L1642" t="s">
        <v>159</v>
      </c>
      <c r="N1642" t="s">
        <v>229</v>
      </c>
      <c r="O1642" t="s">
        <v>369</v>
      </c>
      <c r="P1642">
        <v>3.7657720965794602E-5</v>
      </c>
      <c r="Q1642" t="s">
        <v>159</v>
      </c>
      <c r="S1642" t="s">
        <v>271</v>
      </c>
      <c r="T1642" t="s">
        <v>369</v>
      </c>
      <c r="U1642">
        <v>8.6280778456232452E-7</v>
      </c>
      <c r="V1642" t="s">
        <v>159</v>
      </c>
    </row>
    <row r="1643" spans="9:22" x14ac:dyDescent="0.45">
      <c r="I1643" t="s">
        <v>186</v>
      </c>
      <c r="J1643" t="s">
        <v>165</v>
      </c>
      <c r="K1643">
        <v>0</v>
      </c>
      <c r="L1643" t="s">
        <v>159</v>
      </c>
      <c r="N1643" t="s">
        <v>229</v>
      </c>
      <c r="O1643" t="s">
        <v>165</v>
      </c>
      <c r="P1643">
        <v>2.4045407680398208E-2</v>
      </c>
      <c r="Q1643" t="s">
        <v>159</v>
      </c>
      <c r="S1643" t="s">
        <v>271</v>
      </c>
      <c r="T1643" t="s">
        <v>165</v>
      </c>
      <c r="U1643">
        <v>2.8262193942178687E-2</v>
      </c>
      <c r="V1643" t="s">
        <v>159</v>
      </c>
    </row>
    <row r="1644" spans="9:22" x14ac:dyDescent="0.45">
      <c r="I1644" t="s">
        <v>186</v>
      </c>
      <c r="J1644" t="s">
        <v>166</v>
      </c>
      <c r="K1644">
        <v>2.6194774744159191E-3</v>
      </c>
      <c r="L1644" t="s">
        <v>159</v>
      </c>
      <c r="N1644" t="s">
        <v>229</v>
      </c>
      <c r="O1644" t="s">
        <v>166</v>
      </c>
      <c r="P1644">
        <v>3.0736719104771533E-3</v>
      </c>
      <c r="Q1644" t="s">
        <v>159</v>
      </c>
      <c r="S1644" t="s">
        <v>271</v>
      </c>
      <c r="T1644" t="s">
        <v>166</v>
      </c>
      <c r="U1644">
        <v>3.8650236676063066E-3</v>
      </c>
      <c r="V1644" t="s">
        <v>159</v>
      </c>
    </row>
    <row r="1645" spans="9:22" x14ac:dyDescent="0.45">
      <c r="I1645" t="s">
        <v>186</v>
      </c>
      <c r="J1645" t="s">
        <v>167</v>
      </c>
      <c r="K1645">
        <v>4.8903338045697492E-2</v>
      </c>
      <c r="L1645" t="s">
        <v>159</v>
      </c>
      <c r="N1645" t="s">
        <v>229</v>
      </c>
      <c r="O1645" t="s">
        <v>167</v>
      </c>
      <c r="P1645">
        <v>2.242861816400166E-2</v>
      </c>
      <c r="Q1645" t="s">
        <v>159</v>
      </c>
      <c r="S1645" t="s">
        <v>271</v>
      </c>
      <c r="T1645" t="s">
        <v>167</v>
      </c>
      <c r="U1645">
        <v>3.9353090186513118E-2</v>
      </c>
      <c r="V1645" t="s">
        <v>159</v>
      </c>
    </row>
    <row r="1646" spans="9:22" x14ac:dyDescent="0.45">
      <c r="I1646" t="s">
        <v>186</v>
      </c>
      <c r="J1646" t="s">
        <v>291</v>
      </c>
      <c r="K1646">
        <v>3.7609018098626744E-3</v>
      </c>
      <c r="L1646" t="s">
        <v>159</v>
      </c>
      <c r="N1646" t="s">
        <v>229</v>
      </c>
      <c r="O1646" t="s">
        <v>291</v>
      </c>
      <c r="P1646">
        <v>2.3133190310071373E-3</v>
      </c>
      <c r="Q1646" t="s">
        <v>159</v>
      </c>
      <c r="S1646" t="s">
        <v>271</v>
      </c>
      <c r="T1646" t="s">
        <v>291</v>
      </c>
      <c r="U1646">
        <v>4.7449005495049223E-3</v>
      </c>
      <c r="V1646" t="s">
        <v>159</v>
      </c>
    </row>
    <row r="1647" spans="9:22" x14ac:dyDescent="0.45">
      <c r="I1647" t="s">
        <v>186</v>
      </c>
      <c r="J1647" t="s">
        <v>292</v>
      </c>
      <c r="K1647">
        <v>0</v>
      </c>
      <c r="L1647" t="s">
        <v>159</v>
      </c>
      <c r="N1647" t="s">
        <v>229</v>
      </c>
      <c r="O1647" t="s">
        <v>292</v>
      </c>
      <c r="P1647">
        <v>2.8327663774784882E-3</v>
      </c>
      <c r="Q1647" t="s">
        <v>159</v>
      </c>
      <c r="S1647" t="s">
        <v>271</v>
      </c>
      <c r="T1647" t="s">
        <v>292</v>
      </c>
      <c r="U1647">
        <v>4.6341616449047194E-3</v>
      </c>
      <c r="V1647" t="s">
        <v>159</v>
      </c>
    </row>
    <row r="1648" spans="9:22" x14ac:dyDescent="0.45">
      <c r="I1648" t="s">
        <v>186</v>
      </c>
      <c r="J1648" t="s">
        <v>310</v>
      </c>
      <c r="K1648">
        <v>0</v>
      </c>
      <c r="L1648" t="s">
        <v>159</v>
      </c>
      <c r="N1648" t="s">
        <v>229</v>
      </c>
      <c r="O1648" t="s">
        <v>310</v>
      </c>
      <c r="P1648">
        <v>1.8116434443316225E-2</v>
      </c>
      <c r="Q1648" t="s">
        <v>159</v>
      </c>
      <c r="S1648" t="s">
        <v>271</v>
      </c>
      <c r="T1648" t="s">
        <v>310</v>
      </c>
      <c r="U1648">
        <v>2.3062733971423957E-2</v>
      </c>
      <c r="V1648" t="s">
        <v>159</v>
      </c>
    </row>
    <row r="1649" spans="9:22" x14ac:dyDescent="0.45">
      <c r="I1649" t="s">
        <v>186</v>
      </c>
      <c r="J1649" t="s">
        <v>293</v>
      </c>
      <c r="K1649">
        <v>0</v>
      </c>
      <c r="L1649" t="s">
        <v>159</v>
      </c>
      <c r="N1649" t="s">
        <v>229</v>
      </c>
      <c r="O1649" t="s">
        <v>293</v>
      </c>
      <c r="P1649">
        <v>5.8256383659931873E-3</v>
      </c>
      <c r="Q1649" t="s">
        <v>159</v>
      </c>
      <c r="S1649" t="s">
        <v>271</v>
      </c>
      <c r="T1649" t="s">
        <v>293</v>
      </c>
      <c r="U1649">
        <v>3.1538263558586899E-3</v>
      </c>
      <c r="V1649" t="s">
        <v>159</v>
      </c>
    </row>
    <row r="1650" spans="9:22" x14ac:dyDescent="0.45">
      <c r="I1650" t="s">
        <v>186</v>
      </c>
      <c r="J1650" t="s">
        <v>294</v>
      </c>
      <c r="K1650">
        <v>1.0402130591950689E-3</v>
      </c>
      <c r="L1650" t="s">
        <v>159</v>
      </c>
      <c r="N1650" t="s">
        <v>229</v>
      </c>
      <c r="O1650" t="s">
        <v>294</v>
      </c>
      <c r="P1650">
        <v>6.4645339398603245E-4</v>
      </c>
      <c r="Q1650" t="s">
        <v>159</v>
      </c>
      <c r="S1650" t="s">
        <v>271</v>
      </c>
      <c r="T1650" t="s">
        <v>294</v>
      </c>
      <c r="U1650">
        <v>5.1166612445598851E-4</v>
      </c>
      <c r="V1650" t="s">
        <v>159</v>
      </c>
    </row>
    <row r="1651" spans="9:22" x14ac:dyDescent="0.45">
      <c r="I1651" t="s">
        <v>186</v>
      </c>
      <c r="J1651" t="s">
        <v>295</v>
      </c>
      <c r="K1651">
        <v>1.5188111059187472E-2</v>
      </c>
      <c r="L1651" t="s">
        <v>159</v>
      </c>
      <c r="N1651" t="s">
        <v>229</v>
      </c>
      <c r="O1651" t="s">
        <v>295</v>
      </c>
      <c r="P1651">
        <v>6.2221824626303183E-3</v>
      </c>
      <c r="Q1651" t="s">
        <v>159</v>
      </c>
      <c r="S1651" t="s">
        <v>271</v>
      </c>
      <c r="T1651" t="s">
        <v>295</v>
      </c>
      <c r="U1651">
        <v>5.5421543843112838E-3</v>
      </c>
      <c r="V1651" t="s">
        <v>159</v>
      </c>
    </row>
    <row r="1652" spans="9:22" x14ac:dyDescent="0.45">
      <c r="I1652" t="s">
        <v>186</v>
      </c>
      <c r="J1652" t="s">
        <v>296</v>
      </c>
      <c r="K1652">
        <v>1.1779940049577095E-3</v>
      </c>
      <c r="L1652" t="s">
        <v>159</v>
      </c>
      <c r="N1652" t="s">
        <v>229</v>
      </c>
      <c r="O1652" t="s">
        <v>296</v>
      </c>
      <c r="P1652">
        <v>1.104112538925681E-3</v>
      </c>
      <c r="Q1652" t="s">
        <v>159</v>
      </c>
      <c r="S1652" t="s">
        <v>271</v>
      </c>
      <c r="T1652" t="s">
        <v>296</v>
      </c>
      <c r="U1652">
        <v>5.8507205429794869E-4</v>
      </c>
      <c r="V1652" t="s">
        <v>159</v>
      </c>
    </row>
    <row r="1653" spans="9:22" x14ac:dyDescent="0.45">
      <c r="I1653" t="s">
        <v>186</v>
      </c>
      <c r="J1653" t="s">
        <v>297</v>
      </c>
      <c r="K1653">
        <v>0</v>
      </c>
      <c r="L1653" t="s">
        <v>159</v>
      </c>
      <c r="N1653" t="s">
        <v>229</v>
      </c>
      <c r="O1653" t="s">
        <v>297</v>
      </c>
      <c r="P1653">
        <v>1.3119493405759968E-3</v>
      </c>
      <c r="Q1653" t="s">
        <v>159</v>
      </c>
      <c r="S1653" t="s">
        <v>271</v>
      </c>
      <c r="T1653" t="s">
        <v>297</v>
      </c>
      <c r="U1653">
        <v>4.702437032983234E-4</v>
      </c>
      <c r="V1653" t="s">
        <v>159</v>
      </c>
    </row>
    <row r="1654" spans="9:22" x14ac:dyDescent="0.45">
      <c r="I1654" t="s">
        <v>186</v>
      </c>
      <c r="J1654" t="s">
        <v>311</v>
      </c>
      <c r="K1654">
        <v>0</v>
      </c>
      <c r="L1654" t="s">
        <v>159</v>
      </c>
      <c r="N1654" t="s">
        <v>229</v>
      </c>
      <c r="O1654" t="s">
        <v>311</v>
      </c>
      <c r="P1654">
        <v>7.3528793011077452E-3</v>
      </c>
      <c r="Q1654" t="s">
        <v>159</v>
      </c>
      <c r="S1654" t="s">
        <v>271</v>
      </c>
      <c r="T1654" t="s">
        <v>311</v>
      </c>
      <c r="U1654">
        <v>1.5297918761242003E-3</v>
      </c>
      <c r="V1654" t="s">
        <v>159</v>
      </c>
    </row>
    <row r="1655" spans="9:22" x14ac:dyDescent="0.45">
      <c r="I1655" t="s">
        <v>186</v>
      </c>
      <c r="J1655" t="s">
        <v>298</v>
      </c>
      <c r="K1655">
        <v>1.4958219413379364E-2</v>
      </c>
      <c r="L1655" t="s">
        <v>159</v>
      </c>
      <c r="N1655" t="s">
        <v>229</v>
      </c>
      <c r="O1655" t="s">
        <v>298</v>
      </c>
      <c r="P1655">
        <v>9.6650976539211092E-2</v>
      </c>
      <c r="Q1655" t="s">
        <v>159</v>
      </c>
      <c r="S1655" t="s">
        <v>271</v>
      </c>
      <c r="T1655" t="s">
        <v>298</v>
      </c>
      <c r="U1655">
        <v>7.6410283302233248E-2</v>
      </c>
      <c r="V1655" t="s">
        <v>159</v>
      </c>
    </row>
    <row r="1656" spans="9:22" x14ac:dyDescent="0.45">
      <c r="I1656" t="s">
        <v>186</v>
      </c>
      <c r="J1656" t="s">
        <v>299</v>
      </c>
      <c r="K1656">
        <v>2.0423305494165662E-2</v>
      </c>
      <c r="L1656" t="s">
        <v>159</v>
      </c>
      <c r="N1656" t="s">
        <v>229</v>
      </c>
      <c r="O1656" t="s">
        <v>299</v>
      </c>
      <c r="P1656">
        <v>1.2747419460295778E-2</v>
      </c>
      <c r="Q1656" t="s">
        <v>159</v>
      </c>
      <c r="S1656" t="s">
        <v>271</v>
      </c>
      <c r="T1656" t="s">
        <v>299</v>
      </c>
      <c r="U1656">
        <v>1.0368653824338832E-2</v>
      </c>
      <c r="V1656" t="s">
        <v>159</v>
      </c>
    </row>
    <row r="1657" spans="9:22" x14ac:dyDescent="0.45">
      <c r="I1657" t="s">
        <v>186</v>
      </c>
      <c r="J1657" t="s">
        <v>300</v>
      </c>
      <c r="K1657">
        <v>0.24594168151956486</v>
      </c>
      <c r="L1657" t="s">
        <v>159</v>
      </c>
      <c r="N1657" t="s">
        <v>229</v>
      </c>
      <c r="O1657" t="s">
        <v>300</v>
      </c>
      <c r="P1657">
        <v>9.4732067597246464E-2</v>
      </c>
      <c r="Q1657" t="s">
        <v>159</v>
      </c>
      <c r="S1657" t="s">
        <v>271</v>
      </c>
      <c r="T1657" t="s">
        <v>300</v>
      </c>
      <c r="U1657">
        <v>0.11513045011876757</v>
      </c>
      <c r="V1657" t="s">
        <v>159</v>
      </c>
    </row>
    <row r="1658" spans="9:22" x14ac:dyDescent="0.45">
      <c r="I1658" t="s">
        <v>186</v>
      </c>
      <c r="J1658" t="s">
        <v>301</v>
      </c>
      <c r="K1658">
        <v>1.9053234243716306E-2</v>
      </c>
      <c r="L1658" t="s">
        <v>159</v>
      </c>
      <c r="N1658" t="s">
        <v>229</v>
      </c>
      <c r="O1658" t="s">
        <v>301</v>
      </c>
      <c r="P1658">
        <v>1.2688964750609088E-2</v>
      </c>
      <c r="Q1658" t="s">
        <v>159</v>
      </c>
      <c r="S1658" t="s">
        <v>271</v>
      </c>
      <c r="T1658" t="s">
        <v>301</v>
      </c>
      <c r="U1658">
        <v>1.3635203516856383E-2</v>
      </c>
      <c r="V1658" t="s">
        <v>159</v>
      </c>
    </row>
    <row r="1659" spans="9:22" x14ac:dyDescent="0.45">
      <c r="I1659" t="s">
        <v>186</v>
      </c>
      <c r="J1659" t="s">
        <v>302</v>
      </c>
      <c r="K1659">
        <v>7.1723865647835994E-3</v>
      </c>
      <c r="L1659" t="s">
        <v>159</v>
      </c>
      <c r="N1659" t="s">
        <v>229</v>
      </c>
      <c r="O1659" t="s">
        <v>302</v>
      </c>
      <c r="P1659">
        <v>1.5632792071604919E-2</v>
      </c>
      <c r="Q1659" t="s">
        <v>159</v>
      </c>
      <c r="S1659" t="s">
        <v>271</v>
      </c>
      <c r="T1659" t="s">
        <v>302</v>
      </c>
      <c r="U1659">
        <v>1.2956097991441349E-2</v>
      </c>
      <c r="V1659" t="s">
        <v>159</v>
      </c>
    </row>
    <row r="1660" spans="9:22" x14ac:dyDescent="0.45">
      <c r="I1660" t="s">
        <v>186</v>
      </c>
      <c r="J1660" t="s">
        <v>312</v>
      </c>
      <c r="K1660">
        <v>0</v>
      </c>
      <c r="L1660" t="s">
        <v>159</v>
      </c>
      <c r="N1660" t="s">
        <v>229</v>
      </c>
      <c r="O1660" t="s">
        <v>312</v>
      </c>
      <c r="P1660">
        <v>0.10043382937678362</v>
      </c>
      <c r="Q1660" t="s">
        <v>159</v>
      </c>
      <c r="S1660" t="s">
        <v>271</v>
      </c>
      <c r="T1660" t="s">
        <v>312</v>
      </c>
      <c r="U1660">
        <v>6.0506045958313506E-2</v>
      </c>
      <c r="V1660" t="s">
        <v>159</v>
      </c>
    </row>
    <row r="1661" spans="9:22" x14ac:dyDescent="0.45">
      <c r="I1661" t="s">
        <v>186</v>
      </c>
      <c r="J1661" t="s">
        <v>397</v>
      </c>
      <c r="K1661">
        <v>0</v>
      </c>
      <c r="L1661" t="s">
        <v>159</v>
      </c>
      <c r="N1661" t="s">
        <v>229</v>
      </c>
      <c r="O1661" t="s">
        <v>397</v>
      </c>
      <c r="P1661">
        <v>6.3938194101486942E-5</v>
      </c>
      <c r="Q1661" t="s">
        <v>159</v>
      </c>
      <c r="S1661" t="s">
        <v>271</v>
      </c>
      <c r="T1661" t="s">
        <v>397</v>
      </c>
      <c r="U1661">
        <v>1.4637268572105267E-4</v>
      </c>
      <c r="V1661" t="s">
        <v>159</v>
      </c>
    </row>
    <row r="1662" spans="9:22" x14ac:dyDescent="0.45">
      <c r="I1662" t="s">
        <v>186</v>
      </c>
      <c r="J1662" t="s">
        <v>398</v>
      </c>
      <c r="K1662">
        <v>0</v>
      </c>
      <c r="L1662" t="s">
        <v>159</v>
      </c>
      <c r="N1662" t="s">
        <v>229</v>
      </c>
      <c r="O1662" t="s">
        <v>398</v>
      </c>
      <c r="P1662">
        <v>5.3405873077485215E-5</v>
      </c>
      <c r="Q1662" t="s">
        <v>159</v>
      </c>
      <c r="S1662" t="s">
        <v>271</v>
      </c>
      <c r="T1662" t="s">
        <v>398</v>
      </c>
      <c r="U1662">
        <v>1.2836223414335119E-4</v>
      </c>
      <c r="V1662" t="s">
        <v>159</v>
      </c>
    </row>
    <row r="1663" spans="9:22" x14ac:dyDescent="0.45">
      <c r="I1663" t="s">
        <v>186</v>
      </c>
      <c r="J1663" t="s">
        <v>399</v>
      </c>
      <c r="K1663">
        <v>0</v>
      </c>
      <c r="L1663" t="s">
        <v>159</v>
      </c>
      <c r="N1663" t="s">
        <v>229</v>
      </c>
      <c r="O1663" t="s">
        <v>399</v>
      </c>
      <c r="P1663">
        <v>4.3970754551196733E-5</v>
      </c>
      <c r="Q1663" t="s">
        <v>159</v>
      </c>
      <c r="S1663" t="s">
        <v>271</v>
      </c>
      <c r="T1663" t="s">
        <v>399</v>
      </c>
      <c r="U1663">
        <v>1.1836829507934311E-4</v>
      </c>
      <c r="V1663" t="s">
        <v>159</v>
      </c>
    </row>
    <row r="1664" spans="9:22" x14ac:dyDescent="0.45">
      <c r="I1664" t="s">
        <v>186</v>
      </c>
      <c r="J1664" t="s">
        <v>400</v>
      </c>
      <c r="K1664">
        <v>0</v>
      </c>
      <c r="L1664" t="s">
        <v>159</v>
      </c>
      <c r="N1664" t="s">
        <v>229</v>
      </c>
      <c r="O1664" t="s">
        <v>400</v>
      </c>
      <c r="P1664">
        <v>3.8186707581651972E-5</v>
      </c>
      <c r="Q1664" t="s">
        <v>159</v>
      </c>
      <c r="S1664" t="s">
        <v>271</v>
      </c>
      <c r="T1664" t="s">
        <v>400</v>
      </c>
      <c r="U1664">
        <v>1.0112576982583903E-4</v>
      </c>
      <c r="V1664" t="s">
        <v>159</v>
      </c>
    </row>
    <row r="1665" spans="9:22" x14ac:dyDescent="0.45">
      <c r="I1665" t="s">
        <v>186</v>
      </c>
      <c r="J1665" t="s">
        <v>401</v>
      </c>
      <c r="K1665">
        <v>0</v>
      </c>
      <c r="L1665" t="s">
        <v>159</v>
      </c>
      <c r="N1665" t="s">
        <v>229</v>
      </c>
      <c r="O1665" t="s">
        <v>401</v>
      </c>
      <c r="P1665">
        <v>3.1296065945594634E-5</v>
      </c>
      <c r="Q1665" t="s">
        <v>159</v>
      </c>
      <c r="S1665" t="s">
        <v>271</v>
      </c>
      <c r="T1665" t="s">
        <v>401</v>
      </c>
      <c r="U1665">
        <v>8.3011433134219499E-5</v>
      </c>
      <c r="V1665" t="s">
        <v>159</v>
      </c>
    </row>
    <row r="1666" spans="9:22" x14ac:dyDescent="0.45">
      <c r="I1666" t="s">
        <v>186</v>
      </c>
      <c r="J1666" t="s">
        <v>402</v>
      </c>
      <c r="K1666">
        <v>0</v>
      </c>
      <c r="L1666" t="s">
        <v>159</v>
      </c>
      <c r="N1666" t="s">
        <v>229</v>
      </c>
      <c r="O1666" t="s">
        <v>402</v>
      </c>
      <c r="P1666">
        <v>2.6424337553810048E-5</v>
      </c>
      <c r="Q1666" t="s">
        <v>159</v>
      </c>
      <c r="S1666" t="s">
        <v>271</v>
      </c>
      <c r="T1666" t="s">
        <v>402</v>
      </c>
      <c r="U1666">
        <v>6.4986217487507012E-5</v>
      </c>
      <c r="V1666" t="s">
        <v>159</v>
      </c>
    </row>
    <row r="1667" spans="9:22" x14ac:dyDescent="0.45">
      <c r="I1667" t="s">
        <v>186</v>
      </c>
      <c r="J1667" t="s">
        <v>403</v>
      </c>
      <c r="K1667">
        <v>3.3494571047812059E-5</v>
      </c>
      <c r="L1667" t="s">
        <v>159</v>
      </c>
      <c r="N1667" t="s">
        <v>229</v>
      </c>
      <c r="O1667" t="s">
        <v>403</v>
      </c>
      <c r="P1667">
        <v>2.0954757786853208E-5</v>
      </c>
      <c r="Q1667" t="s">
        <v>159</v>
      </c>
      <c r="S1667" t="s">
        <v>271</v>
      </c>
      <c r="T1667" t="s">
        <v>403</v>
      </c>
      <c r="U1667">
        <v>5.6729941545639786E-5</v>
      </c>
      <c r="V1667" t="s">
        <v>159</v>
      </c>
    </row>
    <row r="1668" spans="9:22" x14ac:dyDescent="0.45">
      <c r="I1668" t="s">
        <v>186</v>
      </c>
      <c r="J1668" t="s">
        <v>404</v>
      </c>
      <c r="K1668">
        <v>1.3398092892317893E-4</v>
      </c>
      <c r="L1668" t="s">
        <v>159</v>
      </c>
      <c r="N1668" t="s">
        <v>229</v>
      </c>
      <c r="O1668" t="s">
        <v>404</v>
      </c>
      <c r="P1668">
        <v>1.8111807305126002E-5</v>
      </c>
      <c r="Q1668" t="s">
        <v>159</v>
      </c>
      <c r="S1668" t="s">
        <v>271</v>
      </c>
      <c r="T1668" t="s">
        <v>404</v>
      </c>
      <c r="U1668">
        <v>5.0442285157078793E-5</v>
      </c>
      <c r="V1668" t="s">
        <v>159</v>
      </c>
    </row>
    <row r="1669" spans="9:22" x14ac:dyDescent="0.45">
      <c r="I1669" t="s">
        <v>186</v>
      </c>
      <c r="J1669" t="s">
        <v>405</v>
      </c>
      <c r="K1669">
        <v>1.8827128490466201E-4</v>
      </c>
      <c r="L1669" t="s">
        <v>159</v>
      </c>
      <c r="N1669" t="s">
        <v>229</v>
      </c>
      <c r="O1669" t="s">
        <v>405</v>
      </c>
      <c r="P1669">
        <v>8.62320390624122E-6</v>
      </c>
      <c r="Q1669" t="s">
        <v>159</v>
      </c>
      <c r="S1669" t="s">
        <v>271</v>
      </c>
      <c r="T1669" t="s">
        <v>405</v>
      </c>
      <c r="U1669">
        <v>4.5758965387489802E-5</v>
      </c>
      <c r="V1669" t="s">
        <v>159</v>
      </c>
    </row>
    <row r="1670" spans="9:22" x14ac:dyDescent="0.45">
      <c r="I1670" t="s">
        <v>186</v>
      </c>
      <c r="J1670" t="s">
        <v>406</v>
      </c>
      <c r="K1670">
        <v>2.1240578766077112E-4</v>
      </c>
      <c r="L1670" t="s">
        <v>159</v>
      </c>
      <c r="N1670" t="s">
        <v>229</v>
      </c>
      <c r="O1670" t="s">
        <v>406</v>
      </c>
      <c r="P1670">
        <v>2.2616652437676613E-5</v>
      </c>
      <c r="Q1670" t="s">
        <v>159</v>
      </c>
      <c r="S1670" t="s">
        <v>271</v>
      </c>
      <c r="T1670" t="s">
        <v>406</v>
      </c>
      <c r="U1670">
        <v>4.1685389386824696E-5</v>
      </c>
      <c r="V1670" t="s">
        <v>159</v>
      </c>
    </row>
    <row r="1671" spans="9:22" x14ac:dyDescent="0.45">
      <c r="I1671" t="s">
        <v>186</v>
      </c>
      <c r="J1671" t="s">
        <v>407</v>
      </c>
      <c r="K1671">
        <v>2.3569073471222814E-4</v>
      </c>
      <c r="L1671" t="s">
        <v>159</v>
      </c>
      <c r="N1671" t="s">
        <v>229</v>
      </c>
      <c r="O1671" t="s">
        <v>407</v>
      </c>
      <c r="P1671">
        <v>4.7457195310452954E-5</v>
      </c>
      <c r="Q1671" t="s">
        <v>159</v>
      </c>
      <c r="S1671" t="s">
        <v>271</v>
      </c>
      <c r="T1671" t="s">
        <v>407</v>
      </c>
      <c r="U1671">
        <v>4.1360943139430036E-5</v>
      </c>
      <c r="V1671" t="s">
        <v>159</v>
      </c>
    </row>
    <row r="1672" spans="9:22" x14ac:dyDescent="0.45">
      <c r="I1672" t="s">
        <v>186</v>
      </c>
      <c r="J1672" t="s">
        <v>408</v>
      </c>
      <c r="K1672">
        <v>2.4376292121502203E-4</v>
      </c>
      <c r="L1672" t="s">
        <v>159</v>
      </c>
      <c r="N1672" t="s">
        <v>229</v>
      </c>
      <c r="O1672" t="s">
        <v>408</v>
      </c>
      <c r="P1672">
        <v>6.3644233021408297E-5</v>
      </c>
      <c r="Q1672" t="s">
        <v>159</v>
      </c>
      <c r="S1672" t="s">
        <v>271</v>
      </c>
      <c r="T1672" t="s">
        <v>408</v>
      </c>
      <c r="U1672">
        <v>5.8584416334261791E-5</v>
      </c>
      <c r="V1672" t="s">
        <v>159</v>
      </c>
    </row>
    <row r="1673" spans="9:22" x14ac:dyDescent="0.45">
      <c r="I1673" t="s">
        <v>186</v>
      </c>
      <c r="J1673" t="s">
        <v>409</v>
      </c>
      <c r="K1673">
        <v>2.8640825061101608E-4</v>
      </c>
      <c r="L1673" t="s">
        <v>159</v>
      </c>
      <c r="N1673" t="s">
        <v>229</v>
      </c>
      <c r="O1673" t="s">
        <v>409</v>
      </c>
      <c r="P1673">
        <v>5.6558158791958027E-5</v>
      </c>
      <c r="Q1673" t="s">
        <v>159</v>
      </c>
      <c r="S1673" t="s">
        <v>271</v>
      </c>
      <c r="T1673" t="s">
        <v>409</v>
      </c>
      <c r="U1673">
        <v>6.8634598204446435E-5</v>
      </c>
      <c r="V1673" t="s">
        <v>159</v>
      </c>
    </row>
    <row r="1674" spans="9:22" x14ac:dyDescent="0.45">
      <c r="I1674" t="s">
        <v>186</v>
      </c>
      <c r="J1674" t="s">
        <v>410</v>
      </c>
      <c r="K1674">
        <v>2.7102646408110428E-4</v>
      </c>
      <c r="L1674" t="s">
        <v>159</v>
      </c>
      <c r="N1674" t="s">
        <v>229</v>
      </c>
      <c r="O1674" t="s">
        <v>410</v>
      </c>
      <c r="P1674">
        <v>5.6863126769918945E-5</v>
      </c>
      <c r="Q1674" t="s">
        <v>159</v>
      </c>
      <c r="S1674" t="s">
        <v>271</v>
      </c>
      <c r="T1674" t="s">
        <v>410</v>
      </c>
      <c r="U1674">
        <v>7.7894729500469889E-5</v>
      </c>
      <c r="V1674" t="s">
        <v>159</v>
      </c>
    </row>
    <row r="1675" spans="9:22" x14ac:dyDescent="0.45">
      <c r="I1675" t="s">
        <v>186</v>
      </c>
      <c r="J1675" t="s">
        <v>411</v>
      </c>
      <c r="K1675">
        <v>2.3736835091895154E-4</v>
      </c>
      <c r="L1675" t="s">
        <v>159</v>
      </c>
      <c r="N1675" t="s">
        <v>229</v>
      </c>
      <c r="O1675" t="s">
        <v>411</v>
      </c>
      <c r="P1675">
        <v>6.4714871605427133E-5</v>
      </c>
      <c r="Q1675" t="s">
        <v>159</v>
      </c>
      <c r="S1675" t="s">
        <v>271</v>
      </c>
      <c r="T1675" t="s">
        <v>411</v>
      </c>
      <c r="U1675">
        <v>6.1053404538399632E-5</v>
      </c>
      <c r="V1675" t="s">
        <v>159</v>
      </c>
    </row>
    <row r="1676" spans="9:22" x14ac:dyDescent="0.45">
      <c r="I1676" t="s">
        <v>186</v>
      </c>
      <c r="J1676" t="s">
        <v>412</v>
      </c>
      <c r="K1676">
        <v>2.3381673876202372E-4</v>
      </c>
      <c r="L1676" t="s">
        <v>159</v>
      </c>
      <c r="N1676" t="s">
        <v>229</v>
      </c>
      <c r="O1676" t="s">
        <v>412</v>
      </c>
      <c r="P1676">
        <v>7.5921557934607552E-5</v>
      </c>
      <c r="Q1676" t="s">
        <v>159</v>
      </c>
      <c r="S1676" t="s">
        <v>271</v>
      </c>
      <c r="T1676" t="s">
        <v>412</v>
      </c>
      <c r="U1676">
        <v>4.5730721967558705E-5</v>
      </c>
      <c r="V1676" t="s">
        <v>159</v>
      </c>
    </row>
    <row r="1677" spans="9:22" x14ac:dyDescent="0.45">
      <c r="I1677" t="s">
        <v>186</v>
      </c>
      <c r="J1677" t="s">
        <v>413</v>
      </c>
      <c r="K1677">
        <v>2.0694697711047137E-4</v>
      </c>
      <c r="L1677" t="s">
        <v>159</v>
      </c>
      <c r="N1677" t="s">
        <v>229</v>
      </c>
      <c r="O1677" t="s">
        <v>413</v>
      </c>
      <c r="P1677">
        <v>9.2579274192646014E-5</v>
      </c>
      <c r="Q1677" t="s">
        <v>159</v>
      </c>
      <c r="S1677" t="s">
        <v>271</v>
      </c>
      <c r="T1677" t="s">
        <v>413</v>
      </c>
      <c r="U1677">
        <v>4.468033297354791E-5</v>
      </c>
      <c r="V1677" t="s">
        <v>159</v>
      </c>
    </row>
    <row r="1678" spans="9:22" x14ac:dyDescent="0.45">
      <c r="I1678" t="s">
        <v>186</v>
      </c>
      <c r="J1678" t="s">
        <v>414</v>
      </c>
      <c r="K1678">
        <v>1.5695936126289514E-4</v>
      </c>
      <c r="L1678" t="s">
        <v>159</v>
      </c>
      <c r="N1678" t="s">
        <v>229</v>
      </c>
      <c r="O1678" t="s">
        <v>414</v>
      </c>
      <c r="P1678">
        <v>1.1316068795543271E-4</v>
      </c>
      <c r="Q1678" t="s">
        <v>159</v>
      </c>
      <c r="S1678" t="s">
        <v>271</v>
      </c>
      <c r="T1678" t="s">
        <v>414</v>
      </c>
      <c r="U1678">
        <v>3.0155074663914149E-5</v>
      </c>
      <c r="V1678" t="s">
        <v>159</v>
      </c>
    </row>
    <row r="1679" spans="9:22" x14ac:dyDescent="0.45">
      <c r="I1679" t="s">
        <v>186</v>
      </c>
      <c r="J1679" t="s">
        <v>415</v>
      </c>
      <c r="K1679">
        <v>0</v>
      </c>
      <c r="L1679" t="s">
        <v>159</v>
      </c>
      <c r="N1679" t="s">
        <v>229</v>
      </c>
      <c r="O1679" t="s">
        <v>415</v>
      </c>
      <c r="P1679">
        <v>1.6353573841441582E-4</v>
      </c>
      <c r="Q1679" t="s">
        <v>159</v>
      </c>
      <c r="S1679" t="s">
        <v>271</v>
      </c>
      <c r="T1679" t="s">
        <v>415</v>
      </c>
      <c r="U1679">
        <v>1.4757591738397343E-5</v>
      </c>
      <c r="V1679" t="s">
        <v>159</v>
      </c>
    </row>
    <row r="1680" spans="9:22" x14ac:dyDescent="0.45">
      <c r="I1680" t="s">
        <v>186</v>
      </c>
      <c r="J1680" t="s">
        <v>416</v>
      </c>
      <c r="K1680">
        <v>0</v>
      </c>
      <c r="L1680" t="s">
        <v>159</v>
      </c>
      <c r="N1680" t="s">
        <v>229</v>
      </c>
      <c r="O1680" t="s">
        <v>416</v>
      </c>
      <c r="P1680">
        <v>2.2553646945571966E-4</v>
      </c>
      <c r="Q1680" t="s">
        <v>159</v>
      </c>
      <c r="S1680" t="s">
        <v>271</v>
      </c>
      <c r="T1680" t="s">
        <v>416</v>
      </c>
      <c r="U1680">
        <v>2.7745418598603349E-6</v>
      </c>
      <c r="V1680" t="s">
        <v>159</v>
      </c>
    </row>
    <row r="1681" spans="9:22" x14ac:dyDescent="0.45">
      <c r="I1681" t="s">
        <v>186</v>
      </c>
      <c r="J1681" t="s">
        <v>417</v>
      </c>
      <c r="K1681">
        <v>0</v>
      </c>
      <c r="L1681" t="s">
        <v>159</v>
      </c>
      <c r="N1681" t="s">
        <v>229</v>
      </c>
      <c r="O1681" t="s">
        <v>417</v>
      </c>
      <c r="P1681">
        <v>2.4864827808615433E-4</v>
      </c>
      <c r="Q1681" t="s">
        <v>159</v>
      </c>
      <c r="S1681" t="s">
        <v>271</v>
      </c>
      <c r="T1681" t="s">
        <v>417</v>
      </c>
      <c r="U1681">
        <v>3.8481454666606816E-7</v>
      </c>
      <c r="V1681" t="s">
        <v>159</v>
      </c>
    </row>
    <row r="1682" spans="9:22" x14ac:dyDescent="0.45">
      <c r="I1682" t="s">
        <v>186</v>
      </c>
      <c r="J1682" t="s">
        <v>418</v>
      </c>
      <c r="K1682">
        <v>0</v>
      </c>
      <c r="L1682" t="s">
        <v>159</v>
      </c>
      <c r="N1682" t="s">
        <v>229</v>
      </c>
      <c r="O1682" t="s">
        <v>418</v>
      </c>
      <c r="P1682">
        <v>2.4204056160608868E-4</v>
      </c>
      <c r="Q1682" t="s">
        <v>159</v>
      </c>
      <c r="S1682" t="s">
        <v>271</v>
      </c>
      <c r="T1682" t="s">
        <v>418</v>
      </c>
      <c r="U1682">
        <v>5.7586509357038666E-7</v>
      </c>
      <c r="V1682" t="s">
        <v>159</v>
      </c>
    </row>
    <row r="1683" spans="9:22" x14ac:dyDescent="0.45">
      <c r="I1683" t="s">
        <v>186</v>
      </c>
      <c r="J1683" t="s">
        <v>419</v>
      </c>
      <c r="K1683">
        <v>0</v>
      </c>
      <c r="L1683" t="s">
        <v>159</v>
      </c>
      <c r="N1683" t="s">
        <v>229</v>
      </c>
      <c r="O1683" t="s">
        <v>419</v>
      </c>
      <c r="P1683">
        <v>2.3103743497978658E-4</v>
      </c>
      <c r="Q1683" t="s">
        <v>159</v>
      </c>
      <c r="S1683" t="s">
        <v>271</v>
      </c>
      <c r="T1683" t="s">
        <v>419</v>
      </c>
      <c r="U1683">
        <v>2.5424705897215579E-6</v>
      </c>
      <c r="V1683" t="s">
        <v>159</v>
      </c>
    </row>
    <row r="1684" spans="9:22" x14ac:dyDescent="0.45">
      <c r="I1684" t="s">
        <v>186</v>
      </c>
      <c r="J1684" t="s">
        <v>420</v>
      </c>
      <c r="K1684">
        <v>0</v>
      </c>
      <c r="L1684" t="s">
        <v>159</v>
      </c>
      <c r="N1684" t="s">
        <v>229</v>
      </c>
      <c r="O1684" t="s">
        <v>420</v>
      </c>
      <c r="P1684">
        <v>2.0614400295515734E-4</v>
      </c>
      <c r="Q1684" t="s">
        <v>159</v>
      </c>
      <c r="S1684" t="s">
        <v>271</v>
      </c>
      <c r="T1684" t="s">
        <v>420</v>
      </c>
      <c r="U1684">
        <v>7.362734677402201E-6</v>
      </c>
      <c r="V1684" t="s">
        <v>159</v>
      </c>
    </row>
    <row r="1685" spans="9:22" x14ac:dyDescent="0.45">
      <c r="I1685" t="s">
        <v>186</v>
      </c>
      <c r="J1685" t="s">
        <v>313</v>
      </c>
      <c r="K1685">
        <v>8.5141239025207493E-3</v>
      </c>
      <c r="L1685" t="s">
        <v>159</v>
      </c>
      <c r="N1685" t="s">
        <v>229</v>
      </c>
      <c r="O1685" t="s">
        <v>313</v>
      </c>
      <c r="P1685">
        <v>2.3662721782336544E-2</v>
      </c>
      <c r="Q1685" t="s">
        <v>159</v>
      </c>
      <c r="S1685" t="s">
        <v>271</v>
      </c>
      <c r="T1685" t="s">
        <v>313</v>
      </c>
      <c r="U1685">
        <v>1.8073490827414239E-2</v>
      </c>
      <c r="V1685" t="s">
        <v>159</v>
      </c>
    </row>
    <row r="1686" spans="9:22" x14ac:dyDescent="0.45">
      <c r="I1686" t="s">
        <v>186</v>
      </c>
      <c r="J1686" t="s">
        <v>314</v>
      </c>
      <c r="K1686">
        <v>7.7267741305822408E-3</v>
      </c>
      <c r="L1686" t="s">
        <v>159</v>
      </c>
      <c r="N1686" t="s">
        <v>229</v>
      </c>
      <c r="O1686" t="s">
        <v>314</v>
      </c>
      <c r="P1686">
        <v>2.945657446405747E-3</v>
      </c>
      <c r="Q1686" t="s">
        <v>159</v>
      </c>
      <c r="S1686" t="s">
        <v>271</v>
      </c>
      <c r="T1686" t="s">
        <v>314</v>
      </c>
      <c r="U1686">
        <v>2.428471042454243E-3</v>
      </c>
      <c r="V1686" t="s">
        <v>159</v>
      </c>
    </row>
    <row r="1687" spans="9:22" x14ac:dyDescent="0.45">
      <c r="I1687" t="s">
        <v>186</v>
      </c>
      <c r="J1687" t="s">
        <v>315</v>
      </c>
      <c r="K1687">
        <v>8.8705025666241416E-2</v>
      </c>
      <c r="L1687" t="s">
        <v>159</v>
      </c>
      <c r="N1687" t="s">
        <v>229</v>
      </c>
      <c r="O1687" t="s">
        <v>315</v>
      </c>
      <c r="P1687">
        <v>2.4511035308358207E-2</v>
      </c>
      <c r="Q1687" t="s">
        <v>159</v>
      </c>
      <c r="S1687" t="s">
        <v>271</v>
      </c>
      <c r="T1687" t="s">
        <v>315</v>
      </c>
      <c r="U1687">
        <v>3.400111691496556E-2</v>
      </c>
      <c r="V1687" t="s">
        <v>159</v>
      </c>
    </row>
    <row r="1688" spans="9:22" x14ac:dyDescent="0.45">
      <c r="I1688" t="s">
        <v>186</v>
      </c>
      <c r="J1688" t="s">
        <v>316</v>
      </c>
      <c r="K1688">
        <v>7.5367583356093617E-3</v>
      </c>
      <c r="L1688" t="s">
        <v>159</v>
      </c>
      <c r="N1688" t="s">
        <v>229</v>
      </c>
      <c r="O1688" t="s">
        <v>316</v>
      </c>
      <c r="P1688">
        <v>3.4426938703638449E-3</v>
      </c>
      <c r="Q1688" t="s">
        <v>159</v>
      </c>
      <c r="S1688" t="s">
        <v>271</v>
      </c>
      <c r="T1688" t="s">
        <v>316</v>
      </c>
      <c r="U1688">
        <v>4.2720154533662539E-3</v>
      </c>
      <c r="V1688" t="s">
        <v>159</v>
      </c>
    </row>
    <row r="1689" spans="9:22" x14ac:dyDescent="0.45">
      <c r="I1689" t="s">
        <v>186</v>
      </c>
      <c r="J1689" t="s">
        <v>317</v>
      </c>
      <c r="K1689">
        <v>5.4507150017798394E-3</v>
      </c>
      <c r="L1689" t="s">
        <v>159</v>
      </c>
      <c r="N1689" t="s">
        <v>229</v>
      </c>
      <c r="O1689" t="s">
        <v>317</v>
      </c>
      <c r="P1689">
        <v>3.5878693580381964E-3</v>
      </c>
      <c r="Q1689" t="s">
        <v>159</v>
      </c>
      <c r="S1689" t="s">
        <v>271</v>
      </c>
      <c r="T1689" t="s">
        <v>317</v>
      </c>
      <c r="U1689">
        <v>3.8613527463319886E-3</v>
      </c>
      <c r="V1689" t="s">
        <v>159</v>
      </c>
    </row>
    <row r="1690" spans="9:22" x14ac:dyDescent="0.45">
      <c r="I1690" t="s">
        <v>186</v>
      </c>
      <c r="J1690" t="s">
        <v>318</v>
      </c>
      <c r="K1690">
        <v>1.0258970037592568E-3</v>
      </c>
      <c r="L1690" t="s">
        <v>159</v>
      </c>
      <c r="N1690" t="s">
        <v>229</v>
      </c>
      <c r="O1690" t="s">
        <v>318</v>
      </c>
      <c r="P1690">
        <v>2.0325110636628226E-2</v>
      </c>
      <c r="Q1690" t="s">
        <v>159</v>
      </c>
      <c r="S1690" t="s">
        <v>271</v>
      </c>
      <c r="T1690" t="s">
        <v>318</v>
      </c>
      <c r="U1690">
        <v>1.6149206431713057E-2</v>
      </c>
      <c r="V1690" t="s">
        <v>159</v>
      </c>
    </row>
    <row r="1691" spans="9:22" x14ac:dyDescent="0.45">
      <c r="I1691" t="s">
        <v>187</v>
      </c>
      <c r="J1691" t="s">
        <v>158</v>
      </c>
      <c r="K1691">
        <v>1.0224195528533856E-2</v>
      </c>
      <c r="L1691" t="s">
        <v>159</v>
      </c>
      <c r="N1691" t="s">
        <v>230</v>
      </c>
      <c r="O1691" t="s">
        <v>158</v>
      </c>
      <c r="P1691">
        <v>0.13455471291677651</v>
      </c>
      <c r="Q1691" t="s">
        <v>159</v>
      </c>
    </row>
    <row r="1692" spans="9:22" x14ac:dyDescent="0.45">
      <c r="I1692" t="s">
        <v>187</v>
      </c>
      <c r="J1692" t="s">
        <v>160</v>
      </c>
      <c r="K1692">
        <v>2.7717811703631384E-2</v>
      </c>
      <c r="L1692" t="s">
        <v>159</v>
      </c>
      <c r="N1692" t="s">
        <v>230</v>
      </c>
      <c r="O1692" t="s">
        <v>160</v>
      </c>
      <c r="P1692">
        <v>1.6284976062893371E-2</v>
      </c>
      <c r="Q1692" t="s">
        <v>159</v>
      </c>
    </row>
    <row r="1693" spans="9:22" x14ac:dyDescent="0.45">
      <c r="I1693" t="s">
        <v>187</v>
      </c>
      <c r="J1693" t="s">
        <v>161</v>
      </c>
      <c r="K1693">
        <v>0.37484167884194758</v>
      </c>
      <c r="L1693" t="s">
        <v>159</v>
      </c>
      <c r="N1693" t="s">
        <v>230</v>
      </c>
      <c r="O1693" t="s">
        <v>161</v>
      </c>
      <c r="P1693">
        <v>0.12950200890060726</v>
      </c>
      <c r="Q1693" t="s">
        <v>159</v>
      </c>
    </row>
    <row r="1694" spans="9:22" x14ac:dyDescent="0.45">
      <c r="I1694" t="s">
        <v>187</v>
      </c>
      <c r="J1694" t="s">
        <v>287</v>
      </c>
      <c r="K1694">
        <v>2.9764676975113549E-2</v>
      </c>
      <c r="L1694" t="s">
        <v>159</v>
      </c>
      <c r="N1694" t="s">
        <v>230</v>
      </c>
      <c r="O1694" t="s">
        <v>287</v>
      </c>
      <c r="P1694">
        <v>1.8032567932677851E-2</v>
      </c>
      <c r="Q1694" t="s">
        <v>159</v>
      </c>
    </row>
    <row r="1695" spans="9:22" x14ac:dyDescent="0.45">
      <c r="I1695" t="s">
        <v>187</v>
      </c>
      <c r="J1695" t="s">
        <v>288</v>
      </c>
      <c r="K1695">
        <v>1.6792419504518978E-2</v>
      </c>
      <c r="L1695" t="s">
        <v>159</v>
      </c>
      <c r="N1695" t="s">
        <v>230</v>
      </c>
      <c r="O1695" t="s">
        <v>288</v>
      </c>
      <c r="P1695">
        <v>2.1663445184528861E-2</v>
      </c>
      <c r="Q1695" t="s">
        <v>159</v>
      </c>
    </row>
    <row r="1696" spans="9:22" x14ac:dyDescent="0.45">
      <c r="I1696" t="s">
        <v>187</v>
      </c>
      <c r="J1696" t="s">
        <v>308</v>
      </c>
      <c r="K1696">
        <v>4.2095368953274778E-3</v>
      </c>
      <c r="L1696" t="s">
        <v>159</v>
      </c>
      <c r="N1696" t="s">
        <v>230</v>
      </c>
      <c r="O1696" t="s">
        <v>308</v>
      </c>
      <c r="P1696">
        <v>0.12816721560586186</v>
      </c>
      <c r="Q1696" t="s">
        <v>159</v>
      </c>
    </row>
    <row r="1697" spans="9:17" x14ac:dyDescent="0.45">
      <c r="I1697" t="s">
        <v>187</v>
      </c>
      <c r="J1697" t="s">
        <v>162</v>
      </c>
      <c r="K1697">
        <v>0</v>
      </c>
      <c r="L1697" t="s">
        <v>159</v>
      </c>
      <c r="N1697" t="s">
        <v>230</v>
      </c>
      <c r="O1697" t="s">
        <v>162</v>
      </c>
      <c r="P1697">
        <v>2.1291265217102742E-2</v>
      </c>
      <c r="Q1697" t="s">
        <v>159</v>
      </c>
    </row>
    <row r="1698" spans="9:17" x14ac:dyDescent="0.45">
      <c r="I1698" t="s">
        <v>187</v>
      </c>
      <c r="J1698" t="s">
        <v>163</v>
      </c>
      <c r="K1698">
        <v>0</v>
      </c>
      <c r="L1698" t="s">
        <v>159</v>
      </c>
      <c r="N1698" t="s">
        <v>230</v>
      </c>
      <c r="O1698" t="s">
        <v>163</v>
      </c>
      <c r="P1698">
        <v>2.666312133324431E-3</v>
      </c>
      <c r="Q1698" t="s">
        <v>159</v>
      </c>
    </row>
    <row r="1699" spans="9:17" x14ac:dyDescent="0.45">
      <c r="I1699" t="s">
        <v>187</v>
      </c>
      <c r="J1699" t="s">
        <v>164</v>
      </c>
      <c r="K1699">
        <v>3.632519874984147E-2</v>
      </c>
      <c r="L1699" t="s">
        <v>159</v>
      </c>
      <c r="N1699" t="s">
        <v>230</v>
      </c>
      <c r="O1699" t="s">
        <v>164</v>
      </c>
      <c r="P1699">
        <v>1.5389677568910657E-2</v>
      </c>
      <c r="Q1699" t="s">
        <v>159</v>
      </c>
    </row>
    <row r="1700" spans="9:17" x14ac:dyDescent="0.45">
      <c r="I1700" t="s">
        <v>187</v>
      </c>
      <c r="J1700" t="s">
        <v>289</v>
      </c>
      <c r="K1700">
        <v>1.9722346529693186E-3</v>
      </c>
      <c r="L1700" t="s">
        <v>159</v>
      </c>
      <c r="N1700" t="s">
        <v>230</v>
      </c>
      <c r="O1700" t="s">
        <v>289</v>
      </c>
      <c r="P1700">
        <v>1.9507770034035818E-3</v>
      </c>
      <c r="Q1700" t="s">
        <v>159</v>
      </c>
    </row>
    <row r="1701" spans="9:17" x14ac:dyDescent="0.45">
      <c r="I1701" t="s">
        <v>187</v>
      </c>
      <c r="J1701" t="s">
        <v>290</v>
      </c>
      <c r="K1701">
        <v>0</v>
      </c>
      <c r="L1701" t="s">
        <v>159</v>
      </c>
      <c r="N1701" t="s">
        <v>230</v>
      </c>
      <c r="O1701" t="s">
        <v>290</v>
      </c>
      <c r="P1701">
        <v>2.7808196313641254E-3</v>
      </c>
      <c r="Q1701" t="s">
        <v>159</v>
      </c>
    </row>
    <row r="1702" spans="9:17" x14ac:dyDescent="0.45">
      <c r="I1702" t="s">
        <v>187</v>
      </c>
      <c r="J1702" t="s">
        <v>309</v>
      </c>
      <c r="K1702">
        <v>0</v>
      </c>
      <c r="L1702" t="s">
        <v>159</v>
      </c>
      <c r="N1702" t="s">
        <v>230</v>
      </c>
      <c r="O1702" t="s">
        <v>309</v>
      </c>
      <c r="P1702">
        <v>1.6752953958074343E-2</v>
      </c>
      <c r="Q1702" t="s">
        <v>159</v>
      </c>
    </row>
    <row r="1703" spans="9:17" x14ac:dyDescent="0.45">
      <c r="I1703" t="s">
        <v>187</v>
      </c>
      <c r="J1703" t="s">
        <v>346</v>
      </c>
      <c r="K1703">
        <v>0</v>
      </c>
      <c r="L1703" t="s">
        <v>159</v>
      </c>
      <c r="N1703" t="s">
        <v>230</v>
      </c>
      <c r="O1703" t="s">
        <v>346</v>
      </c>
      <c r="P1703">
        <v>1.8465566441604915E-5</v>
      </c>
      <c r="Q1703" t="s">
        <v>159</v>
      </c>
    </row>
    <row r="1704" spans="9:17" x14ac:dyDescent="0.45">
      <c r="I1704" t="s">
        <v>187</v>
      </c>
      <c r="J1704" t="s">
        <v>347</v>
      </c>
      <c r="K1704">
        <v>0</v>
      </c>
      <c r="L1704" t="s">
        <v>159</v>
      </c>
      <c r="N1704" t="s">
        <v>230</v>
      </c>
      <c r="O1704" t="s">
        <v>347</v>
      </c>
      <c r="P1704">
        <v>2.2900533325587687E-5</v>
      </c>
      <c r="Q1704" t="s">
        <v>159</v>
      </c>
    </row>
    <row r="1705" spans="9:17" x14ac:dyDescent="0.45">
      <c r="I1705" t="s">
        <v>187</v>
      </c>
      <c r="J1705" t="s">
        <v>348</v>
      </c>
      <c r="K1705">
        <v>0</v>
      </c>
      <c r="L1705" t="s">
        <v>159</v>
      </c>
      <c r="N1705" t="s">
        <v>230</v>
      </c>
      <c r="O1705" t="s">
        <v>348</v>
      </c>
      <c r="P1705">
        <v>2.7852139228938888E-5</v>
      </c>
      <c r="Q1705" t="s">
        <v>159</v>
      </c>
    </row>
    <row r="1706" spans="9:17" x14ac:dyDescent="0.45">
      <c r="I1706" t="s">
        <v>187</v>
      </c>
      <c r="J1706" t="s">
        <v>349</v>
      </c>
      <c r="K1706">
        <v>0</v>
      </c>
      <c r="L1706" t="s">
        <v>159</v>
      </c>
      <c r="N1706" t="s">
        <v>230</v>
      </c>
      <c r="O1706" t="s">
        <v>349</v>
      </c>
      <c r="P1706">
        <v>2.6766092232243782E-5</v>
      </c>
      <c r="Q1706" t="s">
        <v>159</v>
      </c>
    </row>
    <row r="1707" spans="9:17" x14ac:dyDescent="0.45">
      <c r="I1707" t="s">
        <v>187</v>
      </c>
      <c r="J1707" t="s">
        <v>350</v>
      </c>
      <c r="K1707">
        <v>0</v>
      </c>
      <c r="L1707" t="s">
        <v>159</v>
      </c>
      <c r="N1707" t="s">
        <v>230</v>
      </c>
      <c r="O1707" t="s">
        <v>350</v>
      </c>
      <c r="P1707">
        <v>2.0504697853704215E-5</v>
      </c>
      <c r="Q1707" t="s">
        <v>159</v>
      </c>
    </row>
    <row r="1708" spans="9:17" x14ac:dyDescent="0.45">
      <c r="I1708" t="s">
        <v>187</v>
      </c>
      <c r="J1708" t="s">
        <v>351</v>
      </c>
      <c r="K1708">
        <v>0</v>
      </c>
      <c r="L1708" t="s">
        <v>159</v>
      </c>
      <c r="N1708" t="s">
        <v>230</v>
      </c>
      <c r="O1708" t="s">
        <v>351</v>
      </c>
      <c r="P1708">
        <v>1.1637120924519447E-5</v>
      </c>
      <c r="Q1708" t="s">
        <v>159</v>
      </c>
    </row>
    <row r="1709" spans="9:17" x14ac:dyDescent="0.45">
      <c r="I1709" t="s">
        <v>187</v>
      </c>
      <c r="J1709" t="s">
        <v>352</v>
      </c>
      <c r="K1709">
        <v>0</v>
      </c>
      <c r="L1709" t="s">
        <v>159</v>
      </c>
      <c r="N1709" t="s">
        <v>230</v>
      </c>
      <c r="O1709" t="s">
        <v>352</v>
      </c>
      <c r="P1709">
        <v>4.6749065499122433E-6</v>
      </c>
      <c r="Q1709" t="s">
        <v>159</v>
      </c>
    </row>
    <row r="1710" spans="9:17" x14ac:dyDescent="0.45">
      <c r="I1710" t="s">
        <v>187</v>
      </c>
      <c r="J1710" t="s">
        <v>353</v>
      </c>
      <c r="K1710">
        <v>0</v>
      </c>
      <c r="L1710" t="s">
        <v>159</v>
      </c>
      <c r="N1710" t="s">
        <v>230</v>
      </c>
      <c r="O1710" t="s">
        <v>353</v>
      </c>
      <c r="P1710">
        <v>2.6468354242106151E-6</v>
      </c>
      <c r="Q1710" t="s">
        <v>159</v>
      </c>
    </row>
    <row r="1711" spans="9:17" x14ac:dyDescent="0.45">
      <c r="I1711" t="s">
        <v>187</v>
      </c>
      <c r="J1711" t="s">
        <v>354</v>
      </c>
      <c r="K1711">
        <v>1.7184301858521182E-4</v>
      </c>
      <c r="L1711" t="s">
        <v>159</v>
      </c>
      <c r="N1711" t="s">
        <v>230</v>
      </c>
      <c r="O1711" t="s">
        <v>354</v>
      </c>
      <c r="P1711">
        <v>8.1012502909497032E-7</v>
      </c>
      <c r="Q1711" t="s">
        <v>159</v>
      </c>
    </row>
    <row r="1712" spans="9:17" x14ac:dyDescent="0.45">
      <c r="I1712" t="s">
        <v>187</v>
      </c>
      <c r="J1712" t="s">
        <v>355</v>
      </c>
      <c r="K1712">
        <v>1.7817069238602157E-4</v>
      </c>
      <c r="L1712" t="s">
        <v>159</v>
      </c>
      <c r="N1712" t="s">
        <v>230</v>
      </c>
      <c r="O1712" t="s">
        <v>355</v>
      </c>
      <c r="P1712">
        <v>0</v>
      </c>
      <c r="Q1712" t="s">
        <v>159</v>
      </c>
    </row>
    <row r="1713" spans="9:17" x14ac:dyDescent="0.45">
      <c r="I1713" t="s">
        <v>187</v>
      </c>
      <c r="J1713" t="s">
        <v>356</v>
      </c>
      <c r="K1713">
        <v>1.5893945208168345E-4</v>
      </c>
      <c r="L1713" t="s">
        <v>159</v>
      </c>
      <c r="N1713" t="s">
        <v>230</v>
      </c>
      <c r="O1713" t="s">
        <v>356</v>
      </c>
      <c r="P1713">
        <v>1.6593753801585649E-8</v>
      </c>
      <c r="Q1713" t="s">
        <v>159</v>
      </c>
    </row>
    <row r="1714" spans="9:17" x14ac:dyDescent="0.45">
      <c r="I1714" t="s">
        <v>187</v>
      </c>
      <c r="J1714" t="s">
        <v>357</v>
      </c>
      <c r="K1714">
        <v>1.6894824096836238E-4</v>
      </c>
      <c r="L1714" t="s">
        <v>159</v>
      </c>
      <c r="N1714" t="s">
        <v>230</v>
      </c>
      <c r="O1714" t="s">
        <v>357</v>
      </c>
      <c r="P1714">
        <v>7.5202974032755439E-8</v>
      </c>
      <c r="Q1714" t="s">
        <v>159</v>
      </c>
    </row>
    <row r="1715" spans="9:17" x14ac:dyDescent="0.45">
      <c r="I1715" t="s">
        <v>187</v>
      </c>
      <c r="J1715" t="s">
        <v>358</v>
      </c>
      <c r="K1715">
        <v>2.1960883354843279E-4</v>
      </c>
      <c r="L1715" t="s">
        <v>159</v>
      </c>
      <c r="N1715" t="s">
        <v>230</v>
      </c>
      <c r="O1715" t="s">
        <v>358</v>
      </c>
      <c r="P1715">
        <v>1.2451179697843812E-7</v>
      </c>
      <c r="Q1715" t="s">
        <v>159</v>
      </c>
    </row>
    <row r="1716" spans="9:17" x14ac:dyDescent="0.45">
      <c r="I1716" t="s">
        <v>187</v>
      </c>
      <c r="J1716" t="s">
        <v>359</v>
      </c>
      <c r="K1716">
        <v>1.7812453376664798E-4</v>
      </c>
      <c r="L1716" t="s">
        <v>159</v>
      </c>
      <c r="N1716" t="s">
        <v>230</v>
      </c>
      <c r="O1716" t="s">
        <v>359</v>
      </c>
      <c r="P1716">
        <v>1.4560425712825618E-6</v>
      </c>
      <c r="Q1716" t="s">
        <v>159</v>
      </c>
    </row>
    <row r="1717" spans="9:17" x14ac:dyDescent="0.45">
      <c r="I1717" t="s">
        <v>187</v>
      </c>
      <c r="J1717" t="s">
        <v>360</v>
      </c>
      <c r="K1717">
        <v>1.5179337340725943E-4</v>
      </c>
      <c r="L1717" t="s">
        <v>159</v>
      </c>
      <c r="N1717" t="s">
        <v>230</v>
      </c>
      <c r="O1717" t="s">
        <v>360</v>
      </c>
      <c r="P1717">
        <v>5.0385343869358868E-6</v>
      </c>
      <c r="Q1717" t="s">
        <v>159</v>
      </c>
    </row>
    <row r="1718" spans="9:17" x14ac:dyDescent="0.45">
      <c r="I1718" t="s">
        <v>187</v>
      </c>
      <c r="J1718" t="s">
        <v>361</v>
      </c>
      <c r="K1718">
        <v>1.5233875067893621E-4</v>
      </c>
      <c r="L1718" t="s">
        <v>159</v>
      </c>
      <c r="N1718" t="s">
        <v>230</v>
      </c>
      <c r="O1718" t="s">
        <v>361</v>
      </c>
      <c r="P1718">
        <v>9.2089012528784324E-6</v>
      </c>
      <c r="Q1718" t="s">
        <v>159</v>
      </c>
    </row>
    <row r="1719" spans="9:17" x14ac:dyDescent="0.45">
      <c r="I1719" t="s">
        <v>187</v>
      </c>
      <c r="J1719" t="s">
        <v>362</v>
      </c>
      <c r="K1719">
        <v>1.3376221186326966E-4</v>
      </c>
      <c r="L1719" t="s">
        <v>159</v>
      </c>
      <c r="N1719" t="s">
        <v>230</v>
      </c>
      <c r="O1719" t="s">
        <v>362</v>
      </c>
      <c r="P1719">
        <v>1.2918106072931499E-5</v>
      </c>
      <c r="Q1719" t="s">
        <v>159</v>
      </c>
    </row>
    <row r="1720" spans="9:17" x14ac:dyDescent="0.45">
      <c r="I1720" t="s">
        <v>187</v>
      </c>
      <c r="J1720" t="s">
        <v>363</v>
      </c>
      <c r="K1720">
        <v>6.3191723864922727E-5</v>
      </c>
      <c r="L1720" t="s">
        <v>159</v>
      </c>
      <c r="N1720" t="s">
        <v>230</v>
      </c>
      <c r="O1720" t="s">
        <v>363</v>
      </c>
      <c r="P1720">
        <v>3.0643904084487109E-5</v>
      </c>
      <c r="Q1720" t="s">
        <v>159</v>
      </c>
    </row>
    <row r="1721" spans="9:17" x14ac:dyDescent="0.45">
      <c r="I1721" t="s">
        <v>187</v>
      </c>
      <c r="J1721" t="s">
        <v>364</v>
      </c>
      <c r="K1721">
        <v>0</v>
      </c>
      <c r="L1721" t="s">
        <v>159</v>
      </c>
      <c r="N1721" t="s">
        <v>230</v>
      </c>
      <c r="O1721" t="s">
        <v>364</v>
      </c>
      <c r="P1721">
        <v>5.5400120534188145E-5</v>
      </c>
      <c r="Q1721" t="s">
        <v>159</v>
      </c>
    </row>
    <row r="1722" spans="9:17" x14ac:dyDescent="0.45">
      <c r="I1722" t="s">
        <v>187</v>
      </c>
      <c r="J1722" t="s">
        <v>365</v>
      </c>
      <c r="K1722">
        <v>0</v>
      </c>
      <c r="L1722" t="s">
        <v>159</v>
      </c>
      <c r="N1722" t="s">
        <v>230</v>
      </c>
      <c r="O1722" t="s">
        <v>365</v>
      </c>
      <c r="P1722">
        <v>6.8819612284364804E-5</v>
      </c>
      <c r="Q1722" t="s">
        <v>159</v>
      </c>
    </row>
    <row r="1723" spans="9:17" x14ac:dyDescent="0.45">
      <c r="I1723" t="s">
        <v>187</v>
      </c>
      <c r="J1723" t="s">
        <v>366</v>
      </c>
      <c r="K1723">
        <v>0</v>
      </c>
      <c r="L1723" t="s">
        <v>159</v>
      </c>
      <c r="N1723" t="s">
        <v>230</v>
      </c>
      <c r="O1723" t="s">
        <v>366</v>
      </c>
      <c r="P1723">
        <v>6.1657690078902979E-5</v>
      </c>
      <c r="Q1723" t="s">
        <v>159</v>
      </c>
    </row>
    <row r="1724" spans="9:17" x14ac:dyDescent="0.45">
      <c r="I1724" t="s">
        <v>187</v>
      </c>
      <c r="J1724" t="s">
        <v>367</v>
      </c>
      <c r="K1724">
        <v>0</v>
      </c>
      <c r="L1724" t="s">
        <v>159</v>
      </c>
      <c r="N1724" t="s">
        <v>230</v>
      </c>
      <c r="O1724" t="s">
        <v>367</v>
      </c>
      <c r="P1724">
        <v>4.837485854880658E-5</v>
      </c>
      <c r="Q1724" t="s">
        <v>159</v>
      </c>
    </row>
    <row r="1725" spans="9:17" x14ac:dyDescent="0.45">
      <c r="I1725" t="s">
        <v>187</v>
      </c>
      <c r="J1725" t="s">
        <v>368</v>
      </c>
      <c r="K1725">
        <v>0</v>
      </c>
      <c r="L1725" t="s">
        <v>159</v>
      </c>
      <c r="N1725" t="s">
        <v>230</v>
      </c>
      <c r="O1725" t="s">
        <v>368</v>
      </c>
      <c r="P1725">
        <v>3.6319982237310587E-5</v>
      </c>
      <c r="Q1725" t="s">
        <v>159</v>
      </c>
    </row>
    <row r="1726" spans="9:17" x14ac:dyDescent="0.45">
      <c r="I1726" t="s">
        <v>187</v>
      </c>
      <c r="J1726" t="s">
        <v>369</v>
      </c>
      <c r="K1726">
        <v>0</v>
      </c>
      <c r="L1726" t="s">
        <v>159</v>
      </c>
      <c r="N1726" t="s">
        <v>230</v>
      </c>
      <c r="O1726" t="s">
        <v>369</v>
      </c>
      <c r="P1726">
        <v>2.4610287794625025E-5</v>
      </c>
      <c r="Q1726" t="s">
        <v>159</v>
      </c>
    </row>
    <row r="1727" spans="9:17" x14ac:dyDescent="0.45">
      <c r="I1727" t="s">
        <v>187</v>
      </c>
      <c r="J1727" t="s">
        <v>165</v>
      </c>
      <c r="K1727">
        <v>0</v>
      </c>
      <c r="L1727" t="s">
        <v>159</v>
      </c>
      <c r="N1727" t="s">
        <v>230</v>
      </c>
      <c r="O1727" t="s">
        <v>165</v>
      </c>
      <c r="P1727">
        <v>2.6158585017402647E-2</v>
      </c>
      <c r="Q1727" t="s">
        <v>159</v>
      </c>
    </row>
    <row r="1728" spans="9:17" x14ac:dyDescent="0.45">
      <c r="I1728" t="s">
        <v>187</v>
      </c>
      <c r="J1728" t="s">
        <v>166</v>
      </c>
      <c r="K1728">
        <v>2.1797373624440814E-3</v>
      </c>
      <c r="L1728" t="s">
        <v>159</v>
      </c>
      <c r="N1728" t="s">
        <v>230</v>
      </c>
      <c r="O1728" t="s">
        <v>166</v>
      </c>
      <c r="P1728">
        <v>3.2689635331115108E-3</v>
      </c>
      <c r="Q1728" t="s">
        <v>159</v>
      </c>
    </row>
    <row r="1729" spans="9:17" x14ac:dyDescent="0.45">
      <c r="I1729" t="s">
        <v>187</v>
      </c>
      <c r="J1729" t="s">
        <v>167</v>
      </c>
      <c r="K1729">
        <v>4.9597626852735714E-2</v>
      </c>
      <c r="L1729" t="s">
        <v>159</v>
      </c>
      <c r="N1729" t="s">
        <v>230</v>
      </c>
      <c r="O1729" t="s">
        <v>167</v>
      </c>
      <c r="P1729">
        <v>1.9847000660582686E-2</v>
      </c>
      <c r="Q1729" t="s">
        <v>159</v>
      </c>
    </row>
    <row r="1730" spans="9:17" x14ac:dyDescent="0.45">
      <c r="I1730" t="s">
        <v>187</v>
      </c>
      <c r="J1730" t="s">
        <v>291</v>
      </c>
      <c r="K1730">
        <v>3.8633590637151653E-3</v>
      </c>
      <c r="L1730" t="s">
        <v>159</v>
      </c>
      <c r="N1730" t="s">
        <v>230</v>
      </c>
      <c r="O1730" t="s">
        <v>291</v>
      </c>
      <c r="P1730">
        <v>3.087537257584933E-3</v>
      </c>
      <c r="Q1730" t="s">
        <v>159</v>
      </c>
    </row>
    <row r="1731" spans="9:17" x14ac:dyDescent="0.45">
      <c r="I1731" t="s">
        <v>187</v>
      </c>
      <c r="J1731" t="s">
        <v>292</v>
      </c>
      <c r="K1731">
        <v>0</v>
      </c>
      <c r="L1731" t="s">
        <v>159</v>
      </c>
      <c r="N1731" t="s">
        <v>230</v>
      </c>
      <c r="O1731" t="s">
        <v>292</v>
      </c>
      <c r="P1731">
        <v>4.2043923292516879E-3</v>
      </c>
      <c r="Q1731" t="s">
        <v>159</v>
      </c>
    </row>
    <row r="1732" spans="9:17" x14ac:dyDescent="0.45">
      <c r="I1732" t="s">
        <v>187</v>
      </c>
      <c r="J1732" t="s">
        <v>310</v>
      </c>
      <c r="K1732">
        <v>0</v>
      </c>
      <c r="L1732" t="s">
        <v>159</v>
      </c>
      <c r="N1732" t="s">
        <v>230</v>
      </c>
      <c r="O1732" t="s">
        <v>310</v>
      </c>
      <c r="P1732">
        <v>2.5519822908297823E-2</v>
      </c>
      <c r="Q1732" t="s">
        <v>159</v>
      </c>
    </row>
    <row r="1733" spans="9:17" x14ac:dyDescent="0.45">
      <c r="I1733" t="s">
        <v>187</v>
      </c>
      <c r="J1733" t="s">
        <v>293</v>
      </c>
      <c r="K1733">
        <v>0</v>
      </c>
      <c r="L1733" t="s">
        <v>159</v>
      </c>
      <c r="N1733" t="s">
        <v>230</v>
      </c>
      <c r="O1733" t="s">
        <v>293</v>
      </c>
      <c r="P1733">
        <v>5.7300243114411144E-3</v>
      </c>
      <c r="Q1733" t="s">
        <v>159</v>
      </c>
    </row>
    <row r="1734" spans="9:17" x14ac:dyDescent="0.45">
      <c r="I1734" t="s">
        <v>187</v>
      </c>
      <c r="J1734" t="s">
        <v>294</v>
      </c>
      <c r="K1734">
        <v>1.157195581962697E-3</v>
      </c>
      <c r="L1734" t="s">
        <v>159</v>
      </c>
      <c r="N1734" t="s">
        <v>230</v>
      </c>
      <c r="O1734" t="s">
        <v>294</v>
      </c>
      <c r="P1734">
        <v>6.9400525398778873E-4</v>
      </c>
      <c r="Q1734" t="s">
        <v>159</v>
      </c>
    </row>
    <row r="1735" spans="9:17" x14ac:dyDescent="0.45">
      <c r="I1735" t="s">
        <v>187</v>
      </c>
      <c r="J1735" t="s">
        <v>295</v>
      </c>
      <c r="K1735">
        <v>1.5081415878268008E-2</v>
      </c>
      <c r="L1735" t="s">
        <v>159</v>
      </c>
      <c r="N1735" t="s">
        <v>230</v>
      </c>
      <c r="O1735" t="s">
        <v>295</v>
      </c>
      <c r="P1735">
        <v>7.4566703319222513E-3</v>
      </c>
      <c r="Q1735" t="s">
        <v>159</v>
      </c>
    </row>
    <row r="1736" spans="9:17" x14ac:dyDescent="0.45">
      <c r="I1736" t="s">
        <v>187</v>
      </c>
      <c r="J1736" t="s">
        <v>296</v>
      </c>
      <c r="K1736">
        <v>1.2261623440539798E-3</v>
      </c>
      <c r="L1736" t="s">
        <v>159</v>
      </c>
      <c r="N1736" t="s">
        <v>230</v>
      </c>
      <c r="O1736" t="s">
        <v>296</v>
      </c>
      <c r="P1736">
        <v>1.0076988776508478E-3</v>
      </c>
      <c r="Q1736" t="s">
        <v>159</v>
      </c>
    </row>
    <row r="1737" spans="9:17" x14ac:dyDescent="0.45">
      <c r="I1737" t="s">
        <v>187</v>
      </c>
      <c r="J1737" t="s">
        <v>297</v>
      </c>
      <c r="K1737">
        <v>0</v>
      </c>
      <c r="L1737" t="s">
        <v>159</v>
      </c>
      <c r="N1737" t="s">
        <v>230</v>
      </c>
      <c r="O1737" t="s">
        <v>297</v>
      </c>
      <c r="P1737">
        <v>1.1784845592054676E-3</v>
      </c>
      <c r="Q1737" t="s">
        <v>159</v>
      </c>
    </row>
    <row r="1738" spans="9:17" x14ac:dyDescent="0.45">
      <c r="I1738" t="s">
        <v>187</v>
      </c>
      <c r="J1738" t="s">
        <v>311</v>
      </c>
      <c r="K1738">
        <v>0</v>
      </c>
      <c r="L1738" t="s">
        <v>159</v>
      </c>
      <c r="N1738" t="s">
        <v>230</v>
      </c>
      <c r="O1738" t="s">
        <v>311</v>
      </c>
      <c r="P1738">
        <v>5.9319939846758521E-3</v>
      </c>
      <c r="Q1738" t="s">
        <v>159</v>
      </c>
    </row>
    <row r="1739" spans="9:17" x14ac:dyDescent="0.45">
      <c r="I1739" t="s">
        <v>187</v>
      </c>
      <c r="J1739" t="s">
        <v>298</v>
      </c>
      <c r="K1739">
        <v>1.3212123502710961E-2</v>
      </c>
      <c r="L1739" t="s">
        <v>159</v>
      </c>
      <c r="N1739" t="s">
        <v>230</v>
      </c>
      <c r="O1739" t="s">
        <v>298</v>
      </c>
      <c r="P1739">
        <v>9.3240069181644875E-2</v>
      </c>
      <c r="Q1739" t="s">
        <v>159</v>
      </c>
    </row>
    <row r="1740" spans="9:17" x14ac:dyDescent="0.45">
      <c r="I1740" t="s">
        <v>187</v>
      </c>
      <c r="J1740" t="s">
        <v>299</v>
      </c>
      <c r="K1740">
        <v>2.0869569572710751E-2</v>
      </c>
      <c r="L1740" t="s">
        <v>159</v>
      </c>
      <c r="N1740" t="s">
        <v>230</v>
      </c>
      <c r="O1740" t="s">
        <v>299</v>
      </c>
      <c r="P1740">
        <v>1.1924280063087843E-2</v>
      </c>
      <c r="Q1740" t="s">
        <v>159</v>
      </c>
    </row>
    <row r="1741" spans="9:17" x14ac:dyDescent="0.45">
      <c r="I1741" t="s">
        <v>187</v>
      </c>
      <c r="J1741" t="s">
        <v>300</v>
      </c>
      <c r="K1741">
        <v>0.24471980640589758</v>
      </c>
      <c r="L1741" t="s">
        <v>159</v>
      </c>
      <c r="N1741" t="s">
        <v>230</v>
      </c>
      <c r="O1741" t="s">
        <v>300</v>
      </c>
      <c r="P1741">
        <v>8.9348722317395171E-2</v>
      </c>
      <c r="Q1741" t="s">
        <v>159</v>
      </c>
    </row>
    <row r="1742" spans="9:17" x14ac:dyDescent="0.45">
      <c r="I1742" t="s">
        <v>187</v>
      </c>
      <c r="J1742" t="s">
        <v>301</v>
      </c>
      <c r="K1742">
        <v>2.0411958165415665E-2</v>
      </c>
      <c r="L1742" t="s">
        <v>159</v>
      </c>
      <c r="N1742" t="s">
        <v>230</v>
      </c>
      <c r="O1742" t="s">
        <v>301</v>
      </c>
      <c r="P1742">
        <v>1.2130511732168404E-2</v>
      </c>
      <c r="Q1742" t="s">
        <v>159</v>
      </c>
    </row>
    <row r="1743" spans="9:17" x14ac:dyDescent="0.45">
      <c r="I1743" t="s">
        <v>187</v>
      </c>
      <c r="J1743" t="s">
        <v>302</v>
      </c>
      <c r="K1743">
        <v>8.8854031485518289E-3</v>
      </c>
      <c r="L1743" t="s">
        <v>159</v>
      </c>
      <c r="N1743" t="s">
        <v>230</v>
      </c>
      <c r="O1743" t="s">
        <v>302</v>
      </c>
      <c r="P1743">
        <v>1.5722100202335665E-2</v>
      </c>
      <c r="Q1743" t="s">
        <v>159</v>
      </c>
    </row>
    <row r="1744" spans="9:17" x14ac:dyDescent="0.45">
      <c r="I1744" t="s">
        <v>187</v>
      </c>
      <c r="J1744" t="s">
        <v>312</v>
      </c>
      <c r="K1744">
        <v>0</v>
      </c>
      <c r="L1744" t="s">
        <v>159</v>
      </c>
      <c r="N1744" t="s">
        <v>230</v>
      </c>
      <c r="O1744" t="s">
        <v>312</v>
      </c>
      <c r="P1744">
        <v>9.3092959551728388E-2</v>
      </c>
      <c r="Q1744" t="s">
        <v>159</v>
      </c>
    </row>
    <row r="1745" spans="9:17" x14ac:dyDescent="0.45">
      <c r="I1745" t="s">
        <v>187</v>
      </c>
      <c r="J1745" t="s">
        <v>397</v>
      </c>
      <c r="K1745">
        <v>0</v>
      </c>
      <c r="L1745" t="s">
        <v>159</v>
      </c>
      <c r="N1745" t="s">
        <v>230</v>
      </c>
      <c r="O1745" t="s">
        <v>397</v>
      </c>
      <c r="P1745">
        <v>1.4002895551733485E-4</v>
      </c>
      <c r="Q1745" t="s">
        <v>159</v>
      </c>
    </row>
    <row r="1746" spans="9:17" x14ac:dyDescent="0.45">
      <c r="I1746" t="s">
        <v>187</v>
      </c>
      <c r="J1746" t="s">
        <v>398</v>
      </c>
      <c r="K1746">
        <v>0</v>
      </c>
      <c r="L1746" t="s">
        <v>159</v>
      </c>
      <c r="N1746" t="s">
        <v>230</v>
      </c>
      <c r="O1746" t="s">
        <v>398</v>
      </c>
      <c r="P1746">
        <v>1.2004633392159732E-4</v>
      </c>
      <c r="Q1746" t="s">
        <v>159</v>
      </c>
    </row>
    <row r="1747" spans="9:17" x14ac:dyDescent="0.45">
      <c r="I1747" t="s">
        <v>187</v>
      </c>
      <c r="J1747" t="s">
        <v>399</v>
      </c>
      <c r="K1747">
        <v>0</v>
      </c>
      <c r="L1747" t="s">
        <v>159</v>
      </c>
      <c r="N1747" t="s">
        <v>230</v>
      </c>
      <c r="O1747" t="s">
        <v>399</v>
      </c>
      <c r="P1747">
        <v>1.1172201195306317E-4</v>
      </c>
      <c r="Q1747" t="s">
        <v>159</v>
      </c>
    </row>
    <row r="1748" spans="9:17" x14ac:dyDescent="0.45">
      <c r="I1748" t="s">
        <v>187</v>
      </c>
      <c r="J1748" t="s">
        <v>400</v>
      </c>
      <c r="K1748">
        <v>0</v>
      </c>
      <c r="L1748" t="s">
        <v>159</v>
      </c>
      <c r="N1748" t="s">
        <v>230</v>
      </c>
      <c r="O1748" t="s">
        <v>400</v>
      </c>
      <c r="P1748">
        <v>1.0503254599292285E-4</v>
      </c>
      <c r="Q1748" t="s">
        <v>159</v>
      </c>
    </row>
    <row r="1749" spans="9:17" x14ac:dyDescent="0.45">
      <c r="I1749" t="s">
        <v>187</v>
      </c>
      <c r="J1749" t="s">
        <v>401</v>
      </c>
      <c r="K1749">
        <v>0</v>
      </c>
      <c r="L1749" t="s">
        <v>159</v>
      </c>
      <c r="N1749" t="s">
        <v>230</v>
      </c>
      <c r="O1749" t="s">
        <v>401</v>
      </c>
      <c r="P1749">
        <v>9.0127856134399837E-5</v>
      </c>
      <c r="Q1749" t="s">
        <v>159</v>
      </c>
    </row>
    <row r="1750" spans="9:17" x14ac:dyDescent="0.45">
      <c r="I1750" t="s">
        <v>187</v>
      </c>
      <c r="J1750" t="s">
        <v>402</v>
      </c>
      <c r="K1750">
        <v>0</v>
      </c>
      <c r="L1750" t="s">
        <v>159</v>
      </c>
      <c r="N1750" t="s">
        <v>230</v>
      </c>
      <c r="O1750" t="s">
        <v>402</v>
      </c>
      <c r="P1750">
        <v>7.8699959447258146E-5</v>
      </c>
      <c r="Q1750" t="s">
        <v>159</v>
      </c>
    </row>
    <row r="1751" spans="9:17" x14ac:dyDescent="0.45">
      <c r="I1751" t="s">
        <v>187</v>
      </c>
      <c r="J1751" t="s">
        <v>403</v>
      </c>
      <c r="K1751">
        <v>0</v>
      </c>
      <c r="L1751" t="s">
        <v>159</v>
      </c>
      <c r="N1751" t="s">
        <v>230</v>
      </c>
      <c r="O1751" t="s">
        <v>403</v>
      </c>
      <c r="P1751">
        <v>7.2817670010932509E-5</v>
      </c>
      <c r="Q1751" t="s">
        <v>159</v>
      </c>
    </row>
    <row r="1752" spans="9:17" x14ac:dyDescent="0.45">
      <c r="I1752" t="s">
        <v>187</v>
      </c>
      <c r="J1752" t="s">
        <v>404</v>
      </c>
      <c r="K1752">
        <v>2.3846541970785109E-4</v>
      </c>
      <c r="L1752" t="s">
        <v>159</v>
      </c>
      <c r="N1752" t="s">
        <v>230</v>
      </c>
      <c r="O1752" t="s">
        <v>404</v>
      </c>
      <c r="P1752">
        <v>6.1153455091000626E-5</v>
      </c>
      <c r="Q1752" t="s">
        <v>159</v>
      </c>
    </row>
    <row r="1753" spans="9:17" x14ac:dyDescent="0.45">
      <c r="I1753" t="s">
        <v>187</v>
      </c>
      <c r="J1753" t="s">
        <v>405</v>
      </c>
      <c r="K1753">
        <v>2.7765682669481621E-4</v>
      </c>
      <c r="L1753" t="s">
        <v>159</v>
      </c>
      <c r="N1753" t="s">
        <v>230</v>
      </c>
      <c r="O1753" t="s">
        <v>405</v>
      </c>
      <c r="P1753">
        <v>4.1477122369468545E-5</v>
      </c>
      <c r="Q1753" t="s">
        <v>159</v>
      </c>
    </row>
    <row r="1754" spans="9:17" x14ac:dyDescent="0.45">
      <c r="I1754" t="s">
        <v>187</v>
      </c>
      <c r="J1754" t="s">
        <v>406</v>
      </c>
      <c r="K1754">
        <v>2.8164281180535533E-4</v>
      </c>
      <c r="L1754" t="s">
        <v>159</v>
      </c>
      <c r="N1754" t="s">
        <v>230</v>
      </c>
      <c r="O1754" t="s">
        <v>406</v>
      </c>
      <c r="P1754">
        <v>7.5960409597224679E-5</v>
      </c>
      <c r="Q1754" t="s">
        <v>159</v>
      </c>
    </row>
    <row r="1755" spans="9:17" x14ac:dyDescent="0.45">
      <c r="I1755" t="s">
        <v>187</v>
      </c>
      <c r="J1755" t="s">
        <v>407</v>
      </c>
      <c r="K1755">
        <v>2.8467327652639802E-4</v>
      </c>
      <c r="L1755" t="s">
        <v>159</v>
      </c>
      <c r="N1755" t="s">
        <v>230</v>
      </c>
      <c r="O1755" t="s">
        <v>407</v>
      </c>
      <c r="P1755">
        <v>1.156723819597348E-4</v>
      </c>
      <c r="Q1755" t="s">
        <v>159</v>
      </c>
    </row>
    <row r="1756" spans="9:17" x14ac:dyDescent="0.45">
      <c r="I1756" t="s">
        <v>187</v>
      </c>
      <c r="J1756" t="s">
        <v>408</v>
      </c>
      <c r="K1756">
        <v>2.9890129306730422E-4</v>
      </c>
      <c r="L1756" t="s">
        <v>159</v>
      </c>
      <c r="N1756" t="s">
        <v>230</v>
      </c>
      <c r="O1756" t="s">
        <v>408</v>
      </c>
      <c r="P1756">
        <v>1.398482810897889E-4</v>
      </c>
      <c r="Q1756" t="s">
        <v>159</v>
      </c>
    </row>
    <row r="1757" spans="9:17" x14ac:dyDescent="0.45">
      <c r="I1757" t="s">
        <v>187</v>
      </c>
      <c r="J1757" t="s">
        <v>409</v>
      </c>
      <c r="K1757">
        <v>3.2505590859039485E-4</v>
      </c>
      <c r="L1757" t="s">
        <v>159</v>
      </c>
      <c r="N1757" t="s">
        <v>230</v>
      </c>
      <c r="O1757" t="s">
        <v>409</v>
      </c>
      <c r="P1757">
        <v>1.1350446051877168E-4</v>
      </c>
      <c r="Q1757" t="s">
        <v>159</v>
      </c>
    </row>
    <row r="1758" spans="9:17" x14ac:dyDescent="0.45">
      <c r="I1758" t="s">
        <v>187</v>
      </c>
      <c r="J1758" t="s">
        <v>410</v>
      </c>
      <c r="K1758">
        <v>2.9673248109501091E-4</v>
      </c>
      <c r="L1758" t="s">
        <v>159</v>
      </c>
      <c r="N1758" t="s">
        <v>230</v>
      </c>
      <c r="O1758" t="s">
        <v>410</v>
      </c>
      <c r="P1758">
        <v>1.0611593859341483E-4</v>
      </c>
      <c r="Q1758" t="s">
        <v>159</v>
      </c>
    </row>
    <row r="1759" spans="9:17" x14ac:dyDescent="0.45">
      <c r="I1759" t="s">
        <v>187</v>
      </c>
      <c r="J1759" t="s">
        <v>411</v>
      </c>
      <c r="K1759">
        <v>2.7769758151779288E-4</v>
      </c>
      <c r="L1759" t="s">
        <v>159</v>
      </c>
      <c r="N1759" t="s">
        <v>230</v>
      </c>
      <c r="O1759" t="s">
        <v>411</v>
      </c>
      <c r="P1759">
        <v>1.1225471873688008E-4</v>
      </c>
      <c r="Q1759" t="s">
        <v>159</v>
      </c>
    </row>
    <row r="1760" spans="9:17" x14ac:dyDescent="0.45">
      <c r="I1760" t="s">
        <v>187</v>
      </c>
      <c r="J1760" t="s">
        <v>412</v>
      </c>
      <c r="K1760">
        <v>2.7301627978523215E-4</v>
      </c>
      <c r="L1760" t="s">
        <v>159</v>
      </c>
      <c r="N1760" t="s">
        <v>230</v>
      </c>
      <c r="O1760" t="s">
        <v>412</v>
      </c>
      <c r="P1760">
        <v>1.2443648528133176E-4</v>
      </c>
      <c r="Q1760" t="s">
        <v>159</v>
      </c>
    </row>
    <row r="1761" spans="9:17" x14ac:dyDescent="0.45">
      <c r="I1761" t="s">
        <v>187</v>
      </c>
      <c r="J1761" t="s">
        <v>413</v>
      </c>
      <c r="K1761">
        <v>2.7428181491906888E-4</v>
      </c>
      <c r="L1761" t="s">
        <v>159</v>
      </c>
      <c r="N1761" t="s">
        <v>230</v>
      </c>
      <c r="O1761" t="s">
        <v>413</v>
      </c>
      <c r="P1761">
        <v>1.443549129113523E-4</v>
      </c>
      <c r="Q1761" t="s">
        <v>159</v>
      </c>
    </row>
    <row r="1762" spans="9:17" x14ac:dyDescent="0.45">
      <c r="I1762" t="s">
        <v>187</v>
      </c>
      <c r="J1762" t="s">
        <v>414</v>
      </c>
      <c r="K1762">
        <v>2.2735872570444799E-4</v>
      </c>
      <c r="L1762" t="s">
        <v>159</v>
      </c>
      <c r="N1762" t="s">
        <v>230</v>
      </c>
      <c r="O1762" t="s">
        <v>414</v>
      </c>
      <c r="P1762">
        <v>1.6586971729729981E-4</v>
      </c>
      <c r="Q1762" t="s">
        <v>159</v>
      </c>
    </row>
    <row r="1763" spans="9:17" x14ac:dyDescent="0.45">
      <c r="I1763" t="s">
        <v>187</v>
      </c>
      <c r="J1763" t="s">
        <v>415</v>
      </c>
      <c r="K1763">
        <v>0</v>
      </c>
      <c r="L1763" t="s">
        <v>159</v>
      </c>
      <c r="N1763" t="s">
        <v>230</v>
      </c>
      <c r="O1763" t="s">
        <v>415</v>
      </c>
      <c r="P1763">
        <v>2.3666253038024702E-4</v>
      </c>
      <c r="Q1763" t="s">
        <v>159</v>
      </c>
    </row>
    <row r="1764" spans="9:17" x14ac:dyDescent="0.45">
      <c r="I1764" t="s">
        <v>187</v>
      </c>
      <c r="J1764" t="s">
        <v>416</v>
      </c>
      <c r="K1764">
        <v>0</v>
      </c>
      <c r="L1764" t="s">
        <v>159</v>
      </c>
      <c r="N1764" t="s">
        <v>230</v>
      </c>
      <c r="O1764" t="s">
        <v>416</v>
      </c>
      <c r="P1764">
        <v>2.9902818415942172E-4</v>
      </c>
      <c r="Q1764" t="s">
        <v>159</v>
      </c>
    </row>
    <row r="1765" spans="9:17" x14ac:dyDescent="0.45">
      <c r="I1765" t="s">
        <v>187</v>
      </c>
      <c r="J1765" t="s">
        <v>417</v>
      </c>
      <c r="K1765">
        <v>0</v>
      </c>
      <c r="L1765" t="s">
        <v>159</v>
      </c>
      <c r="N1765" t="s">
        <v>230</v>
      </c>
      <c r="O1765" t="s">
        <v>417</v>
      </c>
      <c r="P1765">
        <v>3.0484073540137555E-4</v>
      </c>
      <c r="Q1765" t="s">
        <v>159</v>
      </c>
    </row>
    <row r="1766" spans="9:17" x14ac:dyDescent="0.45">
      <c r="I1766" t="s">
        <v>187</v>
      </c>
      <c r="J1766" t="s">
        <v>418</v>
      </c>
      <c r="K1766">
        <v>0</v>
      </c>
      <c r="L1766" t="s">
        <v>159</v>
      </c>
      <c r="N1766" t="s">
        <v>230</v>
      </c>
      <c r="O1766" t="s">
        <v>418</v>
      </c>
      <c r="P1766">
        <v>2.9602700130843554E-4</v>
      </c>
      <c r="Q1766" t="s">
        <v>159</v>
      </c>
    </row>
    <row r="1767" spans="9:17" x14ac:dyDescent="0.45">
      <c r="I1767" t="s">
        <v>187</v>
      </c>
      <c r="J1767" t="s">
        <v>419</v>
      </c>
      <c r="K1767">
        <v>0</v>
      </c>
      <c r="L1767" t="s">
        <v>159</v>
      </c>
      <c r="N1767" t="s">
        <v>230</v>
      </c>
      <c r="O1767" t="s">
        <v>419</v>
      </c>
      <c r="P1767">
        <v>2.8152732896064936E-4</v>
      </c>
      <c r="Q1767" t="s">
        <v>159</v>
      </c>
    </row>
    <row r="1768" spans="9:17" x14ac:dyDescent="0.45">
      <c r="I1768" t="s">
        <v>187</v>
      </c>
      <c r="J1768" t="s">
        <v>420</v>
      </c>
      <c r="K1768">
        <v>0</v>
      </c>
      <c r="L1768" t="s">
        <v>159</v>
      </c>
      <c r="N1768" t="s">
        <v>230</v>
      </c>
      <c r="O1768" t="s">
        <v>420</v>
      </c>
      <c r="P1768">
        <v>2.5554944149745729E-4</v>
      </c>
      <c r="Q1768" t="s">
        <v>159</v>
      </c>
    </row>
    <row r="1769" spans="9:17" x14ac:dyDescent="0.45">
      <c r="I1769" t="s">
        <v>187</v>
      </c>
      <c r="J1769" t="s">
        <v>313</v>
      </c>
      <c r="K1769">
        <v>6.8958046157379617E-3</v>
      </c>
      <c r="L1769" t="s">
        <v>159</v>
      </c>
      <c r="N1769" t="s">
        <v>230</v>
      </c>
      <c r="O1769" t="s">
        <v>313</v>
      </c>
      <c r="P1769">
        <v>2.0028721033635913E-2</v>
      </c>
      <c r="Q1769" t="s">
        <v>159</v>
      </c>
    </row>
    <row r="1770" spans="9:17" x14ac:dyDescent="0.45">
      <c r="I1770" t="s">
        <v>187</v>
      </c>
      <c r="J1770" t="s">
        <v>314</v>
      </c>
      <c r="K1770">
        <v>7.6850828956496363E-3</v>
      </c>
      <c r="L1770" t="s">
        <v>159</v>
      </c>
      <c r="N1770" t="s">
        <v>230</v>
      </c>
      <c r="O1770" t="s">
        <v>314</v>
      </c>
      <c r="P1770">
        <v>2.4026502666417977E-3</v>
      </c>
      <c r="Q1770" t="s">
        <v>159</v>
      </c>
    </row>
    <row r="1771" spans="9:17" x14ac:dyDescent="0.45">
      <c r="I1771" t="s">
        <v>187</v>
      </c>
      <c r="J1771" t="s">
        <v>315</v>
      </c>
      <c r="K1771">
        <v>8.4406818654747084E-2</v>
      </c>
      <c r="L1771" t="s">
        <v>159</v>
      </c>
      <c r="N1771" t="s">
        <v>230</v>
      </c>
      <c r="O1771" t="s">
        <v>315</v>
      </c>
      <c r="P1771">
        <v>2.0724097628219133E-2</v>
      </c>
      <c r="Q1771" t="s">
        <v>159</v>
      </c>
    </row>
    <row r="1772" spans="9:17" x14ac:dyDescent="0.45">
      <c r="I1772" t="s">
        <v>187</v>
      </c>
      <c r="J1772" t="s">
        <v>316</v>
      </c>
      <c r="K1772">
        <v>6.6939926374339131E-3</v>
      </c>
      <c r="L1772" t="s">
        <v>159</v>
      </c>
      <c r="N1772" t="s">
        <v>230</v>
      </c>
      <c r="O1772" t="s">
        <v>316</v>
      </c>
      <c r="P1772">
        <v>2.7239231257894241E-3</v>
      </c>
      <c r="Q1772" t="s">
        <v>159</v>
      </c>
    </row>
    <row r="1773" spans="9:17" x14ac:dyDescent="0.45">
      <c r="I1773" t="s">
        <v>187</v>
      </c>
      <c r="J1773" t="s">
        <v>317</v>
      </c>
      <c r="K1773">
        <v>5.0327768415964385E-3</v>
      </c>
      <c r="L1773" t="s">
        <v>159</v>
      </c>
      <c r="N1773" t="s">
        <v>230</v>
      </c>
      <c r="O1773" t="s">
        <v>317</v>
      </c>
      <c r="P1773">
        <v>3.0422707932783884E-3</v>
      </c>
      <c r="Q1773" t="s">
        <v>159</v>
      </c>
    </row>
    <row r="1774" spans="9:17" x14ac:dyDescent="0.45">
      <c r="I1774" t="s">
        <v>187</v>
      </c>
      <c r="J1774" t="s">
        <v>318</v>
      </c>
      <c r="K1774">
        <v>1.6012103739210558E-3</v>
      </c>
      <c r="L1774" t="s">
        <v>159</v>
      </c>
      <c r="N1774" t="s">
        <v>230</v>
      </c>
      <c r="O1774" t="s">
        <v>318</v>
      </c>
      <c r="P1774">
        <v>1.841410215991969E-2</v>
      </c>
      <c r="Q1774" t="s">
        <v>159</v>
      </c>
    </row>
    <row r="1775" spans="9:17" x14ac:dyDescent="0.45">
      <c r="I1775" t="s">
        <v>188</v>
      </c>
      <c r="J1775" t="s">
        <v>158</v>
      </c>
      <c r="K1775">
        <v>1.345226520987888E-3</v>
      </c>
      <c r="L1775" t="s">
        <v>159</v>
      </c>
      <c r="N1775" t="s">
        <v>231</v>
      </c>
      <c r="O1775" t="s">
        <v>158</v>
      </c>
      <c r="P1775">
        <v>9.0335254982754118E-2</v>
      </c>
      <c r="Q1775" t="s">
        <v>159</v>
      </c>
    </row>
    <row r="1776" spans="9:17" x14ac:dyDescent="0.45">
      <c r="I1776" t="s">
        <v>188</v>
      </c>
      <c r="J1776" t="s">
        <v>160</v>
      </c>
      <c r="K1776">
        <v>1.9609345656013855E-2</v>
      </c>
      <c r="L1776" t="s">
        <v>159</v>
      </c>
      <c r="N1776" t="s">
        <v>231</v>
      </c>
      <c r="O1776" t="s">
        <v>160</v>
      </c>
      <c r="P1776">
        <v>6.6153073612108433E-3</v>
      </c>
      <c r="Q1776" t="s">
        <v>159</v>
      </c>
    </row>
    <row r="1777" spans="9:17" x14ac:dyDescent="0.45">
      <c r="I1777" t="s">
        <v>188</v>
      </c>
      <c r="J1777" t="s">
        <v>161</v>
      </c>
      <c r="K1777">
        <v>0.40478667089616188</v>
      </c>
      <c r="L1777" t="s">
        <v>159</v>
      </c>
      <c r="N1777" t="s">
        <v>231</v>
      </c>
      <c r="O1777" t="s">
        <v>161</v>
      </c>
      <c r="P1777">
        <v>8.0937205830044531E-2</v>
      </c>
      <c r="Q1777" t="s">
        <v>159</v>
      </c>
    </row>
    <row r="1778" spans="9:17" x14ac:dyDescent="0.45">
      <c r="I1778" t="s">
        <v>188</v>
      </c>
      <c r="J1778" t="s">
        <v>287</v>
      </c>
      <c r="K1778">
        <v>3.41486572079788E-2</v>
      </c>
      <c r="L1778" t="s">
        <v>159</v>
      </c>
      <c r="N1778" t="s">
        <v>231</v>
      </c>
      <c r="O1778" t="s">
        <v>287</v>
      </c>
      <c r="P1778">
        <v>1.4143441366781112E-2</v>
      </c>
      <c r="Q1778" t="s">
        <v>159</v>
      </c>
    </row>
    <row r="1779" spans="9:17" x14ac:dyDescent="0.45">
      <c r="I1779" t="s">
        <v>188</v>
      </c>
      <c r="J1779" t="s">
        <v>288</v>
      </c>
      <c r="K1779">
        <v>1.7408317724154004E-2</v>
      </c>
      <c r="L1779" t="s">
        <v>159</v>
      </c>
      <c r="N1779" t="s">
        <v>231</v>
      </c>
      <c r="O1779" t="s">
        <v>288</v>
      </c>
      <c r="P1779">
        <v>1.9983803365924511E-2</v>
      </c>
      <c r="Q1779" t="s">
        <v>159</v>
      </c>
    </row>
    <row r="1780" spans="9:17" x14ac:dyDescent="0.45">
      <c r="I1780" t="s">
        <v>188</v>
      </c>
      <c r="J1780" t="s">
        <v>308</v>
      </c>
      <c r="K1780">
        <v>4.2898220141279041E-3</v>
      </c>
      <c r="L1780" t="s">
        <v>159</v>
      </c>
      <c r="N1780" t="s">
        <v>231</v>
      </c>
      <c r="O1780" t="s">
        <v>308</v>
      </c>
      <c r="P1780">
        <v>0.15464739496297644</v>
      </c>
      <c r="Q1780" t="s">
        <v>159</v>
      </c>
    </row>
    <row r="1781" spans="9:17" x14ac:dyDescent="0.45">
      <c r="I1781" t="s">
        <v>188</v>
      </c>
      <c r="J1781" t="s">
        <v>162</v>
      </c>
      <c r="K1781">
        <v>0</v>
      </c>
      <c r="L1781" t="s">
        <v>159</v>
      </c>
      <c r="N1781" t="s">
        <v>231</v>
      </c>
      <c r="O1781" t="s">
        <v>162</v>
      </c>
      <c r="P1781">
        <v>1.2086718819312772E-2</v>
      </c>
      <c r="Q1781" t="s">
        <v>159</v>
      </c>
    </row>
    <row r="1782" spans="9:17" x14ac:dyDescent="0.45">
      <c r="I1782" t="s">
        <v>188</v>
      </c>
      <c r="J1782" t="s">
        <v>163</v>
      </c>
      <c r="K1782">
        <v>0</v>
      </c>
      <c r="L1782" t="s">
        <v>159</v>
      </c>
      <c r="N1782" t="s">
        <v>231</v>
      </c>
      <c r="O1782" t="s">
        <v>163</v>
      </c>
      <c r="P1782">
        <v>7.9721195029722365E-4</v>
      </c>
      <c r="Q1782" t="s">
        <v>159</v>
      </c>
    </row>
    <row r="1783" spans="9:17" x14ac:dyDescent="0.45">
      <c r="I1783" t="s">
        <v>188</v>
      </c>
      <c r="J1783" t="s">
        <v>164</v>
      </c>
      <c r="K1783">
        <v>5.0464613719926554E-2</v>
      </c>
      <c r="L1783" t="s">
        <v>159</v>
      </c>
      <c r="N1783" t="s">
        <v>231</v>
      </c>
      <c r="O1783" t="s">
        <v>164</v>
      </c>
      <c r="P1783">
        <v>1.3454573045548941E-2</v>
      </c>
      <c r="Q1783" t="s">
        <v>159</v>
      </c>
    </row>
    <row r="1784" spans="9:17" x14ac:dyDescent="0.45">
      <c r="I1784" t="s">
        <v>188</v>
      </c>
      <c r="J1784" t="s">
        <v>289</v>
      </c>
      <c r="K1784">
        <v>4.0004448073875671E-3</v>
      </c>
      <c r="L1784" t="s">
        <v>159</v>
      </c>
      <c r="N1784" t="s">
        <v>231</v>
      </c>
      <c r="O1784" t="s">
        <v>289</v>
      </c>
      <c r="P1784">
        <v>2.2723310634907195E-3</v>
      </c>
      <c r="Q1784" t="s">
        <v>159</v>
      </c>
    </row>
    <row r="1785" spans="9:17" x14ac:dyDescent="0.45">
      <c r="I1785" t="s">
        <v>188</v>
      </c>
      <c r="J1785" t="s">
        <v>290</v>
      </c>
      <c r="K1785">
        <v>0</v>
      </c>
      <c r="L1785" t="s">
        <v>159</v>
      </c>
      <c r="N1785" t="s">
        <v>231</v>
      </c>
      <c r="O1785" t="s">
        <v>290</v>
      </c>
      <c r="P1785">
        <v>3.4285641950346896E-3</v>
      </c>
      <c r="Q1785" t="s">
        <v>159</v>
      </c>
    </row>
    <row r="1786" spans="9:17" x14ac:dyDescent="0.45">
      <c r="I1786" t="s">
        <v>188</v>
      </c>
      <c r="J1786" t="s">
        <v>309</v>
      </c>
      <c r="K1786">
        <v>0</v>
      </c>
      <c r="L1786" t="s">
        <v>159</v>
      </c>
      <c r="N1786" t="s">
        <v>231</v>
      </c>
      <c r="O1786" t="s">
        <v>309</v>
      </c>
      <c r="P1786">
        <v>2.0013444435229285E-2</v>
      </c>
      <c r="Q1786" t="s">
        <v>159</v>
      </c>
    </row>
    <row r="1787" spans="9:17" x14ac:dyDescent="0.45">
      <c r="I1787" t="s">
        <v>188</v>
      </c>
      <c r="J1787" t="s">
        <v>346</v>
      </c>
      <c r="K1787">
        <v>0</v>
      </c>
      <c r="L1787" t="s">
        <v>159</v>
      </c>
      <c r="N1787" t="s">
        <v>231</v>
      </c>
      <c r="O1787" t="s">
        <v>346</v>
      </c>
      <c r="P1787">
        <v>1.4316213584508882E-4</v>
      </c>
      <c r="Q1787" t="s">
        <v>159</v>
      </c>
    </row>
    <row r="1788" spans="9:17" x14ac:dyDescent="0.45">
      <c r="I1788" t="s">
        <v>188</v>
      </c>
      <c r="J1788" t="s">
        <v>347</v>
      </c>
      <c r="K1788">
        <v>0</v>
      </c>
      <c r="L1788" t="s">
        <v>159</v>
      </c>
      <c r="N1788" t="s">
        <v>231</v>
      </c>
      <c r="O1788" t="s">
        <v>347</v>
      </c>
      <c r="P1788">
        <v>1.1236452801928167E-4</v>
      </c>
      <c r="Q1788" t="s">
        <v>159</v>
      </c>
    </row>
    <row r="1789" spans="9:17" x14ac:dyDescent="0.45">
      <c r="I1789" t="s">
        <v>188</v>
      </c>
      <c r="J1789" t="s">
        <v>348</v>
      </c>
      <c r="K1789">
        <v>0</v>
      </c>
      <c r="L1789" t="s">
        <v>159</v>
      </c>
      <c r="N1789" t="s">
        <v>231</v>
      </c>
      <c r="O1789" t="s">
        <v>348</v>
      </c>
      <c r="P1789">
        <v>7.712055652722786E-5</v>
      </c>
      <c r="Q1789" t="s">
        <v>159</v>
      </c>
    </row>
    <row r="1790" spans="9:17" x14ac:dyDescent="0.45">
      <c r="I1790" t="s">
        <v>188</v>
      </c>
      <c r="J1790" t="s">
        <v>349</v>
      </c>
      <c r="K1790">
        <v>0</v>
      </c>
      <c r="L1790" t="s">
        <v>159</v>
      </c>
      <c r="N1790" t="s">
        <v>231</v>
      </c>
      <c r="O1790" t="s">
        <v>349</v>
      </c>
      <c r="P1790">
        <v>5.25446916507803E-5</v>
      </c>
      <c r="Q1790" t="s">
        <v>159</v>
      </c>
    </row>
    <row r="1791" spans="9:17" x14ac:dyDescent="0.45">
      <c r="I1791" t="s">
        <v>188</v>
      </c>
      <c r="J1791" t="s">
        <v>350</v>
      </c>
      <c r="K1791">
        <v>0</v>
      </c>
      <c r="L1791" t="s">
        <v>159</v>
      </c>
      <c r="N1791" t="s">
        <v>231</v>
      </c>
      <c r="O1791" t="s">
        <v>350</v>
      </c>
      <c r="P1791">
        <v>3.3734823804936193E-5</v>
      </c>
      <c r="Q1791" t="s">
        <v>159</v>
      </c>
    </row>
    <row r="1792" spans="9:17" x14ac:dyDescent="0.45">
      <c r="I1792" t="s">
        <v>188</v>
      </c>
      <c r="J1792" t="s">
        <v>351</v>
      </c>
      <c r="K1792">
        <v>0</v>
      </c>
      <c r="L1792" t="s">
        <v>159</v>
      </c>
      <c r="N1792" t="s">
        <v>231</v>
      </c>
      <c r="O1792" t="s">
        <v>351</v>
      </c>
      <c r="P1792">
        <v>1.8356122718632594E-5</v>
      </c>
      <c r="Q1792" t="s">
        <v>159</v>
      </c>
    </row>
    <row r="1793" spans="9:17" x14ac:dyDescent="0.45">
      <c r="I1793" t="s">
        <v>188</v>
      </c>
      <c r="J1793" t="s">
        <v>352</v>
      </c>
      <c r="K1793">
        <v>0</v>
      </c>
      <c r="L1793" t="s">
        <v>159</v>
      </c>
      <c r="N1793" t="s">
        <v>231</v>
      </c>
      <c r="O1793" t="s">
        <v>352</v>
      </c>
      <c r="P1793">
        <v>7.9239350226546055E-6</v>
      </c>
      <c r="Q1793" t="s">
        <v>159</v>
      </c>
    </row>
    <row r="1794" spans="9:17" x14ac:dyDescent="0.45">
      <c r="I1794" t="s">
        <v>188</v>
      </c>
      <c r="J1794" t="s">
        <v>353</v>
      </c>
      <c r="K1794">
        <v>0</v>
      </c>
      <c r="L1794" t="s">
        <v>159</v>
      </c>
      <c r="N1794" t="s">
        <v>231</v>
      </c>
      <c r="O1794" t="s">
        <v>353</v>
      </c>
      <c r="P1794">
        <v>2.8667763001284511E-6</v>
      </c>
      <c r="Q1794" t="s">
        <v>159</v>
      </c>
    </row>
    <row r="1795" spans="9:17" x14ac:dyDescent="0.45">
      <c r="I1795" t="s">
        <v>188</v>
      </c>
      <c r="J1795" t="s">
        <v>354</v>
      </c>
      <c r="K1795">
        <v>1.5665654662182969E-4</v>
      </c>
      <c r="L1795" t="s">
        <v>159</v>
      </c>
      <c r="N1795" t="s">
        <v>231</v>
      </c>
      <c r="O1795" t="s">
        <v>354</v>
      </c>
      <c r="P1795">
        <v>7.6166801851210392E-7</v>
      </c>
      <c r="Q1795" t="s">
        <v>159</v>
      </c>
    </row>
    <row r="1796" spans="9:17" x14ac:dyDescent="0.45">
      <c r="I1796" t="s">
        <v>188</v>
      </c>
      <c r="J1796" t="s">
        <v>355</v>
      </c>
      <c r="K1796">
        <v>2.1222853001154934E-4</v>
      </c>
      <c r="L1796" t="s">
        <v>159</v>
      </c>
      <c r="N1796" t="s">
        <v>231</v>
      </c>
      <c r="O1796" t="s">
        <v>355</v>
      </c>
      <c r="P1796">
        <v>4.6004281486216744E-8</v>
      </c>
      <c r="Q1796" t="s">
        <v>159</v>
      </c>
    </row>
    <row r="1797" spans="9:17" x14ac:dyDescent="0.45">
      <c r="I1797" t="s">
        <v>188</v>
      </c>
      <c r="J1797" t="s">
        <v>356</v>
      </c>
      <c r="K1797">
        <v>2.2209818684097019E-4</v>
      </c>
      <c r="L1797" t="s">
        <v>159</v>
      </c>
      <c r="N1797" t="s">
        <v>231</v>
      </c>
      <c r="O1797" t="s">
        <v>356</v>
      </c>
      <c r="P1797">
        <v>2.6743872012939866E-7</v>
      </c>
      <c r="Q1797" t="s">
        <v>159</v>
      </c>
    </row>
    <row r="1798" spans="9:17" x14ac:dyDescent="0.45">
      <c r="I1798" t="s">
        <v>188</v>
      </c>
      <c r="J1798" t="s">
        <v>357</v>
      </c>
      <c r="K1798">
        <v>2.4346403545103212E-4</v>
      </c>
      <c r="L1798" t="s">
        <v>159</v>
      </c>
      <c r="N1798" t="s">
        <v>231</v>
      </c>
      <c r="O1798" t="s">
        <v>357</v>
      </c>
      <c r="P1798">
        <v>1.8472195527092415E-7</v>
      </c>
      <c r="Q1798" t="s">
        <v>159</v>
      </c>
    </row>
    <row r="1799" spans="9:17" x14ac:dyDescent="0.45">
      <c r="I1799" t="s">
        <v>188</v>
      </c>
      <c r="J1799" t="s">
        <v>358</v>
      </c>
      <c r="K1799">
        <v>2.8981660055579659E-4</v>
      </c>
      <c r="L1799" t="s">
        <v>159</v>
      </c>
      <c r="N1799" t="s">
        <v>231</v>
      </c>
      <c r="O1799" t="s">
        <v>358</v>
      </c>
      <c r="P1799">
        <v>6.9243800441567044E-9</v>
      </c>
      <c r="Q1799" t="s">
        <v>159</v>
      </c>
    </row>
    <row r="1800" spans="9:17" x14ac:dyDescent="0.45">
      <c r="I1800" t="s">
        <v>188</v>
      </c>
      <c r="J1800" t="s">
        <v>359</v>
      </c>
      <c r="K1800">
        <v>2.8004949231007838E-4</v>
      </c>
      <c r="L1800" t="s">
        <v>159</v>
      </c>
      <c r="N1800" t="s">
        <v>231</v>
      </c>
      <c r="O1800" t="s">
        <v>359</v>
      </c>
      <c r="P1800">
        <v>0</v>
      </c>
      <c r="Q1800" t="s">
        <v>159</v>
      </c>
    </row>
    <row r="1801" spans="9:17" x14ac:dyDescent="0.45">
      <c r="I1801" t="s">
        <v>188</v>
      </c>
      <c r="J1801" t="s">
        <v>360</v>
      </c>
      <c r="K1801">
        <v>1.8480406458397234E-4</v>
      </c>
      <c r="L1801" t="s">
        <v>159</v>
      </c>
      <c r="N1801" t="s">
        <v>231</v>
      </c>
      <c r="O1801" t="s">
        <v>360</v>
      </c>
      <c r="P1801">
        <v>1.9547398665171259E-8</v>
      </c>
      <c r="Q1801" t="s">
        <v>159</v>
      </c>
    </row>
    <row r="1802" spans="9:17" x14ac:dyDescent="0.45">
      <c r="I1802" t="s">
        <v>188</v>
      </c>
      <c r="J1802" t="s">
        <v>361</v>
      </c>
      <c r="K1802">
        <v>1.5344874783896343E-4</v>
      </c>
      <c r="L1802" t="s">
        <v>159</v>
      </c>
      <c r="N1802" t="s">
        <v>231</v>
      </c>
      <c r="O1802" t="s">
        <v>361</v>
      </c>
      <c r="P1802">
        <v>6.7006583609463338E-7</v>
      </c>
      <c r="Q1802" t="s">
        <v>159</v>
      </c>
    </row>
    <row r="1803" spans="9:17" x14ac:dyDescent="0.45">
      <c r="I1803" t="s">
        <v>188</v>
      </c>
      <c r="J1803" t="s">
        <v>362</v>
      </c>
      <c r="K1803">
        <v>1.2058805022056328E-4</v>
      </c>
      <c r="L1803" t="s">
        <v>159</v>
      </c>
      <c r="N1803" t="s">
        <v>231</v>
      </c>
      <c r="O1803" t="s">
        <v>362</v>
      </c>
      <c r="P1803">
        <v>5.1278353462057176E-6</v>
      </c>
      <c r="Q1803" t="s">
        <v>159</v>
      </c>
    </row>
    <row r="1804" spans="9:17" x14ac:dyDescent="0.45">
      <c r="I1804" t="s">
        <v>188</v>
      </c>
      <c r="J1804" t="s">
        <v>363</v>
      </c>
      <c r="K1804">
        <v>1.1745445238354347E-4</v>
      </c>
      <c r="L1804" t="s">
        <v>159</v>
      </c>
      <c r="N1804" t="s">
        <v>231</v>
      </c>
      <c r="O1804" t="s">
        <v>363</v>
      </c>
      <c r="P1804">
        <v>1.7608079120456285E-5</v>
      </c>
      <c r="Q1804" t="s">
        <v>159</v>
      </c>
    </row>
    <row r="1805" spans="9:17" x14ac:dyDescent="0.45">
      <c r="I1805" t="s">
        <v>188</v>
      </c>
      <c r="J1805" t="s">
        <v>364</v>
      </c>
      <c r="K1805">
        <v>0</v>
      </c>
      <c r="L1805" t="s">
        <v>159</v>
      </c>
      <c r="N1805" t="s">
        <v>231</v>
      </c>
      <c r="O1805" t="s">
        <v>364</v>
      </c>
      <c r="P1805">
        <v>5.2481262061587045E-5</v>
      </c>
      <c r="Q1805" t="s">
        <v>159</v>
      </c>
    </row>
    <row r="1806" spans="9:17" x14ac:dyDescent="0.45">
      <c r="I1806" t="s">
        <v>188</v>
      </c>
      <c r="J1806" t="s">
        <v>365</v>
      </c>
      <c r="K1806">
        <v>0</v>
      </c>
      <c r="L1806" t="s">
        <v>159</v>
      </c>
      <c r="N1806" t="s">
        <v>231</v>
      </c>
      <c r="O1806" t="s">
        <v>365</v>
      </c>
      <c r="P1806">
        <v>1.0367563395354234E-4</v>
      </c>
      <c r="Q1806" t="s">
        <v>159</v>
      </c>
    </row>
    <row r="1807" spans="9:17" x14ac:dyDescent="0.45">
      <c r="I1807" t="s">
        <v>188</v>
      </c>
      <c r="J1807" t="s">
        <v>366</v>
      </c>
      <c r="K1807">
        <v>0</v>
      </c>
      <c r="L1807" t="s">
        <v>159</v>
      </c>
      <c r="N1807" t="s">
        <v>231</v>
      </c>
      <c r="O1807" t="s">
        <v>366</v>
      </c>
      <c r="P1807">
        <v>1.7973413764301154E-4</v>
      </c>
      <c r="Q1807" t="s">
        <v>159</v>
      </c>
    </row>
    <row r="1808" spans="9:17" x14ac:dyDescent="0.45">
      <c r="I1808" t="s">
        <v>188</v>
      </c>
      <c r="J1808" t="s">
        <v>367</v>
      </c>
      <c r="K1808">
        <v>0</v>
      </c>
      <c r="L1808" t="s">
        <v>159</v>
      </c>
      <c r="N1808" t="s">
        <v>231</v>
      </c>
      <c r="O1808" t="s">
        <v>367</v>
      </c>
      <c r="P1808">
        <v>1.9608191077950609E-4</v>
      </c>
      <c r="Q1808" t="s">
        <v>159</v>
      </c>
    </row>
    <row r="1809" spans="9:17" x14ac:dyDescent="0.45">
      <c r="I1809" t="s">
        <v>188</v>
      </c>
      <c r="J1809" t="s">
        <v>368</v>
      </c>
      <c r="K1809">
        <v>0</v>
      </c>
      <c r="L1809" t="s">
        <v>159</v>
      </c>
      <c r="N1809" t="s">
        <v>231</v>
      </c>
      <c r="O1809" t="s">
        <v>368</v>
      </c>
      <c r="P1809">
        <v>1.8804702395390754E-4</v>
      </c>
      <c r="Q1809" t="s">
        <v>159</v>
      </c>
    </row>
    <row r="1810" spans="9:17" x14ac:dyDescent="0.45">
      <c r="I1810" t="s">
        <v>188</v>
      </c>
      <c r="J1810" t="s">
        <v>369</v>
      </c>
      <c r="K1810">
        <v>0</v>
      </c>
      <c r="L1810" t="s">
        <v>159</v>
      </c>
      <c r="N1810" t="s">
        <v>231</v>
      </c>
      <c r="O1810" t="s">
        <v>369</v>
      </c>
      <c r="P1810">
        <v>1.5211665487365752E-4</v>
      </c>
      <c r="Q1810" t="s">
        <v>159</v>
      </c>
    </row>
    <row r="1811" spans="9:17" x14ac:dyDescent="0.45">
      <c r="I1811" t="s">
        <v>188</v>
      </c>
      <c r="J1811" t="s">
        <v>165</v>
      </c>
      <c r="K1811">
        <v>0</v>
      </c>
      <c r="L1811" t="s">
        <v>159</v>
      </c>
      <c r="N1811" t="s">
        <v>231</v>
      </c>
      <c r="O1811" t="s">
        <v>165</v>
      </c>
      <c r="P1811">
        <v>1.7647904840585125E-2</v>
      </c>
      <c r="Q1811" t="s">
        <v>159</v>
      </c>
    </row>
    <row r="1812" spans="9:17" x14ac:dyDescent="0.45">
      <c r="I1812" t="s">
        <v>188</v>
      </c>
      <c r="J1812" t="s">
        <v>166</v>
      </c>
      <c r="K1812">
        <v>1.1213243106048645E-3</v>
      </c>
      <c r="L1812" t="s">
        <v>159</v>
      </c>
      <c r="N1812" t="s">
        <v>231</v>
      </c>
      <c r="O1812" t="s">
        <v>166</v>
      </c>
      <c r="P1812">
        <v>1.3658349532183567E-3</v>
      </c>
      <c r="Q1812" t="s">
        <v>159</v>
      </c>
    </row>
    <row r="1813" spans="9:17" x14ac:dyDescent="0.45">
      <c r="I1813" t="s">
        <v>188</v>
      </c>
      <c r="J1813" t="s">
        <v>167</v>
      </c>
      <c r="K1813">
        <v>6.2973595976949417E-2</v>
      </c>
      <c r="L1813" t="s">
        <v>159</v>
      </c>
      <c r="N1813" t="s">
        <v>231</v>
      </c>
      <c r="O1813" t="s">
        <v>167</v>
      </c>
      <c r="P1813">
        <v>1.9350853287434619E-2</v>
      </c>
      <c r="Q1813" t="s">
        <v>159</v>
      </c>
    </row>
    <row r="1814" spans="9:17" x14ac:dyDescent="0.45">
      <c r="I1814" t="s">
        <v>188</v>
      </c>
      <c r="J1814" t="s">
        <v>291</v>
      </c>
      <c r="K1814">
        <v>4.7451944215443111E-3</v>
      </c>
      <c r="L1814" t="s">
        <v>159</v>
      </c>
      <c r="N1814" t="s">
        <v>231</v>
      </c>
      <c r="O1814" t="s">
        <v>291</v>
      </c>
      <c r="P1814">
        <v>2.7924210762969057E-3</v>
      </c>
      <c r="Q1814" t="s">
        <v>159</v>
      </c>
    </row>
    <row r="1815" spans="9:17" x14ac:dyDescent="0.45">
      <c r="I1815" t="s">
        <v>188</v>
      </c>
      <c r="J1815" t="s">
        <v>292</v>
      </c>
      <c r="K1815">
        <v>4.4767044378690848E-4</v>
      </c>
      <c r="L1815" t="s">
        <v>159</v>
      </c>
      <c r="N1815" t="s">
        <v>231</v>
      </c>
      <c r="O1815" t="s">
        <v>292</v>
      </c>
      <c r="P1815">
        <v>4.3134562628445164E-3</v>
      </c>
      <c r="Q1815" t="s">
        <v>159</v>
      </c>
    </row>
    <row r="1816" spans="9:17" x14ac:dyDescent="0.45">
      <c r="I1816" t="s">
        <v>188</v>
      </c>
      <c r="J1816" t="s">
        <v>310</v>
      </c>
      <c r="K1816">
        <v>0</v>
      </c>
      <c r="L1816" t="s">
        <v>159</v>
      </c>
      <c r="N1816" t="s">
        <v>231</v>
      </c>
      <c r="O1816" t="s">
        <v>310</v>
      </c>
      <c r="P1816">
        <v>2.7694208531856352E-2</v>
      </c>
      <c r="Q1816" t="s">
        <v>159</v>
      </c>
    </row>
    <row r="1817" spans="9:17" x14ac:dyDescent="0.45">
      <c r="I1817" t="s">
        <v>188</v>
      </c>
      <c r="J1817" t="s">
        <v>293</v>
      </c>
      <c r="K1817">
        <v>0</v>
      </c>
      <c r="L1817" t="s">
        <v>159</v>
      </c>
      <c r="N1817" t="s">
        <v>231</v>
      </c>
      <c r="O1817" t="s">
        <v>293</v>
      </c>
      <c r="P1817">
        <v>6.5842034875059387E-3</v>
      </c>
      <c r="Q1817" t="s">
        <v>159</v>
      </c>
    </row>
    <row r="1818" spans="9:17" x14ac:dyDescent="0.45">
      <c r="I1818" t="s">
        <v>188</v>
      </c>
      <c r="J1818" t="s">
        <v>294</v>
      </c>
      <c r="K1818">
        <v>8.1645167899032224E-4</v>
      </c>
      <c r="L1818" t="s">
        <v>159</v>
      </c>
      <c r="N1818" t="s">
        <v>231</v>
      </c>
      <c r="O1818" t="s">
        <v>294</v>
      </c>
      <c r="P1818">
        <v>5.733116055503107E-4</v>
      </c>
      <c r="Q1818" t="s">
        <v>159</v>
      </c>
    </row>
    <row r="1819" spans="9:17" x14ac:dyDescent="0.45">
      <c r="I1819" t="s">
        <v>188</v>
      </c>
      <c r="J1819" t="s">
        <v>295</v>
      </c>
      <c r="K1819">
        <v>1.5525468755296448E-2</v>
      </c>
      <c r="L1819" t="s">
        <v>159</v>
      </c>
      <c r="N1819" t="s">
        <v>231</v>
      </c>
      <c r="O1819" t="s">
        <v>295</v>
      </c>
      <c r="P1819">
        <v>6.6107012473637268E-3</v>
      </c>
      <c r="Q1819" t="s">
        <v>159</v>
      </c>
    </row>
    <row r="1820" spans="9:17" x14ac:dyDescent="0.45">
      <c r="I1820" t="s">
        <v>188</v>
      </c>
      <c r="J1820" t="s">
        <v>296</v>
      </c>
      <c r="K1820">
        <v>1.1036214099173062E-3</v>
      </c>
      <c r="L1820" t="s">
        <v>159</v>
      </c>
      <c r="N1820" t="s">
        <v>231</v>
      </c>
      <c r="O1820" t="s">
        <v>296</v>
      </c>
      <c r="P1820">
        <v>1.0278622683239666E-3</v>
      </c>
      <c r="Q1820" t="s">
        <v>159</v>
      </c>
    </row>
    <row r="1821" spans="9:17" x14ac:dyDescent="0.45">
      <c r="I1821" t="s">
        <v>188</v>
      </c>
      <c r="J1821" t="s">
        <v>297</v>
      </c>
      <c r="K1821">
        <v>8.2541257755526422E-4</v>
      </c>
      <c r="L1821" t="s">
        <v>159</v>
      </c>
      <c r="N1821" t="s">
        <v>231</v>
      </c>
      <c r="O1821" t="s">
        <v>297</v>
      </c>
      <c r="P1821">
        <v>1.5022537890389584E-3</v>
      </c>
      <c r="Q1821" t="s">
        <v>159</v>
      </c>
    </row>
    <row r="1822" spans="9:17" x14ac:dyDescent="0.45">
      <c r="I1822" t="s">
        <v>188</v>
      </c>
      <c r="J1822" t="s">
        <v>311</v>
      </c>
      <c r="K1822">
        <v>0</v>
      </c>
      <c r="L1822" t="s">
        <v>159</v>
      </c>
      <c r="N1822" t="s">
        <v>231</v>
      </c>
      <c r="O1822" t="s">
        <v>311</v>
      </c>
      <c r="P1822">
        <v>1.0954755208815628E-2</v>
      </c>
      <c r="Q1822" t="s">
        <v>159</v>
      </c>
    </row>
    <row r="1823" spans="9:17" x14ac:dyDescent="0.45">
      <c r="I1823" t="s">
        <v>188</v>
      </c>
      <c r="J1823" t="s">
        <v>298</v>
      </c>
      <c r="K1823">
        <v>4.7797787196764401E-3</v>
      </c>
      <c r="L1823" t="s">
        <v>159</v>
      </c>
      <c r="N1823" t="s">
        <v>231</v>
      </c>
      <c r="O1823" t="s">
        <v>298</v>
      </c>
      <c r="P1823">
        <v>9.8566153424722636E-2</v>
      </c>
      <c r="Q1823" t="s">
        <v>159</v>
      </c>
    </row>
    <row r="1824" spans="9:17" x14ac:dyDescent="0.45">
      <c r="I1824" t="s">
        <v>188</v>
      </c>
      <c r="J1824" t="s">
        <v>299</v>
      </c>
      <c r="K1824">
        <v>1.5757176147648003E-2</v>
      </c>
      <c r="L1824" t="s">
        <v>159</v>
      </c>
      <c r="N1824" t="s">
        <v>231</v>
      </c>
      <c r="O1824" t="s">
        <v>299</v>
      </c>
      <c r="P1824">
        <v>9.5641780359035054E-3</v>
      </c>
      <c r="Q1824" t="s">
        <v>159</v>
      </c>
    </row>
    <row r="1825" spans="9:17" x14ac:dyDescent="0.45">
      <c r="I1825" t="s">
        <v>188</v>
      </c>
      <c r="J1825" t="s">
        <v>300</v>
      </c>
      <c r="K1825">
        <v>0.24011394122256033</v>
      </c>
      <c r="L1825" t="s">
        <v>159</v>
      </c>
      <c r="N1825" t="s">
        <v>231</v>
      </c>
      <c r="O1825" t="s">
        <v>300</v>
      </c>
      <c r="P1825">
        <v>0.10203633337919156</v>
      </c>
      <c r="Q1825" t="s">
        <v>159</v>
      </c>
    </row>
    <row r="1826" spans="9:17" x14ac:dyDescent="0.45">
      <c r="I1826" t="s">
        <v>188</v>
      </c>
      <c r="J1826" t="s">
        <v>301</v>
      </c>
      <c r="K1826">
        <v>1.8233063726221747E-2</v>
      </c>
      <c r="L1826" t="s">
        <v>159</v>
      </c>
      <c r="N1826" t="s">
        <v>231</v>
      </c>
      <c r="O1826" t="s">
        <v>301</v>
      </c>
      <c r="P1826">
        <v>1.7739775161445898E-2</v>
      </c>
      <c r="Q1826" t="s">
        <v>159</v>
      </c>
    </row>
    <row r="1827" spans="9:17" x14ac:dyDescent="0.45">
      <c r="I1827" t="s">
        <v>188</v>
      </c>
      <c r="J1827" t="s">
        <v>302</v>
      </c>
      <c r="K1827">
        <v>1.1750419044470937E-2</v>
      </c>
      <c r="L1827" t="s">
        <v>159</v>
      </c>
      <c r="N1827" t="s">
        <v>231</v>
      </c>
      <c r="O1827" t="s">
        <v>302</v>
      </c>
      <c r="P1827">
        <v>2.2921563635443599E-2</v>
      </c>
      <c r="Q1827" t="s">
        <v>159</v>
      </c>
    </row>
    <row r="1828" spans="9:17" x14ac:dyDescent="0.45">
      <c r="I1828" t="s">
        <v>188</v>
      </c>
      <c r="J1828" t="s">
        <v>312</v>
      </c>
      <c r="K1828">
        <v>0</v>
      </c>
      <c r="L1828" t="s">
        <v>159</v>
      </c>
      <c r="N1828" t="s">
        <v>231</v>
      </c>
      <c r="O1828" t="s">
        <v>312</v>
      </c>
      <c r="P1828">
        <v>0.16416958029208889</v>
      </c>
      <c r="Q1828" t="s">
        <v>159</v>
      </c>
    </row>
    <row r="1829" spans="9:17" x14ac:dyDescent="0.45">
      <c r="I1829" t="s">
        <v>188</v>
      </c>
      <c r="J1829" t="s">
        <v>397</v>
      </c>
      <c r="K1829">
        <v>0</v>
      </c>
      <c r="L1829" t="s">
        <v>159</v>
      </c>
      <c r="N1829" t="s">
        <v>231</v>
      </c>
      <c r="O1829" t="s">
        <v>397</v>
      </c>
      <c r="P1829">
        <v>1.3377238664424726E-4</v>
      </c>
      <c r="Q1829" t="s">
        <v>159</v>
      </c>
    </row>
    <row r="1830" spans="9:17" x14ac:dyDescent="0.45">
      <c r="I1830" t="s">
        <v>188</v>
      </c>
      <c r="J1830" t="s">
        <v>398</v>
      </c>
      <c r="K1830">
        <v>0</v>
      </c>
      <c r="L1830" t="s">
        <v>159</v>
      </c>
      <c r="N1830" t="s">
        <v>231</v>
      </c>
      <c r="O1830" t="s">
        <v>398</v>
      </c>
      <c r="P1830">
        <v>8.9992838445930619E-5</v>
      </c>
      <c r="Q1830" t="s">
        <v>159</v>
      </c>
    </row>
    <row r="1831" spans="9:17" x14ac:dyDescent="0.45">
      <c r="I1831" t="s">
        <v>188</v>
      </c>
      <c r="J1831" t="s">
        <v>399</v>
      </c>
      <c r="K1831">
        <v>0</v>
      </c>
      <c r="L1831" t="s">
        <v>159</v>
      </c>
      <c r="N1831" t="s">
        <v>231</v>
      </c>
      <c r="O1831" t="s">
        <v>399</v>
      </c>
      <c r="P1831">
        <v>6.5931073118969351E-5</v>
      </c>
      <c r="Q1831" t="s">
        <v>159</v>
      </c>
    </row>
    <row r="1832" spans="9:17" x14ac:dyDescent="0.45">
      <c r="I1832" t="s">
        <v>188</v>
      </c>
      <c r="J1832" t="s">
        <v>400</v>
      </c>
      <c r="K1832">
        <v>0</v>
      </c>
      <c r="L1832" t="s">
        <v>159</v>
      </c>
      <c r="N1832" t="s">
        <v>231</v>
      </c>
      <c r="O1832" t="s">
        <v>400</v>
      </c>
      <c r="P1832">
        <v>5.089727525261503E-5</v>
      </c>
      <c r="Q1832" t="s">
        <v>159</v>
      </c>
    </row>
    <row r="1833" spans="9:17" x14ac:dyDescent="0.45">
      <c r="I1833" t="s">
        <v>188</v>
      </c>
      <c r="J1833" t="s">
        <v>401</v>
      </c>
      <c r="K1833">
        <v>0</v>
      </c>
      <c r="L1833" t="s">
        <v>159</v>
      </c>
      <c r="N1833" t="s">
        <v>231</v>
      </c>
      <c r="O1833" t="s">
        <v>401</v>
      </c>
      <c r="P1833">
        <v>2.6494882649285269E-5</v>
      </c>
      <c r="Q1833" t="s">
        <v>159</v>
      </c>
    </row>
    <row r="1834" spans="9:17" x14ac:dyDescent="0.45">
      <c r="I1834" t="s">
        <v>188</v>
      </c>
      <c r="J1834" t="s">
        <v>402</v>
      </c>
      <c r="K1834">
        <v>0</v>
      </c>
      <c r="L1834" t="s">
        <v>159</v>
      </c>
      <c r="N1834" t="s">
        <v>231</v>
      </c>
      <c r="O1834" t="s">
        <v>402</v>
      </c>
      <c r="P1834">
        <v>1.8066041927899215E-5</v>
      </c>
      <c r="Q1834" t="s">
        <v>159</v>
      </c>
    </row>
    <row r="1835" spans="9:17" x14ac:dyDescent="0.45">
      <c r="I1835" t="s">
        <v>188</v>
      </c>
      <c r="J1835" t="s">
        <v>403</v>
      </c>
      <c r="K1835">
        <v>0</v>
      </c>
      <c r="L1835" t="s">
        <v>159</v>
      </c>
      <c r="N1835" t="s">
        <v>231</v>
      </c>
      <c r="O1835" t="s">
        <v>403</v>
      </c>
      <c r="P1835">
        <v>1.0385668508977968E-5</v>
      </c>
      <c r="Q1835" t="s">
        <v>159</v>
      </c>
    </row>
    <row r="1836" spans="9:17" x14ac:dyDescent="0.45">
      <c r="I1836" t="s">
        <v>188</v>
      </c>
      <c r="J1836" t="s">
        <v>404</v>
      </c>
      <c r="K1836">
        <v>1.9935834598988557E-4</v>
      </c>
      <c r="L1836" t="s">
        <v>159</v>
      </c>
      <c r="N1836" t="s">
        <v>231</v>
      </c>
      <c r="O1836" t="s">
        <v>404</v>
      </c>
      <c r="P1836">
        <v>7.7007037533036903E-6</v>
      </c>
      <c r="Q1836" t="s">
        <v>159</v>
      </c>
    </row>
    <row r="1837" spans="9:17" x14ac:dyDescent="0.45">
      <c r="I1837" t="s">
        <v>188</v>
      </c>
      <c r="J1837" t="s">
        <v>405</v>
      </c>
      <c r="K1837">
        <v>2.9966018009893651E-4</v>
      </c>
      <c r="L1837" t="s">
        <v>159</v>
      </c>
      <c r="N1837" t="s">
        <v>231</v>
      </c>
      <c r="O1837" t="s">
        <v>405</v>
      </c>
      <c r="P1837">
        <v>2.7166142839572816E-7</v>
      </c>
      <c r="Q1837" t="s">
        <v>159</v>
      </c>
    </row>
    <row r="1838" spans="9:17" x14ac:dyDescent="0.45">
      <c r="I1838" t="s">
        <v>188</v>
      </c>
      <c r="J1838" t="s">
        <v>406</v>
      </c>
      <c r="K1838">
        <v>3.3688259480999563E-4</v>
      </c>
      <c r="L1838" t="s">
        <v>159</v>
      </c>
      <c r="N1838" t="s">
        <v>231</v>
      </c>
      <c r="O1838" t="s">
        <v>406</v>
      </c>
      <c r="P1838">
        <v>4.0067256518168761E-6</v>
      </c>
      <c r="Q1838" t="s">
        <v>159</v>
      </c>
    </row>
    <row r="1839" spans="9:17" x14ac:dyDescent="0.45">
      <c r="I1839" t="s">
        <v>188</v>
      </c>
      <c r="J1839" t="s">
        <v>407</v>
      </c>
      <c r="K1839">
        <v>3.5178674841115307E-4</v>
      </c>
      <c r="L1839" t="s">
        <v>159</v>
      </c>
      <c r="N1839" t="s">
        <v>231</v>
      </c>
      <c r="O1839" t="s">
        <v>407</v>
      </c>
      <c r="P1839">
        <v>1.4513464930391946E-5</v>
      </c>
      <c r="Q1839" t="s">
        <v>159</v>
      </c>
    </row>
    <row r="1840" spans="9:17" x14ac:dyDescent="0.45">
      <c r="I1840" t="s">
        <v>188</v>
      </c>
      <c r="J1840" t="s">
        <v>408</v>
      </c>
      <c r="K1840">
        <v>3.7180339472865702E-4</v>
      </c>
      <c r="L1840" t="s">
        <v>159</v>
      </c>
      <c r="N1840" t="s">
        <v>231</v>
      </c>
      <c r="O1840" t="s">
        <v>408</v>
      </c>
      <c r="P1840">
        <v>2.41253475432751E-5</v>
      </c>
      <c r="Q1840" t="s">
        <v>159</v>
      </c>
    </row>
    <row r="1841" spans="9:17" x14ac:dyDescent="0.45">
      <c r="I1841" t="s">
        <v>188</v>
      </c>
      <c r="J1841" t="s">
        <v>409</v>
      </c>
      <c r="K1841">
        <v>3.9437826243514276E-4</v>
      </c>
      <c r="L1841" t="s">
        <v>159</v>
      </c>
      <c r="N1841" t="s">
        <v>231</v>
      </c>
      <c r="O1841" t="s">
        <v>409</v>
      </c>
      <c r="P1841">
        <v>1.7239228209099074E-5</v>
      </c>
      <c r="Q1841" t="s">
        <v>159</v>
      </c>
    </row>
    <row r="1842" spans="9:17" x14ac:dyDescent="0.45">
      <c r="I1842" t="s">
        <v>188</v>
      </c>
      <c r="J1842" t="s">
        <v>410</v>
      </c>
      <c r="K1842">
        <v>3.8328900793201223E-4</v>
      </c>
      <c r="L1842" t="s">
        <v>159</v>
      </c>
      <c r="N1842" t="s">
        <v>231</v>
      </c>
      <c r="O1842" t="s">
        <v>410</v>
      </c>
      <c r="P1842">
        <v>1.3371147361478044E-5</v>
      </c>
      <c r="Q1842" t="s">
        <v>159</v>
      </c>
    </row>
    <row r="1843" spans="9:17" x14ac:dyDescent="0.45">
      <c r="I1843" t="s">
        <v>188</v>
      </c>
      <c r="J1843" t="s">
        <v>411</v>
      </c>
      <c r="K1843">
        <v>3.54232343877829E-4</v>
      </c>
      <c r="L1843" t="s">
        <v>159</v>
      </c>
      <c r="N1843" t="s">
        <v>231</v>
      </c>
      <c r="O1843" t="s">
        <v>411</v>
      </c>
      <c r="P1843">
        <v>1.0195180420576175E-5</v>
      </c>
      <c r="Q1843" t="s">
        <v>159</v>
      </c>
    </row>
    <row r="1844" spans="9:17" x14ac:dyDescent="0.45">
      <c r="I1844" t="s">
        <v>188</v>
      </c>
      <c r="J1844" t="s">
        <v>412</v>
      </c>
      <c r="K1844">
        <v>3.2747423036200455E-4</v>
      </c>
      <c r="L1844" t="s">
        <v>159</v>
      </c>
      <c r="N1844" t="s">
        <v>231</v>
      </c>
      <c r="O1844" t="s">
        <v>412</v>
      </c>
      <c r="P1844">
        <v>1.0739803224790794E-5</v>
      </c>
      <c r="Q1844" t="s">
        <v>159</v>
      </c>
    </row>
    <row r="1845" spans="9:17" x14ac:dyDescent="0.45">
      <c r="I1845" t="s">
        <v>188</v>
      </c>
      <c r="J1845" t="s">
        <v>413</v>
      </c>
      <c r="K1845">
        <v>3.1660973522723579E-4</v>
      </c>
      <c r="L1845" t="s">
        <v>159</v>
      </c>
      <c r="N1845" t="s">
        <v>231</v>
      </c>
      <c r="O1845" t="s">
        <v>413</v>
      </c>
      <c r="P1845">
        <v>1.6943536906582894E-5</v>
      </c>
      <c r="Q1845" t="s">
        <v>159</v>
      </c>
    </row>
    <row r="1846" spans="9:17" x14ac:dyDescent="0.45">
      <c r="I1846" t="s">
        <v>188</v>
      </c>
      <c r="J1846" t="s">
        <v>414</v>
      </c>
      <c r="K1846">
        <v>2.7217747803066737E-4</v>
      </c>
      <c r="L1846" t="s">
        <v>159</v>
      </c>
      <c r="N1846" t="s">
        <v>231</v>
      </c>
      <c r="O1846" t="s">
        <v>414</v>
      </c>
      <c r="P1846">
        <v>4.3341681008639065E-5</v>
      </c>
      <c r="Q1846" t="s">
        <v>159</v>
      </c>
    </row>
    <row r="1847" spans="9:17" x14ac:dyDescent="0.45">
      <c r="I1847" t="s">
        <v>188</v>
      </c>
      <c r="J1847" t="s">
        <v>415</v>
      </c>
      <c r="K1847">
        <v>1.6713720544640043E-4</v>
      </c>
      <c r="L1847" t="s">
        <v>159</v>
      </c>
      <c r="N1847" t="s">
        <v>231</v>
      </c>
      <c r="O1847" t="s">
        <v>415</v>
      </c>
      <c r="P1847">
        <v>2.0801368901269331E-4</v>
      </c>
      <c r="Q1847" t="s">
        <v>159</v>
      </c>
    </row>
    <row r="1848" spans="9:17" x14ac:dyDescent="0.45">
      <c r="I1848" t="s">
        <v>188</v>
      </c>
      <c r="J1848" t="s">
        <v>416</v>
      </c>
      <c r="K1848">
        <v>0</v>
      </c>
      <c r="L1848" t="s">
        <v>159</v>
      </c>
      <c r="N1848" t="s">
        <v>231</v>
      </c>
      <c r="O1848" t="s">
        <v>416</v>
      </c>
      <c r="P1848">
        <v>4.1203205268866311E-4</v>
      </c>
      <c r="Q1848" t="s">
        <v>159</v>
      </c>
    </row>
    <row r="1849" spans="9:17" x14ac:dyDescent="0.45">
      <c r="I1849" t="s">
        <v>188</v>
      </c>
      <c r="J1849" t="s">
        <v>417</v>
      </c>
      <c r="K1849">
        <v>0</v>
      </c>
      <c r="L1849" t="s">
        <v>159</v>
      </c>
      <c r="N1849" t="s">
        <v>231</v>
      </c>
      <c r="O1849" t="s">
        <v>417</v>
      </c>
      <c r="P1849">
        <v>4.7027711541413057E-4</v>
      </c>
      <c r="Q1849" t="s">
        <v>159</v>
      </c>
    </row>
    <row r="1850" spans="9:17" x14ac:dyDescent="0.45">
      <c r="I1850" t="s">
        <v>188</v>
      </c>
      <c r="J1850" t="s">
        <v>418</v>
      </c>
      <c r="K1850">
        <v>0</v>
      </c>
      <c r="L1850" t="s">
        <v>159</v>
      </c>
      <c r="N1850" t="s">
        <v>231</v>
      </c>
      <c r="O1850" t="s">
        <v>418</v>
      </c>
      <c r="P1850">
        <v>4.3968134673641186E-4</v>
      </c>
      <c r="Q1850" t="s">
        <v>159</v>
      </c>
    </row>
    <row r="1851" spans="9:17" x14ac:dyDescent="0.45">
      <c r="I1851" t="s">
        <v>188</v>
      </c>
      <c r="J1851" t="s">
        <v>419</v>
      </c>
      <c r="K1851">
        <v>0</v>
      </c>
      <c r="L1851" t="s">
        <v>159</v>
      </c>
      <c r="N1851" t="s">
        <v>231</v>
      </c>
      <c r="O1851" t="s">
        <v>419</v>
      </c>
      <c r="P1851">
        <v>3.8669351531294809E-4</v>
      </c>
      <c r="Q1851" t="s">
        <v>159</v>
      </c>
    </row>
    <row r="1852" spans="9:17" x14ac:dyDescent="0.45">
      <c r="I1852" t="s">
        <v>188</v>
      </c>
      <c r="J1852" t="s">
        <v>420</v>
      </c>
      <c r="K1852">
        <v>0</v>
      </c>
      <c r="L1852" t="s">
        <v>159</v>
      </c>
      <c r="N1852" t="s">
        <v>231</v>
      </c>
      <c r="O1852" t="s">
        <v>420</v>
      </c>
      <c r="P1852">
        <v>3.0871710575308562E-4</v>
      </c>
      <c r="Q1852" t="s">
        <v>159</v>
      </c>
    </row>
    <row r="1853" spans="9:17" x14ac:dyDescent="0.45">
      <c r="I1853" t="s">
        <v>188</v>
      </c>
      <c r="J1853" t="s">
        <v>313</v>
      </c>
      <c r="K1853">
        <v>2.397343349986804E-3</v>
      </c>
      <c r="L1853" t="s">
        <v>159</v>
      </c>
      <c r="N1853" t="s">
        <v>231</v>
      </c>
      <c r="O1853" t="s">
        <v>313</v>
      </c>
      <c r="P1853">
        <v>1.5169583540214431E-2</v>
      </c>
      <c r="Q1853" t="s">
        <v>159</v>
      </c>
    </row>
    <row r="1854" spans="9:17" x14ac:dyDescent="0.45">
      <c r="I1854" t="s">
        <v>188</v>
      </c>
      <c r="J1854" t="s">
        <v>314</v>
      </c>
      <c r="K1854">
        <v>4.2465035283064138E-3</v>
      </c>
      <c r="L1854" t="s">
        <v>159</v>
      </c>
      <c r="N1854" t="s">
        <v>231</v>
      </c>
      <c r="O1854" t="s">
        <v>314</v>
      </c>
      <c r="P1854">
        <v>1.3607712432431114E-3</v>
      </c>
      <c r="Q1854" t="s">
        <v>159</v>
      </c>
    </row>
    <row r="1855" spans="9:17" x14ac:dyDescent="0.45">
      <c r="I1855" t="s">
        <v>188</v>
      </c>
      <c r="J1855" t="s">
        <v>315</v>
      </c>
      <c r="K1855">
        <v>6.2728369412269655E-2</v>
      </c>
      <c r="L1855" t="s">
        <v>159</v>
      </c>
      <c r="N1855" t="s">
        <v>231</v>
      </c>
      <c r="O1855" t="s">
        <v>315</v>
      </c>
      <c r="P1855">
        <v>1.3115488392243481E-2</v>
      </c>
      <c r="Q1855" t="s">
        <v>159</v>
      </c>
    </row>
    <row r="1856" spans="9:17" x14ac:dyDescent="0.45">
      <c r="I1856" t="s">
        <v>188</v>
      </c>
      <c r="J1856" t="s">
        <v>316</v>
      </c>
      <c r="K1856">
        <v>5.2028866100317433E-3</v>
      </c>
      <c r="L1856" t="s">
        <v>159</v>
      </c>
      <c r="N1856" t="s">
        <v>231</v>
      </c>
      <c r="O1856" t="s">
        <v>316</v>
      </c>
      <c r="P1856">
        <v>2.3197466091217202E-3</v>
      </c>
      <c r="Q1856" t="s">
        <v>159</v>
      </c>
    </row>
    <row r="1857" spans="9:17" x14ac:dyDescent="0.45">
      <c r="I1857" t="s">
        <v>188</v>
      </c>
      <c r="J1857" t="s">
        <v>317</v>
      </c>
      <c r="K1857">
        <v>3.8375367792176538E-3</v>
      </c>
      <c r="L1857" t="s">
        <v>159</v>
      </c>
      <c r="N1857" t="s">
        <v>231</v>
      </c>
      <c r="O1857" t="s">
        <v>317</v>
      </c>
      <c r="P1857">
        <v>3.3228183240373447E-3</v>
      </c>
      <c r="Q1857" t="s">
        <v>159</v>
      </c>
    </row>
    <row r="1858" spans="9:17" x14ac:dyDescent="0.45">
      <c r="I1858" t="s">
        <v>188</v>
      </c>
      <c r="J1858" t="s">
        <v>318</v>
      </c>
      <c r="K1858">
        <v>1.5857451040531317E-3</v>
      </c>
      <c r="L1858" t="s">
        <v>159</v>
      </c>
      <c r="N1858" t="s">
        <v>231</v>
      </c>
      <c r="O1858" t="s">
        <v>318</v>
      </c>
      <c r="P1858">
        <v>2.6452684074789047E-2</v>
      </c>
      <c r="Q1858" t="s">
        <v>159</v>
      </c>
    </row>
    <row r="1859" spans="9:17" x14ac:dyDescent="0.45">
      <c r="I1859" t="s">
        <v>189</v>
      </c>
      <c r="J1859" t="s">
        <v>158</v>
      </c>
      <c r="K1859">
        <v>1.3321472112198236E-3</v>
      </c>
      <c r="L1859" t="s">
        <v>159</v>
      </c>
      <c r="N1859" t="s">
        <v>232</v>
      </c>
      <c r="O1859" t="s">
        <v>158</v>
      </c>
      <c r="P1859">
        <v>0.13162915710773984</v>
      </c>
      <c r="Q1859" t="s">
        <v>159</v>
      </c>
    </row>
    <row r="1860" spans="9:17" x14ac:dyDescent="0.45">
      <c r="I1860" t="s">
        <v>189</v>
      </c>
      <c r="J1860" t="s">
        <v>160</v>
      </c>
      <c r="K1860">
        <v>1.6924897616757771E-2</v>
      </c>
      <c r="L1860" t="s">
        <v>159</v>
      </c>
      <c r="N1860" t="s">
        <v>232</v>
      </c>
      <c r="O1860" t="s">
        <v>160</v>
      </c>
      <c r="P1860">
        <v>1.3065154626036815E-2</v>
      </c>
      <c r="Q1860" t="s">
        <v>159</v>
      </c>
    </row>
    <row r="1861" spans="9:17" x14ac:dyDescent="0.45">
      <c r="I1861" t="s">
        <v>189</v>
      </c>
      <c r="J1861" t="s">
        <v>161</v>
      </c>
      <c r="K1861">
        <v>0.40902708338500909</v>
      </c>
      <c r="L1861" t="s">
        <v>159</v>
      </c>
      <c r="N1861" t="s">
        <v>232</v>
      </c>
      <c r="O1861" t="s">
        <v>161</v>
      </c>
      <c r="P1861">
        <v>9.4872685074358865E-2</v>
      </c>
      <c r="Q1861" t="s">
        <v>159</v>
      </c>
    </row>
    <row r="1862" spans="9:17" x14ac:dyDescent="0.45">
      <c r="I1862" t="s">
        <v>189</v>
      </c>
      <c r="J1862" t="s">
        <v>287</v>
      </c>
      <c r="K1862">
        <v>3.359779671070879E-2</v>
      </c>
      <c r="L1862" t="s">
        <v>159</v>
      </c>
      <c r="N1862" t="s">
        <v>232</v>
      </c>
      <c r="O1862" t="s">
        <v>287</v>
      </c>
      <c r="P1862">
        <v>1.0274055693907175E-2</v>
      </c>
      <c r="Q1862" t="s">
        <v>159</v>
      </c>
    </row>
    <row r="1863" spans="9:17" x14ac:dyDescent="0.45">
      <c r="I1863" t="s">
        <v>189</v>
      </c>
      <c r="J1863" t="s">
        <v>288</v>
      </c>
      <c r="K1863">
        <v>1.6325638913069953E-2</v>
      </c>
      <c r="L1863" t="s">
        <v>159</v>
      </c>
      <c r="N1863" t="s">
        <v>232</v>
      </c>
      <c r="O1863" t="s">
        <v>288</v>
      </c>
      <c r="P1863">
        <v>1.3730139241044454E-2</v>
      </c>
      <c r="Q1863" t="s">
        <v>159</v>
      </c>
    </row>
    <row r="1864" spans="9:17" x14ac:dyDescent="0.45">
      <c r="I1864" t="s">
        <v>189</v>
      </c>
      <c r="J1864" t="s">
        <v>308</v>
      </c>
      <c r="K1864">
        <v>4.2051116317937858E-3</v>
      </c>
      <c r="L1864" t="s">
        <v>159</v>
      </c>
      <c r="N1864" t="s">
        <v>232</v>
      </c>
      <c r="O1864" t="s">
        <v>308</v>
      </c>
      <c r="P1864">
        <v>0.1252148619538328</v>
      </c>
      <c r="Q1864" t="s">
        <v>159</v>
      </c>
    </row>
    <row r="1865" spans="9:17" x14ac:dyDescent="0.45">
      <c r="I1865" t="s">
        <v>189</v>
      </c>
      <c r="J1865" t="s">
        <v>162</v>
      </c>
      <c r="K1865">
        <v>0</v>
      </c>
      <c r="L1865" t="s">
        <v>159</v>
      </c>
      <c r="N1865" t="s">
        <v>232</v>
      </c>
      <c r="O1865" t="s">
        <v>162</v>
      </c>
      <c r="P1865">
        <v>1.8217939714719241E-2</v>
      </c>
      <c r="Q1865" t="s">
        <v>159</v>
      </c>
    </row>
    <row r="1866" spans="9:17" x14ac:dyDescent="0.45">
      <c r="I1866" t="s">
        <v>189</v>
      </c>
      <c r="J1866" t="s">
        <v>163</v>
      </c>
      <c r="K1866">
        <v>0</v>
      </c>
      <c r="L1866" t="s">
        <v>159</v>
      </c>
      <c r="N1866" t="s">
        <v>232</v>
      </c>
      <c r="O1866" t="s">
        <v>163</v>
      </c>
      <c r="P1866">
        <v>2.3632466148036557E-3</v>
      </c>
      <c r="Q1866" t="s">
        <v>159</v>
      </c>
    </row>
    <row r="1867" spans="9:17" x14ac:dyDescent="0.45">
      <c r="I1867" t="s">
        <v>189</v>
      </c>
      <c r="J1867" t="s">
        <v>164</v>
      </c>
      <c r="K1867">
        <v>5.0542661329683845E-2</v>
      </c>
      <c r="L1867" t="s">
        <v>159</v>
      </c>
      <c r="N1867" t="s">
        <v>232</v>
      </c>
      <c r="O1867" t="s">
        <v>164</v>
      </c>
      <c r="P1867">
        <v>1.7996047716854584E-2</v>
      </c>
      <c r="Q1867" t="s">
        <v>159</v>
      </c>
    </row>
    <row r="1868" spans="9:17" x14ac:dyDescent="0.45">
      <c r="I1868" t="s">
        <v>189</v>
      </c>
      <c r="J1868" t="s">
        <v>289</v>
      </c>
      <c r="K1868">
        <v>4.0659880494541712E-3</v>
      </c>
      <c r="L1868" t="s">
        <v>159</v>
      </c>
      <c r="N1868" t="s">
        <v>232</v>
      </c>
      <c r="O1868" t="s">
        <v>289</v>
      </c>
      <c r="P1868">
        <v>1.9179886727154068E-3</v>
      </c>
      <c r="Q1868" t="s">
        <v>159</v>
      </c>
    </row>
    <row r="1869" spans="9:17" x14ac:dyDescent="0.45">
      <c r="I1869" t="s">
        <v>189</v>
      </c>
      <c r="J1869" t="s">
        <v>290</v>
      </c>
      <c r="K1869">
        <v>0</v>
      </c>
      <c r="L1869" t="s">
        <v>159</v>
      </c>
      <c r="N1869" t="s">
        <v>232</v>
      </c>
      <c r="O1869" t="s">
        <v>290</v>
      </c>
      <c r="P1869">
        <v>2.5993618307482572E-3</v>
      </c>
      <c r="Q1869" t="s">
        <v>159</v>
      </c>
    </row>
    <row r="1870" spans="9:17" x14ac:dyDescent="0.45">
      <c r="I1870" t="s">
        <v>189</v>
      </c>
      <c r="J1870" t="s">
        <v>309</v>
      </c>
      <c r="K1870">
        <v>0</v>
      </c>
      <c r="L1870" t="s">
        <v>159</v>
      </c>
      <c r="N1870" t="s">
        <v>232</v>
      </c>
      <c r="O1870" t="s">
        <v>309</v>
      </c>
      <c r="P1870">
        <v>1.7494123798849473E-2</v>
      </c>
      <c r="Q1870" t="s">
        <v>159</v>
      </c>
    </row>
    <row r="1871" spans="9:17" x14ac:dyDescent="0.45">
      <c r="I1871" t="s">
        <v>189</v>
      </c>
      <c r="J1871" t="s">
        <v>346</v>
      </c>
      <c r="K1871">
        <v>0</v>
      </c>
      <c r="L1871" t="s">
        <v>159</v>
      </c>
      <c r="N1871" t="s">
        <v>232</v>
      </c>
      <c r="O1871" t="s">
        <v>346</v>
      </c>
      <c r="P1871">
        <v>1.1766368014085278E-4</v>
      </c>
      <c r="Q1871" t="s">
        <v>159</v>
      </c>
    </row>
    <row r="1872" spans="9:17" x14ac:dyDescent="0.45">
      <c r="I1872" t="s">
        <v>189</v>
      </c>
      <c r="J1872" t="s">
        <v>347</v>
      </c>
      <c r="K1872">
        <v>0</v>
      </c>
      <c r="L1872" t="s">
        <v>159</v>
      </c>
      <c r="N1872" t="s">
        <v>232</v>
      </c>
      <c r="O1872" t="s">
        <v>347</v>
      </c>
      <c r="P1872">
        <v>1.0555757612434164E-4</v>
      </c>
      <c r="Q1872" t="s">
        <v>159</v>
      </c>
    </row>
    <row r="1873" spans="9:17" x14ac:dyDescent="0.45">
      <c r="I1873" t="s">
        <v>189</v>
      </c>
      <c r="J1873" t="s">
        <v>348</v>
      </c>
      <c r="K1873">
        <v>0</v>
      </c>
      <c r="L1873" t="s">
        <v>159</v>
      </c>
      <c r="N1873" t="s">
        <v>232</v>
      </c>
      <c r="O1873" t="s">
        <v>348</v>
      </c>
      <c r="P1873">
        <v>8.7236805377077735E-5</v>
      </c>
      <c r="Q1873" t="s">
        <v>159</v>
      </c>
    </row>
    <row r="1874" spans="9:17" x14ac:dyDescent="0.45">
      <c r="I1874" t="s">
        <v>189</v>
      </c>
      <c r="J1874" t="s">
        <v>349</v>
      </c>
      <c r="K1874">
        <v>0</v>
      </c>
      <c r="L1874" t="s">
        <v>159</v>
      </c>
      <c r="N1874" t="s">
        <v>232</v>
      </c>
      <c r="O1874" t="s">
        <v>349</v>
      </c>
      <c r="P1874">
        <v>7.115639904228528E-5</v>
      </c>
      <c r="Q1874" t="s">
        <v>159</v>
      </c>
    </row>
    <row r="1875" spans="9:17" x14ac:dyDescent="0.45">
      <c r="I1875" t="s">
        <v>189</v>
      </c>
      <c r="J1875" t="s">
        <v>350</v>
      </c>
      <c r="K1875">
        <v>0</v>
      </c>
      <c r="L1875" t="s">
        <v>159</v>
      </c>
      <c r="N1875" t="s">
        <v>232</v>
      </c>
      <c r="O1875" t="s">
        <v>350</v>
      </c>
      <c r="P1875">
        <v>5.9268059560487113E-5</v>
      </c>
      <c r="Q1875" t="s">
        <v>159</v>
      </c>
    </row>
    <row r="1876" spans="9:17" x14ac:dyDescent="0.45">
      <c r="I1876" t="s">
        <v>189</v>
      </c>
      <c r="J1876" t="s">
        <v>351</v>
      </c>
      <c r="K1876">
        <v>0</v>
      </c>
      <c r="L1876" t="s">
        <v>159</v>
      </c>
      <c r="N1876" t="s">
        <v>232</v>
      </c>
      <c r="O1876" t="s">
        <v>351</v>
      </c>
      <c r="P1876">
        <v>4.9596488298278044E-5</v>
      </c>
      <c r="Q1876" t="s">
        <v>159</v>
      </c>
    </row>
    <row r="1877" spans="9:17" x14ac:dyDescent="0.45">
      <c r="I1877" t="s">
        <v>189</v>
      </c>
      <c r="J1877" t="s">
        <v>352</v>
      </c>
      <c r="K1877">
        <v>0</v>
      </c>
      <c r="L1877" t="s">
        <v>159</v>
      </c>
      <c r="N1877" t="s">
        <v>232</v>
      </c>
      <c r="O1877" t="s">
        <v>352</v>
      </c>
      <c r="P1877">
        <v>4.2482045602337977E-5</v>
      </c>
      <c r="Q1877" t="s">
        <v>159</v>
      </c>
    </row>
    <row r="1878" spans="9:17" x14ac:dyDescent="0.45">
      <c r="I1878" t="s">
        <v>189</v>
      </c>
      <c r="J1878" t="s">
        <v>353</v>
      </c>
      <c r="K1878">
        <v>0</v>
      </c>
      <c r="L1878" t="s">
        <v>159</v>
      </c>
      <c r="N1878" t="s">
        <v>232</v>
      </c>
      <c r="O1878" t="s">
        <v>353</v>
      </c>
      <c r="P1878">
        <v>3.9772889314220204E-5</v>
      </c>
      <c r="Q1878" t="s">
        <v>159</v>
      </c>
    </row>
    <row r="1879" spans="9:17" x14ac:dyDescent="0.45">
      <c r="I1879" t="s">
        <v>189</v>
      </c>
      <c r="J1879" t="s">
        <v>354</v>
      </c>
      <c r="K1879">
        <v>1.0655181511728281E-4</v>
      </c>
      <c r="L1879" t="s">
        <v>159</v>
      </c>
      <c r="N1879" t="s">
        <v>232</v>
      </c>
      <c r="O1879" t="s">
        <v>354</v>
      </c>
      <c r="P1879">
        <v>3.2284367355939638E-5</v>
      </c>
      <c r="Q1879" t="s">
        <v>159</v>
      </c>
    </row>
    <row r="1880" spans="9:17" x14ac:dyDescent="0.45">
      <c r="I1880" t="s">
        <v>189</v>
      </c>
      <c r="J1880" t="s">
        <v>355</v>
      </c>
      <c r="K1880">
        <v>1.6694469590483103E-4</v>
      </c>
      <c r="L1880" t="s">
        <v>159</v>
      </c>
      <c r="N1880" t="s">
        <v>232</v>
      </c>
      <c r="O1880" t="s">
        <v>355</v>
      </c>
      <c r="P1880">
        <v>1.1428044958346995E-5</v>
      </c>
      <c r="Q1880" t="s">
        <v>159</v>
      </c>
    </row>
    <row r="1881" spans="9:17" x14ac:dyDescent="0.45">
      <c r="I1881" t="s">
        <v>189</v>
      </c>
      <c r="J1881" t="s">
        <v>356</v>
      </c>
      <c r="K1881">
        <v>2.0945270871800242E-4</v>
      </c>
      <c r="L1881" t="s">
        <v>159</v>
      </c>
      <c r="N1881" t="s">
        <v>232</v>
      </c>
      <c r="O1881" t="s">
        <v>356</v>
      </c>
      <c r="P1881">
        <v>2.1610961498920597E-5</v>
      </c>
      <c r="Q1881" t="s">
        <v>159</v>
      </c>
    </row>
    <row r="1882" spans="9:17" x14ac:dyDescent="0.45">
      <c r="I1882" t="s">
        <v>189</v>
      </c>
      <c r="J1882" t="s">
        <v>357</v>
      </c>
      <c r="K1882">
        <v>2.3300910309639113E-4</v>
      </c>
      <c r="L1882" t="s">
        <v>159</v>
      </c>
      <c r="N1882" t="s">
        <v>232</v>
      </c>
      <c r="O1882" t="s">
        <v>357</v>
      </c>
      <c r="P1882">
        <v>1.9489059508223459E-5</v>
      </c>
      <c r="Q1882" t="s">
        <v>159</v>
      </c>
    </row>
    <row r="1883" spans="9:17" x14ac:dyDescent="0.45">
      <c r="I1883" t="s">
        <v>189</v>
      </c>
      <c r="J1883" t="s">
        <v>358</v>
      </c>
      <c r="K1883">
        <v>2.7095479493509513E-4</v>
      </c>
      <c r="L1883" t="s">
        <v>159</v>
      </c>
      <c r="N1883" t="s">
        <v>232</v>
      </c>
      <c r="O1883" t="s">
        <v>358</v>
      </c>
      <c r="P1883">
        <v>1.4144960255316576E-5</v>
      </c>
      <c r="Q1883" t="s">
        <v>159</v>
      </c>
    </row>
    <row r="1884" spans="9:17" x14ac:dyDescent="0.45">
      <c r="I1884" t="s">
        <v>189</v>
      </c>
      <c r="J1884" t="s">
        <v>359</v>
      </c>
      <c r="K1884">
        <v>2.5251576059857157E-4</v>
      </c>
      <c r="L1884" t="s">
        <v>159</v>
      </c>
      <c r="N1884" t="s">
        <v>232</v>
      </c>
      <c r="O1884" t="s">
        <v>359</v>
      </c>
      <c r="P1884">
        <v>1.1831135237705873E-5</v>
      </c>
      <c r="Q1884" t="s">
        <v>159</v>
      </c>
    </row>
    <row r="1885" spans="9:17" x14ac:dyDescent="0.45">
      <c r="I1885" t="s">
        <v>189</v>
      </c>
      <c r="J1885" t="s">
        <v>360</v>
      </c>
      <c r="K1885">
        <v>1.7839178924052742E-4</v>
      </c>
      <c r="L1885" t="s">
        <v>159</v>
      </c>
      <c r="N1885" t="s">
        <v>232</v>
      </c>
      <c r="O1885" t="s">
        <v>360</v>
      </c>
      <c r="P1885">
        <v>1.0578550273472767E-5</v>
      </c>
      <c r="Q1885" t="s">
        <v>159</v>
      </c>
    </row>
    <row r="1886" spans="9:17" x14ac:dyDescent="0.45">
      <c r="I1886" t="s">
        <v>189</v>
      </c>
      <c r="J1886" t="s">
        <v>361</v>
      </c>
      <c r="K1886">
        <v>1.3390305687712429E-4</v>
      </c>
      <c r="L1886" t="s">
        <v>159</v>
      </c>
      <c r="N1886" t="s">
        <v>232</v>
      </c>
      <c r="O1886" t="s">
        <v>361</v>
      </c>
      <c r="P1886">
        <v>1.1271423432911251E-5</v>
      </c>
      <c r="Q1886" t="s">
        <v>159</v>
      </c>
    </row>
    <row r="1887" spans="9:17" x14ac:dyDescent="0.45">
      <c r="I1887" t="s">
        <v>189</v>
      </c>
      <c r="J1887" t="s">
        <v>362</v>
      </c>
      <c r="K1887">
        <v>1.0932612115000331E-4</v>
      </c>
      <c r="L1887" t="s">
        <v>159</v>
      </c>
      <c r="N1887" t="s">
        <v>232</v>
      </c>
      <c r="O1887" t="s">
        <v>362</v>
      </c>
      <c r="P1887">
        <v>1.7512446759870968E-5</v>
      </c>
      <c r="Q1887" t="s">
        <v>159</v>
      </c>
    </row>
    <row r="1888" spans="9:17" x14ac:dyDescent="0.45">
      <c r="I1888" t="s">
        <v>189</v>
      </c>
      <c r="J1888" t="s">
        <v>363</v>
      </c>
      <c r="K1888">
        <v>1.0497583305692339E-4</v>
      </c>
      <c r="L1888" t="s">
        <v>159</v>
      </c>
      <c r="N1888" t="s">
        <v>232</v>
      </c>
      <c r="O1888" t="s">
        <v>363</v>
      </c>
      <c r="P1888">
        <v>3.4047746590747518E-5</v>
      </c>
      <c r="Q1888" t="s">
        <v>159</v>
      </c>
    </row>
    <row r="1889" spans="9:17" x14ac:dyDescent="0.45">
      <c r="I1889" t="s">
        <v>189</v>
      </c>
      <c r="J1889" t="s">
        <v>364</v>
      </c>
      <c r="K1889">
        <v>0</v>
      </c>
      <c r="L1889" t="s">
        <v>159</v>
      </c>
      <c r="N1889" t="s">
        <v>232</v>
      </c>
      <c r="O1889" t="s">
        <v>364</v>
      </c>
      <c r="P1889">
        <v>8.5351581618406516E-5</v>
      </c>
      <c r="Q1889" t="s">
        <v>159</v>
      </c>
    </row>
    <row r="1890" spans="9:17" x14ac:dyDescent="0.45">
      <c r="I1890" t="s">
        <v>189</v>
      </c>
      <c r="J1890" t="s">
        <v>365</v>
      </c>
      <c r="K1890">
        <v>0</v>
      </c>
      <c r="L1890" t="s">
        <v>159</v>
      </c>
      <c r="N1890" t="s">
        <v>232</v>
      </c>
      <c r="O1890" t="s">
        <v>365</v>
      </c>
      <c r="P1890">
        <v>1.3929978165181549E-4</v>
      </c>
      <c r="Q1890" t="s">
        <v>159</v>
      </c>
    </row>
    <row r="1891" spans="9:17" x14ac:dyDescent="0.45">
      <c r="I1891" t="s">
        <v>189</v>
      </c>
      <c r="J1891" t="s">
        <v>366</v>
      </c>
      <c r="K1891">
        <v>0</v>
      </c>
      <c r="L1891" t="s">
        <v>159</v>
      </c>
      <c r="N1891" t="s">
        <v>232</v>
      </c>
      <c r="O1891" t="s">
        <v>366</v>
      </c>
      <c r="P1891">
        <v>1.6669685105044553E-4</v>
      </c>
      <c r="Q1891" t="s">
        <v>159</v>
      </c>
    </row>
    <row r="1892" spans="9:17" x14ac:dyDescent="0.45">
      <c r="I1892" t="s">
        <v>189</v>
      </c>
      <c r="J1892" t="s">
        <v>367</v>
      </c>
      <c r="K1892">
        <v>0</v>
      </c>
      <c r="L1892" t="s">
        <v>159</v>
      </c>
      <c r="N1892" t="s">
        <v>232</v>
      </c>
      <c r="O1892" t="s">
        <v>367</v>
      </c>
      <c r="P1892">
        <v>1.5858427592906684E-4</v>
      </c>
      <c r="Q1892" t="s">
        <v>159</v>
      </c>
    </row>
    <row r="1893" spans="9:17" x14ac:dyDescent="0.45">
      <c r="I1893" t="s">
        <v>189</v>
      </c>
      <c r="J1893" t="s">
        <v>368</v>
      </c>
      <c r="K1893">
        <v>0</v>
      </c>
      <c r="L1893" t="s">
        <v>159</v>
      </c>
      <c r="N1893" t="s">
        <v>232</v>
      </c>
      <c r="O1893" t="s">
        <v>368</v>
      </c>
      <c r="P1893">
        <v>1.3986271826213354E-4</v>
      </c>
      <c r="Q1893" t="s">
        <v>159</v>
      </c>
    </row>
    <row r="1894" spans="9:17" x14ac:dyDescent="0.45">
      <c r="I1894" t="s">
        <v>189</v>
      </c>
      <c r="J1894" t="s">
        <v>369</v>
      </c>
      <c r="K1894">
        <v>0</v>
      </c>
      <c r="L1894" t="s">
        <v>159</v>
      </c>
      <c r="N1894" t="s">
        <v>232</v>
      </c>
      <c r="O1894" t="s">
        <v>369</v>
      </c>
      <c r="P1894">
        <v>1.1791738009775388E-4</v>
      </c>
      <c r="Q1894" t="s">
        <v>159</v>
      </c>
    </row>
    <row r="1895" spans="9:17" x14ac:dyDescent="0.45">
      <c r="I1895" t="s">
        <v>189</v>
      </c>
      <c r="J1895" t="s">
        <v>165</v>
      </c>
      <c r="K1895">
        <v>0</v>
      </c>
      <c r="L1895" t="s">
        <v>159</v>
      </c>
      <c r="N1895" t="s">
        <v>232</v>
      </c>
      <c r="O1895" t="s">
        <v>165</v>
      </c>
      <c r="P1895">
        <v>2.4012736021163082E-2</v>
      </c>
      <c r="Q1895" t="s">
        <v>159</v>
      </c>
    </row>
    <row r="1896" spans="9:17" x14ac:dyDescent="0.45">
      <c r="I1896" t="s">
        <v>189</v>
      </c>
      <c r="J1896" t="s">
        <v>166</v>
      </c>
      <c r="K1896">
        <v>5.7869341197491872E-4</v>
      </c>
      <c r="L1896" t="s">
        <v>159</v>
      </c>
      <c r="N1896" t="s">
        <v>232</v>
      </c>
      <c r="O1896" t="s">
        <v>166</v>
      </c>
      <c r="P1896">
        <v>2.7092002665710978E-3</v>
      </c>
      <c r="Q1896" t="s">
        <v>159</v>
      </c>
    </row>
    <row r="1897" spans="9:17" x14ac:dyDescent="0.45">
      <c r="I1897" t="s">
        <v>189</v>
      </c>
      <c r="J1897" t="s">
        <v>167</v>
      </c>
      <c r="K1897">
        <v>6.5672444583394482E-2</v>
      </c>
      <c r="L1897" t="s">
        <v>159</v>
      </c>
      <c r="N1897" t="s">
        <v>232</v>
      </c>
      <c r="O1897" t="s">
        <v>167</v>
      </c>
      <c r="P1897">
        <v>1.7854407819453449E-2</v>
      </c>
      <c r="Q1897" t="s">
        <v>159</v>
      </c>
    </row>
    <row r="1898" spans="9:17" x14ac:dyDescent="0.45">
      <c r="I1898" t="s">
        <v>189</v>
      </c>
      <c r="J1898" t="s">
        <v>291</v>
      </c>
      <c r="K1898">
        <v>5.5235402089531069E-3</v>
      </c>
      <c r="L1898" t="s">
        <v>159</v>
      </c>
      <c r="N1898" t="s">
        <v>232</v>
      </c>
      <c r="O1898" t="s">
        <v>291</v>
      </c>
      <c r="P1898">
        <v>2.0454020313568975E-3</v>
      </c>
      <c r="Q1898" t="s">
        <v>159</v>
      </c>
    </row>
    <row r="1899" spans="9:17" x14ac:dyDescent="0.45">
      <c r="I1899" t="s">
        <v>189</v>
      </c>
      <c r="J1899" t="s">
        <v>292</v>
      </c>
      <c r="K1899">
        <v>6.4730909449733399E-4</v>
      </c>
      <c r="L1899" t="s">
        <v>159</v>
      </c>
      <c r="N1899" t="s">
        <v>232</v>
      </c>
      <c r="O1899" t="s">
        <v>292</v>
      </c>
      <c r="P1899">
        <v>2.8872490789958872E-3</v>
      </c>
      <c r="Q1899" t="s">
        <v>159</v>
      </c>
    </row>
    <row r="1900" spans="9:17" x14ac:dyDescent="0.45">
      <c r="I1900" t="s">
        <v>189</v>
      </c>
      <c r="J1900" t="s">
        <v>310</v>
      </c>
      <c r="K1900">
        <v>0</v>
      </c>
      <c r="L1900" t="s">
        <v>159</v>
      </c>
      <c r="N1900" t="s">
        <v>232</v>
      </c>
      <c r="O1900" t="s">
        <v>310</v>
      </c>
      <c r="P1900">
        <v>2.1879352420516401E-2</v>
      </c>
      <c r="Q1900" t="s">
        <v>159</v>
      </c>
    </row>
    <row r="1901" spans="9:17" x14ac:dyDescent="0.45">
      <c r="I1901" t="s">
        <v>189</v>
      </c>
      <c r="J1901" t="s">
        <v>293</v>
      </c>
      <c r="K1901">
        <v>0</v>
      </c>
      <c r="L1901" t="s">
        <v>159</v>
      </c>
      <c r="N1901" t="s">
        <v>232</v>
      </c>
      <c r="O1901" t="s">
        <v>293</v>
      </c>
      <c r="P1901">
        <v>8.1336579191260746E-3</v>
      </c>
      <c r="Q1901" t="s">
        <v>159</v>
      </c>
    </row>
    <row r="1902" spans="9:17" x14ac:dyDescent="0.45">
      <c r="I1902" t="s">
        <v>189</v>
      </c>
      <c r="J1902" t="s">
        <v>294</v>
      </c>
      <c r="K1902">
        <v>8.0794543127141172E-4</v>
      </c>
      <c r="L1902" t="s">
        <v>159</v>
      </c>
      <c r="N1902" t="s">
        <v>232</v>
      </c>
      <c r="O1902" t="s">
        <v>294</v>
      </c>
      <c r="P1902">
        <v>8.7237761982789899E-4</v>
      </c>
      <c r="Q1902" t="s">
        <v>159</v>
      </c>
    </row>
    <row r="1903" spans="9:17" x14ac:dyDescent="0.45">
      <c r="I1903" t="s">
        <v>189</v>
      </c>
      <c r="J1903" t="s">
        <v>295</v>
      </c>
      <c r="K1903">
        <v>1.5324151692563626E-2</v>
      </c>
      <c r="L1903" t="s">
        <v>159</v>
      </c>
      <c r="N1903" t="s">
        <v>232</v>
      </c>
      <c r="O1903" t="s">
        <v>295</v>
      </c>
      <c r="P1903">
        <v>7.4732253528918546E-3</v>
      </c>
      <c r="Q1903" t="s">
        <v>159</v>
      </c>
    </row>
    <row r="1904" spans="9:17" x14ac:dyDescent="0.45">
      <c r="I1904" t="s">
        <v>189</v>
      </c>
      <c r="J1904" t="s">
        <v>296</v>
      </c>
      <c r="K1904">
        <v>1.2125969705628968E-3</v>
      </c>
      <c r="L1904" t="s">
        <v>159</v>
      </c>
      <c r="N1904" t="s">
        <v>232</v>
      </c>
      <c r="O1904" t="s">
        <v>296</v>
      </c>
      <c r="P1904">
        <v>8.14179603823202E-4</v>
      </c>
      <c r="Q1904" t="s">
        <v>159</v>
      </c>
    </row>
    <row r="1905" spans="9:17" x14ac:dyDescent="0.45">
      <c r="I1905" t="s">
        <v>189</v>
      </c>
      <c r="J1905" t="s">
        <v>297</v>
      </c>
      <c r="K1905">
        <v>8.0447439399531956E-4</v>
      </c>
      <c r="L1905" t="s">
        <v>159</v>
      </c>
      <c r="N1905" t="s">
        <v>232</v>
      </c>
      <c r="O1905" t="s">
        <v>297</v>
      </c>
      <c r="P1905">
        <v>9.8912109202506024E-4</v>
      </c>
      <c r="Q1905" t="s">
        <v>159</v>
      </c>
    </row>
    <row r="1906" spans="9:17" x14ac:dyDescent="0.45">
      <c r="I1906" t="s">
        <v>189</v>
      </c>
      <c r="J1906" t="s">
        <v>311</v>
      </c>
      <c r="K1906">
        <v>0</v>
      </c>
      <c r="L1906" t="s">
        <v>159</v>
      </c>
      <c r="N1906" t="s">
        <v>232</v>
      </c>
      <c r="O1906" t="s">
        <v>311</v>
      </c>
      <c r="P1906">
        <v>8.4795938143885259E-3</v>
      </c>
      <c r="Q1906" t="s">
        <v>159</v>
      </c>
    </row>
    <row r="1907" spans="9:17" x14ac:dyDescent="0.45">
      <c r="I1907" t="s">
        <v>189</v>
      </c>
      <c r="J1907" t="s">
        <v>298</v>
      </c>
      <c r="K1907">
        <v>3.939439645977919E-3</v>
      </c>
      <c r="L1907" t="s">
        <v>159</v>
      </c>
      <c r="N1907" t="s">
        <v>232</v>
      </c>
      <c r="O1907" t="s">
        <v>298</v>
      </c>
      <c r="P1907">
        <v>0.1149005170269832</v>
      </c>
      <c r="Q1907" t="s">
        <v>159</v>
      </c>
    </row>
    <row r="1908" spans="9:17" x14ac:dyDescent="0.45">
      <c r="I1908" t="s">
        <v>189</v>
      </c>
      <c r="J1908" t="s">
        <v>299</v>
      </c>
      <c r="K1908">
        <v>1.4988545918992907E-2</v>
      </c>
      <c r="L1908" t="s">
        <v>159</v>
      </c>
      <c r="N1908" t="s">
        <v>232</v>
      </c>
      <c r="O1908" t="s">
        <v>299</v>
      </c>
      <c r="P1908">
        <v>1.3470547786058882E-2</v>
      </c>
      <c r="Q1908" t="s">
        <v>159</v>
      </c>
    </row>
    <row r="1909" spans="9:17" x14ac:dyDescent="0.45">
      <c r="I1909" t="s">
        <v>189</v>
      </c>
      <c r="J1909" t="s">
        <v>300</v>
      </c>
      <c r="K1909">
        <v>0.24167068497390004</v>
      </c>
      <c r="L1909" t="s">
        <v>159</v>
      </c>
      <c r="N1909" t="s">
        <v>232</v>
      </c>
      <c r="O1909" t="s">
        <v>300</v>
      </c>
      <c r="P1909">
        <v>9.9633678430542674E-2</v>
      </c>
      <c r="Q1909" t="s">
        <v>159</v>
      </c>
    </row>
    <row r="1910" spans="9:17" x14ac:dyDescent="0.45">
      <c r="I1910" t="s">
        <v>189</v>
      </c>
      <c r="J1910" t="s">
        <v>301</v>
      </c>
      <c r="K1910">
        <v>1.8002949479797942E-2</v>
      </c>
      <c r="L1910" t="s">
        <v>159</v>
      </c>
      <c r="N1910" t="s">
        <v>232</v>
      </c>
      <c r="O1910" t="s">
        <v>301</v>
      </c>
      <c r="P1910">
        <v>1.1986208477787596E-2</v>
      </c>
      <c r="Q1910" t="s">
        <v>159</v>
      </c>
    </row>
    <row r="1911" spans="9:17" x14ac:dyDescent="0.45">
      <c r="I1911" t="s">
        <v>189</v>
      </c>
      <c r="J1911" t="s">
        <v>302</v>
      </c>
      <c r="K1911">
        <v>1.1622039261844366E-2</v>
      </c>
      <c r="L1911" t="s">
        <v>159</v>
      </c>
      <c r="N1911" t="s">
        <v>232</v>
      </c>
      <c r="O1911" t="s">
        <v>302</v>
      </c>
      <c r="P1911">
        <v>1.4774993146266754E-2</v>
      </c>
      <c r="Q1911" t="s">
        <v>159</v>
      </c>
    </row>
    <row r="1912" spans="9:17" x14ac:dyDescent="0.45">
      <c r="I1912" t="s">
        <v>189</v>
      </c>
      <c r="J1912" t="s">
        <v>312</v>
      </c>
      <c r="K1912">
        <v>0</v>
      </c>
      <c r="L1912" t="s">
        <v>159</v>
      </c>
      <c r="N1912" t="s">
        <v>232</v>
      </c>
      <c r="O1912" t="s">
        <v>312</v>
      </c>
      <c r="P1912">
        <v>0.11959197999010152</v>
      </c>
      <c r="Q1912" t="s">
        <v>159</v>
      </c>
    </row>
    <row r="1913" spans="9:17" x14ac:dyDescent="0.45">
      <c r="I1913" t="s">
        <v>189</v>
      </c>
      <c r="J1913" t="s">
        <v>397</v>
      </c>
      <c r="K1913">
        <v>0</v>
      </c>
      <c r="L1913" t="s">
        <v>159</v>
      </c>
      <c r="N1913" t="s">
        <v>232</v>
      </c>
      <c r="O1913" t="s">
        <v>397</v>
      </c>
      <c r="P1913">
        <v>1.9637774104529701E-4</v>
      </c>
      <c r="Q1913" t="s">
        <v>159</v>
      </c>
    </row>
    <row r="1914" spans="9:17" x14ac:dyDescent="0.45">
      <c r="I1914" t="s">
        <v>189</v>
      </c>
      <c r="J1914" t="s">
        <v>398</v>
      </c>
      <c r="K1914">
        <v>0</v>
      </c>
      <c r="L1914" t="s">
        <v>159</v>
      </c>
      <c r="N1914" t="s">
        <v>232</v>
      </c>
      <c r="O1914" t="s">
        <v>398</v>
      </c>
      <c r="P1914">
        <v>1.7742372865659728E-4</v>
      </c>
      <c r="Q1914" t="s">
        <v>159</v>
      </c>
    </row>
    <row r="1915" spans="9:17" x14ac:dyDescent="0.45">
      <c r="I1915" t="s">
        <v>189</v>
      </c>
      <c r="J1915" t="s">
        <v>399</v>
      </c>
      <c r="K1915">
        <v>0</v>
      </c>
      <c r="L1915" t="s">
        <v>159</v>
      </c>
      <c r="N1915" t="s">
        <v>232</v>
      </c>
      <c r="O1915" t="s">
        <v>399</v>
      </c>
      <c r="P1915">
        <v>1.4694900202553228E-4</v>
      </c>
      <c r="Q1915" t="s">
        <v>159</v>
      </c>
    </row>
    <row r="1916" spans="9:17" x14ac:dyDescent="0.45">
      <c r="I1916" t="s">
        <v>189</v>
      </c>
      <c r="J1916" t="s">
        <v>400</v>
      </c>
      <c r="K1916">
        <v>0</v>
      </c>
      <c r="L1916" t="s">
        <v>159</v>
      </c>
      <c r="N1916" t="s">
        <v>232</v>
      </c>
      <c r="O1916" t="s">
        <v>400</v>
      </c>
      <c r="P1916">
        <v>1.2665860533798271E-4</v>
      </c>
      <c r="Q1916" t="s">
        <v>159</v>
      </c>
    </row>
    <row r="1917" spans="9:17" x14ac:dyDescent="0.45">
      <c r="I1917" t="s">
        <v>189</v>
      </c>
      <c r="J1917" t="s">
        <v>401</v>
      </c>
      <c r="K1917">
        <v>0</v>
      </c>
      <c r="L1917" t="s">
        <v>159</v>
      </c>
      <c r="N1917" t="s">
        <v>232</v>
      </c>
      <c r="O1917" t="s">
        <v>401</v>
      </c>
      <c r="P1917">
        <v>1.0705977072672007E-4</v>
      </c>
      <c r="Q1917" t="s">
        <v>159</v>
      </c>
    </row>
    <row r="1918" spans="9:17" x14ac:dyDescent="0.45">
      <c r="I1918" t="s">
        <v>189</v>
      </c>
      <c r="J1918" t="s">
        <v>402</v>
      </c>
      <c r="K1918">
        <v>0</v>
      </c>
      <c r="L1918" t="s">
        <v>159</v>
      </c>
      <c r="N1918" t="s">
        <v>232</v>
      </c>
      <c r="O1918" t="s">
        <v>402</v>
      </c>
      <c r="P1918">
        <v>9.9636164670310827E-5</v>
      </c>
      <c r="Q1918" t="s">
        <v>159</v>
      </c>
    </row>
    <row r="1919" spans="9:17" x14ac:dyDescent="0.45">
      <c r="I1919" t="s">
        <v>189</v>
      </c>
      <c r="J1919" t="s">
        <v>403</v>
      </c>
      <c r="K1919">
        <v>0</v>
      </c>
      <c r="L1919" t="s">
        <v>159</v>
      </c>
      <c r="N1919" t="s">
        <v>232</v>
      </c>
      <c r="O1919" t="s">
        <v>403</v>
      </c>
      <c r="P1919">
        <v>9.4828504046389717E-5</v>
      </c>
      <c r="Q1919" t="s">
        <v>159</v>
      </c>
    </row>
    <row r="1920" spans="9:17" x14ac:dyDescent="0.45">
      <c r="I1920" t="s">
        <v>189</v>
      </c>
      <c r="J1920" t="s">
        <v>404</v>
      </c>
      <c r="K1920">
        <v>2.0549290800462954E-4</v>
      </c>
      <c r="L1920" t="s">
        <v>159</v>
      </c>
      <c r="N1920" t="s">
        <v>232</v>
      </c>
      <c r="O1920" t="s">
        <v>404</v>
      </c>
      <c r="P1920">
        <v>8.1976876178870508E-5</v>
      </c>
      <c r="Q1920" t="s">
        <v>159</v>
      </c>
    </row>
    <row r="1921" spans="9:17" x14ac:dyDescent="0.45">
      <c r="I1921" t="s">
        <v>189</v>
      </c>
      <c r="J1921" t="s">
        <v>405</v>
      </c>
      <c r="K1921">
        <v>3.0562476030858839E-4</v>
      </c>
      <c r="L1921" t="s">
        <v>159</v>
      </c>
      <c r="N1921" t="s">
        <v>232</v>
      </c>
      <c r="O1921" t="s">
        <v>405</v>
      </c>
      <c r="P1921">
        <v>5.4499420363701497E-5</v>
      </c>
      <c r="Q1921" t="s">
        <v>159</v>
      </c>
    </row>
    <row r="1922" spans="9:17" x14ac:dyDescent="0.45">
      <c r="I1922" t="s">
        <v>189</v>
      </c>
      <c r="J1922" t="s">
        <v>406</v>
      </c>
      <c r="K1922">
        <v>3.3743921965572664E-4</v>
      </c>
      <c r="L1922" t="s">
        <v>159</v>
      </c>
      <c r="N1922" t="s">
        <v>232</v>
      </c>
      <c r="O1922" t="s">
        <v>406</v>
      </c>
      <c r="P1922">
        <v>6.8252883301371238E-5</v>
      </c>
      <c r="Q1922" t="s">
        <v>159</v>
      </c>
    </row>
    <row r="1923" spans="9:17" x14ac:dyDescent="0.45">
      <c r="I1923" t="s">
        <v>189</v>
      </c>
      <c r="J1923" t="s">
        <v>407</v>
      </c>
      <c r="K1923">
        <v>3.5131311037522943E-4</v>
      </c>
      <c r="L1923" t="s">
        <v>159</v>
      </c>
      <c r="N1923" t="s">
        <v>232</v>
      </c>
      <c r="O1923" t="s">
        <v>407</v>
      </c>
      <c r="P1923">
        <v>7.746214534861098E-5</v>
      </c>
      <c r="Q1923" t="s">
        <v>159</v>
      </c>
    </row>
    <row r="1924" spans="9:17" x14ac:dyDescent="0.45">
      <c r="I1924" t="s">
        <v>189</v>
      </c>
      <c r="J1924" t="s">
        <v>408</v>
      </c>
      <c r="K1924">
        <v>3.6969868255965963E-4</v>
      </c>
      <c r="L1924" t="s">
        <v>159</v>
      </c>
      <c r="N1924" t="s">
        <v>232</v>
      </c>
      <c r="O1924" t="s">
        <v>408</v>
      </c>
      <c r="P1924">
        <v>8.4172548760464946E-5</v>
      </c>
      <c r="Q1924" t="s">
        <v>159</v>
      </c>
    </row>
    <row r="1925" spans="9:17" x14ac:dyDescent="0.45">
      <c r="I1925" t="s">
        <v>189</v>
      </c>
      <c r="J1925" t="s">
        <v>409</v>
      </c>
      <c r="K1925">
        <v>3.9232253302222907E-4</v>
      </c>
      <c r="L1925" t="s">
        <v>159</v>
      </c>
      <c r="N1925" t="s">
        <v>232</v>
      </c>
      <c r="O1925" t="s">
        <v>409</v>
      </c>
      <c r="P1925">
        <v>9.1011977391727204E-5</v>
      </c>
      <c r="Q1925" t="s">
        <v>159</v>
      </c>
    </row>
    <row r="1926" spans="9:17" x14ac:dyDescent="0.45">
      <c r="I1926" t="s">
        <v>189</v>
      </c>
      <c r="J1926" t="s">
        <v>410</v>
      </c>
      <c r="K1926">
        <v>3.7111017959414724E-4</v>
      </c>
      <c r="L1926" t="s">
        <v>159</v>
      </c>
      <c r="N1926" t="s">
        <v>232</v>
      </c>
      <c r="O1926" t="s">
        <v>410</v>
      </c>
      <c r="P1926">
        <v>9.5616719597083012E-5</v>
      </c>
      <c r="Q1926" t="s">
        <v>159</v>
      </c>
    </row>
    <row r="1927" spans="9:17" x14ac:dyDescent="0.45">
      <c r="I1927" t="s">
        <v>189</v>
      </c>
      <c r="J1927" t="s">
        <v>411</v>
      </c>
      <c r="K1927">
        <v>3.4264117121948301E-4</v>
      </c>
      <c r="L1927" t="s">
        <v>159</v>
      </c>
      <c r="N1927" t="s">
        <v>232</v>
      </c>
      <c r="O1927" t="s">
        <v>411</v>
      </c>
      <c r="P1927">
        <v>9.4762414262120306E-5</v>
      </c>
      <c r="Q1927" t="s">
        <v>159</v>
      </c>
    </row>
    <row r="1928" spans="9:17" x14ac:dyDescent="0.45">
      <c r="I1928" t="s">
        <v>189</v>
      </c>
      <c r="J1928" t="s">
        <v>412</v>
      </c>
      <c r="K1928">
        <v>3.1193109883591297E-4</v>
      </c>
      <c r="L1928" t="s">
        <v>159</v>
      </c>
      <c r="N1928" t="s">
        <v>232</v>
      </c>
      <c r="O1928" t="s">
        <v>412</v>
      </c>
      <c r="P1928">
        <v>8.5757309662106001E-5</v>
      </c>
      <c r="Q1928" t="s">
        <v>159</v>
      </c>
    </row>
    <row r="1929" spans="9:17" x14ac:dyDescent="0.45">
      <c r="I1929" t="s">
        <v>189</v>
      </c>
      <c r="J1929" t="s">
        <v>413</v>
      </c>
      <c r="K1929">
        <v>2.91950728241668E-4</v>
      </c>
      <c r="L1929" t="s">
        <v>159</v>
      </c>
      <c r="N1929" t="s">
        <v>232</v>
      </c>
      <c r="O1929" t="s">
        <v>413</v>
      </c>
      <c r="P1929">
        <v>8.070261070896494E-5</v>
      </c>
      <c r="Q1929" t="s">
        <v>159</v>
      </c>
    </row>
    <row r="1930" spans="9:17" x14ac:dyDescent="0.45">
      <c r="I1930" t="s">
        <v>189</v>
      </c>
      <c r="J1930" t="s">
        <v>414</v>
      </c>
      <c r="K1930">
        <v>2.546317092231874E-4</v>
      </c>
      <c r="L1930" t="s">
        <v>159</v>
      </c>
      <c r="N1930" t="s">
        <v>232</v>
      </c>
      <c r="O1930" t="s">
        <v>414</v>
      </c>
      <c r="P1930">
        <v>9.7169043801308234E-5</v>
      </c>
      <c r="Q1930" t="s">
        <v>159</v>
      </c>
    </row>
    <row r="1931" spans="9:17" x14ac:dyDescent="0.45">
      <c r="I1931" t="s">
        <v>189</v>
      </c>
      <c r="J1931" t="s">
        <v>415</v>
      </c>
      <c r="K1931">
        <v>1.6481469078256415E-4</v>
      </c>
      <c r="L1931" t="s">
        <v>159</v>
      </c>
      <c r="N1931" t="s">
        <v>232</v>
      </c>
      <c r="O1931" t="s">
        <v>415</v>
      </c>
      <c r="P1931">
        <v>1.6737830227820467E-4</v>
      </c>
      <c r="Q1931" t="s">
        <v>159</v>
      </c>
    </row>
    <row r="1932" spans="9:17" x14ac:dyDescent="0.45">
      <c r="I1932" t="s">
        <v>189</v>
      </c>
      <c r="J1932" t="s">
        <v>416</v>
      </c>
      <c r="K1932">
        <v>0</v>
      </c>
      <c r="L1932" t="s">
        <v>159</v>
      </c>
      <c r="N1932" t="s">
        <v>232</v>
      </c>
      <c r="O1932" t="s">
        <v>416</v>
      </c>
      <c r="P1932">
        <v>2.7861384424059387E-4</v>
      </c>
      <c r="Q1932" t="s">
        <v>159</v>
      </c>
    </row>
    <row r="1933" spans="9:17" x14ac:dyDescent="0.45">
      <c r="I1933" t="s">
        <v>189</v>
      </c>
      <c r="J1933" t="s">
        <v>417</v>
      </c>
      <c r="K1933">
        <v>0</v>
      </c>
      <c r="L1933" t="s">
        <v>159</v>
      </c>
      <c r="N1933" t="s">
        <v>232</v>
      </c>
      <c r="O1933" t="s">
        <v>417</v>
      </c>
      <c r="P1933">
        <v>3.2897122254804326E-4</v>
      </c>
      <c r="Q1933" t="s">
        <v>159</v>
      </c>
    </row>
    <row r="1934" spans="9:17" x14ac:dyDescent="0.45">
      <c r="I1934" t="s">
        <v>189</v>
      </c>
      <c r="J1934" t="s">
        <v>418</v>
      </c>
      <c r="K1934">
        <v>0</v>
      </c>
      <c r="L1934" t="s">
        <v>159</v>
      </c>
      <c r="N1934" t="s">
        <v>232</v>
      </c>
      <c r="O1934" t="s">
        <v>418</v>
      </c>
      <c r="P1934">
        <v>3.4093526902095276E-4</v>
      </c>
      <c r="Q1934" t="s">
        <v>159</v>
      </c>
    </row>
    <row r="1935" spans="9:17" x14ac:dyDescent="0.45">
      <c r="I1935" t="s">
        <v>189</v>
      </c>
      <c r="J1935" t="s">
        <v>419</v>
      </c>
      <c r="K1935">
        <v>0</v>
      </c>
      <c r="L1935" t="s">
        <v>159</v>
      </c>
      <c r="N1935" t="s">
        <v>232</v>
      </c>
      <c r="O1935" t="s">
        <v>419</v>
      </c>
      <c r="P1935">
        <v>3.3175409108022081E-4</v>
      </c>
      <c r="Q1935" t="s">
        <v>159</v>
      </c>
    </row>
    <row r="1936" spans="9:17" x14ac:dyDescent="0.45">
      <c r="I1936" t="s">
        <v>189</v>
      </c>
      <c r="J1936" t="s">
        <v>420</v>
      </c>
      <c r="K1936">
        <v>0</v>
      </c>
      <c r="L1936" t="s">
        <v>159</v>
      </c>
      <c r="N1936" t="s">
        <v>232</v>
      </c>
      <c r="O1936" t="s">
        <v>420</v>
      </c>
      <c r="P1936">
        <v>3.0143148185835504E-4</v>
      </c>
      <c r="Q1936" t="s">
        <v>159</v>
      </c>
    </row>
    <row r="1937" spans="9:17" x14ac:dyDescent="0.45">
      <c r="I1937" t="s">
        <v>189</v>
      </c>
      <c r="J1937" t="s">
        <v>313</v>
      </c>
      <c r="K1937">
        <v>1.7418392595712668E-3</v>
      </c>
      <c r="L1937" t="s">
        <v>159</v>
      </c>
      <c r="N1937" t="s">
        <v>232</v>
      </c>
      <c r="O1937" t="s">
        <v>313</v>
      </c>
      <c r="P1937">
        <v>2.0982365981701296E-2</v>
      </c>
      <c r="Q1937" t="s">
        <v>159</v>
      </c>
    </row>
    <row r="1938" spans="9:17" x14ac:dyDescent="0.45">
      <c r="I1938" t="s">
        <v>189</v>
      </c>
      <c r="J1938" t="s">
        <v>314</v>
      </c>
      <c r="K1938">
        <v>3.4291902927086788E-3</v>
      </c>
      <c r="L1938" t="s">
        <v>159</v>
      </c>
      <c r="N1938" t="s">
        <v>232</v>
      </c>
      <c r="O1938" t="s">
        <v>314</v>
      </c>
      <c r="P1938">
        <v>2.3629644909417586E-3</v>
      </c>
      <c r="Q1938" t="s">
        <v>159</v>
      </c>
    </row>
    <row r="1939" spans="9:17" x14ac:dyDescent="0.45">
      <c r="I1939" t="s">
        <v>189</v>
      </c>
      <c r="J1939" t="s">
        <v>315</v>
      </c>
      <c r="K1939">
        <v>6.2584696796567946E-2</v>
      </c>
      <c r="L1939" t="s">
        <v>159</v>
      </c>
      <c r="N1939" t="s">
        <v>232</v>
      </c>
      <c r="O1939" t="s">
        <v>315</v>
      </c>
      <c r="P1939">
        <v>1.9855952542394504E-2</v>
      </c>
      <c r="Q1939" t="s">
        <v>159</v>
      </c>
    </row>
    <row r="1940" spans="9:17" x14ac:dyDescent="0.45">
      <c r="I1940" t="s">
        <v>189</v>
      </c>
      <c r="J1940" t="s">
        <v>316</v>
      </c>
      <c r="K1940">
        <v>4.9580133670001809E-3</v>
      </c>
      <c r="L1940" t="s">
        <v>159</v>
      </c>
      <c r="N1940" t="s">
        <v>232</v>
      </c>
      <c r="O1940" t="s">
        <v>316</v>
      </c>
      <c r="P1940">
        <v>2.370025578335514E-3</v>
      </c>
      <c r="Q1940" t="s">
        <v>159</v>
      </c>
    </row>
    <row r="1941" spans="9:17" x14ac:dyDescent="0.45">
      <c r="I1941" t="s">
        <v>189</v>
      </c>
      <c r="J1941" t="s">
        <v>317</v>
      </c>
      <c r="K1941">
        <v>3.4509508683690971E-3</v>
      </c>
      <c r="L1941" t="s">
        <v>159</v>
      </c>
      <c r="N1941" t="s">
        <v>232</v>
      </c>
      <c r="O1941" t="s">
        <v>317</v>
      </c>
      <c r="P1941">
        <v>3.0250586928873258E-3</v>
      </c>
      <c r="Q1941" t="s">
        <v>159</v>
      </c>
    </row>
    <row r="1942" spans="9:17" x14ac:dyDescent="0.45">
      <c r="I1942" t="s">
        <v>189</v>
      </c>
      <c r="J1942" t="s">
        <v>318</v>
      </c>
      <c r="K1942">
        <v>1.5541730298439399E-3</v>
      </c>
      <c r="L1942" t="s">
        <v>159</v>
      </c>
      <c r="N1942" t="s">
        <v>232</v>
      </c>
      <c r="O1942" t="s">
        <v>318</v>
      </c>
      <c r="P1942">
        <v>2.4346395865399249E-2</v>
      </c>
      <c r="Q1942" t="s">
        <v>159</v>
      </c>
    </row>
    <row r="1943" spans="9:17" x14ac:dyDescent="0.45">
      <c r="I1943" t="s">
        <v>190</v>
      </c>
      <c r="J1943" t="s">
        <v>158</v>
      </c>
      <c r="K1943">
        <v>1.0581243755480949E-3</v>
      </c>
      <c r="L1943" t="s">
        <v>159</v>
      </c>
      <c r="N1943" t="s">
        <v>233</v>
      </c>
      <c r="O1943" t="s">
        <v>158</v>
      </c>
      <c r="P1943">
        <v>0.15003548151857043</v>
      </c>
      <c r="Q1943" t="s">
        <v>159</v>
      </c>
    </row>
    <row r="1944" spans="9:17" x14ac:dyDescent="0.45">
      <c r="I1944" t="s">
        <v>190</v>
      </c>
      <c r="J1944" t="s">
        <v>160</v>
      </c>
      <c r="K1944">
        <v>2.0586497186446489E-2</v>
      </c>
      <c r="L1944" t="s">
        <v>159</v>
      </c>
      <c r="N1944" t="s">
        <v>233</v>
      </c>
      <c r="O1944" t="s">
        <v>160</v>
      </c>
      <c r="P1944">
        <v>1.5912840587272613E-2</v>
      </c>
      <c r="Q1944" t="s">
        <v>159</v>
      </c>
    </row>
    <row r="1945" spans="9:17" x14ac:dyDescent="0.45">
      <c r="I1945" t="s">
        <v>190</v>
      </c>
      <c r="J1945" t="s">
        <v>161</v>
      </c>
      <c r="K1945">
        <v>0.3987809680278247</v>
      </c>
      <c r="L1945" t="s">
        <v>159</v>
      </c>
      <c r="N1945" t="s">
        <v>233</v>
      </c>
      <c r="O1945" t="s">
        <v>161</v>
      </c>
      <c r="P1945">
        <v>9.2158631340072003E-2</v>
      </c>
      <c r="Q1945" t="s">
        <v>159</v>
      </c>
    </row>
    <row r="1946" spans="9:17" x14ac:dyDescent="0.45">
      <c r="I1946" t="s">
        <v>190</v>
      </c>
      <c r="J1946" t="s">
        <v>287</v>
      </c>
      <c r="K1946">
        <v>3.5515486396560339E-2</v>
      </c>
      <c r="L1946" t="s">
        <v>159</v>
      </c>
      <c r="N1946" t="s">
        <v>233</v>
      </c>
      <c r="O1946" t="s">
        <v>287</v>
      </c>
      <c r="P1946">
        <v>7.4329966337060875E-3</v>
      </c>
      <c r="Q1946" t="s">
        <v>159</v>
      </c>
    </row>
    <row r="1947" spans="9:17" x14ac:dyDescent="0.45">
      <c r="I1947" t="s">
        <v>190</v>
      </c>
      <c r="J1947" t="s">
        <v>288</v>
      </c>
      <c r="K1947">
        <v>1.9267528361957154E-2</v>
      </c>
      <c r="L1947" t="s">
        <v>159</v>
      </c>
      <c r="N1947" t="s">
        <v>233</v>
      </c>
      <c r="O1947" t="s">
        <v>288</v>
      </c>
      <c r="P1947">
        <v>9.327883057821694E-3</v>
      </c>
      <c r="Q1947" t="s">
        <v>159</v>
      </c>
    </row>
    <row r="1948" spans="9:17" x14ac:dyDescent="0.45">
      <c r="I1948" t="s">
        <v>190</v>
      </c>
      <c r="J1948" t="s">
        <v>308</v>
      </c>
      <c r="K1948">
        <v>4.9341144028411804E-3</v>
      </c>
      <c r="L1948" t="s">
        <v>159</v>
      </c>
      <c r="N1948" t="s">
        <v>233</v>
      </c>
      <c r="O1948" t="s">
        <v>308</v>
      </c>
      <c r="P1948">
        <v>9.2400632558156018E-2</v>
      </c>
      <c r="Q1948" t="s">
        <v>159</v>
      </c>
    </row>
    <row r="1949" spans="9:17" x14ac:dyDescent="0.45">
      <c r="I1949" t="s">
        <v>190</v>
      </c>
      <c r="J1949" t="s">
        <v>162</v>
      </c>
      <c r="K1949">
        <v>0</v>
      </c>
      <c r="L1949" t="s">
        <v>159</v>
      </c>
      <c r="N1949" t="s">
        <v>233</v>
      </c>
      <c r="O1949" t="s">
        <v>162</v>
      </c>
      <c r="P1949">
        <v>2.2923056444343809E-2</v>
      </c>
      <c r="Q1949" t="s">
        <v>159</v>
      </c>
    </row>
    <row r="1950" spans="9:17" x14ac:dyDescent="0.45">
      <c r="I1950" t="s">
        <v>190</v>
      </c>
      <c r="J1950" t="s">
        <v>163</v>
      </c>
      <c r="K1950">
        <v>0</v>
      </c>
      <c r="L1950" t="s">
        <v>159</v>
      </c>
      <c r="N1950" t="s">
        <v>233</v>
      </c>
      <c r="O1950" t="s">
        <v>163</v>
      </c>
      <c r="P1950">
        <v>2.5976694449395803E-3</v>
      </c>
      <c r="Q1950" t="s">
        <v>159</v>
      </c>
    </row>
    <row r="1951" spans="9:17" x14ac:dyDescent="0.45">
      <c r="I1951" t="s">
        <v>190</v>
      </c>
      <c r="J1951" t="s">
        <v>164</v>
      </c>
      <c r="K1951">
        <v>5.102991272507737E-2</v>
      </c>
      <c r="L1951" t="s">
        <v>159</v>
      </c>
      <c r="N1951" t="s">
        <v>233</v>
      </c>
      <c r="O1951" t="s">
        <v>164</v>
      </c>
      <c r="P1951">
        <v>1.77865207022944E-2</v>
      </c>
      <c r="Q1951" t="s">
        <v>159</v>
      </c>
    </row>
    <row r="1952" spans="9:17" x14ac:dyDescent="0.45">
      <c r="I1952" t="s">
        <v>190</v>
      </c>
      <c r="J1952" t="s">
        <v>289</v>
      </c>
      <c r="K1952">
        <v>4.0254794634218697E-3</v>
      </c>
      <c r="L1952" t="s">
        <v>159</v>
      </c>
      <c r="N1952" t="s">
        <v>233</v>
      </c>
      <c r="O1952" t="s">
        <v>289</v>
      </c>
      <c r="P1952">
        <v>1.629985369970613E-3</v>
      </c>
      <c r="Q1952" t="s">
        <v>159</v>
      </c>
    </row>
    <row r="1953" spans="9:17" x14ac:dyDescent="0.45">
      <c r="I1953" t="s">
        <v>190</v>
      </c>
      <c r="J1953" t="s">
        <v>290</v>
      </c>
      <c r="K1953">
        <v>0</v>
      </c>
      <c r="L1953" t="s">
        <v>159</v>
      </c>
      <c r="N1953" t="s">
        <v>233</v>
      </c>
      <c r="O1953" t="s">
        <v>290</v>
      </c>
      <c r="P1953">
        <v>2.098882009315216E-3</v>
      </c>
      <c r="Q1953" t="s">
        <v>159</v>
      </c>
    </row>
    <row r="1954" spans="9:17" x14ac:dyDescent="0.45">
      <c r="I1954" t="s">
        <v>190</v>
      </c>
      <c r="J1954" t="s">
        <v>309</v>
      </c>
      <c r="K1954">
        <v>0</v>
      </c>
      <c r="L1954" t="s">
        <v>159</v>
      </c>
      <c r="N1954" t="s">
        <v>233</v>
      </c>
      <c r="O1954" t="s">
        <v>309</v>
      </c>
      <c r="P1954">
        <v>1.8162372498845482E-2</v>
      </c>
      <c r="Q1954" t="s">
        <v>159</v>
      </c>
    </row>
    <row r="1955" spans="9:17" x14ac:dyDescent="0.45">
      <c r="I1955" t="s">
        <v>190</v>
      </c>
      <c r="J1955" t="s">
        <v>346</v>
      </c>
      <c r="K1955">
        <v>0</v>
      </c>
      <c r="L1955" t="s">
        <v>159</v>
      </c>
      <c r="N1955" t="s">
        <v>233</v>
      </c>
      <c r="O1955" t="s">
        <v>346</v>
      </c>
      <c r="P1955">
        <v>5.3790802721429507E-5</v>
      </c>
      <c r="Q1955" t="s">
        <v>159</v>
      </c>
    </row>
    <row r="1956" spans="9:17" x14ac:dyDescent="0.45">
      <c r="I1956" t="s">
        <v>190</v>
      </c>
      <c r="J1956" t="s">
        <v>347</v>
      </c>
      <c r="K1956">
        <v>0</v>
      </c>
      <c r="L1956" t="s">
        <v>159</v>
      </c>
      <c r="N1956" t="s">
        <v>233</v>
      </c>
      <c r="O1956" t="s">
        <v>347</v>
      </c>
      <c r="P1956">
        <v>6.0276998569468179E-5</v>
      </c>
      <c r="Q1956" t="s">
        <v>159</v>
      </c>
    </row>
    <row r="1957" spans="9:17" x14ac:dyDescent="0.45">
      <c r="I1957" t="s">
        <v>190</v>
      </c>
      <c r="J1957" t="s">
        <v>348</v>
      </c>
      <c r="K1957">
        <v>0</v>
      </c>
      <c r="L1957" t="s">
        <v>159</v>
      </c>
      <c r="N1957" t="s">
        <v>233</v>
      </c>
      <c r="O1957" t="s">
        <v>348</v>
      </c>
      <c r="P1957">
        <v>6.9135834333580449E-5</v>
      </c>
      <c r="Q1957" t="s">
        <v>159</v>
      </c>
    </row>
    <row r="1958" spans="9:17" x14ac:dyDescent="0.45">
      <c r="I1958" t="s">
        <v>190</v>
      </c>
      <c r="J1958" t="s">
        <v>349</v>
      </c>
      <c r="K1958">
        <v>0</v>
      </c>
      <c r="L1958" t="s">
        <v>159</v>
      </c>
      <c r="N1958" t="s">
        <v>233</v>
      </c>
      <c r="O1958" t="s">
        <v>349</v>
      </c>
      <c r="P1958">
        <v>7.8771644645066367E-5</v>
      </c>
      <c r="Q1958" t="s">
        <v>159</v>
      </c>
    </row>
    <row r="1959" spans="9:17" x14ac:dyDescent="0.45">
      <c r="I1959" t="s">
        <v>190</v>
      </c>
      <c r="J1959" t="s">
        <v>350</v>
      </c>
      <c r="K1959">
        <v>0</v>
      </c>
      <c r="L1959" t="s">
        <v>159</v>
      </c>
      <c r="N1959" t="s">
        <v>233</v>
      </c>
      <c r="O1959" t="s">
        <v>350</v>
      </c>
      <c r="P1959">
        <v>7.8293833061407459E-5</v>
      </c>
      <c r="Q1959" t="s">
        <v>159</v>
      </c>
    </row>
    <row r="1960" spans="9:17" x14ac:dyDescent="0.45">
      <c r="I1960" t="s">
        <v>190</v>
      </c>
      <c r="J1960" t="s">
        <v>351</v>
      </c>
      <c r="K1960">
        <v>0</v>
      </c>
      <c r="L1960" t="s">
        <v>159</v>
      </c>
      <c r="N1960" t="s">
        <v>233</v>
      </c>
      <c r="O1960" t="s">
        <v>351</v>
      </c>
      <c r="P1960">
        <v>7.5919503941739971E-5</v>
      </c>
      <c r="Q1960" t="s">
        <v>159</v>
      </c>
    </row>
    <row r="1961" spans="9:17" x14ac:dyDescent="0.45">
      <c r="I1961" t="s">
        <v>190</v>
      </c>
      <c r="J1961" t="s">
        <v>352</v>
      </c>
      <c r="K1961">
        <v>0</v>
      </c>
      <c r="L1961" t="s">
        <v>159</v>
      </c>
      <c r="N1961" t="s">
        <v>233</v>
      </c>
      <c r="O1961" t="s">
        <v>352</v>
      </c>
      <c r="P1961">
        <v>8.015139046034064E-5</v>
      </c>
      <c r="Q1961" t="s">
        <v>159</v>
      </c>
    </row>
    <row r="1962" spans="9:17" x14ac:dyDescent="0.45">
      <c r="I1962" t="s">
        <v>190</v>
      </c>
      <c r="J1962" t="s">
        <v>353</v>
      </c>
      <c r="K1962">
        <v>0</v>
      </c>
      <c r="L1962" t="s">
        <v>159</v>
      </c>
      <c r="N1962" t="s">
        <v>233</v>
      </c>
      <c r="O1962" t="s">
        <v>353</v>
      </c>
      <c r="P1962">
        <v>9.0153788249781584E-5</v>
      </c>
      <c r="Q1962" t="s">
        <v>159</v>
      </c>
    </row>
    <row r="1963" spans="9:17" x14ac:dyDescent="0.45">
      <c r="I1963" t="s">
        <v>190</v>
      </c>
      <c r="J1963" t="s">
        <v>354</v>
      </c>
      <c r="K1963">
        <v>1.712953881010804E-4</v>
      </c>
      <c r="L1963" t="s">
        <v>159</v>
      </c>
      <c r="N1963" t="s">
        <v>233</v>
      </c>
      <c r="O1963" t="s">
        <v>354</v>
      </c>
      <c r="P1963">
        <v>7.8359940158623275E-5</v>
      </c>
      <c r="Q1963" t="s">
        <v>159</v>
      </c>
    </row>
    <row r="1964" spans="9:17" x14ac:dyDescent="0.45">
      <c r="I1964" t="s">
        <v>190</v>
      </c>
      <c r="J1964" t="s">
        <v>355</v>
      </c>
      <c r="K1964">
        <v>2.2028937439468594E-4</v>
      </c>
      <c r="L1964" t="s">
        <v>159</v>
      </c>
      <c r="N1964" t="s">
        <v>233</v>
      </c>
      <c r="O1964" t="s">
        <v>355</v>
      </c>
      <c r="P1964">
        <v>4.8820633355267446E-5</v>
      </c>
      <c r="Q1964" t="s">
        <v>159</v>
      </c>
    </row>
    <row r="1965" spans="9:17" x14ac:dyDescent="0.45">
      <c r="I1965" t="s">
        <v>190</v>
      </c>
      <c r="J1965" t="s">
        <v>356</v>
      </c>
      <c r="K1965">
        <v>2.2588024267010612E-4</v>
      </c>
      <c r="L1965" t="s">
        <v>159</v>
      </c>
      <c r="N1965" t="s">
        <v>233</v>
      </c>
      <c r="O1965" t="s">
        <v>356</v>
      </c>
      <c r="P1965">
        <v>5.4963714445831633E-5</v>
      </c>
      <c r="Q1965" t="s">
        <v>159</v>
      </c>
    </row>
    <row r="1966" spans="9:17" x14ac:dyDescent="0.45">
      <c r="I1966" t="s">
        <v>190</v>
      </c>
      <c r="J1966" t="s">
        <v>357</v>
      </c>
      <c r="K1966">
        <v>2.5205402457672676E-4</v>
      </c>
      <c r="L1966" t="s">
        <v>159</v>
      </c>
      <c r="N1966" t="s">
        <v>233</v>
      </c>
      <c r="O1966" t="s">
        <v>357</v>
      </c>
      <c r="P1966">
        <v>4.6820727113332091E-5</v>
      </c>
      <c r="Q1966" t="s">
        <v>159</v>
      </c>
    </row>
    <row r="1967" spans="9:17" x14ac:dyDescent="0.45">
      <c r="I1967" t="s">
        <v>190</v>
      </c>
      <c r="J1967" t="s">
        <v>358</v>
      </c>
      <c r="K1967">
        <v>2.9123562045490939E-4</v>
      </c>
      <c r="L1967" t="s">
        <v>159</v>
      </c>
      <c r="N1967" t="s">
        <v>233</v>
      </c>
      <c r="O1967" t="s">
        <v>358</v>
      </c>
      <c r="P1967">
        <v>3.2531417880076751E-5</v>
      </c>
      <c r="Q1967" t="s">
        <v>159</v>
      </c>
    </row>
    <row r="1968" spans="9:17" x14ac:dyDescent="0.45">
      <c r="I1968" t="s">
        <v>190</v>
      </c>
      <c r="J1968" t="s">
        <v>359</v>
      </c>
      <c r="K1968">
        <v>2.8577867036667351E-4</v>
      </c>
      <c r="L1968" t="s">
        <v>159</v>
      </c>
      <c r="N1968" t="s">
        <v>233</v>
      </c>
      <c r="O1968" t="s">
        <v>359</v>
      </c>
      <c r="P1968">
        <v>2.1441104752626739E-5</v>
      </c>
      <c r="Q1968" t="s">
        <v>159</v>
      </c>
    </row>
    <row r="1969" spans="9:17" x14ac:dyDescent="0.45">
      <c r="I1969" t="s">
        <v>190</v>
      </c>
      <c r="J1969" t="s">
        <v>360</v>
      </c>
      <c r="K1969">
        <v>2.2337053930551954E-4</v>
      </c>
      <c r="L1969" t="s">
        <v>159</v>
      </c>
      <c r="N1969" t="s">
        <v>233</v>
      </c>
      <c r="O1969" t="s">
        <v>360</v>
      </c>
      <c r="P1969">
        <v>1.3293120465375464E-5</v>
      </c>
      <c r="Q1969" t="s">
        <v>159</v>
      </c>
    </row>
    <row r="1970" spans="9:17" x14ac:dyDescent="0.45">
      <c r="I1970" t="s">
        <v>190</v>
      </c>
      <c r="J1970" t="s">
        <v>361</v>
      </c>
      <c r="K1970">
        <v>2.0104854768572083E-4</v>
      </c>
      <c r="L1970" t="s">
        <v>159</v>
      </c>
      <c r="N1970" t="s">
        <v>233</v>
      </c>
      <c r="O1970" t="s">
        <v>361</v>
      </c>
      <c r="P1970">
        <v>1.0275863377779049E-5</v>
      </c>
      <c r="Q1970" t="s">
        <v>159</v>
      </c>
    </row>
    <row r="1971" spans="9:17" x14ac:dyDescent="0.45">
      <c r="I1971" t="s">
        <v>190</v>
      </c>
      <c r="J1971" t="s">
        <v>362</v>
      </c>
      <c r="K1971">
        <v>1.9721372361895635E-4</v>
      </c>
      <c r="L1971" t="s">
        <v>159</v>
      </c>
      <c r="N1971" t="s">
        <v>233</v>
      </c>
      <c r="O1971" t="s">
        <v>362</v>
      </c>
      <c r="P1971">
        <v>1.4651100128344837E-5</v>
      </c>
      <c r="Q1971" t="s">
        <v>159</v>
      </c>
    </row>
    <row r="1972" spans="9:17" x14ac:dyDescent="0.45">
      <c r="I1972" t="s">
        <v>190</v>
      </c>
      <c r="J1972" t="s">
        <v>363</v>
      </c>
      <c r="K1972">
        <v>1.6628657745896758E-4</v>
      </c>
      <c r="L1972" t="s">
        <v>159</v>
      </c>
      <c r="N1972" t="s">
        <v>233</v>
      </c>
      <c r="O1972" t="s">
        <v>363</v>
      </c>
      <c r="P1972">
        <v>3.1648754292161222E-5</v>
      </c>
      <c r="Q1972" t="s">
        <v>159</v>
      </c>
    </row>
    <row r="1973" spans="9:17" x14ac:dyDescent="0.45">
      <c r="I1973" t="s">
        <v>190</v>
      </c>
      <c r="J1973" t="s">
        <v>364</v>
      </c>
      <c r="K1973">
        <v>0</v>
      </c>
      <c r="L1973" t="s">
        <v>159</v>
      </c>
      <c r="N1973" t="s">
        <v>233</v>
      </c>
      <c r="O1973" t="s">
        <v>364</v>
      </c>
      <c r="P1973">
        <v>6.1585567046090788E-5</v>
      </c>
      <c r="Q1973" t="s">
        <v>159</v>
      </c>
    </row>
    <row r="1974" spans="9:17" x14ac:dyDescent="0.45">
      <c r="I1974" t="s">
        <v>190</v>
      </c>
      <c r="J1974" t="s">
        <v>365</v>
      </c>
      <c r="K1974">
        <v>0</v>
      </c>
      <c r="L1974" t="s">
        <v>159</v>
      </c>
      <c r="N1974" t="s">
        <v>233</v>
      </c>
      <c r="O1974" t="s">
        <v>365</v>
      </c>
      <c r="P1974">
        <v>8.57735179840038E-5</v>
      </c>
      <c r="Q1974" t="s">
        <v>159</v>
      </c>
    </row>
    <row r="1975" spans="9:17" x14ac:dyDescent="0.45">
      <c r="I1975" t="s">
        <v>190</v>
      </c>
      <c r="J1975" t="s">
        <v>366</v>
      </c>
      <c r="K1975">
        <v>0</v>
      </c>
      <c r="L1975" t="s">
        <v>159</v>
      </c>
      <c r="N1975" t="s">
        <v>233</v>
      </c>
      <c r="O1975" t="s">
        <v>366</v>
      </c>
      <c r="P1975">
        <v>1.0684758974058443E-4</v>
      </c>
      <c r="Q1975" t="s">
        <v>159</v>
      </c>
    </row>
    <row r="1976" spans="9:17" x14ac:dyDescent="0.45">
      <c r="I1976" t="s">
        <v>190</v>
      </c>
      <c r="J1976" t="s">
        <v>367</v>
      </c>
      <c r="K1976">
        <v>0</v>
      </c>
      <c r="L1976" t="s">
        <v>159</v>
      </c>
      <c r="N1976" t="s">
        <v>233</v>
      </c>
      <c r="O1976" t="s">
        <v>367</v>
      </c>
      <c r="P1976">
        <v>1.224631076160361E-4</v>
      </c>
      <c r="Q1976" t="s">
        <v>159</v>
      </c>
    </row>
    <row r="1977" spans="9:17" x14ac:dyDescent="0.45">
      <c r="I1977" t="s">
        <v>190</v>
      </c>
      <c r="J1977" t="s">
        <v>368</v>
      </c>
      <c r="K1977">
        <v>0</v>
      </c>
      <c r="L1977" t="s">
        <v>159</v>
      </c>
      <c r="N1977" t="s">
        <v>233</v>
      </c>
      <c r="O1977" t="s">
        <v>368</v>
      </c>
      <c r="P1977">
        <v>1.338802829779261E-4</v>
      </c>
      <c r="Q1977" t="s">
        <v>159</v>
      </c>
    </row>
    <row r="1978" spans="9:17" x14ac:dyDescent="0.45">
      <c r="I1978" t="s">
        <v>190</v>
      </c>
      <c r="J1978" t="s">
        <v>369</v>
      </c>
      <c r="K1978">
        <v>0</v>
      </c>
      <c r="L1978" t="s">
        <v>159</v>
      </c>
      <c r="N1978" t="s">
        <v>233</v>
      </c>
      <c r="O1978" t="s">
        <v>369</v>
      </c>
      <c r="P1978">
        <v>1.3750960459557276E-4</v>
      </c>
      <c r="Q1978" t="s">
        <v>159</v>
      </c>
    </row>
    <row r="1979" spans="9:17" x14ac:dyDescent="0.45">
      <c r="I1979" t="s">
        <v>190</v>
      </c>
      <c r="J1979" t="s">
        <v>165</v>
      </c>
      <c r="K1979">
        <v>0</v>
      </c>
      <c r="L1979" t="s">
        <v>159</v>
      </c>
      <c r="N1979" t="s">
        <v>233</v>
      </c>
      <c r="O1979" t="s">
        <v>165</v>
      </c>
      <c r="P1979">
        <v>3.3992506404164048E-2</v>
      </c>
      <c r="Q1979" t="s">
        <v>159</v>
      </c>
    </row>
    <row r="1980" spans="9:17" x14ac:dyDescent="0.45">
      <c r="I1980" t="s">
        <v>190</v>
      </c>
      <c r="J1980" t="s">
        <v>166</v>
      </c>
      <c r="K1980">
        <v>1.0695117393688745E-3</v>
      </c>
      <c r="L1980" t="s">
        <v>159</v>
      </c>
      <c r="N1980" t="s">
        <v>233</v>
      </c>
      <c r="O1980" t="s">
        <v>166</v>
      </c>
      <c r="P1980">
        <v>3.3955458162391182E-3</v>
      </c>
      <c r="Q1980" t="s">
        <v>159</v>
      </c>
    </row>
    <row r="1981" spans="9:17" x14ac:dyDescent="0.45">
      <c r="I1981" t="s">
        <v>190</v>
      </c>
      <c r="J1981" t="s">
        <v>167</v>
      </c>
      <c r="K1981">
        <v>6.1535559256879195E-2</v>
      </c>
      <c r="L1981" t="s">
        <v>159</v>
      </c>
      <c r="N1981" t="s">
        <v>233</v>
      </c>
      <c r="O1981" t="s">
        <v>167</v>
      </c>
      <c r="P1981">
        <v>1.8270635263396322E-2</v>
      </c>
      <c r="Q1981" t="s">
        <v>159</v>
      </c>
    </row>
    <row r="1982" spans="9:17" x14ac:dyDescent="0.45">
      <c r="I1982" t="s">
        <v>190</v>
      </c>
      <c r="J1982" t="s">
        <v>291</v>
      </c>
      <c r="K1982">
        <v>4.5358745739254658E-3</v>
      </c>
      <c r="L1982" t="s">
        <v>159</v>
      </c>
      <c r="N1982" t="s">
        <v>233</v>
      </c>
      <c r="O1982" t="s">
        <v>291</v>
      </c>
      <c r="P1982">
        <v>2.1788672763303303E-3</v>
      </c>
      <c r="Q1982" t="s">
        <v>159</v>
      </c>
    </row>
    <row r="1983" spans="9:17" x14ac:dyDescent="0.45">
      <c r="I1983" t="s">
        <v>190</v>
      </c>
      <c r="J1983" t="s">
        <v>292</v>
      </c>
      <c r="K1983">
        <v>1.19122940205679E-3</v>
      </c>
      <c r="L1983" t="s">
        <v>159</v>
      </c>
      <c r="N1983" t="s">
        <v>233</v>
      </c>
      <c r="O1983" t="s">
        <v>292</v>
      </c>
      <c r="P1983">
        <v>2.5662895503776365E-3</v>
      </c>
      <c r="Q1983" t="s">
        <v>159</v>
      </c>
    </row>
    <row r="1984" spans="9:17" x14ac:dyDescent="0.45">
      <c r="I1984" t="s">
        <v>190</v>
      </c>
      <c r="J1984" t="s">
        <v>310</v>
      </c>
      <c r="K1984">
        <v>0</v>
      </c>
      <c r="L1984" t="s">
        <v>159</v>
      </c>
      <c r="N1984" t="s">
        <v>233</v>
      </c>
      <c r="O1984" t="s">
        <v>310</v>
      </c>
      <c r="P1984">
        <v>2.2793153395545728E-2</v>
      </c>
      <c r="Q1984" t="s">
        <v>159</v>
      </c>
    </row>
    <row r="1985" spans="9:17" x14ac:dyDescent="0.45">
      <c r="I1985" t="s">
        <v>190</v>
      </c>
      <c r="J1985" t="s">
        <v>293</v>
      </c>
      <c r="K1985">
        <v>0</v>
      </c>
      <c r="L1985" t="s">
        <v>159</v>
      </c>
      <c r="N1985" t="s">
        <v>233</v>
      </c>
      <c r="O1985" t="s">
        <v>293</v>
      </c>
      <c r="P1985">
        <v>1.1752236712463511E-2</v>
      </c>
      <c r="Q1985" t="s">
        <v>159</v>
      </c>
    </row>
    <row r="1986" spans="9:17" x14ac:dyDescent="0.45">
      <c r="I1986" t="s">
        <v>190</v>
      </c>
      <c r="J1986" t="s">
        <v>294</v>
      </c>
      <c r="K1986">
        <v>9.2686555422072251E-4</v>
      </c>
      <c r="L1986" t="s">
        <v>159</v>
      </c>
      <c r="N1986" t="s">
        <v>233</v>
      </c>
      <c r="O1986" t="s">
        <v>294</v>
      </c>
      <c r="P1986">
        <v>1.3759305045829E-3</v>
      </c>
      <c r="Q1986" t="s">
        <v>159</v>
      </c>
    </row>
    <row r="1987" spans="9:17" x14ac:dyDescent="0.45">
      <c r="I1987" t="s">
        <v>190</v>
      </c>
      <c r="J1987" t="s">
        <v>295</v>
      </c>
      <c r="K1987">
        <v>1.6388498019521414E-2</v>
      </c>
      <c r="L1987" t="s">
        <v>159</v>
      </c>
      <c r="N1987" t="s">
        <v>233</v>
      </c>
      <c r="O1987" t="s">
        <v>295</v>
      </c>
      <c r="P1987">
        <v>8.6153337797703136E-3</v>
      </c>
      <c r="Q1987" t="s">
        <v>159</v>
      </c>
    </row>
    <row r="1988" spans="9:17" x14ac:dyDescent="0.45">
      <c r="I1988" t="s">
        <v>190</v>
      </c>
      <c r="J1988" t="s">
        <v>296</v>
      </c>
      <c r="K1988">
        <v>1.2294764044231E-3</v>
      </c>
      <c r="L1988" t="s">
        <v>159</v>
      </c>
      <c r="N1988" t="s">
        <v>233</v>
      </c>
      <c r="O1988" t="s">
        <v>296</v>
      </c>
      <c r="P1988">
        <v>7.5679372394078597E-4</v>
      </c>
      <c r="Q1988" t="s">
        <v>159</v>
      </c>
    </row>
    <row r="1989" spans="9:17" x14ac:dyDescent="0.45">
      <c r="I1989" t="s">
        <v>190</v>
      </c>
      <c r="J1989" t="s">
        <v>297</v>
      </c>
      <c r="K1989">
        <v>8.9072356232486013E-4</v>
      </c>
      <c r="L1989" t="s">
        <v>159</v>
      </c>
      <c r="N1989" t="s">
        <v>233</v>
      </c>
      <c r="O1989" t="s">
        <v>297</v>
      </c>
      <c r="P1989">
        <v>9.2236761704161908E-4</v>
      </c>
      <c r="Q1989" t="s">
        <v>159</v>
      </c>
    </row>
    <row r="1990" spans="9:17" x14ac:dyDescent="0.45">
      <c r="I1990" t="s">
        <v>190</v>
      </c>
      <c r="J1990" t="s">
        <v>311</v>
      </c>
      <c r="K1990">
        <v>0</v>
      </c>
      <c r="L1990" t="s">
        <v>159</v>
      </c>
      <c r="N1990" t="s">
        <v>233</v>
      </c>
      <c r="O1990" t="s">
        <v>311</v>
      </c>
      <c r="P1990">
        <v>8.0495187618631336E-3</v>
      </c>
      <c r="Q1990" t="s">
        <v>159</v>
      </c>
    </row>
    <row r="1991" spans="9:17" x14ac:dyDescent="0.45">
      <c r="I1991" t="s">
        <v>190</v>
      </c>
      <c r="J1991" t="s">
        <v>298</v>
      </c>
      <c r="K1991">
        <v>4.7907327992591543E-3</v>
      </c>
      <c r="L1991" t="s">
        <v>159</v>
      </c>
      <c r="N1991" t="s">
        <v>233</v>
      </c>
      <c r="O1991" t="s">
        <v>298</v>
      </c>
      <c r="P1991">
        <v>0.13975932472684557</v>
      </c>
      <c r="Q1991" t="s">
        <v>159</v>
      </c>
    </row>
    <row r="1992" spans="9:17" x14ac:dyDescent="0.45">
      <c r="I1992" t="s">
        <v>190</v>
      </c>
      <c r="J1992" t="s">
        <v>299</v>
      </c>
      <c r="K1992">
        <v>1.5946038139520523E-2</v>
      </c>
      <c r="L1992" t="s">
        <v>159</v>
      </c>
      <c r="N1992" t="s">
        <v>233</v>
      </c>
      <c r="O1992" t="s">
        <v>299</v>
      </c>
      <c r="P1992">
        <v>1.5754750544010807E-2</v>
      </c>
      <c r="Q1992" t="s">
        <v>159</v>
      </c>
    </row>
    <row r="1993" spans="9:17" x14ac:dyDescent="0.45">
      <c r="I1993" t="s">
        <v>190</v>
      </c>
      <c r="J1993" t="s">
        <v>300</v>
      </c>
      <c r="K1993">
        <v>0.24001483077647207</v>
      </c>
      <c r="L1993" t="s">
        <v>159</v>
      </c>
      <c r="N1993" t="s">
        <v>233</v>
      </c>
      <c r="O1993" t="s">
        <v>300</v>
      </c>
      <c r="P1993">
        <v>0.10416267949238289</v>
      </c>
      <c r="Q1993" t="s">
        <v>159</v>
      </c>
    </row>
    <row r="1994" spans="9:17" x14ac:dyDescent="0.45">
      <c r="I1994" t="s">
        <v>190</v>
      </c>
      <c r="J1994" t="s">
        <v>301</v>
      </c>
      <c r="K1994">
        <v>1.9065957986679163E-2</v>
      </c>
      <c r="L1994" t="s">
        <v>159</v>
      </c>
      <c r="N1994" t="s">
        <v>233</v>
      </c>
      <c r="O1994" t="s">
        <v>301</v>
      </c>
      <c r="P1994">
        <v>9.9273368139201536E-3</v>
      </c>
      <c r="Q1994" t="s">
        <v>159</v>
      </c>
    </row>
    <row r="1995" spans="9:17" x14ac:dyDescent="0.45">
      <c r="I1995" t="s">
        <v>190</v>
      </c>
      <c r="J1995" t="s">
        <v>302</v>
      </c>
      <c r="K1995">
        <v>1.2233727937814279E-2</v>
      </c>
      <c r="L1995" t="s">
        <v>159</v>
      </c>
      <c r="N1995" t="s">
        <v>233</v>
      </c>
      <c r="O1995" t="s">
        <v>302</v>
      </c>
      <c r="P1995">
        <v>1.0576910322412548E-2</v>
      </c>
      <c r="Q1995" t="s">
        <v>159</v>
      </c>
    </row>
    <row r="1996" spans="9:17" x14ac:dyDescent="0.45">
      <c r="I1996" t="s">
        <v>190</v>
      </c>
      <c r="J1996" t="s">
        <v>312</v>
      </c>
      <c r="K1996">
        <v>0</v>
      </c>
      <c r="L1996" t="s">
        <v>159</v>
      </c>
      <c r="N1996" t="s">
        <v>233</v>
      </c>
      <c r="O1996" t="s">
        <v>312</v>
      </c>
      <c r="P1996">
        <v>0.10169953417557463</v>
      </c>
      <c r="Q1996" t="s">
        <v>159</v>
      </c>
    </row>
    <row r="1997" spans="9:17" x14ac:dyDescent="0.45">
      <c r="I1997" t="s">
        <v>190</v>
      </c>
      <c r="J1997" t="s">
        <v>397</v>
      </c>
      <c r="K1997">
        <v>0</v>
      </c>
      <c r="L1997" t="s">
        <v>159</v>
      </c>
      <c r="N1997" t="s">
        <v>233</v>
      </c>
      <c r="O1997" t="s">
        <v>397</v>
      </c>
      <c r="P1997">
        <v>1.6950276879269525E-4</v>
      </c>
      <c r="Q1997" t="s">
        <v>159</v>
      </c>
    </row>
    <row r="1998" spans="9:17" x14ac:dyDescent="0.45">
      <c r="I1998" t="s">
        <v>190</v>
      </c>
      <c r="J1998" t="s">
        <v>398</v>
      </c>
      <c r="K1998">
        <v>0</v>
      </c>
      <c r="L1998" t="s">
        <v>159</v>
      </c>
      <c r="N1998" t="s">
        <v>233</v>
      </c>
      <c r="O1998" t="s">
        <v>398</v>
      </c>
      <c r="P1998">
        <v>1.4894222439319619E-4</v>
      </c>
      <c r="Q1998" t="s">
        <v>159</v>
      </c>
    </row>
    <row r="1999" spans="9:17" x14ac:dyDescent="0.45">
      <c r="I1999" t="s">
        <v>190</v>
      </c>
      <c r="J1999" t="s">
        <v>399</v>
      </c>
      <c r="K1999">
        <v>0</v>
      </c>
      <c r="L1999" t="s">
        <v>159</v>
      </c>
      <c r="N1999" t="s">
        <v>233</v>
      </c>
      <c r="O1999" t="s">
        <v>399</v>
      </c>
      <c r="P1999">
        <v>1.2640419704084411E-4</v>
      </c>
      <c r="Q1999" t="s">
        <v>159</v>
      </c>
    </row>
    <row r="2000" spans="9:17" x14ac:dyDescent="0.45">
      <c r="I2000" t="s">
        <v>190</v>
      </c>
      <c r="J2000" t="s">
        <v>400</v>
      </c>
      <c r="K2000">
        <v>0</v>
      </c>
      <c r="L2000" t="s">
        <v>159</v>
      </c>
      <c r="N2000" t="s">
        <v>233</v>
      </c>
      <c r="O2000" t="s">
        <v>400</v>
      </c>
      <c r="P2000">
        <v>1.1422063580214393E-4</v>
      </c>
      <c r="Q2000" t="s">
        <v>159</v>
      </c>
    </row>
    <row r="2001" spans="9:17" x14ac:dyDescent="0.45">
      <c r="I2001" t="s">
        <v>190</v>
      </c>
      <c r="J2001" t="s">
        <v>401</v>
      </c>
      <c r="K2001">
        <v>0</v>
      </c>
      <c r="L2001" t="s">
        <v>159</v>
      </c>
      <c r="N2001" t="s">
        <v>233</v>
      </c>
      <c r="O2001" t="s">
        <v>401</v>
      </c>
      <c r="P2001">
        <v>1.0613014371205468E-4</v>
      </c>
      <c r="Q2001" t="s">
        <v>159</v>
      </c>
    </row>
    <row r="2002" spans="9:17" x14ac:dyDescent="0.45">
      <c r="I2002" t="s">
        <v>190</v>
      </c>
      <c r="J2002" t="s">
        <v>402</v>
      </c>
      <c r="K2002">
        <v>0</v>
      </c>
      <c r="L2002" t="s">
        <v>159</v>
      </c>
      <c r="N2002" t="s">
        <v>233</v>
      </c>
      <c r="O2002" t="s">
        <v>402</v>
      </c>
      <c r="P2002">
        <v>1.0653521358426321E-4</v>
      </c>
      <c r="Q2002" t="s">
        <v>159</v>
      </c>
    </row>
    <row r="2003" spans="9:17" x14ac:dyDescent="0.45">
      <c r="I2003" t="s">
        <v>190</v>
      </c>
      <c r="J2003" t="s">
        <v>403</v>
      </c>
      <c r="K2003">
        <v>0</v>
      </c>
      <c r="L2003" t="s">
        <v>159</v>
      </c>
      <c r="N2003" t="s">
        <v>233</v>
      </c>
      <c r="O2003" t="s">
        <v>403</v>
      </c>
      <c r="P2003">
        <v>1.0516512854729436E-4</v>
      </c>
      <c r="Q2003" t="s">
        <v>159</v>
      </c>
    </row>
    <row r="2004" spans="9:17" x14ac:dyDescent="0.45">
      <c r="I2004" t="s">
        <v>190</v>
      </c>
      <c r="J2004" t="s">
        <v>404</v>
      </c>
      <c r="K2004">
        <v>1.9753873422619021E-4</v>
      </c>
      <c r="L2004" t="s">
        <v>159</v>
      </c>
      <c r="N2004" t="s">
        <v>233</v>
      </c>
      <c r="O2004" t="s">
        <v>404</v>
      </c>
      <c r="P2004">
        <v>8.0588597127096584E-5</v>
      </c>
      <c r="Q2004" t="s">
        <v>159</v>
      </c>
    </row>
    <row r="2005" spans="9:17" x14ac:dyDescent="0.45">
      <c r="I2005" t="s">
        <v>190</v>
      </c>
      <c r="J2005" t="s">
        <v>405</v>
      </c>
      <c r="K2005">
        <v>2.980256087743372E-4</v>
      </c>
      <c r="L2005" t="s">
        <v>159</v>
      </c>
      <c r="N2005" t="s">
        <v>233</v>
      </c>
      <c r="O2005" t="s">
        <v>405</v>
      </c>
      <c r="P2005">
        <v>5.3229726304788591E-5</v>
      </c>
      <c r="Q2005" t="s">
        <v>159</v>
      </c>
    </row>
    <row r="2006" spans="9:17" x14ac:dyDescent="0.45">
      <c r="I2006" t="s">
        <v>190</v>
      </c>
      <c r="J2006" t="s">
        <v>406</v>
      </c>
      <c r="K2006">
        <v>3.37712258402557E-4</v>
      </c>
      <c r="L2006" t="s">
        <v>159</v>
      </c>
      <c r="N2006" t="s">
        <v>233</v>
      </c>
      <c r="O2006" t="s">
        <v>406</v>
      </c>
      <c r="P2006">
        <v>7.2702921173271054E-5</v>
      </c>
      <c r="Q2006" t="s">
        <v>159</v>
      </c>
    </row>
    <row r="2007" spans="9:17" x14ac:dyDescent="0.45">
      <c r="I2007" t="s">
        <v>190</v>
      </c>
      <c r="J2007" t="s">
        <v>407</v>
      </c>
      <c r="K2007">
        <v>3.5270723367563533E-4</v>
      </c>
      <c r="L2007" t="s">
        <v>159</v>
      </c>
      <c r="N2007" t="s">
        <v>233</v>
      </c>
      <c r="O2007" t="s">
        <v>407</v>
      </c>
      <c r="P2007">
        <v>7.8509158067837035E-5</v>
      </c>
      <c r="Q2007" t="s">
        <v>159</v>
      </c>
    </row>
    <row r="2008" spans="9:17" x14ac:dyDescent="0.45">
      <c r="I2008" t="s">
        <v>190</v>
      </c>
      <c r="J2008" t="s">
        <v>408</v>
      </c>
      <c r="K2008">
        <v>3.7294397864705075E-4</v>
      </c>
      <c r="L2008" t="s">
        <v>159</v>
      </c>
      <c r="N2008" t="s">
        <v>233</v>
      </c>
      <c r="O2008" t="s">
        <v>408</v>
      </c>
      <c r="P2008">
        <v>7.8739437831074381E-5</v>
      </c>
      <c r="Q2008" t="s">
        <v>159</v>
      </c>
    </row>
    <row r="2009" spans="9:17" x14ac:dyDescent="0.45">
      <c r="I2009" t="s">
        <v>190</v>
      </c>
      <c r="J2009" t="s">
        <v>409</v>
      </c>
      <c r="K2009">
        <v>3.9366170265454242E-4</v>
      </c>
      <c r="L2009" t="s">
        <v>159</v>
      </c>
      <c r="N2009" t="s">
        <v>233</v>
      </c>
      <c r="O2009" t="s">
        <v>409</v>
      </c>
      <c r="P2009">
        <v>6.9088846479439385E-5</v>
      </c>
      <c r="Q2009" t="s">
        <v>159</v>
      </c>
    </row>
    <row r="2010" spans="9:17" x14ac:dyDescent="0.45">
      <c r="I2010" t="s">
        <v>190</v>
      </c>
      <c r="J2010" t="s">
        <v>410</v>
      </c>
      <c r="K2010">
        <v>3.8449016099535569E-4</v>
      </c>
      <c r="L2010" t="s">
        <v>159</v>
      </c>
      <c r="N2010" t="s">
        <v>233</v>
      </c>
      <c r="O2010" t="s">
        <v>410</v>
      </c>
      <c r="P2010">
        <v>7.7178235098930109E-5</v>
      </c>
      <c r="Q2010" t="s">
        <v>159</v>
      </c>
    </row>
    <row r="2011" spans="9:17" x14ac:dyDescent="0.45">
      <c r="I2011" t="s">
        <v>190</v>
      </c>
      <c r="J2011" t="s">
        <v>411</v>
      </c>
      <c r="K2011">
        <v>3.5911495375038857E-4</v>
      </c>
      <c r="L2011" t="s">
        <v>159</v>
      </c>
      <c r="N2011" t="s">
        <v>233</v>
      </c>
      <c r="O2011" t="s">
        <v>411</v>
      </c>
      <c r="P2011">
        <v>7.2200764126312077E-5</v>
      </c>
      <c r="Q2011" t="s">
        <v>159</v>
      </c>
    </row>
    <row r="2012" spans="9:17" x14ac:dyDescent="0.45">
      <c r="I2012" t="s">
        <v>190</v>
      </c>
      <c r="J2012" t="s">
        <v>412</v>
      </c>
      <c r="K2012">
        <v>3.3747340969316879E-4</v>
      </c>
      <c r="L2012" t="s">
        <v>159</v>
      </c>
      <c r="N2012" t="s">
        <v>233</v>
      </c>
      <c r="O2012" t="s">
        <v>412</v>
      </c>
      <c r="P2012">
        <v>4.6399751283770296E-5</v>
      </c>
      <c r="Q2012" t="s">
        <v>159</v>
      </c>
    </row>
    <row r="2013" spans="9:17" x14ac:dyDescent="0.45">
      <c r="I2013" t="s">
        <v>190</v>
      </c>
      <c r="J2013" t="s">
        <v>413</v>
      </c>
      <c r="K2013">
        <v>3.1724033408737017E-4</v>
      </c>
      <c r="L2013" t="s">
        <v>159</v>
      </c>
      <c r="N2013" t="s">
        <v>233</v>
      </c>
      <c r="O2013" t="s">
        <v>413</v>
      </c>
      <c r="P2013">
        <v>2.7401777429965863E-5</v>
      </c>
      <c r="Q2013" t="s">
        <v>159</v>
      </c>
    </row>
    <row r="2014" spans="9:17" x14ac:dyDescent="0.45">
      <c r="I2014" t="s">
        <v>190</v>
      </c>
      <c r="J2014" t="s">
        <v>414</v>
      </c>
      <c r="K2014">
        <v>2.7118429364824266E-4</v>
      </c>
      <c r="L2014" t="s">
        <v>159</v>
      </c>
      <c r="N2014" t="s">
        <v>233</v>
      </c>
      <c r="O2014" t="s">
        <v>414</v>
      </c>
      <c r="P2014">
        <v>2.1854225326083185E-5</v>
      </c>
      <c r="Q2014" t="s">
        <v>159</v>
      </c>
    </row>
    <row r="2015" spans="9:17" x14ac:dyDescent="0.45">
      <c r="I2015" t="s">
        <v>190</v>
      </c>
      <c r="J2015" t="s">
        <v>415</v>
      </c>
      <c r="K2015">
        <v>1.6853844443950219E-4</v>
      </c>
      <c r="L2015" t="s">
        <v>159</v>
      </c>
      <c r="N2015" t="s">
        <v>233</v>
      </c>
      <c r="O2015" t="s">
        <v>415</v>
      </c>
      <c r="P2015">
        <v>4.0835369638280465E-5</v>
      </c>
      <c r="Q2015" t="s">
        <v>159</v>
      </c>
    </row>
    <row r="2016" spans="9:17" x14ac:dyDescent="0.45">
      <c r="I2016" t="s">
        <v>190</v>
      </c>
      <c r="J2016" t="s">
        <v>416</v>
      </c>
      <c r="K2016">
        <v>0</v>
      </c>
      <c r="L2016" t="s">
        <v>159</v>
      </c>
      <c r="N2016" t="s">
        <v>233</v>
      </c>
      <c r="O2016" t="s">
        <v>416</v>
      </c>
      <c r="P2016">
        <v>1.0136331571323069E-4</v>
      </c>
      <c r="Q2016" t="s">
        <v>159</v>
      </c>
    </row>
    <row r="2017" spans="9:17" x14ac:dyDescent="0.45">
      <c r="I2017" t="s">
        <v>190</v>
      </c>
      <c r="J2017" t="s">
        <v>417</v>
      </c>
      <c r="K2017">
        <v>0</v>
      </c>
      <c r="L2017" t="s">
        <v>159</v>
      </c>
      <c r="N2017" t="s">
        <v>233</v>
      </c>
      <c r="O2017" t="s">
        <v>417</v>
      </c>
      <c r="P2017">
        <v>1.7013232306811239E-4</v>
      </c>
      <c r="Q2017" t="s">
        <v>159</v>
      </c>
    </row>
    <row r="2018" spans="9:17" x14ac:dyDescent="0.45">
      <c r="I2018" t="s">
        <v>190</v>
      </c>
      <c r="J2018" t="s">
        <v>418</v>
      </c>
      <c r="K2018">
        <v>0</v>
      </c>
      <c r="L2018" t="s">
        <v>159</v>
      </c>
      <c r="N2018" t="s">
        <v>233</v>
      </c>
      <c r="O2018" t="s">
        <v>418</v>
      </c>
      <c r="P2018">
        <v>2.3963981170450549E-4</v>
      </c>
      <c r="Q2018" t="s">
        <v>159</v>
      </c>
    </row>
    <row r="2019" spans="9:17" x14ac:dyDescent="0.45">
      <c r="I2019" t="s">
        <v>190</v>
      </c>
      <c r="J2019" t="s">
        <v>419</v>
      </c>
      <c r="K2019">
        <v>0</v>
      </c>
      <c r="L2019" t="s">
        <v>159</v>
      </c>
      <c r="N2019" t="s">
        <v>233</v>
      </c>
      <c r="O2019" t="s">
        <v>419</v>
      </c>
      <c r="P2019">
        <v>3.0867670083880233E-4</v>
      </c>
      <c r="Q2019" t="s">
        <v>159</v>
      </c>
    </row>
    <row r="2020" spans="9:17" x14ac:dyDescent="0.45">
      <c r="I2020" t="s">
        <v>190</v>
      </c>
      <c r="J2020" t="s">
        <v>420</v>
      </c>
      <c r="K2020">
        <v>0</v>
      </c>
      <c r="L2020" t="s">
        <v>159</v>
      </c>
      <c r="N2020" t="s">
        <v>233</v>
      </c>
      <c r="O2020" t="s">
        <v>420</v>
      </c>
      <c r="P2020">
        <v>3.3865529926038008E-4</v>
      </c>
      <c r="Q2020" t="s">
        <v>159</v>
      </c>
    </row>
    <row r="2021" spans="9:17" x14ac:dyDescent="0.45">
      <c r="I2021" t="s">
        <v>190</v>
      </c>
      <c r="J2021" t="s">
        <v>313</v>
      </c>
      <c r="K2021">
        <v>2.2996802487133677E-3</v>
      </c>
      <c r="L2021" t="s">
        <v>159</v>
      </c>
      <c r="N2021" t="s">
        <v>233</v>
      </c>
      <c r="O2021" t="s">
        <v>313</v>
      </c>
      <c r="P2021">
        <v>2.3165219424150979E-2</v>
      </c>
      <c r="Q2021" t="s">
        <v>159</v>
      </c>
    </row>
    <row r="2022" spans="9:17" x14ac:dyDescent="0.45">
      <c r="I2022" t="s">
        <v>190</v>
      </c>
      <c r="J2022" t="s">
        <v>314</v>
      </c>
      <c r="K2022">
        <v>4.1832235717220124E-3</v>
      </c>
      <c r="L2022" t="s">
        <v>159</v>
      </c>
      <c r="N2022" t="s">
        <v>233</v>
      </c>
      <c r="O2022" t="s">
        <v>314</v>
      </c>
      <c r="P2022">
        <v>2.7629678916620422E-3</v>
      </c>
      <c r="Q2022" t="s">
        <v>159</v>
      </c>
    </row>
    <row r="2023" spans="9:17" x14ac:dyDescent="0.45">
      <c r="I2023" t="s">
        <v>190</v>
      </c>
      <c r="J2023" t="s">
        <v>315</v>
      </c>
      <c r="K2023">
        <v>6.225571287598216E-2</v>
      </c>
      <c r="L2023" t="s">
        <v>159</v>
      </c>
      <c r="N2023" t="s">
        <v>233</v>
      </c>
      <c r="O2023" t="s">
        <v>315</v>
      </c>
      <c r="P2023">
        <v>1.7800037628259564E-2</v>
      </c>
      <c r="Q2023" t="s">
        <v>159</v>
      </c>
    </row>
    <row r="2024" spans="9:17" x14ac:dyDescent="0.45">
      <c r="I2024" t="s">
        <v>190</v>
      </c>
      <c r="J2024" t="s">
        <v>316</v>
      </c>
      <c r="K2024">
        <v>5.1234805347057646E-3</v>
      </c>
      <c r="L2024" t="s">
        <v>159</v>
      </c>
      <c r="N2024" t="s">
        <v>233</v>
      </c>
      <c r="O2024" t="s">
        <v>316</v>
      </c>
      <c r="P2024">
        <v>1.9048769735884831E-3</v>
      </c>
      <c r="Q2024" t="s">
        <v>159</v>
      </c>
    </row>
    <row r="2025" spans="9:17" x14ac:dyDescent="0.45">
      <c r="I2025" t="s">
        <v>190</v>
      </c>
      <c r="J2025" t="s">
        <v>317</v>
      </c>
      <c r="K2025">
        <v>3.6800996347708202E-3</v>
      </c>
      <c r="L2025" t="s">
        <v>159</v>
      </c>
      <c r="N2025" t="s">
        <v>233</v>
      </c>
      <c r="O2025" t="s">
        <v>317</v>
      </c>
      <c r="P2025">
        <v>2.2409643516119997E-3</v>
      </c>
      <c r="Q2025" t="s">
        <v>159</v>
      </c>
    </row>
    <row r="2026" spans="9:17" x14ac:dyDescent="0.45">
      <c r="I2026" t="s">
        <v>190</v>
      </c>
      <c r="J2026" t="s">
        <v>318</v>
      </c>
      <c r="K2026">
        <v>1.415582220337685E-3</v>
      </c>
      <c r="L2026" t="s">
        <v>159</v>
      </c>
      <c r="N2026" t="s">
        <v>233</v>
      </c>
      <c r="O2026" t="s">
        <v>318</v>
      </c>
      <c r="P2026">
        <v>1.8767810270302922E-2</v>
      </c>
      <c r="Q2026" t="s">
        <v>159</v>
      </c>
    </row>
    <row r="2027" spans="9:17" x14ac:dyDescent="0.45">
      <c r="I2027" t="s">
        <v>191</v>
      </c>
      <c r="J2027" t="s">
        <v>158</v>
      </c>
      <c r="K2027">
        <v>7.0688324420688014E-4</v>
      </c>
      <c r="L2027" t="s">
        <v>159</v>
      </c>
      <c r="N2027" t="s">
        <v>234</v>
      </c>
      <c r="O2027" t="s">
        <v>158</v>
      </c>
      <c r="P2027">
        <v>0.14057480967620692</v>
      </c>
      <c r="Q2027" t="s">
        <v>159</v>
      </c>
    </row>
    <row r="2028" spans="9:17" x14ac:dyDescent="0.45">
      <c r="I2028" t="s">
        <v>191</v>
      </c>
      <c r="J2028" t="s">
        <v>160</v>
      </c>
      <c r="K2028">
        <v>1.8606875005008985E-2</v>
      </c>
      <c r="L2028" t="s">
        <v>159</v>
      </c>
      <c r="N2028" t="s">
        <v>234</v>
      </c>
      <c r="O2028" t="s">
        <v>160</v>
      </c>
      <c r="P2028">
        <v>1.2654387191304331E-2</v>
      </c>
      <c r="Q2028" t="s">
        <v>159</v>
      </c>
    </row>
    <row r="2029" spans="9:17" x14ac:dyDescent="0.45">
      <c r="I2029" t="s">
        <v>191</v>
      </c>
      <c r="J2029" t="s">
        <v>161</v>
      </c>
      <c r="K2029">
        <v>0.39611624962730263</v>
      </c>
      <c r="L2029" t="s">
        <v>159</v>
      </c>
      <c r="N2029" t="s">
        <v>234</v>
      </c>
      <c r="O2029" t="s">
        <v>161</v>
      </c>
      <c r="P2029">
        <v>9.0138852096780797E-2</v>
      </c>
      <c r="Q2029" t="s">
        <v>159</v>
      </c>
    </row>
    <row r="2030" spans="9:17" x14ac:dyDescent="0.45">
      <c r="I2030" t="s">
        <v>191</v>
      </c>
      <c r="J2030" t="s">
        <v>287</v>
      </c>
      <c r="K2030">
        <v>3.6519858249631373E-2</v>
      </c>
      <c r="L2030" t="s">
        <v>159</v>
      </c>
      <c r="N2030" t="s">
        <v>234</v>
      </c>
      <c r="O2030" t="s">
        <v>287</v>
      </c>
      <c r="P2030">
        <v>1.064092660400002E-2</v>
      </c>
      <c r="Q2030" t="s">
        <v>159</v>
      </c>
    </row>
    <row r="2031" spans="9:17" x14ac:dyDescent="0.45">
      <c r="I2031" t="s">
        <v>191</v>
      </c>
      <c r="J2031" t="s">
        <v>288</v>
      </c>
      <c r="K2031">
        <v>2.0855489253260993E-2</v>
      </c>
      <c r="L2031" t="s">
        <v>159</v>
      </c>
      <c r="N2031" t="s">
        <v>234</v>
      </c>
      <c r="O2031" t="s">
        <v>288</v>
      </c>
      <c r="P2031">
        <v>1.2427949320323154E-2</v>
      </c>
      <c r="Q2031" t="s">
        <v>159</v>
      </c>
    </row>
    <row r="2032" spans="9:17" x14ac:dyDescent="0.45">
      <c r="I2032" t="s">
        <v>191</v>
      </c>
      <c r="J2032" t="s">
        <v>308</v>
      </c>
      <c r="K2032">
        <v>6.0883844544895958E-3</v>
      </c>
      <c r="L2032" t="s">
        <v>159</v>
      </c>
      <c r="N2032" t="s">
        <v>234</v>
      </c>
      <c r="O2032" t="s">
        <v>308</v>
      </c>
      <c r="P2032">
        <v>9.6228543355318025E-2</v>
      </c>
      <c r="Q2032" t="s">
        <v>159</v>
      </c>
    </row>
    <row r="2033" spans="9:17" x14ac:dyDescent="0.45">
      <c r="I2033" t="s">
        <v>191</v>
      </c>
      <c r="J2033" t="s">
        <v>162</v>
      </c>
      <c r="K2033">
        <v>0</v>
      </c>
      <c r="L2033" t="s">
        <v>159</v>
      </c>
      <c r="N2033" t="s">
        <v>234</v>
      </c>
      <c r="O2033" t="s">
        <v>162</v>
      </c>
      <c r="P2033">
        <v>2.1633879235805439E-2</v>
      </c>
      <c r="Q2033" t="s">
        <v>159</v>
      </c>
    </row>
    <row r="2034" spans="9:17" x14ac:dyDescent="0.45">
      <c r="I2034" t="s">
        <v>191</v>
      </c>
      <c r="J2034" t="s">
        <v>163</v>
      </c>
      <c r="K2034">
        <v>0</v>
      </c>
      <c r="L2034" t="s">
        <v>159</v>
      </c>
      <c r="N2034" t="s">
        <v>234</v>
      </c>
      <c r="O2034" t="s">
        <v>163</v>
      </c>
      <c r="P2034">
        <v>2.2285185320458844E-3</v>
      </c>
      <c r="Q2034" t="s">
        <v>159</v>
      </c>
    </row>
    <row r="2035" spans="9:17" x14ac:dyDescent="0.45">
      <c r="I2035" t="s">
        <v>191</v>
      </c>
      <c r="J2035" t="s">
        <v>164</v>
      </c>
      <c r="K2035">
        <v>5.0596272708494414E-2</v>
      </c>
      <c r="L2035" t="s">
        <v>159</v>
      </c>
      <c r="N2035" t="s">
        <v>234</v>
      </c>
      <c r="O2035" t="s">
        <v>164</v>
      </c>
      <c r="P2035">
        <v>1.6866294602327914E-2</v>
      </c>
      <c r="Q2035" t="s">
        <v>159</v>
      </c>
    </row>
    <row r="2036" spans="9:17" x14ac:dyDescent="0.45">
      <c r="I2036" t="s">
        <v>191</v>
      </c>
      <c r="J2036" t="s">
        <v>289</v>
      </c>
      <c r="K2036">
        <v>4.1788967385227027E-3</v>
      </c>
      <c r="L2036" t="s">
        <v>159</v>
      </c>
      <c r="N2036" t="s">
        <v>234</v>
      </c>
      <c r="O2036" t="s">
        <v>289</v>
      </c>
      <c r="P2036">
        <v>1.9506380506818311E-3</v>
      </c>
      <c r="Q2036" t="s">
        <v>159</v>
      </c>
    </row>
    <row r="2037" spans="9:17" x14ac:dyDescent="0.45">
      <c r="I2037" t="s">
        <v>191</v>
      </c>
      <c r="J2037" t="s">
        <v>290</v>
      </c>
      <c r="K2037">
        <v>0</v>
      </c>
      <c r="L2037" t="s">
        <v>159</v>
      </c>
      <c r="N2037" t="s">
        <v>234</v>
      </c>
      <c r="O2037" t="s">
        <v>290</v>
      </c>
      <c r="P2037">
        <v>2.6273213904507583E-3</v>
      </c>
      <c r="Q2037" t="s">
        <v>159</v>
      </c>
    </row>
    <row r="2038" spans="9:17" x14ac:dyDescent="0.45">
      <c r="I2038" t="s">
        <v>191</v>
      </c>
      <c r="J2038" t="s">
        <v>309</v>
      </c>
      <c r="K2038">
        <v>0</v>
      </c>
      <c r="L2038" t="s">
        <v>159</v>
      </c>
      <c r="N2038" t="s">
        <v>234</v>
      </c>
      <c r="O2038" t="s">
        <v>309</v>
      </c>
      <c r="P2038">
        <v>1.8847034274399859E-2</v>
      </c>
      <c r="Q2038" t="s">
        <v>159</v>
      </c>
    </row>
    <row r="2039" spans="9:17" x14ac:dyDescent="0.45">
      <c r="I2039" t="s">
        <v>191</v>
      </c>
      <c r="J2039" t="s">
        <v>346</v>
      </c>
      <c r="K2039">
        <v>0</v>
      </c>
      <c r="L2039" t="s">
        <v>159</v>
      </c>
      <c r="N2039" t="s">
        <v>234</v>
      </c>
      <c r="O2039" t="s">
        <v>346</v>
      </c>
      <c r="P2039">
        <v>2.419412668604155E-6</v>
      </c>
      <c r="Q2039" t="s">
        <v>159</v>
      </c>
    </row>
    <row r="2040" spans="9:17" x14ac:dyDescent="0.45">
      <c r="I2040" t="s">
        <v>191</v>
      </c>
      <c r="J2040" t="s">
        <v>347</v>
      </c>
      <c r="K2040">
        <v>0</v>
      </c>
      <c r="L2040" t="s">
        <v>159</v>
      </c>
      <c r="N2040" t="s">
        <v>234</v>
      </c>
      <c r="O2040" t="s">
        <v>347</v>
      </c>
      <c r="P2040">
        <v>2.7798681125132306E-6</v>
      </c>
      <c r="Q2040" t="s">
        <v>159</v>
      </c>
    </row>
    <row r="2041" spans="9:17" x14ac:dyDescent="0.45">
      <c r="I2041" t="s">
        <v>191</v>
      </c>
      <c r="J2041" t="s">
        <v>348</v>
      </c>
      <c r="K2041">
        <v>0</v>
      </c>
      <c r="L2041" t="s">
        <v>159</v>
      </c>
      <c r="N2041" t="s">
        <v>234</v>
      </c>
      <c r="O2041" t="s">
        <v>348</v>
      </c>
      <c r="P2041">
        <v>5.0887524414684254E-6</v>
      </c>
      <c r="Q2041" t="s">
        <v>159</v>
      </c>
    </row>
    <row r="2042" spans="9:17" x14ac:dyDescent="0.45">
      <c r="I2042" t="s">
        <v>191</v>
      </c>
      <c r="J2042" t="s">
        <v>349</v>
      </c>
      <c r="K2042">
        <v>0</v>
      </c>
      <c r="L2042" t="s">
        <v>159</v>
      </c>
      <c r="N2042" t="s">
        <v>234</v>
      </c>
      <c r="O2042" t="s">
        <v>349</v>
      </c>
      <c r="P2042">
        <v>9.9302675246014433E-6</v>
      </c>
      <c r="Q2042" t="s">
        <v>159</v>
      </c>
    </row>
    <row r="2043" spans="9:17" x14ac:dyDescent="0.45">
      <c r="I2043" t="s">
        <v>191</v>
      </c>
      <c r="J2043" t="s">
        <v>350</v>
      </c>
      <c r="K2043">
        <v>0</v>
      </c>
      <c r="L2043" t="s">
        <v>159</v>
      </c>
      <c r="N2043" t="s">
        <v>234</v>
      </c>
      <c r="O2043" t="s">
        <v>350</v>
      </c>
      <c r="P2043">
        <v>1.1323288920882056E-5</v>
      </c>
      <c r="Q2043" t="s">
        <v>159</v>
      </c>
    </row>
    <row r="2044" spans="9:17" x14ac:dyDescent="0.45">
      <c r="I2044" t="s">
        <v>191</v>
      </c>
      <c r="J2044" t="s">
        <v>351</v>
      </c>
      <c r="K2044">
        <v>0</v>
      </c>
      <c r="L2044" t="s">
        <v>159</v>
      </c>
      <c r="N2044" t="s">
        <v>234</v>
      </c>
      <c r="O2044" t="s">
        <v>351</v>
      </c>
      <c r="P2044">
        <v>1.2960726100922157E-5</v>
      </c>
      <c r="Q2044" t="s">
        <v>159</v>
      </c>
    </row>
    <row r="2045" spans="9:17" x14ac:dyDescent="0.45">
      <c r="I2045" t="s">
        <v>191</v>
      </c>
      <c r="J2045" t="s">
        <v>352</v>
      </c>
      <c r="K2045">
        <v>0</v>
      </c>
      <c r="L2045" t="s">
        <v>159</v>
      </c>
      <c r="N2045" t="s">
        <v>234</v>
      </c>
      <c r="O2045" t="s">
        <v>352</v>
      </c>
      <c r="P2045">
        <v>9.7124917786300115E-6</v>
      </c>
      <c r="Q2045" t="s">
        <v>159</v>
      </c>
    </row>
    <row r="2046" spans="9:17" x14ac:dyDescent="0.45">
      <c r="I2046" t="s">
        <v>191</v>
      </c>
      <c r="J2046" t="s">
        <v>353</v>
      </c>
      <c r="K2046">
        <v>0</v>
      </c>
      <c r="L2046" t="s">
        <v>159</v>
      </c>
      <c r="N2046" t="s">
        <v>234</v>
      </c>
      <c r="O2046" t="s">
        <v>353</v>
      </c>
      <c r="P2046">
        <v>8.7397733573084534E-6</v>
      </c>
      <c r="Q2046" t="s">
        <v>159</v>
      </c>
    </row>
    <row r="2047" spans="9:17" x14ac:dyDescent="0.45">
      <c r="I2047" t="s">
        <v>191</v>
      </c>
      <c r="J2047" t="s">
        <v>354</v>
      </c>
      <c r="K2047">
        <v>1.5838132767870578E-4</v>
      </c>
      <c r="L2047" t="s">
        <v>159</v>
      </c>
      <c r="N2047" t="s">
        <v>234</v>
      </c>
      <c r="O2047" t="s">
        <v>354</v>
      </c>
      <c r="P2047">
        <v>8.2779309571019103E-6</v>
      </c>
      <c r="Q2047" t="s">
        <v>159</v>
      </c>
    </row>
    <row r="2048" spans="9:17" x14ac:dyDescent="0.45">
      <c r="I2048" t="s">
        <v>191</v>
      </c>
      <c r="J2048" t="s">
        <v>355</v>
      </c>
      <c r="K2048">
        <v>2.0715141892512252E-4</v>
      </c>
      <c r="L2048" t="s">
        <v>159</v>
      </c>
      <c r="N2048" t="s">
        <v>234</v>
      </c>
      <c r="O2048" t="s">
        <v>355</v>
      </c>
      <c r="P2048">
        <v>2.8775323364153955E-6</v>
      </c>
      <c r="Q2048" t="s">
        <v>159</v>
      </c>
    </row>
    <row r="2049" spans="9:17" x14ac:dyDescent="0.45">
      <c r="I2049" t="s">
        <v>191</v>
      </c>
      <c r="J2049" t="s">
        <v>356</v>
      </c>
      <c r="K2049">
        <v>2.1714932284821949E-4</v>
      </c>
      <c r="L2049" t="s">
        <v>159</v>
      </c>
      <c r="N2049" t="s">
        <v>234</v>
      </c>
      <c r="O2049" t="s">
        <v>356</v>
      </c>
      <c r="P2049">
        <v>4.2334342296241646E-6</v>
      </c>
      <c r="Q2049" t="s">
        <v>159</v>
      </c>
    </row>
    <row r="2050" spans="9:17" x14ac:dyDescent="0.45">
      <c r="I2050" t="s">
        <v>191</v>
      </c>
      <c r="J2050" t="s">
        <v>357</v>
      </c>
      <c r="K2050">
        <v>2.3627204348923098E-4</v>
      </c>
      <c r="L2050" t="s">
        <v>159</v>
      </c>
      <c r="N2050" t="s">
        <v>234</v>
      </c>
      <c r="O2050" t="s">
        <v>357</v>
      </c>
      <c r="P2050">
        <v>4.0866989137320905E-6</v>
      </c>
      <c r="Q2050" t="s">
        <v>159</v>
      </c>
    </row>
    <row r="2051" spans="9:17" x14ac:dyDescent="0.45">
      <c r="I2051" t="s">
        <v>191</v>
      </c>
      <c r="J2051" t="s">
        <v>358</v>
      </c>
      <c r="K2051">
        <v>2.7439924817618255E-4</v>
      </c>
      <c r="L2051" t="s">
        <v>159</v>
      </c>
      <c r="N2051" t="s">
        <v>234</v>
      </c>
      <c r="O2051" t="s">
        <v>358</v>
      </c>
      <c r="P2051">
        <v>2.1167909885270156E-6</v>
      </c>
      <c r="Q2051" t="s">
        <v>159</v>
      </c>
    </row>
    <row r="2052" spans="9:17" x14ac:dyDescent="0.45">
      <c r="I2052" t="s">
        <v>191</v>
      </c>
      <c r="J2052" t="s">
        <v>359</v>
      </c>
      <c r="K2052">
        <v>2.7983530942707812E-4</v>
      </c>
      <c r="L2052" t="s">
        <v>159</v>
      </c>
      <c r="N2052" t="s">
        <v>234</v>
      </c>
      <c r="O2052" t="s">
        <v>359</v>
      </c>
      <c r="P2052">
        <v>1.1105466986973768E-6</v>
      </c>
      <c r="Q2052" t="s">
        <v>159</v>
      </c>
    </row>
    <row r="2053" spans="9:17" x14ac:dyDescent="0.45">
      <c r="I2053" t="s">
        <v>191</v>
      </c>
      <c r="J2053" t="s">
        <v>360</v>
      </c>
      <c r="K2053">
        <v>2.3556174256633838E-4</v>
      </c>
      <c r="L2053" t="s">
        <v>159</v>
      </c>
      <c r="N2053" t="s">
        <v>234</v>
      </c>
      <c r="O2053" t="s">
        <v>360</v>
      </c>
      <c r="P2053">
        <v>8.998623305036893E-7</v>
      </c>
      <c r="Q2053" t="s">
        <v>159</v>
      </c>
    </row>
    <row r="2054" spans="9:17" x14ac:dyDescent="0.45">
      <c r="I2054" t="s">
        <v>191</v>
      </c>
      <c r="J2054" t="s">
        <v>361</v>
      </c>
      <c r="K2054">
        <v>2.0782123816574387E-4</v>
      </c>
      <c r="L2054" t="s">
        <v>159</v>
      </c>
      <c r="N2054" t="s">
        <v>234</v>
      </c>
      <c r="O2054" t="s">
        <v>361</v>
      </c>
      <c r="P2054">
        <v>5.7627172722754283E-7</v>
      </c>
      <c r="Q2054" t="s">
        <v>159</v>
      </c>
    </row>
    <row r="2055" spans="9:17" x14ac:dyDescent="0.45">
      <c r="I2055" t="s">
        <v>191</v>
      </c>
      <c r="J2055" t="s">
        <v>362</v>
      </c>
      <c r="K2055">
        <v>1.6998820073663257E-4</v>
      </c>
      <c r="L2055" t="s">
        <v>159</v>
      </c>
      <c r="N2055" t="s">
        <v>234</v>
      </c>
      <c r="O2055" t="s">
        <v>362</v>
      </c>
      <c r="P2055">
        <v>7.1062950662924364E-7</v>
      </c>
      <c r="Q2055" t="s">
        <v>159</v>
      </c>
    </row>
    <row r="2056" spans="9:17" x14ac:dyDescent="0.45">
      <c r="I2056" t="s">
        <v>191</v>
      </c>
      <c r="J2056" t="s">
        <v>363</v>
      </c>
      <c r="K2056">
        <v>1.4810020536550379E-4</v>
      </c>
      <c r="L2056" t="s">
        <v>159</v>
      </c>
      <c r="N2056" t="s">
        <v>234</v>
      </c>
      <c r="O2056" t="s">
        <v>363</v>
      </c>
      <c r="P2056">
        <v>1.5987350675675392E-5</v>
      </c>
      <c r="Q2056" t="s">
        <v>159</v>
      </c>
    </row>
    <row r="2057" spans="9:17" x14ac:dyDescent="0.45">
      <c r="I2057" t="s">
        <v>191</v>
      </c>
      <c r="J2057" t="s">
        <v>364</v>
      </c>
      <c r="K2057">
        <v>0</v>
      </c>
      <c r="L2057" t="s">
        <v>159</v>
      </c>
      <c r="N2057" t="s">
        <v>234</v>
      </c>
      <c r="O2057" t="s">
        <v>364</v>
      </c>
      <c r="P2057">
        <v>6.6081024939909777E-5</v>
      </c>
      <c r="Q2057" t="s">
        <v>159</v>
      </c>
    </row>
    <row r="2058" spans="9:17" x14ac:dyDescent="0.45">
      <c r="I2058" t="s">
        <v>191</v>
      </c>
      <c r="J2058" t="s">
        <v>365</v>
      </c>
      <c r="K2058">
        <v>0</v>
      </c>
      <c r="L2058" t="s">
        <v>159</v>
      </c>
      <c r="N2058" t="s">
        <v>234</v>
      </c>
      <c r="O2058" t="s">
        <v>365</v>
      </c>
      <c r="P2058">
        <v>7.516393197993562E-5</v>
      </c>
      <c r="Q2058" t="s">
        <v>159</v>
      </c>
    </row>
    <row r="2059" spans="9:17" x14ac:dyDescent="0.45">
      <c r="I2059" t="s">
        <v>191</v>
      </c>
      <c r="J2059" t="s">
        <v>366</v>
      </c>
      <c r="K2059">
        <v>0</v>
      </c>
      <c r="L2059" t="s">
        <v>159</v>
      </c>
      <c r="N2059" t="s">
        <v>234</v>
      </c>
      <c r="O2059" t="s">
        <v>366</v>
      </c>
      <c r="P2059">
        <v>7.1654370511552119E-5</v>
      </c>
      <c r="Q2059" t="s">
        <v>159</v>
      </c>
    </row>
    <row r="2060" spans="9:17" x14ac:dyDescent="0.45">
      <c r="I2060" t="s">
        <v>191</v>
      </c>
      <c r="J2060" t="s">
        <v>367</v>
      </c>
      <c r="K2060">
        <v>0</v>
      </c>
      <c r="L2060" t="s">
        <v>159</v>
      </c>
      <c r="N2060" t="s">
        <v>234</v>
      </c>
      <c r="O2060" t="s">
        <v>367</v>
      </c>
      <c r="P2060">
        <v>6.4382921829144886E-5</v>
      </c>
      <c r="Q2060" t="s">
        <v>159</v>
      </c>
    </row>
    <row r="2061" spans="9:17" x14ac:dyDescent="0.45">
      <c r="I2061" t="s">
        <v>191</v>
      </c>
      <c r="J2061" t="s">
        <v>368</v>
      </c>
      <c r="K2061">
        <v>0</v>
      </c>
      <c r="L2061" t="s">
        <v>159</v>
      </c>
      <c r="N2061" t="s">
        <v>234</v>
      </c>
      <c r="O2061" t="s">
        <v>368</v>
      </c>
      <c r="P2061">
        <v>6.0851138425259317E-5</v>
      </c>
      <c r="Q2061" t="s">
        <v>159</v>
      </c>
    </row>
    <row r="2062" spans="9:17" x14ac:dyDescent="0.45">
      <c r="I2062" t="s">
        <v>191</v>
      </c>
      <c r="J2062" t="s">
        <v>369</v>
      </c>
      <c r="K2062">
        <v>0</v>
      </c>
      <c r="L2062" t="s">
        <v>159</v>
      </c>
      <c r="N2062" t="s">
        <v>234</v>
      </c>
      <c r="O2062" t="s">
        <v>369</v>
      </c>
      <c r="P2062">
        <v>5.5404352951433861E-5</v>
      </c>
      <c r="Q2062" t="s">
        <v>159</v>
      </c>
    </row>
    <row r="2063" spans="9:17" x14ac:dyDescent="0.45">
      <c r="I2063" t="s">
        <v>191</v>
      </c>
      <c r="J2063" t="s">
        <v>165</v>
      </c>
      <c r="K2063">
        <v>0</v>
      </c>
      <c r="L2063" t="s">
        <v>159</v>
      </c>
      <c r="N2063" t="s">
        <v>234</v>
      </c>
      <c r="O2063" t="s">
        <v>165</v>
      </c>
      <c r="P2063">
        <v>3.5726087584862044E-2</v>
      </c>
      <c r="Q2063" t="s">
        <v>159</v>
      </c>
    </row>
    <row r="2064" spans="9:17" x14ac:dyDescent="0.45">
      <c r="I2064" t="s">
        <v>191</v>
      </c>
      <c r="J2064" t="s">
        <v>166</v>
      </c>
      <c r="K2064">
        <v>3.6328728876483155E-4</v>
      </c>
      <c r="L2064" t="s">
        <v>159</v>
      </c>
      <c r="N2064" t="s">
        <v>234</v>
      </c>
      <c r="O2064" t="s">
        <v>166</v>
      </c>
      <c r="P2064">
        <v>2.9940130275942843E-3</v>
      </c>
      <c r="Q2064" t="s">
        <v>159</v>
      </c>
    </row>
    <row r="2065" spans="9:17" x14ac:dyDescent="0.45">
      <c r="I2065" t="s">
        <v>191</v>
      </c>
      <c r="J2065" t="s">
        <v>167</v>
      </c>
      <c r="K2065">
        <v>6.1318547682859215E-2</v>
      </c>
      <c r="L2065" t="s">
        <v>159</v>
      </c>
      <c r="N2065" t="s">
        <v>234</v>
      </c>
      <c r="O2065" t="s">
        <v>167</v>
      </c>
      <c r="P2065">
        <v>2.137680503965575E-2</v>
      </c>
      <c r="Q2065" t="s">
        <v>159</v>
      </c>
    </row>
    <row r="2066" spans="9:17" x14ac:dyDescent="0.45">
      <c r="I2066" t="s">
        <v>191</v>
      </c>
      <c r="J2066" t="s">
        <v>291</v>
      </c>
      <c r="K2066">
        <v>4.9211406731567882E-3</v>
      </c>
      <c r="L2066" t="s">
        <v>159</v>
      </c>
      <c r="N2066" t="s">
        <v>234</v>
      </c>
      <c r="O2066" t="s">
        <v>291</v>
      </c>
      <c r="P2066">
        <v>3.3561659353387265E-3</v>
      </c>
      <c r="Q2066" t="s">
        <v>159</v>
      </c>
    </row>
    <row r="2067" spans="9:17" x14ac:dyDescent="0.45">
      <c r="I2067" t="s">
        <v>191</v>
      </c>
      <c r="J2067" t="s">
        <v>292</v>
      </c>
      <c r="K2067">
        <v>2.4611285133283342E-3</v>
      </c>
      <c r="L2067" t="s">
        <v>159</v>
      </c>
      <c r="N2067" t="s">
        <v>234</v>
      </c>
      <c r="O2067" t="s">
        <v>292</v>
      </c>
      <c r="P2067">
        <v>3.5802323288524492E-3</v>
      </c>
      <c r="Q2067" t="s">
        <v>159</v>
      </c>
    </row>
    <row r="2068" spans="9:17" x14ac:dyDescent="0.45">
      <c r="I2068" t="s">
        <v>191</v>
      </c>
      <c r="J2068" t="s">
        <v>310</v>
      </c>
      <c r="K2068">
        <v>0</v>
      </c>
      <c r="L2068" t="s">
        <v>159</v>
      </c>
      <c r="N2068" t="s">
        <v>234</v>
      </c>
      <c r="O2068" t="s">
        <v>310</v>
      </c>
      <c r="P2068">
        <v>2.4803582838567515E-2</v>
      </c>
      <c r="Q2068" t="s">
        <v>159</v>
      </c>
    </row>
    <row r="2069" spans="9:17" x14ac:dyDescent="0.45">
      <c r="I2069" t="s">
        <v>191</v>
      </c>
      <c r="J2069" t="s">
        <v>293</v>
      </c>
      <c r="K2069">
        <v>0</v>
      </c>
      <c r="L2069" t="s">
        <v>159</v>
      </c>
      <c r="N2069" t="s">
        <v>234</v>
      </c>
      <c r="O2069" t="s">
        <v>293</v>
      </c>
      <c r="P2069">
        <v>9.0632729826885684E-3</v>
      </c>
      <c r="Q2069" t="s">
        <v>159</v>
      </c>
    </row>
    <row r="2070" spans="9:17" x14ac:dyDescent="0.45">
      <c r="I2070" t="s">
        <v>191</v>
      </c>
      <c r="J2070" t="s">
        <v>294</v>
      </c>
      <c r="K2070">
        <v>8.4990203002881367E-4</v>
      </c>
      <c r="L2070" t="s">
        <v>159</v>
      </c>
      <c r="N2070" t="s">
        <v>234</v>
      </c>
      <c r="O2070" t="s">
        <v>294</v>
      </c>
      <c r="P2070">
        <v>9.1832102418983085E-4</v>
      </c>
      <c r="Q2070" t="s">
        <v>159</v>
      </c>
    </row>
    <row r="2071" spans="9:17" x14ac:dyDescent="0.45">
      <c r="I2071" t="s">
        <v>191</v>
      </c>
      <c r="J2071" t="s">
        <v>295</v>
      </c>
      <c r="K2071">
        <v>1.5483002149326538E-2</v>
      </c>
      <c r="L2071" t="s">
        <v>159</v>
      </c>
      <c r="N2071" t="s">
        <v>234</v>
      </c>
      <c r="O2071" t="s">
        <v>295</v>
      </c>
      <c r="P2071">
        <v>5.7596019845443502E-3</v>
      </c>
      <c r="Q2071" t="s">
        <v>159</v>
      </c>
    </row>
    <row r="2072" spans="9:17" x14ac:dyDescent="0.45">
      <c r="I2072" t="s">
        <v>191</v>
      </c>
      <c r="J2072" t="s">
        <v>296</v>
      </c>
      <c r="K2072">
        <v>1.2836866218629501E-3</v>
      </c>
      <c r="L2072" t="s">
        <v>159</v>
      </c>
      <c r="N2072" t="s">
        <v>234</v>
      </c>
      <c r="O2072" t="s">
        <v>296</v>
      </c>
      <c r="P2072">
        <v>5.3213268491292362E-4</v>
      </c>
      <c r="Q2072" t="s">
        <v>159</v>
      </c>
    </row>
    <row r="2073" spans="9:17" x14ac:dyDescent="0.45">
      <c r="I2073" t="s">
        <v>191</v>
      </c>
      <c r="J2073" t="s">
        <v>297</v>
      </c>
      <c r="K2073">
        <v>8.3793259860301102E-4</v>
      </c>
      <c r="L2073" t="s">
        <v>159</v>
      </c>
      <c r="N2073" t="s">
        <v>234</v>
      </c>
      <c r="O2073" t="s">
        <v>297</v>
      </c>
      <c r="P2073">
        <v>6.9700249551975788E-4</v>
      </c>
      <c r="Q2073" t="s">
        <v>159</v>
      </c>
    </row>
    <row r="2074" spans="9:17" x14ac:dyDescent="0.45">
      <c r="I2074" t="s">
        <v>191</v>
      </c>
      <c r="J2074" t="s">
        <v>311</v>
      </c>
      <c r="K2074">
        <v>0</v>
      </c>
      <c r="L2074" t="s">
        <v>159</v>
      </c>
      <c r="N2074" t="s">
        <v>234</v>
      </c>
      <c r="O2074" t="s">
        <v>311</v>
      </c>
      <c r="P2074">
        <v>5.6390597549578828E-3</v>
      </c>
      <c r="Q2074" t="s">
        <v>159</v>
      </c>
    </row>
    <row r="2075" spans="9:17" x14ac:dyDescent="0.45">
      <c r="I2075" t="s">
        <v>191</v>
      </c>
      <c r="J2075" t="s">
        <v>298</v>
      </c>
      <c r="K2075">
        <v>4.1026667643317234E-3</v>
      </c>
      <c r="L2075" t="s">
        <v>159</v>
      </c>
      <c r="N2075" t="s">
        <v>234</v>
      </c>
      <c r="O2075" t="s">
        <v>298</v>
      </c>
      <c r="P2075">
        <v>0.12476171581690934</v>
      </c>
      <c r="Q2075" t="s">
        <v>159</v>
      </c>
    </row>
    <row r="2076" spans="9:17" x14ac:dyDescent="0.45">
      <c r="I2076" t="s">
        <v>191</v>
      </c>
      <c r="J2076" t="s">
        <v>299</v>
      </c>
      <c r="K2076">
        <v>1.5098630624781978E-2</v>
      </c>
      <c r="L2076" t="s">
        <v>159</v>
      </c>
      <c r="N2076" t="s">
        <v>234</v>
      </c>
      <c r="O2076" t="s">
        <v>299</v>
      </c>
      <c r="P2076">
        <v>1.0610445032954651E-2</v>
      </c>
      <c r="Q2076" t="s">
        <v>159</v>
      </c>
    </row>
    <row r="2077" spans="9:17" x14ac:dyDescent="0.45">
      <c r="I2077" t="s">
        <v>191</v>
      </c>
      <c r="J2077" t="s">
        <v>300</v>
      </c>
      <c r="K2077">
        <v>0.24106907926060345</v>
      </c>
      <c r="L2077" t="s">
        <v>159</v>
      </c>
      <c r="N2077" t="s">
        <v>234</v>
      </c>
      <c r="O2077" t="s">
        <v>300</v>
      </c>
      <c r="P2077">
        <v>0.12876709196428543</v>
      </c>
      <c r="Q2077" t="s">
        <v>159</v>
      </c>
    </row>
    <row r="2078" spans="9:17" x14ac:dyDescent="0.45">
      <c r="I2078" t="s">
        <v>191</v>
      </c>
      <c r="J2078" t="s">
        <v>301</v>
      </c>
      <c r="K2078">
        <v>1.9997446077601823E-2</v>
      </c>
      <c r="L2078" t="s">
        <v>159</v>
      </c>
      <c r="N2078" t="s">
        <v>234</v>
      </c>
      <c r="O2078" t="s">
        <v>301</v>
      </c>
      <c r="P2078">
        <v>1.5982846048774681E-2</v>
      </c>
      <c r="Q2078" t="s">
        <v>159</v>
      </c>
    </row>
    <row r="2079" spans="9:17" x14ac:dyDescent="0.45">
      <c r="I2079" t="s">
        <v>191</v>
      </c>
      <c r="J2079" t="s">
        <v>302</v>
      </c>
      <c r="K2079">
        <v>1.2783650723394714E-2</v>
      </c>
      <c r="L2079" t="s">
        <v>159</v>
      </c>
      <c r="N2079" t="s">
        <v>234</v>
      </c>
      <c r="O2079" t="s">
        <v>302</v>
      </c>
      <c r="P2079">
        <v>1.4373431529308874E-2</v>
      </c>
      <c r="Q2079" t="s">
        <v>159</v>
      </c>
    </row>
    <row r="2080" spans="9:17" x14ac:dyDescent="0.45">
      <c r="I2080" t="s">
        <v>191</v>
      </c>
      <c r="J2080" t="s">
        <v>312</v>
      </c>
      <c r="K2080">
        <v>0</v>
      </c>
      <c r="L2080" t="s">
        <v>159</v>
      </c>
      <c r="N2080" t="s">
        <v>234</v>
      </c>
      <c r="O2080" t="s">
        <v>312</v>
      </c>
      <c r="P2080">
        <v>0.10835068813533483</v>
      </c>
      <c r="Q2080" t="s">
        <v>159</v>
      </c>
    </row>
    <row r="2081" spans="9:17" x14ac:dyDescent="0.45">
      <c r="I2081" t="s">
        <v>191</v>
      </c>
      <c r="J2081" t="s">
        <v>397</v>
      </c>
      <c r="K2081">
        <v>0</v>
      </c>
      <c r="L2081" t="s">
        <v>159</v>
      </c>
      <c r="N2081" t="s">
        <v>234</v>
      </c>
      <c r="O2081" t="s">
        <v>397</v>
      </c>
      <c r="P2081">
        <v>6.121398971773699E-5</v>
      </c>
      <c r="Q2081" t="s">
        <v>159</v>
      </c>
    </row>
    <row r="2082" spans="9:17" x14ac:dyDescent="0.45">
      <c r="I2082" t="s">
        <v>191</v>
      </c>
      <c r="J2082" t="s">
        <v>398</v>
      </c>
      <c r="K2082">
        <v>0</v>
      </c>
      <c r="L2082" t="s">
        <v>159</v>
      </c>
      <c r="N2082" t="s">
        <v>234</v>
      </c>
      <c r="O2082" t="s">
        <v>398</v>
      </c>
      <c r="P2082">
        <v>3.5497792957854722E-5</v>
      </c>
      <c r="Q2082" t="s">
        <v>159</v>
      </c>
    </row>
    <row r="2083" spans="9:17" x14ac:dyDescent="0.45">
      <c r="I2083" t="s">
        <v>191</v>
      </c>
      <c r="J2083" t="s">
        <v>399</v>
      </c>
      <c r="K2083">
        <v>0</v>
      </c>
      <c r="L2083" t="s">
        <v>159</v>
      </c>
      <c r="N2083" t="s">
        <v>234</v>
      </c>
      <c r="O2083" t="s">
        <v>399</v>
      </c>
      <c r="P2083">
        <v>3.9108089448157234E-5</v>
      </c>
      <c r="Q2083" t="s">
        <v>159</v>
      </c>
    </row>
    <row r="2084" spans="9:17" x14ac:dyDescent="0.45">
      <c r="I2084" t="s">
        <v>191</v>
      </c>
      <c r="J2084" t="s">
        <v>400</v>
      </c>
      <c r="K2084">
        <v>0</v>
      </c>
      <c r="L2084" t="s">
        <v>159</v>
      </c>
      <c r="N2084" t="s">
        <v>234</v>
      </c>
      <c r="O2084" t="s">
        <v>400</v>
      </c>
      <c r="P2084">
        <v>2.3937041760927881E-5</v>
      </c>
      <c r="Q2084" t="s">
        <v>159</v>
      </c>
    </row>
    <row r="2085" spans="9:17" x14ac:dyDescent="0.45">
      <c r="I2085" t="s">
        <v>191</v>
      </c>
      <c r="J2085" t="s">
        <v>401</v>
      </c>
      <c r="K2085">
        <v>0</v>
      </c>
      <c r="L2085" t="s">
        <v>159</v>
      </c>
      <c r="N2085" t="s">
        <v>234</v>
      </c>
      <c r="O2085" t="s">
        <v>401</v>
      </c>
      <c r="P2085">
        <v>1.2655130671656299E-5</v>
      </c>
      <c r="Q2085" t="s">
        <v>159</v>
      </c>
    </row>
    <row r="2086" spans="9:17" x14ac:dyDescent="0.45">
      <c r="I2086" t="s">
        <v>191</v>
      </c>
      <c r="J2086" t="s">
        <v>402</v>
      </c>
      <c r="K2086">
        <v>0</v>
      </c>
      <c r="L2086" t="s">
        <v>159</v>
      </c>
      <c r="N2086" t="s">
        <v>234</v>
      </c>
      <c r="O2086" t="s">
        <v>402</v>
      </c>
      <c r="P2086">
        <v>1.3976715900329767E-5</v>
      </c>
      <c r="Q2086" t="s">
        <v>159</v>
      </c>
    </row>
    <row r="2087" spans="9:17" x14ac:dyDescent="0.45">
      <c r="I2087" t="s">
        <v>191</v>
      </c>
      <c r="J2087" t="s">
        <v>403</v>
      </c>
      <c r="K2087">
        <v>0</v>
      </c>
      <c r="L2087" t="s">
        <v>159</v>
      </c>
      <c r="N2087" t="s">
        <v>234</v>
      </c>
      <c r="O2087" t="s">
        <v>403</v>
      </c>
      <c r="P2087">
        <v>1.7365896709440063E-5</v>
      </c>
      <c r="Q2087" t="s">
        <v>159</v>
      </c>
    </row>
    <row r="2088" spans="9:17" x14ac:dyDescent="0.45">
      <c r="I2088" t="s">
        <v>191</v>
      </c>
      <c r="J2088" t="s">
        <v>404</v>
      </c>
      <c r="K2088">
        <v>1.7920823380503112E-4</v>
      </c>
      <c r="L2088" t="s">
        <v>159</v>
      </c>
      <c r="N2088" t="s">
        <v>234</v>
      </c>
      <c r="O2088" t="s">
        <v>404</v>
      </c>
      <c r="P2088">
        <v>1.7379320338704924E-5</v>
      </c>
      <c r="Q2088" t="s">
        <v>159</v>
      </c>
    </row>
    <row r="2089" spans="9:17" x14ac:dyDescent="0.45">
      <c r="I2089" t="s">
        <v>191</v>
      </c>
      <c r="J2089" t="s">
        <v>405</v>
      </c>
      <c r="K2089">
        <v>2.7871751990791869E-4</v>
      </c>
      <c r="L2089" t="s">
        <v>159</v>
      </c>
      <c r="N2089" t="s">
        <v>234</v>
      </c>
      <c r="O2089" t="s">
        <v>405</v>
      </c>
      <c r="P2089">
        <v>7.6266811046586277E-6</v>
      </c>
      <c r="Q2089" t="s">
        <v>159</v>
      </c>
    </row>
    <row r="2090" spans="9:17" x14ac:dyDescent="0.45">
      <c r="I2090" t="s">
        <v>191</v>
      </c>
      <c r="J2090" t="s">
        <v>406</v>
      </c>
      <c r="K2090">
        <v>3.1816336269942491E-4</v>
      </c>
      <c r="L2090" t="s">
        <v>159</v>
      </c>
      <c r="N2090" t="s">
        <v>234</v>
      </c>
      <c r="O2090" t="s">
        <v>406</v>
      </c>
      <c r="P2090">
        <v>3.4951398380919024E-5</v>
      </c>
      <c r="Q2090" t="s">
        <v>159</v>
      </c>
    </row>
    <row r="2091" spans="9:17" x14ac:dyDescent="0.45">
      <c r="I2091" t="s">
        <v>191</v>
      </c>
      <c r="J2091" t="s">
        <v>407</v>
      </c>
      <c r="K2091">
        <v>3.3393221417790133E-4</v>
      </c>
      <c r="L2091" t="s">
        <v>159</v>
      </c>
      <c r="N2091" t="s">
        <v>234</v>
      </c>
      <c r="O2091" t="s">
        <v>407</v>
      </c>
      <c r="P2091">
        <v>5.3903082074654204E-5</v>
      </c>
      <c r="Q2091" t="s">
        <v>159</v>
      </c>
    </row>
    <row r="2092" spans="9:17" x14ac:dyDescent="0.45">
      <c r="I2092" t="s">
        <v>191</v>
      </c>
      <c r="J2092" t="s">
        <v>408</v>
      </c>
      <c r="K2092">
        <v>3.518335608971548E-4</v>
      </c>
      <c r="L2092" t="s">
        <v>159</v>
      </c>
      <c r="N2092" t="s">
        <v>234</v>
      </c>
      <c r="O2092" t="s">
        <v>408</v>
      </c>
      <c r="P2092">
        <v>6.2833940858653004E-5</v>
      </c>
      <c r="Q2092" t="s">
        <v>159</v>
      </c>
    </row>
    <row r="2093" spans="9:17" x14ac:dyDescent="0.45">
      <c r="I2093" t="s">
        <v>191</v>
      </c>
      <c r="J2093" t="s">
        <v>409</v>
      </c>
      <c r="K2093">
        <v>3.6989654040287006E-4</v>
      </c>
      <c r="L2093" t="s">
        <v>159</v>
      </c>
      <c r="N2093" t="s">
        <v>234</v>
      </c>
      <c r="O2093" t="s">
        <v>409</v>
      </c>
      <c r="P2093">
        <v>4.1985648548264387E-5</v>
      </c>
      <c r="Q2093" t="s">
        <v>159</v>
      </c>
    </row>
    <row r="2094" spans="9:17" x14ac:dyDescent="0.45">
      <c r="I2094" t="s">
        <v>191</v>
      </c>
      <c r="J2094" t="s">
        <v>410</v>
      </c>
      <c r="K2094">
        <v>3.6375992842101581E-4</v>
      </c>
      <c r="L2094" t="s">
        <v>159</v>
      </c>
      <c r="N2094" t="s">
        <v>234</v>
      </c>
      <c r="O2094" t="s">
        <v>410</v>
      </c>
      <c r="P2094">
        <v>4.0890768502603083E-5</v>
      </c>
      <c r="Q2094" t="s">
        <v>159</v>
      </c>
    </row>
    <row r="2095" spans="9:17" x14ac:dyDescent="0.45">
      <c r="I2095" t="s">
        <v>191</v>
      </c>
      <c r="J2095" t="s">
        <v>411</v>
      </c>
      <c r="K2095">
        <v>3.3872871609372756E-4</v>
      </c>
      <c r="L2095" t="s">
        <v>159</v>
      </c>
      <c r="N2095" t="s">
        <v>234</v>
      </c>
      <c r="O2095" t="s">
        <v>411</v>
      </c>
      <c r="P2095">
        <v>3.7571729219792037E-5</v>
      </c>
      <c r="Q2095" t="s">
        <v>159</v>
      </c>
    </row>
    <row r="2096" spans="9:17" x14ac:dyDescent="0.45">
      <c r="I2096" t="s">
        <v>191</v>
      </c>
      <c r="J2096" t="s">
        <v>412</v>
      </c>
      <c r="K2096">
        <v>3.1645710095033422E-4</v>
      </c>
      <c r="L2096" t="s">
        <v>159</v>
      </c>
      <c r="N2096" t="s">
        <v>234</v>
      </c>
      <c r="O2096" t="s">
        <v>412</v>
      </c>
      <c r="P2096">
        <v>3.7485410507699554E-5</v>
      </c>
      <c r="Q2096" t="s">
        <v>159</v>
      </c>
    </row>
    <row r="2097" spans="9:17" x14ac:dyDescent="0.45">
      <c r="I2097" t="s">
        <v>191</v>
      </c>
      <c r="J2097" t="s">
        <v>413</v>
      </c>
      <c r="K2097">
        <v>3.0102886746295515E-4</v>
      </c>
      <c r="L2097" t="s">
        <v>159</v>
      </c>
      <c r="N2097" t="s">
        <v>234</v>
      </c>
      <c r="O2097" t="s">
        <v>413</v>
      </c>
      <c r="P2097">
        <v>3.4462175459271999E-5</v>
      </c>
      <c r="Q2097" t="s">
        <v>159</v>
      </c>
    </row>
    <row r="2098" spans="9:17" x14ac:dyDescent="0.45">
      <c r="I2098" t="s">
        <v>191</v>
      </c>
      <c r="J2098" t="s">
        <v>414</v>
      </c>
      <c r="K2098">
        <v>2.6267258832639838E-4</v>
      </c>
      <c r="L2098" t="s">
        <v>159</v>
      </c>
      <c r="N2098" t="s">
        <v>234</v>
      </c>
      <c r="O2098" t="s">
        <v>414</v>
      </c>
      <c r="P2098">
        <v>2.7997581656717277E-5</v>
      </c>
      <c r="Q2098" t="s">
        <v>159</v>
      </c>
    </row>
    <row r="2099" spans="9:17" x14ac:dyDescent="0.45">
      <c r="I2099" t="s">
        <v>191</v>
      </c>
      <c r="J2099" t="s">
        <v>415</v>
      </c>
      <c r="K2099">
        <v>1.570586956740361E-4</v>
      </c>
      <c r="L2099" t="s">
        <v>159</v>
      </c>
      <c r="N2099" t="s">
        <v>234</v>
      </c>
      <c r="O2099" t="s">
        <v>415</v>
      </c>
      <c r="P2099">
        <v>3.7196246561672224E-5</v>
      </c>
      <c r="Q2099" t="s">
        <v>159</v>
      </c>
    </row>
    <row r="2100" spans="9:17" x14ac:dyDescent="0.45">
      <c r="I2100" t="s">
        <v>191</v>
      </c>
      <c r="J2100" t="s">
        <v>416</v>
      </c>
      <c r="K2100">
        <v>0</v>
      </c>
      <c r="L2100" t="s">
        <v>159</v>
      </c>
      <c r="N2100" t="s">
        <v>234</v>
      </c>
      <c r="O2100" t="s">
        <v>416</v>
      </c>
      <c r="P2100">
        <v>6.2353719939372675E-5</v>
      </c>
      <c r="Q2100" t="s">
        <v>159</v>
      </c>
    </row>
    <row r="2101" spans="9:17" x14ac:dyDescent="0.45">
      <c r="I2101" t="s">
        <v>191</v>
      </c>
      <c r="J2101" t="s">
        <v>417</v>
      </c>
      <c r="K2101">
        <v>0</v>
      </c>
      <c r="L2101" t="s">
        <v>159</v>
      </c>
      <c r="N2101" t="s">
        <v>234</v>
      </c>
      <c r="O2101" t="s">
        <v>417</v>
      </c>
      <c r="P2101">
        <v>6.1555671862245122E-5</v>
      </c>
      <c r="Q2101" t="s">
        <v>159</v>
      </c>
    </row>
    <row r="2102" spans="9:17" x14ac:dyDescent="0.45">
      <c r="I2102" t="s">
        <v>191</v>
      </c>
      <c r="J2102" t="s">
        <v>418</v>
      </c>
      <c r="K2102">
        <v>0</v>
      </c>
      <c r="L2102" t="s">
        <v>159</v>
      </c>
      <c r="N2102" t="s">
        <v>234</v>
      </c>
      <c r="O2102" t="s">
        <v>418</v>
      </c>
      <c r="P2102">
        <v>6.753039245279819E-5</v>
      </c>
      <c r="Q2102" t="s">
        <v>159</v>
      </c>
    </row>
    <row r="2103" spans="9:17" x14ac:dyDescent="0.45">
      <c r="I2103" t="s">
        <v>191</v>
      </c>
      <c r="J2103" t="s">
        <v>419</v>
      </c>
      <c r="K2103">
        <v>0</v>
      </c>
      <c r="L2103" t="s">
        <v>159</v>
      </c>
      <c r="N2103" t="s">
        <v>234</v>
      </c>
      <c r="O2103" t="s">
        <v>419</v>
      </c>
      <c r="P2103">
        <v>1.0381475965317154E-4</v>
      </c>
      <c r="Q2103" t="s">
        <v>159</v>
      </c>
    </row>
    <row r="2104" spans="9:17" x14ac:dyDescent="0.45">
      <c r="I2104" t="s">
        <v>191</v>
      </c>
      <c r="J2104" t="s">
        <v>420</v>
      </c>
      <c r="K2104">
        <v>0</v>
      </c>
      <c r="L2104" t="s">
        <v>159</v>
      </c>
      <c r="N2104" t="s">
        <v>234</v>
      </c>
      <c r="O2104" t="s">
        <v>420</v>
      </c>
      <c r="P2104">
        <v>1.7829523745036417E-4</v>
      </c>
      <c r="Q2104" t="s">
        <v>159</v>
      </c>
    </row>
    <row r="2105" spans="9:17" x14ac:dyDescent="0.45">
      <c r="I2105" t="s">
        <v>191</v>
      </c>
      <c r="J2105" t="s">
        <v>313</v>
      </c>
      <c r="K2105">
        <v>2.1746295722733394E-3</v>
      </c>
      <c r="L2105" t="s">
        <v>159</v>
      </c>
      <c r="N2105" t="s">
        <v>234</v>
      </c>
      <c r="O2105" t="s">
        <v>313</v>
      </c>
      <c r="P2105">
        <v>1.4348310259305412E-2</v>
      </c>
      <c r="Q2105" t="s">
        <v>159</v>
      </c>
    </row>
    <row r="2106" spans="9:17" x14ac:dyDescent="0.45">
      <c r="I2106" t="s">
        <v>191</v>
      </c>
      <c r="J2106" t="s">
        <v>314</v>
      </c>
      <c r="K2106">
        <v>3.9487113168809908E-3</v>
      </c>
      <c r="L2106" t="s">
        <v>159</v>
      </c>
      <c r="N2106" t="s">
        <v>234</v>
      </c>
      <c r="O2106" t="s">
        <v>314</v>
      </c>
      <c r="P2106">
        <v>1.697086702077069E-3</v>
      </c>
      <c r="Q2106" t="s">
        <v>159</v>
      </c>
    </row>
    <row r="2107" spans="9:17" x14ac:dyDescent="0.45">
      <c r="I2107" t="s">
        <v>191</v>
      </c>
      <c r="J2107" t="s">
        <v>315</v>
      </c>
      <c r="K2107">
        <v>6.2473400297621905E-2</v>
      </c>
      <c r="L2107" t="s">
        <v>159</v>
      </c>
      <c r="N2107" t="s">
        <v>234</v>
      </c>
      <c r="O2107" t="s">
        <v>315</v>
      </c>
      <c r="P2107">
        <v>1.8643688847177518E-2</v>
      </c>
      <c r="Q2107" t="s">
        <v>159</v>
      </c>
    </row>
    <row r="2108" spans="9:17" x14ac:dyDescent="0.45">
      <c r="I2108" t="s">
        <v>191</v>
      </c>
      <c r="J2108" t="s">
        <v>316</v>
      </c>
      <c r="K2108">
        <v>5.4336729617707599E-3</v>
      </c>
      <c r="L2108" t="s">
        <v>159</v>
      </c>
      <c r="N2108" t="s">
        <v>234</v>
      </c>
      <c r="O2108" t="s">
        <v>316</v>
      </c>
      <c r="P2108">
        <v>1.9932579728489117E-3</v>
      </c>
      <c r="Q2108" t="s">
        <v>159</v>
      </c>
    </row>
    <row r="2109" spans="9:17" x14ac:dyDescent="0.45">
      <c r="I2109" t="s">
        <v>191</v>
      </c>
      <c r="J2109" t="s">
        <v>317</v>
      </c>
      <c r="K2109">
        <v>3.963306366081912E-3</v>
      </c>
      <c r="L2109" t="s">
        <v>159</v>
      </c>
      <c r="N2109" t="s">
        <v>234</v>
      </c>
      <c r="O2109" t="s">
        <v>317</v>
      </c>
      <c r="P2109">
        <v>2.0170520410960945E-3</v>
      </c>
      <c r="Q2109" t="s">
        <v>159</v>
      </c>
    </row>
    <row r="2110" spans="9:17" x14ac:dyDescent="0.45">
      <c r="I2110" t="s">
        <v>191</v>
      </c>
      <c r="J2110" t="s">
        <v>318</v>
      </c>
      <c r="K2110">
        <v>2.0611518096120859E-3</v>
      </c>
      <c r="L2110" t="s">
        <v>159</v>
      </c>
      <c r="N2110" t="s">
        <v>234</v>
      </c>
      <c r="O2110" t="s">
        <v>318</v>
      </c>
      <c r="P2110">
        <v>1.5579995846954037E-2</v>
      </c>
      <c r="Q2110" t="s">
        <v>159</v>
      </c>
    </row>
    <row r="2111" spans="9:17" x14ac:dyDescent="0.45">
      <c r="I2111" t="s">
        <v>192</v>
      </c>
      <c r="J2111" t="s">
        <v>158</v>
      </c>
      <c r="K2111">
        <v>1.1309490066213159E-3</v>
      </c>
      <c r="L2111" t="s">
        <v>159</v>
      </c>
      <c r="N2111" t="s">
        <v>235</v>
      </c>
      <c r="O2111" t="s">
        <v>158</v>
      </c>
      <c r="P2111">
        <v>0.1326078406128211</v>
      </c>
      <c r="Q2111" t="s">
        <v>159</v>
      </c>
    </row>
    <row r="2112" spans="9:17" x14ac:dyDescent="0.45">
      <c r="I2112" t="s">
        <v>192</v>
      </c>
      <c r="J2112" t="s">
        <v>160</v>
      </c>
      <c r="K2112">
        <v>1.3586395728548712E-2</v>
      </c>
      <c r="L2112" t="s">
        <v>159</v>
      </c>
      <c r="N2112" t="s">
        <v>235</v>
      </c>
      <c r="O2112" t="s">
        <v>160</v>
      </c>
      <c r="P2112">
        <v>1.0870700320974307E-2</v>
      </c>
      <c r="Q2112" t="s">
        <v>159</v>
      </c>
    </row>
    <row r="2113" spans="9:17" x14ac:dyDescent="0.45">
      <c r="I2113" t="s">
        <v>192</v>
      </c>
      <c r="J2113" t="s">
        <v>161</v>
      </c>
      <c r="K2113">
        <v>0.39508079238605803</v>
      </c>
      <c r="L2113" t="s">
        <v>159</v>
      </c>
      <c r="N2113" t="s">
        <v>235</v>
      </c>
      <c r="O2113" t="s">
        <v>161</v>
      </c>
      <c r="P2113">
        <v>8.1288462257306598E-2</v>
      </c>
      <c r="Q2113" t="s">
        <v>159</v>
      </c>
    </row>
    <row r="2114" spans="9:17" x14ac:dyDescent="0.45">
      <c r="I2114" t="s">
        <v>192</v>
      </c>
      <c r="J2114" t="s">
        <v>287</v>
      </c>
      <c r="K2114">
        <v>3.2950645312313911E-2</v>
      </c>
      <c r="L2114" t="s">
        <v>159</v>
      </c>
      <c r="N2114" t="s">
        <v>235</v>
      </c>
      <c r="O2114" t="s">
        <v>287</v>
      </c>
      <c r="P2114">
        <v>1.1232622928014208E-2</v>
      </c>
      <c r="Q2114" t="s">
        <v>159</v>
      </c>
    </row>
    <row r="2115" spans="9:17" x14ac:dyDescent="0.45">
      <c r="I2115" t="s">
        <v>192</v>
      </c>
      <c r="J2115" t="s">
        <v>288</v>
      </c>
      <c r="K2115">
        <v>1.6916284635490539E-2</v>
      </c>
      <c r="L2115" t="s">
        <v>159</v>
      </c>
      <c r="N2115" t="s">
        <v>235</v>
      </c>
      <c r="O2115" t="s">
        <v>288</v>
      </c>
      <c r="P2115">
        <v>1.4396412051200083E-2</v>
      </c>
      <c r="Q2115" t="s">
        <v>159</v>
      </c>
    </row>
    <row r="2116" spans="9:17" x14ac:dyDescent="0.45">
      <c r="I2116" t="s">
        <v>192</v>
      </c>
      <c r="J2116" t="s">
        <v>308</v>
      </c>
      <c r="K2116">
        <v>5.7645492345875385E-3</v>
      </c>
      <c r="L2116" t="s">
        <v>159</v>
      </c>
      <c r="N2116" t="s">
        <v>235</v>
      </c>
      <c r="O2116" t="s">
        <v>308</v>
      </c>
      <c r="P2116">
        <v>0.12073586908366522</v>
      </c>
      <c r="Q2116" t="s">
        <v>159</v>
      </c>
    </row>
    <row r="2117" spans="9:17" x14ac:dyDescent="0.45">
      <c r="I2117" t="s">
        <v>192</v>
      </c>
      <c r="J2117" t="s">
        <v>162</v>
      </c>
      <c r="K2117">
        <v>0</v>
      </c>
      <c r="L2117" t="s">
        <v>159</v>
      </c>
      <c r="N2117" t="s">
        <v>235</v>
      </c>
      <c r="O2117" t="s">
        <v>162</v>
      </c>
      <c r="P2117">
        <v>1.8974945677617455E-2</v>
      </c>
      <c r="Q2117" t="s">
        <v>159</v>
      </c>
    </row>
    <row r="2118" spans="9:17" x14ac:dyDescent="0.45">
      <c r="I2118" t="s">
        <v>192</v>
      </c>
      <c r="J2118" t="s">
        <v>163</v>
      </c>
      <c r="K2118">
        <v>0</v>
      </c>
      <c r="L2118" t="s">
        <v>159</v>
      </c>
      <c r="N2118" t="s">
        <v>235</v>
      </c>
      <c r="O2118" t="s">
        <v>163</v>
      </c>
      <c r="P2118">
        <v>2.167436641577679E-3</v>
      </c>
      <c r="Q2118" t="s">
        <v>159</v>
      </c>
    </row>
    <row r="2119" spans="9:17" x14ac:dyDescent="0.45">
      <c r="I2119" t="s">
        <v>192</v>
      </c>
      <c r="J2119" t="s">
        <v>164</v>
      </c>
      <c r="K2119">
        <v>5.1692382064080174E-2</v>
      </c>
      <c r="L2119" t="s">
        <v>159</v>
      </c>
      <c r="N2119" t="s">
        <v>235</v>
      </c>
      <c r="O2119" t="s">
        <v>164</v>
      </c>
      <c r="P2119">
        <v>1.521528086995697E-2</v>
      </c>
      <c r="Q2119" t="s">
        <v>159</v>
      </c>
    </row>
    <row r="2120" spans="9:17" x14ac:dyDescent="0.45">
      <c r="I2120" t="s">
        <v>192</v>
      </c>
      <c r="J2120" t="s">
        <v>289</v>
      </c>
      <c r="K2120">
        <v>4.5335375522271891E-3</v>
      </c>
      <c r="L2120" t="s">
        <v>159</v>
      </c>
      <c r="N2120" t="s">
        <v>235</v>
      </c>
      <c r="O2120" t="s">
        <v>289</v>
      </c>
      <c r="P2120">
        <v>1.8696020848102243E-3</v>
      </c>
      <c r="Q2120" t="s">
        <v>159</v>
      </c>
    </row>
    <row r="2121" spans="9:17" x14ac:dyDescent="0.45">
      <c r="I2121" t="s">
        <v>192</v>
      </c>
      <c r="J2121" t="s">
        <v>290</v>
      </c>
      <c r="K2121">
        <v>0</v>
      </c>
      <c r="L2121" t="s">
        <v>159</v>
      </c>
      <c r="N2121" t="s">
        <v>235</v>
      </c>
      <c r="O2121" t="s">
        <v>290</v>
      </c>
      <c r="P2121">
        <v>2.7957742786564486E-3</v>
      </c>
      <c r="Q2121" t="s">
        <v>159</v>
      </c>
    </row>
    <row r="2122" spans="9:17" x14ac:dyDescent="0.45">
      <c r="I2122" t="s">
        <v>192</v>
      </c>
      <c r="J2122" t="s">
        <v>309</v>
      </c>
      <c r="K2122">
        <v>0</v>
      </c>
      <c r="L2122" t="s">
        <v>159</v>
      </c>
      <c r="N2122" t="s">
        <v>235</v>
      </c>
      <c r="O2122" t="s">
        <v>309</v>
      </c>
      <c r="P2122">
        <v>1.9303247616879068E-2</v>
      </c>
      <c r="Q2122" t="s">
        <v>159</v>
      </c>
    </row>
    <row r="2123" spans="9:17" x14ac:dyDescent="0.45">
      <c r="I2123" t="s">
        <v>192</v>
      </c>
      <c r="J2123" t="s">
        <v>346</v>
      </c>
      <c r="K2123">
        <v>0</v>
      </c>
      <c r="L2123" t="s">
        <v>159</v>
      </c>
      <c r="N2123" t="s">
        <v>235</v>
      </c>
      <c r="O2123" t="s">
        <v>346</v>
      </c>
      <c r="P2123">
        <v>1.0347305759012445E-5</v>
      </c>
      <c r="Q2123" t="s">
        <v>159</v>
      </c>
    </row>
    <row r="2124" spans="9:17" x14ac:dyDescent="0.45">
      <c r="I2124" t="s">
        <v>192</v>
      </c>
      <c r="J2124" t="s">
        <v>347</v>
      </c>
      <c r="K2124">
        <v>0</v>
      </c>
      <c r="L2124" t="s">
        <v>159</v>
      </c>
      <c r="N2124" t="s">
        <v>235</v>
      </c>
      <c r="O2124" t="s">
        <v>347</v>
      </c>
      <c r="P2124">
        <v>2.7467999211001737E-5</v>
      </c>
      <c r="Q2124" t="s">
        <v>159</v>
      </c>
    </row>
    <row r="2125" spans="9:17" x14ac:dyDescent="0.45">
      <c r="I2125" t="s">
        <v>192</v>
      </c>
      <c r="J2125" t="s">
        <v>348</v>
      </c>
      <c r="K2125">
        <v>0</v>
      </c>
      <c r="L2125" t="s">
        <v>159</v>
      </c>
      <c r="N2125" t="s">
        <v>235</v>
      </c>
      <c r="O2125" t="s">
        <v>348</v>
      </c>
      <c r="P2125">
        <v>4.6420803343029352E-5</v>
      </c>
      <c r="Q2125" t="s">
        <v>159</v>
      </c>
    </row>
    <row r="2126" spans="9:17" x14ac:dyDescent="0.45">
      <c r="I2126" t="s">
        <v>192</v>
      </c>
      <c r="J2126" t="s">
        <v>349</v>
      </c>
      <c r="K2126">
        <v>0</v>
      </c>
      <c r="L2126" t="s">
        <v>159</v>
      </c>
      <c r="N2126" t="s">
        <v>235</v>
      </c>
      <c r="O2126" t="s">
        <v>349</v>
      </c>
      <c r="P2126">
        <v>6.3469541340111597E-5</v>
      </c>
      <c r="Q2126" t="s">
        <v>159</v>
      </c>
    </row>
    <row r="2127" spans="9:17" x14ac:dyDescent="0.45">
      <c r="I2127" t="s">
        <v>192</v>
      </c>
      <c r="J2127" t="s">
        <v>350</v>
      </c>
      <c r="K2127">
        <v>0</v>
      </c>
      <c r="L2127" t="s">
        <v>159</v>
      </c>
      <c r="N2127" t="s">
        <v>235</v>
      </c>
      <c r="O2127" t="s">
        <v>350</v>
      </c>
      <c r="P2127">
        <v>5.1930473576436481E-5</v>
      </c>
      <c r="Q2127" t="s">
        <v>159</v>
      </c>
    </row>
    <row r="2128" spans="9:17" x14ac:dyDescent="0.45">
      <c r="I2128" t="s">
        <v>192</v>
      </c>
      <c r="J2128" t="s">
        <v>351</v>
      </c>
      <c r="K2128">
        <v>0</v>
      </c>
      <c r="L2128" t="s">
        <v>159</v>
      </c>
      <c r="N2128" t="s">
        <v>235</v>
      </c>
      <c r="O2128" t="s">
        <v>351</v>
      </c>
      <c r="P2128">
        <v>3.525475732086784E-5</v>
      </c>
      <c r="Q2128" t="s">
        <v>159</v>
      </c>
    </row>
    <row r="2129" spans="9:17" x14ac:dyDescent="0.45">
      <c r="I2129" t="s">
        <v>192</v>
      </c>
      <c r="J2129" t="s">
        <v>352</v>
      </c>
      <c r="K2129">
        <v>0</v>
      </c>
      <c r="L2129" t="s">
        <v>159</v>
      </c>
      <c r="N2129" t="s">
        <v>235</v>
      </c>
      <c r="O2129" t="s">
        <v>352</v>
      </c>
      <c r="P2129">
        <v>2.5236572841117498E-5</v>
      </c>
      <c r="Q2129" t="s">
        <v>159</v>
      </c>
    </row>
    <row r="2130" spans="9:17" x14ac:dyDescent="0.45">
      <c r="I2130" t="s">
        <v>192</v>
      </c>
      <c r="J2130" t="s">
        <v>353</v>
      </c>
      <c r="K2130">
        <v>0</v>
      </c>
      <c r="L2130" t="s">
        <v>159</v>
      </c>
      <c r="N2130" t="s">
        <v>235</v>
      </c>
      <c r="O2130" t="s">
        <v>353</v>
      </c>
      <c r="P2130">
        <v>1.9455045675610259E-5</v>
      </c>
      <c r="Q2130" t="s">
        <v>159</v>
      </c>
    </row>
    <row r="2131" spans="9:17" x14ac:dyDescent="0.45">
      <c r="I2131" t="s">
        <v>192</v>
      </c>
      <c r="J2131" t="s">
        <v>354</v>
      </c>
      <c r="K2131">
        <v>6.8944839525447799E-5</v>
      </c>
      <c r="L2131" t="s">
        <v>159</v>
      </c>
      <c r="N2131" t="s">
        <v>235</v>
      </c>
      <c r="O2131" t="s">
        <v>354</v>
      </c>
      <c r="P2131">
        <v>1.5133463657333758E-5</v>
      </c>
      <c r="Q2131" t="s">
        <v>159</v>
      </c>
    </row>
    <row r="2132" spans="9:17" x14ac:dyDescent="0.45">
      <c r="I2132" t="s">
        <v>192</v>
      </c>
      <c r="J2132" t="s">
        <v>355</v>
      </c>
      <c r="K2132">
        <v>1.2151902762295477E-4</v>
      </c>
      <c r="L2132" t="s">
        <v>159</v>
      </c>
      <c r="N2132" t="s">
        <v>235</v>
      </c>
      <c r="O2132" t="s">
        <v>355</v>
      </c>
      <c r="P2132">
        <v>1.0271788438485465E-6</v>
      </c>
      <c r="Q2132" t="s">
        <v>159</v>
      </c>
    </row>
    <row r="2133" spans="9:17" x14ac:dyDescent="0.45">
      <c r="I2133" t="s">
        <v>192</v>
      </c>
      <c r="J2133" t="s">
        <v>356</v>
      </c>
      <c r="K2133">
        <v>1.7548477202021376E-4</v>
      </c>
      <c r="L2133" t="s">
        <v>159</v>
      </c>
      <c r="N2133" t="s">
        <v>235</v>
      </c>
      <c r="O2133" t="s">
        <v>356</v>
      </c>
      <c r="P2133">
        <v>1.0256291999218381E-6</v>
      </c>
      <c r="Q2133" t="s">
        <v>159</v>
      </c>
    </row>
    <row r="2134" spans="9:17" x14ac:dyDescent="0.45">
      <c r="I2134" t="s">
        <v>192</v>
      </c>
      <c r="J2134" t="s">
        <v>357</v>
      </c>
      <c r="K2134">
        <v>1.9083625007319929E-4</v>
      </c>
      <c r="L2134" t="s">
        <v>159</v>
      </c>
      <c r="N2134" t="s">
        <v>235</v>
      </c>
      <c r="O2134" t="s">
        <v>357</v>
      </c>
      <c r="P2134">
        <v>7.815288587539936E-7</v>
      </c>
      <c r="Q2134" t="s">
        <v>159</v>
      </c>
    </row>
    <row r="2135" spans="9:17" x14ac:dyDescent="0.45">
      <c r="I2135" t="s">
        <v>192</v>
      </c>
      <c r="J2135" t="s">
        <v>358</v>
      </c>
      <c r="K2135">
        <v>2.2218160875158227E-4</v>
      </c>
      <c r="L2135" t="s">
        <v>159</v>
      </c>
      <c r="N2135" t="s">
        <v>235</v>
      </c>
      <c r="O2135" t="s">
        <v>358</v>
      </c>
      <c r="P2135">
        <v>4.2012930656452196E-7</v>
      </c>
      <c r="Q2135" t="s">
        <v>159</v>
      </c>
    </row>
    <row r="2136" spans="9:17" x14ac:dyDescent="0.45">
      <c r="I2136" t="s">
        <v>192</v>
      </c>
      <c r="J2136" t="s">
        <v>359</v>
      </c>
      <c r="K2136">
        <v>2.3262292284332637E-4</v>
      </c>
      <c r="L2136" t="s">
        <v>159</v>
      </c>
      <c r="N2136" t="s">
        <v>235</v>
      </c>
      <c r="O2136" t="s">
        <v>359</v>
      </c>
      <c r="P2136">
        <v>1.1550534558194603E-7</v>
      </c>
      <c r="Q2136" t="s">
        <v>159</v>
      </c>
    </row>
    <row r="2137" spans="9:17" x14ac:dyDescent="0.45">
      <c r="I2137" t="s">
        <v>192</v>
      </c>
      <c r="J2137" t="s">
        <v>360</v>
      </c>
      <c r="K2137">
        <v>1.9683847947173704E-4</v>
      </c>
      <c r="L2137" t="s">
        <v>159</v>
      </c>
      <c r="N2137" t="s">
        <v>235</v>
      </c>
      <c r="O2137" t="s">
        <v>360</v>
      </c>
      <c r="P2137">
        <v>8.2453010718453148E-8</v>
      </c>
      <c r="Q2137" t="s">
        <v>159</v>
      </c>
    </row>
    <row r="2138" spans="9:17" x14ac:dyDescent="0.45">
      <c r="I2138" t="s">
        <v>192</v>
      </c>
      <c r="J2138" t="s">
        <v>361</v>
      </c>
      <c r="K2138">
        <v>1.7237171466483154E-4</v>
      </c>
      <c r="L2138" t="s">
        <v>159</v>
      </c>
      <c r="N2138" t="s">
        <v>235</v>
      </c>
      <c r="O2138" t="s">
        <v>361</v>
      </c>
      <c r="P2138">
        <v>1.3574124648428213E-7</v>
      </c>
      <c r="Q2138" t="s">
        <v>159</v>
      </c>
    </row>
    <row r="2139" spans="9:17" x14ac:dyDescent="0.45">
      <c r="I2139" t="s">
        <v>192</v>
      </c>
      <c r="J2139" t="s">
        <v>362</v>
      </c>
      <c r="K2139">
        <v>1.6199699676924313E-4</v>
      </c>
      <c r="L2139" t="s">
        <v>159</v>
      </c>
      <c r="N2139" t="s">
        <v>235</v>
      </c>
      <c r="O2139" t="s">
        <v>362</v>
      </c>
      <c r="P2139">
        <v>2.3796549789753856E-7</v>
      </c>
      <c r="Q2139" t="s">
        <v>159</v>
      </c>
    </row>
    <row r="2140" spans="9:17" x14ac:dyDescent="0.45">
      <c r="I2140" t="s">
        <v>192</v>
      </c>
      <c r="J2140" t="s">
        <v>363</v>
      </c>
      <c r="K2140">
        <v>1.2920469882321612E-4</v>
      </c>
      <c r="L2140" t="s">
        <v>159</v>
      </c>
      <c r="N2140" t="s">
        <v>235</v>
      </c>
      <c r="O2140" t="s">
        <v>363</v>
      </c>
      <c r="P2140">
        <v>1.027780356017401E-5</v>
      </c>
      <c r="Q2140" t="s">
        <v>159</v>
      </c>
    </row>
    <row r="2141" spans="9:17" x14ac:dyDescent="0.45">
      <c r="I2141" t="s">
        <v>192</v>
      </c>
      <c r="J2141" t="s">
        <v>364</v>
      </c>
      <c r="K2141">
        <v>0</v>
      </c>
      <c r="L2141" t="s">
        <v>159</v>
      </c>
      <c r="N2141" t="s">
        <v>235</v>
      </c>
      <c r="O2141" t="s">
        <v>364</v>
      </c>
      <c r="P2141">
        <v>5.260668423712857E-5</v>
      </c>
      <c r="Q2141" t="s">
        <v>159</v>
      </c>
    </row>
    <row r="2142" spans="9:17" x14ac:dyDescent="0.45">
      <c r="I2142" t="s">
        <v>192</v>
      </c>
      <c r="J2142" t="s">
        <v>365</v>
      </c>
      <c r="K2142">
        <v>0</v>
      </c>
      <c r="L2142" t="s">
        <v>159</v>
      </c>
      <c r="N2142" t="s">
        <v>235</v>
      </c>
      <c r="O2142" t="s">
        <v>365</v>
      </c>
      <c r="P2142">
        <v>5.9166267403870628E-5</v>
      </c>
      <c r="Q2142" t="s">
        <v>159</v>
      </c>
    </row>
    <row r="2143" spans="9:17" x14ac:dyDescent="0.45">
      <c r="I2143" t="s">
        <v>192</v>
      </c>
      <c r="J2143" t="s">
        <v>366</v>
      </c>
      <c r="K2143">
        <v>0</v>
      </c>
      <c r="L2143" t="s">
        <v>159</v>
      </c>
      <c r="N2143" t="s">
        <v>235</v>
      </c>
      <c r="O2143" t="s">
        <v>366</v>
      </c>
      <c r="P2143">
        <v>4.865758766094005E-5</v>
      </c>
      <c r="Q2143" t="s">
        <v>159</v>
      </c>
    </row>
    <row r="2144" spans="9:17" x14ac:dyDescent="0.45">
      <c r="I2144" t="s">
        <v>192</v>
      </c>
      <c r="J2144" t="s">
        <v>367</v>
      </c>
      <c r="K2144">
        <v>0</v>
      </c>
      <c r="L2144" t="s">
        <v>159</v>
      </c>
      <c r="N2144" t="s">
        <v>235</v>
      </c>
      <c r="O2144" t="s">
        <v>367</v>
      </c>
      <c r="P2144">
        <v>3.9955069625111672E-5</v>
      </c>
      <c r="Q2144" t="s">
        <v>159</v>
      </c>
    </row>
    <row r="2145" spans="9:17" x14ac:dyDescent="0.45">
      <c r="I2145" t="s">
        <v>192</v>
      </c>
      <c r="J2145" t="s">
        <v>368</v>
      </c>
      <c r="K2145">
        <v>0</v>
      </c>
      <c r="L2145" t="s">
        <v>159</v>
      </c>
      <c r="N2145" t="s">
        <v>235</v>
      </c>
      <c r="O2145" t="s">
        <v>368</v>
      </c>
      <c r="P2145">
        <v>4.3923964443347273E-5</v>
      </c>
      <c r="Q2145" t="s">
        <v>159</v>
      </c>
    </row>
    <row r="2146" spans="9:17" x14ac:dyDescent="0.45">
      <c r="I2146" t="s">
        <v>192</v>
      </c>
      <c r="J2146" t="s">
        <v>369</v>
      </c>
      <c r="K2146">
        <v>0</v>
      </c>
      <c r="L2146" t="s">
        <v>159</v>
      </c>
      <c r="N2146" t="s">
        <v>235</v>
      </c>
      <c r="O2146" t="s">
        <v>369</v>
      </c>
      <c r="P2146">
        <v>7.0071450624411308E-5</v>
      </c>
      <c r="Q2146" t="s">
        <v>159</v>
      </c>
    </row>
    <row r="2147" spans="9:17" x14ac:dyDescent="0.45">
      <c r="I2147" t="s">
        <v>192</v>
      </c>
      <c r="J2147" t="s">
        <v>165</v>
      </c>
      <c r="K2147">
        <v>0</v>
      </c>
      <c r="L2147" t="s">
        <v>159</v>
      </c>
      <c r="N2147" t="s">
        <v>235</v>
      </c>
      <c r="O2147" t="s">
        <v>165</v>
      </c>
      <c r="P2147">
        <v>3.1158786547792628E-2</v>
      </c>
      <c r="Q2147" t="s">
        <v>159</v>
      </c>
    </row>
    <row r="2148" spans="9:17" x14ac:dyDescent="0.45">
      <c r="I2148" t="s">
        <v>192</v>
      </c>
      <c r="J2148" t="s">
        <v>166</v>
      </c>
      <c r="K2148">
        <v>1.6045822243098085E-5</v>
      </c>
      <c r="L2148" t="s">
        <v>159</v>
      </c>
      <c r="N2148" t="s">
        <v>235</v>
      </c>
      <c r="O2148" t="s">
        <v>166</v>
      </c>
      <c r="P2148">
        <v>2.8756431517326896E-3</v>
      </c>
      <c r="Q2148" t="s">
        <v>159</v>
      </c>
    </row>
    <row r="2149" spans="9:17" x14ac:dyDescent="0.45">
      <c r="I2149" t="s">
        <v>192</v>
      </c>
      <c r="J2149" t="s">
        <v>167</v>
      </c>
      <c r="K2149">
        <v>6.6069818081619269E-2</v>
      </c>
      <c r="L2149" t="s">
        <v>159</v>
      </c>
      <c r="N2149" t="s">
        <v>235</v>
      </c>
      <c r="O2149" t="s">
        <v>167</v>
      </c>
      <c r="P2149">
        <v>1.9918086798726465E-2</v>
      </c>
      <c r="Q2149" t="s">
        <v>159</v>
      </c>
    </row>
    <row r="2150" spans="9:17" x14ac:dyDescent="0.45">
      <c r="I2150" t="s">
        <v>192</v>
      </c>
      <c r="J2150" t="s">
        <v>291</v>
      </c>
      <c r="K2150">
        <v>6.1058487624247038E-3</v>
      </c>
      <c r="L2150" t="s">
        <v>159</v>
      </c>
      <c r="N2150" t="s">
        <v>235</v>
      </c>
      <c r="O2150" t="s">
        <v>291</v>
      </c>
      <c r="P2150">
        <v>2.4489737165785219E-3</v>
      </c>
      <c r="Q2150" t="s">
        <v>159</v>
      </c>
    </row>
    <row r="2151" spans="9:17" x14ac:dyDescent="0.45">
      <c r="I2151" t="s">
        <v>192</v>
      </c>
      <c r="J2151" t="s">
        <v>292</v>
      </c>
      <c r="K2151">
        <v>2.2817108839325749E-3</v>
      </c>
      <c r="L2151" t="s">
        <v>159</v>
      </c>
      <c r="N2151" t="s">
        <v>235</v>
      </c>
      <c r="O2151" t="s">
        <v>292</v>
      </c>
      <c r="P2151">
        <v>3.4033394769569071E-3</v>
      </c>
      <c r="Q2151" t="s">
        <v>159</v>
      </c>
    </row>
    <row r="2152" spans="9:17" x14ac:dyDescent="0.45">
      <c r="I2152" t="s">
        <v>192</v>
      </c>
      <c r="J2152" t="s">
        <v>310</v>
      </c>
      <c r="K2152">
        <v>0</v>
      </c>
      <c r="L2152" t="s">
        <v>159</v>
      </c>
      <c r="N2152" t="s">
        <v>235</v>
      </c>
      <c r="O2152" t="s">
        <v>310</v>
      </c>
      <c r="P2152">
        <v>2.7822738766953497E-2</v>
      </c>
      <c r="Q2152" t="s">
        <v>159</v>
      </c>
    </row>
    <row r="2153" spans="9:17" x14ac:dyDescent="0.45">
      <c r="I2153" t="s">
        <v>192</v>
      </c>
      <c r="J2153" t="s">
        <v>293</v>
      </c>
      <c r="K2153">
        <v>0</v>
      </c>
      <c r="L2153" t="s">
        <v>159</v>
      </c>
      <c r="N2153" t="s">
        <v>235</v>
      </c>
      <c r="O2153" t="s">
        <v>293</v>
      </c>
      <c r="P2153">
        <v>7.4806330501484023E-3</v>
      </c>
      <c r="Q2153" t="s">
        <v>159</v>
      </c>
    </row>
    <row r="2154" spans="9:17" x14ac:dyDescent="0.45">
      <c r="I2154" t="s">
        <v>192</v>
      </c>
      <c r="J2154" t="s">
        <v>294</v>
      </c>
      <c r="K2154">
        <v>6.1502897593627992E-4</v>
      </c>
      <c r="L2154" t="s">
        <v>159</v>
      </c>
      <c r="N2154" t="s">
        <v>235</v>
      </c>
      <c r="O2154" t="s">
        <v>294</v>
      </c>
      <c r="P2154">
        <v>8.6623118109172828E-4</v>
      </c>
      <c r="Q2154" t="s">
        <v>159</v>
      </c>
    </row>
    <row r="2155" spans="9:17" x14ac:dyDescent="0.45">
      <c r="I2155" t="s">
        <v>192</v>
      </c>
      <c r="J2155" t="s">
        <v>295</v>
      </c>
      <c r="K2155">
        <v>1.6252536988279581E-2</v>
      </c>
      <c r="L2155" t="s">
        <v>159</v>
      </c>
      <c r="N2155" t="s">
        <v>235</v>
      </c>
      <c r="O2155" t="s">
        <v>295</v>
      </c>
      <c r="P2155">
        <v>5.042655195272432E-3</v>
      </c>
      <c r="Q2155" t="s">
        <v>159</v>
      </c>
    </row>
    <row r="2156" spans="9:17" x14ac:dyDescent="0.45">
      <c r="I2156" t="s">
        <v>192</v>
      </c>
      <c r="J2156" t="s">
        <v>296</v>
      </c>
      <c r="K2156">
        <v>1.3406619437352117E-3</v>
      </c>
      <c r="L2156" t="s">
        <v>159</v>
      </c>
      <c r="N2156" t="s">
        <v>235</v>
      </c>
      <c r="O2156" t="s">
        <v>296</v>
      </c>
      <c r="P2156">
        <v>7.2289560465203741E-4</v>
      </c>
      <c r="Q2156" t="s">
        <v>159</v>
      </c>
    </row>
    <row r="2157" spans="9:17" x14ac:dyDescent="0.45">
      <c r="I2157" t="s">
        <v>192</v>
      </c>
      <c r="J2157" t="s">
        <v>297</v>
      </c>
      <c r="K2157">
        <v>9.2775600693888053E-4</v>
      </c>
      <c r="L2157" t="s">
        <v>159</v>
      </c>
      <c r="N2157" t="s">
        <v>235</v>
      </c>
      <c r="O2157" t="s">
        <v>297</v>
      </c>
      <c r="P2157">
        <v>1.1563585353766767E-3</v>
      </c>
      <c r="Q2157" t="s">
        <v>159</v>
      </c>
    </row>
    <row r="2158" spans="9:17" x14ac:dyDescent="0.45">
      <c r="I2158" t="s">
        <v>192</v>
      </c>
      <c r="J2158" t="s">
        <v>311</v>
      </c>
      <c r="K2158">
        <v>0</v>
      </c>
      <c r="L2158" t="s">
        <v>159</v>
      </c>
      <c r="N2158" t="s">
        <v>235</v>
      </c>
      <c r="O2158" t="s">
        <v>311</v>
      </c>
      <c r="P2158">
        <v>7.1497075275367104E-3</v>
      </c>
      <c r="Q2158" t="s">
        <v>159</v>
      </c>
    </row>
    <row r="2159" spans="9:17" x14ac:dyDescent="0.45">
      <c r="I2159" t="s">
        <v>192</v>
      </c>
      <c r="J2159" t="s">
        <v>298</v>
      </c>
      <c r="K2159">
        <v>3.3290064659438415E-3</v>
      </c>
      <c r="L2159" t="s">
        <v>159</v>
      </c>
      <c r="N2159" t="s">
        <v>235</v>
      </c>
      <c r="O2159" t="s">
        <v>298</v>
      </c>
      <c r="P2159">
        <v>0.12747163327323688</v>
      </c>
      <c r="Q2159" t="s">
        <v>159</v>
      </c>
    </row>
    <row r="2160" spans="9:17" x14ac:dyDescent="0.45">
      <c r="I2160" t="s">
        <v>192</v>
      </c>
      <c r="J2160" t="s">
        <v>299</v>
      </c>
      <c r="K2160">
        <v>1.5198776635695691E-2</v>
      </c>
      <c r="L2160" t="s">
        <v>159</v>
      </c>
      <c r="N2160" t="s">
        <v>235</v>
      </c>
      <c r="O2160" t="s">
        <v>299</v>
      </c>
      <c r="P2160">
        <v>1.0704808244814156E-2</v>
      </c>
      <c r="Q2160" t="s">
        <v>159</v>
      </c>
    </row>
    <row r="2161" spans="9:17" x14ac:dyDescent="0.45">
      <c r="I2161" t="s">
        <v>192</v>
      </c>
      <c r="J2161" t="s">
        <v>300</v>
      </c>
      <c r="K2161">
        <v>0.2463092362119042</v>
      </c>
      <c r="L2161" t="s">
        <v>159</v>
      </c>
      <c r="N2161" t="s">
        <v>235</v>
      </c>
      <c r="O2161" t="s">
        <v>300</v>
      </c>
      <c r="P2161">
        <v>0.10116120673030619</v>
      </c>
      <c r="Q2161" t="s">
        <v>159</v>
      </c>
    </row>
    <row r="2162" spans="9:17" x14ac:dyDescent="0.45">
      <c r="I2162" t="s">
        <v>192</v>
      </c>
      <c r="J2162" t="s">
        <v>301</v>
      </c>
      <c r="K2162">
        <v>1.9393237337066941E-2</v>
      </c>
      <c r="L2162" t="s">
        <v>159</v>
      </c>
      <c r="N2162" t="s">
        <v>235</v>
      </c>
      <c r="O2162" t="s">
        <v>301</v>
      </c>
      <c r="P2162">
        <v>1.2711609260899346E-2</v>
      </c>
      <c r="Q2162" t="s">
        <v>159</v>
      </c>
    </row>
    <row r="2163" spans="9:17" x14ac:dyDescent="0.45">
      <c r="I2163" t="s">
        <v>192</v>
      </c>
      <c r="J2163" t="s">
        <v>302</v>
      </c>
      <c r="K2163">
        <v>1.2200197146811987E-2</v>
      </c>
      <c r="L2163" t="s">
        <v>159</v>
      </c>
      <c r="N2163" t="s">
        <v>235</v>
      </c>
      <c r="O2163" t="s">
        <v>302</v>
      </c>
      <c r="P2163">
        <v>1.4621303872907358E-2</v>
      </c>
      <c r="Q2163" t="s">
        <v>159</v>
      </c>
    </row>
    <row r="2164" spans="9:17" x14ac:dyDescent="0.45">
      <c r="I2164" t="s">
        <v>192</v>
      </c>
      <c r="J2164" t="s">
        <v>312</v>
      </c>
      <c r="K2164">
        <v>1.272488656464159E-4</v>
      </c>
      <c r="L2164" t="s">
        <v>159</v>
      </c>
      <c r="N2164" t="s">
        <v>235</v>
      </c>
      <c r="O2164" t="s">
        <v>312</v>
      </c>
      <c r="P2164">
        <v>0.13200950583859922</v>
      </c>
      <c r="Q2164" t="s">
        <v>159</v>
      </c>
    </row>
    <row r="2165" spans="9:17" x14ac:dyDescent="0.45">
      <c r="I2165" t="s">
        <v>192</v>
      </c>
      <c r="J2165" t="s">
        <v>397</v>
      </c>
      <c r="K2165">
        <v>0</v>
      </c>
      <c r="L2165" t="s">
        <v>159</v>
      </c>
      <c r="N2165" t="s">
        <v>235</v>
      </c>
      <c r="O2165" t="s">
        <v>397</v>
      </c>
      <c r="P2165">
        <v>2.3611004501683188E-4</v>
      </c>
      <c r="Q2165" t="s">
        <v>159</v>
      </c>
    </row>
    <row r="2166" spans="9:17" x14ac:dyDescent="0.45">
      <c r="I2166" t="s">
        <v>192</v>
      </c>
      <c r="J2166" t="s">
        <v>398</v>
      </c>
      <c r="K2166">
        <v>0</v>
      </c>
      <c r="L2166" t="s">
        <v>159</v>
      </c>
      <c r="N2166" t="s">
        <v>235</v>
      </c>
      <c r="O2166" t="s">
        <v>398</v>
      </c>
      <c r="P2166">
        <v>1.1311750427364054E-4</v>
      </c>
      <c r="Q2166" t="s">
        <v>159</v>
      </c>
    </row>
    <row r="2167" spans="9:17" x14ac:dyDescent="0.45">
      <c r="I2167" t="s">
        <v>192</v>
      </c>
      <c r="J2167" t="s">
        <v>399</v>
      </c>
      <c r="K2167">
        <v>0</v>
      </c>
      <c r="L2167" t="s">
        <v>159</v>
      </c>
      <c r="N2167" t="s">
        <v>235</v>
      </c>
      <c r="O2167" t="s">
        <v>399</v>
      </c>
      <c r="P2167">
        <v>4.5371545169673961E-5</v>
      </c>
      <c r="Q2167" t="s">
        <v>159</v>
      </c>
    </row>
    <row r="2168" spans="9:17" x14ac:dyDescent="0.45">
      <c r="I2168" t="s">
        <v>192</v>
      </c>
      <c r="J2168" t="s">
        <v>400</v>
      </c>
      <c r="K2168">
        <v>0</v>
      </c>
      <c r="L2168" t="s">
        <v>159</v>
      </c>
      <c r="N2168" t="s">
        <v>235</v>
      </c>
      <c r="O2168" t="s">
        <v>400</v>
      </c>
      <c r="P2168">
        <v>1.6456419304766401E-5</v>
      </c>
      <c r="Q2168" t="s">
        <v>159</v>
      </c>
    </row>
    <row r="2169" spans="9:17" x14ac:dyDescent="0.45">
      <c r="I2169" t="s">
        <v>192</v>
      </c>
      <c r="J2169" t="s">
        <v>401</v>
      </c>
      <c r="K2169">
        <v>0</v>
      </c>
      <c r="L2169" t="s">
        <v>159</v>
      </c>
      <c r="N2169" t="s">
        <v>235</v>
      </c>
      <c r="O2169" t="s">
        <v>401</v>
      </c>
      <c r="P2169">
        <v>1.0199371847869936E-5</v>
      </c>
      <c r="Q2169" t="s">
        <v>159</v>
      </c>
    </row>
    <row r="2170" spans="9:17" x14ac:dyDescent="0.45">
      <c r="I2170" t="s">
        <v>192</v>
      </c>
      <c r="J2170" t="s">
        <v>402</v>
      </c>
      <c r="K2170">
        <v>0</v>
      </c>
      <c r="L2170" t="s">
        <v>159</v>
      </c>
      <c r="N2170" t="s">
        <v>235</v>
      </c>
      <c r="O2170" t="s">
        <v>402</v>
      </c>
      <c r="P2170">
        <v>1.2284690808940721E-5</v>
      </c>
      <c r="Q2170" t="s">
        <v>159</v>
      </c>
    </row>
    <row r="2171" spans="9:17" x14ac:dyDescent="0.45">
      <c r="I2171" t="s">
        <v>192</v>
      </c>
      <c r="J2171" t="s">
        <v>403</v>
      </c>
      <c r="K2171">
        <v>0</v>
      </c>
      <c r="L2171" t="s">
        <v>159</v>
      </c>
      <c r="N2171" t="s">
        <v>235</v>
      </c>
      <c r="O2171" t="s">
        <v>403</v>
      </c>
      <c r="P2171">
        <v>1.7544377005040894E-5</v>
      </c>
      <c r="Q2171" t="s">
        <v>159</v>
      </c>
    </row>
    <row r="2172" spans="9:17" x14ac:dyDescent="0.45">
      <c r="I2172" t="s">
        <v>192</v>
      </c>
      <c r="J2172" t="s">
        <v>404</v>
      </c>
      <c r="K2172">
        <v>1.8055091478206978E-4</v>
      </c>
      <c r="L2172" t="s">
        <v>159</v>
      </c>
      <c r="N2172" t="s">
        <v>235</v>
      </c>
      <c r="O2172" t="s">
        <v>404</v>
      </c>
      <c r="P2172">
        <v>2.2977399031610082E-5</v>
      </c>
      <c r="Q2172" t="s">
        <v>159</v>
      </c>
    </row>
    <row r="2173" spans="9:17" x14ac:dyDescent="0.45">
      <c r="I2173" t="s">
        <v>192</v>
      </c>
      <c r="J2173" t="s">
        <v>405</v>
      </c>
      <c r="K2173">
        <v>2.7573073133885316E-4</v>
      </c>
      <c r="L2173" t="s">
        <v>159</v>
      </c>
      <c r="N2173" t="s">
        <v>235</v>
      </c>
      <c r="O2173" t="s">
        <v>405</v>
      </c>
      <c r="P2173">
        <v>6.1381017883954855E-6</v>
      </c>
      <c r="Q2173" t="s">
        <v>159</v>
      </c>
    </row>
    <row r="2174" spans="9:17" x14ac:dyDescent="0.45">
      <c r="I2174" t="s">
        <v>192</v>
      </c>
      <c r="J2174" t="s">
        <v>406</v>
      </c>
      <c r="K2174">
        <v>3.1047633279957497E-4</v>
      </c>
      <c r="L2174" t="s">
        <v>159</v>
      </c>
      <c r="N2174" t="s">
        <v>235</v>
      </c>
      <c r="O2174" t="s">
        <v>406</v>
      </c>
      <c r="P2174">
        <v>8.9956185785536488E-6</v>
      </c>
      <c r="Q2174" t="s">
        <v>159</v>
      </c>
    </row>
    <row r="2175" spans="9:17" x14ac:dyDescent="0.45">
      <c r="I2175" t="s">
        <v>192</v>
      </c>
      <c r="J2175" t="s">
        <v>407</v>
      </c>
      <c r="K2175">
        <v>3.2186201305387939E-4</v>
      </c>
      <c r="L2175" t="s">
        <v>159</v>
      </c>
      <c r="N2175" t="s">
        <v>235</v>
      </c>
      <c r="O2175" t="s">
        <v>407</v>
      </c>
      <c r="P2175">
        <v>1.6738008193665681E-5</v>
      </c>
      <c r="Q2175" t="s">
        <v>159</v>
      </c>
    </row>
    <row r="2176" spans="9:17" x14ac:dyDescent="0.45">
      <c r="I2176" t="s">
        <v>192</v>
      </c>
      <c r="J2176" t="s">
        <v>408</v>
      </c>
      <c r="K2176">
        <v>3.3444312837732838E-4</v>
      </c>
      <c r="L2176" t="s">
        <v>159</v>
      </c>
      <c r="N2176" t="s">
        <v>235</v>
      </c>
      <c r="O2176" t="s">
        <v>408</v>
      </c>
      <c r="P2176">
        <v>2.8194298890747735E-5</v>
      </c>
      <c r="Q2176" t="s">
        <v>159</v>
      </c>
    </row>
    <row r="2177" spans="9:17" x14ac:dyDescent="0.45">
      <c r="I2177" t="s">
        <v>192</v>
      </c>
      <c r="J2177" t="s">
        <v>409</v>
      </c>
      <c r="K2177">
        <v>3.5333375495515086E-4</v>
      </c>
      <c r="L2177" t="s">
        <v>159</v>
      </c>
      <c r="N2177" t="s">
        <v>235</v>
      </c>
      <c r="O2177" t="s">
        <v>409</v>
      </c>
      <c r="P2177">
        <v>2.8808084816590755E-5</v>
      </c>
      <c r="Q2177" t="s">
        <v>159</v>
      </c>
    </row>
    <row r="2178" spans="9:17" x14ac:dyDescent="0.45">
      <c r="I2178" t="s">
        <v>192</v>
      </c>
      <c r="J2178" t="s">
        <v>410</v>
      </c>
      <c r="K2178">
        <v>3.4599044321512331E-4</v>
      </c>
      <c r="L2178" t="s">
        <v>159</v>
      </c>
      <c r="N2178" t="s">
        <v>235</v>
      </c>
      <c r="O2178" t="s">
        <v>410</v>
      </c>
      <c r="P2178">
        <v>2.6342470446304748E-5</v>
      </c>
      <c r="Q2178" t="s">
        <v>159</v>
      </c>
    </row>
    <row r="2179" spans="9:17" x14ac:dyDescent="0.45">
      <c r="I2179" t="s">
        <v>192</v>
      </c>
      <c r="J2179" t="s">
        <v>411</v>
      </c>
      <c r="K2179">
        <v>3.2314760342608674E-4</v>
      </c>
      <c r="L2179" t="s">
        <v>159</v>
      </c>
      <c r="N2179" t="s">
        <v>235</v>
      </c>
      <c r="O2179" t="s">
        <v>411</v>
      </c>
      <c r="P2179">
        <v>1.6545237033427579E-5</v>
      </c>
      <c r="Q2179" t="s">
        <v>159</v>
      </c>
    </row>
    <row r="2180" spans="9:17" x14ac:dyDescent="0.45">
      <c r="I2180" t="s">
        <v>192</v>
      </c>
      <c r="J2180" t="s">
        <v>412</v>
      </c>
      <c r="K2180">
        <v>2.9439802844642558E-4</v>
      </c>
      <c r="L2180" t="s">
        <v>159</v>
      </c>
      <c r="N2180" t="s">
        <v>235</v>
      </c>
      <c r="O2180" t="s">
        <v>412</v>
      </c>
      <c r="P2180">
        <v>1.169486019214641E-5</v>
      </c>
      <c r="Q2180" t="s">
        <v>159</v>
      </c>
    </row>
    <row r="2181" spans="9:17" x14ac:dyDescent="0.45">
      <c r="I2181" t="s">
        <v>192</v>
      </c>
      <c r="J2181" t="s">
        <v>413</v>
      </c>
      <c r="K2181">
        <v>2.8255642793481101E-4</v>
      </c>
      <c r="L2181" t="s">
        <v>159</v>
      </c>
      <c r="N2181" t="s">
        <v>235</v>
      </c>
      <c r="O2181" t="s">
        <v>413</v>
      </c>
      <c r="P2181">
        <v>1.5561422695312639E-5</v>
      </c>
      <c r="Q2181" t="s">
        <v>159</v>
      </c>
    </row>
    <row r="2182" spans="9:17" x14ac:dyDescent="0.45">
      <c r="I2182" t="s">
        <v>192</v>
      </c>
      <c r="J2182" t="s">
        <v>414</v>
      </c>
      <c r="K2182">
        <v>2.2090367142694423E-4</v>
      </c>
      <c r="L2182" t="s">
        <v>159</v>
      </c>
      <c r="N2182" t="s">
        <v>235</v>
      </c>
      <c r="O2182" t="s">
        <v>414</v>
      </c>
      <c r="P2182">
        <v>2.0446738159094935E-5</v>
      </c>
      <c r="Q2182" t="s">
        <v>159</v>
      </c>
    </row>
    <row r="2183" spans="9:17" x14ac:dyDescent="0.45">
      <c r="I2183" t="s">
        <v>192</v>
      </c>
      <c r="J2183" t="s">
        <v>415</v>
      </c>
      <c r="K2183">
        <v>1.40759634160142E-4</v>
      </c>
      <c r="L2183" t="s">
        <v>159</v>
      </c>
      <c r="N2183" t="s">
        <v>235</v>
      </c>
      <c r="O2183" t="s">
        <v>415</v>
      </c>
      <c r="P2183">
        <v>4.5386902118094028E-5</v>
      </c>
      <c r="Q2183" t="s">
        <v>159</v>
      </c>
    </row>
    <row r="2184" spans="9:17" x14ac:dyDescent="0.45">
      <c r="I2184" t="s">
        <v>192</v>
      </c>
      <c r="J2184" t="s">
        <v>416</v>
      </c>
      <c r="K2184">
        <v>0</v>
      </c>
      <c r="L2184" t="s">
        <v>159</v>
      </c>
      <c r="N2184" t="s">
        <v>235</v>
      </c>
      <c r="O2184" t="s">
        <v>416</v>
      </c>
      <c r="P2184">
        <v>7.8763929730583785E-5</v>
      </c>
      <c r="Q2184" t="s">
        <v>159</v>
      </c>
    </row>
    <row r="2185" spans="9:17" x14ac:dyDescent="0.45">
      <c r="I2185" t="s">
        <v>192</v>
      </c>
      <c r="J2185" t="s">
        <v>417</v>
      </c>
      <c r="K2185">
        <v>0</v>
      </c>
      <c r="L2185" t="s">
        <v>159</v>
      </c>
      <c r="N2185" t="s">
        <v>235</v>
      </c>
      <c r="O2185" t="s">
        <v>417</v>
      </c>
      <c r="P2185">
        <v>8.6209550468538618E-5</v>
      </c>
      <c r="Q2185" t="s">
        <v>159</v>
      </c>
    </row>
    <row r="2186" spans="9:17" x14ac:dyDescent="0.45">
      <c r="I2186" t="s">
        <v>192</v>
      </c>
      <c r="J2186" t="s">
        <v>418</v>
      </c>
      <c r="K2186">
        <v>0</v>
      </c>
      <c r="L2186" t="s">
        <v>159</v>
      </c>
      <c r="N2186" t="s">
        <v>235</v>
      </c>
      <c r="O2186" t="s">
        <v>418</v>
      </c>
      <c r="P2186">
        <v>1.0442694771727802E-4</v>
      </c>
      <c r="Q2186" t="s">
        <v>159</v>
      </c>
    </row>
    <row r="2187" spans="9:17" x14ac:dyDescent="0.45">
      <c r="I2187" t="s">
        <v>192</v>
      </c>
      <c r="J2187" t="s">
        <v>419</v>
      </c>
      <c r="K2187">
        <v>0</v>
      </c>
      <c r="L2187" t="s">
        <v>159</v>
      </c>
      <c r="N2187" t="s">
        <v>235</v>
      </c>
      <c r="O2187" t="s">
        <v>419</v>
      </c>
      <c r="P2187">
        <v>2.2149605247800879E-4</v>
      </c>
      <c r="Q2187" t="s">
        <v>159</v>
      </c>
    </row>
    <row r="2188" spans="9:17" x14ac:dyDescent="0.45">
      <c r="I2188" t="s">
        <v>192</v>
      </c>
      <c r="J2188" t="s">
        <v>420</v>
      </c>
      <c r="K2188">
        <v>0</v>
      </c>
      <c r="L2188" t="s">
        <v>159</v>
      </c>
      <c r="N2188" t="s">
        <v>235</v>
      </c>
      <c r="O2188" t="s">
        <v>420</v>
      </c>
      <c r="P2188">
        <v>4.2565163220067628E-4</v>
      </c>
      <c r="Q2188" t="s">
        <v>159</v>
      </c>
    </row>
    <row r="2189" spans="9:17" x14ac:dyDescent="0.45">
      <c r="I2189" t="s">
        <v>192</v>
      </c>
      <c r="J2189" t="s">
        <v>313</v>
      </c>
      <c r="K2189">
        <v>1.2825793429889496E-3</v>
      </c>
      <c r="L2189" t="s">
        <v>159</v>
      </c>
      <c r="N2189" t="s">
        <v>235</v>
      </c>
      <c r="O2189" t="s">
        <v>313</v>
      </c>
      <c r="P2189">
        <v>1.6785989229085065E-2</v>
      </c>
      <c r="Q2189" t="s">
        <v>159</v>
      </c>
    </row>
    <row r="2190" spans="9:17" x14ac:dyDescent="0.45">
      <c r="I2190" t="s">
        <v>192</v>
      </c>
      <c r="J2190" t="s">
        <v>314</v>
      </c>
      <c r="K2190">
        <v>2.929892026878214E-3</v>
      </c>
      <c r="L2190" t="s">
        <v>159</v>
      </c>
      <c r="N2190" t="s">
        <v>235</v>
      </c>
      <c r="O2190" t="s">
        <v>314</v>
      </c>
      <c r="P2190">
        <v>1.4862006036011814E-3</v>
      </c>
      <c r="Q2190" t="s">
        <v>159</v>
      </c>
    </row>
    <row r="2191" spans="9:17" x14ac:dyDescent="0.45">
      <c r="I2191" t="s">
        <v>192</v>
      </c>
      <c r="J2191" t="s">
        <v>315</v>
      </c>
      <c r="K2191">
        <v>6.7906249123800416E-2</v>
      </c>
      <c r="L2191" t="s">
        <v>159</v>
      </c>
      <c r="N2191" t="s">
        <v>235</v>
      </c>
      <c r="O2191" t="s">
        <v>315</v>
      </c>
      <c r="P2191">
        <v>1.3825311776716831E-2</v>
      </c>
      <c r="Q2191" t="s">
        <v>159</v>
      </c>
    </row>
    <row r="2192" spans="9:17" x14ac:dyDescent="0.45">
      <c r="I2192" t="s">
        <v>192</v>
      </c>
      <c r="J2192" t="s">
        <v>316</v>
      </c>
      <c r="K2192">
        <v>5.3631559849193107E-3</v>
      </c>
      <c r="L2192" t="s">
        <v>159</v>
      </c>
      <c r="N2192" t="s">
        <v>235</v>
      </c>
      <c r="O2192" t="s">
        <v>316</v>
      </c>
      <c r="P2192">
        <v>1.5306893441850886E-3</v>
      </c>
      <c r="Q2192" t="s">
        <v>159</v>
      </c>
    </row>
    <row r="2193" spans="9:17" x14ac:dyDescent="0.45">
      <c r="I2193" t="s">
        <v>192</v>
      </c>
      <c r="J2193" t="s">
        <v>317</v>
      </c>
      <c r="K2193">
        <v>3.6428234933291144E-3</v>
      </c>
      <c r="L2193" t="s">
        <v>159</v>
      </c>
      <c r="N2193" t="s">
        <v>235</v>
      </c>
      <c r="O2193" t="s">
        <v>317</v>
      </c>
      <c r="P2193">
        <v>1.8145424635611135E-3</v>
      </c>
      <c r="Q2193" t="s">
        <v>159</v>
      </c>
    </row>
    <row r="2194" spans="9:17" x14ac:dyDescent="0.45">
      <c r="I2194" t="s">
        <v>192</v>
      </c>
      <c r="J2194" t="s">
        <v>318</v>
      </c>
      <c r="K2194">
        <v>1.9964999854983618E-3</v>
      </c>
      <c r="L2194" t="s">
        <v>159</v>
      </c>
      <c r="N2194" t="s">
        <v>235</v>
      </c>
      <c r="O2194" t="s">
        <v>318</v>
      </c>
      <c r="P2194">
        <v>2.2134293256234516E-2</v>
      </c>
      <c r="Q2194" t="s">
        <v>159</v>
      </c>
    </row>
    <row r="2195" spans="9:17" x14ac:dyDescent="0.45">
      <c r="I2195" t="s">
        <v>193</v>
      </c>
      <c r="J2195" t="s">
        <v>158</v>
      </c>
      <c r="K2195">
        <v>1.2936960361094331E-3</v>
      </c>
      <c r="L2195" t="s">
        <v>159</v>
      </c>
      <c r="N2195" t="s">
        <v>236</v>
      </c>
      <c r="O2195" t="s">
        <v>158</v>
      </c>
      <c r="P2195">
        <v>0.15468801962414036</v>
      </c>
      <c r="Q2195" t="s">
        <v>159</v>
      </c>
    </row>
    <row r="2196" spans="9:17" x14ac:dyDescent="0.45">
      <c r="I2196" t="s">
        <v>193</v>
      </c>
      <c r="J2196" t="s">
        <v>160</v>
      </c>
      <c r="K2196">
        <v>1.3208654229961644E-2</v>
      </c>
      <c r="L2196" t="s">
        <v>159</v>
      </c>
      <c r="N2196" t="s">
        <v>236</v>
      </c>
      <c r="O2196" t="s">
        <v>160</v>
      </c>
      <c r="P2196">
        <v>1.5734126223256883E-2</v>
      </c>
      <c r="Q2196" t="s">
        <v>159</v>
      </c>
    </row>
    <row r="2197" spans="9:17" x14ac:dyDescent="0.45">
      <c r="I2197" t="s">
        <v>193</v>
      </c>
      <c r="J2197" t="s">
        <v>161</v>
      </c>
      <c r="K2197">
        <v>0.39360743575678847</v>
      </c>
      <c r="L2197" t="s">
        <v>159</v>
      </c>
      <c r="N2197" t="s">
        <v>236</v>
      </c>
      <c r="O2197" t="s">
        <v>161</v>
      </c>
      <c r="P2197">
        <v>9.6458316037992806E-2</v>
      </c>
      <c r="Q2197" t="s">
        <v>159</v>
      </c>
    </row>
    <row r="2198" spans="9:17" x14ac:dyDescent="0.45">
      <c r="I2198" t="s">
        <v>193</v>
      </c>
      <c r="J2198" t="s">
        <v>287</v>
      </c>
      <c r="K2198">
        <v>3.3810413316670826E-2</v>
      </c>
      <c r="L2198" t="s">
        <v>159</v>
      </c>
      <c r="N2198" t="s">
        <v>236</v>
      </c>
      <c r="O2198" t="s">
        <v>287</v>
      </c>
      <c r="P2198">
        <v>1.0289726442237513E-2</v>
      </c>
      <c r="Q2198" t="s">
        <v>159</v>
      </c>
    </row>
    <row r="2199" spans="9:17" x14ac:dyDescent="0.45">
      <c r="I2199" t="s">
        <v>193</v>
      </c>
      <c r="J2199" t="s">
        <v>288</v>
      </c>
      <c r="K2199">
        <v>1.6354144660437095E-2</v>
      </c>
      <c r="L2199" t="s">
        <v>159</v>
      </c>
      <c r="N2199" t="s">
        <v>236</v>
      </c>
      <c r="O2199" t="s">
        <v>288</v>
      </c>
      <c r="P2199">
        <v>1.065496195164249E-2</v>
      </c>
      <c r="Q2199" t="s">
        <v>159</v>
      </c>
    </row>
    <row r="2200" spans="9:17" x14ac:dyDescent="0.45">
      <c r="I2200" t="s">
        <v>193</v>
      </c>
      <c r="J2200" t="s">
        <v>308</v>
      </c>
      <c r="K2200">
        <v>5.4945931858881485E-3</v>
      </c>
      <c r="L2200" t="s">
        <v>159</v>
      </c>
      <c r="N2200" t="s">
        <v>236</v>
      </c>
      <c r="O2200" t="s">
        <v>308</v>
      </c>
      <c r="P2200">
        <v>9.6982739946183005E-2</v>
      </c>
      <c r="Q2200" t="s">
        <v>159</v>
      </c>
    </row>
    <row r="2201" spans="9:17" x14ac:dyDescent="0.45">
      <c r="I2201" t="s">
        <v>193</v>
      </c>
      <c r="J2201" t="s">
        <v>162</v>
      </c>
      <c r="K2201">
        <v>0</v>
      </c>
      <c r="L2201" t="s">
        <v>159</v>
      </c>
      <c r="N2201" t="s">
        <v>236</v>
      </c>
      <c r="O2201" t="s">
        <v>162</v>
      </c>
      <c r="P2201">
        <v>3.2283156687931282E-2</v>
      </c>
      <c r="Q2201" t="s">
        <v>159</v>
      </c>
    </row>
    <row r="2202" spans="9:17" x14ac:dyDescent="0.45">
      <c r="I2202" t="s">
        <v>193</v>
      </c>
      <c r="J2202" t="s">
        <v>163</v>
      </c>
      <c r="K2202">
        <v>0</v>
      </c>
      <c r="L2202" t="s">
        <v>159</v>
      </c>
      <c r="N2202" t="s">
        <v>236</v>
      </c>
      <c r="O2202" t="s">
        <v>163</v>
      </c>
      <c r="P2202">
        <v>3.7360061271199982E-3</v>
      </c>
      <c r="Q2202" t="s">
        <v>159</v>
      </c>
    </row>
    <row r="2203" spans="9:17" x14ac:dyDescent="0.45">
      <c r="I2203" t="s">
        <v>193</v>
      </c>
      <c r="J2203" t="s">
        <v>164</v>
      </c>
      <c r="K2203">
        <v>4.9414049296340821E-2</v>
      </c>
      <c r="L2203" t="s">
        <v>159</v>
      </c>
      <c r="N2203" t="s">
        <v>236</v>
      </c>
      <c r="O2203" t="s">
        <v>164</v>
      </c>
      <c r="P2203">
        <v>2.4248513974357625E-2</v>
      </c>
      <c r="Q2203" t="s">
        <v>159</v>
      </c>
    </row>
    <row r="2204" spans="9:17" x14ac:dyDescent="0.45">
      <c r="I2204" t="s">
        <v>193</v>
      </c>
      <c r="J2204" t="s">
        <v>289</v>
      </c>
      <c r="K2204">
        <v>4.4340690574316095E-3</v>
      </c>
      <c r="L2204" t="s">
        <v>159</v>
      </c>
      <c r="N2204" t="s">
        <v>236</v>
      </c>
      <c r="O2204" t="s">
        <v>289</v>
      </c>
      <c r="P2204">
        <v>2.1400253735910841E-3</v>
      </c>
      <c r="Q2204" t="s">
        <v>159</v>
      </c>
    </row>
    <row r="2205" spans="9:17" x14ac:dyDescent="0.45">
      <c r="I2205" t="s">
        <v>193</v>
      </c>
      <c r="J2205" t="s">
        <v>290</v>
      </c>
      <c r="K2205">
        <v>0</v>
      </c>
      <c r="L2205" t="s">
        <v>159</v>
      </c>
      <c r="N2205" t="s">
        <v>236</v>
      </c>
      <c r="O2205" t="s">
        <v>290</v>
      </c>
      <c r="P2205">
        <v>2.4285993322270541E-3</v>
      </c>
      <c r="Q2205" t="s">
        <v>159</v>
      </c>
    </row>
    <row r="2206" spans="9:17" x14ac:dyDescent="0.45">
      <c r="I2206" t="s">
        <v>193</v>
      </c>
      <c r="J2206" t="s">
        <v>309</v>
      </c>
      <c r="K2206">
        <v>0</v>
      </c>
      <c r="L2206" t="s">
        <v>159</v>
      </c>
      <c r="N2206" t="s">
        <v>236</v>
      </c>
      <c r="O2206" t="s">
        <v>309</v>
      </c>
      <c r="P2206">
        <v>1.8515565221183018E-2</v>
      </c>
      <c r="Q2206" t="s">
        <v>159</v>
      </c>
    </row>
    <row r="2207" spans="9:17" x14ac:dyDescent="0.45">
      <c r="I2207" t="s">
        <v>193</v>
      </c>
      <c r="J2207" t="s">
        <v>346</v>
      </c>
      <c r="K2207">
        <v>0</v>
      </c>
      <c r="L2207" t="s">
        <v>159</v>
      </c>
      <c r="N2207" t="s">
        <v>236</v>
      </c>
      <c r="O2207" t="s">
        <v>346</v>
      </c>
      <c r="P2207">
        <v>5.5893080578276563E-5</v>
      </c>
      <c r="Q2207" t="s">
        <v>159</v>
      </c>
    </row>
    <row r="2208" spans="9:17" x14ac:dyDescent="0.45">
      <c r="I2208" t="s">
        <v>193</v>
      </c>
      <c r="J2208" t="s">
        <v>347</v>
      </c>
      <c r="K2208">
        <v>0</v>
      </c>
      <c r="L2208" t="s">
        <v>159</v>
      </c>
      <c r="N2208" t="s">
        <v>236</v>
      </c>
      <c r="O2208" t="s">
        <v>347</v>
      </c>
      <c r="P2208">
        <v>7.0409288356961243E-5</v>
      </c>
      <c r="Q2208" t="s">
        <v>159</v>
      </c>
    </row>
    <row r="2209" spans="9:17" x14ac:dyDescent="0.45">
      <c r="I2209" t="s">
        <v>193</v>
      </c>
      <c r="J2209" t="s">
        <v>348</v>
      </c>
      <c r="K2209">
        <v>0</v>
      </c>
      <c r="L2209" t="s">
        <v>159</v>
      </c>
      <c r="N2209" t="s">
        <v>236</v>
      </c>
      <c r="O2209" t="s">
        <v>348</v>
      </c>
      <c r="P2209">
        <v>6.8724831217031594E-5</v>
      </c>
      <c r="Q2209" t="s">
        <v>159</v>
      </c>
    </row>
    <row r="2210" spans="9:17" x14ac:dyDescent="0.45">
      <c r="I2210" t="s">
        <v>193</v>
      </c>
      <c r="J2210" t="s">
        <v>349</v>
      </c>
      <c r="K2210">
        <v>0</v>
      </c>
      <c r="L2210" t="s">
        <v>159</v>
      </c>
      <c r="N2210" t="s">
        <v>236</v>
      </c>
      <c r="O2210" t="s">
        <v>349</v>
      </c>
      <c r="P2210">
        <v>5.2332790764389976E-5</v>
      </c>
      <c r="Q2210" t="s">
        <v>159</v>
      </c>
    </row>
    <row r="2211" spans="9:17" x14ac:dyDescent="0.45">
      <c r="I2211" t="s">
        <v>193</v>
      </c>
      <c r="J2211" t="s">
        <v>350</v>
      </c>
      <c r="K2211">
        <v>0</v>
      </c>
      <c r="L2211" t="s">
        <v>159</v>
      </c>
      <c r="N2211" t="s">
        <v>236</v>
      </c>
      <c r="O2211" t="s">
        <v>350</v>
      </c>
      <c r="P2211">
        <v>3.4443836882882989E-5</v>
      </c>
      <c r="Q2211" t="s">
        <v>159</v>
      </c>
    </row>
    <row r="2212" spans="9:17" x14ac:dyDescent="0.45">
      <c r="I2212" t="s">
        <v>193</v>
      </c>
      <c r="J2212" t="s">
        <v>351</v>
      </c>
      <c r="K2212">
        <v>0</v>
      </c>
      <c r="L2212" t="s">
        <v>159</v>
      </c>
      <c r="N2212" t="s">
        <v>236</v>
      </c>
      <c r="O2212" t="s">
        <v>351</v>
      </c>
      <c r="P2212">
        <v>2.2327726328158112E-5</v>
      </c>
      <c r="Q2212" t="s">
        <v>159</v>
      </c>
    </row>
    <row r="2213" spans="9:17" x14ac:dyDescent="0.45">
      <c r="I2213" t="s">
        <v>193</v>
      </c>
      <c r="J2213" t="s">
        <v>352</v>
      </c>
      <c r="K2213">
        <v>0</v>
      </c>
      <c r="L2213" t="s">
        <v>159</v>
      </c>
      <c r="N2213" t="s">
        <v>236</v>
      </c>
      <c r="O2213" t="s">
        <v>352</v>
      </c>
      <c r="P2213">
        <v>1.6548773364478463E-5</v>
      </c>
      <c r="Q2213" t="s">
        <v>159</v>
      </c>
    </row>
    <row r="2214" spans="9:17" x14ac:dyDescent="0.45">
      <c r="I2214" t="s">
        <v>193</v>
      </c>
      <c r="J2214" t="s">
        <v>353</v>
      </c>
      <c r="K2214">
        <v>0</v>
      </c>
      <c r="L2214" t="s">
        <v>159</v>
      </c>
      <c r="N2214" t="s">
        <v>236</v>
      </c>
      <c r="O2214" t="s">
        <v>353</v>
      </c>
      <c r="P2214">
        <v>1.3143738396682061E-5</v>
      </c>
      <c r="Q2214" t="s">
        <v>159</v>
      </c>
    </row>
    <row r="2215" spans="9:17" x14ac:dyDescent="0.45">
      <c r="I2215" t="s">
        <v>193</v>
      </c>
      <c r="J2215" t="s">
        <v>354</v>
      </c>
      <c r="K2215">
        <v>1.0658603491344441E-4</v>
      </c>
      <c r="L2215" t="s">
        <v>159</v>
      </c>
      <c r="N2215" t="s">
        <v>236</v>
      </c>
      <c r="O2215" t="s">
        <v>354</v>
      </c>
      <c r="P2215">
        <v>8.5389200248290787E-6</v>
      </c>
      <c r="Q2215" t="s">
        <v>159</v>
      </c>
    </row>
    <row r="2216" spans="9:17" x14ac:dyDescent="0.45">
      <c r="I2216" t="s">
        <v>193</v>
      </c>
      <c r="J2216" t="s">
        <v>355</v>
      </c>
      <c r="K2216">
        <v>1.4060516316451334E-4</v>
      </c>
      <c r="L2216" t="s">
        <v>159</v>
      </c>
      <c r="N2216" t="s">
        <v>236</v>
      </c>
      <c r="O2216" t="s">
        <v>355</v>
      </c>
      <c r="P2216">
        <v>1.4182543986514177E-6</v>
      </c>
      <c r="Q2216" t="s">
        <v>159</v>
      </c>
    </row>
    <row r="2217" spans="9:17" x14ac:dyDescent="0.45">
      <c r="I2217" t="s">
        <v>193</v>
      </c>
      <c r="J2217" t="s">
        <v>356</v>
      </c>
      <c r="K2217">
        <v>1.7390244103780367E-4</v>
      </c>
      <c r="L2217" t="s">
        <v>159</v>
      </c>
      <c r="N2217" t="s">
        <v>236</v>
      </c>
      <c r="O2217" t="s">
        <v>356</v>
      </c>
      <c r="P2217">
        <v>2.0581667505041828E-8</v>
      </c>
      <c r="Q2217" t="s">
        <v>159</v>
      </c>
    </row>
    <row r="2218" spans="9:17" x14ac:dyDescent="0.45">
      <c r="I2218" t="s">
        <v>193</v>
      </c>
      <c r="J2218" t="s">
        <v>357</v>
      </c>
      <c r="K2218">
        <v>1.8010614484369026E-4</v>
      </c>
      <c r="L2218" t="s">
        <v>159</v>
      </c>
      <c r="N2218" t="s">
        <v>236</v>
      </c>
      <c r="O2218" t="s">
        <v>357</v>
      </c>
      <c r="P2218">
        <v>1.3847387538988092E-8</v>
      </c>
      <c r="Q2218" t="s">
        <v>159</v>
      </c>
    </row>
    <row r="2219" spans="9:17" x14ac:dyDescent="0.45">
      <c r="I2219" t="s">
        <v>193</v>
      </c>
      <c r="J2219" t="s">
        <v>358</v>
      </c>
      <c r="K2219">
        <v>2.1004675107153074E-4</v>
      </c>
      <c r="L2219" t="s">
        <v>159</v>
      </c>
      <c r="N2219" t="s">
        <v>236</v>
      </c>
      <c r="O2219" t="s">
        <v>358</v>
      </c>
      <c r="P2219">
        <v>3.3222251008703035E-7</v>
      </c>
      <c r="Q2219" t="s">
        <v>159</v>
      </c>
    </row>
    <row r="2220" spans="9:17" x14ac:dyDescent="0.45">
      <c r="I2220" t="s">
        <v>193</v>
      </c>
      <c r="J2220" t="s">
        <v>359</v>
      </c>
      <c r="K2220">
        <v>2.3090636043536232E-4</v>
      </c>
      <c r="L2220" t="s">
        <v>159</v>
      </c>
      <c r="N2220" t="s">
        <v>236</v>
      </c>
      <c r="O2220" t="s">
        <v>359</v>
      </c>
      <c r="P2220">
        <v>4.3494234978854682E-6</v>
      </c>
      <c r="Q2220" t="s">
        <v>159</v>
      </c>
    </row>
    <row r="2221" spans="9:17" x14ac:dyDescent="0.45">
      <c r="I2221" t="s">
        <v>193</v>
      </c>
      <c r="J2221" t="s">
        <v>360</v>
      </c>
      <c r="K2221">
        <v>1.9330365215526908E-4</v>
      </c>
      <c r="L2221" t="s">
        <v>159</v>
      </c>
      <c r="N2221" t="s">
        <v>236</v>
      </c>
      <c r="O2221" t="s">
        <v>360</v>
      </c>
      <c r="P2221">
        <v>1.1427113268850819E-5</v>
      </c>
      <c r="Q2221" t="s">
        <v>159</v>
      </c>
    </row>
    <row r="2222" spans="9:17" x14ac:dyDescent="0.45">
      <c r="I2222" t="s">
        <v>193</v>
      </c>
      <c r="J2222" t="s">
        <v>361</v>
      </c>
      <c r="K2222">
        <v>1.8551833761257117E-4</v>
      </c>
      <c r="L2222" t="s">
        <v>159</v>
      </c>
      <c r="N2222" t="s">
        <v>236</v>
      </c>
      <c r="O2222" t="s">
        <v>361</v>
      </c>
      <c r="P2222">
        <v>1.4896011018721494E-5</v>
      </c>
      <c r="Q2222" t="s">
        <v>159</v>
      </c>
    </row>
    <row r="2223" spans="9:17" x14ac:dyDescent="0.45">
      <c r="I2223" t="s">
        <v>193</v>
      </c>
      <c r="J2223" t="s">
        <v>362</v>
      </c>
      <c r="K2223">
        <v>1.8131387322989606E-4</v>
      </c>
      <c r="L2223" t="s">
        <v>159</v>
      </c>
      <c r="N2223" t="s">
        <v>236</v>
      </c>
      <c r="O2223" t="s">
        <v>362</v>
      </c>
      <c r="P2223">
        <v>1.2900716599245141E-5</v>
      </c>
      <c r="Q2223" t="s">
        <v>159</v>
      </c>
    </row>
    <row r="2224" spans="9:17" x14ac:dyDescent="0.45">
      <c r="I2224" t="s">
        <v>193</v>
      </c>
      <c r="J2224" t="s">
        <v>363</v>
      </c>
      <c r="K2224">
        <v>1.5688055544060999E-4</v>
      </c>
      <c r="L2224" t="s">
        <v>159</v>
      </c>
      <c r="N2224" t="s">
        <v>236</v>
      </c>
      <c r="O2224" t="s">
        <v>363</v>
      </c>
      <c r="P2224">
        <v>8.3276920847236046E-6</v>
      </c>
      <c r="Q2224" t="s">
        <v>159</v>
      </c>
    </row>
    <row r="2225" spans="9:17" x14ac:dyDescent="0.45">
      <c r="I2225" t="s">
        <v>193</v>
      </c>
      <c r="J2225" t="s">
        <v>364</v>
      </c>
      <c r="K2225">
        <v>0</v>
      </c>
      <c r="L2225" t="s">
        <v>159</v>
      </c>
      <c r="N2225" t="s">
        <v>236</v>
      </c>
      <c r="O2225" t="s">
        <v>364</v>
      </c>
      <c r="P2225">
        <v>6.6330987935520142E-6</v>
      </c>
      <c r="Q2225" t="s">
        <v>159</v>
      </c>
    </row>
    <row r="2226" spans="9:17" x14ac:dyDescent="0.45">
      <c r="I2226" t="s">
        <v>193</v>
      </c>
      <c r="J2226" t="s">
        <v>365</v>
      </c>
      <c r="K2226">
        <v>0</v>
      </c>
      <c r="L2226" t="s">
        <v>159</v>
      </c>
      <c r="N2226" t="s">
        <v>236</v>
      </c>
      <c r="O2226" t="s">
        <v>365</v>
      </c>
      <c r="P2226">
        <v>5.9317013421297649E-6</v>
      </c>
      <c r="Q2226" t="s">
        <v>159</v>
      </c>
    </row>
    <row r="2227" spans="9:17" x14ac:dyDescent="0.45">
      <c r="I2227" t="s">
        <v>193</v>
      </c>
      <c r="J2227" t="s">
        <v>366</v>
      </c>
      <c r="K2227">
        <v>0</v>
      </c>
      <c r="L2227" t="s">
        <v>159</v>
      </c>
      <c r="N2227" t="s">
        <v>236</v>
      </c>
      <c r="O2227" t="s">
        <v>366</v>
      </c>
      <c r="P2227">
        <v>7.4350227107208881E-6</v>
      </c>
      <c r="Q2227" t="s">
        <v>159</v>
      </c>
    </row>
    <row r="2228" spans="9:17" x14ac:dyDescent="0.45">
      <c r="I2228" t="s">
        <v>193</v>
      </c>
      <c r="J2228" t="s">
        <v>367</v>
      </c>
      <c r="K2228">
        <v>0</v>
      </c>
      <c r="L2228" t="s">
        <v>159</v>
      </c>
      <c r="N2228" t="s">
        <v>236</v>
      </c>
      <c r="O2228" t="s">
        <v>367</v>
      </c>
      <c r="P2228">
        <v>9.4837413680918832E-6</v>
      </c>
      <c r="Q2228" t="s">
        <v>159</v>
      </c>
    </row>
    <row r="2229" spans="9:17" x14ac:dyDescent="0.45">
      <c r="I2229" t="s">
        <v>193</v>
      </c>
      <c r="J2229" t="s">
        <v>368</v>
      </c>
      <c r="K2229">
        <v>0</v>
      </c>
      <c r="L2229" t="s">
        <v>159</v>
      </c>
      <c r="N2229" t="s">
        <v>236</v>
      </c>
      <c r="O2229" t="s">
        <v>368</v>
      </c>
      <c r="P2229">
        <v>1.1692339906882095E-5</v>
      </c>
      <c r="Q2229" t="s">
        <v>159</v>
      </c>
    </row>
    <row r="2230" spans="9:17" x14ac:dyDescent="0.45">
      <c r="I2230" t="s">
        <v>193</v>
      </c>
      <c r="J2230" t="s">
        <v>369</v>
      </c>
      <c r="K2230">
        <v>0</v>
      </c>
      <c r="L2230" t="s">
        <v>159</v>
      </c>
      <c r="N2230" t="s">
        <v>236</v>
      </c>
      <c r="O2230" t="s">
        <v>369</v>
      </c>
      <c r="P2230">
        <v>1.6822690200885088E-5</v>
      </c>
      <c r="Q2230" t="s">
        <v>159</v>
      </c>
    </row>
    <row r="2231" spans="9:17" x14ac:dyDescent="0.45">
      <c r="I2231" t="s">
        <v>193</v>
      </c>
      <c r="J2231" t="s">
        <v>165</v>
      </c>
      <c r="K2231">
        <v>0</v>
      </c>
      <c r="L2231" t="s">
        <v>159</v>
      </c>
      <c r="N2231" t="s">
        <v>236</v>
      </c>
      <c r="O2231" t="s">
        <v>165</v>
      </c>
      <c r="P2231">
        <v>2.8214319801859341E-2</v>
      </c>
      <c r="Q2231" t="s">
        <v>159</v>
      </c>
    </row>
    <row r="2232" spans="9:17" x14ac:dyDescent="0.45">
      <c r="I2232" t="s">
        <v>193</v>
      </c>
      <c r="J2232" t="s">
        <v>166</v>
      </c>
      <c r="K2232">
        <v>0</v>
      </c>
      <c r="L2232" t="s">
        <v>159</v>
      </c>
      <c r="N2232" t="s">
        <v>236</v>
      </c>
      <c r="O2232" t="s">
        <v>166</v>
      </c>
      <c r="P2232">
        <v>2.7272099284239831E-3</v>
      </c>
      <c r="Q2232" t="s">
        <v>159</v>
      </c>
    </row>
    <row r="2233" spans="9:17" x14ac:dyDescent="0.45">
      <c r="I2233" t="s">
        <v>193</v>
      </c>
      <c r="J2233" t="s">
        <v>167</v>
      </c>
      <c r="K2233">
        <v>6.6318732587614587E-2</v>
      </c>
      <c r="L2233" t="s">
        <v>159</v>
      </c>
      <c r="N2233" t="s">
        <v>236</v>
      </c>
      <c r="O2233" t="s">
        <v>167</v>
      </c>
      <c r="P2233">
        <v>2.1726135560412713E-2</v>
      </c>
      <c r="Q2233" t="s">
        <v>159</v>
      </c>
    </row>
    <row r="2234" spans="9:17" x14ac:dyDescent="0.45">
      <c r="I2234" t="s">
        <v>193</v>
      </c>
      <c r="J2234" t="s">
        <v>291</v>
      </c>
      <c r="K2234">
        <v>6.2588466980737284E-3</v>
      </c>
      <c r="L2234" t="s">
        <v>159</v>
      </c>
      <c r="N2234" t="s">
        <v>236</v>
      </c>
      <c r="O2234" t="s">
        <v>291</v>
      </c>
      <c r="P2234">
        <v>2.9176224637318835E-3</v>
      </c>
      <c r="Q2234" t="s">
        <v>159</v>
      </c>
    </row>
    <row r="2235" spans="9:17" x14ac:dyDescent="0.45">
      <c r="I2235" t="s">
        <v>193</v>
      </c>
      <c r="J2235" t="s">
        <v>292</v>
      </c>
      <c r="K2235">
        <v>1.4366884213270741E-3</v>
      </c>
      <c r="L2235" t="s">
        <v>159</v>
      </c>
      <c r="N2235" t="s">
        <v>236</v>
      </c>
      <c r="O2235" t="s">
        <v>292</v>
      </c>
      <c r="P2235">
        <v>2.8234721171852225E-3</v>
      </c>
      <c r="Q2235" t="s">
        <v>159</v>
      </c>
    </row>
    <row r="2236" spans="9:17" x14ac:dyDescent="0.45">
      <c r="I2236" t="s">
        <v>193</v>
      </c>
      <c r="J2236" t="s">
        <v>310</v>
      </c>
      <c r="K2236">
        <v>0</v>
      </c>
      <c r="L2236" t="s">
        <v>159</v>
      </c>
      <c r="N2236" t="s">
        <v>236</v>
      </c>
      <c r="O2236" t="s">
        <v>310</v>
      </c>
      <c r="P2236">
        <v>1.6631555035629051E-2</v>
      </c>
      <c r="Q2236" t="s">
        <v>159</v>
      </c>
    </row>
    <row r="2237" spans="9:17" x14ac:dyDescent="0.45">
      <c r="I2237" t="s">
        <v>193</v>
      </c>
      <c r="J2237" t="s">
        <v>293</v>
      </c>
      <c r="K2237">
        <v>0</v>
      </c>
      <c r="L2237" t="s">
        <v>159</v>
      </c>
      <c r="N2237" t="s">
        <v>236</v>
      </c>
      <c r="O2237" t="s">
        <v>293</v>
      </c>
      <c r="P2237">
        <v>1.2091259909278174E-2</v>
      </c>
      <c r="Q2237" t="s">
        <v>159</v>
      </c>
    </row>
    <row r="2238" spans="9:17" x14ac:dyDescent="0.45">
      <c r="I2238" t="s">
        <v>193</v>
      </c>
      <c r="J2238" t="s">
        <v>294</v>
      </c>
      <c r="K2238">
        <v>6.3661239598668284E-4</v>
      </c>
      <c r="L2238" t="s">
        <v>159</v>
      </c>
      <c r="N2238" t="s">
        <v>236</v>
      </c>
      <c r="O2238" t="s">
        <v>294</v>
      </c>
      <c r="P2238">
        <v>1.1514072781211948E-3</v>
      </c>
      <c r="Q2238" t="s">
        <v>159</v>
      </c>
    </row>
    <row r="2239" spans="9:17" x14ac:dyDescent="0.45">
      <c r="I2239" t="s">
        <v>193</v>
      </c>
      <c r="J2239" t="s">
        <v>295</v>
      </c>
      <c r="K2239">
        <v>1.6528109478034396E-2</v>
      </c>
      <c r="L2239" t="s">
        <v>159</v>
      </c>
      <c r="N2239" t="s">
        <v>236</v>
      </c>
      <c r="O2239" t="s">
        <v>295</v>
      </c>
      <c r="P2239">
        <v>5.7664269747955939E-3</v>
      </c>
      <c r="Q2239" t="s">
        <v>159</v>
      </c>
    </row>
    <row r="2240" spans="9:17" x14ac:dyDescent="0.45">
      <c r="I2240" t="s">
        <v>193</v>
      </c>
      <c r="J2240" t="s">
        <v>296</v>
      </c>
      <c r="K2240">
        <v>1.374748187187678E-3</v>
      </c>
      <c r="L2240" t="s">
        <v>159</v>
      </c>
      <c r="N2240" t="s">
        <v>236</v>
      </c>
      <c r="O2240" t="s">
        <v>296</v>
      </c>
      <c r="P2240">
        <v>4.6752665837337785E-4</v>
      </c>
      <c r="Q2240" t="s">
        <v>159</v>
      </c>
    </row>
    <row r="2241" spans="9:17" x14ac:dyDescent="0.45">
      <c r="I2241" t="s">
        <v>193</v>
      </c>
      <c r="J2241" t="s">
        <v>297</v>
      </c>
      <c r="K2241">
        <v>1.0845636279237202E-3</v>
      </c>
      <c r="L2241" t="s">
        <v>159</v>
      </c>
      <c r="N2241" t="s">
        <v>236</v>
      </c>
      <c r="O2241" t="s">
        <v>297</v>
      </c>
      <c r="P2241">
        <v>4.4589875879015052E-4</v>
      </c>
      <c r="Q2241" t="s">
        <v>159</v>
      </c>
    </row>
    <row r="2242" spans="9:17" x14ac:dyDescent="0.45">
      <c r="I2242" t="s">
        <v>193</v>
      </c>
      <c r="J2242" t="s">
        <v>311</v>
      </c>
      <c r="K2242">
        <v>0</v>
      </c>
      <c r="L2242" t="s">
        <v>159</v>
      </c>
      <c r="N2242" t="s">
        <v>236</v>
      </c>
      <c r="O2242" t="s">
        <v>311</v>
      </c>
      <c r="P2242">
        <v>5.4861004463944178E-3</v>
      </c>
      <c r="Q2242" t="s">
        <v>159</v>
      </c>
    </row>
    <row r="2243" spans="9:17" x14ac:dyDescent="0.45">
      <c r="I2243" t="s">
        <v>193</v>
      </c>
      <c r="J2243" t="s">
        <v>298</v>
      </c>
      <c r="K2243">
        <v>3.2589690389054457E-3</v>
      </c>
      <c r="L2243" t="s">
        <v>159</v>
      </c>
      <c r="N2243" t="s">
        <v>236</v>
      </c>
      <c r="O2243" t="s">
        <v>298</v>
      </c>
      <c r="P2243">
        <v>0.12785308164104964</v>
      </c>
      <c r="Q2243" t="s">
        <v>159</v>
      </c>
    </row>
    <row r="2244" spans="9:17" x14ac:dyDescent="0.45">
      <c r="I2244" t="s">
        <v>193</v>
      </c>
      <c r="J2244" t="s">
        <v>299</v>
      </c>
      <c r="K2244">
        <v>1.4402057058960339E-2</v>
      </c>
      <c r="L2244" t="s">
        <v>159</v>
      </c>
      <c r="N2244" t="s">
        <v>236</v>
      </c>
      <c r="O2244" t="s">
        <v>299</v>
      </c>
      <c r="P2244">
        <v>1.244412652578448E-2</v>
      </c>
      <c r="Q2244" t="s">
        <v>159</v>
      </c>
    </row>
    <row r="2245" spans="9:17" x14ac:dyDescent="0.45">
      <c r="I2245" t="s">
        <v>193</v>
      </c>
      <c r="J2245" t="s">
        <v>300</v>
      </c>
      <c r="K2245">
        <v>0.24476992180672252</v>
      </c>
      <c r="L2245" t="s">
        <v>159</v>
      </c>
      <c r="N2245" t="s">
        <v>236</v>
      </c>
      <c r="O2245" t="s">
        <v>300</v>
      </c>
      <c r="P2245">
        <v>0.11275467224787103</v>
      </c>
      <c r="Q2245" t="s">
        <v>159</v>
      </c>
    </row>
    <row r="2246" spans="9:17" x14ac:dyDescent="0.45">
      <c r="I2246" t="s">
        <v>193</v>
      </c>
      <c r="J2246" t="s">
        <v>301</v>
      </c>
      <c r="K2246">
        <v>2.0017785016983237E-2</v>
      </c>
      <c r="L2246" t="s">
        <v>159</v>
      </c>
      <c r="N2246" t="s">
        <v>236</v>
      </c>
      <c r="O2246" t="s">
        <v>301</v>
      </c>
      <c r="P2246">
        <v>1.4126408241019461E-2</v>
      </c>
      <c r="Q2246" t="s">
        <v>159</v>
      </c>
    </row>
    <row r="2247" spans="9:17" x14ac:dyDescent="0.45">
      <c r="I2247" t="s">
        <v>193</v>
      </c>
      <c r="J2247" t="s">
        <v>302</v>
      </c>
      <c r="K2247">
        <v>1.239202593664801E-2</v>
      </c>
      <c r="L2247" t="s">
        <v>159</v>
      </c>
      <c r="N2247" t="s">
        <v>236</v>
      </c>
      <c r="O2247" t="s">
        <v>302</v>
      </c>
      <c r="P2247">
        <v>1.2423191868635842E-2</v>
      </c>
      <c r="Q2247" t="s">
        <v>159</v>
      </c>
    </row>
    <row r="2248" spans="9:17" x14ac:dyDescent="0.45">
      <c r="I2248" t="s">
        <v>193</v>
      </c>
      <c r="J2248" t="s">
        <v>312</v>
      </c>
      <c r="K2248">
        <v>1.887775626024403E-4</v>
      </c>
      <c r="L2248" t="s">
        <v>159</v>
      </c>
      <c r="N2248" t="s">
        <v>236</v>
      </c>
      <c r="O2248" t="s">
        <v>312</v>
      </c>
      <c r="P2248">
        <v>8.3660931319755563E-2</v>
      </c>
      <c r="Q2248" t="s">
        <v>159</v>
      </c>
    </row>
    <row r="2249" spans="9:17" x14ac:dyDescent="0.45">
      <c r="I2249" t="s">
        <v>193</v>
      </c>
      <c r="J2249" t="s">
        <v>397</v>
      </c>
      <c r="K2249">
        <v>0</v>
      </c>
      <c r="L2249" t="s">
        <v>159</v>
      </c>
      <c r="N2249" t="s">
        <v>236</v>
      </c>
      <c r="O2249" t="s">
        <v>397</v>
      </c>
      <c r="P2249">
        <v>3.2049438069465927E-5</v>
      </c>
      <c r="Q2249" t="s">
        <v>159</v>
      </c>
    </row>
    <row r="2250" spans="9:17" x14ac:dyDescent="0.45">
      <c r="I2250" t="s">
        <v>193</v>
      </c>
      <c r="J2250" t="s">
        <v>398</v>
      </c>
      <c r="K2250">
        <v>0</v>
      </c>
      <c r="L2250" t="s">
        <v>159</v>
      </c>
      <c r="N2250" t="s">
        <v>236</v>
      </c>
      <c r="O2250" t="s">
        <v>398</v>
      </c>
      <c r="P2250">
        <v>2.5154661852678701E-5</v>
      </c>
      <c r="Q2250" t="s">
        <v>159</v>
      </c>
    </row>
    <row r="2251" spans="9:17" x14ac:dyDescent="0.45">
      <c r="I2251" t="s">
        <v>193</v>
      </c>
      <c r="J2251" t="s">
        <v>399</v>
      </c>
      <c r="K2251">
        <v>0</v>
      </c>
      <c r="L2251" t="s">
        <v>159</v>
      </c>
      <c r="N2251" t="s">
        <v>236</v>
      </c>
      <c r="O2251" t="s">
        <v>399</v>
      </c>
      <c r="P2251">
        <v>2.0887395716733123E-5</v>
      </c>
      <c r="Q2251" t="s">
        <v>159</v>
      </c>
    </row>
    <row r="2252" spans="9:17" x14ac:dyDescent="0.45">
      <c r="I2252" t="s">
        <v>193</v>
      </c>
      <c r="J2252" t="s">
        <v>400</v>
      </c>
      <c r="K2252">
        <v>0</v>
      </c>
      <c r="L2252" t="s">
        <v>159</v>
      </c>
      <c r="N2252" t="s">
        <v>236</v>
      </c>
      <c r="O2252" t="s">
        <v>400</v>
      </c>
      <c r="P2252">
        <v>1.6043681834454808E-5</v>
      </c>
      <c r="Q2252" t="s">
        <v>159</v>
      </c>
    </row>
    <row r="2253" spans="9:17" x14ac:dyDescent="0.45">
      <c r="I2253" t="s">
        <v>193</v>
      </c>
      <c r="J2253" t="s">
        <v>401</v>
      </c>
      <c r="K2253">
        <v>0</v>
      </c>
      <c r="L2253" t="s">
        <v>159</v>
      </c>
      <c r="N2253" t="s">
        <v>236</v>
      </c>
      <c r="O2253" t="s">
        <v>401</v>
      </c>
      <c r="P2253">
        <v>1.7285192143032579E-5</v>
      </c>
      <c r="Q2253" t="s">
        <v>159</v>
      </c>
    </row>
    <row r="2254" spans="9:17" x14ac:dyDescent="0.45">
      <c r="I2254" t="s">
        <v>193</v>
      </c>
      <c r="J2254" t="s">
        <v>402</v>
      </c>
      <c r="K2254">
        <v>0</v>
      </c>
      <c r="L2254" t="s">
        <v>159</v>
      </c>
      <c r="N2254" t="s">
        <v>236</v>
      </c>
      <c r="O2254" t="s">
        <v>402</v>
      </c>
      <c r="P2254">
        <v>2.4071365967184014E-5</v>
      </c>
      <c r="Q2254" t="s">
        <v>159</v>
      </c>
    </row>
    <row r="2255" spans="9:17" x14ac:dyDescent="0.45">
      <c r="I2255" t="s">
        <v>193</v>
      </c>
      <c r="J2255" t="s">
        <v>403</v>
      </c>
      <c r="K2255">
        <v>0</v>
      </c>
      <c r="L2255" t="s">
        <v>159</v>
      </c>
      <c r="N2255" t="s">
        <v>236</v>
      </c>
      <c r="O2255" t="s">
        <v>403</v>
      </c>
      <c r="P2255">
        <v>3.457515249229938E-5</v>
      </c>
      <c r="Q2255" t="s">
        <v>159</v>
      </c>
    </row>
    <row r="2256" spans="9:17" x14ac:dyDescent="0.45">
      <c r="I2256" t="s">
        <v>193</v>
      </c>
      <c r="J2256" t="s">
        <v>404</v>
      </c>
      <c r="K2256">
        <v>2.0348710376142347E-4</v>
      </c>
      <c r="L2256" t="s">
        <v>159</v>
      </c>
      <c r="N2256" t="s">
        <v>236</v>
      </c>
      <c r="O2256" t="s">
        <v>404</v>
      </c>
      <c r="P2256">
        <v>4.4175017472196368E-5</v>
      </c>
      <c r="Q2256" t="s">
        <v>159</v>
      </c>
    </row>
    <row r="2257" spans="9:17" x14ac:dyDescent="0.45">
      <c r="I2257" t="s">
        <v>193</v>
      </c>
      <c r="J2257" t="s">
        <v>405</v>
      </c>
      <c r="K2257">
        <v>2.9702831451922416E-4</v>
      </c>
      <c r="L2257" t="s">
        <v>159</v>
      </c>
      <c r="N2257" t="s">
        <v>236</v>
      </c>
      <c r="O2257" t="s">
        <v>405</v>
      </c>
      <c r="P2257">
        <v>3.524573513951398E-5</v>
      </c>
      <c r="Q2257" t="s">
        <v>159</v>
      </c>
    </row>
    <row r="2258" spans="9:17" x14ac:dyDescent="0.45">
      <c r="I2258" t="s">
        <v>193</v>
      </c>
      <c r="J2258" t="s">
        <v>406</v>
      </c>
      <c r="K2258">
        <v>3.281008101009972E-4</v>
      </c>
      <c r="L2258" t="s">
        <v>159</v>
      </c>
      <c r="N2258" t="s">
        <v>236</v>
      </c>
      <c r="O2258" t="s">
        <v>406</v>
      </c>
      <c r="P2258">
        <v>3.8076731813583703E-6</v>
      </c>
      <c r="Q2258" t="s">
        <v>159</v>
      </c>
    </row>
    <row r="2259" spans="9:17" x14ac:dyDescent="0.45">
      <c r="I2259" t="s">
        <v>193</v>
      </c>
      <c r="J2259" t="s">
        <v>407</v>
      </c>
      <c r="K2259">
        <v>3.3612373451696274E-4</v>
      </c>
      <c r="L2259" t="s">
        <v>159</v>
      </c>
      <c r="N2259" t="s">
        <v>236</v>
      </c>
      <c r="O2259" t="s">
        <v>407</v>
      </c>
      <c r="P2259">
        <v>1.0479158129283016E-5</v>
      </c>
      <c r="Q2259" t="s">
        <v>159</v>
      </c>
    </row>
    <row r="2260" spans="9:17" x14ac:dyDescent="0.45">
      <c r="I2260" t="s">
        <v>193</v>
      </c>
      <c r="J2260" t="s">
        <v>408</v>
      </c>
      <c r="K2260">
        <v>3.4677690033699113E-4</v>
      </c>
      <c r="L2260" t="s">
        <v>159</v>
      </c>
      <c r="N2260" t="s">
        <v>236</v>
      </c>
      <c r="O2260" t="s">
        <v>408</v>
      </c>
      <c r="P2260">
        <v>3.2806172585390251E-5</v>
      </c>
      <c r="Q2260" t="s">
        <v>159</v>
      </c>
    </row>
    <row r="2261" spans="9:17" x14ac:dyDescent="0.45">
      <c r="I2261" t="s">
        <v>193</v>
      </c>
      <c r="J2261" t="s">
        <v>409</v>
      </c>
      <c r="K2261">
        <v>3.6809805915582751E-4</v>
      </c>
      <c r="L2261" t="s">
        <v>159</v>
      </c>
      <c r="N2261" t="s">
        <v>236</v>
      </c>
      <c r="O2261" t="s">
        <v>409</v>
      </c>
      <c r="P2261">
        <v>6.7895807596748698E-5</v>
      </c>
      <c r="Q2261" t="s">
        <v>159</v>
      </c>
    </row>
    <row r="2262" spans="9:17" x14ac:dyDescent="0.45">
      <c r="I2262" t="s">
        <v>193</v>
      </c>
      <c r="J2262" t="s">
        <v>410</v>
      </c>
      <c r="K2262">
        <v>3.6248835756579626E-4</v>
      </c>
      <c r="L2262" t="s">
        <v>159</v>
      </c>
      <c r="N2262" t="s">
        <v>236</v>
      </c>
      <c r="O2262" t="s">
        <v>410</v>
      </c>
      <c r="P2262">
        <v>1.11928154123024E-4</v>
      </c>
      <c r="Q2262" t="s">
        <v>159</v>
      </c>
    </row>
    <row r="2263" spans="9:17" x14ac:dyDescent="0.45">
      <c r="I2263" t="s">
        <v>193</v>
      </c>
      <c r="J2263" t="s">
        <v>411</v>
      </c>
      <c r="K2263">
        <v>3.3638830177455968E-4</v>
      </c>
      <c r="L2263" t="s">
        <v>159</v>
      </c>
      <c r="N2263" t="s">
        <v>236</v>
      </c>
      <c r="O2263" t="s">
        <v>411</v>
      </c>
      <c r="P2263">
        <v>1.4717824913838167E-4</v>
      </c>
      <c r="Q2263" t="s">
        <v>159</v>
      </c>
    </row>
    <row r="2264" spans="9:17" x14ac:dyDescent="0.45">
      <c r="I2264" t="s">
        <v>193</v>
      </c>
      <c r="J2264" t="s">
        <v>412</v>
      </c>
      <c r="K2264">
        <v>3.18284871437485E-4</v>
      </c>
      <c r="L2264" t="s">
        <v>159</v>
      </c>
      <c r="N2264" t="s">
        <v>236</v>
      </c>
      <c r="O2264" t="s">
        <v>412</v>
      </c>
      <c r="P2264">
        <v>1.5476835988541455E-4</v>
      </c>
      <c r="Q2264" t="s">
        <v>159</v>
      </c>
    </row>
    <row r="2265" spans="9:17" x14ac:dyDescent="0.45">
      <c r="I2265" t="s">
        <v>193</v>
      </c>
      <c r="J2265" t="s">
        <v>413</v>
      </c>
      <c r="K2265">
        <v>3.0680792215442398E-4</v>
      </c>
      <c r="L2265" t="s">
        <v>159</v>
      </c>
      <c r="N2265" t="s">
        <v>236</v>
      </c>
      <c r="O2265" t="s">
        <v>413</v>
      </c>
      <c r="P2265">
        <v>1.4578071620301189E-4</v>
      </c>
      <c r="Q2265" t="s">
        <v>159</v>
      </c>
    </row>
    <row r="2266" spans="9:17" x14ac:dyDescent="0.45">
      <c r="I2266" t="s">
        <v>193</v>
      </c>
      <c r="J2266" t="s">
        <v>414</v>
      </c>
      <c r="K2266">
        <v>2.8244550848285173E-4</v>
      </c>
      <c r="L2266" t="s">
        <v>159</v>
      </c>
      <c r="N2266" t="s">
        <v>236</v>
      </c>
      <c r="O2266" t="s">
        <v>414</v>
      </c>
      <c r="P2266">
        <v>1.0236524007217254E-4</v>
      </c>
      <c r="Q2266" t="s">
        <v>159</v>
      </c>
    </row>
    <row r="2267" spans="9:17" x14ac:dyDescent="0.45">
      <c r="I2267" t="s">
        <v>193</v>
      </c>
      <c r="J2267" t="s">
        <v>415</v>
      </c>
      <c r="K2267">
        <v>1.8579780039302868E-4</v>
      </c>
      <c r="L2267" t="s">
        <v>159</v>
      </c>
      <c r="N2267" t="s">
        <v>236</v>
      </c>
      <c r="O2267" t="s">
        <v>415</v>
      </c>
      <c r="P2267">
        <v>5.2229870331878667E-5</v>
      </c>
      <c r="Q2267" t="s">
        <v>159</v>
      </c>
    </row>
    <row r="2268" spans="9:17" x14ac:dyDescent="0.45">
      <c r="I2268" t="s">
        <v>193</v>
      </c>
      <c r="J2268" t="s">
        <v>416</v>
      </c>
      <c r="K2268">
        <v>0</v>
      </c>
      <c r="L2268" t="s">
        <v>159</v>
      </c>
      <c r="N2268" t="s">
        <v>236</v>
      </c>
      <c r="O2268" t="s">
        <v>416</v>
      </c>
      <c r="P2268">
        <v>3.4035732456880848E-5</v>
      </c>
      <c r="Q2268" t="s">
        <v>159</v>
      </c>
    </row>
    <row r="2269" spans="9:17" x14ac:dyDescent="0.45">
      <c r="I2269" t="s">
        <v>193</v>
      </c>
      <c r="J2269" t="s">
        <v>417</v>
      </c>
      <c r="K2269">
        <v>0</v>
      </c>
      <c r="L2269" t="s">
        <v>159</v>
      </c>
      <c r="N2269" t="s">
        <v>236</v>
      </c>
      <c r="O2269" t="s">
        <v>417</v>
      </c>
      <c r="P2269">
        <v>2.2129662340334967E-5</v>
      </c>
      <c r="Q2269" t="s">
        <v>159</v>
      </c>
    </row>
    <row r="2270" spans="9:17" x14ac:dyDescent="0.45">
      <c r="I2270" t="s">
        <v>193</v>
      </c>
      <c r="J2270" t="s">
        <v>418</v>
      </c>
      <c r="K2270">
        <v>0</v>
      </c>
      <c r="L2270" t="s">
        <v>159</v>
      </c>
      <c r="N2270" t="s">
        <v>236</v>
      </c>
      <c r="O2270" t="s">
        <v>418</v>
      </c>
      <c r="P2270">
        <v>1.0059615210966443E-5</v>
      </c>
      <c r="Q2270" t="s">
        <v>159</v>
      </c>
    </row>
    <row r="2271" spans="9:17" x14ac:dyDescent="0.45">
      <c r="I2271" t="s">
        <v>193</v>
      </c>
      <c r="J2271" t="s">
        <v>419</v>
      </c>
      <c r="K2271">
        <v>0</v>
      </c>
      <c r="L2271" t="s">
        <v>159</v>
      </c>
      <c r="N2271" t="s">
        <v>236</v>
      </c>
      <c r="O2271" t="s">
        <v>419</v>
      </c>
      <c r="P2271">
        <v>3.2005747150822966E-6</v>
      </c>
      <c r="Q2271" t="s">
        <v>159</v>
      </c>
    </row>
    <row r="2272" spans="9:17" x14ac:dyDescent="0.45">
      <c r="I2272" t="s">
        <v>193</v>
      </c>
      <c r="J2272" t="s">
        <v>420</v>
      </c>
      <c r="K2272">
        <v>0</v>
      </c>
      <c r="L2272" t="s">
        <v>159</v>
      </c>
      <c r="N2272" t="s">
        <v>236</v>
      </c>
      <c r="O2272" t="s">
        <v>420</v>
      </c>
      <c r="P2272">
        <v>4.302047762066237E-6</v>
      </c>
      <c r="Q2272" t="s">
        <v>159</v>
      </c>
    </row>
    <row r="2273" spans="9:17" x14ac:dyDescent="0.45">
      <c r="I2273" t="s">
        <v>193</v>
      </c>
      <c r="J2273" t="s">
        <v>313</v>
      </c>
      <c r="K2273">
        <v>1.4221180012436588E-3</v>
      </c>
      <c r="L2273" t="s">
        <v>159</v>
      </c>
      <c r="N2273" t="s">
        <v>236</v>
      </c>
      <c r="O2273" t="s">
        <v>313</v>
      </c>
      <c r="P2273">
        <v>2.5545133466855927E-2</v>
      </c>
      <c r="Q2273" t="s">
        <v>159</v>
      </c>
    </row>
    <row r="2274" spans="9:17" x14ac:dyDescent="0.45">
      <c r="I2274" t="s">
        <v>193</v>
      </c>
      <c r="J2274" t="s">
        <v>314</v>
      </c>
      <c r="K2274">
        <v>3.1169322008390327E-3</v>
      </c>
      <c r="L2274" t="s">
        <v>159</v>
      </c>
      <c r="N2274" t="s">
        <v>236</v>
      </c>
      <c r="O2274" t="s">
        <v>314</v>
      </c>
      <c r="P2274">
        <v>2.2063346266990159E-3</v>
      </c>
      <c r="Q2274" t="s">
        <v>159</v>
      </c>
    </row>
    <row r="2275" spans="9:17" x14ac:dyDescent="0.45">
      <c r="I2275" t="s">
        <v>193</v>
      </c>
      <c r="J2275" t="s">
        <v>315</v>
      </c>
      <c r="K2275">
        <v>7.2517842282530234E-2</v>
      </c>
      <c r="L2275" t="s">
        <v>159</v>
      </c>
      <c r="N2275" t="s">
        <v>236</v>
      </c>
      <c r="O2275" t="s">
        <v>315</v>
      </c>
      <c r="P2275">
        <v>1.9899018690212936E-2</v>
      </c>
      <c r="Q2275" t="s">
        <v>159</v>
      </c>
    </row>
    <row r="2276" spans="9:17" x14ac:dyDescent="0.45">
      <c r="I2276" t="s">
        <v>193</v>
      </c>
      <c r="J2276" t="s">
        <v>316</v>
      </c>
      <c r="K2276">
        <v>5.4648442304778321E-3</v>
      </c>
      <c r="L2276" t="s">
        <v>159</v>
      </c>
      <c r="N2276" t="s">
        <v>236</v>
      </c>
      <c r="O2276" t="s">
        <v>316</v>
      </c>
      <c r="P2276">
        <v>2.5218207408403879E-3</v>
      </c>
      <c r="Q2276" t="s">
        <v>159</v>
      </c>
    </row>
    <row r="2277" spans="9:17" x14ac:dyDescent="0.45">
      <c r="I2277" t="s">
        <v>193</v>
      </c>
      <c r="J2277" t="s">
        <v>317</v>
      </c>
      <c r="K2277">
        <v>3.7456467510884567E-3</v>
      </c>
      <c r="L2277" t="s">
        <v>159</v>
      </c>
      <c r="N2277" t="s">
        <v>236</v>
      </c>
      <c r="O2277" t="s">
        <v>317</v>
      </c>
      <c r="P2277">
        <v>1.9198659897001538E-3</v>
      </c>
      <c r="Q2277" t="s">
        <v>159</v>
      </c>
    </row>
    <row r="2278" spans="9:17" x14ac:dyDescent="0.45">
      <c r="I2278" t="s">
        <v>193</v>
      </c>
      <c r="J2278" t="s">
        <v>318</v>
      </c>
      <c r="K2278">
        <v>2.0167261791191379E-3</v>
      </c>
      <c r="L2278" t="s">
        <v>159</v>
      </c>
      <c r="N2278" t="s">
        <v>236</v>
      </c>
      <c r="O2278" t="s">
        <v>318</v>
      </c>
      <c r="P2278">
        <v>1.4430220649628393E-2</v>
      </c>
      <c r="Q2278" t="s">
        <v>159</v>
      </c>
    </row>
    <row r="2279" spans="9:17" x14ac:dyDescent="0.45">
      <c r="I2279" t="s">
        <v>194</v>
      </c>
      <c r="J2279" t="s">
        <v>158</v>
      </c>
      <c r="K2279">
        <v>2.2580495593228526E-3</v>
      </c>
      <c r="L2279" t="s">
        <v>159</v>
      </c>
      <c r="N2279" t="s">
        <v>237</v>
      </c>
      <c r="O2279" t="s">
        <v>158</v>
      </c>
      <c r="P2279">
        <v>0.14944466086795352</v>
      </c>
      <c r="Q2279" t="s">
        <v>159</v>
      </c>
    </row>
    <row r="2280" spans="9:17" x14ac:dyDescent="0.45">
      <c r="I2280" t="s">
        <v>194</v>
      </c>
      <c r="J2280" t="s">
        <v>160</v>
      </c>
      <c r="K2280">
        <v>1.6805296695852973E-2</v>
      </c>
      <c r="L2280" t="s">
        <v>159</v>
      </c>
      <c r="N2280" t="s">
        <v>237</v>
      </c>
      <c r="O2280" t="s">
        <v>160</v>
      </c>
      <c r="P2280">
        <v>1.8315169590849476E-2</v>
      </c>
      <c r="Q2280" t="s">
        <v>159</v>
      </c>
    </row>
    <row r="2281" spans="9:17" x14ac:dyDescent="0.45">
      <c r="I2281" t="s">
        <v>194</v>
      </c>
      <c r="J2281" t="s">
        <v>161</v>
      </c>
      <c r="K2281">
        <v>0.39771674899354231</v>
      </c>
      <c r="L2281" t="s">
        <v>159</v>
      </c>
      <c r="N2281" t="s">
        <v>237</v>
      </c>
      <c r="O2281" t="s">
        <v>161</v>
      </c>
      <c r="P2281">
        <v>9.9496884112346723E-2</v>
      </c>
      <c r="Q2281" t="s">
        <v>159</v>
      </c>
    </row>
    <row r="2282" spans="9:17" x14ac:dyDescent="0.45">
      <c r="I2282" t="s">
        <v>194</v>
      </c>
      <c r="J2282" t="s">
        <v>287</v>
      </c>
      <c r="K2282">
        <v>3.261740944715142E-2</v>
      </c>
      <c r="L2282" t="s">
        <v>159</v>
      </c>
      <c r="N2282" t="s">
        <v>237</v>
      </c>
      <c r="O2282" t="s">
        <v>287</v>
      </c>
      <c r="P2282">
        <v>8.5290002163458632E-3</v>
      </c>
      <c r="Q2282" t="s">
        <v>159</v>
      </c>
    </row>
    <row r="2283" spans="9:17" x14ac:dyDescent="0.45">
      <c r="I2283" t="s">
        <v>194</v>
      </c>
      <c r="J2283" t="s">
        <v>288</v>
      </c>
      <c r="K2283">
        <v>1.5309259419456637E-2</v>
      </c>
      <c r="L2283" t="s">
        <v>159</v>
      </c>
      <c r="N2283" t="s">
        <v>237</v>
      </c>
      <c r="O2283" t="s">
        <v>288</v>
      </c>
      <c r="P2283">
        <v>9.4267639664664359E-3</v>
      </c>
      <c r="Q2283" t="s">
        <v>159</v>
      </c>
    </row>
    <row r="2284" spans="9:17" x14ac:dyDescent="0.45">
      <c r="I2284" t="s">
        <v>194</v>
      </c>
      <c r="J2284" t="s">
        <v>308</v>
      </c>
      <c r="K2284">
        <v>4.2685498838607059E-3</v>
      </c>
      <c r="L2284" t="s">
        <v>159</v>
      </c>
      <c r="N2284" t="s">
        <v>237</v>
      </c>
      <c r="O2284" t="s">
        <v>308</v>
      </c>
      <c r="P2284">
        <v>8.4692787197494179E-2</v>
      </c>
      <c r="Q2284" t="s">
        <v>159</v>
      </c>
    </row>
    <row r="2285" spans="9:17" x14ac:dyDescent="0.45">
      <c r="I2285" t="s">
        <v>194</v>
      </c>
      <c r="J2285" t="s">
        <v>162</v>
      </c>
      <c r="K2285">
        <v>0</v>
      </c>
      <c r="L2285" t="s">
        <v>159</v>
      </c>
      <c r="N2285" t="s">
        <v>237</v>
      </c>
      <c r="O2285" t="s">
        <v>162</v>
      </c>
      <c r="P2285">
        <v>3.4922332953291564E-2</v>
      </c>
      <c r="Q2285" t="s">
        <v>159</v>
      </c>
    </row>
    <row r="2286" spans="9:17" x14ac:dyDescent="0.45">
      <c r="I2286" t="s">
        <v>194</v>
      </c>
      <c r="J2286" t="s">
        <v>163</v>
      </c>
      <c r="K2286">
        <v>0</v>
      </c>
      <c r="L2286" t="s">
        <v>159</v>
      </c>
      <c r="N2286" t="s">
        <v>237</v>
      </c>
      <c r="O2286" t="s">
        <v>163</v>
      </c>
      <c r="P2286">
        <v>4.4456969110451914E-3</v>
      </c>
      <c r="Q2286" t="s">
        <v>159</v>
      </c>
    </row>
    <row r="2287" spans="9:17" x14ac:dyDescent="0.45">
      <c r="I2287" t="s">
        <v>194</v>
      </c>
      <c r="J2287" t="s">
        <v>164</v>
      </c>
      <c r="K2287">
        <v>4.60316546629582E-2</v>
      </c>
      <c r="L2287" t="s">
        <v>159</v>
      </c>
      <c r="N2287" t="s">
        <v>237</v>
      </c>
      <c r="O2287" t="s">
        <v>164</v>
      </c>
      <c r="P2287">
        <v>2.8137278556015475E-2</v>
      </c>
      <c r="Q2287" t="s">
        <v>159</v>
      </c>
    </row>
    <row r="2288" spans="9:17" x14ac:dyDescent="0.45">
      <c r="I2288" t="s">
        <v>194</v>
      </c>
      <c r="J2288" t="s">
        <v>289</v>
      </c>
      <c r="K2288">
        <v>3.6040019952001548E-3</v>
      </c>
      <c r="L2288" t="s">
        <v>159</v>
      </c>
      <c r="N2288" t="s">
        <v>237</v>
      </c>
      <c r="O2288" t="s">
        <v>289</v>
      </c>
      <c r="P2288">
        <v>2.2684841195397768E-3</v>
      </c>
      <c r="Q2288" t="s">
        <v>159</v>
      </c>
    </row>
    <row r="2289" spans="9:17" x14ac:dyDescent="0.45">
      <c r="I2289" t="s">
        <v>194</v>
      </c>
      <c r="J2289" t="s">
        <v>290</v>
      </c>
      <c r="K2289">
        <v>0</v>
      </c>
      <c r="L2289" t="s">
        <v>159</v>
      </c>
      <c r="N2289" t="s">
        <v>237</v>
      </c>
      <c r="O2289" t="s">
        <v>290</v>
      </c>
      <c r="P2289">
        <v>2.724120954035352E-3</v>
      </c>
      <c r="Q2289" t="s">
        <v>159</v>
      </c>
    </row>
    <row r="2290" spans="9:17" x14ac:dyDescent="0.45">
      <c r="I2290" t="s">
        <v>194</v>
      </c>
      <c r="J2290" t="s">
        <v>309</v>
      </c>
      <c r="K2290">
        <v>0</v>
      </c>
      <c r="L2290" t="s">
        <v>159</v>
      </c>
      <c r="N2290" t="s">
        <v>237</v>
      </c>
      <c r="O2290" t="s">
        <v>309</v>
      </c>
      <c r="P2290">
        <v>2.0799897442982392E-2</v>
      </c>
      <c r="Q2290" t="s">
        <v>159</v>
      </c>
    </row>
    <row r="2291" spans="9:17" x14ac:dyDescent="0.45">
      <c r="I2291" t="s">
        <v>194</v>
      </c>
      <c r="J2291" t="s">
        <v>346</v>
      </c>
      <c r="K2291">
        <v>0</v>
      </c>
      <c r="L2291" t="s">
        <v>159</v>
      </c>
      <c r="N2291" t="s">
        <v>237</v>
      </c>
      <c r="O2291" t="s">
        <v>346</v>
      </c>
      <c r="P2291">
        <v>1.1827349286227811E-4</v>
      </c>
      <c r="Q2291" t="s">
        <v>159</v>
      </c>
    </row>
    <row r="2292" spans="9:17" x14ac:dyDescent="0.45">
      <c r="I2292" t="s">
        <v>194</v>
      </c>
      <c r="J2292" t="s">
        <v>347</v>
      </c>
      <c r="K2292">
        <v>0</v>
      </c>
      <c r="L2292" t="s">
        <v>159</v>
      </c>
      <c r="N2292" t="s">
        <v>237</v>
      </c>
      <c r="O2292" t="s">
        <v>347</v>
      </c>
      <c r="P2292">
        <v>1.0896417105810495E-4</v>
      </c>
      <c r="Q2292" t="s">
        <v>159</v>
      </c>
    </row>
    <row r="2293" spans="9:17" x14ac:dyDescent="0.45">
      <c r="I2293" t="s">
        <v>194</v>
      </c>
      <c r="J2293" t="s">
        <v>348</v>
      </c>
      <c r="K2293">
        <v>0</v>
      </c>
      <c r="L2293" t="s">
        <v>159</v>
      </c>
      <c r="N2293" t="s">
        <v>237</v>
      </c>
      <c r="O2293" t="s">
        <v>348</v>
      </c>
      <c r="P2293">
        <v>9.3320109636338752E-5</v>
      </c>
      <c r="Q2293" t="s">
        <v>159</v>
      </c>
    </row>
    <row r="2294" spans="9:17" x14ac:dyDescent="0.45">
      <c r="I2294" t="s">
        <v>194</v>
      </c>
      <c r="J2294" t="s">
        <v>349</v>
      </c>
      <c r="K2294">
        <v>0</v>
      </c>
      <c r="L2294" t="s">
        <v>159</v>
      </c>
      <c r="N2294" t="s">
        <v>237</v>
      </c>
      <c r="O2294" t="s">
        <v>349</v>
      </c>
      <c r="P2294">
        <v>8.1340311004501615E-5</v>
      </c>
      <c r="Q2294" t="s">
        <v>159</v>
      </c>
    </row>
    <row r="2295" spans="9:17" x14ac:dyDescent="0.45">
      <c r="I2295" t="s">
        <v>194</v>
      </c>
      <c r="J2295" t="s">
        <v>350</v>
      </c>
      <c r="K2295">
        <v>0</v>
      </c>
      <c r="L2295" t="s">
        <v>159</v>
      </c>
      <c r="N2295" t="s">
        <v>237</v>
      </c>
      <c r="O2295" t="s">
        <v>350</v>
      </c>
      <c r="P2295">
        <v>7.1792738168100666E-5</v>
      </c>
      <c r="Q2295" t="s">
        <v>159</v>
      </c>
    </row>
    <row r="2296" spans="9:17" x14ac:dyDescent="0.45">
      <c r="I2296" t="s">
        <v>194</v>
      </c>
      <c r="J2296" t="s">
        <v>351</v>
      </c>
      <c r="K2296">
        <v>0</v>
      </c>
      <c r="L2296" t="s">
        <v>159</v>
      </c>
      <c r="N2296" t="s">
        <v>237</v>
      </c>
      <c r="O2296" t="s">
        <v>351</v>
      </c>
      <c r="P2296">
        <v>6.1446224763042699E-5</v>
      </c>
      <c r="Q2296" t="s">
        <v>159</v>
      </c>
    </row>
    <row r="2297" spans="9:17" x14ac:dyDescent="0.45">
      <c r="I2297" t="s">
        <v>194</v>
      </c>
      <c r="J2297" t="s">
        <v>352</v>
      </c>
      <c r="K2297">
        <v>0</v>
      </c>
      <c r="L2297" t="s">
        <v>159</v>
      </c>
      <c r="N2297" t="s">
        <v>237</v>
      </c>
      <c r="O2297" t="s">
        <v>352</v>
      </c>
      <c r="P2297">
        <v>5.2114482932112177E-5</v>
      </c>
      <c r="Q2297" t="s">
        <v>159</v>
      </c>
    </row>
    <row r="2298" spans="9:17" x14ac:dyDescent="0.45">
      <c r="I2298" t="s">
        <v>194</v>
      </c>
      <c r="J2298" t="s">
        <v>353</v>
      </c>
      <c r="K2298">
        <v>0</v>
      </c>
      <c r="L2298" t="s">
        <v>159</v>
      </c>
      <c r="N2298" t="s">
        <v>237</v>
      </c>
      <c r="O2298" t="s">
        <v>353</v>
      </c>
      <c r="P2298">
        <v>4.4095122680329813E-5</v>
      </c>
      <c r="Q2298" t="s">
        <v>159</v>
      </c>
    </row>
    <row r="2299" spans="9:17" x14ac:dyDescent="0.45">
      <c r="I2299" t="s">
        <v>194</v>
      </c>
      <c r="J2299" t="s">
        <v>354</v>
      </c>
      <c r="K2299">
        <v>1.4290077833447283E-4</v>
      </c>
      <c r="L2299" t="s">
        <v>159</v>
      </c>
      <c r="N2299" t="s">
        <v>237</v>
      </c>
      <c r="O2299" t="s">
        <v>354</v>
      </c>
      <c r="P2299">
        <v>3.3869700229217563E-5</v>
      </c>
      <c r="Q2299" t="s">
        <v>159</v>
      </c>
    </row>
    <row r="2300" spans="9:17" x14ac:dyDescent="0.45">
      <c r="I2300" t="s">
        <v>194</v>
      </c>
      <c r="J2300" t="s">
        <v>355</v>
      </c>
      <c r="K2300">
        <v>1.9245257587556535E-4</v>
      </c>
      <c r="L2300" t="s">
        <v>159</v>
      </c>
      <c r="N2300" t="s">
        <v>237</v>
      </c>
      <c r="O2300" t="s">
        <v>355</v>
      </c>
      <c r="P2300">
        <v>1.2614229287928428E-5</v>
      </c>
      <c r="Q2300" t="s">
        <v>159</v>
      </c>
    </row>
    <row r="2301" spans="9:17" x14ac:dyDescent="0.45">
      <c r="I2301" t="s">
        <v>194</v>
      </c>
      <c r="J2301" t="s">
        <v>356</v>
      </c>
      <c r="K2301">
        <v>2.0259478570314659E-4</v>
      </c>
      <c r="L2301" t="s">
        <v>159</v>
      </c>
      <c r="N2301" t="s">
        <v>237</v>
      </c>
      <c r="O2301" t="s">
        <v>356</v>
      </c>
      <c r="P2301">
        <v>8.0463035210679633E-6</v>
      </c>
      <c r="Q2301" t="s">
        <v>159</v>
      </c>
    </row>
    <row r="2302" spans="9:17" x14ac:dyDescent="0.45">
      <c r="I2302" t="s">
        <v>194</v>
      </c>
      <c r="J2302" t="s">
        <v>357</v>
      </c>
      <c r="K2302">
        <v>2.1527252045231432E-4</v>
      </c>
      <c r="L2302" t="s">
        <v>159</v>
      </c>
      <c r="N2302" t="s">
        <v>237</v>
      </c>
      <c r="O2302" t="s">
        <v>357</v>
      </c>
      <c r="P2302">
        <v>7.8534473918023813E-6</v>
      </c>
      <c r="Q2302" t="s">
        <v>159</v>
      </c>
    </row>
    <row r="2303" spans="9:17" x14ac:dyDescent="0.45">
      <c r="I2303" t="s">
        <v>194</v>
      </c>
      <c r="J2303" t="s">
        <v>358</v>
      </c>
      <c r="K2303">
        <v>2.5567342351234649E-4</v>
      </c>
      <c r="L2303" t="s">
        <v>159</v>
      </c>
      <c r="N2303" t="s">
        <v>237</v>
      </c>
      <c r="O2303" t="s">
        <v>358</v>
      </c>
      <c r="P2303">
        <v>6.0770703317739965E-6</v>
      </c>
      <c r="Q2303" t="s">
        <v>159</v>
      </c>
    </row>
    <row r="2304" spans="9:17" x14ac:dyDescent="0.45">
      <c r="I2304" t="s">
        <v>194</v>
      </c>
      <c r="J2304" t="s">
        <v>359</v>
      </c>
      <c r="K2304">
        <v>2.4888675007845424E-4</v>
      </c>
      <c r="L2304" t="s">
        <v>159</v>
      </c>
      <c r="N2304" t="s">
        <v>237</v>
      </c>
      <c r="O2304" t="s">
        <v>359</v>
      </c>
      <c r="P2304">
        <v>6.7683574956225649E-6</v>
      </c>
      <c r="Q2304" t="s">
        <v>159</v>
      </c>
    </row>
    <row r="2305" spans="9:17" x14ac:dyDescent="0.45">
      <c r="I2305" t="s">
        <v>194</v>
      </c>
      <c r="J2305" t="s">
        <v>360</v>
      </c>
      <c r="K2305">
        <v>2.0167926475121568E-4</v>
      </c>
      <c r="L2305" t="s">
        <v>159</v>
      </c>
      <c r="N2305" t="s">
        <v>237</v>
      </c>
      <c r="O2305" t="s">
        <v>360</v>
      </c>
      <c r="P2305">
        <v>9.6010729762454452E-6</v>
      </c>
      <c r="Q2305" t="s">
        <v>159</v>
      </c>
    </row>
    <row r="2306" spans="9:17" x14ac:dyDescent="0.45">
      <c r="I2306" t="s">
        <v>194</v>
      </c>
      <c r="J2306" t="s">
        <v>361</v>
      </c>
      <c r="K2306">
        <v>1.8949299944346238E-4</v>
      </c>
      <c r="L2306" t="s">
        <v>159</v>
      </c>
      <c r="N2306" t="s">
        <v>237</v>
      </c>
      <c r="O2306" t="s">
        <v>361</v>
      </c>
      <c r="P2306">
        <v>1.2884952907936056E-5</v>
      </c>
      <c r="Q2306" t="s">
        <v>159</v>
      </c>
    </row>
    <row r="2307" spans="9:17" x14ac:dyDescent="0.45">
      <c r="I2307" t="s">
        <v>194</v>
      </c>
      <c r="J2307" t="s">
        <v>362</v>
      </c>
      <c r="K2307">
        <v>1.9583191809412369E-4</v>
      </c>
      <c r="L2307" t="s">
        <v>159</v>
      </c>
      <c r="N2307" t="s">
        <v>237</v>
      </c>
      <c r="O2307" t="s">
        <v>362</v>
      </c>
      <c r="P2307">
        <v>1.2760567139682251E-5</v>
      </c>
      <c r="Q2307" t="s">
        <v>159</v>
      </c>
    </row>
    <row r="2308" spans="9:17" x14ac:dyDescent="0.45">
      <c r="I2308" t="s">
        <v>194</v>
      </c>
      <c r="J2308" t="s">
        <v>363</v>
      </c>
      <c r="K2308">
        <v>1.5768584026282508E-4</v>
      </c>
      <c r="L2308" t="s">
        <v>159</v>
      </c>
      <c r="N2308" t="s">
        <v>237</v>
      </c>
      <c r="O2308" t="s">
        <v>363</v>
      </c>
      <c r="P2308">
        <v>1.2302917983986843E-5</v>
      </c>
      <c r="Q2308" t="s">
        <v>159</v>
      </c>
    </row>
    <row r="2309" spans="9:17" x14ac:dyDescent="0.45">
      <c r="I2309" t="s">
        <v>194</v>
      </c>
      <c r="J2309" t="s">
        <v>364</v>
      </c>
      <c r="K2309">
        <v>0</v>
      </c>
      <c r="L2309" t="s">
        <v>159</v>
      </c>
      <c r="N2309" t="s">
        <v>237</v>
      </c>
      <c r="O2309" t="s">
        <v>364</v>
      </c>
      <c r="P2309">
        <v>2.1732206646866717E-5</v>
      </c>
      <c r="Q2309" t="s">
        <v>159</v>
      </c>
    </row>
    <row r="2310" spans="9:17" x14ac:dyDescent="0.45">
      <c r="I2310" t="s">
        <v>194</v>
      </c>
      <c r="J2310" t="s">
        <v>365</v>
      </c>
      <c r="K2310">
        <v>0</v>
      </c>
      <c r="L2310" t="s">
        <v>159</v>
      </c>
      <c r="N2310" t="s">
        <v>237</v>
      </c>
      <c r="O2310" t="s">
        <v>365</v>
      </c>
      <c r="P2310">
        <v>2.9567249669231659E-5</v>
      </c>
      <c r="Q2310" t="s">
        <v>159</v>
      </c>
    </row>
    <row r="2311" spans="9:17" x14ac:dyDescent="0.45">
      <c r="I2311" t="s">
        <v>194</v>
      </c>
      <c r="J2311" t="s">
        <v>366</v>
      </c>
      <c r="K2311">
        <v>0</v>
      </c>
      <c r="L2311" t="s">
        <v>159</v>
      </c>
      <c r="N2311" t="s">
        <v>237</v>
      </c>
      <c r="O2311" t="s">
        <v>366</v>
      </c>
      <c r="P2311">
        <v>3.4960149372544299E-5</v>
      </c>
      <c r="Q2311" t="s">
        <v>159</v>
      </c>
    </row>
    <row r="2312" spans="9:17" x14ac:dyDescent="0.45">
      <c r="I2312" t="s">
        <v>194</v>
      </c>
      <c r="J2312" t="s">
        <v>367</v>
      </c>
      <c r="K2312">
        <v>0</v>
      </c>
      <c r="L2312" t="s">
        <v>159</v>
      </c>
      <c r="N2312" t="s">
        <v>237</v>
      </c>
      <c r="O2312" t="s">
        <v>367</v>
      </c>
      <c r="P2312">
        <v>4.5632130297074555E-5</v>
      </c>
      <c r="Q2312" t="s">
        <v>159</v>
      </c>
    </row>
    <row r="2313" spans="9:17" x14ac:dyDescent="0.45">
      <c r="I2313" t="s">
        <v>194</v>
      </c>
      <c r="J2313" t="s">
        <v>368</v>
      </c>
      <c r="K2313">
        <v>0</v>
      </c>
      <c r="L2313" t="s">
        <v>159</v>
      </c>
      <c r="N2313" t="s">
        <v>237</v>
      </c>
      <c r="O2313" t="s">
        <v>368</v>
      </c>
      <c r="P2313">
        <v>6.7486476244815933E-5</v>
      </c>
      <c r="Q2313" t="s">
        <v>159</v>
      </c>
    </row>
    <row r="2314" spans="9:17" x14ac:dyDescent="0.45">
      <c r="I2314" t="s">
        <v>194</v>
      </c>
      <c r="J2314" t="s">
        <v>369</v>
      </c>
      <c r="K2314">
        <v>0</v>
      </c>
      <c r="L2314" t="s">
        <v>159</v>
      </c>
      <c r="N2314" t="s">
        <v>237</v>
      </c>
      <c r="O2314" t="s">
        <v>369</v>
      </c>
      <c r="P2314">
        <v>8.4675093932575312E-5</v>
      </c>
      <c r="Q2314" t="s">
        <v>159</v>
      </c>
    </row>
    <row r="2315" spans="9:17" x14ac:dyDescent="0.45">
      <c r="I2315" t="s">
        <v>194</v>
      </c>
      <c r="J2315" t="s">
        <v>165</v>
      </c>
      <c r="K2315">
        <v>0</v>
      </c>
      <c r="L2315" t="s">
        <v>159</v>
      </c>
      <c r="N2315" t="s">
        <v>237</v>
      </c>
      <c r="O2315" t="s">
        <v>165</v>
      </c>
      <c r="P2315">
        <v>3.12092342245829E-2</v>
      </c>
      <c r="Q2315" t="s">
        <v>159</v>
      </c>
    </row>
    <row r="2316" spans="9:17" x14ac:dyDescent="0.45">
      <c r="I2316" t="s">
        <v>194</v>
      </c>
      <c r="J2316" t="s">
        <v>166</v>
      </c>
      <c r="K2316">
        <v>2.5782690147812534E-4</v>
      </c>
      <c r="L2316" t="s">
        <v>159</v>
      </c>
      <c r="N2316" t="s">
        <v>237</v>
      </c>
      <c r="O2316" t="s">
        <v>166</v>
      </c>
      <c r="P2316">
        <v>3.8141989514722191E-3</v>
      </c>
      <c r="Q2316" t="s">
        <v>159</v>
      </c>
    </row>
    <row r="2317" spans="9:17" x14ac:dyDescent="0.45">
      <c r="I2317" t="s">
        <v>194</v>
      </c>
      <c r="J2317" t="s">
        <v>167</v>
      </c>
      <c r="K2317">
        <v>6.5004667648589434E-2</v>
      </c>
      <c r="L2317" t="s">
        <v>159</v>
      </c>
      <c r="N2317" t="s">
        <v>237</v>
      </c>
      <c r="O2317" t="s">
        <v>167</v>
      </c>
      <c r="P2317">
        <v>2.3817064685580498E-2</v>
      </c>
      <c r="Q2317" t="s">
        <v>159</v>
      </c>
    </row>
    <row r="2318" spans="9:17" x14ac:dyDescent="0.45">
      <c r="I2318" t="s">
        <v>194</v>
      </c>
      <c r="J2318" t="s">
        <v>291</v>
      </c>
      <c r="K2318">
        <v>5.2977811300254866E-3</v>
      </c>
      <c r="L2318" t="s">
        <v>159</v>
      </c>
      <c r="N2318" t="s">
        <v>237</v>
      </c>
      <c r="O2318" t="s">
        <v>291</v>
      </c>
      <c r="P2318">
        <v>2.8149432638857703E-3</v>
      </c>
      <c r="Q2318" t="s">
        <v>159</v>
      </c>
    </row>
    <row r="2319" spans="9:17" x14ac:dyDescent="0.45">
      <c r="I2319" t="s">
        <v>194</v>
      </c>
      <c r="J2319" t="s">
        <v>292</v>
      </c>
      <c r="K2319">
        <v>0</v>
      </c>
      <c r="L2319" t="s">
        <v>159</v>
      </c>
      <c r="N2319" t="s">
        <v>237</v>
      </c>
      <c r="O2319" t="s">
        <v>292</v>
      </c>
      <c r="P2319">
        <v>2.8835591636591179E-3</v>
      </c>
      <c r="Q2319" t="s">
        <v>159</v>
      </c>
    </row>
    <row r="2320" spans="9:17" x14ac:dyDescent="0.45">
      <c r="I2320" t="s">
        <v>194</v>
      </c>
      <c r="J2320" t="s">
        <v>310</v>
      </c>
      <c r="K2320">
        <v>0</v>
      </c>
      <c r="L2320" t="s">
        <v>159</v>
      </c>
      <c r="N2320" t="s">
        <v>237</v>
      </c>
      <c r="O2320" t="s">
        <v>310</v>
      </c>
      <c r="P2320">
        <v>2.0471083910715036E-2</v>
      </c>
      <c r="Q2320" t="s">
        <v>159</v>
      </c>
    </row>
    <row r="2321" spans="9:17" x14ac:dyDescent="0.45">
      <c r="I2321" t="s">
        <v>194</v>
      </c>
      <c r="J2321" t="s">
        <v>293</v>
      </c>
      <c r="K2321">
        <v>0</v>
      </c>
      <c r="L2321" t="s">
        <v>159</v>
      </c>
      <c r="N2321" t="s">
        <v>237</v>
      </c>
      <c r="O2321" t="s">
        <v>293</v>
      </c>
      <c r="P2321">
        <v>1.3564461540760143E-2</v>
      </c>
      <c r="Q2321" t="s">
        <v>159</v>
      </c>
    </row>
    <row r="2322" spans="9:17" x14ac:dyDescent="0.45">
      <c r="I2322" t="s">
        <v>194</v>
      </c>
      <c r="J2322" t="s">
        <v>294</v>
      </c>
      <c r="K2322">
        <v>1.0507708065816933E-3</v>
      </c>
      <c r="L2322" t="s">
        <v>159</v>
      </c>
      <c r="N2322" t="s">
        <v>237</v>
      </c>
      <c r="O2322" t="s">
        <v>294</v>
      </c>
      <c r="P2322">
        <v>1.7725324670625961E-3</v>
      </c>
      <c r="Q2322" t="s">
        <v>159</v>
      </c>
    </row>
    <row r="2323" spans="9:17" x14ac:dyDescent="0.45">
      <c r="I2323" t="s">
        <v>194</v>
      </c>
      <c r="J2323" t="s">
        <v>295</v>
      </c>
      <c r="K2323">
        <v>1.7437907413319145E-2</v>
      </c>
      <c r="L2323" t="s">
        <v>159</v>
      </c>
      <c r="N2323" t="s">
        <v>237</v>
      </c>
      <c r="O2323" t="s">
        <v>295</v>
      </c>
      <c r="P2323">
        <v>9.7986404059505778E-3</v>
      </c>
      <c r="Q2323" t="s">
        <v>159</v>
      </c>
    </row>
    <row r="2324" spans="9:17" x14ac:dyDescent="0.45">
      <c r="I2324" t="s">
        <v>194</v>
      </c>
      <c r="J2324" t="s">
        <v>296</v>
      </c>
      <c r="K2324">
        <v>1.4905912004813237E-3</v>
      </c>
      <c r="L2324" t="s">
        <v>159</v>
      </c>
      <c r="N2324" t="s">
        <v>237</v>
      </c>
      <c r="O2324" t="s">
        <v>296</v>
      </c>
      <c r="P2324">
        <v>5.3326279191543422E-4</v>
      </c>
      <c r="Q2324" t="s">
        <v>159</v>
      </c>
    </row>
    <row r="2325" spans="9:17" x14ac:dyDescent="0.45">
      <c r="I2325" t="s">
        <v>194</v>
      </c>
      <c r="J2325" t="s">
        <v>297</v>
      </c>
      <c r="K2325">
        <v>1.7624346261414792E-4</v>
      </c>
      <c r="L2325" t="s">
        <v>159</v>
      </c>
      <c r="N2325" t="s">
        <v>237</v>
      </c>
      <c r="O2325" t="s">
        <v>297</v>
      </c>
      <c r="P2325">
        <v>6.2300271571286787E-4</v>
      </c>
      <c r="Q2325" t="s">
        <v>159</v>
      </c>
    </row>
    <row r="2326" spans="9:17" x14ac:dyDescent="0.45">
      <c r="I2326" t="s">
        <v>194</v>
      </c>
      <c r="J2326" t="s">
        <v>311</v>
      </c>
      <c r="K2326">
        <v>0</v>
      </c>
      <c r="L2326" t="s">
        <v>159</v>
      </c>
      <c r="N2326" t="s">
        <v>237</v>
      </c>
      <c r="O2326" t="s">
        <v>311</v>
      </c>
      <c r="P2326">
        <v>7.4967736314404676E-3</v>
      </c>
      <c r="Q2326" t="s">
        <v>159</v>
      </c>
    </row>
    <row r="2327" spans="9:17" x14ac:dyDescent="0.45">
      <c r="I2327" t="s">
        <v>194</v>
      </c>
      <c r="J2327" t="s">
        <v>298</v>
      </c>
      <c r="K2327">
        <v>5.3083001517090266E-3</v>
      </c>
      <c r="L2327" t="s">
        <v>159</v>
      </c>
      <c r="N2327" t="s">
        <v>237</v>
      </c>
      <c r="O2327" t="s">
        <v>298</v>
      </c>
      <c r="P2327">
        <v>0.1269786681575894</v>
      </c>
      <c r="Q2327" t="s">
        <v>159</v>
      </c>
    </row>
    <row r="2328" spans="9:17" x14ac:dyDescent="0.45">
      <c r="I2328" t="s">
        <v>194</v>
      </c>
      <c r="J2328" t="s">
        <v>299</v>
      </c>
      <c r="K2328">
        <v>1.5430452903434011E-2</v>
      </c>
      <c r="L2328" t="s">
        <v>159</v>
      </c>
      <c r="N2328" t="s">
        <v>237</v>
      </c>
      <c r="O2328" t="s">
        <v>299</v>
      </c>
      <c r="P2328">
        <v>1.4481863763172476E-2</v>
      </c>
      <c r="Q2328" t="s">
        <v>159</v>
      </c>
    </row>
    <row r="2329" spans="9:17" x14ac:dyDescent="0.45">
      <c r="I2329" t="s">
        <v>194</v>
      </c>
      <c r="J2329" t="s">
        <v>300</v>
      </c>
      <c r="K2329">
        <v>0.24363919677373841</v>
      </c>
      <c r="L2329" t="s">
        <v>159</v>
      </c>
      <c r="N2329" t="s">
        <v>237</v>
      </c>
      <c r="O2329" t="s">
        <v>300</v>
      </c>
      <c r="P2329">
        <v>0.1152633058763802</v>
      </c>
      <c r="Q2329" t="s">
        <v>159</v>
      </c>
    </row>
    <row r="2330" spans="9:17" x14ac:dyDescent="0.45">
      <c r="I2330" t="s">
        <v>194</v>
      </c>
      <c r="J2330" t="s">
        <v>301</v>
      </c>
      <c r="K2330">
        <v>1.8556123089216999E-2</v>
      </c>
      <c r="L2330" t="s">
        <v>159</v>
      </c>
      <c r="N2330" t="s">
        <v>237</v>
      </c>
      <c r="O2330" t="s">
        <v>301</v>
      </c>
      <c r="P2330">
        <v>1.2987125712081283E-2</v>
      </c>
      <c r="Q2330" t="s">
        <v>159</v>
      </c>
    </row>
    <row r="2331" spans="9:17" x14ac:dyDescent="0.45">
      <c r="I2331" t="s">
        <v>194</v>
      </c>
      <c r="J2331" t="s">
        <v>302</v>
      </c>
      <c r="K2331">
        <v>1.1367437133969985E-2</v>
      </c>
      <c r="L2331" t="s">
        <v>159</v>
      </c>
      <c r="N2331" t="s">
        <v>237</v>
      </c>
      <c r="O2331" t="s">
        <v>302</v>
      </c>
      <c r="P2331">
        <v>1.1889650496511613E-2</v>
      </c>
      <c r="Q2331" t="s">
        <v>159</v>
      </c>
    </row>
    <row r="2332" spans="9:17" x14ac:dyDescent="0.45">
      <c r="I2332" t="s">
        <v>194</v>
      </c>
      <c r="J2332" t="s">
        <v>312</v>
      </c>
      <c r="K2332">
        <v>7.1587782278166294E-5</v>
      </c>
      <c r="L2332" t="s">
        <v>159</v>
      </c>
      <c r="N2332" t="s">
        <v>237</v>
      </c>
      <c r="O2332" t="s">
        <v>312</v>
      </c>
      <c r="P2332">
        <v>7.6577773607100511E-2</v>
      </c>
      <c r="Q2332" t="s">
        <v>159</v>
      </c>
    </row>
    <row r="2333" spans="9:17" x14ac:dyDescent="0.45">
      <c r="I2333" t="s">
        <v>194</v>
      </c>
      <c r="J2333" t="s">
        <v>397</v>
      </c>
      <c r="K2333">
        <v>0</v>
      </c>
      <c r="L2333" t="s">
        <v>159</v>
      </c>
      <c r="N2333" t="s">
        <v>237</v>
      </c>
      <c r="O2333" t="s">
        <v>397</v>
      </c>
      <c r="P2333">
        <v>2.503616688427973E-5</v>
      </c>
      <c r="Q2333" t="s">
        <v>159</v>
      </c>
    </row>
    <row r="2334" spans="9:17" x14ac:dyDescent="0.45">
      <c r="I2334" t="s">
        <v>194</v>
      </c>
      <c r="J2334" t="s">
        <v>398</v>
      </c>
      <c r="K2334">
        <v>0</v>
      </c>
      <c r="L2334" t="s">
        <v>159</v>
      </c>
      <c r="N2334" t="s">
        <v>237</v>
      </c>
      <c r="O2334" t="s">
        <v>398</v>
      </c>
      <c r="P2334">
        <v>2.8471097677477823E-5</v>
      </c>
      <c r="Q2334" t="s">
        <v>159</v>
      </c>
    </row>
    <row r="2335" spans="9:17" x14ac:dyDescent="0.45">
      <c r="I2335" t="s">
        <v>194</v>
      </c>
      <c r="J2335" t="s">
        <v>399</v>
      </c>
      <c r="K2335">
        <v>0</v>
      </c>
      <c r="L2335" t="s">
        <v>159</v>
      </c>
      <c r="N2335" t="s">
        <v>237</v>
      </c>
      <c r="O2335" t="s">
        <v>399</v>
      </c>
      <c r="P2335">
        <v>2.8382435818852121E-5</v>
      </c>
      <c r="Q2335" t="s">
        <v>159</v>
      </c>
    </row>
    <row r="2336" spans="9:17" x14ac:dyDescent="0.45">
      <c r="I2336" t="s">
        <v>194</v>
      </c>
      <c r="J2336" t="s">
        <v>400</v>
      </c>
      <c r="K2336">
        <v>0</v>
      </c>
      <c r="L2336" t="s">
        <v>159</v>
      </c>
      <c r="N2336" t="s">
        <v>237</v>
      </c>
      <c r="O2336" t="s">
        <v>400</v>
      </c>
      <c r="P2336">
        <v>3.2975118210730276E-5</v>
      </c>
      <c r="Q2336" t="s">
        <v>159</v>
      </c>
    </row>
    <row r="2337" spans="9:17" x14ac:dyDescent="0.45">
      <c r="I2337" t="s">
        <v>194</v>
      </c>
      <c r="J2337" t="s">
        <v>401</v>
      </c>
      <c r="K2337">
        <v>0</v>
      </c>
      <c r="L2337" t="s">
        <v>159</v>
      </c>
      <c r="N2337" t="s">
        <v>237</v>
      </c>
      <c r="O2337" t="s">
        <v>401</v>
      </c>
      <c r="P2337">
        <v>4.3622985497610096E-5</v>
      </c>
      <c r="Q2337" t="s">
        <v>159</v>
      </c>
    </row>
    <row r="2338" spans="9:17" x14ac:dyDescent="0.45">
      <c r="I2338" t="s">
        <v>194</v>
      </c>
      <c r="J2338" t="s">
        <v>402</v>
      </c>
      <c r="K2338">
        <v>0</v>
      </c>
      <c r="L2338" t="s">
        <v>159</v>
      </c>
      <c r="N2338" t="s">
        <v>237</v>
      </c>
      <c r="O2338" t="s">
        <v>402</v>
      </c>
      <c r="P2338">
        <v>5.4296594589488271E-5</v>
      </c>
      <c r="Q2338" t="s">
        <v>159</v>
      </c>
    </row>
    <row r="2339" spans="9:17" x14ac:dyDescent="0.45">
      <c r="I2339" t="s">
        <v>194</v>
      </c>
      <c r="J2339" t="s">
        <v>403</v>
      </c>
      <c r="K2339">
        <v>0</v>
      </c>
      <c r="L2339" t="s">
        <v>159</v>
      </c>
      <c r="N2339" t="s">
        <v>237</v>
      </c>
      <c r="O2339" t="s">
        <v>403</v>
      </c>
      <c r="P2339">
        <v>6.1936435245891409E-5</v>
      </c>
      <c r="Q2339" t="s">
        <v>159</v>
      </c>
    </row>
    <row r="2340" spans="9:17" x14ac:dyDescent="0.45">
      <c r="I2340" t="s">
        <v>194</v>
      </c>
      <c r="J2340" t="s">
        <v>404</v>
      </c>
      <c r="K2340">
        <v>1.2596061188529316E-4</v>
      </c>
      <c r="L2340" t="s">
        <v>159</v>
      </c>
      <c r="N2340" t="s">
        <v>237</v>
      </c>
      <c r="O2340" t="s">
        <v>404</v>
      </c>
      <c r="P2340">
        <v>6.4948447029809561E-5</v>
      </c>
      <c r="Q2340" t="s">
        <v>159</v>
      </c>
    </row>
    <row r="2341" spans="9:17" x14ac:dyDescent="0.45">
      <c r="I2341" t="s">
        <v>194</v>
      </c>
      <c r="J2341" t="s">
        <v>405</v>
      </c>
      <c r="K2341">
        <v>1.685614384174199E-4</v>
      </c>
      <c r="L2341" t="s">
        <v>159</v>
      </c>
      <c r="N2341" t="s">
        <v>237</v>
      </c>
      <c r="O2341" t="s">
        <v>405</v>
      </c>
      <c r="P2341">
        <v>4.537353428831561E-5</v>
      </c>
      <c r="Q2341" t="s">
        <v>159</v>
      </c>
    </row>
    <row r="2342" spans="9:17" x14ac:dyDescent="0.45">
      <c r="I2342" t="s">
        <v>194</v>
      </c>
      <c r="J2342" t="s">
        <v>406</v>
      </c>
      <c r="K2342">
        <v>3.1116583640788785E-4</v>
      </c>
      <c r="L2342" t="s">
        <v>159</v>
      </c>
      <c r="N2342" t="s">
        <v>237</v>
      </c>
      <c r="O2342" t="s">
        <v>406</v>
      </c>
      <c r="P2342">
        <v>4.4813577857094578E-5</v>
      </c>
      <c r="Q2342" t="s">
        <v>159</v>
      </c>
    </row>
    <row r="2343" spans="9:17" x14ac:dyDescent="0.45">
      <c r="I2343" t="s">
        <v>194</v>
      </c>
      <c r="J2343" t="s">
        <v>407</v>
      </c>
      <c r="K2343">
        <v>3.3602236149413725E-4</v>
      </c>
      <c r="L2343" t="s">
        <v>159</v>
      </c>
      <c r="N2343" t="s">
        <v>237</v>
      </c>
      <c r="O2343" t="s">
        <v>407</v>
      </c>
      <c r="P2343">
        <v>7.0752007631906151E-5</v>
      </c>
      <c r="Q2343" t="s">
        <v>159</v>
      </c>
    </row>
    <row r="2344" spans="9:17" x14ac:dyDescent="0.45">
      <c r="I2344" t="s">
        <v>194</v>
      </c>
      <c r="J2344" t="s">
        <v>408</v>
      </c>
      <c r="K2344">
        <v>3.5257956332469375E-4</v>
      </c>
      <c r="L2344" t="s">
        <v>159</v>
      </c>
      <c r="N2344" t="s">
        <v>237</v>
      </c>
      <c r="O2344" t="s">
        <v>408</v>
      </c>
      <c r="P2344">
        <v>7.9656407282055613E-5</v>
      </c>
      <c r="Q2344" t="s">
        <v>159</v>
      </c>
    </row>
    <row r="2345" spans="9:17" x14ac:dyDescent="0.45">
      <c r="I2345" t="s">
        <v>194</v>
      </c>
      <c r="J2345" t="s">
        <v>409</v>
      </c>
      <c r="K2345">
        <v>3.7931760410955269E-4</v>
      </c>
      <c r="L2345" t="s">
        <v>159</v>
      </c>
      <c r="N2345" t="s">
        <v>237</v>
      </c>
      <c r="O2345" t="s">
        <v>409</v>
      </c>
      <c r="P2345">
        <v>7.4531796912307948E-5</v>
      </c>
      <c r="Q2345" t="s">
        <v>159</v>
      </c>
    </row>
    <row r="2346" spans="9:17" x14ac:dyDescent="0.45">
      <c r="I2346" t="s">
        <v>194</v>
      </c>
      <c r="J2346" t="s">
        <v>410</v>
      </c>
      <c r="K2346">
        <v>3.6008701761166862E-4</v>
      </c>
      <c r="L2346" t="s">
        <v>159</v>
      </c>
      <c r="N2346" t="s">
        <v>237</v>
      </c>
      <c r="O2346" t="s">
        <v>410</v>
      </c>
      <c r="P2346">
        <v>8.8495255991574508E-5</v>
      </c>
      <c r="Q2346" t="s">
        <v>159</v>
      </c>
    </row>
    <row r="2347" spans="9:17" x14ac:dyDescent="0.45">
      <c r="I2347" t="s">
        <v>194</v>
      </c>
      <c r="J2347" t="s">
        <v>411</v>
      </c>
      <c r="K2347">
        <v>3.4528016321529734E-4</v>
      </c>
      <c r="L2347" t="s">
        <v>159</v>
      </c>
      <c r="N2347" t="s">
        <v>237</v>
      </c>
      <c r="O2347" t="s">
        <v>411</v>
      </c>
      <c r="P2347">
        <v>1.1127728485065963E-4</v>
      </c>
      <c r="Q2347" t="s">
        <v>159</v>
      </c>
    </row>
    <row r="2348" spans="9:17" x14ac:dyDescent="0.45">
      <c r="I2348" t="s">
        <v>194</v>
      </c>
      <c r="J2348" t="s">
        <v>412</v>
      </c>
      <c r="K2348">
        <v>3.1567212227289436E-4</v>
      </c>
      <c r="L2348" t="s">
        <v>159</v>
      </c>
      <c r="N2348" t="s">
        <v>237</v>
      </c>
      <c r="O2348" t="s">
        <v>412</v>
      </c>
      <c r="P2348">
        <v>1.2681451292676207E-4</v>
      </c>
      <c r="Q2348" t="s">
        <v>159</v>
      </c>
    </row>
    <row r="2349" spans="9:17" x14ac:dyDescent="0.45">
      <c r="I2349" t="s">
        <v>194</v>
      </c>
      <c r="J2349" t="s">
        <v>413</v>
      </c>
      <c r="K2349">
        <v>3.0583402355347081E-4</v>
      </c>
      <c r="L2349" t="s">
        <v>159</v>
      </c>
      <c r="N2349" t="s">
        <v>237</v>
      </c>
      <c r="O2349" t="s">
        <v>413</v>
      </c>
      <c r="P2349">
        <v>1.2628432588347968E-4</v>
      </c>
      <c r="Q2349" t="s">
        <v>159</v>
      </c>
    </row>
    <row r="2350" spans="9:17" x14ac:dyDescent="0.45">
      <c r="I2350" t="s">
        <v>194</v>
      </c>
      <c r="J2350" t="s">
        <v>414</v>
      </c>
      <c r="K2350">
        <v>2.6225078364799757E-4</v>
      </c>
      <c r="L2350" t="s">
        <v>159</v>
      </c>
      <c r="N2350" t="s">
        <v>237</v>
      </c>
      <c r="O2350" t="s">
        <v>414</v>
      </c>
      <c r="P2350">
        <v>9.3730325072892268E-5</v>
      </c>
      <c r="Q2350" t="s">
        <v>159</v>
      </c>
    </row>
    <row r="2351" spans="9:17" x14ac:dyDescent="0.45">
      <c r="I2351" t="s">
        <v>194</v>
      </c>
      <c r="J2351" t="s">
        <v>415</v>
      </c>
      <c r="K2351">
        <v>1.5676617275028367E-4</v>
      </c>
      <c r="L2351" t="s">
        <v>159</v>
      </c>
      <c r="N2351" t="s">
        <v>237</v>
      </c>
      <c r="O2351" t="s">
        <v>415</v>
      </c>
      <c r="P2351">
        <v>5.2574807962498997E-5</v>
      </c>
      <c r="Q2351" t="s">
        <v>159</v>
      </c>
    </row>
    <row r="2352" spans="9:17" x14ac:dyDescent="0.45">
      <c r="I2352" t="s">
        <v>194</v>
      </c>
      <c r="J2352" t="s">
        <v>416</v>
      </c>
      <c r="K2352">
        <v>0</v>
      </c>
      <c r="L2352" t="s">
        <v>159</v>
      </c>
      <c r="N2352" t="s">
        <v>237</v>
      </c>
      <c r="O2352" t="s">
        <v>416</v>
      </c>
      <c r="P2352">
        <v>3.6859007834697816E-5</v>
      </c>
      <c r="Q2352" t="s">
        <v>159</v>
      </c>
    </row>
    <row r="2353" spans="9:17" x14ac:dyDescent="0.45">
      <c r="I2353" t="s">
        <v>194</v>
      </c>
      <c r="J2353" t="s">
        <v>417</v>
      </c>
      <c r="K2353">
        <v>0</v>
      </c>
      <c r="L2353" t="s">
        <v>159</v>
      </c>
      <c r="N2353" t="s">
        <v>237</v>
      </c>
      <c r="O2353" t="s">
        <v>417</v>
      </c>
      <c r="P2353">
        <v>2.4743301271804711E-5</v>
      </c>
      <c r="Q2353" t="s">
        <v>159</v>
      </c>
    </row>
    <row r="2354" spans="9:17" x14ac:dyDescent="0.45">
      <c r="I2354" t="s">
        <v>194</v>
      </c>
      <c r="J2354" t="s">
        <v>418</v>
      </c>
      <c r="K2354">
        <v>0</v>
      </c>
      <c r="L2354" t="s">
        <v>159</v>
      </c>
      <c r="N2354" t="s">
        <v>237</v>
      </c>
      <c r="O2354" t="s">
        <v>418</v>
      </c>
      <c r="P2354">
        <v>2.027897332843403E-5</v>
      </c>
      <c r="Q2354" t="s">
        <v>159</v>
      </c>
    </row>
    <row r="2355" spans="9:17" x14ac:dyDescent="0.45">
      <c r="I2355" t="s">
        <v>194</v>
      </c>
      <c r="J2355" t="s">
        <v>419</v>
      </c>
      <c r="K2355">
        <v>0</v>
      </c>
      <c r="L2355" t="s">
        <v>159</v>
      </c>
      <c r="N2355" t="s">
        <v>237</v>
      </c>
      <c r="O2355" t="s">
        <v>419</v>
      </c>
      <c r="P2355">
        <v>3.2088191194024888E-5</v>
      </c>
      <c r="Q2355" t="s">
        <v>159</v>
      </c>
    </row>
    <row r="2356" spans="9:17" x14ac:dyDescent="0.45">
      <c r="I2356" t="s">
        <v>194</v>
      </c>
      <c r="J2356" t="s">
        <v>420</v>
      </c>
      <c r="K2356">
        <v>0</v>
      </c>
      <c r="L2356" t="s">
        <v>159</v>
      </c>
      <c r="N2356" t="s">
        <v>237</v>
      </c>
      <c r="O2356" t="s">
        <v>420</v>
      </c>
      <c r="P2356">
        <v>4.5745609039250954E-5</v>
      </c>
      <c r="Q2356" t="s">
        <v>159</v>
      </c>
    </row>
    <row r="2357" spans="9:17" x14ac:dyDescent="0.45">
      <c r="I2357" t="s">
        <v>194</v>
      </c>
      <c r="J2357" t="s">
        <v>313</v>
      </c>
      <c r="K2357">
        <v>1.9497109801532029E-3</v>
      </c>
      <c r="L2357" t="s">
        <v>159</v>
      </c>
      <c r="N2357" t="s">
        <v>237</v>
      </c>
      <c r="O2357" t="s">
        <v>313</v>
      </c>
      <c r="P2357">
        <v>2.0605020547404936E-2</v>
      </c>
      <c r="Q2357" t="s">
        <v>159</v>
      </c>
    </row>
    <row r="2358" spans="9:17" x14ac:dyDescent="0.45">
      <c r="I2358" t="s">
        <v>194</v>
      </c>
      <c r="J2358" t="s">
        <v>314</v>
      </c>
      <c r="K2358">
        <v>4.0692389214072727E-3</v>
      </c>
      <c r="L2358" t="s">
        <v>159</v>
      </c>
      <c r="N2358" t="s">
        <v>237</v>
      </c>
      <c r="O2358" t="s">
        <v>314</v>
      </c>
      <c r="P2358">
        <v>2.2370127020040517E-3</v>
      </c>
      <c r="Q2358" t="s">
        <v>159</v>
      </c>
    </row>
    <row r="2359" spans="9:17" x14ac:dyDescent="0.45">
      <c r="I2359" t="s">
        <v>194</v>
      </c>
      <c r="J2359" t="s">
        <v>315</v>
      </c>
      <c r="K2359">
        <v>7.5060204544676074E-2</v>
      </c>
      <c r="L2359" t="s">
        <v>159</v>
      </c>
      <c r="N2359" t="s">
        <v>237</v>
      </c>
      <c r="O2359" t="s">
        <v>315</v>
      </c>
      <c r="P2359">
        <v>1.922047477936803E-2</v>
      </c>
      <c r="Q2359" t="s">
        <v>159</v>
      </c>
    </row>
    <row r="2360" spans="9:17" x14ac:dyDescent="0.45">
      <c r="I2360" t="s">
        <v>194</v>
      </c>
      <c r="J2360" t="s">
        <v>316</v>
      </c>
      <c r="K2360">
        <v>4.9376581876485921E-3</v>
      </c>
      <c r="L2360" t="s">
        <v>159</v>
      </c>
      <c r="N2360" t="s">
        <v>237</v>
      </c>
      <c r="O2360" t="s">
        <v>316</v>
      </c>
      <c r="P2360">
        <v>2.0267781501475839E-3</v>
      </c>
      <c r="Q2360" t="s">
        <v>159</v>
      </c>
    </row>
    <row r="2361" spans="9:17" x14ac:dyDescent="0.45">
      <c r="I2361" t="s">
        <v>194</v>
      </c>
      <c r="J2361" t="s">
        <v>317</v>
      </c>
      <c r="K2361">
        <v>3.3168847905851975E-3</v>
      </c>
      <c r="L2361" t="s">
        <v>159</v>
      </c>
      <c r="N2361" t="s">
        <v>237</v>
      </c>
      <c r="O2361" t="s">
        <v>317</v>
      </c>
      <c r="P2361">
        <v>1.7950150924078943E-3</v>
      </c>
      <c r="Q2361" t="s">
        <v>159</v>
      </c>
    </row>
    <row r="2362" spans="9:17" x14ac:dyDescent="0.45">
      <c r="I2362" t="s">
        <v>194</v>
      </c>
      <c r="J2362" t="s">
        <v>318</v>
      </c>
      <c r="K2362">
        <v>1.544476965548901E-3</v>
      </c>
      <c r="L2362" t="s">
        <v>159</v>
      </c>
      <c r="N2362" t="s">
        <v>237</v>
      </c>
      <c r="O2362" t="s">
        <v>318</v>
      </c>
      <c r="P2362">
        <v>1.1483609695913206E-2</v>
      </c>
      <c r="Q2362" t="s">
        <v>159</v>
      </c>
    </row>
    <row r="2363" spans="9:17" x14ac:dyDescent="0.45">
      <c r="I2363" t="s">
        <v>195</v>
      </c>
      <c r="J2363" t="s">
        <v>158</v>
      </c>
      <c r="K2363">
        <v>1.8386249321436137E-3</v>
      </c>
      <c r="L2363" t="s">
        <v>159</v>
      </c>
      <c r="N2363" t="s">
        <v>238</v>
      </c>
      <c r="O2363" t="s">
        <v>158</v>
      </c>
      <c r="P2363">
        <v>0.15261132289222248</v>
      </c>
      <c r="Q2363" t="s">
        <v>159</v>
      </c>
    </row>
    <row r="2364" spans="9:17" x14ac:dyDescent="0.45">
      <c r="I2364" t="s">
        <v>195</v>
      </c>
      <c r="J2364" t="s">
        <v>160</v>
      </c>
      <c r="K2364">
        <v>1.4366360434725695E-2</v>
      </c>
      <c r="L2364" t="s">
        <v>159</v>
      </c>
      <c r="N2364" t="s">
        <v>238</v>
      </c>
      <c r="O2364" t="s">
        <v>160</v>
      </c>
      <c r="P2364">
        <v>1.6124576784146381E-2</v>
      </c>
      <c r="Q2364" t="s">
        <v>159</v>
      </c>
    </row>
    <row r="2365" spans="9:17" x14ac:dyDescent="0.45">
      <c r="I2365" t="s">
        <v>195</v>
      </c>
      <c r="J2365" t="s">
        <v>161</v>
      </c>
      <c r="K2365">
        <v>0.39852309851179563</v>
      </c>
      <c r="L2365" t="s">
        <v>159</v>
      </c>
      <c r="N2365" t="s">
        <v>238</v>
      </c>
      <c r="O2365" t="s">
        <v>161</v>
      </c>
      <c r="P2365">
        <v>0.12252386035810404</v>
      </c>
      <c r="Q2365" t="s">
        <v>159</v>
      </c>
    </row>
    <row r="2366" spans="9:17" x14ac:dyDescent="0.45">
      <c r="I2366" t="s">
        <v>195</v>
      </c>
      <c r="J2366" t="s">
        <v>287</v>
      </c>
      <c r="K2366">
        <v>3.184503781332236E-2</v>
      </c>
      <c r="L2366" t="s">
        <v>159</v>
      </c>
      <c r="N2366" t="s">
        <v>238</v>
      </c>
      <c r="O2366" t="s">
        <v>287</v>
      </c>
      <c r="P2366">
        <v>1.2995661493708809E-2</v>
      </c>
      <c r="Q2366" t="s">
        <v>159</v>
      </c>
    </row>
    <row r="2367" spans="9:17" x14ac:dyDescent="0.45">
      <c r="I2367" t="s">
        <v>195</v>
      </c>
      <c r="J2367" t="s">
        <v>288</v>
      </c>
      <c r="K2367">
        <v>1.4804622101144737E-2</v>
      </c>
      <c r="L2367" t="s">
        <v>159</v>
      </c>
      <c r="N2367" t="s">
        <v>238</v>
      </c>
      <c r="O2367" t="s">
        <v>288</v>
      </c>
      <c r="P2367">
        <v>1.4167688795096832E-2</v>
      </c>
      <c r="Q2367" t="s">
        <v>159</v>
      </c>
    </row>
    <row r="2368" spans="9:17" x14ac:dyDescent="0.45">
      <c r="I2368" t="s">
        <v>195</v>
      </c>
      <c r="J2368" t="s">
        <v>308</v>
      </c>
      <c r="K2368">
        <v>4.3661093529989842E-3</v>
      </c>
      <c r="L2368" t="s">
        <v>159</v>
      </c>
      <c r="N2368" t="s">
        <v>238</v>
      </c>
      <c r="O2368" t="s">
        <v>308</v>
      </c>
      <c r="P2368">
        <v>0.11192319425563303</v>
      </c>
      <c r="Q2368" t="s">
        <v>159</v>
      </c>
    </row>
    <row r="2369" spans="9:17" x14ac:dyDescent="0.45">
      <c r="I2369" t="s">
        <v>195</v>
      </c>
      <c r="J2369" t="s">
        <v>162</v>
      </c>
      <c r="K2369">
        <v>0</v>
      </c>
      <c r="L2369" t="s">
        <v>159</v>
      </c>
      <c r="N2369" t="s">
        <v>238</v>
      </c>
      <c r="O2369" t="s">
        <v>162</v>
      </c>
      <c r="P2369">
        <v>2.5161932643290495E-2</v>
      </c>
      <c r="Q2369" t="s">
        <v>159</v>
      </c>
    </row>
    <row r="2370" spans="9:17" x14ac:dyDescent="0.45">
      <c r="I2370" t="s">
        <v>195</v>
      </c>
      <c r="J2370" t="s">
        <v>163</v>
      </c>
      <c r="K2370">
        <v>0</v>
      </c>
      <c r="L2370" t="s">
        <v>159</v>
      </c>
      <c r="N2370" t="s">
        <v>238</v>
      </c>
      <c r="O2370" t="s">
        <v>163</v>
      </c>
      <c r="P2370">
        <v>3.6622662545476728E-3</v>
      </c>
      <c r="Q2370" t="s">
        <v>159</v>
      </c>
    </row>
    <row r="2371" spans="9:17" x14ac:dyDescent="0.45">
      <c r="I2371" t="s">
        <v>195</v>
      </c>
      <c r="J2371" t="s">
        <v>164</v>
      </c>
      <c r="K2371">
        <v>4.8124580598230556E-2</v>
      </c>
      <c r="L2371" t="s">
        <v>159</v>
      </c>
      <c r="N2371" t="s">
        <v>238</v>
      </c>
      <c r="O2371" t="s">
        <v>164</v>
      </c>
      <c r="P2371">
        <v>2.8257667309105297E-2</v>
      </c>
      <c r="Q2371" t="s">
        <v>159</v>
      </c>
    </row>
    <row r="2372" spans="9:17" x14ac:dyDescent="0.45">
      <c r="I2372" t="s">
        <v>195</v>
      </c>
      <c r="J2372" t="s">
        <v>289</v>
      </c>
      <c r="K2372">
        <v>4.0096093237786132E-3</v>
      </c>
      <c r="L2372" t="s">
        <v>159</v>
      </c>
      <c r="N2372" t="s">
        <v>238</v>
      </c>
      <c r="O2372" t="s">
        <v>289</v>
      </c>
      <c r="P2372">
        <v>2.8204830461490069E-3</v>
      </c>
      <c r="Q2372" t="s">
        <v>159</v>
      </c>
    </row>
    <row r="2373" spans="9:17" x14ac:dyDescent="0.45">
      <c r="I2373" t="s">
        <v>195</v>
      </c>
      <c r="J2373" t="s">
        <v>290</v>
      </c>
      <c r="K2373">
        <v>0</v>
      </c>
      <c r="L2373" t="s">
        <v>159</v>
      </c>
      <c r="N2373" t="s">
        <v>238</v>
      </c>
      <c r="O2373" t="s">
        <v>290</v>
      </c>
      <c r="P2373">
        <v>3.3428396994572428E-3</v>
      </c>
      <c r="Q2373" t="s">
        <v>159</v>
      </c>
    </row>
    <row r="2374" spans="9:17" x14ac:dyDescent="0.45">
      <c r="I2374" t="s">
        <v>195</v>
      </c>
      <c r="J2374" t="s">
        <v>309</v>
      </c>
      <c r="K2374">
        <v>0</v>
      </c>
      <c r="L2374" t="s">
        <v>159</v>
      </c>
      <c r="N2374" t="s">
        <v>238</v>
      </c>
      <c r="O2374" t="s">
        <v>309</v>
      </c>
      <c r="P2374">
        <v>2.0397272141136319E-2</v>
      </c>
      <c r="Q2374" t="s">
        <v>159</v>
      </c>
    </row>
    <row r="2375" spans="9:17" x14ac:dyDescent="0.45">
      <c r="I2375" t="s">
        <v>195</v>
      </c>
      <c r="J2375" t="s">
        <v>346</v>
      </c>
      <c r="K2375">
        <v>0</v>
      </c>
      <c r="L2375" t="s">
        <v>159</v>
      </c>
      <c r="N2375" t="s">
        <v>238</v>
      </c>
      <c r="O2375" t="s">
        <v>346</v>
      </c>
      <c r="P2375">
        <v>4.2119162451633947E-5</v>
      </c>
      <c r="Q2375" t="s">
        <v>159</v>
      </c>
    </row>
    <row r="2376" spans="9:17" x14ac:dyDescent="0.45">
      <c r="I2376" t="s">
        <v>195</v>
      </c>
      <c r="J2376" t="s">
        <v>347</v>
      </c>
      <c r="K2376">
        <v>0</v>
      </c>
      <c r="L2376" t="s">
        <v>159</v>
      </c>
      <c r="N2376" t="s">
        <v>238</v>
      </c>
      <c r="O2376" t="s">
        <v>347</v>
      </c>
      <c r="P2376">
        <v>3.591910143418451E-5</v>
      </c>
      <c r="Q2376" t="s">
        <v>159</v>
      </c>
    </row>
    <row r="2377" spans="9:17" x14ac:dyDescent="0.45">
      <c r="I2377" t="s">
        <v>195</v>
      </c>
      <c r="J2377" t="s">
        <v>348</v>
      </c>
      <c r="K2377">
        <v>0</v>
      </c>
      <c r="L2377" t="s">
        <v>159</v>
      </c>
      <c r="N2377" t="s">
        <v>238</v>
      </c>
      <c r="O2377" t="s">
        <v>348</v>
      </c>
      <c r="P2377">
        <v>3.6788369644132409E-5</v>
      </c>
      <c r="Q2377" t="s">
        <v>159</v>
      </c>
    </row>
    <row r="2378" spans="9:17" x14ac:dyDescent="0.45">
      <c r="I2378" t="s">
        <v>195</v>
      </c>
      <c r="J2378" t="s">
        <v>349</v>
      </c>
      <c r="K2378">
        <v>0</v>
      </c>
      <c r="L2378" t="s">
        <v>159</v>
      </c>
      <c r="N2378" t="s">
        <v>238</v>
      </c>
      <c r="O2378" t="s">
        <v>349</v>
      </c>
      <c r="P2378">
        <v>4.5963781088371269E-5</v>
      </c>
      <c r="Q2378" t="s">
        <v>159</v>
      </c>
    </row>
    <row r="2379" spans="9:17" x14ac:dyDescent="0.45">
      <c r="I2379" t="s">
        <v>195</v>
      </c>
      <c r="J2379" t="s">
        <v>350</v>
      </c>
      <c r="K2379">
        <v>0</v>
      </c>
      <c r="L2379" t="s">
        <v>159</v>
      </c>
      <c r="N2379" t="s">
        <v>238</v>
      </c>
      <c r="O2379" t="s">
        <v>350</v>
      </c>
      <c r="P2379">
        <v>5.760540374732461E-5</v>
      </c>
      <c r="Q2379" t="s">
        <v>159</v>
      </c>
    </row>
    <row r="2380" spans="9:17" x14ac:dyDescent="0.45">
      <c r="I2380" t="s">
        <v>195</v>
      </c>
      <c r="J2380" t="s">
        <v>351</v>
      </c>
      <c r="K2380">
        <v>0</v>
      </c>
      <c r="L2380" t="s">
        <v>159</v>
      </c>
      <c r="N2380" t="s">
        <v>238</v>
      </c>
      <c r="O2380" t="s">
        <v>351</v>
      </c>
      <c r="P2380">
        <v>6.2963033912120928E-5</v>
      </c>
      <c r="Q2380" t="s">
        <v>159</v>
      </c>
    </row>
    <row r="2381" spans="9:17" x14ac:dyDescent="0.45">
      <c r="I2381" t="s">
        <v>195</v>
      </c>
      <c r="J2381" t="s">
        <v>352</v>
      </c>
      <c r="K2381">
        <v>0</v>
      </c>
      <c r="L2381" t="s">
        <v>159</v>
      </c>
      <c r="N2381" t="s">
        <v>238</v>
      </c>
      <c r="O2381" t="s">
        <v>352</v>
      </c>
      <c r="P2381">
        <v>5.7120268773327002E-5</v>
      </c>
      <c r="Q2381" t="s">
        <v>159</v>
      </c>
    </row>
    <row r="2382" spans="9:17" x14ac:dyDescent="0.45">
      <c r="I2382" t="s">
        <v>195</v>
      </c>
      <c r="J2382" t="s">
        <v>353</v>
      </c>
      <c r="K2382">
        <v>0</v>
      </c>
      <c r="L2382" t="s">
        <v>159</v>
      </c>
      <c r="N2382" t="s">
        <v>238</v>
      </c>
      <c r="O2382" t="s">
        <v>353</v>
      </c>
      <c r="P2382">
        <v>4.6445656624457694E-5</v>
      </c>
      <c r="Q2382" t="s">
        <v>159</v>
      </c>
    </row>
    <row r="2383" spans="9:17" x14ac:dyDescent="0.45">
      <c r="I2383" t="s">
        <v>195</v>
      </c>
      <c r="J2383" t="s">
        <v>354</v>
      </c>
      <c r="K2383">
        <v>1.4637088086776534E-4</v>
      </c>
      <c r="L2383" t="s">
        <v>159</v>
      </c>
      <c r="N2383" t="s">
        <v>238</v>
      </c>
      <c r="O2383" t="s">
        <v>354</v>
      </c>
      <c r="P2383">
        <v>2.8212622152973817E-5</v>
      </c>
      <c r="Q2383" t="s">
        <v>159</v>
      </c>
    </row>
    <row r="2384" spans="9:17" x14ac:dyDescent="0.45">
      <c r="I2384" t="s">
        <v>195</v>
      </c>
      <c r="J2384" t="s">
        <v>355</v>
      </c>
      <c r="K2384">
        <v>1.9714007842721278E-4</v>
      </c>
      <c r="L2384" t="s">
        <v>159</v>
      </c>
      <c r="N2384" t="s">
        <v>238</v>
      </c>
      <c r="O2384" t="s">
        <v>355</v>
      </c>
      <c r="P2384">
        <v>7.4284458273026934E-6</v>
      </c>
      <c r="Q2384" t="s">
        <v>159</v>
      </c>
    </row>
    <row r="2385" spans="9:17" x14ac:dyDescent="0.45">
      <c r="I2385" t="s">
        <v>195</v>
      </c>
      <c r="J2385" t="s">
        <v>356</v>
      </c>
      <c r="K2385">
        <v>2.0762408398804398E-4</v>
      </c>
      <c r="L2385" t="s">
        <v>159</v>
      </c>
      <c r="N2385" t="s">
        <v>238</v>
      </c>
      <c r="O2385" t="s">
        <v>356</v>
      </c>
      <c r="P2385">
        <v>7.6613866322582509E-6</v>
      </c>
      <c r="Q2385" t="s">
        <v>159</v>
      </c>
    </row>
    <row r="2386" spans="9:17" x14ac:dyDescent="0.45">
      <c r="I2386" t="s">
        <v>195</v>
      </c>
      <c r="J2386" t="s">
        <v>357</v>
      </c>
      <c r="K2386">
        <v>2.1947997640361301E-4</v>
      </c>
      <c r="L2386" t="s">
        <v>159</v>
      </c>
      <c r="N2386" t="s">
        <v>238</v>
      </c>
      <c r="O2386" t="s">
        <v>357</v>
      </c>
      <c r="P2386">
        <v>1.4314754472307043E-5</v>
      </c>
      <c r="Q2386" t="s">
        <v>159</v>
      </c>
    </row>
    <row r="2387" spans="9:17" x14ac:dyDescent="0.45">
      <c r="I2387" t="s">
        <v>195</v>
      </c>
      <c r="J2387" t="s">
        <v>358</v>
      </c>
      <c r="K2387">
        <v>2.5999972774801741E-4</v>
      </c>
      <c r="L2387" t="s">
        <v>159</v>
      </c>
      <c r="N2387" t="s">
        <v>238</v>
      </c>
      <c r="O2387" t="s">
        <v>358</v>
      </c>
      <c r="P2387">
        <v>1.807633578042739E-5</v>
      </c>
      <c r="Q2387" t="s">
        <v>159</v>
      </c>
    </row>
    <row r="2388" spans="9:17" x14ac:dyDescent="0.45">
      <c r="I2388" t="s">
        <v>195</v>
      </c>
      <c r="J2388" t="s">
        <v>359</v>
      </c>
      <c r="K2388">
        <v>2.7031065241713047E-4</v>
      </c>
      <c r="L2388" t="s">
        <v>159</v>
      </c>
      <c r="N2388" t="s">
        <v>238</v>
      </c>
      <c r="O2388" t="s">
        <v>359</v>
      </c>
      <c r="P2388">
        <v>2.1322383044327366E-5</v>
      </c>
      <c r="Q2388" t="s">
        <v>159</v>
      </c>
    </row>
    <row r="2389" spans="9:17" x14ac:dyDescent="0.45">
      <c r="I2389" t="s">
        <v>195</v>
      </c>
      <c r="J2389" t="s">
        <v>360</v>
      </c>
      <c r="K2389">
        <v>2.1935770707218378E-4</v>
      </c>
      <c r="L2389" t="s">
        <v>159</v>
      </c>
      <c r="N2389" t="s">
        <v>238</v>
      </c>
      <c r="O2389" t="s">
        <v>360</v>
      </c>
      <c r="P2389">
        <v>1.6485785633883902E-5</v>
      </c>
      <c r="Q2389" t="s">
        <v>159</v>
      </c>
    </row>
    <row r="2390" spans="9:17" x14ac:dyDescent="0.45">
      <c r="I2390" t="s">
        <v>195</v>
      </c>
      <c r="J2390" t="s">
        <v>361</v>
      </c>
      <c r="K2390">
        <v>2.0573985669377032E-4</v>
      </c>
      <c r="L2390" t="s">
        <v>159</v>
      </c>
      <c r="N2390" t="s">
        <v>238</v>
      </c>
      <c r="O2390" t="s">
        <v>361</v>
      </c>
      <c r="P2390">
        <v>1.0765981338471379E-5</v>
      </c>
      <c r="Q2390" t="s">
        <v>159</v>
      </c>
    </row>
    <row r="2391" spans="9:17" x14ac:dyDescent="0.45">
      <c r="I2391" t="s">
        <v>195</v>
      </c>
      <c r="J2391" t="s">
        <v>362</v>
      </c>
      <c r="K2391">
        <v>2.0730206963705887E-4</v>
      </c>
      <c r="L2391" t="s">
        <v>159</v>
      </c>
      <c r="N2391" t="s">
        <v>238</v>
      </c>
      <c r="O2391" t="s">
        <v>362</v>
      </c>
      <c r="P2391">
        <v>3.4981141835080757E-6</v>
      </c>
      <c r="Q2391" t="s">
        <v>159</v>
      </c>
    </row>
    <row r="2392" spans="9:17" x14ac:dyDescent="0.45">
      <c r="I2392" t="s">
        <v>195</v>
      </c>
      <c r="J2392" t="s">
        <v>363</v>
      </c>
      <c r="K2392">
        <v>1.7004592429155133E-4</v>
      </c>
      <c r="L2392" t="s">
        <v>159</v>
      </c>
      <c r="N2392" t="s">
        <v>238</v>
      </c>
      <c r="O2392" t="s">
        <v>363</v>
      </c>
      <c r="P2392">
        <v>5.0392745476078548E-6</v>
      </c>
      <c r="Q2392" t="s">
        <v>159</v>
      </c>
    </row>
    <row r="2393" spans="9:17" x14ac:dyDescent="0.45">
      <c r="I2393" t="s">
        <v>195</v>
      </c>
      <c r="J2393" t="s">
        <v>364</v>
      </c>
      <c r="K2393">
        <v>0</v>
      </c>
      <c r="L2393" t="s">
        <v>159</v>
      </c>
      <c r="N2393" t="s">
        <v>238</v>
      </c>
      <c r="O2393" t="s">
        <v>364</v>
      </c>
      <c r="P2393">
        <v>9.8925415166434342E-6</v>
      </c>
      <c r="Q2393" t="s">
        <v>159</v>
      </c>
    </row>
    <row r="2394" spans="9:17" x14ac:dyDescent="0.45">
      <c r="I2394" t="s">
        <v>195</v>
      </c>
      <c r="J2394" t="s">
        <v>365</v>
      </c>
      <c r="K2394">
        <v>0</v>
      </c>
      <c r="L2394" t="s">
        <v>159</v>
      </c>
      <c r="N2394" t="s">
        <v>238</v>
      </c>
      <c r="O2394" t="s">
        <v>365</v>
      </c>
      <c r="P2394">
        <v>1.3656131016390624E-5</v>
      </c>
      <c r="Q2394" t="s">
        <v>159</v>
      </c>
    </row>
    <row r="2395" spans="9:17" x14ac:dyDescent="0.45">
      <c r="I2395" t="s">
        <v>195</v>
      </c>
      <c r="J2395" t="s">
        <v>366</v>
      </c>
      <c r="K2395">
        <v>0</v>
      </c>
      <c r="L2395" t="s">
        <v>159</v>
      </c>
      <c r="N2395" t="s">
        <v>238</v>
      </c>
      <c r="O2395" t="s">
        <v>366</v>
      </c>
      <c r="P2395">
        <v>1.4541624873130035E-5</v>
      </c>
      <c r="Q2395" t="s">
        <v>159</v>
      </c>
    </row>
    <row r="2396" spans="9:17" x14ac:dyDescent="0.45">
      <c r="I2396" t="s">
        <v>195</v>
      </c>
      <c r="J2396" t="s">
        <v>367</v>
      </c>
      <c r="K2396">
        <v>0</v>
      </c>
      <c r="L2396" t="s">
        <v>159</v>
      </c>
      <c r="N2396" t="s">
        <v>238</v>
      </c>
      <c r="O2396" t="s">
        <v>367</v>
      </c>
      <c r="P2396">
        <v>1.7754849694780465E-5</v>
      </c>
      <c r="Q2396" t="s">
        <v>159</v>
      </c>
    </row>
    <row r="2397" spans="9:17" x14ac:dyDescent="0.45">
      <c r="I2397" t="s">
        <v>195</v>
      </c>
      <c r="J2397" t="s">
        <v>368</v>
      </c>
      <c r="K2397">
        <v>0</v>
      </c>
      <c r="L2397" t="s">
        <v>159</v>
      </c>
      <c r="N2397" t="s">
        <v>238</v>
      </c>
      <c r="O2397" t="s">
        <v>368</v>
      </c>
      <c r="P2397">
        <v>2.0338792446804476E-5</v>
      </c>
      <c r="Q2397" t="s">
        <v>159</v>
      </c>
    </row>
    <row r="2398" spans="9:17" x14ac:dyDescent="0.45">
      <c r="I2398" t="s">
        <v>195</v>
      </c>
      <c r="J2398" t="s">
        <v>369</v>
      </c>
      <c r="K2398">
        <v>0</v>
      </c>
      <c r="L2398" t="s">
        <v>159</v>
      </c>
      <c r="N2398" t="s">
        <v>238</v>
      </c>
      <c r="O2398" t="s">
        <v>369</v>
      </c>
      <c r="P2398">
        <v>1.1119587002025202E-5</v>
      </c>
      <c r="Q2398" t="s">
        <v>159</v>
      </c>
    </row>
    <row r="2399" spans="9:17" x14ac:dyDescent="0.45">
      <c r="I2399" t="s">
        <v>195</v>
      </c>
      <c r="J2399" t="s">
        <v>165</v>
      </c>
      <c r="K2399">
        <v>0</v>
      </c>
      <c r="L2399" t="s">
        <v>159</v>
      </c>
      <c r="N2399" t="s">
        <v>238</v>
      </c>
      <c r="O2399" t="s">
        <v>165</v>
      </c>
      <c r="P2399">
        <v>2.4982748338918764E-2</v>
      </c>
      <c r="Q2399" t="s">
        <v>159</v>
      </c>
    </row>
    <row r="2400" spans="9:17" x14ac:dyDescent="0.45">
      <c r="I2400" t="s">
        <v>195</v>
      </c>
      <c r="J2400" t="s">
        <v>166</v>
      </c>
      <c r="K2400">
        <v>6.1474104006414651E-6</v>
      </c>
      <c r="L2400" t="s">
        <v>159</v>
      </c>
      <c r="N2400" t="s">
        <v>238</v>
      </c>
      <c r="O2400" t="s">
        <v>166</v>
      </c>
      <c r="P2400">
        <v>3.0671845515104494E-3</v>
      </c>
      <c r="Q2400" t="s">
        <v>159</v>
      </c>
    </row>
    <row r="2401" spans="9:17" x14ac:dyDescent="0.45">
      <c r="I2401" t="s">
        <v>195</v>
      </c>
      <c r="J2401" t="s">
        <v>167</v>
      </c>
      <c r="K2401">
        <v>6.8502013240732754E-2</v>
      </c>
      <c r="L2401" t="s">
        <v>159</v>
      </c>
      <c r="N2401" t="s">
        <v>238</v>
      </c>
      <c r="O2401" t="s">
        <v>167</v>
      </c>
      <c r="P2401">
        <v>2.7064073435720988E-2</v>
      </c>
      <c r="Q2401" t="s">
        <v>159</v>
      </c>
    </row>
    <row r="2402" spans="9:17" x14ac:dyDescent="0.45">
      <c r="I2402" t="s">
        <v>195</v>
      </c>
      <c r="J2402" t="s">
        <v>291</v>
      </c>
      <c r="K2402">
        <v>6.1571828374711608E-3</v>
      </c>
      <c r="L2402" t="s">
        <v>159</v>
      </c>
      <c r="N2402" t="s">
        <v>238</v>
      </c>
      <c r="O2402" t="s">
        <v>291</v>
      </c>
      <c r="P2402">
        <v>3.0731743673062736E-3</v>
      </c>
      <c r="Q2402" t="s">
        <v>159</v>
      </c>
    </row>
    <row r="2403" spans="9:17" x14ac:dyDescent="0.45">
      <c r="I2403" t="s">
        <v>195</v>
      </c>
      <c r="J2403" t="s">
        <v>292</v>
      </c>
      <c r="K2403">
        <v>2.2087766101491207E-4</v>
      </c>
      <c r="L2403" t="s">
        <v>159</v>
      </c>
      <c r="N2403" t="s">
        <v>238</v>
      </c>
      <c r="O2403" t="s">
        <v>292</v>
      </c>
      <c r="P2403">
        <v>3.4777549891446468E-3</v>
      </c>
      <c r="Q2403" t="s">
        <v>159</v>
      </c>
    </row>
    <row r="2404" spans="9:17" x14ac:dyDescent="0.45">
      <c r="I2404" t="s">
        <v>195</v>
      </c>
      <c r="J2404" t="s">
        <v>310</v>
      </c>
      <c r="K2404">
        <v>0</v>
      </c>
      <c r="L2404" t="s">
        <v>159</v>
      </c>
      <c r="N2404" t="s">
        <v>238</v>
      </c>
      <c r="O2404" t="s">
        <v>310</v>
      </c>
      <c r="P2404">
        <v>2.1879419669594533E-2</v>
      </c>
      <c r="Q2404" t="s">
        <v>159</v>
      </c>
    </row>
    <row r="2405" spans="9:17" x14ac:dyDescent="0.45">
      <c r="I2405" t="s">
        <v>195</v>
      </c>
      <c r="J2405" t="s">
        <v>293</v>
      </c>
      <c r="K2405">
        <v>0</v>
      </c>
      <c r="L2405" t="s">
        <v>159</v>
      </c>
      <c r="N2405" t="s">
        <v>238</v>
      </c>
      <c r="O2405" t="s">
        <v>293</v>
      </c>
      <c r="P2405">
        <v>1.0854855831033407E-2</v>
      </c>
      <c r="Q2405" t="s">
        <v>159</v>
      </c>
    </row>
    <row r="2406" spans="9:17" x14ac:dyDescent="0.45">
      <c r="I2406" t="s">
        <v>195</v>
      </c>
      <c r="J2406" t="s">
        <v>294</v>
      </c>
      <c r="K2406">
        <v>8.5768088003590525E-4</v>
      </c>
      <c r="L2406" t="s">
        <v>159</v>
      </c>
      <c r="N2406" t="s">
        <v>238</v>
      </c>
      <c r="O2406" t="s">
        <v>294</v>
      </c>
      <c r="P2406">
        <v>1.3481823988086233E-3</v>
      </c>
      <c r="Q2406" t="s">
        <v>159</v>
      </c>
    </row>
    <row r="2407" spans="9:17" x14ac:dyDescent="0.45">
      <c r="I2407" t="s">
        <v>195</v>
      </c>
      <c r="J2407" t="s">
        <v>295</v>
      </c>
      <c r="K2407">
        <v>1.7413969287236875E-2</v>
      </c>
      <c r="L2407" t="s">
        <v>159</v>
      </c>
      <c r="N2407" t="s">
        <v>238</v>
      </c>
      <c r="O2407" t="s">
        <v>295</v>
      </c>
      <c r="P2407">
        <v>1.0973915290955391E-2</v>
      </c>
      <c r="Q2407" t="s">
        <v>159</v>
      </c>
    </row>
    <row r="2408" spans="9:17" x14ac:dyDescent="0.45">
      <c r="I2408" t="s">
        <v>195</v>
      </c>
      <c r="J2408" t="s">
        <v>296</v>
      </c>
      <c r="K2408">
        <v>1.5005687636344385E-3</v>
      </c>
      <c r="L2408" t="s">
        <v>159</v>
      </c>
      <c r="N2408" t="s">
        <v>238</v>
      </c>
      <c r="O2408" t="s">
        <v>296</v>
      </c>
      <c r="P2408">
        <v>8.1202379003550494E-4</v>
      </c>
      <c r="Q2408" t="s">
        <v>159</v>
      </c>
    </row>
    <row r="2409" spans="9:17" x14ac:dyDescent="0.45">
      <c r="I2409" t="s">
        <v>195</v>
      </c>
      <c r="J2409" t="s">
        <v>297</v>
      </c>
      <c r="K2409">
        <v>1.1412372595299581E-3</v>
      </c>
      <c r="L2409" t="s">
        <v>159</v>
      </c>
      <c r="N2409" t="s">
        <v>238</v>
      </c>
      <c r="O2409" t="s">
        <v>297</v>
      </c>
      <c r="P2409">
        <v>8.0330870183604498E-4</v>
      </c>
      <c r="Q2409" t="s">
        <v>159</v>
      </c>
    </row>
    <row r="2410" spans="9:17" x14ac:dyDescent="0.45">
      <c r="I2410" t="s">
        <v>195</v>
      </c>
      <c r="J2410" t="s">
        <v>311</v>
      </c>
      <c r="K2410">
        <v>0</v>
      </c>
      <c r="L2410" t="s">
        <v>159</v>
      </c>
      <c r="N2410" t="s">
        <v>238</v>
      </c>
      <c r="O2410" t="s">
        <v>311</v>
      </c>
      <c r="P2410">
        <v>6.1671372841136211E-3</v>
      </c>
      <c r="Q2410" t="s">
        <v>159</v>
      </c>
    </row>
    <row r="2411" spans="9:17" x14ac:dyDescent="0.45">
      <c r="I2411" t="s">
        <v>195</v>
      </c>
      <c r="J2411" t="s">
        <v>298</v>
      </c>
      <c r="K2411">
        <v>4.0583970185494407E-3</v>
      </c>
      <c r="L2411" t="s">
        <v>159</v>
      </c>
      <c r="N2411" t="s">
        <v>238</v>
      </c>
      <c r="O2411" t="s">
        <v>298</v>
      </c>
      <c r="P2411">
        <v>8.5245132033241314E-2</v>
      </c>
      <c r="Q2411" t="s">
        <v>159</v>
      </c>
    </row>
    <row r="2412" spans="9:17" x14ac:dyDescent="0.45">
      <c r="I2412" t="s">
        <v>195</v>
      </c>
      <c r="J2412" t="s">
        <v>299</v>
      </c>
      <c r="K2412">
        <v>1.5032108621912097E-2</v>
      </c>
      <c r="L2412" t="s">
        <v>159</v>
      </c>
      <c r="N2412" t="s">
        <v>238</v>
      </c>
      <c r="O2412" t="s">
        <v>299</v>
      </c>
      <c r="P2412">
        <v>8.4163265754505084E-3</v>
      </c>
      <c r="Q2412" t="s">
        <v>159</v>
      </c>
    </row>
    <row r="2413" spans="9:17" x14ac:dyDescent="0.45">
      <c r="I2413" t="s">
        <v>195</v>
      </c>
      <c r="J2413" t="s">
        <v>300</v>
      </c>
      <c r="K2413">
        <v>0.24167529153913914</v>
      </c>
      <c r="L2413" t="s">
        <v>159</v>
      </c>
      <c r="N2413" t="s">
        <v>238</v>
      </c>
      <c r="O2413" t="s">
        <v>300</v>
      </c>
      <c r="P2413">
        <v>0.10169449390858178</v>
      </c>
      <c r="Q2413" t="s">
        <v>159</v>
      </c>
    </row>
    <row r="2414" spans="9:17" x14ac:dyDescent="0.45">
      <c r="I2414" t="s">
        <v>195</v>
      </c>
      <c r="J2414" t="s">
        <v>301</v>
      </c>
      <c r="K2414">
        <v>1.8214156924910067E-2</v>
      </c>
      <c r="L2414" t="s">
        <v>159</v>
      </c>
      <c r="N2414" t="s">
        <v>238</v>
      </c>
      <c r="O2414" t="s">
        <v>301</v>
      </c>
      <c r="P2414">
        <v>1.295167998498715E-2</v>
      </c>
      <c r="Q2414" t="s">
        <v>159</v>
      </c>
    </row>
    <row r="2415" spans="9:17" x14ac:dyDescent="0.45">
      <c r="I2415" t="s">
        <v>195</v>
      </c>
      <c r="J2415" t="s">
        <v>302</v>
      </c>
      <c r="K2415">
        <v>1.1600328277639585E-2</v>
      </c>
      <c r="L2415" t="s">
        <v>159</v>
      </c>
      <c r="N2415" t="s">
        <v>238</v>
      </c>
      <c r="O2415" t="s">
        <v>302</v>
      </c>
      <c r="P2415">
        <v>1.3424865386966993E-2</v>
      </c>
      <c r="Q2415" t="s">
        <v>159</v>
      </c>
    </row>
    <row r="2416" spans="9:17" x14ac:dyDescent="0.45">
      <c r="I2416" t="s">
        <v>195</v>
      </c>
      <c r="J2416" t="s">
        <v>312</v>
      </c>
      <c r="K2416">
        <v>2.9749298362287315E-4</v>
      </c>
      <c r="L2416" t="s">
        <v>159</v>
      </c>
      <c r="N2416" t="s">
        <v>238</v>
      </c>
      <c r="O2416" t="s">
        <v>312</v>
      </c>
      <c r="P2416">
        <v>7.919077804100233E-2</v>
      </c>
      <c r="Q2416" t="s">
        <v>159</v>
      </c>
    </row>
    <row r="2417" spans="9:17" x14ac:dyDescent="0.45">
      <c r="I2417" t="s">
        <v>195</v>
      </c>
      <c r="J2417" t="s">
        <v>397</v>
      </c>
      <c r="K2417">
        <v>0</v>
      </c>
      <c r="L2417" t="s">
        <v>159</v>
      </c>
      <c r="N2417" t="s">
        <v>238</v>
      </c>
      <c r="O2417" t="s">
        <v>397</v>
      </c>
      <c r="P2417">
        <v>4.2556440609202224E-5</v>
      </c>
      <c r="Q2417" t="s">
        <v>159</v>
      </c>
    </row>
    <row r="2418" spans="9:17" x14ac:dyDescent="0.45">
      <c r="I2418" t="s">
        <v>195</v>
      </c>
      <c r="J2418" t="s">
        <v>398</v>
      </c>
      <c r="K2418">
        <v>0</v>
      </c>
      <c r="L2418" t="s">
        <v>159</v>
      </c>
      <c r="N2418" t="s">
        <v>238</v>
      </c>
      <c r="O2418" t="s">
        <v>398</v>
      </c>
      <c r="P2418">
        <v>2.3015073535962017E-5</v>
      </c>
      <c r="Q2418" t="s">
        <v>159</v>
      </c>
    </row>
    <row r="2419" spans="9:17" x14ac:dyDescent="0.45">
      <c r="I2419" t="s">
        <v>195</v>
      </c>
      <c r="J2419" t="s">
        <v>399</v>
      </c>
      <c r="K2419">
        <v>0</v>
      </c>
      <c r="L2419" t="s">
        <v>159</v>
      </c>
      <c r="N2419" t="s">
        <v>238</v>
      </c>
      <c r="O2419" t="s">
        <v>399</v>
      </c>
      <c r="P2419">
        <v>6.8083474728481154E-6</v>
      </c>
      <c r="Q2419" t="s">
        <v>159</v>
      </c>
    </row>
    <row r="2420" spans="9:17" x14ac:dyDescent="0.45">
      <c r="I2420" t="s">
        <v>195</v>
      </c>
      <c r="J2420" t="s">
        <v>400</v>
      </c>
      <c r="K2420">
        <v>0</v>
      </c>
      <c r="L2420" t="s">
        <v>159</v>
      </c>
      <c r="N2420" t="s">
        <v>238</v>
      </c>
      <c r="O2420" t="s">
        <v>400</v>
      </c>
      <c r="P2420">
        <v>1.4112598007783528E-6</v>
      </c>
      <c r="Q2420" t="s">
        <v>159</v>
      </c>
    </row>
    <row r="2421" spans="9:17" x14ac:dyDescent="0.45">
      <c r="I2421" t="s">
        <v>195</v>
      </c>
      <c r="J2421" t="s">
        <v>401</v>
      </c>
      <c r="K2421">
        <v>0</v>
      </c>
      <c r="L2421" t="s">
        <v>159</v>
      </c>
      <c r="N2421" t="s">
        <v>238</v>
      </c>
      <c r="O2421" t="s">
        <v>401</v>
      </c>
      <c r="P2421">
        <v>3.6602408305563813E-7</v>
      </c>
      <c r="Q2421" t="s">
        <v>159</v>
      </c>
    </row>
    <row r="2422" spans="9:17" x14ac:dyDescent="0.45">
      <c r="I2422" t="s">
        <v>195</v>
      </c>
      <c r="J2422" t="s">
        <v>402</v>
      </c>
      <c r="K2422">
        <v>0</v>
      </c>
      <c r="L2422" t="s">
        <v>159</v>
      </c>
      <c r="N2422" t="s">
        <v>238</v>
      </c>
      <c r="O2422" t="s">
        <v>402</v>
      </c>
      <c r="P2422">
        <v>7.8653977401806623E-7</v>
      </c>
      <c r="Q2422" t="s">
        <v>159</v>
      </c>
    </row>
    <row r="2423" spans="9:17" x14ac:dyDescent="0.45">
      <c r="I2423" t="s">
        <v>195</v>
      </c>
      <c r="J2423" t="s">
        <v>403</v>
      </c>
      <c r="K2423">
        <v>0</v>
      </c>
      <c r="L2423" t="s">
        <v>159</v>
      </c>
      <c r="N2423" t="s">
        <v>238</v>
      </c>
      <c r="O2423" t="s">
        <v>403</v>
      </c>
      <c r="P2423">
        <v>2.5615952706402127E-6</v>
      </c>
      <c r="Q2423" t="s">
        <v>159</v>
      </c>
    </row>
    <row r="2424" spans="9:17" x14ac:dyDescent="0.45">
      <c r="I2424" t="s">
        <v>195</v>
      </c>
      <c r="J2424" t="s">
        <v>404</v>
      </c>
      <c r="K2424">
        <v>2.07384830892273E-4</v>
      </c>
      <c r="L2424" t="s">
        <v>159</v>
      </c>
      <c r="N2424" t="s">
        <v>238</v>
      </c>
      <c r="O2424" t="s">
        <v>404</v>
      </c>
      <c r="P2424">
        <v>4.7613786715665753E-6</v>
      </c>
      <c r="Q2424" t="s">
        <v>159</v>
      </c>
    </row>
    <row r="2425" spans="9:17" x14ac:dyDescent="0.45">
      <c r="I2425" t="s">
        <v>195</v>
      </c>
      <c r="J2425" t="s">
        <v>405</v>
      </c>
      <c r="K2425">
        <v>3.1185026514253642E-4</v>
      </c>
      <c r="L2425" t="s">
        <v>159</v>
      </c>
      <c r="N2425" t="s">
        <v>238</v>
      </c>
      <c r="O2425" t="s">
        <v>405</v>
      </c>
      <c r="P2425">
        <v>4.0281183952867518E-7</v>
      </c>
      <c r="Q2425" t="s">
        <v>159</v>
      </c>
    </row>
    <row r="2426" spans="9:17" x14ac:dyDescent="0.45">
      <c r="I2426" t="s">
        <v>195</v>
      </c>
      <c r="J2426" t="s">
        <v>406</v>
      </c>
      <c r="K2426">
        <v>3.5517049661976124E-4</v>
      </c>
      <c r="L2426" t="s">
        <v>159</v>
      </c>
      <c r="N2426" t="s">
        <v>238</v>
      </c>
      <c r="O2426" t="s">
        <v>406</v>
      </c>
      <c r="P2426">
        <v>7.976745870778297E-6</v>
      </c>
      <c r="Q2426" t="s">
        <v>159</v>
      </c>
    </row>
    <row r="2427" spans="9:17" x14ac:dyDescent="0.45">
      <c r="I2427" t="s">
        <v>195</v>
      </c>
      <c r="J2427" t="s">
        <v>407</v>
      </c>
      <c r="K2427">
        <v>3.650485574431308E-4</v>
      </c>
      <c r="L2427" t="s">
        <v>159</v>
      </c>
      <c r="N2427" t="s">
        <v>238</v>
      </c>
      <c r="O2427" t="s">
        <v>407</v>
      </c>
      <c r="P2427">
        <v>3.8101615321870069E-5</v>
      </c>
      <c r="Q2427" t="s">
        <v>159</v>
      </c>
    </row>
    <row r="2428" spans="9:17" x14ac:dyDescent="0.45">
      <c r="I2428" t="s">
        <v>195</v>
      </c>
      <c r="J2428" t="s">
        <v>408</v>
      </c>
      <c r="K2428">
        <v>3.7652233243963025E-4</v>
      </c>
      <c r="L2428" t="s">
        <v>159</v>
      </c>
      <c r="N2428" t="s">
        <v>238</v>
      </c>
      <c r="O2428" t="s">
        <v>408</v>
      </c>
      <c r="P2428">
        <v>7.3520409406373062E-5</v>
      </c>
      <c r="Q2428" t="s">
        <v>159</v>
      </c>
    </row>
    <row r="2429" spans="9:17" x14ac:dyDescent="0.45">
      <c r="I2429" t="s">
        <v>195</v>
      </c>
      <c r="J2429" t="s">
        <v>409</v>
      </c>
      <c r="K2429">
        <v>4.0150714826671217E-4</v>
      </c>
      <c r="L2429" t="s">
        <v>159</v>
      </c>
      <c r="N2429" t="s">
        <v>238</v>
      </c>
      <c r="O2429" t="s">
        <v>409</v>
      </c>
      <c r="P2429">
        <v>9.1936058068788082E-5</v>
      </c>
      <c r="Q2429" t="s">
        <v>159</v>
      </c>
    </row>
    <row r="2430" spans="9:17" x14ac:dyDescent="0.45">
      <c r="I2430" t="s">
        <v>195</v>
      </c>
      <c r="J2430" t="s">
        <v>410</v>
      </c>
      <c r="K2430">
        <v>3.8780736634127957E-4</v>
      </c>
      <c r="L2430" t="s">
        <v>159</v>
      </c>
      <c r="N2430" t="s">
        <v>238</v>
      </c>
      <c r="O2430" t="s">
        <v>410</v>
      </c>
      <c r="P2430">
        <v>1.0596467527872434E-4</v>
      </c>
      <c r="Q2430" t="s">
        <v>159</v>
      </c>
    </row>
    <row r="2431" spans="9:17" x14ac:dyDescent="0.45">
      <c r="I2431" t="s">
        <v>195</v>
      </c>
      <c r="J2431" t="s">
        <v>411</v>
      </c>
      <c r="K2431">
        <v>3.5678050328400698E-4</v>
      </c>
      <c r="L2431" t="s">
        <v>159</v>
      </c>
      <c r="N2431" t="s">
        <v>238</v>
      </c>
      <c r="O2431" t="s">
        <v>411</v>
      </c>
      <c r="P2431">
        <v>1.1652223873956435E-4</v>
      </c>
      <c r="Q2431" t="s">
        <v>159</v>
      </c>
    </row>
    <row r="2432" spans="9:17" x14ac:dyDescent="0.45">
      <c r="I2432" t="s">
        <v>195</v>
      </c>
      <c r="J2432" t="s">
        <v>412</v>
      </c>
      <c r="K2432">
        <v>3.3292635155078267E-4</v>
      </c>
      <c r="L2432" t="s">
        <v>159</v>
      </c>
      <c r="N2432" t="s">
        <v>238</v>
      </c>
      <c r="O2432" t="s">
        <v>412</v>
      </c>
      <c r="P2432">
        <v>1.1470280279675822E-4</v>
      </c>
      <c r="Q2432" t="s">
        <v>159</v>
      </c>
    </row>
    <row r="2433" spans="9:17" x14ac:dyDescent="0.45">
      <c r="I2433" t="s">
        <v>195</v>
      </c>
      <c r="J2433" t="s">
        <v>413</v>
      </c>
      <c r="K2433">
        <v>3.195815715949073E-4</v>
      </c>
      <c r="L2433" t="s">
        <v>159</v>
      </c>
      <c r="N2433" t="s">
        <v>238</v>
      </c>
      <c r="O2433" t="s">
        <v>413</v>
      </c>
      <c r="P2433">
        <v>9.5471996121299115E-5</v>
      </c>
      <c r="Q2433" t="s">
        <v>159</v>
      </c>
    </row>
    <row r="2434" spans="9:17" x14ac:dyDescent="0.45">
      <c r="I2434" t="s">
        <v>195</v>
      </c>
      <c r="J2434" t="s">
        <v>414</v>
      </c>
      <c r="K2434">
        <v>2.8606305043935693E-4</v>
      </c>
      <c r="L2434" t="s">
        <v>159</v>
      </c>
      <c r="N2434" t="s">
        <v>238</v>
      </c>
      <c r="O2434" t="s">
        <v>414</v>
      </c>
      <c r="P2434">
        <v>5.1431523061283064E-5</v>
      </c>
      <c r="Q2434" t="s">
        <v>159</v>
      </c>
    </row>
    <row r="2435" spans="9:17" x14ac:dyDescent="0.45">
      <c r="I2435" t="s">
        <v>195</v>
      </c>
      <c r="J2435" t="s">
        <v>415</v>
      </c>
      <c r="K2435">
        <v>1.7856555049453087E-4</v>
      </c>
      <c r="L2435" t="s">
        <v>159</v>
      </c>
      <c r="N2435" t="s">
        <v>238</v>
      </c>
      <c r="O2435" t="s">
        <v>415</v>
      </c>
      <c r="P2435">
        <v>3.8727768210787589E-5</v>
      </c>
      <c r="Q2435" t="s">
        <v>159</v>
      </c>
    </row>
    <row r="2436" spans="9:17" x14ac:dyDescent="0.45">
      <c r="I2436" t="s">
        <v>195</v>
      </c>
      <c r="J2436" t="s">
        <v>416</v>
      </c>
      <c r="K2436">
        <v>0</v>
      </c>
      <c r="L2436" t="s">
        <v>159</v>
      </c>
      <c r="N2436" t="s">
        <v>238</v>
      </c>
      <c r="O2436" t="s">
        <v>416</v>
      </c>
      <c r="P2436">
        <v>3.0411104499894619E-5</v>
      </c>
      <c r="Q2436" t="s">
        <v>159</v>
      </c>
    </row>
    <row r="2437" spans="9:17" x14ac:dyDescent="0.45">
      <c r="I2437" t="s">
        <v>195</v>
      </c>
      <c r="J2437" t="s">
        <v>417</v>
      </c>
      <c r="K2437">
        <v>0</v>
      </c>
      <c r="L2437" t="s">
        <v>159</v>
      </c>
      <c r="N2437" t="s">
        <v>238</v>
      </c>
      <c r="O2437" t="s">
        <v>417</v>
      </c>
      <c r="P2437">
        <v>2.3178343570869719E-5</v>
      </c>
      <c r="Q2437" t="s">
        <v>159</v>
      </c>
    </row>
    <row r="2438" spans="9:17" x14ac:dyDescent="0.45">
      <c r="I2438" t="s">
        <v>195</v>
      </c>
      <c r="J2438" t="s">
        <v>418</v>
      </c>
      <c r="K2438">
        <v>0</v>
      </c>
      <c r="L2438" t="s">
        <v>159</v>
      </c>
      <c r="N2438" t="s">
        <v>238</v>
      </c>
      <c r="O2438" t="s">
        <v>418</v>
      </c>
      <c r="P2438">
        <v>1.3382345985876928E-5</v>
      </c>
      <c r="Q2438" t="s">
        <v>159</v>
      </c>
    </row>
    <row r="2439" spans="9:17" x14ac:dyDescent="0.45">
      <c r="I2439" t="s">
        <v>195</v>
      </c>
      <c r="J2439" t="s">
        <v>419</v>
      </c>
      <c r="K2439">
        <v>0</v>
      </c>
      <c r="L2439" t="s">
        <v>159</v>
      </c>
      <c r="N2439" t="s">
        <v>238</v>
      </c>
      <c r="O2439" t="s">
        <v>419</v>
      </c>
      <c r="P2439">
        <v>3.5514440437810959E-6</v>
      </c>
      <c r="Q2439" t="s">
        <v>159</v>
      </c>
    </row>
    <row r="2440" spans="9:17" x14ac:dyDescent="0.45">
      <c r="I2440" t="s">
        <v>195</v>
      </c>
      <c r="J2440" t="s">
        <v>420</v>
      </c>
      <c r="K2440">
        <v>0</v>
      </c>
      <c r="L2440" t="s">
        <v>159</v>
      </c>
      <c r="N2440" t="s">
        <v>238</v>
      </c>
      <c r="O2440" t="s">
        <v>420</v>
      </c>
      <c r="P2440">
        <v>5.3839490069090691E-6</v>
      </c>
      <c r="Q2440" t="s">
        <v>159</v>
      </c>
    </row>
    <row r="2441" spans="9:17" x14ac:dyDescent="0.45">
      <c r="I2441" t="s">
        <v>195</v>
      </c>
      <c r="J2441" t="s">
        <v>313</v>
      </c>
      <c r="K2441">
        <v>1.896284611903916E-3</v>
      </c>
      <c r="L2441" t="s">
        <v>159</v>
      </c>
      <c r="N2441" t="s">
        <v>238</v>
      </c>
      <c r="O2441" t="s">
        <v>313</v>
      </c>
      <c r="P2441">
        <v>2.1850345301369565E-2</v>
      </c>
      <c r="Q2441" t="s">
        <v>159</v>
      </c>
    </row>
    <row r="2442" spans="9:17" x14ac:dyDescent="0.45">
      <c r="I2442" t="s">
        <v>195</v>
      </c>
      <c r="J2442" t="s">
        <v>314</v>
      </c>
      <c r="K2442">
        <v>4.0281172505274195E-3</v>
      </c>
      <c r="L2442" t="s">
        <v>159</v>
      </c>
      <c r="N2442" t="s">
        <v>238</v>
      </c>
      <c r="O2442" t="s">
        <v>314</v>
      </c>
      <c r="P2442">
        <v>1.8449523381300758E-3</v>
      </c>
      <c r="Q2442" t="s">
        <v>159</v>
      </c>
    </row>
    <row r="2443" spans="9:17" x14ac:dyDescent="0.45">
      <c r="I2443" t="s">
        <v>195</v>
      </c>
      <c r="J2443" t="s">
        <v>315</v>
      </c>
      <c r="K2443">
        <v>7.4364319072806426E-2</v>
      </c>
      <c r="L2443" t="s">
        <v>159</v>
      </c>
      <c r="N2443" t="s">
        <v>238</v>
      </c>
      <c r="O2443" t="s">
        <v>315</v>
      </c>
      <c r="P2443">
        <v>1.7841372608262723E-2</v>
      </c>
      <c r="Q2443" t="s">
        <v>159</v>
      </c>
    </row>
    <row r="2444" spans="9:17" x14ac:dyDescent="0.45">
      <c r="I2444" t="s">
        <v>195</v>
      </c>
      <c r="J2444" t="s">
        <v>316</v>
      </c>
      <c r="K2444">
        <v>4.5911304176744381E-3</v>
      </c>
      <c r="L2444" t="s">
        <v>159</v>
      </c>
      <c r="N2444" t="s">
        <v>238</v>
      </c>
      <c r="O2444" t="s">
        <v>316</v>
      </c>
      <c r="P2444">
        <v>2.7222099327366064E-3</v>
      </c>
      <c r="Q2444" t="s">
        <v>159</v>
      </c>
    </row>
    <row r="2445" spans="9:17" x14ac:dyDescent="0.45">
      <c r="I2445" t="s">
        <v>195</v>
      </c>
      <c r="J2445" t="s">
        <v>317</v>
      </c>
      <c r="K2445">
        <v>3.0399857291813453E-3</v>
      </c>
      <c r="L2445" t="s">
        <v>159</v>
      </c>
      <c r="N2445" t="s">
        <v>238</v>
      </c>
      <c r="O2445" t="s">
        <v>317</v>
      </c>
      <c r="P2445">
        <v>2.7199992694406415E-3</v>
      </c>
      <c r="Q2445" t="s">
        <v>159</v>
      </c>
    </row>
    <row r="2446" spans="9:17" x14ac:dyDescent="0.45">
      <c r="I2446" t="s">
        <v>195</v>
      </c>
      <c r="J2446" t="s">
        <v>318</v>
      </c>
      <c r="K2446">
        <v>1.542088161880457E-3</v>
      </c>
      <c r="L2446" t="s">
        <v>159</v>
      </c>
      <c r="N2446" t="s">
        <v>238</v>
      </c>
      <c r="O2446" t="s">
        <v>318</v>
      </c>
      <c r="P2446">
        <v>2.2107334419373292E-2</v>
      </c>
      <c r="Q2446" t="s">
        <v>159</v>
      </c>
    </row>
    <row r="2447" spans="9:17" x14ac:dyDescent="0.45">
      <c r="I2447" t="s">
        <v>196</v>
      </c>
      <c r="J2447" t="s">
        <v>158</v>
      </c>
      <c r="K2447">
        <v>1.4011736761520702E-3</v>
      </c>
      <c r="L2447" t="s">
        <v>159</v>
      </c>
      <c r="N2447" t="s">
        <v>239</v>
      </c>
      <c r="O2447" t="s">
        <v>158</v>
      </c>
      <c r="P2447">
        <v>0.13183328589804105</v>
      </c>
      <c r="Q2447" t="s">
        <v>159</v>
      </c>
    </row>
    <row r="2448" spans="9:17" x14ac:dyDescent="0.45">
      <c r="I2448" t="s">
        <v>196</v>
      </c>
      <c r="J2448" t="s">
        <v>160</v>
      </c>
      <c r="K2448">
        <v>1.4132730334304094E-2</v>
      </c>
      <c r="L2448" t="s">
        <v>159</v>
      </c>
      <c r="N2448" t="s">
        <v>239</v>
      </c>
      <c r="O2448" t="s">
        <v>160</v>
      </c>
      <c r="P2448">
        <v>1.6886489068172646E-2</v>
      </c>
      <c r="Q2448" t="s">
        <v>159</v>
      </c>
    </row>
    <row r="2449" spans="9:17" x14ac:dyDescent="0.45">
      <c r="I2449" t="s">
        <v>196</v>
      </c>
      <c r="J2449" t="s">
        <v>161</v>
      </c>
      <c r="K2449">
        <v>0.40448070094829947</v>
      </c>
      <c r="L2449" t="s">
        <v>159</v>
      </c>
      <c r="N2449" t="s">
        <v>239</v>
      </c>
      <c r="O2449" t="s">
        <v>161</v>
      </c>
      <c r="P2449">
        <v>0.13239682569818695</v>
      </c>
      <c r="Q2449" t="s">
        <v>159</v>
      </c>
    </row>
    <row r="2450" spans="9:17" x14ac:dyDescent="0.45">
      <c r="I2450" t="s">
        <v>196</v>
      </c>
      <c r="J2450" t="s">
        <v>287</v>
      </c>
      <c r="K2450">
        <v>3.348677814854055E-2</v>
      </c>
      <c r="L2450" t="s">
        <v>159</v>
      </c>
      <c r="N2450" t="s">
        <v>239</v>
      </c>
      <c r="O2450" t="s">
        <v>287</v>
      </c>
      <c r="P2450">
        <v>1.349440877832853E-2</v>
      </c>
      <c r="Q2450" t="s">
        <v>159</v>
      </c>
    </row>
    <row r="2451" spans="9:17" x14ac:dyDescent="0.45">
      <c r="I2451" t="s">
        <v>196</v>
      </c>
      <c r="J2451" t="s">
        <v>288</v>
      </c>
      <c r="K2451">
        <v>1.6059162652008845E-2</v>
      </c>
      <c r="L2451" t="s">
        <v>159</v>
      </c>
      <c r="N2451" t="s">
        <v>239</v>
      </c>
      <c r="O2451" t="s">
        <v>288</v>
      </c>
      <c r="P2451">
        <v>1.3216152881597512E-2</v>
      </c>
      <c r="Q2451" t="s">
        <v>159</v>
      </c>
    </row>
    <row r="2452" spans="9:17" x14ac:dyDescent="0.45">
      <c r="I2452" t="s">
        <v>196</v>
      </c>
      <c r="J2452" t="s">
        <v>308</v>
      </c>
      <c r="K2452">
        <v>4.2988725822617046E-3</v>
      </c>
      <c r="L2452" t="s">
        <v>159</v>
      </c>
      <c r="N2452" t="s">
        <v>239</v>
      </c>
      <c r="O2452" t="s">
        <v>308</v>
      </c>
      <c r="P2452">
        <v>9.2049131128418865E-2</v>
      </c>
      <c r="Q2452" t="s">
        <v>159</v>
      </c>
    </row>
    <row r="2453" spans="9:17" x14ac:dyDescent="0.45">
      <c r="I2453" t="s">
        <v>196</v>
      </c>
      <c r="J2453" t="s">
        <v>162</v>
      </c>
      <c r="K2453">
        <v>0</v>
      </c>
      <c r="L2453" t="s">
        <v>159</v>
      </c>
      <c r="N2453" t="s">
        <v>239</v>
      </c>
      <c r="O2453" t="s">
        <v>162</v>
      </c>
      <c r="P2453">
        <v>2.764521963388181E-2</v>
      </c>
      <c r="Q2453" t="s">
        <v>159</v>
      </c>
    </row>
    <row r="2454" spans="9:17" x14ac:dyDescent="0.45">
      <c r="I2454" t="s">
        <v>196</v>
      </c>
      <c r="J2454" t="s">
        <v>163</v>
      </c>
      <c r="K2454">
        <v>0</v>
      </c>
      <c r="L2454" t="s">
        <v>159</v>
      </c>
      <c r="N2454" t="s">
        <v>239</v>
      </c>
      <c r="O2454" t="s">
        <v>163</v>
      </c>
      <c r="P2454">
        <v>4.0151175289475831E-3</v>
      </c>
      <c r="Q2454" t="s">
        <v>159</v>
      </c>
    </row>
    <row r="2455" spans="9:17" x14ac:dyDescent="0.45">
      <c r="I2455" t="s">
        <v>196</v>
      </c>
      <c r="J2455" t="s">
        <v>164</v>
      </c>
      <c r="K2455">
        <v>5.0966536805118881E-2</v>
      </c>
      <c r="L2455" t="s">
        <v>159</v>
      </c>
      <c r="N2455" t="s">
        <v>239</v>
      </c>
      <c r="O2455" t="s">
        <v>164</v>
      </c>
      <c r="P2455">
        <v>3.1814384148277391E-2</v>
      </c>
      <c r="Q2455" t="s">
        <v>159</v>
      </c>
    </row>
    <row r="2456" spans="9:17" x14ac:dyDescent="0.45">
      <c r="I2456" t="s">
        <v>196</v>
      </c>
      <c r="J2456" t="s">
        <v>289</v>
      </c>
      <c r="K2456">
        <v>4.1031893757419516E-3</v>
      </c>
      <c r="L2456" t="s">
        <v>159</v>
      </c>
      <c r="N2456" t="s">
        <v>239</v>
      </c>
      <c r="O2456" t="s">
        <v>289</v>
      </c>
      <c r="P2456">
        <v>3.047677954574687E-3</v>
      </c>
      <c r="Q2456" t="s">
        <v>159</v>
      </c>
    </row>
    <row r="2457" spans="9:17" x14ac:dyDescent="0.45">
      <c r="I2457" t="s">
        <v>196</v>
      </c>
      <c r="J2457" t="s">
        <v>290</v>
      </c>
      <c r="K2457">
        <v>0</v>
      </c>
      <c r="L2457" t="s">
        <v>159</v>
      </c>
      <c r="N2457" t="s">
        <v>239</v>
      </c>
      <c r="O2457" t="s">
        <v>290</v>
      </c>
      <c r="P2457">
        <v>2.9519572182102279E-3</v>
      </c>
      <c r="Q2457" t="s">
        <v>159</v>
      </c>
    </row>
    <row r="2458" spans="9:17" x14ac:dyDescent="0.45">
      <c r="I2458" t="s">
        <v>196</v>
      </c>
      <c r="J2458" t="s">
        <v>309</v>
      </c>
      <c r="K2458">
        <v>0</v>
      </c>
      <c r="L2458" t="s">
        <v>159</v>
      </c>
      <c r="N2458" t="s">
        <v>239</v>
      </c>
      <c r="O2458" t="s">
        <v>309</v>
      </c>
      <c r="P2458">
        <v>1.9463701367976417E-2</v>
      </c>
      <c r="Q2458" t="s">
        <v>159</v>
      </c>
    </row>
    <row r="2459" spans="9:17" x14ac:dyDescent="0.45">
      <c r="I2459" t="s">
        <v>196</v>
      </c>
      <c r="J2459" t="s">
        <v>346</v>
      </c>
      <c r="K2459">
        <v>0</v>
      </c>
      <c r="L2459" t="s">
        <v>159</v>
      </c>
      <c r="N2459" t="s">
        <v>239</v>
      </c>
      <c r="O2459" t="s">
        <v>346</v>
      </c>
      <c r="P2459">
        <v>6.5294762463394114E-5</v>
      </c>
      <c r="Q2459" t="s">
        <v>159</v>
      </c>
    </row>
    <row r="2460" spans="9:17" x14ac:dyDescent="0.45">
      <c r="I2460" t="s">
        <v>196</v>
      </c>
      <c r="J2460" t="s">
        <v>347</v>
      </c>
      <c r="K2460">
        <v>0</v>
      </c>
      <c r="L2460" t="s">
        <v>159</v>
      </c>
      <c r="N2460" t="s">
        <v>239</v>
      </c>
      <c r="O2460" t="s">
        <v>347</v>
      </c>
      <c r="P2460">
        <v>6.4242680402238091E-5</v>
      </c>
      <c r="Q2460" t="s">
        <v>159</v>
      </c>
    </row>
    <row r="2461" spans="9:17" x14ac:dyDescent="0.45">
      <c r="I2461" t="s">
        <v>196</v>
      </c>
      <c r="J2461" t="s">
        <v>348</v>
      </c>
      <c r="K2461">
        <v>0</v>
      </c>
      <c r="L2461" t="s">
        <v>159</v>
      </c>
      <c r="N2461" t="s">
        <v>239</v>
      </c>
      <c r="O2461" t="s">
        <v>348</v>
      </c>
      <c r="P2461">
        <v>6.1995227350963094E-5</v>
      </c>
      <c r="Q2461" t="s">
        <v>159</v>
      </c>
    </row>
    <row r="2462" spans="9:17" x14ac:dyDescent="0.45">
      <c r="I2462" t="s">
        <v>196</v>
      </c>
      <c r="J2462" t="s">
        <v>349</v>
      </c>
      <c r="K2462">
        <v>0</v>
      </c>
      <c r="L2462" t="s">
        <v>159</v>
      </c>
      <c r="N2462" t="s">
        <v>239</v>
      </c>
      <c r="O2462" t="s">
        <v>349</v>
      </c>
      <c r="P2462">
        <v>6.1253332242146736E-5</v>
      </c>
      <c r="Q2462" t="s">
        <v>159</v>
      </c>
    </row>
    <row r="2463" spans="9:17" x14ac:dyDescent="0.45">
      <c r="I2463" t="s">
        <v>196</v>
      </c>
      <c r="J2463" t="s">
        <v>350</v>
      </c>
      <c r="K2463">
        <v>0</v>
      </c>
      <c r="L2463" t="s">
        <v>159</v>
      </c>
      <c r="N2463" t="s">
        <v>239</v>
      </c>
      <c r="O2463" t="s">
        <v>350</v>
      </c>
      <c r="P2463">
        <v>6.8341093292551976E-5</v>
      </c>
      <c r="Q2463" t="s">
        <v>159</v>
      </c>
    </row>
    <row r="2464" spans="9:17" x14ac:dyDescent="0.45">
      <c r="I2464" t="s">
        <v>196</v>
      </c>
      <c r="J2464" t="s">
        <v>351</v>
      </c>
      <c r="K2464">
        <v>0</v>
      </c>
      <c r="L2464" t="s">
        <v>159</v>
      </c>
      <c r="N2464" t="s">
        <v>239</v>
      </c>
      <c r="O2464" t="s">
        <v>351</v>
      </c>
      <c r="P2464">
        <v>7.997076066372299E-5</v>
      </c>
      <c r="Q2464" t="s">
        <v>159</v>
      </c>
    </row>
    <row r="2465" spans="9:17" x14ac:dyDescent="0.45">
      <c r="I2465" t="s">
        <v>196</v>
      </c>
      <c r="J2465" t="s">
        <v>352</v>
      </c>
      <c r="K2465">
        <v>0</v>
      </c>
      <c r="L2465" t="s">
        <v>159</v>
      </c>
      <c r="N2465" t="s">
        <v>239</v>
      </c>
      <c r="O2465" t="s">
        <v>352</v>
      </c>
      <c r="P2465">
        <v>8.77395345585895E-5</v>
      </c>
      <c r="Q2465" t="s">
        <v>159</v>
      </c>
    </row>
    <row r="2466" spans="9:17" x14ac:dyDescent="0.45">
      <c r="I2466" t="s">
        <v>196</v>
      </c>
      <c r="J2466" t="s">
        <v>353</v>
      </c>
      <c r="K2466">
        <v>0</v>
      </c>
      <c r="L2466" t="s">
        <v>159</v>
      </c>
      <c r="N2466" t="s">
        <v>239</v>
      </c>
      <c r="O2466" t="s">
        <v>353</v>
      </c>
      <c r="P2466">
        <v>8.4865824522871848E-5</v>
      </c>
      <c r="Q2466" t="s">
        <v>159</v>
      </c>
    </row>
    <row r="2467" spans="9:17" x14ac:dyDescent="0.45">
      <c r="I2467" t="s">
        <v>196</v>
      </c>
      <c r="J2467" t="s">
        <v>354</v>
      </c>
      <c r="K2467">
        <v>7.3969654076487507E-5</v>
      </c>
      <c r="L2467" t="s">
        <v>159</v>
      </c>
      <c r="N2467" t="s">
        <v>239</v>
      </c>
      <c r="O2467" t="s">
        <v>354</v>
      </c>
      <c r="P2467">
        <v>7.1598736511892667E-5</v>
      </c>
      <c r="Q2467" t="s">
        <v>159</v>
      </c>
    </row>
    <row r="2468" spans="9:17" x14ac:dyDescent="0.45">
      <c r="I2468" t="s">
        <v>196</v>
      </c>
      <c r="J2468" t="s">
        <v>355</v>
      </c>
      <c r="K2468">
        <v>1.2497229980918344E-4</v>
      </c>
      <c r="L2468" t="s">
        <v>159</v>
      </c>
      <c r="N2468" t="s">
        <v>239</v>
      </c>
      <c r="O2468" t="s">
        <v>355</v>
      </c>
      <c r="P2468">
        <v>3.9201270381965555E-5</v>
      </c>
      <c r="Q2468" t="s">
        <v>159</v>
      </c>
    </row>
    <row r="2469" spans="9:17" x14ac:dyDescent="0.45">
      <c r="I2469" t="s">
        <v>196</v>
      </c>
      <c r="J2469" t="s">
        <v>356</v>
      </c>
      <c r="K2469">
        <v>2.064310383761989E-4</v>
      </c>
      <c r="L2469" t="s">
        <v>159</v>
      </c>
      <c r="N2469" t="s">
        <v>239</v>
      </c>
      <c r="O2469" t="s">
        <v>356</v>
      </c>
      <c r="P2469">
        <v>1.6513371177328656E-5</v>
      </c>
      <c r="Q2469" t="s">
        <v>159</v>
      </c>
    </row>
    <row r="2470" spans="9:17" x14ac:dyDescent="0.45">
      <c r="I2470" t="s">
        <v>196</v>
      </c>
      <c r="J2470" t="s">
        <v>357</v>
      </c>
      <c r="K2470">
        <v>2.2037462093624907E-4</v>
      </c>
      <c r="L2470" t="s">
        <v>159</v>
      </c>
      <c r="N2470" t="s">
        <v>239</v>
      </c>
      <c r="O2470" t="s">
        <v>357</v>
      </c>
      <c r="P2470">
        <v>1.6105476337308016E-5</v>
      </c>
      <c r="Q2470" t="s">
        <v>159</v>
      </c>
    </row>
    <row r="2471" spans="9:17" x14ac:dyDescent="0.45">
      <c r="I2471" t="s">
        <v>196</v>
      </c>
      <c r="J2471" t="s">
        <v>358</v>
      </c>
      <c r="K2471">
        <v>2.5062534283863463E-4</v>
      </c>
      <c r="L2471" t="s">
        <v>159</v>
      </c>
      <c r="N2471" t="s">
        <v>239</v>
      </c>
      <c r="O2471" t="s">
        <v>358</v>
      </c>
      <c r="P2471">
        <v>2.1514119489766149E-5</v>
      </c>
      <c r="Q2471" t="s">
        <v>159</v>
      </c>
    </row>
    <row r="2472" spans="9:17" x14ac:dyDescent="0.45">
      <c r="I2472" t="s">
        <v>196</v>
      </c>
      <c r="J2472" t="s">
        <v>359</v>
      </c>
      <c r="K2472">
        <v>2.4499087308826921E-4</v>
      </c>
      <c r="L2472" t="s">
        <v>159</v>
      </c>
      <c r="N2472" t="s">
        <v>239</v>
      </c>
      <c r="O2472" t="s">
        <v>359</v>
      </c>
      <c r="P2472">
        <v>2.1745736798553771E-5</v>
      </c>
      <c r="Q2472" t="s">
        <v>159</v>
      </c>
    </row>
    <row r="2473" spans="9:17" x14ac:dyDescent="0.45">
      <c r="I2473" t="s">
        <v>196</v>
      </c>
      <c r="J2473" t="s">
        <v>360</v>
      </c>
      <c r="K2473">
        <v>1.862895254197079E-4</v>
      </c>
      <c r="L2473" t="s">
        <v>159</v>
      </c>
      <c r="N2473" t="s">
        <v>239</v>
      </c>
      <c r="O2473" t="s">
        <v>360</v>
      </c>
      <c r="P2473">
        <v>2.0906078737416878E-5</v>
      </c>
      <c r="Q2473" t="s">
        <v>159</v>
      </c>
    </row>
    <row r="2474" spans="9:17" x14ac:dyDescent="0.45">
      <c r="I2474" t="s">
        <v>196</v>
      </c>
      <c r="J2474" t="s">
        <v>361</v>
      </c>
      <c r="K2474">
        <v>1.7118143052517824E-4</v>
      </c>
      <c r="L2474" t="s">
        <v>159</v>
      </c>
      <c r="N2474" t="s">
        <v>239</v>
      </c>
      <c r="O2474" t="s">
        <v>361</v>
      </c>
      <c r="P2474">
        <v>1.2291778010241102E-5</v>
      </c>
      <c r="Q2474" t="s">
        <v>159</v>
      </c>
    </row>
    <row r="2475" spans="9:17" x14ac:dyDescent="0.45">
      <c r="I2475" t="s">
        <v>196</v>
      </c>
      <c r="J2475" t="s">
        <v>362</v>
      </c>
      <c r="K2475">
        <v>1.4429548331404312E-4</v>
      </c>
      <c r="L2475" t="s">
        <v>159</v>
      </c>
      <c r="N2475" t="s">
        <v>239</v>
      </c>
      <c r="O2475" t="s">
        <v>362</v>
      </c>
      <c r="P2475">
        <v>5.6530082021905602E-6</v>
      </c>
      <c r="Q2475" t="s">
        <v>159</v>
      </c>
    </row>
    <row r="2476" spans="9:17" x14ac:dyDescent="0.45">
      <c r="I2476" t="s">
        <v>196</v>
      </c>
      <c r="J2476" t="s">
        <v>363</v>
      </c>
      <c r="K2476">
        <v>1.1351492834721763E-4</v>
      </c>
      <c r="L2476" t="s">
        <v>159</v>
      </c>
      <c r="N2476" t="s">
        <v>239</v>
      </c>
      <c r="O2476" t="s">
        <v>363</v>
      </c>
      <c r="P2476">
        <v>7.865301191813741E-7</v>
      </c>
      <c r="Q2476" t="s">
        <v>159</v>
      </c>
    </row>
    <row r="2477" spans="9:17" x14ac:dyDescent="0.45">
      <c r="I2477" t="s">
        <v>196</v>
      </c>
      <c r="J2477" t="s">
        <v>364</v>
      </c>
      <c r="K2477">
        <v>0</v>
      </c>
      <c r="L2477" t="s">
        <v>159</v>
      </c>
      <c r="N2477" t="s">
        <v>239</v>
      </c>
      <c r="O2477" t="s">
        <v>364</v>
      </c>
      <c r="P2477">
        <v>1.4315437191226233E-7</v>
      </c>
      <c r="Q2477" t="s">
        <v>159</v>
      </c>
    </row>
    <row r="2478" spans="9:17" x14ac:dyDescent="0.45">
      <c r="I2478" t="s">
        <v>196</v>
      </c>
      <c r="J2478" t="s">
        <v>365</v>
      </c>
      <c r="K2478">
        <v>0</v>
      </c>
      <c r="L2478" t="s">
        <v>159</v>
      </c>
      <c r="N2478" t="s">
        <v>239</v>
      </c>
      <c r="O2478" t="s">
        <v>365</v>
      </c>
      <c r="P2478">
        <v>1.1130865296822546E-7</v>
      </c>
      <c r="Q2478" t="s">
        <v>159</v>
      </c>
    </row>
    <row r="2479" spans="9:17" x14ac:dyDescent="0.45">
      <c r="I2479" t="s">
        <v>196</v>
      </c>
      <c r="J2479" t="s">
        <v>366</v>
      </c>
      <c r="K2479">
        <v>0</v>
      </c>
      <c r="L2479" t="s">
        <v>159</v>
      </c>
      <c r="N2479" t="s">
        <v>239</v>
      </c>
      <c r="O2479" t="s">
        <v>366</v>
      </c>
      <c r="P2479">
        <v>3.9022391860504541E-7</v>
      </c>
      <c r="Q2479" t="s">
        <v>159</v>
      </c>
    </row>
    <row r="2480" spans="9:17" x14ac:dyDescent="0.45">
      <c r="I2480" t="s">
        <v>196</v>
      </c>
      <c r="J2480" t="s">
        <v>367</v>
      </c>
      <c r="K2480">
        <v>0</v>
      </c>
      <c r="L2480" t="s">
        <v>159</v>
      </c>
      <c r="N2480" t="s">
        <v>239</v>
      </c>
      <c r="O2480" t="s">
        <v>367</v>
      </c>
      <c r="P2480">
        <v>3.5858530716405631E-6</v>
      </c>
      <c r="Q2480" t="s">
        <v>159</v>
      </c>
    </row>
    <row r="2481" spans="9:17" x14ac:dyDescent="0.45">
      <c r="I2481" t="s">
        <v>196</v>
      </c>
      <c r="J2481" t="s">
        <v>368</v>
      </c>
      <c r="K2481">
        <v>0</v>
      </c>
      <c r="L2481" t="s">
        <v>159</v>
      </c>
      <c r="N2481" t="s">
        <v>239</v>
      </c>
      <c r="O2481" t="s">
        <v>368</v>
      </c>
      <c r="P2481">
        <v>1.7210104767070124E-5</v>
      </c>
      <c r="Q2481" t="s">
        <v>159</v>
      </c>
    </row>
    <row r="2482" spans="9:17" x14ac:dyDescent="0.45">
      <c r="I2482" t="s">
        <v>196</v>
      </c>
      <c r="J2482" t="s">
        <v>369</v>
      </c>
      <c r="K2482">
        <v>0</v>
      </c>
      <c r="L2482" t="s">
        <v>159</v>
      </c>
      <c r="N2482" t="s">
        <v>239</v>
      </c>
      <c r="O2482" t="s">
        <v>369</v>
      </c>
      <c r="P2482">
        <v>3.7907887816389207E-5</v>
      </c>
      <c r="Q2482" t="s">
        <v>159</v>
      </c>
    </row>
    <row r="2483" spans="9:17" x14ac:dyDescent="0.45">
      <c r="I2483" t="s">
        <v>196</v>
      </c>
      <c r="J2483" t="s">
        <v>165</v>
      </c>
      <c r="K2483">
        <v>0</v>
      </c>
      <c r="L2483" t="s">
        <v>159</v>
      </c>
      <c r="N2483" t="s">
        <v>239</v>
      </c>
      <c r="O2483" t="s">
        <v>165</v>
      </c>
      <c r="P2483">
        <v>2.3424409443081353E-2</v>
      </c>
      <c r="Q2483" t="s">
        <v>159</v>
      </c>
    </row>
    <row r="2484" spans="9:17" x14ac:dyDescent="0.45">
      <c r="I2484" t="s">
        <v>196</v>
      </c>
      <c r="J2484" t="s">
        <v>166</v>
      </c>
      <c r="K2484">
        <v>2.0708751724862626E-4</v>
      </c>
      <c r="L2484" t="s">
        <v>159</v>
      </c>
      <c r="N2484" t="s">
        <v>239</v>
      </c>
      <c r="O2484" t="s">
        <v>166</v>
      </c>
      <c r="P2484">
        <v>3.3409687693984084E-3</v>
      </c>
      <c r="Q2484" t="s">
        <v>159</v>
      </c>
    </row>
    <row r="2485" spans="9:17" x14ac:dyDescent="0.45">
      <c r="I2485" t="s">
        <v>196</v>
      </c>
      <c r="J2485" t="s">
        <v>167</v>
      </c>
      <c r="K2485">
        <v>6.8641810144896065E-2</v>
      </c>
      <c r="L2485" t="s">
        <v>159</v>
      </c>
      <c r="N2485" t="s">
        <v>239</v>
      </c>
      <c r="O2485" t="s">
        <v>167</v>
      </c>
      <c r="P2485">
        <v>2.8826483702064871E-2</v>
      </c>
      <c r="Q2485" t="s">
        <v>159</v>
      </c>
    </row>
    <row r="2486" spans="9:17" x14ac:dyDescent="0.45">
      <c r="I2486" t="s">
        <v>196</v>
      </c>
      <c r="J2486" t="s">
        <v>291</v>
      </c>
      <c r="K2486">
        <v>6.011998727896606E-3</v>
      </c>
      <c r="L2486" t="s">
        <v>159</v>
      </c>
      <c r="N2486" t="s">
        <v>239</v>
      </c>
      <c r="O2486" t="s">
        <v>291</v>
      </c>
      <c r="P2486">
        <v>3.731215028336783E-3</v>
      </c>
      <c r="Q2486" t="s">
        <v>159</v>
      </c>
    </row>
    <row r="2487" spans="9:17" x14ac:dyDescent="0.45">
      <c r="I2487" t="s">
        <v>196</v>
      </c>
      <c r="J2487" t="s">
        <v>292</v>
      </c>
      <c r="K2487">
        <v>2.5357818873682832E-4</v>
      </c>
      <c r="L2487" t="s">
        <v>159</v>
      </c>
      <c r="N2487" t="s">
        <v>239</v>
      </c>
      <c r="O2487" t="s">
        <v>292</v>
      </c>
      <c r="P2487">
        <v>3.2653918572416022E-3</v>
      </c>
      <c r="Q2487" t="s">
        <v>159</v>
      </c>
    </row>
    <row r="2488" spans="9:17" x14ac:dyDescent="0.45">
      <c r="I2488" t="s">
        <v>196</v>
      </c>
      <c r="J2488" t="s">
        <v>310</v>
      </c>
      <c r="K2488">
        <v>0</v>
      </c>
      <c r="L2488" t="s">
        <v>159</v>
      </c>
      <c r="N2488" t="s">
        <v>239</v>
      </c>
      <c r="O2488" t="s">
        <v>310</v>
      </c>
      <c r="P2488">
        <v>1.8752878333933229E-2</v>
      </c>
      <c r="Q2488" t="s">
        <v>159</v>
      </c>
    </row>
    <row r="2489" spans="9:17" x14ac:dyDescent="0.45">
      <c r="I2489" t="s">
        <v>196</v>
      </c>
      <c r="J2489" t="s">
        <v>293</v>
      </c>
      <c r="K2489">
        <v>0</v>
      </c>
      <c r="L2489" t="s">
        <v>159</v>
      </c>
      <c r="N2489" t="s">
        <v>239</v>
      </c>
      <c r="O2489" t="s">
        <v>293</v>
      </c>
      <c r="P2489">
        <v>1.0734216538110049E-2</v>
      </c>
      <c r="Q2489" t="s">
        <v>159</v>
      </c>
    </row>
    <row r="2490" spans="9:17" x14ac:dyDescent="0.45">
      <c r="I2490" t="s">
        <v>196</v>
      </c>
      <c r="J2490" t="s">
        <v>294</v>
      </c>
      <c r="K2490">
        <v>1.0642671519283655E-3</v>
      </c>
      <c r="L2490" t="s">
        <v>159</v>
      </c>
      <c r="N2490" t="s">
        <v>239</v>
      </c>
      <c r="O2490" t="s">
        <v>294</v>
      </c>
      <c r="P2490">
        <v>1.523795713295237E-3</v>
      </c>
      <c r="Q2490" t="s">
        <v>159</v>
      </c>
    </row>
    <row r="2491" spans="9:17" x14ac:dyDescent="0.45">
      <c r="I2491" t="s">
        <v>196</v>
      </c>
      <c r="J2491" t="s">
        <v>295</v>
      </c>
      <c r="K2491">
        <v>1.6588047081399201E-2</v>
      </c>
      <c r="L2491" t="s">
        <v>159</v>
      </c>
      <c r="N2491" t="s">
        <v>239</v>
      </c>
      <c r="O2491" t="s">
        <v>295</v>
      </c>
      <c r="P2491">
        <v>1.0353152616886864E-2</v>
      </c>
      <c r="Q2491" t="s">
        <v>159</v>
      </c>
    </row>
    <row r="2492" spans="9:17" x14ac:dyDescent="0.45">
      <c r="I2492" t="s">
        <v>196</v>
      </c>
      <c r="J2492" t="s">
        <v>296</v>
      </c>
      <c r="K2492">
        <v>1.3028320979489129E-3</v>
      </c>
      <c r="L2492" t="s">
        <v>159</v>
      </c>
      <c r="N2492" t="s">
        <v>239</v>
      </c>
      <c r="O2492" t="s">
        <v>296</v>
      </c>
      <c r="P2492">
        <v>9.9631085768963441E-4</v>
      </c>
      <c r="Q2492" t="s">
        <v>159</v>
      </c>
    </row>
    <row r="2493" spans="9:17" x14ac:dyDescent="0.45">
      <c r="I2493" t="s">
        <v>196</v>
      </c>
      <c r="J2493" t="s">
        <v>297</v>
      </c>
      <c r="K2493">
        <v>9.6627248778520221E-4</v>
      </c>
      <c r="L2493" t="s">
        <v>159</v>
      </c>
      <c r="N2493" t="s">
        <v>239</v>
      </c>
      <c r="O2493" t="s">
        <v>297</v>
      </c>
      <c r="P2493">
        <v>7.3675740875014765E-4</v>
      </c>
      <c r="Q2493" t="s">
        <v>159</v>
      </c>
    </row>
    <row r="2494" spans="9:17" x14ac:dyDescent="0.45">
      <c r="I2494" t="s">
        <v>196</v>
      </c>
      <c r="J2494" t="s">
        <v>311</v>
      </c>
      <c r="K2494">
        <v>0</v>
      </c>
      <c r="L2494" t="s">
        <v>159</v>
      </c>
      <c r="N2494" t="s">
        <v>239</v>
      </c>
      <c r="O2494" t="s">
        <v>311</v>
      </c>
      <c r="P2494">
        <v>5.6141415019742413E-3</v>
      </c>
      <c r="Q2494" t="s">
        <v>159</v>
      </c>
    </row>
    <row r="2495" spans="9:17" x14ac:dyDescent="0.45">
      <c r="I2495" t="s">
        <v>196</v>
      </c>
      <c r="J2495" t="s">
        <v>298</v>
      </c>
      <c r="K2495">
        <v>3.4987641022269879E-3</v>
      </c>
      <c r="L2495" t="s">
        <v>159</v>
      </c>
      <c r="N2495" t="s">
        <v>239</v>
      </c>
      <c r="O2495" t="s">
        <v>298</v>
      </c>
      <c r="P2495">
        <v>9.4825291665577502E-2</v>
      </c>
      <c r="Q2495" t="s">
        <v>159</v>
      </c>
    </row>
    <row r="2496" spans="9:17" x14ac:dyDescent="0.45">
      <c r="I2496" t="s">
        <v>196</v>
      </c>
      <c r="J2496" t="s">
        <v>299</v>
      </c>
      <c r="K2496">
        <v>1.4268103082128366E-2</v>
      </c>
      <c r="L2496" t="s">
        <v>159</v>
      </c>
      <c r="N2496" t="s">
        <v>239</v>
      </c>
      <c r="O2496" t="s">
        <v>299</v>
      </c>
      <c r="P2496">
        <v>1.106733759116372E-2</v>
      </c>
      <c r="Q2496" t="s">
        <v>159</v>
      </c>
    </row>
    <row r="2497" spans="9:17" x14ac:dyDescent="0.45">
      <c r="I2497" t="s">
        <v>196</v>
      </c>
      <c r="J2497" t="s">
        <v>300</v>
      </c>
      <c r="K2497">
        <v>0.2412846651407152</v>
      </c>
      <c r="L2497" t="s">
        <v>159</v>
      </c>
      <c r="N2497" t="s">
        <v>239</v>
      </c>
      <c r="O2497" t="s">
        <v>300</v>
      </c>
      <c r="P2497">
        <v>0.12269789831077677</v>
      </c>
      <c r="Q2497" t="s">
        <v>159</v>
      </c>
    </row>
    <row r="2498" spans="9:17" x14ac:dyDescent="0.45">
      <c r="I2498" t="s">
        <v>196</v>
      </c>
      <c r="J2498" t="s">
        <v>301</v>
      </c>
      <c r="K2498">
        <v>1.8654677517848644E-2</v>
      </c>
      <c r="L2498" t="s">
        <v>159</v>
      </c>
      <c r="N2498" t="s">
        <v>239</v>
      </c>
      <c r="O2498" t="s">
        <v>301</v>
      </c>
      <c r="P2498">
        <v>1.6345988477528627E-2</v>
      </c>
      <c r="Q2498" t="s">
        <v>159</v>
      </c>
    </row>
    <row r="2499" spans="9:17" x14ac:dyDescent="0.45">
      <c r="I2499" t="s">
        <v>196</v>
      </c>
      <c r="J2499" t="s">
        <v>302</v>
      </c>
      <c r="K2499">
        <v>1.1776937740532461E-2</v>
      </c>
      <c r="L2499" t="s">
        <v>159</v>
      </c>
      <c r="N2499" t="s">
        <v>239</v>
      </c>
      <c r="O2499" t="s">
        <v>302</v>
      </c>
      <c r="P2499">
        <v>1.4336036421573104E-2</v>
      </c>
      <c r="Q2499" t="s">
        <v>159</v>
      </c>
    </row>
    <row r="2500" spans="9:17" x14ac:dyDescent="0.45">
      <c r="I2500" t="s">
        <v>196</v>
      </c>
      <c r="J2500" t="s">
        <v>312</v>
      </c>
      <c r="K2500">
        <v>1.2752622135451557E-5</v>
      </c>
      <c r="L2500" t="s">
        <v>159</v>
      </c>
      <c r="N2500" t="s">
        <v>239</v>
      </c>
      <c r="O2500" t="s">
        <v>312</v>
      </c>
      <c r="P2500">
        <v>7.9617388878739981E-2</v>
      </c>
      <c r="Q2500" t="s">
        <v>159</v>
      </c>
    </row>
    <row r="2501" spans="9:17" x14ac:dyDescent="0.45">
      <c r="I2501" t="s">
        <v>196</v>
      </c>
      <c r="J2501" t="s">
        <v>397</v>
      </c>
      <c r="K2501">
        <v>0</v>
      </c>
      <c r="L2501" t="s">
        <v>159</v>
      </c>
      <c r="N2501" t="s">
        <v>239</v>
      </c>
      <c r="O2501" t="s">
        <v>397</v>
      </c>
      <c r="P2501">
        <v>4.2708105213209718E-5</v>
      </c>
      <c r="Q2501" t="s">
        <v>159</v>
      </c>
    </row>
    <row r="2502" spans="9:17" x14ac:dyDescent="0.45">
      <c r="I2502" t="s">
        <v>196</v>
      </c>
      <c r="J2502" t="s">
        <v>398</v>
      </c>
      <c r="K2502">
        <v>0</v>
      </c>
      <c r="L2502" t="s">
        <v>159</v>
      </c>
      <c r="N2502" t="s">
        <v>239</v>
      </c>
      <c r="O2502" t="s">
        <v>398</v>
      </c>
      <c r="P2502">
        <v>2.6825280695576762E-5</v>
      </c>
      <c r="Q2502" t="s">
        <v>159</v>
      </c>
    </row>
    <row r="2503" spans="9:17" x14ac:dyDescent="0.45">
      <c r="I2503" t="s">
        <v>196</v>
      </c>
      <c r="J2503" t="s">
        <v>399</v>
      </c>
      <c r="K2503">
        <v>0</v>
      </c>
      <c r="L2503" t="s">
        <v>159</v>
      </c>
      <c r="N2503" t="s">
        <v>239</v>
      </c>
      <c r="O2503" t="s">
        <v>399</v>
      </c>
      <c r="P2503">
        <v>1.7318398101315984E-5</v>
      </c>
      <c r="Q2503" t="s">
        <v>159</v>
      </c>
    </row>
    <row r="2504" spans="9:17" x14ac:dyDescent="0.45">
      <c r="I2504" t="s">
        <v>196</v>
      </c>
      <c r="J2504" t="s">
        <v>400</v>
      </c>
      <c r="K2504">
        <v>0</v>
      </c>
      <c r="L2504" t="s">
        <v>159</v>
      </c>
      <c r="N2504" t="s">
        <v>239</v>
      </c>
      <c r="O2504" t="s">
        <v>400</v>
      </c>
      <c r="P2504">
        <v>1.1819845886168744E-5</v>
      </c>
      <c r="Q2504" t="s">
        <v>159</v>
      </c>
    </row>
    <row r="2505" spans="9:17" x14ac:dyDescent="0.45">
      <c r="I2505" t="s">
        <v>196</v>
      </c>
      <c r="J2505" t="s">
        <v>401</v>
      </c>
      <c r="K2505">
        <v>0</v>
      </c>
      <c r="L2505" t="s">
        <v>159</v>
      </c>
      <c r="N2505" t="s">
        <v>239</v>
      </c>
      <c r="O2505" t="s">
        <v>401</v>
      </c>
      <c r="P2505">
        <v>1.0582922765591675E-5</v>
      </c>
      <c r="Q2505" t="s">
        <v>159</v>
      </c>
    </row>
    <row r="2506" spans="9:17" x14ac:dyDescent="0.45">
      <c r="I2506" t="s">
        <v>196</v>
      </c>
      <c r="J2506" t="s">
        <v>402</v>
      </c>
      <c r="K2506">
        <v>0</v>
      </c>
      <c r="L2506" t="s">
        <v>159</v>
      </c>
      <c r="N2506" t="s">
        <v>239</v>
      </c>
      <c r="O2506" t="s">
        <v>402</v>
      </c>
      <c r="P2506">
        <v>1.2191563061101796E-5</v>
      </c>
      <c r="Q2506" t="s">
        <v>159</v>
      </c>
    </row>
    <row r="2507" spans="9:17" x14ac:dyDescent="0.45">
      <c r="I2507" t="s">
        <v>196</v>
      </c>
      <c r="J2507" t="s">
        <v>403</v>
      </c>
      <c r="K2507">
        <v>0</v>
      </c>
      <c r="L2507" t="s">
        <v>159</v>
      </c>
      <c r="N2507" t="s">
        <v>239</v>
      </c>
      <c r="O2507" t="s">
        <v>403</v>
      </c>
      <c r="P2507">
        <v>2.0599732191975158E-5</v>
      </c>
      <c r="Q2507" t="s">
        <v>159</v>
      </c>
    </row>
    <row r="2508" spans="9:17" x14ac:dyDescent="0.45">
      <c r="I2508" t="s">
        <v>196</v>
      </c>
      <c r="J2508" t="s">
        <v>404</v>
      </c>
      <c r="K2508">
        <v>2.2062281641365889E-4</v>
      </c>
      <c r="L2508" t="s">
        <v>159</v>
      </c>
      <c r="N2508" t="s">
        <v>239</v>
      </c>
      <c r="O2508" t="s">
        <v>404</v>
      </c>
      <c r="P2508">
        <v>3.0128303731040963E-5</v>
      </c>
      <c r="Q2508" t="s">
        <v>159</v>
      </c>
    </row>
    <row r="2509" spans="9:17" x14ac:dyDescent="0.45">
      <c r="I2509" t="s">
        <v>196</v>
      </c>
      <c r="J2509" t="s">
        <v>405</v>
      </c>
      <c r="K2509">
        <v>3.1948610070992701E-4</v>
      </c>
      <c r="L2509" t="s">
        <v>159</v>
      </c>
      <c r="N2509" t="s">
        <v>239</v>
      </c>
      <c r="O2509" t="s">
        <v>405</v>
      </c>
      <c r="P2509">
        <v>2.6692082393197623E-5</v>
      </c>
      <c r="Q2509" t="s">
        <v>159</v>
      </c>
    </row>
    <row r="2510" spans="9:17" x14ac:dyDescent="0.45">
      <c r="I2510" t="s">
        <v>196</v>
      </c>
      <c r="J2510" t="s">
        <v>406</v>
      </c>
      <c r="K2510">
        <v>3.5193602945632677E-4</v>
      </c>
      <c r="L2510" t="s">
        <v>159</v>
      </c>
      <c r="N2510" t="s">
        <v>239</v>
      </c>
      <c r="O2510" t="s">
        <v>406</v>
      </c>
      <c r="P2510">
        <v>3.2613329692788247E-6</v>
      </c>
      <c r="Q2510" t="s">
        <v>159</v>
      </c>
    </row>
    <row r="2511" spans="9:17" x14ac:dyDescent="0.45">
      <c r="I2511" t="s">
        <v>196</v>
      </c>
      <c r="J2511" t="s">
        <v>407</v>
      </c>
      <c r="K2511">
        <v>3.6251866134557139E-4</v>
      </c>
      <c r="L2511" t="s">
        <v>159</v>
      </c>
      <c r="N2511" t="s">
        <v>239</v>
      </c>
      <c r="O2511" t="s">
        <v>407</v>
      </c>
      <c r="P2511">
        <v>4.2009788209788444E-5</v>
      </c>
      <c r="Q2511" t="s">
        <v>159</v>
      </c>
    </row>
    <row r="2512" spans="9:17" x14ac:dyDescent="0.45">
      <c r="I2512" t="s">
        <v>196</v>
      </c>
      <c r="J2512" t="s">
        <v>408</v>
      </c>
      <c r="K2512">
        <v>3.7573121542430635E-4</v>
      </c>
      <c r="L2512" t="s">
        <v>159</v>
      </c>
      <c r="N2512" t="s">
        <v>239</v>
      </c>
      <c r="O2512" t="s">
        <v>408</v>
      </c>
      <c r="P2512">
        <v>9.9494984837755814E-5</v>
      </c>
      <c r="Q2512" t="s">
        <v>159</v>
      </c>
    </row>
    <row r="2513" spans="9:17" x14ac:dyDescent="0.45">
      <c r="I2513" t="s">
        <v>196</v>
      </c>
      <c r="J2513" t="s">
        <v>409</v>
      </c>
      <c r="K2513">
        <v>3.9625155810186824E-4</v>
      </c>
      <c r="L2513" t="s">
        <v>159</v>
      </c>
      <c r="N2513" t="s">
        <v>239</v>
      </c>
      <c r="O2513" t="s">
        <v>409</v>
      </c>
      <c r="P2513">
        <v>1.590004845893815E-4</v>
      </c>
      <c r="Q2513" t="s">
        <v>159</v>
      </c>
    </row>
    <row r="2514" spans="9:17" x14ac:dyDescent="0.45">
      <c r="I2514" t="s">
        <v>196</v>
      </c>
      <c r="J2514" t="s">
        <v>410</v>
      </c>
      <c r="K2514">
        <v>3.8310546339076165E-4</v>
      </c>
      <c r="L2514" t="s">
        <v>159</v>
      </c>
      <c r="N2514" t="s">
        <v>239</v>
      </c>
      <c r="O2514" t="s">
        <v>410</v>
      </c>
      <c r="P2514">
        <v>1.8660427660148105E-4</v>
      </c>
      <c r="Q2514" t="s">
        <v>159</v>
      </c>
    </row>
    <row r="2515" spans="9:17" x14ac:dyDescent="0.45">
      <c r="I2515" t="s">
        <v>196</v>
      </c>
      <c r="J2515" t="s">
        <v>411</v>
      </c>
      <c r="K2515">
        <v>3.5354522365973383E-4</v>
      </c>
      <c r="L2515" t="s">
        <v>159</v>
      </c>
      <c r="N2515" t="s">
        <v>239</v>
      </c>
      <c r="O2515" t="s">
        <v>411</v>
      </c>
      <c r="P2515">
        <v>1.945021823915473E-4</v>
      </c>
      <c r="Q2515" t="s">
        <v>159</v>
      </c>
    </row>
    <row r="2516" spans="9:17" x14ac:dyDescent="0.45">
      <c r="I2516" t="s">
        <v>196</v>
      </c>
      <c r="J2516" t="s">
        <v>412</v>
      </c>
      <c r="K2516">
        <v>3.2538670595316695E-4</v>
      </c>
      <c r="L2516" t="s">
        <v>159</v>
      </c>
      <c r="N2516" t="s">
        <v>239</v>
      </c>
      <c r="O2516" t="s">
        <v>412</v>
      </c>
      <c r="P2516">
        <v>1.9226215605440582E-4</v>
      </c>
      <c r="Q2516" t="s">
        <v>159</v>
      </c>
    </row>
    <row r="2517" spans="9:17" x14ac:dyDescent="0.45">
      <c r="I2517" t="s">
        <v>196</v>
      </c>
      <c r="J2517" t="s">
        <v>413</v>
      </c>
      <c r="K2517">
        <v>2.9751801396942613E-4</v>
      </c>
      <c r="L2517" t="s">
        <v>159</v>
      </c>
      <c r="N2517" t="s">
        <v>239</v>
      </c>
      <c r="O2517" t="s">
        <v>413</v>
      </c>
      <c r="P2517">
        <v>1.8825632806005968E-4</v>
      </c>
      <c r="Q2517" t="s">
        <v>159</v>
      </c>
    </row>
    <row r="2518" spans="9:17" x14ac:dyDescent="0.45">
      <c r="I2518" t="s">
        <v>196</v>
      </c>
      <c r="J2518" t="s">
        <v>414</v>
      </c>
      <c r="K2518">
        <v>2.7379462998142721E-4</v>
      </c>
      <c r="L2518" t="s">
        <v>159</v>
      </c>
      <c r="N2518" t="s">
        <v>239</v>
      </c>
      <c r="O2518" t="s">
        <v>414</v>
      </c>
      <c r="P2518">
        <v>1.5497619323089757E-4</v>
      </c>
      <c r="Q2518" t="s">
        <v>159</v>
      </c>
    </row>
    <row r="2519" spans="9:17" x14ac:dyDescent="0.45">
      <c r="I2519" t="s">
        <v>196</v>
      </c>
      <c r="J2519" t="s">
        <v>415</v>
      </c>
      <c r="K2519">
        <v>1.8167196170886069E-4</v>
      </c>
      <c r="L2519" t="s">
        <v>159</v>
      </c>
      <c r="N2519" t="s">
        <v>239</v>
      </c>
      <c r="O2519" t="s">
        <v>415</v>
      </c>
      <c r="P2519">
        <v>8.9463663245767762E-5</v>
      </c>
      <c r="Q2519" t="s">
        <v>159</v>
      </c>
    </row>
    <row r="2520" spans="9:17" x14ac:dyDescent="0.45">
      <c r="I2520" t="s">
        <v>196</v>
      </c>
      <c r="J2520" t="s">
        <v>416</v>
      </c>
      <c r="K2520">
        <v>0</v>
      </c>
      <c r="L2520" t="s">
        <v>159</v>
      </c>
      <c r="N2520" t="s">
        <v>239</v>
      </c>
      <c r="O2520" t="s">
        <v>416</v>
      </c>
      <c r="P2520">
        <v>7.4192076267409906E-5</v>
      </c>
      <c r="Q2520" t="s">
        <v>159</v>
      </c>
    </row>
    <row r="2521" spans="9:17" x14ac:dyDescent="0.45">
      <c r="I2521" t="s">
        <v>196</v>
      </c>
      <c r="J2521" t="s">
        <v>417</v>
      </c>
      <c r="K2521">
        <v>0</v>
      </c>
      <c r="L2521" t="s">
        <v>159</v>
      </c>
      <c r="N2521" t="s">
        <v>239</v>
      </c>
      <c r="O2521" t="s">
        <v>417</v>
      </c>
      <c r="P2521">
        <v>5.2211159845138548E-5</v>
      </c>
      <c r="Q2521" t="s">
        <v>159</v>
      </c>
    </row>
    <row r="2522" spans="9:17" x14ac:dyDescent="0.45">
      <c r="I2522" t="s">
        <v>196</v>
      </c>
      <c r="J2522" t="s">
        <v>418</v>
      </c>
      <c r="K2522">
        <v>0</v>
      </c>
      <c r="L2522" t="s">
        <v>159</v>
      </c>
      <c r="N2522" t="s">
        <v>239</v>
      </c>
      <c r="O2522" t="s">
        <v>418</v>
      </c>
      <c r="P2522">
        <v>2.9243579107307997E-5</v>
      </c>
      <c r="Q2522" t="s">
        <v>159</v>
      </c>
    </row>
    <row r="2523" spans="9:17" x14ac:dyDescent="0.45">
      <c r="I2523" t="s">
        <v>196</v>
      </c>
      <c r="J2523" t="s">
        <v>419</v>
      </c>
      <c r="K2523">
        <v>0</v>
      </c>
      <c r="L2523" t="s">
        <v>159</v>
      </c>
      <c r="N2523" t="s">
        <v>239</v>
      </c>
      <c r="O2523" t="s">
        <v>419</v>
      </c>
      <c r="P2523">
        <v>1.2173971804767971E-5</v>
      </c>
      <c r="Q2523" t="s">
        <v>159</v>
      </c>
    </row>
    <row r="2524" spans="9:17" x14ac:dyDescent="0.45">
      <c r="I2524" t="s">
        <v>196</v>
      </c>
      <c r="J2524" t="s">
        <v>420</v>
      </c>
      <c r="K2524">
        <v>0</v>
      </c>
      <c r="L2524" t="s">
        <v>159</v>
      </c>
      <c r="N2524" t="s">
        <v>239</v>
      </c>
      <c r="O2524" t="s">
        <v>420</v>
      </c>
      <c r="P2524">
        <v>5.544003203599837E-6</v>
      </c>
      <c r="Q2524" t="s">
        <v>159</v>
      </c>
    </row>
    <row r="2525" spans="9:17" x14ac:dyDescent="0.45">
      <c r="I2525" t="s">
        <v>196</v>
      </c>
      <c r="J2525" t="s">
        <v>313</v>
      </c>
      <c r="K2525">
        <v>1.1702635722747527E-3</v>
      </c>
      <c r="L2525" t="s">
        <v>159</v>
      </c>
      <c r="N2525" t="s">
        <v>239</v>
      </c>
      <c r="O2525" t="s">
        <v>313</v>
      </c>
      <c r="P2525">
        <v>1.8218499653342303E-2</v>
      </c>
      <c r="Q2525" t="s">
        <v>159</v>
      </c>
    </row>
    <row r="2526" spans="9:17" x14ac:dyDescent="0.45">
      <c r="I2526" t="s">
        <v>196</v>
      </c>
      <c r="J2526" t="s">
        <v>314</v>
      </c>
      <c r="K2526">
        <v>2.7869921293856709E-3</v>
      </c>
      <c r="L2526" t="s">
        <v>159</v>
      </c>
      <c r="N2526" t="s">
        <v>239</v>
      </c>
      <c r="O2526" t="s">
        <v>314</v>
      </c>
      <c r="P2526">
        <v>1.6506569782580392E-3</v>
      </c>
      <c r="Q2526" t="s">
        <v>159</v>
      </c>
    </row>
    <row r="2527" spans="9:17" x14ac:dyDescent="0.45">
      <c r="I2527" t="s">
        <v>196</v>
      </c>
      <c r="J2527" t="s">
        <v>315</v>
      </c>
      <c r="K2527">
        <v>6.8042857415190547E-2</v>
      </c>
      <c r="L2527" t="s">
        <v>159</v>
      </c>
      <c r="N2527" t="s">
        <v>239</v>
      </c>
      <c r="O2527" t="s">
        <v>315</v>
      </c>
      <c r="P2527">
        <v>1.749737688706168E-2</v>
      </c>
      <c r="Q2527" t="s">
        <v>159</v>
      </c>
    </row>
    <row r="2528" spans="9:17" x14ac:dyDescent="0.45">
      <c r="I2528" t="s">
        <v>196</v>
      </c>
      <c r="J2528" t="s">
        <v>316</v>
      </c>
      <c r="K2528">
        <v>4.5416015746014725E-3</v>
      </c>
      <c r="L2528" t="s">
        <v>159</v>
      </c>
      <c r="N2528" t="s">
        <v>239</v>
      </c>
      <c r="O2528" t="s">
        <v>316</v>
      </c>
      <c r="P2528">
        <v>2.5579534894355446E-3</v>
      </c>
      <c r="Q2528" t="s">
        <v>159</v>
      </c>
    </row>
    <row r="2529" spans="9:17" x14ac:dyDescent="0.45">
      <c r="I2529" t="s">
        <v>196</v>
      </c>
      <c r="J2529" t="s">
        <v>317</v>
      </c>
      <c r="K2529">
        <v>2.8775682820593395E-3</v>
      </c>
      <c r="L2529" t="s">
        <v>159</v>
      </c>
      <c r="N2529" t="s">
        <v>239</v>
      </c>
      <c r="O2529" t="s">
        <v>317</v>
      </c>
      <c r="P2529">
        <v>2.1802333880866615E-3</v>
      </c>
      <c r="Q2529" t="s">
        <v>159</v>
      </c>
    </row>
    <row r="2530" spans="9:17" x14ac:dyDescent="0.45">
      <c r="I2530" t="s">
        <v>196</v>
      </c>
      <c r="J2530" t="s">
        <v>318</v>
      </c>
      <c r="K2530">
        <v>1.5415653237864019E-3</v>
      </c>
      <c r="L2530" t="s">
        <v>159</v>
      </c>
      <c r="N2530" t="s">
        <v>239</v>
      </c>
      <c r="O2530" t="s">
        <v>318</v>
      </c>
      <c r="P2530">
        <v>1.6349834914761257E-2</v>
      </c>
      <c r="Q2530" t="s">
        <v>159</v>
      </c>
    </row>
    <row r="2531" spans="9:17" x14ac:dyDescent="0.45">
      <c r="I2531" t="s">
        <v>197</v>
      </c>
      <c r="J2531" t="s">
        <v>158</v>
      </c>
      <c r="K2531">
        <v>2.2684643880167103E-3</v>
      </c>
      <c r="L2531" t="s">
        <v>159</v>
      </c>
      <c r="N2531" t="s">
        <v>240</v>
      </c>
      <c r="O2531" t="s">
        <v>158</v>
      </c>
      <c r="P2531">
        <v>0.15678212210918158</v>
      </c>
      <c r="Q2531" t="s">
        <v>159</v>
      </c>
    </row>
    <row r="2532" spans="9:17" x14ac:dyDescent="0.45">
      <c r="I2532" t="s">
        <v>197</v>
      </c>
      <c r="J2532" t="s">
        <v>160</v>
      </c>
      <c r="K2532">
        <v>1.7496127057945308E-2</v>
      </c>
      <c r="L2532" t="s">
        <v>159</v>
      </c>
      <c r="N2532" t="s">
        <v>240</v>
      </c>
      <c r="O2532" t="s">
        <v>160</v>
      </c>
      <c r="P2532">
        <v>1.8706611154075761E-2</v>
      </c>
      <c r="Q2532" t="s">
        <v>159</v>
      </c>
    </row>
    <row r="2533" spans="9:17" x14ac:dyDescent="0.45">
      <c r="I2533" t="s">
        <v>197</v>
      </c>
      <c r="J2533" t="s">
        <v>161</v>
      </c>
      <c r="K2533">
        <v>0.40606496500689598</v>
      </c>
      <c r="L2533" t="s">
        <v>159</v>
      </c>
      <c r="N2533" t="s">
        <v>240</v>
      </c>
      <c r="O2533" t="s">
        <v>161</v>
      </c>
      <c r="P2533">
        <v>0.11364572519531504</v>
      </c>
      <c r="Q2533" t="s">
        <v>159</v>
      </c>
    </row>
    <row r="2534" spans="9:17" x14ac:dyDescent="0.45">
      <c r="I2534" t="s">
        <v>197</v>
      </c>
      <c r="J2534" t="s">
        <v>287</v>
      </c>
      <c r="K2534">
        <v>3.3156932188878607E-2</v>
      </c>
      <c r="L2534" t="s">
        <v>159</v>
      </c>
      <c r="N2534" t="s">
        <v>240</v>
      </c>
      <c r="O2534" t="s">
        <v>287</v>
      </c>
      <c r="P2534">
        <v>8.975984536688365E-3</v>
      </c>
      <c r="Q2534" t="s">
        <v>159</v>
      </c>
    </row>
    <row r="2535" spans="9:17" x14ac:dyDescent="0.45">
      <c r="I2535" t="s">
        <v>197</v>
      </c>
      <c r="J2535" t="s">
        <v>288</v>
      </c>
      <c r="K2535">
        <v>1.6029986658498283E-2</v>
      </c>
      <c r="L2535" t="s">
        <v>159</v>
      </c>
      <c r="N2535" t="s">
        <v>240</v>
      </c>
      <c r="O2535" t="s">
        <v>288</v>
      </c>
      <c r="P2535">
        <v>1.0809234633626425E-2</v>
      </c>
      <c r="Q2535" t="s">
        <v>159</v>
      </c>
    </row>
    <row r="2536" spans="9:17" x14ac:dyDescent="0.45">
      <c r="I2536" t="s">
        <v>197</v>
      </c>
      <c r="J2536" t="s">
        <v>308</v>
      </c>
      <c r="K2536">
        <v>4.274902393453137E-3</v>
      </c>
      <c r="L2536" t="s">
        <v>159</v>
      </c>
      <c r="N2536" t="s">
        <v>240</v>
      </c>
      <c r="O2536" t="s">
        <v>308</v>
      </c>
      <c r="P2536">
        <v>9.5909202089203019E-2</v>
      </c>
      <c r="Q2536" t="s">
        <v>159</v>
      </c>
    </row>
    <row r="2537" spans="9:17" x14ac:dyDescent="0.45">
      <c r="I2537" t="s">
        <v>197</v>
      </c>
      <c r="J2537" t="s">
        <v>162</v>
      </c>
      <c r="K2537">
        <v>0</v>
      </c>
      <c r="L2537" t="s">
        <v>159</v>
      </c>
      <c r="N2537" t="s">
        <v>240</v>
      </c>
      <c r="O2537" t="s">
        <v>162</v>
      </c>
      <c r="P2537">
        <v>3.4917594976925224E-2</v>
      </c>
      <c r="Q2537" t="s">
        <v>159</v>
      </c>
    </row>
    <row r="2538" spans="9:17" x14ac:dyDescent="0.45">
      <c r="I2538" t="s">
        <v>197</v>
      </c>
      <c r="J2538" t="s">
        <v>163</v>
      </c>
      <c r="K2538">
        <v>0</v>
      </c>
      <c r="L2538" t="s">
        <v>159</v>
      </c>
      <c r="N2538" t="s">
        <v>240</v>
      </c>
      <c r="O2538" t="s">
        <v>163</v>
      </c>
      <c r="P2538">
        <v>5.0254469954521359E-3</v>
      </c>
      <c r="Q2538" t="s">
        <v>159</v>
      </c>
    </row>
    <row r="2539" spans="9:17" x14ac:dyDescent="0.45">
      <c r="I2539" t="s">
        <v>197</v>
      </c>
      <c r="J2539" t="s">
        <v>164</v>
      </c>
      <c r="K2539">
        <v>4.8549675050938823E-2</v>
      </c>
      <c r="L2539" t="s">
        <v>159</v>
      </c>
      <c r="N2539" t="s">
        <v>240</v>
      </c>
      <c r="O2539" t="s">
        <v>164</v>
      </c>
      <c r="P2539">
        <v>3.3722843031232116E-2</v>
      </c>
      <c r="Q2539" t="s">
        <v>159</v>
      </c>
    </row>
    <row r="2540" spans="9:17" x14ac:dyDescent="0.45">
      <c r="I2540" t="s">
        <v>197</v>
      </c>
      <c r="J2540" t="s">
        <v>289</v>
      </c>
      <c r="K2540">
        <v>3.6862934528429782E-3</v>
      </c>
      <c r="L2540" t="s">
        <v>159</v>
      </c>
      <c r="N2540" t="s">
        <v>240</v>
      </c>
      <c r="O2540" t="s">
        <v>289</v>
      </c>
      <c r="P2540">
        <v>2.9285447645028052E-3</v>
      </c>
      <c r="Q2540" t="s">
        <v>159</v>
      </c>
    </row>
    <row r="2541" spans="9:17" x14ac:dyDescent="0.45">
      <c r="I2541" t="s">
        <v>197</v>
      </c>
      <c r="J2541" t="s">
        <v>290</v>
      </c>
      <c r="K2541">
        <v>0</v>
      </c>
      <c r="L2541" t="s">
        <v>159</v>
      </c>
      <c r="N2541" t="s">
        <v>240</v>
      </c>
      <c r="O2541" t="s">
        <v>290</v>
      </c>
      <c r="P2541">
        <v>3.5162205150490494E-3</v>
      </c>
      <c r="Q2541" t="s">
        <v>159</v>
      </c>
    </row>
    <row r="2542" spans="9:17" x14ac:dyDescent="0.45">
      <c r="I2542" t="s">
        <v>197</v>
      </c>
      <c r="J2542" t="s">
        <v>309</v>
      </c>
      <c r="K2542">
        <v>0</v>
      </c>
      <c r="L2542" t="s">
        <v>159</v>
      </c>
      <c r="N2542" t="s">
        <v>240</v>
      </c>
      <c r="O2542" t="s">
        <v>309</v>
      </c>
      <c r="P2542">
        <v>2.2818382599199126E-2</v>
      </c>
      <c r="Q2542" t="s">
        <v>159</v>
      </c>
    </row>
    <row r="2543" spans="9:17" x14ac:dyDescent="0.45">
      <c r="I2543" t="s">
        <v>197</v>
      </c>
      <c r="J2543" t="s">
        <v>346</v>
      </c>
      <c r="K2543">
        <v>0</v>
      </c>
      <c r="L2543" t="s">
        <v>159</v>
      </c>
      <c r="N2543" t="s">
        <v>240</v>
      </c>
      <c r="O2543" t="s">
        <v>346</v>
      </c>
      <c r="P2543">
        <v>1.0433213867698284E-4</v>
      </c>
      <c r="Q2543" t="s">
        <v>159</v>
      </c>
    </row>
    <row r="2544" spans="9:17" x14ac:dyDescent="0.45">
      <c r="I2544" t="s">
        <v>197</v>
      </c>
      <c r="J2544" t="s">
        <v>347</v>
      </c>
      <c r="K2544">
        <v>0</v>
      </c>
      <c r="L2544" t="s">
        <v>159</v>
      </c>
      <c r="N2544" t="s">
        <v>240</v>
      </c>
      <c r="O2544" t="s">
        <v>347</v>
      </c>
      <c r="P2544">
        <v>1.0562765421646426E-4</v>
      </c>
      <c r="Q2544" t="s">
        <v>159</v>
      </c>
    </row>
    <row r="2545" spans="9:17" x14ac:dyDescent="0.45">
      <c r="I2545" t="s">
        <v>197</v>
      </c>
      <c r="J2545" t="s">
        <v>348</v>
      </c>
      <c r="K2545">
        <v>0</v>
      </c>
      <c r="L2545" t="s">
        <v>159</v>
      </c>
      <c r="N2545" t="s">
        <v>240</v>
      </c>
      <c r="O2545" t="s">
        <v>348</v>
      </c>
      <c r="P2545">
        <v>1.0428842771602892E-4</v>
      </c>
      <c r="Q2545" t="s">
        <v>159</v>
      </c>
    </row>
    <row r="2546" spans="9:17" x14ac:dyDescent="0.45">
      <c r="I2546" t="s">
        <v>197</v>
      </c>
      <c r="J2546" t="s">
        <v>349</v>
      </c>
      <c r="K2546">
        <v>0</v>
      </c>
      <c r="L2546" t="s">
        <v>159</v>
      </c>
      <c r="N2546" t="s">
        <v>240</v>
      </c>
      <c r="O2546" t="s">
        <v>349</v>
      </c>
      <c r="P2546">
        <v>1.0438279297005605E-4</v>
      </c>
      <c r="Q2546" t="s">
        <v>159</v>
      </c>
    </row>
    <row r="2547" spans="9:17" x14ac:dyDescent="0.45">
      <c r="I2547" t="s">
        <v>197</v>
      </c>
      <c r="J2547" t="s">
        <v>350</v>
      </c>
      <c r="K2547">
        <v>0</v>
      </c>
      <c r="L2547" t="s">
        <v>159</v>
      </c>
      <c r="N2547" t="s">
        <v>240</v>
      </c>
      <c r="O2547" t="s">
        <v>350</v>
      </c>
      <c r="P2547">
        <v>1.0081568380731314E-4</v>
      </c>
      <c r="Q2547" t="s">
        <v>159</v>
      </c>
    </row>
    <row r="2548" spans="9:17" x14ac:dyDescent="0.45">
      <c r="I2548" t="s">
        <v>197</v>
      </c>
      <c r="J2548" t="s">
        <v>351</v>
      </c>
      <c r="K2548">
        <v>0</v>
      </c>
      <c r="L2548" t="s">
        <v>159</v>
      </c>
      <c r="N2548" t="s">
        <v>240</v>
      </c>
      <c r="O2548" t="s">
        <v>351</v>
      </c>
      <c r="P2548">
        <v>9.9128745314588465E-5</v>
      </c>
      <c r="Q2548" t="s">
        <v>159</v>
      </c>
    </row>
    <row r="2549" spans="9:17" x14ac:dyDescent="0.45">
      <c r="I2549" t="s">
        <v>197</v>
      </c>
      <c r="J2549" t="s">
        <v>352</v>
      </c>
      <c r="K2549">
        <v>0</v>
      </c>
      <c r="L2549" t="s">
        <v>159</v>
      </c>
      <c r="N2549" t="s">
        <v>240</v>
      </c>
      <c r="O2549" t="s">
        <v>352</v>
      </c>
      <c r="P2549">
        <v>8.9735227835083543E-5</v>
      </c>
      <c r="Q2549" t="s">
        <v>159</v>
      </c>
    </row>
    <row r="2550" spans="9:17" x14ac:dyDescent="0.45">
      <c r="I2550" t="s">
        <v>197</v>
      </c>
      <c r="J2550" t="s">
        <v>353</v>
      </c>
      <c r="K2550">
        <v>0</v>
      </c>
      <c r="L2550" t="s">
        <v>159</v>
      </c>
      <c r="N2550" t="s">
        <v>240</v>
      </c>
      <c r="O2550" t="s">
        <v>353</v>
      </c>
      <c r="P2550">
        <v>7.4497423350619753E-5</v>
      </c>
      <c r="Q2550" t="s">
        <v>159</v>
      </c>
    </row>
    <row r="2551" spans="9:17" x14ac:dyDescent="0.45">
      <c r="I2551" t="s">
        <v>197</v>
      </c>
      <c r="J2551" t="s">
        <v>354</v>
      </c>
      <c r="K2551">
        <v>1.1909558006694223E-4</v>
      </c>
      <c r="L2551" t="s">
        <v>159</v>
      </c>
      <c r="N2551" t="s">
        <v>240</v>
      </c>
      <c r="O2551" t="s">
        <v>354</v>
      </c>
      <c r="P2551">
        <v>3.5770263339953676E-5</v>
      </c>
      <c r="Q2551" t="s">
        <v>159</v>
      </c>
    </row>
    <row r="2552" spans="9:17" x14ac:dyDescent="0.45">
      <c r="I2552" t="s">
        <v>197</v>
      </c>
      <c r="J2552" t="s">
        <v>355</v>
      </c>
      <c r="K2552">
        <v>1.8330876392514897E-4</v>
      </c>
      <c r="L2552" t="s">
        <v>159</v>
      </c>
      <c r="N2552" t="s">
        <v>240</v>
      </c>
      <c r="O2552" t="s">
        <v>355</v>
      </c>
      <c r="P2552">
        <v>1.187137901697368E-5</v>
      </c>
      <c r="Q2552" t="s">
        <v>159</v>
      </c>
    </row>
    <row r="2553" spans="9:17" x14ac:dyDescent="0.45">
      <c r="I2553" t="s">
        <v>197</v>
      </c>
      <c r="J2553" t="s">
        <v>356</v>
      </c>
      <c r="K2553">
        <v>2.0509284339174954E-4</v>
      </c>
      <c r="L2553" t="s">
        <v>159</v>
      </c>
      <c r="N2553" t="s">
        <v>240</v>
      </c>
      <c r="O2553" t="s">
        <v>356</v>
      </c>
      <c r="P2553">
        <v>1.9412727510867656E-5</v>
      </c>
      <c r="Q2553" t="s">
        <v>159</v>
      </c>
    </row>
    <row r="2554" spans="9:17" x14ac:dyDescent="0.45">
      <c r="I2554" t="s">
        <v>197</v>
      </c>
      <c r="J2554" t="s">
        <v>357</v>
      </c>
      <c r="K2554">
        <v>2.1051413008622491E-4</v>
      </c>
      <c r="L2554" t="s">
        <v>159</v>
      </c>
      <c r="N2554" t="s">
        <v>240</v>
      </c>
      <c r="O2554" t="s">
        <v>357</v>
      </c>
      <c r="P2554">
        <v>2.9180295734623078E-5</v>
      </c>
      <c r="Q2554" t="s">
        <v>159</v>
      </c>
    </row>
    <row r="2555" spans="9:17" x14ac:dyDescent="0.45">
      <c r="I2555" t="s">
        <v>197</v>
      </c>
      <c r="J2555" t="s">
        <v>358</v>
      </c>
      <c r="K2555">
        <v>2.0386038905551951E-4</v>
      </c>
      <c r="L2555" t="s">
        <v>159</v>
      </c>
      <c r="N2555" t="s">
        <v>240</v>
      </c>
      <c r="O2555" t="s">
        <v>358</v>
      </c>
      <c r="P2555">
        <v>3.0495091762182032E-5</v>
      </c>
      <c r="Q2555" t="s">
        <v>159</v>
      </c>
    </row>
    <row r="2556" spans="9:17" x14ac:dyDescent="0.45">
      <c r="I2556" t="s">
        <v>197</v>
      </c>
      <c r="J2556" t="s">
        <v>359</v>
      </c>
      <c r="K2556">
        <v>1.9677995903597402E-4</v>
      </c>
      <c r="L2556" t="s">
        <v>159</v>
      </c>
      <c r="N2556" t="s">
        <v>240</v>
      </c>
      <c r="O2556" t="s">
        <v>359</v>
      </c>
      <c r="P2556">
        <v>3.7928919192505165E-5</v>
      </c>
      <c r="Q2556" t="s">
        <v>159</v>
      </c>
    </row>
    <row r="2557" spans="9:17" x14ac:dyDescent="0.45">
      <c r="I2557" t="s">
        <v>197</v>
      </c>
      <c r="J2557" t="s">
        <v>360</v>
      </c>
      <c r="K2557">
        <v>1.3820862943300262E-4</v>
      </c>
      <c r="L2557" t="s">
        <v>159</v>
      </c>
      <c r="N2557" t="s">
        <v>240</v>
      </c>
      <c r="O2557" t="s">
        <v>360</v>
      </c>
      <c r="P2557">
        <v>4.2710303588075085E-5</v>
      </c>
      <c r="Q2557" t="s">
        <v>159</v>
      </c>
    </row>
    <row r="2558" spans="9:17" x14ac:dyDescent="0.45">
      <c r="I2558" t="s">
        <v>197</v>
      </c>
      <c r="J2558" t="s">
        <v>361</v>
      </c>
      <c r="K2558">
        <v>1.1420077213935469E-4</v>
      </c>
      <c r="L2558" t="s">
        <v>159</v>
      </c>
      <c r="N2558" t="s">
        <v>240</v>
      </c>
      <c r="O2558" t="s">
        <v>361</v>
      </c>
      <c r="P2558">
        <v>4.1705675621973997E-5</v>
      </c>
      <c r="Q2558" t="s">
        <v>159</v>
      </c>
    </row>
    <row r="2559" spans="9:17" x14ac:dyDescent="0.45">
      <c r="I2559" t="s">
        <v>197</v>
      </c>
      <c r="J2559" t="s">
        <v>362</v>
      </c>
      <c r="K2559">
        <v>8.5742319025758142E-5</v>
      </c>
      <c r="L2559" t="s">
        <v>159</v>
      </c>
      <c r="N2559" t="s">
        <v>240</v>
      </c>
      <c r="O2559" t="s">
        <v>362</v>
      </c>
      <c r="P2559">
        <v>2.6713457495276505E-5</v>
      </c>
      <c r="Q2559" t="s">
        <v>159</v>
      </c>
    </row>
    <row r="2560" spans="9:17" x14ac:dyDescent="0.45">
      <c r="I2560" t="s">
        <v>197</v>
      </c>
      <c r="J2560" t="s">
        <v>363</v>
      </c>
      <c r="K2560">
        <v>8.0064902200816603E-5</v>
      </c>
      <c r="L2560" t="s">
        <v>159</v>
      </c>
      <c r="N2560" t="s">
        <v>240</v>
      </c>
      <c r="O2560" t="s">
        <v>363</v>
      </c>
      <c r="P2560">
        <v>2.3290228351239789E-5</v>
      </c>
      <c r="Q2560" t="s">
        <v>159</v>
      </c>
    </row>
    <row r="2561" spans="9:17" x14ac:dyDescent="0.45">
      <c r="I2561" t="s">
        <v>197</v>
      </c>
      <c r="J2561" t="s">
        <v>364</v>
      </c>
      <c r="K2561">
        <v>0</v>
      </c>
      <c r="L2561" t="s">
        <v>159</v>
      </c>
      <c r="N2561" t="s">
        <v>240</v>
      </c>
      <c r="O2561" t="s">
        <v>364</v>
      </c>
      <c r="P2561">
        <v>2.5617913117386132E-5</v>
      </c>
      <c r="Q2561" t="s">
        <v>159</v>
      </c>
    </row>
    <row r="2562" spans="9:17" x14ac:dyDescent="0.45">
      <c r="I2562" t="s">
        <v>197</v>
      </c>
      <c r="J2562" t="s">
        <v>365</v>
      </c>
      <c r="K2562">
        <v>0</v>
      </c>
      <c r="L2562" t="s">
        <v>159</v>
      </c>
      <c r="N2562" t="s">
        <v>240</v>
      </c>
      <c r="O2562" t="s">
        <v>365</v>
      </c>
      <c r="P2562">
        <v>2.7665025155716513E-5</v>
      </c>
      <c r="Q2562" t="s">
        <v>159</v>
      </c>
    </row>
    <row r="2563" spans="9:17" x14ac:dyDescent="0.45">
      <c r="I2563" t="s">
        <v>197</v>
      </c>
      <c r="J2563" t="s">
        <v>366</v>
      </c>
      <c r="K2563">
        <v>0</v>
      </c>
      <c r="L2563" t="s">
        <v>159</v>
      </c>
      <c r="N2563" t="s">
        <v>240</v>
      </c>
      <c r="O2563" t="s">
        <v>366</v>
      </c>
      <c r="P2563">
        <v>3.0132136063134344E-5</v>
      </c>
      <c r="Q2563" t="s">
        <v>159</v>
      </c>
    </row>
    <row r="2564" spans="9:17" x14ac:dyDescent="0.45">
      <c r="I2564" t="s">
        <v>197</v>
      </c>
      <c r="J2564" t="s">
        <v>367</v>
      </c>
      <c r="K2564">
        <v>0</v>
      </c>
      <c r="L2564" t="s">
        <v>159</v>
      </c>
      <c r="N2564" t="s">
        <v>240</v>
      </c>
      <c r="O2564" t="s">
        <v>367</v>
      </c>
      <c r="P2564">
        <v>3.3928627130139117E-5</v>
      </c>
      <c r="Q2564" t="s">
        <v>159</v>
      </c>
    </row>
    <row r="2565" spans="9:17" x14ac:dyDescent="0.45">
      <c r="I2565" t="s">
        <v>197</v>
      </c>
      <c r="J2565" t="s">
        <v>368</v>
      </c>
      <c r="K2565">
        <v>0</v>
      </c>
      <c r="L2565" t="s">
        <v>159</v>
      </c>
      <c r="N2565" t="s">
        <v>240</v>
      </c>
      <c r="O2565" t="s">
        <v>368</v>
      </c>
      <c r="P2565">
        <v>4.2344205878890352E-5</v>
      </c>
      <c r="Q2565" t="s">
        <v>159</v>
      </c>
    </row>
    <row r="2566" spans="9:17" x14ac:dyDescent="0.45">
      <c r="I2566" t="s">
        <v>197</v>
      </c>
      <c r="J2566" t="s">
        <v>369</v>
      </c>
      <c r="K2566">
        <v>0</v>
      </c>
      <c r="L2566" t="s">
        <v>159</v>
      </c>
      <c r="N2566" t="s">
        <v>240</v>
      </c>
      <c r="O2566" t="s">
        <v>369</v>
      </c>
      <c r="P2566">
        <v>4.5832179156052038E-5</v>
      </c>
      <c r="Q2566" t="s">
        <v>159</v>
      </c>
    </row>
    <row r="2567" spans="9:17" x14ac:dyDescent="0.45">
      <c r="I2567" t="s">
        <v>197</v>
      </c>
      <c r="J2567" t="s">
        <v>165</v>
      </c>
      <c r="K2567">
        <v>0</v>
      </c>
      <c r="L2567" t="s">
        <v>159</v>
      </c>
      <c r="N2567" t="s">
        <v>240</v>
      </c>
      <c r="O2567" t="s">
        <v>165</v>
      </c>
      <c r="P2567">
        <v>2.7515568754173513E-2</v>
      </c>
      <c r="Q2567" t="s">
        <v>159</v>
      </c>
    </row>
    <row r="2568" spans="9:17" x14ac:dyDescent="0.45">
      <c r="I2568" t="s">
        <v>197</v>
      </c>
      <c r="J2568" t="s">
        <v>166</v>
      </c>
      <c r="K2568">
        <v>8.5199709049969829E-4</v>
      </c>
      <c r="L2568" t="s">
        <v>159</v>
      </c>
      <c r="N2568" t="s">
        <v>240</v>
      </c>
      <c r="O2568" t="s">
        <v>166</v>
      </c>
      <c r="P2568">
        <v>3.7747654256377241E-3</v>
      </c>
      <c r="Q2568" t="s">
        <v>159</v>
      </c>
    </row>
    <row r="2569" spans="9:17" x14ac:dyDescent="0.45">
      <c r="I2569" t="s">
        <v>197</v>
      </c>
      <c r="J2569" t="s">
        <v>167</v>
      </c>
      <c r="K2569">
        <v>6.6601758344281559E-2</v>
      </c>
      <c r="L2569" t="s">
        <v>159</v>
      </c>
      <c r="N2569" t="s">
        <v>240</v>
      </c>
      <c r="O2569" t="s">
        <v>167</v>
      </c>
      <c r="P2569">
        <v>2.6829312193739196E-2</v>
      </c>
      <c r="Q2569" t="s">
        <v>159</v>
      </c>
    </row>
    <row r="2570" spans="9:17" x14ac:dyDescent="0.45">
      <c r="I2570" t="s">
        <v>197</v>
      </c>
      <c r="J2570" t="s">
        <v>291</v>
      </c>
      <c r="K2570">
        <v>5.3556598348633438E-3</v>
      </c>
      <c r="L2570" t="s">
        <v>159</v>
      </c>
      <c r="N2570" t="s">
        <v>240</v>
      </c>
      <c r="O2570" t="s">
        <v>291</v>
      </c>
      <c r="P2570">
        <v>2.6679505412336769E-3</v>
      </c>
      <c r="Q2570" t="s">
        <v>159</v>
      </c>
    </row>
    <row r="2571" spans="9:17" x14ac:dyDescent="0.45">
      <c r="I2571" t="s">
        <v>197</v>
      </c>
      <c r="J2571" t="s">
        <v>292</v>
      </c>
      <c r="K2571">
        <v>0</v>
      </c>
      <c r="L2571" t="s">
        <v>159</v>
      </c>
      <c r="N2571" t="s">
        <v>240</v>
      </c>
      <c r="O2571" t="s">
        <v>292</v>
      </c>
      <c r="P2571">
        <v>3.1533967843915046E-3</v>
      </c>
      <c r="Q2571" t="s">
        <v>159</v>
      </c>
    </row>
    <row r="2572" spans="9:17" x14ac:dyDescent="0.45">
      <c r="I2572" t="s">
        <v>197</v>
      </c>
      <c r="J2572" t="s">
        <v>310</v>
      </c>
      <c r="K2572">
        <v>0</v>
      </c>
      <c r="L2572" t="s">
        <v>159</v>
      </c>
      <c r="N2572" t="s">
        <v>240</v>
      </c>
      <c r="O2572" t="s">
        <v>310</v>
      </c>
      <c r="P2572">
        <v>2.1574220545763165E-2</v>
      </c>
      <c r="Q2572" t="s">
        <v>159</v>
      </c>
    </row>
    <row r="2573" spans="9:17" x14ac:dyDescent="0.45">
      <c r="I2573" t="s">
        <v>197</v>
      </c>
      <c r="J2573" t="s">
        <v>293</v>
      </c>
      <c r="K2573">
        <v>0</v>
      </c>
      <c r="L2573" t="s">
        <v>159</v>
      </c>
      <c r="N2573" t="s">
        <v>240</v>
      </c>
      <c r="O2573" t="s">
        <v>293</v>
      </c>
      <c r="P2573">
        <v>1.3315073604121328E-2</v>
      </c>
      <c r="Q2573" t="s">
        <v>159</v>
      </c>
    </row>
    <row r="2574" spans="9:17" x14ac:dyDescent="0.45">
      <c r="I2574" t="s">
        <v>197</v>
      </c>
      <c r="J2574" t="s">
        <v>294</v>
      </c>
      <c r="K2574">
        <v>9.6851627895289214E-4</v>
      </c>
      <c r="L2574" t="s">
        <v>159</v>
      </c>
      <c r="N2574" t="s">
        <v>240</v>
      </c>
      <c r="O2574" t="s">
        <v>294</v>
      </c>
      <c r="P2574">
        <v>1.6428717634849915E-3</v>
      </c>
      <c r="Q2574" t="s">
        <v>159</v>
      </c>
    </row>
    <row r="2575" spans="9:17" x14ac:dyDescent="0.45">
      <c r="I2575" t="s">
        <v>197</v>
      </c>
      <c r="J2575" t="s">
        <v>295</v>
      </c>
      <c r="K2575">
        <v>1.6800083075054959E-2</v>
      </c>
      <c r="L2575" t="s">
        <v>159</v>
      </c>
      <c r="N2575" t="s">
        <v>240</v>
      </c>
      <c r="O2575" t="s">
        <v>295</v>
      </c>
      <c r="P2575">
        <v>1.0532005417086855E-2</v>
      </c>
      <c r="Q2575" t="s">
        <v>159</v>
      </c>
    </row>
    <row r="2576" spans="9:17" x14ac:dyDescent="0.45">
      <c r="I2576" t="s">
        <v>197</v>
      </c>
      <c r="J2576" t="s">
        <v>296</v>
      </c>
      <c r="K2576">
        <v>1.4049502349219617E-3</v>
      </c>
      <c r="L2576" t="s">
        <v>159</v>
      </c>
      <c r="N2576" t="s">
        <v>240</v>
      </c>
      <c r="O2576" t="s">
        <v>296</v>
      </c>
      <c r="P2576">
        <v>6.281701207490742E-4</v>
      </c>
      <c r="Q2576" t="s">
        <v>159</v>
      </c>
    </row>
    <row r="2577" spans="9:17" x14ac:dyDescent="0.45">
      <c r="I2577" t="s">
        <v>197</v>
      </c>
      <c r="J2577" t="s">
        <v>297</v>
      </c>
      <c r="K2577">
        <v>1.6844547457916595E-4</v>
      </c>
      <c r="L2577" t="s">
        <v>159</v>
      </c>
      <c r="N2577" t="s">
        <v>240</v>
      </c>
      <c r="O2577" t="s">
        <v>297</v>
      </c>
      <c r="P2577">
        <v>8.4484068377726085E-4</v>
      </c>
      <c r="Q2577" t="s">
        <v>159</v>
      </c>
    </row>
    <row r="2578" spans="9:17" x14ac:dyDescent="0.45">
      <c r="I2578" t="s">
        <v>197</v>
      </c>
      <c r="J2578" t="s">
        <v>311</v>
      </c>
      <c r="K2578">
        <v>0</v>
      </c>
      <c r="L2578" t="s">
        <v>159</v>
      </c>
      <c r="N2578" t="s">
        <v>240</v>
      </c>
      <c r="O2578" t="s">
        <v>311</v>
      </c>
      <c r="P2578">
        <v>8.4629407476065135E-3</v>
      </c>
      <c r="Q2578" t="s">
        <v>159</v>
      </c>
    </row>
    <row r="2579" spans="9:17" x14ac:dyDescent="0.45">
      <c r="I2579" t="s">
        <v>197</v>
      </c>
      <c r="J2579" t="s">
        <v>298</v>
      </c>
      <c r="K2579">
        <v>5.0668435961412689E-3</v>
      </c>
      <c r="L2579" t="s">
        <v>159</v>
      </c>
      <c r="N2579" t="s">
        <v>240</v>
      </c>
      <c r="O2579" t="s">
        <v>298</v>
      </c>
      <c r="P2579">
        <v>0.10275618608015431</v>
      </c>
      <c r="Q2579" t="s">
        <v>159</v>
      </c>
    </row>
    <row r="2580" spans="9:17" x14ac:dyDescent="0.45">
      <c r="I2580" t="s">
        <v>197</v>
      </c>
      <c r="J2580" t="s">
        <v>299</v>
      </c>
      <c r="K2580">
        <v>1.5334416993877924E-2</v>
      </c>
      <c r="L2580" t="s">
        <v>159</v>
      </c>
      <c r="N2580" t="s">
        <v>240</v>
      </c>
      <c r="O2580" t="s">
        <v>299</v>
      </c>
      <c r="P2580">
        <v>1.1224585270654222E-2</v>
      </c>
      <c r="Q2580" t="s">
        <v>159</v>
      </c>
    </row>
    <row r="2581" spans="9:17" x14ac:dyDescent="0.45">
      <c r="I2581" t="s">
        <v>197</v>
      </c>
      <c r="J2581" t="s">
        <v>300</v>
      </c>
      <c r="K2581">
        <v>0.24056274516498222</v>
      </c>
      <c r="L2581" t="s">
        <v>159</v>
      </c>
      <c r="N2581" t="s">
        <v>240</v>
      </c>
      <c r="O2581" t="s">
        <v>300</v>
      </c>
      <c r="P2581">
        <v>0.10426958190901932</v>
      </c>
      <c r="Q2581" t="s">
        <v>159</v>
      </c>
    </row>
    <row r="2582" spans="9:17" x14ac:dyDescent="0.45">
      <c r="I2582" t="s">
        <v>197</v>
      </c>
      <c r="J2582" t="s">
        <v>301</v>
      </c>
      <c r="K2582">
        <v>1.7873382993574379E-2</v>
      </c>
      <c r="L2582" t="s">
        <v>159</v>
      </c>
      <c r="N2582" t="s">
        <v>240</v>
      </c>
      <c r="O2582" t="s">
        <v>301</v>
      </c>
      <c r="P2582">
        <v>1.0480140625741907E-2</v>
      </c>
      <c r="Q2582" t="s">
        <v>159</v>
      </c>
    </row>
    <row r="2583" spans="9:17" x14ac:dyDescent="0.45">
      <c r="I2583" t="s">
        <v>197</v>
      </c>
      <c r="J2583" t="s">
        <v>302</v>
      </c>
      <c r="K2583">
        <v>1.1185373678711072E-2</v>
      </c>
      <c r="L2583" t="s">
        <v>159</v>
      </c>
      <c r="N2583" t="s">
        <v>240</v>
      </c>
      <c r="O2583" t="s">
        <v>302</v>
      </c>
      <c r="P2583">
        <v>1.1430914540787334E-2</v>
      </c>
      <c r="Q2583" t="s">
        <v>159</v>
      </c>
    </row>
    <row r="2584" spans="9:17" x14ac:dyDescent="0.45">
      <c r="I2584" t="s">
        <v>197</v>
      </c>
      <c r="J2584" t="s">
        <v>312</v>
      </c>
      <c r="K2584">
        <v>0</v>
      </c>
      <c r="L2584" t="s">
        <v>159</v>
      </c>
      <c r="N2584" t="s">
        <v>240</v>
      </c>
      <c r="O2584" t="s">
        <v>312</v>
      </c>
      <c r="P2584">
        <v>7.6001148658404974E-2</v>
      </c>
      <c r="Q2584" t="s">
        <v>159</v>
      </c>
    </row>
    <row r="2585" spans="9:17" x14ac:dyDescent="0.45">
      <c r="I2585" t="s">
        <v>197</v>
      </c>
      <c r="J2585" t="s">
        <v>397</v>
      </c>
      <c r="K2585">
        <v>0</v>
      </c>
      <c r="L2585" t="s">
        <v>159</v>
      </c>
      <c r="N2585" t="s">
        <v>240</v>
      </c>
      <c r="O2585" t="s">
        <v>397</v>
      </c>
      <c r="P2585">
        <v>7.5146704009436172E-5</v>
      </c>
      <c r="Q2585" t="s">
        <v>159</v>
      </c>
    </row>
    <row r="2586" spans="9:17" x14ac:dyDescent="0.45">
      <c r="I2586" t="s">
        <v>197</v>
      </c>
      <c r="J2586" t="s">
        <v>398</v>
      </c>
      <c r="K2586">
        <v>0</v>
      </c>
      <c r="L2586" t="s">
        <v>159</v>
      </c>
      <c r="N2586" t="s">
        <v>240</v>
      </c>
      <c r="O2586" t="s">
        <v>398</v>
      </c>
      <c r="P2586">
        <v>9.2428479899437697E-5</v>
      </c>
      <c r="Q2586" t="s">
        <v>159</v>
      </c>
    </row>
    <row r="2587" spans="9:17" x14ac:dyDescent="0.45">
      <c r="I2587" t="s">
        <v>197</v>
      </c>
      <c r="J2587" t="s">
        <v>399</v>
      </c>
      <c r="K2587">
        <v>0</v>
      </c>
      <c r="L2587" t="s">
        <v>159</v>
      </c>
      <c r="N2587" t="s">
        <v>240</v>
      </c>
      <c r="O2587" t="s">
        <v>399</v>
      </c>
      <c r="P2587">
        <v>1.0725670109191172E-4</v>
      </c>
      <c r="Q2587" t="s">
        <v>159</v>
      </c>
    </row>
    <row r="2588" spans="9:17" x14ac:dyDescent="0.45">
      <c r="I2588" t="s">
        <v>197</v>
      </c>
      <c r="J2588" t="s">
        <v>400</v>
      </c>
      <c r="K2588">
        <v>0</v>
      </c>
      <c r="L2588" t="s">
        <v>159</v>
      </c>
      <c r="N2588" t="s">
        <v>240</v>
      </c>
      <c r="O2588" t="s">
        <v>400</v>
      </c>
      <c r="P2588">
        <v>1.0991199869226326E-4</v>
      </c>
      <c r="Q2588" t="s">
        <v>159</v>
      </c>
    </row>
    <row r="2589" spans="9:17" x14ac:dyDescent="0.45">
      <c r="I2589" t="s">
        <v>197</v>
      </c>
      <c r="J2589" t="s">
        <v>401</v>
      </c>
      <c r="K2589">
        <v>0</v>
      </c>
      <c r="L2589" t="s">
        <v>159</v>
      </c>
      <c r="N2589" t="s">
        <v>240</v>
      </c>
      <c r="O2589" t="s">
        <v>401</v>
      </c>
      <c r="P2589">
        <v>1.0129905774240235E-4</v>
      </c>
      <c r="Q2589" t="s">
        <v>159</v>
      </c>
    </row>
    <row r="2590" spans="9:17" x14ac:dyDescent="0.45">
      <c r="I2590" t="s">
        <v>197</v>
      </c>
      <c r="J2590" t="s">
        <v>402</v>
      </c>
      <c r="K2590">
        <v>0</v>
      </c>
      <c r="L2590" t="s">
        <v>159</v>
      </c>
      <c r="N2590" t="s">
        <v>240</v>
      </c>
      <c r="O2590" t="s">
        <v>402</v>
      </c>
      <c r="P2590">
        <v>9.1003208401835308E-5</v>
      </c>
      <c r="Q2590" t="s">
        <v>159</v>
      </c>
    </row>
    <row r="2591" spans="9:17" x14ac:dyDescent="0.45">
      <c r="I2591" t="s">
        <v>197</v>
      </c>
      <c r="J2591" t="s">
        <v>403</v>
      </c>
      <c r="K2591">
        <v>0</v>
      </c>
      <c r="L2591" t="s">
        <v>159</v>
      </c>
      <c r="N2591" t="s">
        <v>240</v>
      </c>
      <c r="O2591" t="s">
        <v>403</v>
      </c>
      <c r="P2591">
        <v>6.7708725618546284E-5</v>
      </c>
      <c r="Q2591" t="s">
        <v>159</v>
      </c>
    </row>
    <row r="2592" spans="9:17" x14ac:dyDescent="0.45">
      <c r="I2592" t="s">
        <v>197</v>
      </c>
      <c r="J2592" t="s">
        <v>404</v>
      </c>
      <c r="K2592">
        <v>2.0023405668742145E-4</v>
      </c>
      <c r="L2592" t="s">
        <v>159</v>
      </c>
      <c r="N2592" t="s">
        <v>240</v>
      </c>
      <c r="O2592" t="s">
        <v>404</v>
      </c>
      <c r="P2592">
        <v>3.6024119032669347E-5</v>
      </c>
      <c r="Q2592" t="s">
        <v>159</v>
      </c>
    </row>
    <row r="2593" spans="9:17" x14ac:dyDescent="0.45">
      <c r="I2593" t="s">
        <v>197</v>
      </c>
      <c r="J2593" t="s">
        <v>405</v>
      </c>
      <c r="K2593">
        <v>2.8980206574418286E-4</v>
      </c>
      <c r="L2593" t="s">
        <v>159</v>
      </c>
      <c r="N2593" t="s">
        <v>240</v>
      </c>
      <c r="O2593" t="s">
        <v>405</v>
      </c>
      <c r="P2593">
        <v>7.5547095444526838E-6</v>
      </c>
      <c r="Q2593" t="s">
        <v>159</v>
      </c>
    </row>
    <row r="2594" spans="9:17" x14ac:dyDescent="0.45">
      <c r="I2594" t="s">
        <v>197</v>
      </c>
      <c r="J2594" t="s">
        <v>406</v>
      </c>
      <c r="K2594">
        <v>3.3882845280790896E-4</v>
      </c>
      <c r="L2594" t="s">
        <v>159</v>
      </c>
      <c r="N2594" t="s">
        <v>240</v>
      </c>
      <c r="O2594" t="s">
        <v>406</v>
      </c>
      <c r="P2594">
        <v>9.823479764514414E-6</v>
      </c>
      <c r="Q2594" t="s">
        <v>159</v>
      </c>
    </row>
    <row r="2595" spans="9:17" x14ac:dyDescent="0.45">
      <c r="I2595" t="s">
        <v>197</v>
      </c>
      <c r="J2595" t="s">
        <v>407</v>
      </c>
      <c r="K2595">
        <v>3.5444860812458069E-4</v>
      </c>
      <c r="L2595" t="s">
        <v>159</v>
      </c>
      <c r="N2595" t="s">
        <v>240</v>
      </c>
      <c r="O2595" t="s">
        <v>407</v>
      </c>
      <c r="P2595">
        <v>2.2316332688732406E-5</v>
      </c>
      <c r="Q2595" t="s">
        <v>159</v>
      </c>
    </row>
    <row r="2596" spans="9:17" x14ac:dyDescent="0.45">
      <c r="I2596" t="s">
        <v>197</v>
      </c>
      <c r="J2596" t="s">
        <v>408</v>
      </c>
      <c r="K2596">
        <v>3.770130616979524E-4</v>
      </c>
      <c r="L2596" t="s">
        <v>159</v>
      </c>
      <c r="N2596" t="s">
        <v>240</v>
      </c>
      <c r="O2596" t="s">
        <v>408</v>
      </c>
      <c r="P2596">
        <v>3.1747369670596691E-5</v>
      </c>
      <c r="Q2596" t="s">
        <v>159</v>
      </c>
    </row>
    <row r="2597" spans="9:17" x14ac:dyDescent="0.45">
      <c r="I2597" t="s">
        <v>197</v>
      </c>
      <c r="J2597" t="s">
        <v>409</v>
      </c>
      <c r="K2597">
        <v>4.153534624914885E-4</v>
      </c>
      <c r="L2597" t="s">
        <v>159</v>
      </c>
      <c r="N2597" t="s">
        <v>240</v>
      </c>
      <c r="O2597" t="s">
        <v>409</v>
      </c>
      <c r="P2597">
        <v>4.5217155412329467E-5</v>
      </c>
      <c r="Q2597" t="s">
        <v>159</v>
      </c>
    </row>
    <row r="2598" spans="9:17" x14ac:dyDescent="0.45">
      <c r="I2598" t="s">
        <v>197</v>
      </c>
      <c r="J2598" t="s">
        <v>410</v>
      </c>
      <c r="K2598">
        <v>3.9932782434661912E-4</v>
      </c>
      <c r="L2598" t="s">
        <v>159</v>
      </c>
      <c r="N2598" t="s">
        <v>240</v>
      </c>
      <c r="O2598" t="s">
        <v>410</v>
      </c>
      <c r="P2598">
        <v>6.4396910788331715E-5</v>
      </c>
      <c r="Q2598" t="s">
        <v>159</v>
      </c>
    </row>
    <row r="2599" spans="9:17" x14ac:dyDescent="0.45">
      <c r="I2599" t="s">
        <v>197</v>
      </c>
      <c r="J2599" t="s">
        <v>411</v>
      </c>
      <c r="K2599">
        <v>3.6707252223905145E-4</v>
      </c>
      <c r="L2599" t="s">
        <v>159</v>
      </c>
      <c r="N2599" t="s">
        <v>240</v>
      </c>
      <c r="O2599" t="s">
        <v>411</v>
      </c>
      <c r="P2599">
        <v>8.3008557990627962E-5</v>
      </c>
      <c r="Q2599" t="s">
        <v>159</v>
      </c>
    </row>
    <row r="2600" spans="9:17" x14ac:dyDescent="0.45">
      <c r="I2600" t="s">
        <v>197</v>
      </c>
      <c r="J2600" t="s">
        <v>412</v>
      </c>
      <c r="K2600">
        <v>3.4347031363359887E-4</v>
      </c>
      <c r="L2600" t="s">
        <v>159</v>
      </c>
      <c r="N2600" t="s">
        <v>240</v>
      </c>
      <c r="O2600" t="s">
        <v>412</v>
      </c>
      <c r="P2600">
        <v>8.562875522466468E-5</v>
      </c>
      <c r="Q2600" t="s">
        <v>159</v>
      </c>
    </row>
    <row r="2601" spans="9:17" x14ac:dyDescent="0.45">
      <c r="I2601" t="s">
        <v>197</v>
      </c>
      <c r="J2601" t="s">
        <v>413</v>
      </c>
      <c r="K2601">
        <v>3.1659748556964033E-4</v>
      </c>
      <c r="L2601" t="s">
        <v>159</v>
      </c>
      <c r="N2601" t="s">
        <v>240</v>
      </c>
      <c r="O2601" t="s">
        <v>413</v>
      </c>
      <c r="P2601">
        <v>6.583159613273107E-5</v>
      </c>
      <c r="Q2601" t="s">
        <v>159</v>
      </c>
    </row>
    <row r="2602" spans="9:17" x14ac:dyDescent="0.45">
      <c r="I2602" t="s">
        <v>197</v>
      </c>
      <c r="J2602" t="s">
        <v>414</v>
      </c>
      <c r="K2602">
        <v>2.5516850787260991E-4</v>
      </c>
      <c r="L2602" t="s">
        <v>159</v>
      </c>
      <c r="N2602" t="s">
        <v>240</v>
      </c>
      <c r="O2602" t="s">
        <v>414</v>
      </c>
      <c r="P2602">
        <v>3.3369430790112701E-5</v>
      </c>
      <c r="Q2602" t="s">
        <v>159</v>
      </c>
    </row>
    <row r="2603" spans="9:17" x14ac:dyDescent="0.45">
      <c r="I2603" t="s">
        <v>197</v>
      </c>
      <c r="J2603" t="s">
        <v>415</v>
      </c>
      <c r="K2603">
        <v>1.8073766035379743E-4</v>
      </c>
      <c r="L2603" t="s">
        <v>159</v>
      </c>
      <c r="N2603" t="s">
        <v>240</v>
      </c>
      <c r="O2603" t="s">
        <v>415</v>
      </c>
      <c r="P2603">
        <v>2.111429512988565E-5</v>
      </c>
      <c r="Q2603" t="s">
        <v>159</v>
      </c>
    </row>
    <row r="2604" spans="9:17" x14ac:dyDescent="0.45">
      <c r="I2604" t="s">
        <v>197</v>
      </c>
      <c r="J2604" t="s">
        <v>416</v>
      </c>
      <c r="K2604">
        <v>0</v>
      </c>
      <c r="L2604" t="s">
        <v>159</v>
      </c>
      <c r="N2604" t="s">
        <v>240</v>
      </c>
      <c r="O2604" t="s">
        <v>416</v>
      </c>
      <c r="P2604">
        <v>1.4044527858989171E-5</v>
      </c>
      <c r="Q2604" t="s">
        <v>159</v>
      </c>
    </row>
    <row r="2605" spans="9:17" x14ac:dyDescent="0.45">
      <c r="I2605" t="s">
        <v>197</v>
      </c>
      <c r="J2605" t="s">
        <v>417</v>
      </c>
      <c r="K2605">
        <v>0</v>
      </c>
      <c r="L2605" t="s">
        <v>159</v>
      </c>
      <c r="N2605" t="s">
        <v>240</v>
      </c>
      <c r="O2605" t="s">
        <v>417</v>
      </c>
      <c r="P2605">
        <v>1.1427664989050534E-5</v>
      </c>
      <c r="Q2605" t="s">
        <v>159</v>
      </c>
    </row>
    <row r="2606" spans="9:17" x14ac:dyDescent="0.45">
      <c r="I2606" t="s">
        <v>197</v>
      </c>
      <c r="J2606" t="s">
        <v>418</v>
      </c>
      <c r="K2606">
        <v>0</v>
      </c>
      <c r="L2606" t="s">
        <v>159</v>
      </c>
      <c r="N2606" t="s">
        <v>240</v>
      </c>
      <c r="O2606" t="s">
        <v>418</v>
      </c>
      <c r="P2606">
        <v>8.8669401922322123E-6</v>
      </c>
      <c r="Q2606" t="s">
        <v>159</v>
      </c>
    </row>
    <row r="2607" spans="9:17" x14ac:dyDescent="0.45">
      <c r="I2607" t="s">
        <v>197</v>
      </c>
      <c r="J2607" t="s">
        <v>419</v>
      </c>
      <c r="K2607">
        <v>0</v>
      </c>
      <c r="L2607" t="s">
        <v>159</v>
      </c>
      <c r="N2607" t="s">
        <v>240</v>
      </c>
      <c r="O2607" t="s">
        <v>419</v>
      </c>
      <c r="P2607">
        <v>9.3634709120327638E-6</v>
      </c>
      <c r="Q2607" t="s">
        <v>159</v>
      </c>
    </row>
    <row r="2608" spans="9:17" x14ac:dyDescent="0.45">
      <c r="I2608" t="s">
        <v>197</v>
      </c>
      <c r="J2608" t="s">
        <v>420</v>
      </c>
      <c r="K2608">
        <v>0</v>
      </c>
      <c r="L2608" t="s">
        <v>159</v>
      </c>
      <c r="N2608" t="s">
        <v>240</v>
      </c>
      <c r="O2608" t="s">
        <v>420</v>
      </c>
      <c r="P2608">
        <v>1.0330448497975001E-5</v>
      </c>
      <c r="Q2608" t="s">
        <v>159</v>
      </c>
    </row>
    <row r="2609" spans="9:17" x14ac:dyDescent="0.45">
      <c r="I2609" t="s">
        <v>197</v>
      </c>
      <c r="J2609" t="s">
        <v>313</v>
      </c>
      <c r="K2609">
        <v>1.5837851432053591E-3</v>
      </c>
      <c r="L2609" t="s">
        <v>159</v>
      </c>
      <c r="N2609" t="s">
        <v>240</v>
      </c>
      <c r="O2609" t="s">
        <v>313</v>
      </c>
      <c r="P2609">
        <v>1.7766606145295297E-2</v>
      </c>
      <c r="Q2609" t="s">
        <v>159</v>
      </c>
    </row>
    <row r="2610" spans="9:17" x14ac:dyDescent="0.45">
      <c r="I2610" t="s">
        <v>197</v>
      </c>
      <c r="J2610" t="s">
        <v>314</v>
      </c>
      <c r="K2610">
        <v>3.1578789404314148E-3</v>
      </c>
      <c r="L2610" t="s">
        <v>159</v>
      </c>
      <c r="N2610" t="s">
        <v>240</v>
      </c>
      <c r="O2610" t="s">
        <v>314</v>
      </c>
      <c r="P2610">
        <v>1.5893123174772217E-3</v>
      </c>
      <c r="Q2610" t="s">
        <v>159</v>
      </c>
    </row>
    <row r="2611" spans="9:17" x14ac:dyDescent="0.45">
      <c r="I2611" t="s">
        <v>197</v>
      </c>
      <c r="J2611" t="s">
        <v>315</v>
      </c>
      <c r="K2611">
        <v>6.6454688844640397E-2</v>
      </c>
      <c r="L2611" t="s">
        <v>159</v>
      </c>
      <c r="N2611" t="s">
        <v>240</v>
      </c>
      <c r="O2611" t="s">
        <v>315</v>
      </c>
      <c r="P2611">
        <v>1.6561344818225143E-2</v>
      </c>
      <c r="Q2611" t="s">
        <v>159</v>
      </c>
    </row>
    <row r="2612" spans="9:17" x14ac:dyDescent="0.45">
      <c r="I2612" t="s">
        <v>197</v>
      </c>
      <c r="J2612" t="s">
        <v>316</v>
      </c>
      <c r="K2612">
        <v>4.8244488555640539E-3</v>
      </c>
      <c r="L2612" t="s">
        <v>159</v>
      </c>
      <c r="N2612" t="s">
        <v>240</v>
      </c>
      <c r="O2612" t="s">
        <v>316</v>
      </c>
      <c r="P2612">
        <v>1.8398133894223046E-3</v>
      </c>
      <c r="Q2612" t="s">
        <v>159</v>
      </c>
    </row>
    <row r="2613" spans="9:17" x14ac:dyDescent="0.45">
      <c r="I2613" t="s">
        <v>197</v>
      </c>
      <c r="J2613" t="s">
        <v>317</v>
      </c>
      <c r="K2613">
        <v>3.2354050326038044E-3</v>
      </c>
      <c r="L2613" t="s">
        <v>159</v>
      </c>
      <c r="N2613" t="s">
        <v>240</v>
      </c>
      <c r="O2613" t="s">
        <v>317</v>
      </c>
      <c r="P2613">
        <v>1.8303245448664687E-3</v>
      </c>
      <c r="Q2613" t="s">
        <v>159</v>
      </c>
    </row>
    <row r="2614" spans="9:17" x14ac:dyDescent="0.45">
      <c r="I2614" t="s">
        <v>197</v>
      </c>
      <c r="J2614" t="s">
        <v>318</v>
      </c>
      <c r="K2614">
        <v>1.6673519157128383E-3</v>
      </c>
      <c r="L2614" t="s">
        <v>159</v>
      </c>
      <c r="N2614" t="s">
        <v>240</v>
      </c>
      <c r="O2614" t="s">
        <v>318</v>
      </c>
      <c r="P2614">
        <v>1.3058785355657966E-2</v>
      </c>
      <c r="Q2614" t="s">
        <v>159</v>
      </c>
    </row>
    <row r="2615" spans="9:17" x14ac:dyDescent="0.45">
      <c r="I2615" t="s">
        <v>198</v>
      </c>
      <c r="J2615" t="s">
        <v>158</v>
      </c>
      <c r="K2615">
        <v>2.2887662839077517E-3</v>
      </c>
      <c r="L2615" t="s">
        <v>159</v>
      </c>
      <c r="N2615" t="s">
        <v>241</v>
      </c>
      <c r="O2615" t="s">
        <v>158</v>
      </c>
      <c r="P2615">
        <v>0.17204538112806925</v>
      </c>
      <c r="Q2615" t="s">
        <v>159</v>
      </c>
    </row>
    <row r="2616" spans="9:17" x14ac:dyDescent="0.45">
      <c r="I2616" t="s">
        <v>198</v>
      </c>
      <c r="J2616" t="s">
        <v>160</v>
      </c>
      <c r="K2616">
        <v>1.4837492277823661E-2</v>
      </c>
      <c r="L2616" t="s">
        <v>159</v>
      </c>
      <c r="N2616" t="s">
        <v>241</v>
      </c>
      <c r="O2616" t="s">
        <v>160</v>
      </c>
      <c r="P2616">
        <v>1.9646046665026375E-2</v>
      </c>
      <c r="Q2616" t="s">
        <v>159</v>
      </c>
    </row>
    <row r="2617" spans="9:17" x14ac:dyDescent="0.45">
      <c r="I2617" t="s">
        <v>198</v>
      </c>
      <c r="J2617" t="s">
        <v>161</v>
      </c>
      <c r="K2617">
        <v>0.39259354035948368</v>
      </c>
      <c r="L2617" t="s">
        <v>159</v>
      </c>
      <c r="N2617" t="s">
        <v>241</v>
      </c>
      <c r="O2617" t="s">
        <v>161</v>
      </c>
      <c r="P2617">
        <v>9.6230742225563298E-2</v>
      </c>
      <c r="Q2617" t="s">
        <v>159</v>
      </c>
    </row>
    <row r="2618" spans="9:17" x14ac:dyDescent="0.45">
      <c r="I2618" t="s">
        <v>198</v>
      </c>
      <c r="J2618" t="s">
        <v>287</v>
      </c>
      <c r="K2618">
        <v>3.1877372274317264E-2</v>
      </c>
      <c r="L2618" t="s">
        <v>159</v>
      </c>
      <c r="N2618" t="s">
        <v>241</v>
      </c>
      <c r="O2618" t="s">
        <v>287</v>
      </c>
      <c r="P2618">
        <v>7.30307769896767E-3</v>
      </c>
      <c r="Q2618" t="s">
        <v>159</v>
      </c>
    </row>
    <row r="2619" spans="9:17" x14ac:dyDescent="0.45">
      <c r="I2619" t="s">
        <v>198</v>
      </c>
      <c r="J2619" t="s">
        <v>288</v>
      </c>
      <c r="K2619">
        <v>1.4753194197132549E-2</v>
      </c>
      <c r="L2619" t="s">
        <v>159</v>
      </c>
      <c r="N2619" t="s">
        <v>241</v>
      </c>
      <c r="O2619" t="s">
        <v>288</v>
      </c>
      <c r="P2619">
        <v>9.4281802585894584E-3</v>
      </c>
      <c r="Q2619" t="s">
        <v>159</v>
      </c>
    </row>
    <row r="2620" spans="9:17" x14ac:dyDescent="0.45">
      <c r="I2620" t="s">
        <v>198</v>
      </c>
      <c r="J2620" t="s">
        <v>308</v>
      </c>
      <c r="K2620">
        <v>4.5033776170717004E-3</v>
      </c>
      <c r="L2620" t="s">
        <v>159</v>
      </c>
      <c r="N2620" t="s">
        <v>241</v>
      </c>
      <c r="O2620" t="s">
        <v>308</v>
      </c>
      <c r="P2620">
        <v>9.8898205256596039E-2</v>
      </c>
      <c r="Q2620" t="s">
        <v>159</v>
      </c>
    </row>
    <row r="2621" spans="9:17" x14ac:dyDescent="0.45">
      <c r="I2621" t="s">
        <v>198</v>
      </c>
      <c r="J2621" t="s">
        <v>162</v>
      </c>
      <c r="K2621">
        <v>0</v>
      </c>
      <c r="L2621" t="s">
        <v>159</v>
      </c>
      <c r="N2621" t="s">
        <v>241</v>
      </c>
      <c r="O2621" t="s">
        <v>162</v>
      </c>
      <c r="P2621">
        <v>3.6772083940842776E-2</v>
      </c>
      <c r="Q2621" t="s">
        <v>159</v>
      </c>
    </row>
    <row r="2622" spans="9:17" x14ac:dyDescent="0.45">
      <c r="I2622" t="s">
        <v>198</v>
      </c>
      <c r="J2622" t="s">
        <v>163</v>
      </c>
      <c r="K2622">
        <v>0</v>
      </c>
      <c r="L2622" t="s">
        <v>159</v>
      </c>
      <c r="N2622" t="s">
        <v>241</v>
      </c>
      <c r="O2622" t="s">
        <v>163</v>
      </c>
      <c r="P2622">
        <v>5.025182108598719E-3</v>
      </c>
      <c r="Q2622" t="s">
        <v>159</v>
      </c>
    </row>
    <row r="2623" spans="9:17" x14ac:dyDescent="0.45">
      <c r="I2623" t="s">
        <v>198</v>
      </c>
      <c r="J2623" t="s">
        <v>164</v>
      </c>
      <c r="K2623">
        <v>4.2568692524443619E-2</v>
      </c>
      <c r="L2623" t="s">
        <v>159</v>
      </c>
      <c r="N2623" t="s">
        <v>241</v>
      </c>
      <c r="O2623" t="s">
        <v>164</v>
      </c>
      <c r="P2623">
        <v>2.7201695453145481E-2</v>
      </c>
      <c r="Q2623" t="s">
        <v>159</v>
      </c>
    </row>
    <row r="2624" spans="9:17" x14ac:dyDescent="0.45">
      <c r="I2624" t="s">
        <v>198</v>
      </c>
      <c r="J2624" t="s">
        <v>289</v>
      </c>
      <c r="K2624">
        <v>3.1964146261262171E-3</v>
      </c>
      <c r="L2624" t="s">
        <v>159</v>
      </c>
      <c r="N2624" t="s">
        <v>241</v>
      </c>
      <c r="O2624" t="s">
        <v>289</v>
      </c>
      <c r="P2624">
        <v>2.1376286373035159E-3</v>
      </c>
      <c r="Q2624" t="s">
        <v>159</v>
      </c>
    </row>
    <row r="2625" spans="9:17" x14ac:dyDescent="0.45">
      <c r="I2625" t="s">
        <v>198</v>
      </c>
      <c r="J2625" t="s">
        <v>290</v>
      </c>
      <c r="K2625">
        <v>0</v>
      </c>
      <c r="L2625" t="s">
        <v>159</v>
      </c>
      <c r="N2625" t="s">
        <v>241</v>
      </c>
      <c r="O2625" t="s">
        <v>290</v>
      </c>
      <c r="P2625">
        <v>2.8355184610416384E-3</v>
      </c>
      <c r="Q2625" t="s">
        <v>159</v>
      </c>
    </row>
    <row r="2626" spans="9:17" x14ac:dyDescent="0.45">
      <c r="I2626" t="s">
        <v>198</v>
      </c>
      <c r="J2626" t="s">
        <v>309</v>
      </c>
      <c r="K2626">
        <v>0</v>
      </c>
      <c r="L2626" t="s">
        <v>159</v>
      </c>
      <c r="N2626" t="s">
        <v>241</v>
      </c>
      <c r="O2626" t="s">
        <v>309</v>
      </c>
      <c r="P2626">
        <v>2.3907595746776731E-2</v>
      </c>
      <c r="Q2626" t="s">
        <v>159</v>
      </c>
    </row>
    <row r="2627" spans="9:17" x14ac:dyDescent="0.45">
      <c r="I2627" t="s">
        <v>198</v>
      </c>
      <c r="J2627" t="s">
        <v>346</v>
      </c>
      <c r="K2627">
        <v>0</v>
      </c>
      <c r="L2627" t="s">
        <v>159</v>
      </c>
      <c r="N2627" t="s">
        <v>241</v>
      </c>
      <c r="O2627" t="s">
        <v>346</v>
      </c>
      <c r="P2627">
        <v>1.4025474631383512E-4</v>
      </c>
      <c r="Q2627" t="s">
        <v>159</v>
      </c>
    </row>
    <row r="2628" spans="9:17" x14ac:dyDescent="0.45">
      <c r="I2628" t="s">
        <v>198</v>
      </c>
      <c r="J2628" t="s">
        <v>347</v>
      </c>
      <c r="K2628">
        <v>0</v>
      </c>
      <c r="L2628" t="s">
        <v>159</v>
      </c>
      <c r="N2628" t="s">
        <v>241</v>
      </c>
      <c r="O2628" t="s">
        <v>347</v>
      </c>
      <c r="P2628">
        <v>1.296139264177543E-4</v>
      </c>
      <c r="Q2628" t="s">
        <v>159</v>
      </c>
    </row>
    <row r="2629" spans="9:17" x14ac:dyDescent="0.45">
      <c r="I2629" t="s">
        <v>198</v>
      </c>
      <c r="J2629" t="s">
        <v>348</v>
      </c>
      <c r="K2629">
        <v>0</v>
      </c>
      <c r="L2629" t="s">
        <v>159</v>
      </c>
      <c r="N2629" t="s">
        <v>241</v>
      </c>
      <c r="O2629" t="s">
        <v>348</v>
      </c>
      <c r="P2629">
        <v>1.0926389131068818E-4</v>
      </c>
      <c r="Q2629" t="s">
        <v>159</v>
      </c>
    </row>
    <row r="2630" spans="9:17" x14ac:dyDescent="0.45">
      <c r="I2630" t="s">
        <v>198</v>
      </c>
      <c r="J2630" t="s">
        <v>349</v>
      </c>
      <c r="K2630">
        <v>0</v>
      </c>
      <c r="L2630" t="s">
        <v>159</v>
      </c>
      <c r="N2630" t="s">
        <v>241</v>
      </c>
      <c r="O2630" t="s">
        <v>349</v>
      </c>
      <c r="P2630">
        <v>9.9533493525235352E-5</v>
      </c>
      <c r="Q2630" t="s">
        <v>159</v>
      </c>
    </row>
    <row r="2631" spans="9:17" x14ac:dyDescent="0.45">
      <c r="I2631" t="s">
        <v>198</v>
      </c>
      <c r="J2631" t="s">
        <v>350</v>
      </c>
      <c r="K2631">
        <v>0</v>
      </c>
      <c r="L2631" t="s">
        <v>159</v>
      </c>
      <c r="N2631" t="s">
        <v>241</v>
      </c>
      <c r="O2631" t="s">
        <v>350</v>
      </c>
      <c r="P2631">
        <v>9.1625929261686037E-5</v>
      </c>
      <c r="Q2631" t="s">
        <v>159</v>
      </c>
    </row>
    <row r="2632" spans="9:17" x14ac:dyDescent="0.45">
      <c r="I2632" t="s">
        <v>198</v>
      </c>
      <c r="J2632" t="s">
        <v>351</v>
      </c>
      <c r="K2632">
        <v>0</v>
      </c>
      <c r="L2632" t="s">
        <v>159</v>
      </c>
      <c r="N2632" t="s">
        <v>241</v>
      </c>
      <c r="O2632" t="s">
        <v>351</v>
      </c>
      <c r="P2632">
        <v>8.1010131171798506E-5</v>
      </c>
      <c r="Q2632" t="s">
        <v>159</v>
      </c>
    </row>
    <row r="2633" spans="9:17" x14ac:dyDescent="0.45">
      <c r="I2633" t="s">
        <v>198</v>
      </c>
      <c r="J2633" t="s">
        <v>352</v>
      </c>
      <c r="K2633">
        <v>0</v>
      </c>
      <c r="L2633" t="s">
        <v>159</v>
      </c>
      <c r="N2633" t="s">
        <v>241</v>
      </c>
      <c r="O2633" t="s">
        <v>352</v>
      </c>
      <c r="P2633">
        <v>7.0006147246300649E-5</v>
      </c>
      <c r="Q2633" t="s">
        <v>159</v>
      </c>
    </row>
    <row r="2634" spans="9:17" x14ac:dyDescent="0.45">
      <c r="I2634" t="s">
        <v>198</v>
      </c>
      <c r="J2634" t="s">
        <v>353</v>
      </c>
      <c r="K2634">
        <v>0</v>
      </c>
      <c r="L2634" t="s">
        <v>159</v>
      </c>
      <c r="N2634" t="s">
        <v>241</v>
      </c>
      <c r="O2634" t="s">
        <v>353</v>
      </c>
      <c r="P2634">
        <v>6.3699204920093346E-5</v>
      </c>
      <c r="Q2634" t="s">
        <v>159</v>
      </c>
    </row>
    <row r="2635" spans="9:17" x14ac:dyDescent="0.45">
      <c r="I2635" t="s">
        <v>198</v>
      </c>
      <c r="J2635" t="s">
        <v>354</v>
      </c>
      <c r="K2635">
        <v>1.382800910671232E-4</v>
      </c>
      <c r="L2635" t="s">
        <v>159</v>
      </c>
      <c r="N2635" t="s">
        <v>241</v>
      </c>
      <c r="O2635" t="s">
        <v>354</v>
      </c>
      <c r="P2635">
        <v>4.3404148069193957E-5</v>
      </c>
      <c r="Q2635" t="s">
        <v>159</v>
      </c>
    </row>
    <row r="2636" spans="9:17" x14ac:dyDescent="0.45">
      <c r="I2636" t="s">
        <v>198</v>
      </c>
      <c r="J2636" t="s">
        <v>355</v>
      </c>
      <c r="K2636">
        <v>1.9144313742502906E-4</v>
      </c>
      <c r="L2636" t="s">
        <v>159</v>
      </c>
      <c r="N2636" t="s">
        <v>241</v>
      </c>
      <c r="O2636" t="s">
        <v>355</v>
      </c>
      <c r="P2636">
        <v>1.8500962819479969E-5</v>
      </c>
      <c r="Q2636" t="s">
        <v>159</v>
      </c>
    </row>
    <row r="2637" spans="9:17" x14ac:dyDescent="0.45">
      <c r="I2637" t="s">
        <v>198</v>
      </c>
      <c r="J2637" t="s">
        <v>356</v>
      </c>
      <c r="K2637">
        <v>1.9372446118738103E-4</v>
      </c>
      <c r="L2637" t="s">
        <v>159</v>
      </c>
      <c r="N2637" t="s">
        <v>241</v>
      </c>
      <c r="O2637" t="s">
        <v>356</v>
      </c>
      <c r="P2637">
        <v>1.9689394143718586E-5</v>
      </c>
      <c r="Q2637" t="s">
        <v>159</v>
      </c>
    </row>
    <row r="2638" spans="9:17" x14ac:dyDescent="0.45">
      <c r="I2638" t="s">
        <v>198</v>
      </c>
      <c r="J2638" t="s">
        <v>357</v>
      </c>
      <c r="K2638">
        <v>1.9960593863904154E-4</v>
      </c>
      <c r="L2638" t="s">
        <v>159</v>
      </c>
      <c r="N2638" t="s">
        <v>241</v>
      </c>
      <c r="O2638" t="s">
        <v>357</v>
      </c>
      <c r="P2638">
        <v>2.4162316109170991E-5</v>
      </c>
      <c r="Q2638" t="s">
        <v>159</v>
      </c>
    </row>
    <row r="2639" spans="9:17" x14ac:dyDescent="0.45">
      <c r="I2639" t="s">
        <v>198</v>
      </c>
      <c r="J2639" t="s">
        <v>358</v>
      </c>
      <c r="K2639">
        <v>2.4558063736129082E-4</v>
      </c>
      <c r="L2639" t="s">
        <v>159</v>
      </c>
      <c r="N2639" t="s">
        <v>241</v>
      </c>
      <c r="O2639" t="s">
        <v>358</v>
      </c>
      <c r="P2639">
        <v>2.5260991953975586E-5</v>
      </c>
      <c r="Q2639" t="s">
        <v>159</v>
      </c>
    </row>
    <row r="2640" spans="9:17" x14ac:dyDescent="0.45">
      <c r="I2640" t="s">
        <v>198</v>
      </c>
      <c r="J2640" t="s">
        <v>359</v>
      </c>
      <c r="K2640">
        <v>2.5207294853175623E-4</v>
      </c>
      <c r="L2640" t="s">
        <v>159</v>
      </c>
      <c r="N2640" t="s">
        <v>241</v>
      </c>
      <c r="O2640" t="s">
        <v>359</v>
      </c>
      <c r="P2640">
        <v>2.5816294765119978E-5</v>
      </c>
      <c r="Q2640" t="s">
        <v>159</v>
      </c>
    </row>
    <row r="2641" spans="9:17" x14ac:dyDescent="0.45">
      <c r="I2641" t="s">
        <v>198</v>
      </c>
      <c r="J2641" t="s">
        <v>360</v>
      </c>
      <c r="K2641">
        <v>2.032196623865147E-4</v>
      </c>
      <c r="L2641" t="s">
        <v>159</v>
      </c>
      <c r="N2641" t="s">
        <v>241</v>
      </c>
      <c r="O2641" t="s">
        <v>360</v>
      </c>
      <c r="P2641">
        <v>2.3496632620559199E-5</v>
      </c>
      <c r="Q2641" t="s">
        <v>159</v>
      </c>
    </row>
    <row r="2642" spans="9:17" x14ac:dyDescent="0.45">
      <c r="I2642" t="s">
        <v>198</v>
      </c>
      <c r="J2642" t="s">
        <v>361</v>
      </c>
      <c r="K2642">
        <v>1.9502570674826282E-4</v>
      </c>
      <c r="L2642" t="s">
        <v>159</v>
      </c>
      <c r="N2642" t="s">
        <v>241</v>
      </c>
      <c r="O2642" t="s">
        <v>361</v>
      </c>
      <c r="P2642">
        <v>2.0390310788783123E-5</v>
      </c>
      <c r="Q2642" t="s">
        <v>159</v>
      </c>
    </row>
    <row r="2643" spans="9:17" x14ac:dyDescent="0.45">
      <c r="I2643" t="s">
        <v>198</v>
      </c>
      <c r="J2643" t="s">
        <v>362</v>
      </c>
      <c r="K2643">
        <v>1.9946775213954403E-4</v>
      </c>
      <c r="L2643" t="s">
        <v>159</v>
      </c>
      <c r="N2643" t="s">
        <v>241</v>
      </c>
      <c r="O2643" t="s">
        <v>362</v>
      </c>
      <c r="P2643">
        <v>1.7515750528733753E-5</v>
      </c>
      <c r="Q2643" t="s">
        <v>159</v>
      </c>
    </row>
    <row r="2644" spans="9:17" x14ac:dyDescent="0.45">
      <c r="I2644" t="s">
        <v>198</v>
      </c>
      <c r="J2644" t="s">
        <v>363</v>
      </c>
      <c r="K2644">
        <v>1.5253325314272537E-4</v>
      </c>
      <c r="L2644" t="s">
        <v>159</v>
      </c>
      <c r="N2644" t="s">
        <v>241</v>
      </c>
      <c r="O2644" t="s">
        <v>363</v>
      </c>
      <c r="P2644">
        <v>2.2682232178628385E-5</v>
      </c>
      <c r="Q2644" t="s">
        <v>159</v>
      </c>
    </row>
    <row r="2645" spans="9:17" x14ac:dyDescent="0.45">
      <c r="I2645" t="s">
        <v>198</v>
      </c>
      <c r="J2645" t="s">
        <v>364</v>
      </c>
      <c r="K2645">
        <v>0</v>
      </c>
      <c r="L2645" t="s">
        <v>159</v>
      </c>
      <c r="N2645" t="s">
        <v>241</v>
      </c>
      <c r="O2645" t="s">
        <v>364</v>
      </c>
      <c r="P2645">
        <v>3.6823011569661051E-5</v>
      </c>
      <c r="Q2645" t="s">
        <v>159</v>
      </c>
    </row>
    <row r="2646" spans="9:17" x14ac:dyDescent="0.45">
      <c r="I2646" t="s">
        <v>198</v>
      </c>
      <c r="J2646" t="s">
        <v>365</v>
      </c>
      <c r="K2646">
        <v>0</v>
      </c>
      <c r="L2646" t="s">
        <v>159</v>
      </c>
      <c r="N2646" t="s">
        <v>241</v>
      </c>
      <c r="O2646" t="s">
        <v>365</v>
      </c>
      <c r="P2646">
        <v>5.9370478335732191E-5</v>
      </c>
      <c r="Q2646" t="s">
        <v>159</v>
      </c>
    </row>
    <row r="2647" spans="9:17" x14ac:dyDescent="0.45">
      <c r="I2647" t="s">
        <v>198</v>
      </c>
      <c r="J2647" t="s">
        <v>366</v>
      </c>
      <c r="K2647">
        <v>0</v>
      </c>
      <c r="L2647" t="s">
        <v>159</v>
      </c>
      <c r="N2647" t="s">
        <v>241</v>
      </c>
      <c r="O2647" t="s">
        <v>366</v>
      </c>
      <c r="P2647">
        <v>8.4886085461062435E-5</v>
      </c>
      <c r="Q2647" t="s">
        <v>159</v>
      </c>
    </row>
    <row r="2648" spans="9:17" x14ac:dyDescent="0.45">
      <c r="I2648" t="s">
        <v>198</v>
      </c>
      <c r="J2648" t="s">
        <v>367</v>
      </c>
      <c r="K2648">
        <v>0</v>
      </c>
      <c r="L2648" t="s">
        <v>159</v>
      </c>
      <c r="N2648" t="s">
        <v>241</v>
      </c>
      <c r="O2648" t="s">
        <v>367</v>
      </c>
      <c r="P2648">
        <v>1.0989814773168191E-4</v>
      </c>
      <c r="Q2648" t="s">
        <v>159</v>
      </c>
    </row>
    <row r="2649" spans="9:17" x14ac:dyDescent="0.45">
      <c r="I2649" t="s">
        <v>198</v>
      </c>
      <c r="J2649" t="s">
        <v>368</v>
      </c>
      <c r="K2649">
        <v>0</v>
      </c>
      <c r="L2649" t="s">
        <v>159</v>
      </c>
      <c r="N2649" t="s">
        <v>241</v>
      </c>
      <c r="O2649" t="s">
        <v>368</v>
      </c>
      <c r="P2649">
        <v>1.4229247044172984E-4</v>
      </c>
      <c r="Q2649" t="s">
        <v>159</v>
      </c>
    </row>
    <row r="2650" spans="9:17" x14ac:dyDescent="0.45">
      <c r="I2650" t="s">
        <v>198</v>
      </c>
      <c r="J2650" t="s">
        <v>369</v>
      </c>
      <c r="K2650">
        <v>0</v>
      </c>
      <c r="L2650" t="s">
        <v>159</v>
      </c>
      <c r="N2650" t="s">
        <v>241</v>
      </c>
      <c r="O2650" t="s">
        <v>369</v>
      </c>
      <c r="P2650">
        <v>1.6101431655776705E-4</v>
      </c>
      <c r="Q2650" t="s">
        <v>159</v>
      </c>
    </row>
    <row r="2651" spans="9:17" x14ac:dyDescent="0.45">
      <c r="I2651" t="s">
        <v>198</v>
      </c>
      <c r="J2651" t="s">
        <v>165</v>
      </c>
      <c r="K2651">
        <v>0</v>
      </c>
      <c r="L2651" t="s">
        <v>159</v>
      </c>
      <c r="N2651" t="s">
        <v>241</v>
      </c>
      <c r="O2651" t="s">
        <v>165</v>
      </c>
      <c r="P2651">
        <v>3.3174596707733185E-2</v>
      </c>
      <c r="Q2651" t="s">
        <v>159</v>
      </c>
    </row>
    <row r="2652" spans="9:17" x14ac:dyDescent="0.45">
      <c r="I2652" t="s">
        <v>198</v>
      </c>
      <c r="J2652" t="s">
        <v>166</v>
      </c>
      <c r="K2652">
        <v>0</v>
      </c>
      <c r="L2652" t="s">
        <v>159</v>
      </c>
      <c r="N2652" t="s">
        <v>241</v>
      </c>
      <c r="O2652" t="s">
        <v>166</v>
      </c>
      <c r="P2652">
        <v>4.3555316919892733E-3</v>
      </c>
      <c r="Q2652" t="s">
        <v>159</v>
      </c>
    </row>
    <row r="2653" spans="9:17" x14ac:dyDescent="0.45">
      <c r="I2653" t="s">
        <v>198</v>
      </c>
      <c r="J2653" t="s">
        <v>167</v>
      </c>
      <c r="K2653">
        <v>6.5980166506954915E-2</v>
      </c>
      <c r="L2653" t="s">
        <v>159</v>
      </c>
      <c r="N2653" t="s">
        <v>241</v>
      </c>
      <c r="O2653" t="s">
        <v>167</v>
      </c>
      <c r="P2653">
        <v>2.3473593918932122E-2</v>
      </c>
      <c r="Q2653" t="s">
        <v>159</v>
      </c>
    </row>
    <row r="2654" spans="9:17" x14ac:dyDescent="0.45">
      <c r="I2654" t="s">
        <v>198</v>
      </c>
      <c r="J2654" t="s">
        <v>291</v>
      </c>
      <c r="K2654">
        <v>5.4687990843570664E-3</v>
      </c>
      <c r="L2654" t="s">
        <v>159</v>
      </c>
      <c r="N2654" t="s">
        <v>241</v>
      </c>
      <c r="O2654" t="s">
        <v>291</v>
      </c>
      <c r="P2654">
        <v>2.2120961341186188E-3</v>
      </c>
      <c r="Q2654" t="s">
        <v>159</v>
      </c>
    </row>
    <row r="2655" spans="9:17" x14ac:dyDescent="0.45">
      <c r="I2655" t="s">
        <v>198</v>
      </c>
      <c r="J2655" t="s">
        <v>292</v>
      </c>
      <c r="K2655">
        <v>6.5025514581587974E-5</v>
      </c>
      <c r="L2655" t="s">
        <v>159</v>
      </c>
      <c r="N2655" t="s">
        <v>241</v>
      </c>
      <c r="O2655" t="s">
        <v>292</v>
      </c>
      <c r="P2655">
        <v>2.6868029590994135E-3</v>
      </c>
      <c r="Q2655" t="s">
        <v>159</v>
      </c>
    </row>
    <row r="2656" spans="9:17" x14ac:dyDescent="0.45">
      <c r="I2656" t="s">
        <v>198</v>
      </c>
      <c r="J2656" t="s">
        <v>310</v>
      </c>
      <c r="K2656">
        <v>0</v>
      </c>
      <c r="L2656" t="s">
        <v>159</v>
      </c>
      <c r="N2656" t="s">
        <v>241</v>
      </c>
      <c r="O2656" t="s">
        <v>310</v>
      </c>
      <c r="P2656">
        <v>2.1918832715389438E-2</v>
      </c>
      <c r="Q2656" t="s">
        <v>159</v>
      </c>
    </row>
    <row r="2657" spans="9:17" x14ac:dyDescent="0.45">
      <c r="I2657" t="s">
        <v>198</v>
      </c>
      <c r="J2657" t="s">
        <v>293</v>
      </c>
      <c r="K2657">
        <v>0</v>
      </c>
      <c r="L2657" t="s">
        <v>159</v>
      </c>
      <c r="N2657" t="s">
        <v>241</v>
      </c>
      <c r="O2657" t="s">
        <v>293</v>
      </c>
      <c r="P2657">
        <v>1.3543794672233126E-2</v>
      </c>
      <c r="Q2657" t="s">
        <v>159</v>
      </c>
    </row>
    <row r="2658" spans="9:17" x14ac:dyDescent="0.45">
      <c r="I2658" t="s">
        <v>198</v>
      </c>
      <c r="J2658" t="s">
        <v>294</v>
      </c>
      <c r="K2658">
        <v>4.950440728222499E-4</v>
      </c>
      <c r="L2658" t="s">
        <v>159</v>
      </c>
      <c r="N2658" t="s">
        <v>241</v>
      </c>
      <c r="O2658" t="s">
        <v>294</v>
      </c>
      <c r="P2658">
        <v>1.7076466084675623E-3</v>
      </c>
      <c r="Q2658" t="s">
        <v>159</v>
      </c>
    </row>
    <row r="2659" spans="9:17" x14ac:dyDescent="0.45">
      <c r="I2659" t="s">
        <v>198</v>
      </c>
      <c r="J2659" t="s">
        <v>295</v>
      </c>
      <c r="K2659">
        <v>1.8171580776773773E-2</v>
      </c>
      <c r="L2659" t="s">
        <v>159</v>
      </c>
      <c r="N2659" t="s">
        <v>241</v>
      </c>
      <c r="O2659" t="s">
        <v>295</v>
      </c>
      <c r="P2659">
        <v>9.5502471877220232E-3</v>
      </c>
      <c r="Q2659" t="s">
        <v>159</v>
      </c>
    </row>
    <row r="2660" spans="9:17" x14ac:dyDescent="0.45">
      <c r="I2660" t="s">
        <v>198</v>
      </c>
      <c r="J2660" t="s">
        <v>296</v>
      </c>
      <c r="K2660">
        <v>1.4478568745777557E-3</v>
      </c>
      <c r="L2660" t="s">
        <v>159</v>
      </c>
      <c r="N2660" t="s">
        <v>241</v>
      </c>
      <c r="O2660" t="s">
        <v>296</v>
      </c>
      <c r="P2660">
        <v>6.1082101273011167E-4</v>
      </c>
      <c r="Q2660" t="s">
        <v>159</v>
      </c>
    </row>
    <row r="2661" spans="9:17" x14ac:dyDescent="0.45">
      <c r="I2661" t="s">
        <v>198</v>
      </c>
      <c r="J2661" t="s">
        <v>297</v>
      </c>
      <c r="K2661">
        <v>7.8455351865756525E-4</v>
      </c>
      <c r="L2661" t="s">
        <v>159</v>
      </c>
      <c r="N2661" t="s">
        <v>241</v>
      </c>
      <c r="O2661" t="s">
        <v>297</v>
      </c>
      <c r="P2661">
        <v>8.8461315388521406E-4</v>
      </c>
      <c r="Q2661" t="s">
        <v>159</v>
      </c>
    </row>
    <row r="2662" spans="9:17" x14ac:dyDescent="0.45">
      <c r="I2662" t="s">
        <v>198</v>
      </c>
      <c r="J2662" t="s">
        <v>311</v>
      </c>
      <c r="K2662">
        <v>0</v>
      </c>
      <c r="L2662" t="s">
        <v>159</v>
      </c>
      <c r="N2662" t="s">
        <v>241</v>
      </c>
      <c r="O2662" t="s">
        <v>311</v>
      </c>
      <c r="P2662">
        <v>8.4806773339857616E-3</v>
      </c>
      <c r="Q2662" t="s">
        <v>159</v>
      </c>
    </row>
    <row r="2663" spans="9:17" x14ac:dyDescent="0.45">
      <c r="I2663" t="s">
        <v>198</v>
      </c>
      <c r="J2663" t="s">
        <v>298</v>
      </c>
      <c r="K2663">
        <v>5.1371674241869501E-3</v>
      </c>
      <c r="L2663" t="s">
        <v>159</v>
      </c>
      <c r="N2663" t="s">
        <v>241</v>
      </c>
      <c r="O2663" t="s">
        <v>298</v>
      </c>
      <c r="P2663">
        <v>0.11933857646799284</v>
      </c>
      <c r="Q2663" t="s">
        <v>159</v>
      </c>
    </row>
    <row r="2664" spans="9:17" x14ac:dyDescent="0.45">
      <c r="I2664" t="s">
        <v>198</v>
      </c>
      <c r="J2664" t="s">
        <v>299</v>
      </c>
      <c r="K2664">
        <v>1.5684025418517048E-2</v>
      </c>
      <c r="L2664" t="s">
        <v>159</v>
      </c>
      <c r="N2664" t="s">
        <v>241</v>
      </c>
      <c r="O2664" t="s">
        <v>299</v>
      </c>
      <c r="P2664">
        <v>1.2420203216747437E-2</v>
      </c>
      <c r="Q2664" t="s">
        <v>159</v>
      </c>
    </row>
    <row r="2665" spans="9:17" x14ac:dyDescent="0.45">
      <c r="I2665" t="s">
        <v>198</v>
      </c>
      <c r="J2665" t="s">
        <v>300</v>
      </c>
      <c r="K2665">
        <v>0.24987557534323654</v>
      </c>
      <c r="L2665" t="s">
        <v>159</v>
      </c>
      <c r="N2665" t="s">
        <v>241</v>
      </c>
      <c r="O2665" t="s">
        <v>300</v>
      </c>
      <c r="P2665">
        <v>8.9254632186575839E-2</v>
      </c>
      <c r="Q2665" t="s">
        <v>159</v>
      </c>
    </row>
    <row r="2666" spans="9:17" x14ac:dyDescent="0.45">
      <c r="I2666" t="s">
        <v>198</v>
      </c>
      <c r="J2666" t="s">
        <v>301</v>
      </c>
      <c r="K2666">
        <v>1.852557934924581E-2</v>
      </c>
      <c r="L2666" t="s">
        <v>159</v>
      </c>
      <c r="N2666" t="s">
        <v>241</v>
      </c>
      <c r="O2666" t="s">
        <v>301</v>
      </c>
      <c r="P2666">
        <v>9.5181207140798054E-3</v>
      </c>
      <c r="Q2666" t="s">
        <v>159</v>
      </c>
    </row>
    <row r="2667" spans="9:17" x14ac:dyDescent="0.45">
      <c r="I2667" t="s">
        <v>198</v>
      </c>
      <c r="J2667" t="s">
        <v>302</v>
      </c>
      <c r="K2667">
        <v>1.1637188696324262E-2</v>
      </c>
      <c r="L2667" t="s">
        <v>159</v>
      </c>
      <c r="N2667" t="s">
        <v>241</v>
      </c>
      <c r="O2667" t="s">
        <v>302</v>
      </c>
      <c r="P2667">
        <v>1.0653022580350899E-2</v>
      </c>
      <c r="Q2667" t="s">
        <v>159</v>
      </c>
    </row>
    <row r="2668" spans="9:17" x14ac:dyDescent="0.45">
      <c r="I2668" t="s">
        <v>198</v>
      </c>
      <c r="J2668" t="s">
        <v>312</v>
      </c>
      <c r="K2668">
        <v>6.5481250194211131E-4</v>
      </c>
      <c r="L2668" t="s">
        <v>159</v>
      </c>
      <c r="N2668" t="s">
        <v>241</v>
      </c>
      <c r="O2668" t="s">
        <v>312</v>
      </c>
      <c r="P2668">
        <v>7.6054654381283157E-2</v>
      </c>
      <c r="Q2668" t="s">
        <v>159</v>
      </c>
    </row>
    <row r="2669" spans="9:17" x14ac:dyDescent="0.45">
      <c r="I2669" t="s">
        <v>198</v>
      </c>
      <c r="J2669" t="s">
        <v>397</v>
      </c>
      <c r="K2669">
        <v>0</v>
      </c>
      <c r="L2669" t="s">
        <v>159</v>
      </c>
      <c r="N2669" t="s">
        <v>241</v>
      </c>
      <c r="O2669" t="s">
        <v>397</v>
      </c>
      <c r="P2669">
        <v>1.3622604602328212E-4</v>
      </c>
      <c r="Q2669" t="s">
        <v>159</v>
      </c>
    </row>
    <row r="2670" spans="9:17" x14ac:dyDescent="0.45">
      <c r="I2670" t="s">
        <v>198</v>
      </c>
      <c r="J2670" t="s">
        <v>398</v>
      </c>
      <c r="K2670">
        <v>0</v>
      </c>
      <c r="L2670" t="s">
        <v>159</v>
      </c>
      <c r="N2670" t="s">
        <v>241</v>
      </c>
      <c r="O2670" t="s">
        <v>398</v>
      </c>
      <c r="P2670">
        <v>1.4748487381764953E-4</v>
      </c>
      <c r="Q2670" t="s">
        <v>159</v>
      </c>
    </row>
    <row r="2671" spans="9:17" x14ac:dyDescent="0.45">
      <c r="I2671" t="s">
        <v>198</v>
      </c>
      <c r="J2671" t="s">
        <v>399</v>
      </c>
      <c r="K2671">
        <v>0</v>
      </c>
      <c r="L2671" t="s">
        <v>159</v>
      </c>
      <c r="N2671" t="s">
        <v>241</v>
      </c>
      <c r="O2671" t="s">
        <v>399</v>
      </c>
      <c r="P2671">
        <v>1.7046160211443506E-4</v>
      </c>
      <c r="Q2671" t="s">
        <v>159</v>
      </c>
    </row>
    <row r="2672" spans="9:17" x14ac:dyDescent="0.45">
      <c r="I2672" t="s">
        <v>198</v>
      </c>
      <c r="J2672" t="s">
        <v>400</v>
      </c>
      <c r="K2672">
        <v>0</v>
      </c>
      <c r="L2672" t="s">
        <v>159</v>
      </c>
      <c r="N2672" t="s">
        <v>241</v>
      </c>
      <c r="O2672" t="s">
        <v>400</v>
      </c>
      <c r="P2672">
        <v>1.9179027147827468E-4</v>
      </c>
      <c r="Q2672" t="s">
        <v>159</v>
      </c>
    </row>
    <row r="2673" spans="9:17" x14ac:dyDescent="0.45">
      <c r="I2673" t="s">
        <v>198</v>
      </c>
      <c r="J2673" t="s">
        <v>401</v>
      </c>
      <c r="K2673">
        <v>0</v>
      </c>
      <c r="L2673" t="s">
        <v>159</v>
      </c>
      <c r="N2673" t="s">
        <v>241</v>
      </c>
      <c r="O2673" t="s">
        <v>401</v>
      </c>
      <c r="P2673">
        <v>1.8328892790478118E-4</v>
      </c>
      <c r="Q2673" t="s">
        <v>159</v>
      </c>
    </row>
    <row r="2674" spans="9:17" x14ac:dyDescent="0.45">
      <c r="I2674" t="s">
        <v>198</v>
      </c>
      <c r="J2674" t="s">
        <v>402</v>
      </c>
      <c r="K2674">
        <v>0</v>
      </c>
      <c r="L2674" t="s">
        <v>159</v>
      </c>
      <c r="N2674" t="s">
        <v>241</v>
      </c>
      <c r="O2674" t="s">
        <v>402</v>
      </c>
      <c r="P2674">
        <v>1.5926494523862844E-4</v>
      </c>
      <c r="Q2674" t="s">
        <v>159</v>
      </c>
    </row>
    <row r="2675" spans="9:17" x14ac:dyDescent="0.45">
      <c r="I2675" t="s">
        <v>198</v>
      </c>
      <c r="J2675" t="s">
        <v>403</v>
      </c>
      <c r="K2675">
        <v>0</v>
      </c>
      <c r="L2675" t="s">
        <v>159</v>
      </c>
      <c r="N2675" t="s">
        <v>241</v>
      </c>
      <c r="O2675" t="s">
        <v>403</v>
      </c>
      <c r="P2675">
        <v>1.4200219182750927E-4</v>
      </c>
      <c r="Q2675" t="s">
        <v>159</v>
      </c>
    </row>
    <row r="2676" spans="9:17" x14ac:dyDescent="0.45">
      <c r="I2676" t="s">
        <v>198</v>
      </c>
      <c r="J2676" t="s">
        <v>404</v>
      </c>
      <c r="K2676">
        <v>1.7799537809454262E-4</v>
      </c>
      <c r="L2676" t="s">
        <v>159</v>
      </c>
      <c r="N2676" t="s">
        <v>241</v>
      </c>
      <c r="O2676" t="s">
        <v>404</v>
      </c>
      <c r="P2676">
        <v>9.1455726517702618E-5</v>
      </c>
      <c r="Q2676" t="s">
        <v>159</v>
      </c>
    </row>
    <row r="2677" spans="9:17" x14ac:dyDescent="0.45">
      <c r="I2677" t="s">
        <v>198</v>
      </c>
      <c r="J2677" t="s">
        <v>405</v>
      </c>
      <c r="K2677">
        <v>2.6119289850132417E-4</v>
      </c>
      <c r="L2677" t="s">
        <v>159</v>
      </c>
      <c r="N2677" t="s">
        <v>241</v>
      </c>
      <c r="O2677" t="s">
        <v>405</v>
      </c>
      <c r="P2677">
        <v>3.3664042939923266E-5</v>
      </c>
      <c r="Q2677" t="s">
        <v>159</v>
      </c>
    </row>
    <row r="2678" spans="9:17" x14ac:dyDescent="0.45">
      <c r="I2678" t="s">
        <v>198</v>
      </c>
      <c r="J2678" t="s">
        <v>406</v>
      </c>
      <c r="K2678">
        <v>3.0242167938892211E-4</v>
      </c>
      <c r="L2678" t="s">
        <v>159</v>
      </c>
      <c r="N2678" t="s">
        <v>241</v>
      </c>
      <c r="O2678" t="s">
        <v>406</v>
      </c>
      <c r="P2678">
        <v>3.1023060504662523E-5</v>
      </c>
      <c r="Q2678" t="s">
        <v>159</v>
      </c>
    </row>
    <row r="2679" spans="9:17" x14ac:dyDescent="0.45">
      <c r="I2679" t="s">
        <v>198</v>
      </c>
      <c r="J2679" t="s">
        <v>407</v>
      </c>
      <c r="K2679">
        <v>3.1410065517142914E-4</v>
      </c>
      <c r="L2679" t="s">
        <v>159</v>
      </c>
      <c r="N2679" t="s">
        <v>241</v>
      </c>
      <c r="O2679" t="s">
        <v>407</v>
      </c>
      <c r="P2679">
        <v>3.5297982271549158E-5</v>
      </c>
      <c r="Q2679" t="s">
        <v>159</v>
      </c>
    </row>
    <row r="2680" spans="9:17" x14ac:dyDescent="0.45">
      <c r="I2680" t="s">
        <v>198</v>
      </c>
      <c r="J2680" t="s">
        <v>408</v>
      </c>
      <c r="K2680">
        <v>3.2903287443398588E-4</v>
      </c>
      <c r="L2680" t="s">
        <v>159</v>
      </c>
      <c r="N2680" t="s">
        <v>241</v>
      </c>
      <c r="O2680" t="s">
        <v>408</v>
      </c>
      <c r="P2680">
        <v>2.56561099117952E-5</v>
      </c>
      <c r="Q2680" t="s">
        <v>159</v>
      </c>
    </row>
    <row r="2681" spans="9:17" x14ac:dyDescent="0.45">
      <c r="I2681" t="s">
        <v>198</v>
      </c>
      <c r="J2681" t="s">
        <v>409</v>
      </c>
      <c r="K2681">
        <v>3.7030241358075079E-4</v>
      </c>
      <c r="L2681" t="s">
        <v>159</v>
      </c>
      <c r="N2681" t="s">
        <v>241</v>
      </c>
      <c r="O2681" t="s">
        <v>409</v>
      </c>
      <c r="P2681">
        <v>2.7458909122739838E-5</v>
      </c>
      <c r="Q2681" t="s">
        <v>159</v>
      </c>
    </row>
    <row r="2682" spans="9:17" x14ac:dyDescent="0.45">
      <c r="I2682" t="s">
        <v>198</v>
      </c>
      <c r="J2682" t="s">
        <v>410</v>
      </c>
      <c r="K2682">
        <v>3.5078351401777753E-4</v>
      </c>
      <c r="L2682" t="s">
        <v>159</v>
      </c>
      <c r="N2682" t="s">
        <v>241</v>
      </c>
      <c r="O2682" t="s">
        <v>410</v>
      </c>
      <c r="P2682">
        <v>3.6663799725621227E-5</v>
      </c>
      <c r="Q2682" t="s">
        <v>159</v>
      </c>
    </row>
    <row r="2683" spans="9:17" x14ac:dyDescent="0.45">
      <c r="I2683" t="s">
        <v>198</v>
      </c>
      <c r="J2683" t="s">
        <v>411</v>
      </c>
      <c r="K2683">
        <v>3.2141664008238433E-4</v>
      </c>
      <c r="L2683" t="s">
        <v>159</v>
      </c>
      <c r="N2683" t="s">
        <v>241</v>
      </c>
      <c r="O2683" t="s">
        <v>411</v>
      </c>
      <c r="P2683">
        <v>4.6098149524134805E-5</v>
      </c>
      <c r="Q2683" t="s">
        <v>159</v>
      </c>
    </row>
    <row r="2684" spans="9:17" x14ac:dyDescent="0.45">
      <c r="I2684" t="s">
        <v>198</v>
      </c>
      <c r="J2684" t="s">
        <v>412</v>
      </c>
      <c r="K2684">
        <v>2.8517846964646075E-4</v>
      </c>
      <c r="L2684" t="s">
        <v>159</v>
      </c>
      <c r="N2684" t="s">
        <v>241</v>
      </c>
      <c r="O2684" t="s">
        <v>412</v>
      </c>
      <c r="P2684">
        <v>4.7370734672053094E-5</v>
      </c>
      <c r="Q2684" t="s">
        <v>159</v>
      </c>
    </row>
    <row r="2685" spans="9:17" x14ac:dyDescent="0.45">
      <c r="I2685" t="s">
        <v>198</v>
      </c>
      <c r="J2685" t="s">
        <v>413</v>
      </c>
      <c r="K2685">
        <v>2.6931947905845492E-4</v>
      </c>
      <c r="L2685" t="s">
        <v>159</v>
      </c>
      <c r="N2685" t="s">
        <v>241</v>
      </c>
      <c r="O2685" t="s">
        <v>413</v>
      </c>
      <c r="P2685">
        <v>4.0374844967642679E-5</v>
      </c>
      <c r="Q2685" t="s">
        <v>159</v>
      </c>
    </row>
    <row r="2686" spans="9:17" x14ac:dyDescent="0.45">
      <c r="I2686" t="s">
        <v>198</v>
      </c>
      <c r="J2686" t="s">
        <v>414</v>
      </c>
      <c r="K2686">
        <v>2.0963621446177668E-4</v>
      </c>
      <c r="L2686" t="s">
        <v>159</v>
      </c>
      <c r="N2686" t="s">
        <v>241</v>
      </c>
      <c r="O2686" t="s">
        <v>414</v>
      </c>
      <c r="P2686">
        <v>2.0256540739982509E-5</v>
      </c>
      <c r="Q2686" t="s">
        <v>159</v>
      </c>
    </row>
    <row r="2687" spans="9:17" x14ac:dyDescent="0.45">
      <c r="I2687" t="s">
        <v>198</v>
      </c>
      <c r="J2687" t="s">
        <v>415</v>
      </c>
      <c r="K2687">
        <v>1.1214025379138841E-4</v>
      </c>
      <c r="L2687" t="s">
        <v>159</v>
      </c>
      <c r="N2687" t="s">
        <v>241</v>
      </c>
      <c r="O2687" t="s">
        <v>415</v>
      </c>
      <c r="P2687">
        <v>1.8311533864435611E-5</v>
      </c>
      <c r="Q2687" t="s">
        <v>159</v>
      </c>
    </row>
    <row r="2688" spans="9:17" x14ac:dyDescent="0.45">
      <c r="I2688" t="s">
        <v>198</v>
      </c>
      <c r="J2688" t="s">
        <v>416</v>
      </c>
      <c r="K2688">
        <v>0</v>
      </c>
      <c r="L2688" t="s">
        <v>159</v>
      </c>
      <c r="N2688" t="s">
        <v>241</v>
      </c>
      <c r="O2688" t="s">
        <v>416</v>
      </c>
      <c r="P2688">
        <v>3.5566424880458153E-5</v>
      </c>
      <c r="Q2688" t="s">
        <v>159</v>
      </c>
    </row>
    <row r="2689" spans="9:17" x14ac:dyDescent="0.45">
      <c r="I2689" t="s">
        <v>198</v>
      </c>
      <c r="J2689" t="s">
        <v>417</v>
      </c>
      <c r="K2689">
        <v>0</v>
      </c>
      <c r="L2689" t="s">
        <v>159</v>
      </c>
      <c r="N2689" t="s">
        <v>241</v>
      </c>
      <c r="O2689" t="s">
        <v>417</v>
      </c>
      <c r="P2689">
        <v>6.1545173116556891E-5</v>
      </c>
      <c r="Q2689" t="s">
        <v>159</v>
      </c>
    </row>
    <row r="2690" spans="9:17" x14ac:dyDescent="0.45">
      <c r="I2690" t="s">
        <v>198</v>
      </c>
      <c r="J2690" t="s">
        <v>418</v>
      </c>
      <c r="K2690">
        <v>0</v>
      </c>
      <c r="L2690" t="s">
        <v>159</v>
      </c>
      <c r="N2690" t="s">
        <v>241</v>
      </c>
      <c r="O2690" t="s">
        <v>418</v>
      </c>
      <c r="P2690">
        <v>1.035537438459116E-4</v>
      </c>
      <c r="Q2690" t="s">
        <v>159</v>
      </c>
    </row>
    <row r="2691" spans="9:17" x14ac:dyDescent="0.45">
      <c r="I2691" t="s">
        <v>198</v>
      </c>
      <c r="J2691" t="s">
        <v>419</v>
      </c>
      <c r="K2691">
        <v>0</v>
      </c>
      <c r="L2691" t="s">
        <v>159</v>
      </c>
      <c r="N2691" t="s">
        <v>241</v>
      </c>
      <c r="O2691" t="s">
        <v>419</v>
      </c>
      <c r="P2691">
        <v>1.5263951546969163E-4</v>
      </c>
      <c r="Q2691" t="s">
        <v>159</v>
      </c>
    </row>
    <row r="2692" spans="9:17" x14ac:dyDescent="0.45">
      <c r="I2692" t="s">
        <v>198</v>
      </c>
      <c r="J2692" t="s">
        <v>420</v>
      </c>
      <c r="K2692">
        <v>0</v>
      </c>
      <c r="L2692" t="s">
        <v>159</v>
      </c>
      <c r="N2692" t="s">
        <v>241</v>
      </c>
      <c r="O2692" t="s">
        <v>420</v>
      </c>
      <c r="P2692">
        <v>1.2614947694763613E-4</v>
      </c>
      <c r="Q2692" t="s">
        <v>159</v>
      </c>
    </row>
    <row r="2693" spans="9:17" x14ac:dyDescent="0.45">
      <c r="I2693" t="s">
        <v>198</v>
      </c>
      <c r="J2693" t="s">
        <v>313</v>
      </c>
      <c r="K2693">
        <v>2.5489265872553428E-3</v>
      </c>
      <c r="L2693" t="s">
        <v>159</v>
      </c>
      <c r="N2693" t="s">
        <v>241</v>
      </c>
      <c r="O2693" t="s">
        <v>313</v>
      </c>
      <c r="P2693">
        <v>2.0624576264473997E-2</v>
      </c>
      <c r="Q2693" t="s">
        <v>159</v>
      </c>
    </row>
    <row r="2694" spans="9:17" x14ac:dyDescent="0.45">
      <c r="I2694" t="s">
        <v>198</v>
      </c>
      <c r="J2694" t="s">
        <v>314</v>
      </c>
      <c r="K2694">
        <v>4.7829389384935351E-3</v>
      </c>
      <c r="L2694" t="s">
        <v>159</v>
      </c>
      <c r="N2694" t="s">
        <v>241</v>
      </c>
      <c r="O2694" t="s">
        <v>314</v>
      </c>
      <c r="P2694">
        <v>2.2875688241113996E-3</v>
      </c>
      <c r="Q2694" t="s">
        <v>159</v>
      </c>
    </row>
    <row r="2695" spans="9:17" x14ac:dyDescent="0.45">
      <c r="I2695" t="s">
        <v>198</v>
      </c>
      <c r="J2695" t="s">
        <v>315</v>
      </c>
      <c r="K2695">
        <v>7.6068542370230849E-2</v>
      </c>
      <c r="L2695" t="s">
        <v>159</v>
      </c>
      <c r="N2695" t="s">
        <v>241</v>
      </c>
      <c r="O2695" t="s">
        <v>315</v>
      </c>
      <c r="P2695">
        <v>1.397986791909985E-2</v>
      </c>
      <c r="Q2695" t="s">
        <v>159</v>
      </c>
    </row>
    <row r="2696" spans="9:17" x14ac:dyDescent="0.45">
      <c r="I2696" t="s">
        <v>198</v>
      </c>
      <c r="J2696" t="s">
        <v>316</v>
      </c>
      <c r="K2696">
        <v>5.1800880877994051E-3</v>
      </c>
      <c r="L2696" t="s">
        <v>159</v>
      </c>
      <c r="N2696" t="s">
        <v>241</v>
      </c>
      <c r="O2696" t="s">
        <v>316</v>
      </c>
      <c r="P2696">
        <v>1.4825580768623124E-3</v>
      </c>
      <c r="Q2696" t="s">
        <v>159</v>
      </c>
    </row>
    <row r="2697" spans="9:17" x14ac:dyDescent="0.45">
      <c r="I2697" t="s">
        <v>198</v>
      </c>
      <c r="J2697" t="s">
        <v>317</v>
      </c>
      <c r="K2697">
        <v>3.6443253457072887E-3</v>
      </c>
      <c r="L2697" t="s">
        <v>159</v>
      </c>
      <c r="N2697" t="s">
        <v>241</v>
      </c>
      <c r="O2697" t="s">
        <v>317</v>
      </c>
      <c r="P2697">
        <v>1.8416034797818703E-3</v>
      </c>
      <c r="Q2697" t="s">
        <v>159</v>
      </c>
    </row>
    <row r="2698" spans="9:17" x14ac:dyDescent="0.45">
      <c r="I2698" t="s">
        <v>198</v>
      </c>
      <c r="J2698" t="s">
        <v>318</v>
      </c>
      <c r="K2698">
        <v>1.9544793691761504E-3</v>
      </c>
      <c r="L2698" t="s">
        <v>159</v>
      </c>
      <c r="N2698" t="s">
        <v>241</v>
      </c>
      <c r="O2698" t="s">
        <v>318</v>
      </c>
      <c r="P2698">
        <v>1.483020857016161E-2</v>
      </c>
      <c r="Q2698" t="s">
        <v>159</v>
      </c>
    </row>
    <row r="2699" spans="9:17" x14ac:dyDescent="0.45">
      <c r="I2699" t="s">
        <v>199</v>
      </c>
      <c r="J2699" t="s">
        <v>158</v>
      </c>
      <c r="K2699">
        <v>1.7779559207773254E-3</v>
      </c>
      <c r="L2699" t="s">
        <v>159</v>
      </c>
      <c r="N2699" t="s">
        <v>242</v>
      </c>
      <c r="O2699" t="s">
        <v>158</v>
      </c>
      <c r="P2699">
        <v>0.17507117408146386</v>
      </c>
      <c r="Q2699" t="s">
        <v>159</v>
      </c>
    </row>
    <row r="2700" spans="9:17" x14ac:dyDescent="0.45">
      <c r="I2700" t="s">
        <v>199</v>
      </c>
      <c r="J2700" t="s">
        <v>160</v>
      </c>
      <c r="K2700">
        <v>1.4104062841396632E-2</v>
      </c>
      <c r="L2700" t="s">
        <v>159</v>
      </c>
      <c r="N2700" t="s">
        <v>242</v>
      </c>
      <c r="O2700" t="s">
        <v>160</v>
      </c>
      <c r="P2700">
        <v>2.1065920493742073E-2</v>
      </c>
      <c r="Q2700" t="s">
        <v>159</v>
      </c>
    </row>
    <row r="2701" spans="9:17" x14ac:dyDescent="0.45">
      <c r="I2701" t="s">
        <v>199</v>
      </c>
      <c r="J2701" t="s">
        <v>161</v>
      </c>
      <c r="K2701">
        <v>0.38609738534882759</v>
      </c>
      <c r="L2701" t="s">
        <v>159</v>
      </c>
      <c r="N2701" t="s">
        <v>242</v>
      </c>
      <c r="O2701" t="s">
        <v>161</v>
      </c>
      <c r="P2701">
        <v>0.1247388821353568</v>
      </c>
      <c r="Q2701" t="s">
        <v>159</v>
      </c>
    </row>
    <row r="2702" spans="9:17" x14ac:dyDescent="0.45">
      <c r="I2702" t="s">
        <v>199</v>
      </c>
      <c r="J2702" t="s">
        <v>287</v>
      </c>
      <c r="K2702">
        <v>3.1470979613426542E-2</v>
      </c>
      <c r="L2702" t="s">
        <v>159</v>
      </c>
      <c r="N2702" t="s">
        <v>242</v>
      </c>
      <c r="O2702" t="s">
        <v>287</v>
      </c>
      <c r="P2702">
        <v>9.6310347515321422E-3</v>
      </c>
      <c r="Q2702" t="s">
        <v>159</v>
      </c>
    </row>
    <row r="2703" spans="9:17" x14ac:dyDescent="0.45">
      <c r="I2703" t="s">
        <v>199</v>
      </c>
      <c r="J2703" t="s">
        <v>288</v>
      </c>
      <c r="K2703">
        <v>1.5083141187145132E-2</v>
      </c>
      <c r="L2703" t="s">
        <v>159</v>
      </c>
      <c r="N2703" t="s">
        <v>242</v>
      </c>
      <c r="O2703" t="s">
        <v>288</v>
      </c>
      <c r="P2703">
        <v>1.1020798660315486E-2</v>
      </c>
      <c r="Q2703" t="s">
        <v>159</v>
      </c>
    </row>
    <row r="2704" spans="9:17" x14ac:dyDescent="0.45">
      <c r="I2704" t="s">
        <v>199</v>
      </c>
      <c r="J2704" t="s">
        <v>308</v>
      </c>
      <c r="K2704">
        <v>5.4278135817539029E-3</v>
      </c>
      <c r="L2704" t="s">
        <v>159</v>
      </c>
      <c r="N2704" t="s">
        <v>242</v>
      </c>
      <c r="O2704" t="s">
        <v>308</v>
      </c>
      <c r="P2704">
        <v>0.1017629231048284</v>
      </c>
      <c r="Q2704" t="s">
        <v>159</v>
      </c>
    </row>
    <row r="2705" spans="9:17" x14ac:dyDescent="0.45">
      <c r="I2705" t="s">
        <v>199</v>
      </c>
      <c r="J2705" t="s">
        <v>162</v>
      </c>
      <c r="K2705">
        <v>0</v>
      </c>
      <c r="L2705" t="s">
        <v>159</v>
      </c>
      <c r="N2705" t="s">
        <v>242</v>
      </c>
      <c r="O2705" t="s">
        <v>162</v>
      </c>
      <c r="P2705">
        <v>3.2649462683736807E-2</v>
      </c>
      <c r="Q2705" t="s">
        <v>159</v>
      </c>
    </row>
    <row r="2706" spans="9:17" x14ac:dyDescent="0.45">
      <c r="I2706" t="s">
        <v>199</v>
      </c>
      <c r="J2706" t="s">
        <v>163</v>
      </c>
      <c r="K2706">
        <v>0</v>
      </c>
      <c r="L2706" t="s">
        <v>159</v>
      </c>
      <c r="N2706" t="s">
        <v>242</v>
      </c>
      <c r="O2706" t="s">
        <v>163</v>
      </c>
      <c r="P2706">
        <v>4.9243751811189332E-3</v>
      </c>
      <c r="Q2706" t="s">
        <v>159</v>
      </c>
    </row>
    <row r="2707" spans="9:17" x14ac:dyDescent="0.45">
      <c r="I2707" t="s">
        <v>199</v>
      </c>
      <c r="J2707" t="s">
        <v>164</v>
      </c>
      <c r="K2707">
        <v>4.6532475807490731E-2</v>
      </c>
      <c r="L2707" t="s">
        <v>159</v>
      </c>
      <c r="N2707" t="s">
        <v>242</v>
      </c>
      <c r="O2707" t="s">
        <v>164</v>
      </c>
      <c r="P2707">
        <v>3.2074367512753665E-2</v>
      </c>
      <c r="Q2707" t="s">
        <v>159</v>
      </c>
    </row>
    <row r="2708" spans="9:17" x14ac:dyDescent="0.45">
      <c r="I2708" t="s">
        <v>199</v>
      </c>
      <c r="J2708" t="s">
        <v>289</v>
      </c>
      <c r="K2708">
        <v>4.0503640627077451E-3</v>
      </c>
      <c r="L2708" t="s">
        <v>159</v>
      </c>
      <c r="N2708" t="s">
        <v>242</v>
      </c>
      <c r="O2708" t="s">
        <v>289</v>
      </c>
      <c r="P2708">
        <v>2.309911567297492E-3</v>
      </c>
      <c r="Q2708" t="s">
        <v>159</v>
      </c>
    </row>
    <row r="2709" spans="9:17" x14ac:dyDescent="0.45">
      <c r="I2709" t="s">
        <v>199</v>
      </c>
      <c r="J2709" t="s">
        <v>290</v>
      </c>
      <c r="K2709">
        <v>0</v>
      </c>
      <c r="L2709" t="s">
        <v>159</v>
      </c>
      <c r="N2709" t="s">
        <v>242</v>
      </c>
      <c r="O2709" t="s">
        <v>290</v>
      </c>
      <c r="P2709">
        <v>2.4991762391161419E-3</v>
      </c>
      <c r="Q2709" t="s">
        <v>159</v>
      </c>
    </row>
    <row r="2710" spans="9:17" x14ac:dyDescent="0.45">
      <c r="I2710" t="s">
        <v>199</v>
      </c>
      <c r="J2710" t="s">
        <v>309</v>
      </c>
      <c r="K2710">
        <v>0</v>
      </c>
      <c r="L2710" t="s">
        <v>159</v>
      </c>
      <c r="N2710" t="s">
        <v>242</v>
      </c>
      <c r="O2710" t="s">
        <v>309</v>
      </c>
      <c r="P2710">
        <v>1.833207523335225E-2</v>
      </c>
      <c r="Q2710" t="s">
        <v>159</v>
      </c>
    </row>
    <row r="2711" spans="9:17" x14ac:dyDescent="0.45">
      <c r="I2711" t="s">
        <v>199</v>
      </c>
      <c r="J2711" t="s">
        <v>346</v>
      </c>
      <c r="K2711">
        <v>0</v>
      </c>
      <c r="L2711" t="s">
        <v>159</v>
      </c>
      <c r="N2711" t="s">
        <v>242</v>
      </c>
      <c r="O2711" t="s">
        <v>346</v>
      </c>
      <c r="P2711">
        <v>1.7566806445321693E-5</v>
      </c>
      <c r="Q2711" t="s">
        <v>159</v>
      </c>
    </row>
    <row r="2712" spans="9:17" x14ac:dyDescent="0.45">
      <c r="I2712" t="s">
        <v>199</v>
      </c>
      <c r="J2712" t="s">
        <v>347</v>
      </c>
      <c r="K2712">
        <v>0</v>
      </c>
      <c r="L2712" t="s">
        <v>159</v>
      </c>
      <c r="N2712" t="s">
        <v>242</v>
      </c>
      <c r="O2712" t="s">
        <v>347</v>
      </c>
      <c r="P2712">
        <v>2.2022880435893415E-5</v>
      </c>
      <c r="Q2712" t="s">
        <v>159</v>
      </c>
    </row>
    <row r="2713" spans="9:17" x14ac:dyDescent="0.45">
      <c r="I2713" t="s">
        <v>199</v>
      </c>
      <c r="J2713" t="s">
        <v>348</v>
      </c>
      <c r="K2713">
        <v>0</v>
      </c>
      <c r="L2713" t="s">
        <v>159</v>
      </c>
      <c r="N2713" t="s">
        <v>242</v>
      </c>
      <c r="O2713" t="s">
        <v>348</v>
      </c>
      <c r="P2713">
        <v>2.5031197970639493E-5</v>
      </c>
      <c r="Q2713" t="s">
        <v>159</v>
      </c>
    </row>
    <row r="2714" spans="9:17" x14ac:dyDescent="0.45">
      <c r="I2714" t="s">
        <v>199</v>
      </c>
      <c r="J2714" t="s">
        <v>349</v>
      </c>
      <c r="K2714">
        <v>0</v>
      </c>
      <c r="L2714" t="s">
        <v>159</v>
      </c>
      <c r="N2714" t="s">
        <v>242</v>
      </c>
      <c r="O2714" t="s">
        <v>349</v>
      </c>
      <c r="P2714">
        <v>2.846465957566744E-5</v>
      </c>
      <c r="Q2714" t="s">
        <v>159</v>
      </c>
    </row>
    <row r="2715" spans="9:17" x14ac:dyDescent="0.45">
      <c r="I2715" t="s">
        <v>199</v>
      </c>
      <c r="J2715" t="s">
        <v>350</v>
      </c>
      <c r="K2715">
        <v>0</v>
      </c>
      <c r="L2715" t="s">
        <v>159</v>
      </c>
      <c r="N2715" t="s">
        <v>242</v>
      </c>
      <c r="O2715" t="s">
        <v>350</v>
      </c>
      <c r="P2715">
        <v>3.1998952059766962E-5</v>
      </c>
      <c r="Q2715" t="s">
        <v>159</v>
      </c>
    </row>
    <row r="2716" spans="9:17" x14ac:dyDescent="0.45">
      <c r="I2716" t="s">
        <v>199</v>
      </c>
      <c r="J2716" t="s">
        <v>351</v>
      </c>
      <c r="K2716">
        <v>0</v>
      </c>
      <c r="L2716" t="s">
        <v>159</v>
      </c>
      <c r="N2716" t="s">
        <v>242</v>
      </c>
      <c r="O2716" t="s">
        <v>351</v>
      </c>
      <c r="P2716">
        <v>3.5109920744005757E-5</v>
      </c>
      <c r="Q2716" t="s">
        <v>159</v>
      </c>
    </row>
    <row r="2717" spans="9:17" x14ac:dyDescent="0.45">
      <c r="I2717" t="s">
        <v>199</v>
      </c>
      <c r="J2717" t="s">
        <v>352</v>
      </c>
      <c r="K2717">
        <v>0</v>
      </c>
      <c r="L2717" t="s">
        <v>159</v>
      </c>
      <c r="N2717" t="s">
        <v>242</v>
      </c>
      <c r="O2717" t="s">
        <v>352</v>
      </c>
      <c r="P2717">
        <v>3.7396807835618887E-5</v>
      </c>
      <c r="Q2717" t="s">
        <v>159</v>
      </c>
    </row>
    <row r="2718" spans="9:17" x14ac:dyDescent="0.45">
      <c r="I2718" t="s">
        <v>199</v>
      </c>
      <c r="J2718" t="s">
        <v>353</v>
      </c>
      <c r="K2718">
        <v>0</v>
      </c>
      <c r="L2718" t="s">
        <v>159</v>
      </c>
      <c r="N2718" t="s">
        <v>242</v>
      </c>
      <c r="O2718" t="s">
        <v>353</v>
      </c>
      <c r="P2718">
        <v>3.7632887032872313E-5</v>
      </c>
      <c r="Q2718" t="s">
        <v>159</v>
      </c>
    </row>
    <row r="2719" spans="9:17" x14ac:dyDescent="0.45">
      <c r="I2719" t="s">
        <v>199</v>
      </c>
      <c r="J2719" t="s">
        <v>354</v>
      </c>
      <c r="K2719">
        <v>1.5741316394418743E-4</v>
      </c>
      <c r="L2719" t="s">
        <v>159</v>
      </c>
      <c r="N2719" t="s">
        <v>242</v>
      </c>
      <c r="O2719" t="s">
        <v>354</v>
      </c>
      <c r="P2719">
        <v>3.5592057748860524E-5</v>
      </c>
      <c r="Q2719" t="s">
        <v>159</v>
      </c>
    </row>
    <row r="2720" spans="9:17" x14ac:dyDescent="0.45">
      <c r="I2720" t="s">
        <v>199</v>
      </c>
      <c r="J2720" t="s">
        <v>355</v>
      </c>
      <c r="K2720">
        <v>1.9979400409903553E-4</v>
      </c>
      <c r="L2720" t="s">
        <v>159</v>
      </c>
      <c r="N2720" t="s">
        <v>242</v>
      </c>
      <c r="O2720" t="s">
        <v>355</v>
      </c>
      <c r="P2720">
        <v>2.4436138457554688E-5</v>
      </c>
      <c r="Q2720" t="s">
        <v>159</v>
      </c>
    </row>
    <row r="2721" spans="9:17" x14ac:dyDescent="0.45">
      <c r="I2721" t="s">
        <v>199</v>
      </c>
      <c r="J2721" t="s">
        <v>356</v>
      </c>
      <c r="K2721">
        <v>1.9163970055440329E-4</v>
      </c>
      <c r="L2721" t="s">
        <v>159</v>
      </c>
      <c r="N2721" t="s">
        <v>242</v>
      </c>
      <c r="O2721" t="s">
        <v>356</v>
      </c>
      <c r="P2721">
        <v>2.3038779041768519E-5</v>
      </c>
      <c r="Q2721" t="s">
        <v>159</v>
      </c>
    </row>
    <row r="2722" spans="9:17" x14ac:dyDescent="0.45">
      <c r="I2722" t="s">
        <v>199</v>
      </c>
      <c r="J2722" t="s">
        <v>357</v>
      </c>
      <c r="K2722">
        <v>1.9563617992500971E-4</v>
      </c>
      <c r="L2722" t="s">
        <v>159</v>
      </c>
      <c r="N2722" t="s">
        <v>242</v>
      </c>
      <c r="O2722" t="s">
        <v>357</v>
      </c>
      <c r="P2722">
        <v>2.3256601240486172E-5</v>
      </c>
      <c r="Q2722" t="s">
        <v>159</v>
      </c>
    </row>
    <row r="2723" spans="9:17" x14ac:dyDescent="0.45">
      <c r="I2723" t="s">
        <v>199</v>
      </c>
      <c r="J2723" t="s">
        <v>358</v>
      </c>
      <c r="K2723">
        <v>2.2913986869735732E-4</v>
      </c>
      <c r="L2723" t="s">
        <v>159</v>
      </c>
      <c r="N2723" t="s">
        <v>242</v>
      </c>
      <c r="O2723" t="s">
        <v>358</v>
      </c>
      <c r="P2723">
        <v>2.4713063971317839E-5</v>
      </c>
      <c r="Q2723" t="s">
        <v>159</v>
      </c>
    </row>
    <row r="2724" spans="9:17" x14ac:dyDescent="0.45">
      <c r="I2724" t="s">
        <v>199</v>
      </c>
      <c r="J2724" t="s">
        <v>359</v>
      </c>
      <c r="K2724">
        <v>2.4879645936382277E-4</v>
      </c>
      <c r="L2724" t="s">
        <v>159</v>
      </c>
      <c r="N2724" t="s">
        <v>242</v>
      </c>
      <c r="O2724" t="s">
        <v>359</v>
      </c>
      <c r="P2724">
        <v>2.7294966517019952E-5</v>
      </c>
      <c r="Q2724" t="s">
        <v>159</v>
      </c>
    </row>
    <row r="2725" spans="9:17" x14ac:dyDescent="0.45">
      <c r="I2725" t="s">
        <v>199</v>
      </c>
      <c r="J2725" t="s">
        <v>360</v>
      </c>
      <c r="K2725">
        <v>1.9859458172246039E-4</v>
      </c>
      <c r="L2725" t="s">
        <v>159</v>
      </c>
      <c r="N2725" t="s">
        <v>242</v>
      </c>
      <c r="O2725" t="s">
        <v>360</v>
      </c>
      <c r="P2725">
        <v>2.8362639173630758E-5</v>
      </c>
      <c r="Q2725" t="s">
        <v>159</v>
      </c>
    </row>
    <row r="2726" spans="9:17" x14ac:dyDescent="0.45">
      <c r="I2726" t="s">
        <v>199</v>
      </c>
      <c r="J2726" t="s">
        <v>361</v>
      </c>
      <c r="K2726">
        <v>1.8879911704502446E-4</v>
      </c>
      <c r="L2726" t="s">
        <v>159</v>
      </c>
      <c r="N2726" t="s">
        <v>242</v>
      </c>
      <c r="O2726" t="s">
        <v>361</v>
      </c>
      <c r="P2726">
        <v>2.5462600999561486E-5</v>
      </c>
      <c r="Q2726" t="s">
        <v>159</v>
      </c>
    </row>
    <row r="2727" spans="9:17" x14ac:dyDescent="0.45">
      <c r="I2727" t="s">
        <v>199</v>
      </c>
      <c r="J2727" t="s">
        <v>362</v>
      </c>
      <c r="K2727">
        <v>1.9168974828471006E-4</v>
      </c>
      <c r="L2727" t="s">
        <v>159</v>
      </c>
      <c r="N2727" t="s">
        <v>242</v>
      </c>
      <c r="O2727" t="s">
        <v>362</v>
      </c>
      <c r="P2727">
        <v>1.8598105746149088E-5</v>
      </c>
      <c r="Q2727" t="s">
        <v>159</v>
      </c>
    </row>
    <row r="2728" spans="9:17" x14ac:dyDescent="0.45">
      <c r="I2728" t="s">
        <v>199</v>
      </c>
      <c r="J2728" t="s">
        <v>363</v>
      </c>
      <c r="K2728">
        <v>1.7321656623353631E-4</v>
      </c>
      <c r="L2728" t="s">
        <v>159</v>
      </c>
      <c r="N2728" t="s">
        <v>242</v>
      </c>
      <c r="O2728" t="s">
        <v>363</v>
      </c>
      <c r="P2728">
        <v>1.484807670525937E-5</v>
      </c>
      <c r="Q2728" t="s">
        <v>159</v>
      </c>
    </row>
    <row r="2729" spans="9:17" x14ac:dyDescent="0.45">
      <c r="I2729" t="s">
        <v>199</v>
      </c>
      <c r="J2729" t="s">
        <v>364</v>
      </c>
      <c r="K2729">
        <v>0</v>
      </c>
      <c r="L2729" t="s">
        <v>159</v>
      </c>
      <c r="N2729" t="s">
        <v>242</v>
      </c>
      <c r="O2729" t="s">
        <v>364</v>
      </c>
      <c r="P2729">
        <v>2.0580692550929832E-5</v>
      </c>
      <c r="Q2729" t="s">
        <v>159</v>
      </c>
    </row>
    <row r="2730" spans="9:17" x14ac:dyDescent="0.45">
      <c r="I2730" t="s">
        <v>199</v>
      </c>
      <c r="J2730" t="s">
        <v>365</v>
      </c>
      <c r="K2730">
        <v>0</v>
      </c>
      <c r="L2730" t="s">
        <v>159</v>
      </c>
      <c r="N2730" t="s">
        <v>242</v>
      </c>
      <c r="O2730" t="s">
        <v>365</v>
      </c>
      <c r="P2730">
        <v>3.5303694826829256E-5</v>
      </c>
      <c r="Q2730" t="s">
        <v>159</v>
      </c>
    </row>
    <row r="2731" spans="9:17" x14ac:dyDescent="0.45">
      <c r="I2731" t="s">
        <v>199</v>
      </c>
      <c r="J2731" t="s">
        <v>366</v>
      </c>
      <c r="K2731">
        <v>0</v>
      </c>
      <c r="L2731" t="s">
        <v>159</v>
      </c>
      <c r="N2731" t="s">
        <v>242</v>
      </c>
      <c r="O2731" t="s">
        <v>366</v>
      </c>
      <c r="P2731">
        <v>5.1462273845076419E-5</v>
      </c>
      <c r="Q2731" t="s">
        <v>159</v>
      </c>
    </row>
    <row r="2732" spans="9:17" x14ac:dyDescent="0.45">
      <c r="I2732" t="s">
        <v>199</v>
      </c>
      <c r="J2732" t="s">
        <v>367</v>
      </c>
      <c r="K2732">
        <v>0</v>
      </c>
      <c r="L2732" t="s">
        <v>159</v>
      </c>
      <c r="N2732" t="s">
        <v>242</v>
      </c>
      <c r="O2732" t="s">
        <v>367</v>
      </c>
      <c r="P2732">
        <v>6.3446505201300013E-5</v>
      </c>
      <c r="Q2732" t="s">
        <v>159</v>
      </c>
    </row>
    <row r="2733" spans="9:17" x14ac:dyDescent="0.45">
      <c r="I2733" t="s">
        <v>199</v>
      </c>
      <c r="J2733" t="s">
        <v>368</v>
      </c>
      <c r="K2733">
        <v>0</v>
      </c>
      <c r="L2733" t="s">
        <v>159</v>
      </c>
      <c r="N2733" t="s">
        <v>242</v>
      </c>
      <c r="O2733" t="s">
        <v>368</v>
      </c>
      <c r="P2733">
        <v>7.0432943284844609E-5</v>
      </c>
      <c r="Q2733" t="s">
        <v>159</v>
      </c>
    </row>
    <row r="2734" spans="9:17" x14ac:dyDescent="0.45">
      <c r="I2734" t="s">
        <v>199</v>
      </c>
      <c r="J2734" t="s">
        <v>369</v>
      </c>
      <c r="K2734">
        <v>0</v>
      </c>
      <c r="L2734" t="s">
        <v>159</v>
      </c>
      <c r="N2734" t="s">
        <v>242</v>
      </c>
      <c r="O2734" t="s">
        <v>369</v>
      </c>
      <c r="P2734">
        <v>6.6973478661416869E-5</v>
      </c>
      <c r="Q2734" t="s">
        <v>159</v>
      </c>
    </row>
    <row r="2735" spans="9:17" x14ac:dyDescent="0.45">
      <c r="I2735" t="s">
        <v>199</v>
      </c>
      <c r="J2735" t="s">
        <v>165</v>
      </c>
      <c r="K2735">
        <v>0</v>
      </c>
      <c r="L2735" t="s">
        <v>159</v>
      </c>
      <c r="N2735" t="s">
        <v>242</v>
      </c>
      <c r="O2735" t="s">
        <v>165</v>
      </c>
      <c r="P2735">
        <v>3.0220333074240147E-2</v>
      </c>
      <c r="Q2735" t="s">
        <v>159</v>
      </c>
    </row>
    <row r="2736" spans="9:17" x14ac:dyDescent="0.45">
      <c r="I2736" t="s">
        <v>199</v>
      </c>
      <c r="J2736" t="s">
        <v>166</v>
      </c>
      <c r="K2736">
        <v>0</v>
      </c>
      <c r="L2736" t="s">
        <v>159</v>
      </c>
      <c r="N2736" t="s">
        <v>242</v>
      </c>
      <c r="O2736" t="s">
        <v>166</v>
      </c>
      <c r="P2736">
        <v>4.1476311003947174E-3</v>
      </c>
      <c r="Q2736" t="s">
        <v>159</v>
      </c>
    </row>
    <row r="2737" spans="9:17" x14ac:dyDescent="0.45">
      <c r="I2737" t="s">
        <v>199</v>
      </c>
      <c r="J2737" t="s">
        <v>167</v>
      </c>
      <c r="K2737">
        <v>6.6696736641517179E-2</v>
      </c>
      <c r="L2737" t="s">
        <v>159</v>
      </c>
      <c r="N2737" t="s">
        <v>242</v>
      </c>
      <c r="O2737" t="s">
        <v>167</v>
      </c>
      <c r="P2737">
        <v>2.5613988171085941E-2</v>
      </c>
      <c r="Q2737" t="s">
        <v>159</v>
      </c>
    </row>
    <row r="2738" spans="9:17" x14ac:dyDescent="0.45">
      <c r="I2738" t="s">
        <v>199</v>
      </c>
      <c r="J2738" t="s">
        <v>291</v>
      </c>
      <c r="K2738">
        <v>6.3655913487826038E-3</v>
      </c>
      <c r="L2738" t="s">
        <v>159</v>
      </c>
      <c r="N2738" t="s">
        <v>242</v>
      </c>
      <c r="O2738" t="s">
        <v>291</v>
      </c>
      <c r="P2738">
        <v>2.5125086056690059E-3</v>
      </c>
      <c r="Q2738" t="s">
        <v>159</v>
      </c>
    </row>
    <row r="2739" spans="9:17" x14ac:dyDescent="0.45">
      <c r="I2739" t="s">
        <v>199</v>
      </c>
      <c r="J2739" t="s">
        <v>292</v>
      </c>
      <c r="K2739">
        <v>1.5418727412841501E-3</v>
      </c>
      <c r="L2739" t="s">
        <v>159</v>
      </c>
      <c r="N2739" t="s">
        <v>242</v>
      </c>
      <c r="O2739" t="s">
        <v>292</v>
      </c>
      <c r="P2739">
        <v>2.8990610596775954E-3</v>
      </c>
      <c r="Q2739" t="s">
        <v>159</v>
      </c>
    </row>
    <row r="2740" spans="9:17" x14ac:dyDescent="0.45">
      <c r="I2740" t="s">
        <v>199</v>
      </c>
      <c r="J2740" t="s">
        <v>310</v>
      </c>
      <c r="K2740">
        <v>0</v>
      </c>
      <c r="L2740" t="s">
        <v>159</v>
      </c>
      <c r="N2740" t="s">
        <v>242</v>
      </c>
      <c r="O2740" t="s">
        <v>310</v>
      </c>
      <c r="P2740">
        <v>2.0117716566914697E-2</v>
      </c>
      <c r="Q2740" t="s">
        <v>159</v>
      </c>
    </row>
    <row r="2741" spans="9:17" x14ac:dyDescent="0.45">
      <c r="I2741" t="s">
        <v>199</v>
      </c>
      <c r="J2741" t="s">
        <v>293</v>
      </c>
      <c r="K2741">
        <v>0</v>
      </c>
      <c r="L2741" t="s">
        <v>159</v>
      </c>
      <c r="N2741" t="s">
        <v>242</v>
      </c>
      <c r="O2741" t="s">
        <v>293</v>
      </c>
      <c r="P2741">
        <v>1.1377326684686714E-2</v>
      </c>
      <c r="Q2741" t="s">
        <v>159</v>
      </c>
    </row>
    <row r="2742" spans="9:17" x14ac:dyDescent="0.45">
      <c r="I2742" t="s">
        <v>199</v>
      </c>
      <c r="J2742" t="s">
        <v>294</v>
      </c>
      <c r="K2742">
        <v>4.9481589419001762E-5</v>
      </c>
      <c r="L2742" t="s">
        <v>159</v>
      </c>
      <c r="N2742" t="s">
        <v>242</v>
      </c>
      <c r="O2742" t="s">
        <v>294</v>
      </c>
      <c r="P2742">
        <v>1.3791070788456762E-3</v>
      </c>
      <c r="Q2742" t="s">
        <v>159</v>
      </c>
    </row>
    <row r="2743" spans="9:17" x14ac:dyDescent="0.45">
      <c r="I2743" t="s">
        <v>199</v>
      </c>
      <c r="J2743" t="s">
        <v>295</v>
      </c>
      <c r="K2743">
        <v>1.7040794545696063E-2</v>
      </c>
      <c r="L2743" t="s">
        <v>159</v>
      </c>
      <c r="N2743" t="s">
        <v>242</v>
      </c>
      <c r="O2743" t="s">
        <v>295</v>
      </c>
      <c r="P2743">
        <v>1.0637349405477271E-2</v>
      </c>
      <c r="Q2743" t="s">
        <v>159</v>
      </c>
    </row>
    <row r="2744" spans="9:17" x14ac:dyDescent="0.45">
      <c r="I2744" t="s">
        <v>199</v>
      </c>
      <c r="J2744" t="s">
        <v>296</v>
      </c>
      <c r="K2744">
        <v>1.5390715171547352E-3</v>
      </c>
      <c r="L2744" t="s">
        <v>159</v>
      </c>
      <c r="N2744" t="s">
        <v>242</v>
      </c>
      <c r="O2744" t="s">
        <v>296</v>
      </c>
      <c r="P2744">
        <v>8.617887971417988E-4</v>
      </c>
      <c r="Q2744" t="s">
        <v>159</v>
      </c>
    </row>
    <row r="2745" spans="9:17" x14ac:dyDescent="0.45">
      <c r="I2745" t="s">
        <v>199</v>
      </c>
      <c r="J2745" t="s">
        <v>297</v>
      </c>
      <c r="K2745">
        <v>1.2441224184560949E-3</v>
      </c>
      <c r="L2745" t="s">
        <v>159</v>
      </c>
      <c r="N2745" t="s">
        <v>242</v>
      </c>
      <c r="O2745" t="s">
        <v>297</v>
      </c>
      <c r="P2745">
        <v>8.62414876161883E-4</v>
      </c>
      <c r="Q2745" t="s">
        <v>159</v>
      </c>
    </row>
    <row r="2746" spans="9:17" x14ac:dyDescent="0.45">
      <c r="I2746" t="s">
        <v>199</v>
      </c>
      <c r="J2746" t="s">
        <v>311</v>
      </c>
      <c r="K2746">
        <v>0</v>
      </c>
      <c r="L2746" t="s">
        <v>159</v>
      </c>
      <c r="N2746" t="s">
        <v>242</v>
      </c>
      <c r="O2746" t="s">
        <v>311</v>
      </c>
      <c r="P2746">
        <v>6.5639530972899313E-3</v>
      </c>
      <c r="Q2746" t="s">
        <v>159</v>
      </c>
    </row>
    <row r="2747" spans="9:17" x14ac:dyDescent="0.45">
      <c r="I2747" t="s">
        <v>199</v>
      </c>
      <c r="J2747" t="s">
        <v>298</v>
      </c>
      <c r="K2747">
        <v>4.5179473294284537E-3</v>
      </c>
      <c r="L2747" t="s">
        <v>159</v>
      </c>
      <c r="N2747" t="s">
        <v>242</v>
      </c>
      <c r="O2747" t="s">
        <v>298</v>
      </c>
      <c r="P2747">
        <v>0.10155639988780624</v>
      </c>
      <c r="Q2747" t="s">
        <v>159</v>
      </c>
    </row>
    <row r="2748" spans="9:17" x14ac:dyDescent="0.45">
      <c r="I2748" t="s">
        <v>199</v>
      </c>
      <c r="J2748" t="s">
        <v>299</v>
      </c>
      <c r="K2748">
        <v>1.6649686786134051E-2</v>
      </c>
      <c r="L2748" t="s">
        <v>159</v>
      </c>
      <c r="N2748" t="s">
        <v>242</v>
      </c>
      <c r="O2748" t="s">
        <v>299</v>
      </c>
      <c r="P2748">
        <v>9.9806091018229664E-3</v>
      </c>
      <c r="Q2748" t="s">
        <v>159</v>
      </c>
    </row>
    <row r="2749" spans="9:17" x14ac:dyDescent="0.45">
      <c r="I2749" t="s">
        <v>199</v>
      </c>
      <c r="J2749" t="s">
        <v>300</v>
      </c>
      <c r="K2749">
        <v>0.24878356756140194</v>
      </c>
      <c r="L2749" t="s">
        <v>159</v>
      </c>
      <c r="N2749" t="s">
        <v>242</v>
      </c>
      <c r="O2749" t="s">
        <v>300</v>
      </c>
      <c r="P2749">
        <v>8.0788266951643137E-2</v>
      </c>
      <c r="Q2749" t="s">
        <v>159</v>
      </c>
    </row>
    <row r="2750" spans="9:17" x14ac:dyDescent="0.45">
      <c r="I2750" t="s">
        <v>199</v>
      </c>
      <c r="J2750" t="s">
        <v>301</v>
      </c>
      <c r="K2750">
        <v>1.9784534252176311E-2</v>
      </c>
      <c r="L2750" t="s">
        <v>159</v>
      </c>
      <c r="N2750" t="s">
        <v>242</v>
      </c>
      <c r="O2750" t="s">
        <v>301</v>
      </c>
      <c r="P2750">
        <v>1.0248488054934878E-2</v>
      </c>
      <c r="Q2750" t="s">
        <v>159</v>
      </c>
    </row>
    <row r="2751" spans="9:17" x14ac:dyDescent="0.45">
      <c r="I2751" t="s">
        <v>199</v>
      </c>
      <c r="J2751" t="s">
        <v>302</v>
      </c>
      <c r="K2751">
        <v>1.3476053077691917E-2</v>
      </c>
      <c r="L2751" t="s">
        <v>159</v>
      </c>
      <c r="N2751" t="s">
        <v>242</v>
      </c>
      <c r="O2751" t="s">
        <v>302</v>
      </c>
      <c r="P2751">
        <v>1.048295041979443E-2</v>
      </c>
      <c r="Q2751" t="s">
        <v>159</v>
      </c>
    </row>
    <row r="2752" spans="9:17" x14ac:dyDescent="0.45">
      <c r="I2752" t="s">
        <v>199</v>
      </c>
      <c r="J2752" t="s">
        <v>312</v>
      </c>
      <c r="K2752">
        <v>8.9693267794155329E-4</v>
      </c>
      <c r="L2752" t="s">
        <v>159</v>
      </c>
      <c r="N2752" t="s">
        <v>242</v>
      </c>
      <c r="O2752" t="s">
        <v>312</v>
      </c>
      <c r="P2752">
        <v>6.8242059771175076E-2</v>
      </c>
      <c r="Q2752" t="s">
        <v>159</v>
      </c>
    </row>
    <row r="2753" spans="9:17" x14ac:dyDescent="0.45">
      <c r="I2753" t="s">
        <v>199</v>
      </c>
      <c r="J2753" t="s">
        <v>397</v>
      </c>
      <c r="K2753">
        <v>0</v>
      </c>
      <c r="L2753" t="s">
        <v>159</v>
      </c>
      <c r="N2753" t="s">
        <v>242</v>
      </c>
      <c r="O2753" t="s">
        <v>397</v>
      </c>
      <c r="P2753">
        <v>1.5749903866328754E-4</v>
      </c>
      <c r="Q2753" t="s">
        <v>159</v>
      </c>
    </row>
    <row r="2754" spans="9:17" x14ac:dyDescent="0.45">
      <c r="I2754" t="s">
        <v>199</v>
      </c>
      <c r="J2754" t="s">
        <v>398</v>
      </c>
      <c r="K2754">
        <v>0</v>
      </c>
      <c r="L2754" t="s">
        <v>159</v>
      </c>
      <c r="N2754" t="s">
        <v>242</v>
      </c>
      <c r="O2754" t="s">
        <v>398</v>
      </c>
      <c r="P2754">
        <v>1.6618130011964837E-4</v>
      </c>
      <c r="Q2754" t="s">
        <v>159</v>
      </c>
    </row>
    <row r="2755" spans="9:17" x14ac:dyDescent="0.45">
      <c r="I2755" t="s">
        <v>199</v>
      </c>
      <c r="J2755" t="s">
        <v>399</v>
      </c>
      <c r="K2755">
        <v>0</v>
      </c>
      <c r="L2755" t="s">
        <v>159</v>
      </c>
      <c r="N2755" t="s">
        <v>242</v>
      </c>
      <c r="O2755" t="s">
        <v>399</v>
      </c>
      <c r="P2755">
        <v>1.869982077186604E-4</v>
      </c>
      <c r="Q2755" t="s">
        <v>159</v>
      </c>
    </row>
    <row r="2756" spans="9:17" x14ac:dyDescent="0.45">
      <c r="I2756" t="s">
        <v>199</v>
      </c>
      <c r="J2756" t="s">
        <v>400</v>
      </c>
      <c r="K2756">
        <v>0</v>
      </c>
      <c r="L2756" t="s">
        <v>159</v>
      </c>
      <c r="N2756" t="s">
        <v>242</v>
      </c>
      <c r="O2756" t="s">
        <v>400</v>
      </c>
      <c r="P2756">
        <v>1.9131632721924397E-4</v>
      </c>
      <c r="Q2756" t="s">
        <v>159</v>
      </c>
    </row>
    <row r="2757" spans="9:17" x14ac:dyDescent="0.45">
      <c r="I2757" t="s">
        <v>199</v>
      </c>
      <c r="J2757" t="s">
        <v>401</v>
      </c>
      <c r="K2757">
        <v>0</v>
      </c>
      <c r="L2757" t="s">
        <v>159</v>
      </c>
      <c r="N2757" t="s">
        <v>242</v>
      </c>
      <c r="O2757" t="s">
        <v>401</v>
      </c>
      <c r="P2757">
        <v>1.7685144008119287E-4</v>
      </c>
      <c r="Q2757" t="s">
        <v>159</v>
      </c>
    </row>
    <row r="2758" spans="9:17" x14ac:dyDescent="0.45">
      <c r="I2758" t="s">
        <v>199</v>
      </c>
      <c r="J2758" t="s">
        <v>402</v>
      </c>
      <c r="K2758">
        <v>0</v>
      </c>
      <c r="L2758" t="s">
        <v>159</v>
      </c>
      <c r="N2758" t="s">
        <v>242</v>
      </c>
      <c r="O2758" t="s">
        <v>402</v>
      </c>
      <c r="P2758">
        <v>1.6520890779260817E-4</v>
      </c>
      <c r="Q2758" t="s">
        <v>159</v>
      </c>
    </row>
    <row r="2759" spans="9:17" x14ac:dyDescent="0.45">
      <c r="I2759" t="s">
        <v>199</v>
      </c>
      <c r="J2759" t="s">
        <v>403</v>
      </c>
      <c r="K2759">
        <v>0</v>
      </c>
      <c r="L2759" t="s">
        <v>159</v>
      </c>
      <c r="N2759" t="s">
        <v>242</v>
      </c>
      <c r="O2759" t="s">
        <v>403</v>
      </c>
      <c r="P2759">
        <v>1.5492575262460439E-4</v>
      </c>
      <c r="Q2759" t="s">
        <v>159</v>
      </c>
    </row>
    <row r="2760" spans="9:17" x14ac:dyDescent="0.45">
      <c r="I2760" t="s">
        <v>199</v>
      </c>
      <c r="J2760" t="s">
        <v>404</v>
      </c>
      <c r="K2760">
        <v>2.2185929025882211E-4</v>
      </c>
      <c r="L2760" t="s">
        <v>159</v>
      </c>
      <c r="N2760" t="s">
        <v>242</v>
      </c>
      <c r="O2760" t="s">
        <v>404</v>
      </c>
      <c r="P2760">
        <v>1.3699823133619723E-4</v>
      </c>
      <c r="Q2760" t="s">
        <v>159</v>
      </c>
    </row>
    <row r="2761" spans="9:17" x14ac:dyDescent="0.45">
      <c r="I2761" t="s">
        <v>199</v>
      </c>
      <c r="J2761" t="s">
        <v>405</v>
      </c>
      <c r="K2761">
        <v>3.1261739033654261E-4</v>
      </c>
      <c r="L2761" t="s">
        <v>159</v>
      </c>
      <c r="N2761" t="s">
        <v>242</v>
      </c>
      <c r="O2761" t="s">
        <v>405</v>
      </c>
      <c r="P2761">
        <v>6.5622275750179516E-5</v>
      </c>
      <c r="Q2761" t="s">
        <v>159</v>
      </c>
    </row>
    <row r="2762" spans="9:17" x14ac:dyDescent="0.45">
      <c r="I2762" t="s">
        <v>199</v>
      </c>
      <c r="J2762" t="s">
        <v>406</v>
      </c>
      <c r="K2762">
        <v>3.3571358871283474E-4</v>
      </c>
      <c r="L2762" t="s">
        <v>159</v>
      </c>
      <c r="N2762" t="s">
        <v>242</v>
      </c>
      <c r="O2762" t="s">
        <v>406</v>
      </c>
      <c r="P2762">
        <v>4.7747817137799525E-5</v>
      </c>
      <c r="Q2762" t="s">
        <v>159</v>
      </c>
    </row>
    <row r="2763" spans="9:17" x14ac:dyDescent="0.45">
      <c r="I2763" t="s">
        <v>199</v>
      </c>
      <c r="J2763" t="s">
        <v>407</v>
      </c>
      <c r="K2763">
        <v>3.3760991143557241E-4</v>
      </c>
      <c r="L2763" t="s">
        <v>159</v>
      </c>
      <c r="N2763" t="s">
        <v>242</v>
      </c>
      <c r="O2763" t="s">
        <v>407</v>
      </c>
      <c r="P2763">
        <v>4.0376339227809919E-5</v>
      </c>
      <c r="Q2763" t="s">
        <v>159</v>
      </c>
    </row>
    <row r="2764" spans="9:17" x14ac:dyDescent="0.45">
      <c r="I2764" t="s">
        <v>199</v>
      </c>
      <c r="J2764" t="s">
        <v>408</v>
      </c>
      <c r="K2764">
        <v>3.4602997820167263E-4</v>
      </c>
      <c r="L2764" t="s">
        <v>159</v>
      </c>
      <c r="N2764" t="s">
        <v>242</v>
      </c>
      <c r="O2764" t="s">
        <v>408</v>
      </c>
      <c r="P2764">
        <v>1.5397293715571736E-5</v>
      </c>
      <c r="Q2764" t="s">
        <v>159</v>
      </c>
    </row>
    <row r="2765" spans="9:17" x14ac:dyDescent="0.45">
      <c r="I2765" t="s">
        <v>199</v>
      </c>
      <c r="J2765" t="s">
        <v>409</v>
      </c>
      <c r="K2765">
        <v>3.6934299254689546E-4</v>
      </c>
      <c r="L2765" t="s">
        <v>159</v>
      </c>
      <c r="N2765" t="s">
        <v>242</v>
      </c>
      <c r="O2765" t="s">
        <v>409</v>
      </c>
      <c r="P2765">
        <v>5.8748232013638657E-6</v>
      </c>
      <c r="Q2765" t="s">
        <v>159</v>
      </c>
    </row>
    <row r="2766" spans="9:17" x14ac:dyDescent="0.45">
      <c r="I2766" t="s">
        <v>199</v>
      </c>
      <c r="J2766" t="s">
        <v>410</v>
      </c>
      <c r="K2766">
        <v>3.6604007267024383E-4</v>
      </c>
      <c r="L2766" t="s">
        <v>159</v>
      </c>
      <c r="N2766" t="s">
        <v>242</v>
      </c>
      <c r="O2766" t="s">
        <v>410</v>
      </c>
      <c r="P2766">
        <v>7.2828783565869346E-6</v>
      </c>
      <c r="Q2766" t="s">
        <v>159</v>
      </c>
    </row>
    <row r="2767" spans="9:17" x14ac:dyDescent="0.45">
      <c r="I2767" t="s">
        <v>199</v>
      </c>
      <c r="J2767" t="s">
        <v>411</v>
      </c>
      <c r="K2767">
        <v>3.3726406312014799E-4</v>
      </c>
      <c r="L2767" t="s">
        <v>159</v>
      </c>
      <c r="N2767" t="s">
        <v>242</v>
      </c>
      <c r="O2767" t="s">
        <v>411</v>
      </c>
      <c r="P2767">
        <v>9.0659891584589097E-6</v>
      </c>
      <c r="Q2767" t="s">
        <v>159</v>
      </c>
    </row>
    <row r="2768" spans="9:17" x14ac:dyDescent="0.45">
      <c r="I2768" t="s">
        <v>199</v>
      </c>
      <c r="J2768" t="s">
        <v>412</v>
      </c>
      <c r="K2768">
        <v>3.2116529602268796E-4</v>
      </c>
      <c r="L2768" t="s">
        <v>159</v>
      </c>
      <c r="N2768" t="s">
        <v>242</v>
      </c>
      <c r="O2768" t="s">
        <v>412</v>
      </c>
      <c r="P2768">
        <v>6.8824289986872723E-6</v>
      </c>
      <c r="Q2768" t="s">
        <v>159</v>
      </c>
    </row>
    <row r="2769" spans="9:17" x14ac:dyDescent="0.45">
      <c r="I2769" t="s">
        <v>199</v>
      </c>
      <c r="J2769" t="s">
        <v>413</v>
      </c>
      <c r="K2769">
        <v>3.1515252201262754E-4</v>
      </c>
      <c r="L2769" t="s">
        <v>159</v>
      </c>
      <c r="N2769" t="s">
        <v>242</v>
      </c>
      <c r="O2769" t="s">
        <v>413</v>
      </c>
      <c r="P2769">
        <v>3.6735517200045253E-6</v>
      </c>
      <c r="Q2769" t="s">
        <v>159</v>
      </c>
    </row>
    <row r="2770" spans="9:17" x14ac:dyDescent="0.45">
      <c r="I2770" t="s">
        <v>199</v>
      </c>
      <c r="J2770" t="s">
        <v>414</v>
      </c>
      <c r="K2770">
        <v>2.9874725404952532E-4</v>
      </c>
      <c r="L2770" t="s">
        <v>159</v>
      </c>
      <c r="N2770" t="s">
        <v>242</v>
      </c>
      <c r="O2770" t="s">
        <v>414</v>
      </c>
      <c r="P2770">
        <v>1.8134929593624785E-6</v>
      </c>
      <c r="Q2770" t="s">
        <v>159</v>
      </c>
    </row>
    <row r="2771" spans="9:17" x14ac:dyDescent="0.45">
      <c r="I2771" t="s">
        <v>199</v>
      </c>
      <c r="J2771" t="s">
        <v>415</v>
      </c>
      <c r="K2771">
        <v>2.0632024992503644E-4</v>
      </c>
      <c r="L2771" t="s">
        <v>159</v>
      </c>
      <c r="N2771" t="s">
        <v>242</v>
      </c>
      <c r="O2771" t="s">
        <v>415</v>
      </c>
      <c r="P2771">
        <v>3.361559062318077E-6</v>
      </c>
      <c r="Q2771" t="s">
        <v>159</v>
      </c>
    </row>
    <row r="2772" spans="9:17" x14ac:dyDescent="0.45">
      <c r="I2772" t="s">
        <v>199</v>
      </c>
      <c r="J2772" t="s">
        <v>416</v>
      </c>
      <c r="K2772">
        <v>0</v>
      </c>
      <c r="L2772" t="s">
        <v>159</v>
      </c>
      <c r="N2772" t="s">
        <v>242</v>
      </c>
      <c r="O2772" t="s">
        <v>416</v>
      </c>
      <c r="P2772">
        <v>1.6026744266596716E-5</v>
      </c>
      <c r="Q2772" t="s">
        <v>159</v>
      </c>
    </row>
    <row r="2773" spans="9:17" x14ac:dyDescent="0.45">
      <c r="I2773" t="s">
        <v>199</v>
      </c>
      <c r="J2773" t="s">
        <v>417</v>
      </c>
      <c r="K2773">
        <v>0</v>
      </c>
      <c r="L2773" t="s">
        <v>159</v>
      </c>
      <c r="N2773" t="s">
        <v>242</v>
      </c>
      <c r="O2773" t="s">
        <v>417</v>
      </c>
      <c r="P2773">
        <v>3.4473540622572364E-5</v>
      </c>
      <c r="Q2773" t="s">
        <v>159</v>
      </c>
    </row>
    <row r="2774" spans="9:17" x14ac:dyDescent="0.45">
      <c r="I2774" t="s">
        <v>199</v>
      </c>
      <c r="J2774" t="s">
        <v>418</v>
      </c>
      <c r="K2774">
        <v>0</v>
      </c>
      <c r="L2774" t="s">
        <v>159</v>
      </c>
      <c r="N2774" t="s">
        <v>242</v>
      </c>
      <c r="O2774" t="s">
        <v>418</v>
      </c>
      <c r="P2774">
        <v>5.3279519991017932E-5</v>
      </c>
      <c r="Q2774" t="s">
        <v>159</v>
      </c>
    </row>
    <row r="2775" spans="9:17" x14ac:dyDescent="0.45">
      <c r="I2775" t="s">
        <v>199</v>
      </c>
      <c r="J2775" t="s">
        <v>419</v>
      </c>
      <c r="K2775">
        <v>0</v>
      </c>
      <c r="L2775" t="s">
        <v>159</v>
      </c>
      <c r="N2775" t="s">
        <v>242</v>
      </c>
      <c r="O2775" t="s">
        <v>419</v>
      </c>
      <c r="P2775">
        <v>6.7305170151539051E-5</v>
      </c>
      <c r="Q2775" t="s">
        <v>159</v>
      </c>
    </row>
    <row r="2776" spans="9:17" x14ac:dyDescent="0.45">
      <c r="I2776" t="s">
        <v>199</v>
      </c>
      <c r="J2776" t="s">
        <v>420</v>
      </c>
      <c r="K2776">
        <v>0</v>
      </c>
      <c r="L2776" t="s">
        <v>159</v>
      </c>
      <c r="N2776" t="s">
        <v>242</v>
      </c>
      <c r="O2776" t="s">
        <v>420</v>
      </c>
      <c r="P2776">
        <v>4.3106995286510106E-5</v>
      </c>
      <c r="Q2776" t="s">
        <v>159</v>
      </c>
    </row>
    <row r="2777" spans="9:17" x14ac:dyDescent="0.45">
      <c r="I2777" t="s">
        <v>199</v>
      </c>
      <c r="J2777" t="s">
        <v>313</v>
      </c>
      <c r="K2777">
        <v>2.4046848273867254E-3</v>
      </c>
      <c r="L2777" t="s">
        <v>159</v>
      </c>
      <c r="N2777" t="s">
        <v>242</v>
      </c>
      <c r="O2777" t="s">
        <v>313</v>
      </c>
      <c r="P2777">
        <v>2.6085969351339805E-2</v>
      </c>
      <c r="Q2777" t="s">
        <v>159</v>
      </c>
    </row>
    <row r="2778" spans="9:17" x14ac:dyDescent="0.45">
      <c r="I2778" t="s">
        <v>199</v>
      </c>
      <c r="J2778" t="s">
        <v>314</v>
      </c>
      <c r="K2778">
        <v>4.6174433449915403E-3</v>
      </c>
      <c r="L2778" t="s">
        <v>159</v>
      </c>
      <c r="N2778" t="s">
        <v>242</v>
      </c>
      <c r="O2778" t="s">
        <v>314</v>
      </c>
      <c r="P2778">
        <v>2.2987352731578476E-3</v>
      </c>
      <c r="Q2778" t="s">
        <v>159</v>
      </c>
    </row>
    <row r="2779" spans="9:17" x14ac:dyDescent="0.45">
      <c r="I2779" t="s">
        <v>199</v>
      </c>
      <c r="J2779" t="s">
        <v>315</v>
      </c>
      <c r="K2779">
        <v>7.3875091092421796E-2</v>
      </c>
      <c r="L2779" t="s">
        <v>159</v>
      </c>
      <c r="N2779" t="s">
        <v>242</v>
      </c>
      <c r="O2779" t="s">
        <v>315</v>
      </c>
      <c r="P2779">
        <v>1.4071752038800308E-2</v>
      </c>
      <c r="Q2779" t="s">
        <v>159</v>
      </c>
    </row>
    <row r="2780" spans="9:17" x14ac:dyDescent="0.45">
      <c r="I2780" t="s">
        <v>199</v>
      </c>
      <c r="J2780" t="s">
        <v>316</v>
      </c>
      <c r="K2780">
        <v>4.8854110937656637E-3</v>
      </c>
      <c r="L2780" t="s">
        <v>159</v>
      </c>
      <c r="N2780" t="s">
        <v>242</v>
      </c>
      <c r="O2780" t="s">
        <v>316</v>
      </c>
      <c r="P2780">
        <v>1.6766713563553964E-3</v>
      </c>
      <c r="Q2780" t="s">
        <v>159</v>
      </c>
    </row>
    <row r="2781" spans="9:17" x14ac:dyDescent="0.45">
      <c r="I2781" t="s">
        <v>199</v>
      </c>
      <c r="J2781" t="s">
        <v>317</v>
      </c>
      <c r="K2781">
        <v>3.5307877081867047E-3</v>
      </c>
      <c r="L2781" t="s">
        <v>159</v>
      </c>
      <c r="N2781" t="s">
        <v>242</v>
      </c>
      <c r="O2781" t="s">
        <v>317</v>
      </c>
      <c r="P2781">
        <v>1.9421958239039302E-3</v>
      </c>
      <c r="Q2781" t="s">
        <v>159</v>
      </c>
    </row>
    <row r="2782" spans="9:17" x14ac:dyDescent="0.45">
      <c r="I2782" t="s">
        <v>199</v>
      </c>
      <c r="J2782" t="s">
        <v>318</v>
      </c>
      <c r="K2782">
        <v>1.8134290834749679E-3</v>
      </c>
      <c r="L2782" t="s">
        <v>159</v>
      </c>
      <c r="N2782" t="s">
        <v>242</v>
      </c>
      <c r="O2782" t="s">
        <v>318</v>
      </c>
      <c r="P2782">
        <v>1.6806325451832652E-2</v>
      </c>
      <c r="Q2782" t="s">
        <v>159</v>
      </c>
    </row>
    <row r="2783" spans="9:17" x14ac:dyDescent="0.45">
      <c r="I2783" t="s">
        <v>200</v>
      </c>
      <c r="J2783" t="s">
        <v>158</v>
      </c>
      <c r="K2783">
        <v>1.6412378011180526E-3</v>
      </c>
      <c r="L2783" t="s">
        <v>159</v>
      </c>
      <c r="N2783" t="s">
        <v>243</v>
      </c>
      <c r="O2783" t="s">
        <v>158</v>
      </c>
      <c r="P2783">
        <v>0.1588613773653639</v>
      </c>
      <c r="Q2783" t="s">
        <v>159</v>
      </c>
    </row>
    <row r="2784" spans="9:17" x14ac:dyDescent="0.45">
      <c r="I2784" t="s">
        <v>200</v>
      </c>
      <c r="J2784" t="s">
        <v>160</v>
      </c>
      <c r="K2784">
        <v>1.16205588274485E-2</v>
      </c>
      <c r="L2784" t="s">
        <v>159</v>
      </c>
      <c r="N2784" t="s">
        <v>243</v>
      </c>
      <c r="O2784" t="s">
        <v>160</v>
      </c>
      <c r="P2784">
        <v>2.0480534652001441E-2</v>
      </c>
      <c r="Q2784" t="s">
        <v>159</v>
      </c>
    </row>
    <row r="2785" spans="9:17" x14ac:dyDescent="0.45">
      <c r="I2785" t="s">
        <v>200</v>
      </c>
      <c r="J2785" t="s">
        <v>161</v>
      </c>
      <c r="K2785">
        <v>0.37825943623265146</v>
      </c>
      <c r="L2785" t="s">
        <v>159</v>
      </c>
      <c r="N2785" t="s">
        <v>243</v>
      </c>
      <c r="O2785" t="s">
        <v>161</v>
      </c>
      <c r="P2785">
        <v>0.15420836610977909</v>
      </c>
      <c r="Q2785" t="s">
        <v>159</v>
      </c>
    </row>
    <row r="2786" spans="9:17" x14ac:dyDescent="0.45">
      <c r="I2786" t="s">
        <v>200</v>
      </c>
      <c r="J2786" t="s">
        <v>287</v>
      </c>
      <c r="K2786">
        <v>3.2838004293692338E-2</v>
      </c>
      <c r="L2786" t="s">
        <v>159</v>
      </c>
      <c r="N2786" t="s">
        <v>243</v>
      </c>
      <c r="O2786" t="s">
        <v>287</v>
      </c>
      <c r="P2786">
        <v>1.3901719954538087E-2</v>
      </c>
      <c r="Q2786" t="s">
        <v>159</v>
      </c>
    </row>
    <row r="2787" spans="9:17" x14ac:dyDescent="0.45">
      <c r="I2787" t="s">
        <v>200</v>
      </c>
      <c r="J2787" t="s">
        <v>288</v>
      </c>
      <c r="K2787">
        <v>1.6647631067076753E-2</v>
      </c>
      <c r="L2787" t="s">
        <v>159</v>
      </c>
      <c r="N2787" t="s">
        <v>243</v>
      </c>
      <c r="O2787" t="s">
        <v>288</v>
      </c>
      <c r="P2787">
        <v>1.453391856674882E-2</v>
      </c>
      <c r="Q2787" t="s">
        <v>159</v>
      </c>
    </row>
    <row r="2788" spans="9:17" x14ac:dyDescent="0.45">
      <c r="I2788" t="s">
        <v>200</v>
      </c>
      <c r="J2788" t="s">
        <v>308</v>
      </c>
      <c r="K2788">
        <v>6.3052349182988092E-3</v>
      </c>
      <c r="L2788" t="s">
        <v>159</v>
      </c>
      <c r="N2788" t="s">
        <v>243</v>
      </c>
      <c r="O2788" t="s">
        <v>308</v>
      </c>
      <c r="P2788">
        <v>9.9519382664889244E-2</v>
      </c>
      <c r="Q2788" t="s">
        <v>159</v>
      </c>
    </row>
    <row r="2789" spans="9:17" x14ac:dyDescent="0.45">
      <c r="I2789" t="s">
        <v>200</v>
      </c>
      <c r="J2789" t="s">
        <v>162</v>
      </c>
      <c r="K2789">
        <v>0</v>
      </c>
      <c r="L2789" t="s">
        <v>159</v>
      </c>
      <c r="N2789" t="s">
        <v>243</v>
      </c>
      <c r="O2789" t="s">
        <v>162</v>
      </c>
      <c r="P2789">
        <v>2.7517020726480223E-2</v>
      </c>
      <c r="Q2789" t="s">
        <v>159</v>
      </c>
    </row>
    <row r="2790" spans="9:17" x14ac:dyDescent="0.45">
      <c r="I2790" t="s">
        <v>200</v>
      </c>
      <c r="J2790" t="s">
        <v>163</v>
      </c>
      <c r="K2790">
        <v>0</v>
      </c>
      <c r="L2790" t="s">
        <v>159</v>
      </c>
      <c r="N2790" t="s">
        <v>243</v>
      </c>
      <c r="O2790" t="s">
        <v>163</v>
      </c>
      <c r="P2790">
        <v>4.3276565848455895E-3</v>
      </c>
      <c r="Q2790" t="s">
        <v>159</v>
      </c>
    </row>
    <row r="2791" spans="9:17" x14ac:dyDescent="0.45">
      <c r="I2791" t="s">
        <v>200</v>
      </c>
      <c r="J2791" t="s">
        <v>164</v>
      </c>
      <c r="K2791">
        <v>4.1554108935252215E-2</v>
      </c>
      <c r="L2791" t="s">
        <v>159</v>
      </c>
      <c r="N2791" t="s">
        <v>243</v>
      </c>
      <c r="O2791" t="s">
        <v>164</v>
      </c>
      <c r="P2791">
        <v>3.4389662392020265E-2</v>
      </c>
      <c r="Q2791" t="s">
        <v>159</v>
      </c>
    </row>
    <row r="2792" spans="9:17" x14ac:dyDescent="0.45">
      <c r="I2792" t="s">
        <v>200</v>
      </c>
      <c r="J2792" t="s">
        <v>289</v>
      </c>
      <c r="K2792">
        <v>3.4980490754636922E-3</v>
      </c>
      <c r="L2792" t="s">
        <v>159</v>
      </c>
      <c r="N2792" t="s">
        <v>243</v>
      </c>
      <c r="O2792" t="s">
        <v>289</v>
      </c>
      <c r="P2792">
        <v>2.8992173853193953E-3</v>
      </c>
      <c r="Q2792" t="s">
        <v>159</v>
      </c>
    </row>
    <row r="2793" spans="9:17" x14ac:dyDescent="0.45">
      <c r="I2793" t="s">
        <v>200</v>
      </c>
      <c r="J2793" t="s">
        <v>290</v>
      </c>
      <c r="K2793">
        <v>0</v>
      </c>
      <c r="L2793" t="s">
        <v>159</v>
      </c>
      <c r="N2793" t="s">
        <v>243</v>
      </c>
      <c r="O2793" t="s">
        <v>290</v>
      </c>
      <c r="P2793">
        <v>3.0850506517999935E-3</v>
      </c>
      <c r="Q2793" t="s">
        <v>159</v>
      </c>
    </row>
    <row r="2794" spans="9:17" x14ac:dyDescent="0.45">
      <c r="I2794" t="s">
        <v>200</v>
      </c>
      <c r="J2794" t="s">
        <v>309</v>
      </c>
      <c r="K2794">
        <v>0</v>
      </c>
      <c r="L2794" t="s">
        <v>159</v>
      </c>
      <c r="N2794" t="s">
        <v>243</v>
      </c>
      <c r="O2794" t="s">
        <v>309</v>
      </c>
      <c r="P2794">
        <v>1.7500913882000358E-2</v>
      </c>
      <c r="Q2794" t="s">
        <v>159</v>
      </c>
    </row>
    <row r="2795" spans="9:17" x14ac:dyDescent="0.45">
      <c r="I2795" t="s">
        <v>200</v>
      </c>
      <c r="J2795" t="s">
        <v>346</v>
      </c>
      <c r="K2795">
        <v>0</v>
      </c>
      <c r="L2795" t="s">
        <v>159</v>
      </c>
      <c r="N2795" t="s">
        <v>243</v>
      </c>
      <c r="O2795" t="s">
        <v>346</v>
      </c>
      <c r="P2795">
        <v>6.9083123384494595E-6</v>
      </c>
      <c r="Q2795" t="s">
        <v>159</v>
      </c>
    </row>
    <row r="2796" spans="9:17" x14ac:dyDescent="0.45">
      <c r="I2796" t="s">
        <v>200</v>
      </c>
      <c r="J2796" t="s">
        <v>347</v>
      </c>
      <c r="K2796">
        <v>0</v>
      </c>
      <c r="L2796" t="s">
        <v>159</v>
      </c>
      <c r="N2796" t="s">
        <v>243</v>
      </c>
      <c r="O2796" t="s">
        <v>347</v>
      </c>
      <c r="P2796">
        <v>6.8390700176503073E-6</v>
      </c>
      <c r="Q2796" t="s">
        <v>159</v>
      </c>
    </row>
    <row r="2797" spans="9:17" x14ac:dyDescent="0.45">
      <c r="I2797" t="s">
        <v>200</v>
      </c>
      <c r="J2797" t="s">
        <v>348</v>
      </c>
      <c r="K2797">
        <v>0</v>
      </c>
      <c r="L2797" t="s">
        <v>159</v>
      </c>
      <c r="N2797" t="s">
        <v>243</v>
      </c>
      <c r="O2797" t="s">
        <v>348</v>
      </c>
      <c r="P2797">
        <v>8.6793571106971326E-6</v>
      </c>
      <c r="Q2797" t="s">
        <v>159</v>
      </c>
    </row>
    <row r="2798" spans="9:17" x14ac:dyDescent="0.45">
      <c r="I2798" t="s">
        <v>200</v>
      </c>
      <c r="J2798" t="s">
        <v>349</v>
      </c>
      <c r="K2798">
        <v>0</v>
      </c>
      <c r="L2798" t="s">
        <v>159</v>
      </c>
      <c r="N2798" t="s">
        <v>243</v>
      </c>
      <c r="O2798" t="s">
        <v>349</v>
      </c>
      <c r="P2798">
        <v>1.382076470081359E-5</v>
      </c>
      <c r="Q2798" t="s">
        <v>159</v>
      </c>
    </row>
    <row r="2799" spans="9:17" x14ac:dyDescent="0.45">
      <c r="I2799" t="s">
        <v>200</v>
      </c>
      <c r="J2799" t="s">
        <v>350</v>
      </c>
      <c r="K2799">
        <v>0</v>
      </c>
      <c r="L2799" t="s">
        <v>159</v>
      </c>
      <c r="N2799" t="s">
        <v>243</v>
      </c>
      <c r="O2799" t="s">
        <v>350</v>
      </c>
      <c r="P2799">
        <v>1.8675534902235047E-5</v>
      </c>
      <c r="Q2799" t="s">
        <v>159</v>
      </c>
    </row>
    <row r="2800" spans="9:17" x14ac:dyDescent="0.45">
      <c r="I2800" t="s">
        <v>200</v>
      </c>
      <c r="J2800" t="s">
        <v>351</v>
      </c>
      <c r="K2800">
        <v>0</v>
      </c>
      <c r="L2800" t="s">
        <v>159</v>
      </c>
      <c r="N2800" t="s">
        <v>243</v>
      </c>
      <c r="O2800" t="s">
        <v>351</v>
      </c>
      <c r="P2800">
        <v>2.2826120952040333E-5</v>
      </c>
      <c r="Q2800" t="s">
        <v>159</v>
      </c>
    </row>
    <row r="2801" spans="9:17" x14ac:dyDescent="0.45">
      <c r="I2801" t="s">
        <v>200</v>
      </c>
      <c r="J2801" t="s">
        <v>352</v>
      </c>
      <c r="K2801">
        <v>0</v>
      </c>
      <c r="L2801" t="s">
        <v>159</v>
      </c>
      <c r="N2801" t="s">
        <v>243</v>
      </c>
      <c r="O2801" t="s">
        <v>352</v>
      </c>
      <c r="P2801">
        <v>2.4497567970813484E-5</v>
      </c>
      <c r="Q2801" t="s">
        <v>159</v>
      </c>
    </row>
    <row r="2802" spans="9:17" x14ac:dyDescent="0.45">
      <c r="I2802" t="s">
        <v>200</v>
      </c>
      <c r="J2802" t="s">
        <v>353</v>
      </c>
      <c r="K2802">
        <v>0</v>
      </c>
      <c r="L2802" t="s">
        <v>159</v>
      </c>
      <c r="N2802" t="s">
        <v>243</v>
      </c>
      <c r="O2802" t="s">
        <v>353</v>
      </c>
      <c r="P2802">
        <v>2.6824665521535416E-5</v>
      </c>
      <c r="Q2802" t="s">
        <v>159</v>
      </c>
    </row>
    <row r="2803" spans="9:17" x14ac:dyDescent="0.45">
      <c r="I2803" t="s">
        <v>200</v>
      </c>
      <c r="J2803" t="s">
        <v>354</v>
      </c>
      <c r="K2803">
        <v>1.4357348549805853E-4</v>
      </c>
      <c r="L2803" t="s">
        <v>159</v>
      </c>
      <c r="N2803" t="s">
        <v>243</v>
      </c>
      <c r="O2803" t="s">
        <v>354</v>
      </c>
      <c r="P2803">
        <v>2.5910988898865929E-5</v>
      </c>
      <c r="Q2803" t="s">
        <v>159</v>
      </c>
    </row>
    <row r="2804" spans="9:17" x14ac:dyDescent="0.45">
      <c r="I2804" t="s">
        <v>200</v>
      </c>
      <c r="J2804" t="s">
        <v>355</v>
      </c>
      <c r="K2804">
        <v>1.932962887429318E-4</v>
      </c>
      <c r="L2804" t="s">
        <v>159</v>
      </c>
      <c r="N2804" t="s">
        <v>243</v>
      </c>
      <c r="O2804" t="s">
        <v>355</v>
      </c>
      <c r="P2804">
        <v>1.4228374978052183E-5</v>
      </c>
      <c r="Q2804" t="s">
        <v>159</v>
      </c>
    </row>
    <row r="2805" spans="9:17" x14ac:dyDescent="0.45">
      <c r="I2805" t="s">
        <v>200</v>
      </c>
      <c r="J2805" t="s">
        <v>356</v>
      </c>
      <c r="K2805">
        <v>1.9160766788418258E-4</v>
      </c>
      <c r="L2805" t="s">
        <v>159</v>
      </c>
      <c r="N2805" t="s">
        <v>243</v>
      </c>
      <c r="O2805" t="s">
        <v>356</v>
      </c>
      <c r="P2805">
        <v>1.6216536177586093E-5</v>
      </c>
      <c r="Q2805" t="s">
        <v>159</v>
      </c>
    </row>
    <row r="2806" spans="9:17" x14ac:dyDescent="0.45">
      <c r="I2806" t="s">
        <v>200</v>
      </c>
      <c r="J2806" t="s">
        <v>357</v>
      </c>
      <c r="K2806">
        <v>1.8579942419606188E-4</v>
      </c>
      <c r="L2806" t="s">
        <v>159</v>
      </c>
      <c r="N2806" t="s">
        <v>243</v>
      </c>
      <c r="O2806" t="s">
        <v>357</v>
      </c>
      <c r="P2806">
        <v>2.1097651033169948E-5</v>
      </c>
      <c r="Q2806" t="s">
        <v>159</v>
      </c>
    </row>
    <row r="2807" spans="9:17" x14ac:dyDescent="0.45">
      <c r="I2807" t="s">
        <v>200</v>
      </c>
      <c r="J2807" t="s">
        <v>358</v>
      </c>
      <c r="K2807">
        <v>2.2459792064793651E-4</v>
      </c>
      <c r="L2807" t="s">
        <v>159</v>
      </c>
      <c r="N2807" t="s">
        <v>243</v>
      </c>
      <c r="O2807" t="s">
        <v>358</v>
      </c>
      <c r="P2807">
        <v>2.3567710362554525E-5</v>
      </c>
      <c r="Q2807" t="s">
        <v>159</v>
      </c>
    </row>
    <row r="2808" spans="9:17" x14ac:dyDescent="0.45">
      <c r="I2808" t="s">
        <v>200</v>
      </c>
      <c r="J2808" t="s">
        <v>359</v>
      </c>
      <c r="K2808">
        <v>2.4817455576783376E-4</v>
      </c>
      <c r="L2808" t="s">
        <v>159</v>
      </c>
      <c r="N2808" t="s">
        <v>243</v>
      </c>
      <c r="O2808" t="s">
        <v>359</v>
      </c>
      <c r="P2808">
        <v>2.7123218044623895E-5</v>
      </c>
      <c r="Q2808" t="s">
        <v>159</v>
      </c>
    </row>
    <row r="2809" spans="9:17" x14ac:dyDescent="0.45">
      <c r="I2809" t="s">
        <v>200</v>
      </c>
      <c r="J2809" t="s">
        <v>360</v>
      </c>
      <c r="K2809">
        <v>1.9500673351538895E-4</v>
      </c>
      <c r="L2809" t="s">
        <v>159</v>
      </c>
      <c r="N2809" t="s">
        <v>243</v>
      </c>
      <c r="O2809" t="s">
        <v>360</v>
      </c>
      <c r="P2809">
        <v>2.6293751488902309E-5</v>
      </c>
      <c r="Q2809" t="s">
        <v>159</v>
      </c>
    </row>
    <row r="2810" spans="9:17" x14ac:dyDescent="0.45">
      <c r="I2810" t="s">
        <v>200</v>
      </c>
      <c r="J2810" t="s">
        <v>361</v>
      </c>
      <c r="K2810">
        <v>1.8465577635734615E-4</v>
      </c>
      <c r="L2810" t="s">
        <v>159</v>
      </c>
      <c r="N2810" t="s">
        <v>243</v>
      </c>
      <c r="O2810" t="s">
        <v>361</v>
      </c>
      <c r="P2810">
        <v>2.0011770152053732E-5</v>
      </c>
      <c r="Q2810" t="s">
        <v>159</v>
      </c>
    </row>
    <row r="2811" spans="9:17" x14ac:dyDescent="0.45">
      <c r="I2811" t="s">
        <v>200</v>
      </c>
      <c r="J2811" t="s">
        <v>362</v>
      </c>
      <c r="K2811">
        <v>1.9715966630141088E-4</v>
      </c>
      <c r="L2811" t="s">
        <v>159</v>
      </c>
      <c r="N2811" t="s">
        <v>243</v>
      </c>
      <c r="O2811" t="s">
        <v>362</v>
      </c>
      <c r="P2811">
        <v>1.0810714395445441E-5</v>
      </c>
      <c r="Q2811" t="s">
        <v>159</v>
      </c>
    </row>
    <row r="2812" spans="9:17" x14ac:dyDescent="0.45">
      <c r="I2812" t="s">
        <v>200</v>
      </c>
      <c r="J2812" t="s">
        <v>363</v>
      </c>
      <c r="K2812">
        <v>1.6848862028378614E-4</v>
      </c>
      <c r="L2812" t="s">
        <v>159</v>
      </c>
      <c r="N2812" t="s">
        <v>243</v>
      </c>
      <c r="O2812" t="s">
        <v>363</v>
      </c>
      <c r="P2812">
        <v>1.0360008655213215E-5</v>
      </c>
      <c r="Q2812" t="s">
        <v>159</v>
      </c>
    </row>
    <row r="2813" spans="9:17" x14ac:dyDescent="0.45">
      <c r="I2813" t="s">
        <v>200</v>
      </c>
      <c r="J2813" t="s">
        <v>364</v>
      </c>
      <c r="K2813">
        <v>0</v>
      </c>
      <c r="L2813" t="s">
        <v>159</v>
      </c>
      <c r="N2813" t="s">
        <v>243</v>
      </c>
      <c r="O2813" t="s">
        <v>364</v>
      </c>
      <c r="P2813">
        <v>7.854821848638719E-6</v>
      </c>
      <c r="Q2813" t="s">
        <v>159</v>
      </c>
    </row>
    <row r="2814" spans="9:17" x14ac:dyDescent="0.45">
      <c r="I2814" t="s">
        <v>200</v>
      </c>
      <c r="J2814" t="s">
        <v>365</v>
      </c>
      <c r="K2814">
        <v>0</v>
      </c>
      <c r="L2814" t="s">
        <v>159</v>
      </c>
      <c r="N2814" t="s">
        <v>243</v>
      </c>
      <c r="O2814" t="s">
        <v>365</v>
      </c>
      <c r="P2814">
        <v>4.7534864684773547E-6</v>
      </c>
      <c r="Q2814" t="s">
        <v>159</v>
      </c>
    </row>
    <row r="2815" spans="9:17" x14ac:dyDescent="0.45">
      <c r="I2815" t="s">
        <v>200</v>
      </c>
      <c r="J2815" t="s">
        <v>366</v>
      </c>
      <c r="K2815">
        <v>0</v>
      </c>
      <c r="L2815" t="s">
        <v>159</v>
      </c>
      <c r="N2815" t="s">
        <v>243</v>
      </c>
      <c r="O2815" t="s">
        <v>366</v>
      </c>
      <c r="P2815">
        <v>1.8873435470610217E-6</v>
      </c>
      <c r="Q2815" t="s">
        <v>159</v>
      </c>
    </row>
    <row r="2816" spans="9:17" x14ac:dyDescent="0.45">
      <c r="I2816" t="s">
        <v>200</v>
      </c>
      <c r="J2816" t="s">
        <v>367</v>
      </c>
      <c r="K2816">
        <v>0</v>
      </c>
      <c r="L2816" t="s">
        <v>159</v>
      </c>
      <c r="N2816" t="s">
        <v>243</v>
      </c>
      <c r="O2816" t="s">
        <v>367</v>
      </c>
      <c r="P2816">
        <v>1.5866501923546829E-6</v>
      </c>
      <c r="Q2816" t="s">
        <v>159</v>
      </c>
    </row>
    <row r="2817" spans="9:17" x14ac:dyDescent="0.45">
      <c r="I2817" t="s">
        <v>200</v>
      </c>
      <c r="J2817" t="s">
        <v>368</v>
      </c>
      <c r="K2817">
        <v>0</v>
      </c>
      <c r="L2817" t="s">
        <v>159</v>
      </c>
      <c r="N2817" t="s">
        <v>243</v>
      </c>
      <c r="O2817" t="s">
        <v>368</v>
      </c>
      <c r="P2817">
        <v>1.4891661906957152E-6</v>
      </c>
      <c r="Q2817" t="s">
        <v>159</v>
      </c>
    </row>
    <row r="2818" spans="9:17" x14ac:dyDescent="0.45">
      <c r="I2818" t="s">
        <v>200</v>
      </c>
      <c r="J2818" t="s">
        <v>369</v>
      </c>
      <c r="K2818">
        <v>0</v>
      </c>
      <c r="L2818" t="s">
        <v>159</v>
      </c>
      <c r="N2818" t="s">
        <v>243</v>
      </c>
      <c r="O2818" t="s">
        <v>369</v>
      </c>
      <c r="P2818">
        <v>1.951345102104638E-6</v>
      </c>
      <c r="Q2818" t="s">
        <v>159</v>
      </c>
    </row>
    <row r="2819" spans="9:17" x14ac:dyDescent="0.45">
      <c r="I2819" t="s">
        <v>200</v>
      </c>
      <c r="J2819" t="s">
        <v>165</v>
      </c>
      <c r="K2819">
        <v>0</v>
      </c>
      <c r="L2819" t="s">
        <v>159</v>
      </c>
      <c r="N2819" t="s">
        <v>243</v>
      </c>
      <c r="O2819" t="s">
        <v>165</v>
      </c>
      <c r="P2819">
        <v>2.5674253278091665E-2</v>
      </c>
      <c r="Q2819" t="s">
        <v>159</v>
      </c>
    </row>
    <row r="2820" spans="9:17" x14ac:dyDescent="0.45">
      <c r="I2820" t="s">
        <v>200</v>
      </c>
      <c r="J2820" t="s">
        <v>166</v>
      </c>
      <c r="K2820">
        <v>0</v>
      </c>
      <c r="L2820" t="s">
        <v>159</v>
      </c>
      <c r="N2820" t="s">
        <v>243</v>
      </c>
      <c r="O2820" t="s">
        <v>166</v>
      </c>
      <c r="P2820">
        <v>3.4815422973865102E-3</v>
      </c>
      <c r="Q2820" t="s">
        <v>159</v>
      </c>
    </row>
    <row r="2821" spans="9:17" x14ac:dyDescent="0.45">
      <c r="I2821" t="s">
        <v>200</v>
      </c>
      <c r="J2821" t="s">
        <v>167</v>
      </c>
      <c r="K2821">
        <v>6.479035968217231E-2</v>
      </c>
      <c r="L2821" t="s">
        <v>159</v>
      </c>
      <c r="N2821" t="s">
        <v>243</v>
      </c>
      <c r="O2821" t="s">
        <v>167</v>
      </c>
      <c r="P2821">
        <v>3.1127299569635797E-2</v>
      </c>
      <c r="Q2821" t="s">
        <v>159</v>
      </c>
    </row>
    <row r="2822" spans="9:17" x14ac:dyDescent="0.45">
      <c r="I2822" t="s">
        <v>200</v>
      </c>
      <c r="J2822" t="s">
        <v>291</v>
      </c>
      <c r="K2822">
        <v>5.8757051586167917E-3</v>
      </c>
      <c r="L2822" t="s">
        <v>159</v>
      </c>
      <c r="N2822" t="s">
        <v>243</v>
      </c>
      <c r="O2822" t="s">
        <v>291</v>
      </c>
      <c r="P2822">
        <v>3.2977713279310206E-3</v>
      </c>
      <c r="Q2822" t="s">
        <v>159</v>
      </c>
    </row>
    <row r="2823" spans="9:17" x14ac:dyDescent="0.45">
      <c r="I2823" t="s">
        <v>200</v>
      </c>
      <c r="J2823" t="s">
        <v>292</v>
      </c>
      <c r="K2823">
        <v>1.1292195744262113E-3</v>
      </c>
      <c r="L2823" t="s">
        <v>159</v>
      </c>
      <c r="N2823" t="s">
        <v>243</v>
      </c>
      <c r="O2823" t="s">
        <v>292</v>
      </c>
      <c r="P2823">
        <v>3.6024193474286431E-3</v>
      </c>
      <c r="Q2823" t="s">
        <v>159</v>
      </c>
    </row>
    <row r="2824" spans="9:17" x14ac:dyDescent="0.45">
      <c r="I2824" t="s">
        <v>200</v>
      </c>
      <c r="J2824" t="s">
        <v>310</v>
      </c>
      <c r="K2824">
        <v>0</v>
      </c>
      <c r="L2824" t="s">
        <v>159</v>
      </c>
      <c r="N2824" t="s">
        <v>243</v>
      </c>
      <c r="O2824" t="s">
        <v>310</v>
      </c>
      <c r="P2824">
        <v>2.0294668459760468E-2</v>
      </c>
      <c r="Q2824" t="s">
        <v>159</v>
      </c>
    </row>
    <row r="2825" spans="9:17" x14ac:dyDescent="0.45">
      <c r="I2825" t="s">
        <v>200</v>
      </c>
      <c r="J2825" t="s">
        <v>293</v>
      </c>
      <c r="K2825">
        <v>0</v>
      </c>
      <c r="L2825" t="s">
        <v>159</v>
      </c>
      <c r="N2825" t="s">
        <v>243</v>
      </c>
      <c r="O2825" t="s">
        <v>293</v>
      </c>
      <c r="P2825">
        <v>1.0240911844744554E-2</v>
      </c>
      <c r="Q2825" t="s">
        <v>159</v>
      </c>
    </row>
    <row r="2826" spans="9:17" x14ac:dyDescent="0.45">
      <c r="I2826" t="s">
        <v>200</v>
      </c>
      <c r="J2826" t="s">
        <v>294</v>
      </c>
      <c r="K2826">
        <v>0</v>
      </c>
      <c r="L2826" t="s">
        <v>159</v>
      </c>
      <c r="N2826" t="s">
        <v>243</v>
      </c>
      <c r="O2826" t="s">
        <v>294</v>
      </c>
      <c r="P2826">
        <v>1.4906169038461428E-3</v>
      </c>
      <c r="Q2826" t="s">
        <v>159</v>
      </c>
    </row>
    <row r="2827" spans="9:17" x14ac:dyDescent="0.45">
      <c r="I2827" t="s">
        <v>200</v>
      </c>
      <c r="J2827" t="s">
        <v>295</v>
      </c>
      <c r="K2827">
        <v>1.7559837947988963E-2</v>
      </c>
      <c r="L2827" t="s">
        <v>159</v>
      </c>
      <c r="N2827" t="s">
        <v>243</v>
      </c>
      <c r="O2827" t="s">
        <v>295</v>
      </c>
      <c r="P2827">
        <v>1.2381036585316868E-2</v>
      </c>
      <c r="Q2827" t="s">
        <v>159</v>
      </c>
    </row>
    <row r="2828" spans="9:17" x14ac:dyDescent="0.45">
      <c r="I2828" t="s">
        <v>200</v>
      </c>
      <c r="J2828" t="s">
        <v>296</v>
      </c>
      <c r="K2828">
        <v>1.6027077127917313E-3</v>
      </c>
      <c r="L2828" t="s">
        <v>159</v>
      </c>
      <c r="N2828" t="s">
        <v>243</v>
      </c>
      <c r="O2828" t="s">
        <v>296</v>
      </c>
      <c r="P2828">
        <v>1.0211250081032413E-3</v>
      </c>
      <c r="Q2828" t="s">
        <v>159</v>
      </c>
    </row>
    <row r="2829" spans="9:17" x14ac:dyDescent="0.45">
      <c r="I2829" t="s">
        <v>200</v>
      </c>
      <c r="J2829" t="s">
        <v>297</v>
      </c>
      <c r="K2829">
        <v>1.2483474376711805E-3</v>
      </c>
      <c r="L2829" t="s">
        <v>159</v>
      </c>
      <c r="N2829" t="s">
        <v>243</v>
      </c>
      <c r="O2829" t="s">
        <v>297</v>
      </c>
      <c r="P2829">
        <v>9.6510359295862321E-4</v>
      </c>
      <c r="Q2829" t="s">
        <v>159</v>
      </c>
    </row>
    <row r="2830" spans="9:17" x14ac:dyDescent="0.45">
      <c r="I2830" t="s">
        <v>200</v>
      </c>
      <c r="J2830" t="s">
        <v>311</v>
      </c>
      <c r="K2830">
        <v>0</v>
      </c>
      <c r="L2830" t="s">
        <v>159</v>
      </c>
      <c r="N2830" t="s">
        <v>243</v>
      </c>
      <c r="O2830" t="s">
        <v>311</v>
      </c>
      <c r="P2830">
        <v>5.9372387777397746E-3</v>
      </c>
      <c r="Q2830" t="s">
        <v>159</v>
      </c>
    </row>
    <row r="2831" spans="9:17" x14ac:dyDescent="0.45">
      <c r="I2831" t="s">
        <v>200</v>
      </c>
      <c r="J2831" t="s">
        <v>298</v>
      </c>
      <c r="K2831">
        <v>4.5012241939369601E-3</v>
      </c>
      <c r="L2831" t="s">
        <v>159</v>
      </c>
      <c r="N2831" t="s">
        <v>243</v>
      </c>
      <c r="O2831" t="s">
        <v>298</v>
      </c>
      <c r="P2831">
        <v>7.4272313447968419E-2</v>
      </c>
      <c r="Q2831" t="s">
        <v>159</v>
      </c>
    </row>
    <row r="2832" spans="9:17" x14ac:dyDescent="0.45">
      <c r="I2832" t="s">
        <v>200</v>
      </c>
      <c r="J2832" t="s">
        <v>299</v>
      </c>
      <c r="K2832">
        <v>1.5778233341952129E-2</v>
      </c>
      <c r="L2832" t="s">
        <v>159</v>
      </c>
      <c r="N2832" t="s">
        <v>243</v>
      </c>
      <c r="O2832" t="s">
        <v>299</v>
      </c>
      <c r="P2832">
        <v>7.9415533514244751E-3</v>
      </c>
      <c r="Q2832" t="s">
        <v>159</v>
      </c>
    </row>
    <row r="2833" spans="9:17" x14ac:dyDescent="0.45">
      <c r="I2833" t="s">
        <v>200</v>
      </c>
      <c r="J2833" t="s">
        <v>300</v>
      </c>
      <c r="K2833">
        <v>0.2579329297747448</v>
      </c>
      <c r="L2833" t="s">
        <v>159</v>
      </c>
      <c r="N2833" t="s">
        <v>243</v>
      </c>
      <c r="O2833" t="s">
        <v>300</v>
      </c>
      <c r="P2833">
        <v>9.7639519583824511E-2</v>
      </c>
      <c r="Q2833" t="s">
        <v>159</v>
      </c>
    </row>
    <row r="2834" spans="9:17" x14ac:dyDescent="0.45">
      <c r="I2834" t="s">
        <v>200</v>
      </c>
      <c r="J2834" t="s">
        <v>301</v>
      </c>
      <c r="K2834">
        <v>2.1262673564847973E-2</v>
      </c>
      <c r="L2834" t="s">
        <v>159</v>
      </c>
      <c r="N2834" t="s">
        <v>243</v>
      </c>
      <c r="O2834" t="s">
        <v>301</v>
      </c>
      <c r="P2834">
        <v>1.2089742667534346E-2</v>
      </c>
      <c r="Q2834" t="s">
        <v>159</v>
      </c>
    </row>
    <row r="2835" spans="9:17" x14ac:dyDescent="0.45">
      <c r="I2835" t="s">
        <v>200</v>
      </c>
      <c r="J2835" t="s">
        <v>302</v>
      </c>
      <c r="K2835">
        <v>1.4243531081829276E-2</v>
      </c>
      <c r="L2835" t="s">
        <v>159</v>
      </c>
      <c r="N2835" t="s">
        <v>243</v>
      </c>
      <c r="O2835" t="s">
        <v>302</v>
      </c>
      <c r="P2835">
        <v>1.1649819355838422E-2</v>
      </c>
      <c r="Q2835" t="s">
        <v>159</v>
      </c>
    </row>
    <row r="2836" spans="9:17" x14ac:dyDescent="0.45">
      <c r="I2836" t="s">
        <v>200</v>
      </c>
      <c r="J2836" t="s">
        <v>312</v>
      </c>
      <c r="K2836">
        <v>1.849213911604588E-3</v>
      </c>
      <c r="L2836" t="s">
        <v>159</v>
      </c>
      <c r="N2836" t="s">
        <v>243</v>
      </c>
      <c r="O2836" t="s">
        <v>312</v>
      </c>
      <c r="P2836">
        <v>6.0351301077116691E-2</v>
      </c>
      <c r="Q2836" t="s">
        <v>159</v>
      </c>
    </row>
    <row r="2837" spans="9:17" x14ac:dyDescent="0.45">
      <c r="I2837" t="s">
        <v>200</v>
      </c>
      <c r="J2837" t="s">
        <v>397</v>
      </c>
      <c r="K2837">
        <v>0</v>
      </c>
      <c r="L2837" t="s">
        <v>159</v>
      </c>
      <c r="N2837" t="s">
        <v>243</v>
      </c>
      <c r="O2837" t="s">
        <v>397</v>
      </c>
      <c r="P2837">
        <v>5.0297290504099112E-5</v>
      </c>
      <c r="Q2837" t="s">
        <v>159</v>
      </c>
    </row>
    <row r="2838" spans="9:17" x14ac:dyDescent="0.45">
      <c r="I2838" t="s">
        <v>200</v>
      </c>
      <c r="J2838" t="s">
        <v>398</v>
      </c>
      <c r="K2838">
        <v>0</v>
      </c>
      <c r="L2838" t="s">
        <v>159</v>
      </c>
      <c r="N2838" t="s">
        <v>243</v>
      </c>
      <c r="O2838" t="s">
        <v>398</v>
      </c>
      <c r="P2838">
        <v>3.4332871951643717E-5</v>
      </c>
      <c r="Q2838" t="s">
        <v>159</v>
      </c>
    </row>
    <row r="2839" spans="9:17" x14ac:dyDescent="0.45">
      <c r="I2839" t="s">
        <v>200</v>
      </c>
      <c r="J2839" t="s">
        <v>399</v>
      </c>
      <c r="K2839">
        <v>0</v>
      </c>
      <c r="L2839" t="s">
        <v>159</v>
      </c>
      <c r="N2839" t="s">
        <v>243</v>
      </c>
      <c r="O2839" t="s">
        <v>399</v>
      </c>
      <c r="P2839">
        <v>2.682555101589694E-5</v>
      </c>
      <c r="Q2839" t="s">
        <v>159</v>
      </c>
    </row>
    <row r="2840" spans="9:17" x14ac:dyDescent="0.45">
      <c r="I2840" t="s">
        <v>200</v>
      </c>
      <c r="J2840" t="s">
        <v>400</v>
      </c>
      <c r="K2840">
        <v>0</v>
      </c>
      <c r="L2840" t="s">
        <v>159</v>
      </c>
      <c r="N2840" t="s">
        <v>243</v>
      </c>
      <c r="O2840" t="s">
        <v>400</v>
      </c>
      <c r="P2840">
        <v>2.2581206341810354E-5</v>
      </c>
      <c r="Q2840" t="s">
        <v>159</v>
      </c>
    </row>
    <row r="2841" spans="9:17" x14ac:dyDescent="0.45">
      <c r="I2841" t="s">
        <v>200</v>
      </c>
      <c r="J2841" t="s">
        <v>401</v>
      </c>
      <c r="K2841">
        <v>0</v>
      </c>
      <c r="L2841" t="s">
        <v>159</v>
      </c>
      <c r="N2841" t="s">
        <v>243</v>
      </c>
      <c r="O2841" t="s">
        <v>401</v>
      </c>
      <c r="P2841">
        <v>1.7640986083616681E-5</v>
      </c>
      <c r="Q2841" t="s">
        <v>159</v>
      </c>
    </row>
    <row r="2842" spans="9:17" x14ac:dyDescent="0.45">
      <c r="I2842" t="s">
        <v>200</v>
      </c>
      <c r="J2842" t="s">
        <v>402</v>
      </c>
      <c r="K2842">
        <v>0</v>
      </c>
      <c r="L2842" t="s">
        <v>159</v>
      </c>
      <c r="N2842" t="s">
        <v>243</v>
      </c>
      <c r="O2842" t="s">
        <v>402</v>
      </c>
      <c r="P2842">
        <v>1.4947927703395958E-5</v>
      </c>
      <c r="Q2842" t="s">
        <v>159</v>
      </c>
    </row>
    <row r="2843" spans="9:17" x14ac:dyDescent="0.45">
      <c r="I2843" t="s">
        <v>200</v>
      </c>
      <c r="J2843" t="s">
        <v>403</v>
      </c>
      <c r="K2843">
        <v>0</v>
      </c>
      <c r="L2843" t="s">
        <v>159</v>
      </c>
      <c r="N2843" t="s">
        <v>243</v>
      </c>
      <c r="O2843" t="s">
        <v>403</v>
      </c>
      <c r="P2843">
        <v>1.3257823987847899E-5</v>
      </c>
      <c r="Q2843" t="s">
        <v>159</v>
      </c>
    </row>
    <row r="2844" spans="9:17" x14ac:dyDescent="0.45">
      <c r="I2844" t="s">
        <v>200</v>
      </c>
      <c r="J2844" t="s">
        <v>404</v>
      </c>
      <c r="K2844">
        <v>2.028832824676646E-4</v>
      </c>
      <c r="L2844" t="s">
        <v>159</v>
      </c>
      <c r="N2844" t="s">
        <v>243</v>
      </c>
      <c r="O2844" t="s">
        <v>404</v>
      </c>
      <c r="P2844">
        <v>1.353670289166131E-5</v>
      </c>
      <c r="Q2844" t="s">
        <v>159</v>
      </c>
    </row>
    <row r="2845" spans="9:17" x14ac:dyDescent="0.45">
      <c r="I2845" t="s">
        <v>200</v>
      </c>
      <c r="J2845" t="s">
        <v>405</v>
      </c>
      <c r="K2845">
        <v>2.9926630232349167E-4</v>
      </c>
      <c r="L2845" t="s">
        <v>159</v>
      </c>
      <c r="N2845" t="s">
        <v>243</v>
      </c>
      <c r="O2845" t="s">
        <v>405</v>
      </c>
      <c r="P2845">
        <v>4.9052781902024351E-6</v>
      </c>
      <c r="Q2845" t="s">
        <v>159</v>
      </c>
    </row>
    <row r="2846" spans="9:17" x14ac:dyDescent="0.45">
      <c r="I2846" t="s">
        <v>200</v>
      </c>
      <c r="J2846" t="s">
        <v>406</v>
      </c>
      <c r="K2846">
        <v>3.3043404150536317E-4</v>
      </c>
      <c r="L2846" t="s">
        <v>159</v>
      </c>
      <c r="N2846" t="s">
        <v>243</v>
      </c>
      <c r="O2846" t="s">
        <v>406</v>
      </c>
      <c r="P2846">
        <v>1.7805772309935573E-6</v>
      </c>
      <c r="Q2846" t="s">
        <v>159</v>
      </c>
    </row>
    <row r="2847" spans="9:17" x14ac:dyDescent="0.45">
      <c r="I2847" t="s">
        <v>200</v>
      </c>
      <c r="J2847" t="s">
        <v>407</v>
      </c>
      <c r="K2847">
        <v>3.3012012538127192E-4</v>
      </c>
      <c r="L2847" t="s">
        <v>159</v>
      </c>
      <c r="N2847" t="s">
        <v>243</v>
      </c>
      <c r="O2847" t="s">
        <v>407</v>
      </c>
      <c r="P2847">
        <v>3.7621784949439385E-6</v>
      </c>
      <c r="Q2847" t="s">
        <v>159</v>
      </c>
    </row>
    <row r="2848" spans="9:17" x14ac:dyDescent="0.45">
      <c r="I2848" t="s">
        <v>200</v>
      </c>
      <c r="J2848" t="s">
        <v>408</v>
      </c>
      <c r="K2848">
        <v>3.3251036951840112E-4</v>
      </c>
      <c r="L2848" t="s">
        <v>159</v>
      </c>
      <c r="N2848" t="s">
        <v>243</v>
      </c>
      <c r="O2848" t="s">
        <v>408</v>
      </c>
      <c r="P2848">
        <v>1.2801970786601077E-5</v>
      </c>
      <c r="Q2848" t="s">
        <v>159</v>
      </c>
    </row>
    <row r="2849" spans="9:17" x14ac:dyDescent="0.45">
      <c r="I2849" t="s">
        <v>200</v>
      </c>
      <c r="J2849" t="s">
        <v>409</v>
      </c>
      <c r="K2849">
        <v>3.6617252361154502E-4</v>
      </c>
      <c r="L2849" t="s">
        <v>159</v>
      </c>
      <c r="N2849" t="s">
        <v>243</v>
      </c>
      <c r="O2849" t="s">
        <v>409</v>
      </c>
      <c r="P2849">
        <v>2.6569325409360874E-5</v>
      </c>
      <c r="Q2849" t="s">
        <v>159</v>
      </c>
    </row>
    <row r="2850" spans="9:17" x14ac:dyDescent="0.45">
      <c r="I2850" t="s">
        <v>200</v>
      </c>
      <c r="J2850" t="s">
        <v>410</v>
      </c>
      <c r="K2850">
        <v>3.674479613838372E-4</v>
      </c>
      <c r="L2850" t="s">
        <v>159</v>
      </c>
      <c r="N2850" t="s">
        <v>243</v>
      </c>
      <c r="O2850" t="s">
        <v>410</v>
      </c>
      <c r="P2850">
        <v>4.7900286817648169E-5</v>
      </c>
      <c r="Q2850" t="s">
        <v>159</v>
      </c>
    </row>
    <row r="2851" spans="9:17" x14ac:dyDescent="0.45">
      <c r="I2851" t="s">
        <v>200</v>
      </c>
      <c r="J2851" t="s">
        <v>411</v>
      </c>
      <c r="K2851">
        <v>3.2918406326043015E-4</v>
      </c>
      <c r="L2851" t="s">
        <v>159</v>
      </c>
      <c r="N2851" t="s">
        <v>243</v>
      </c>
      <c r="O2851" t="s">
        <v>411</v>
      </c>
      <c r="P2851">
        <v>7.1008818960773202E-5</v>
      </c>
      <c r="Q2851" t="s">
        <v>159</v>
      </c>
    </row>
    <row r="2852" spans="9:17" x14ac:dyDescent="0.45">
      <c r="I2852" t="s">
        <v>200</v>
      </c>
      <c r="J2852" t="s">
        <v>412</v>
      </c>
      <c r="K2852">
        <v>2.9121028449359304E-4</v>
      </c>
      <c r="L2852" t="s">
        <v>159</v>
      </c>
      <c r="N2852" t="s">
        <v>243</v>
      </c>
      <c r="O2852" t="s">
        <v>412</v>
      </c>
      <c r="P2852">
        <v>8.0805410757322778E-5</v>
      </c>
      <c r="Q2852" t="s">
        <v>159</v>
      </c>
    </row>
    <row r="2853" spans="9:17" x14ac:dyDescent="0.45">
      <c r="I2853" t="s">
        <v>200</v>
      </c>
      <c r="J2853" t="s">
        <v>413</v>
      </c>
      <c r="K2853">
        <v>2.6449723343804682E-4</v>
      </c>
      <c r="L2853" t="s">
        <v>159</v>
      </c>
      <c r="N2853" t="s">
        <v>243</v>
      </c>
      <c r="O2853" t="s">
        <v>413</v>
      </c>
      <c r="P2853">
        <v>7.1235138530641946E-5</v>
      </c>
      <c r="Q2853" t="s">
        <v>159</v>
      </c>
    </row>
    <row r="2854" spans="9:17" x14ac:dyDescent="0.45">
      <c r="I2854" t="s">
        <v>200</v>
      </c>
      <c r="J2854" t="s">
        <v>414</v>
      </c>
      <c r="K2854">
        <v>2.2674860426043469E-4</v>
      </c>
      <c r="L2854" t="s">
        <v>159</v>
      </c>
      <c r="N2854" t="s">
        <v>243</v>
      </c>
      <c r="O2854" t="s">
        <v>414</v>
      </c>
      <c r="P2854">
        <v>4.4931163462914266E-5</v>
      </c>
      <c r="Q2854" t="s">
        <v>159</v>
      </c>
    </row>
    <row r="2855" spans="9:17" x14ac:dyDescent="0.45">
      <c r="I2855" t="s">
        <v>200</v>
      </c>
      <c r="J2855" t="s">
        <v>415</v>
      </c>
      <c r="K2855">
        <v>1.283400449370893E-4</v>
      </c>
      <c r="L2855" t="s">
        <v>159</v>
      </c>
      <c r="N2855" t="s">
        <v>243</v>
      </c>
      <c r="O2855" t="s">
        <v>415</v>
      </c>
      <c r="P2855">
        <v>3.508561437364173E-5</v>
      </c>
      <c r="Q2855" t="s">
        <v>159</v>
      </c>
    </row>
    <row r="2856" spans="9:17" x14ac:dyDescent="0.45">
      <c r="I2856" t="s">
        <v>200</v>
      </c>
      <c r="J2856" t="s">
        <v>416</v>
      </c>
      <c r="K2856">
        <v>0</v>
      </c>
      <c r="L2856" t="s">
        <v>159</v>
      </c>
      <c r="N2856" t="s">
        <v>243</v>
      </c>
      <c r="O2856" t="s">
        <v>416</v>
      </c>
      <c r="P2856">
        <v>2.4184259968819727E-5</v>
      </c>
      <c r="Q2856" t="s">
        <v>159</v>
      </c>
    </row>
    <row r="2857" spans="9:17" x14ac:dyDescent="0.45">
      <c r="I2857" t="s">
        <v>200</v>
      </c>
      <c r="J2857" t="s">
        <v>417</v>
      </c>
      <c r="K2857">
        <v>0</v>
      </c>
      <c r="L2857" t="s">
        <v>159</v>
      </c>
      <c r="N2857" t="s">
        <v>243</v>
      </c>
      <c r="O2857" t="s">
        <v>417</v>
      </c>
      <c r="P2857">
        <v>1.5824101528541768E-5</v>
      </c>
      <c r="Q2857" t="s">
        <v>159</v>
      </c>
    </row>
    <row r="2858" spans="9:17" x14ac:dyDescent="0.45">
      <c r="I2858" t="s">
        <v>200</v>
      </c>
      <c r="J2858" t="s">
        <v>418</v>
      </c>
      <c r="K2858">
        <v>0</v>
      </c>
      <c r="L2858" t="s">
        <v>159</v>
      </c>
      <c r="N2858" t="s">
        <v>243</v>
      </c>
      <c r="O2858" t="s">
        <v>418</v>
      </c>
      <c r="P2858">
        <v>5.9560215087137133E-6</v>
      </c>
      <c r="Q2858" t="s">
        <v>159</v>
      </c>
    </row>
    <row r="2859" spans="9:17" x14ac:dyDescent="0.45">
      <c r="I2859" t="s">
        <v>200</v>
      </c>
      <c r="J2859" t="s">
        <v>419</v>
      </c>
      <c r="K2859">
        <v>0</v>
      </c>
      <c r="L2859" t="s">
        <v>159</v>
      </c>
      <c r="N2859" t="s">
        <v>243</v>
      </c>
      <c r="O2859" t="s">
        <v>419</v>
      </c>
      <c r="P2859">
        <v>1.6027443932738158E-6</v>
      </c>
      <c r="Q2859" t="s">
        <v>159</v>
      </c>
    </row>
    <row r="2860" spans="9:17" x14ac:dyDescent="0.45">
      <c r="I2860" t="s">
        <v>200</v>
      </c>
      <c r="J2860" t="s">
        <v>420</v>
      </c>
      <c r="K2860">
        <v>0</v>
      </c>
      <c r="L2860" t="s">
        <v>159</v>
      </c>
      <c r="N2860" t="s">
        <v>243</v>
      </c>
      <c r="O2860" t="s">
        <v>420</v>
      </c>
      <c r="P2860">
        <v>2.4093415510836797E-6</v>
      </c>
      <c r="Q2860" t="s">
        <v>159</v>
      </c>
    </row>
    <row r="2861" spans="9:17" x14ac:dyDescent="0.45">
      <c r="I2861" t="s">
        <v>200</v>
      </c>
      <c r="J2861" t="s">
        <v>313</v>
      </c>
      <c r="K2861">
        <v>2.2690721788231161E-3</v>
      </c>
      <c r="L2861" t="s">
        <v>159</v>
      </c>
      <c r="N2861" t="s">
        <v>243</v>
      </c>
      <c r="O2861" t="s">
        <v>313</v>
      </c>
      <c r="P2861">
        <v>2.2928095625892746E-2</v>
      </c>
      <c r="Q2861" t="s">
        <v>159</v>
      </c>
    </row>
    <row r="2862" spans="9:17" x14ac:dyDescent="0.45">
      <c r="I2862" t="s">
        <v>200</v>
      </c>
      <c r="J2862" t="s">
        <v>314</v>
      </c>
      <c r="K2862">
        <v>4.2637846459628124E-3</v>
      </c>
      <c r="L2862" t="s">
        <v>159</v>
      </c>
      <c r="N2862" t="s">
        <v>243</v>
      </c>
      <c r="O2862" t="s">
        <v>314</v>
      </c>
      <c r="P2862">
        <v>2.0383025125902767E-3</v>
      </c>
      <c r="Q2862" t="s">
        <v>159</v>
      </c>
    </row>
    <row r="2863" spans="9:17" x14ac:dyDescent="0.45">
      <c r="I2863" t="s">
        <v>200</v>
      </c>
      <c r="J2863" t="s">
        <v>315</v>
      </c>
      <c r="K2863">
        <v>7.5266683278421329E-2</v>
      </c>
      <c r="L2863" t="s">
        <v>159</v>
      </c>
      <c r="N2863" t="s">
        <v>243</v>
      </c>
      <c r="O2863" t="s">
        <v>315</v>
      </c>
      <c r="P2863">
        <v>1.78866453417659E-2</v>
      </c>
      <c r="Q2863" t="s">
        <v>159</v>
      </c>
    </row>
    <row r="2864" spans="9:17" x14ac:dyDescent="0.45">
      <c r="I2864" t="s">
        <v>200</v>
      </c>
      <c r="J2864" t="s">
        <v>316</v>
      </c>
      <c r="K2864">
        <v>5.8403220941147709E-3</v>
      </c>
      <c r="L2864" t="s">
        <v>159</v>
      </c>
      <c r="N2864" t="s">
        <v>243</v>
      </c>
      <c r="O2864" t="s">
        <v>316</v>
      </c>
      <c r="P2864">
        <v>2.2570786438787047E-3</v>
      </c>
      <c r="Q2864" t="s">
        <v>159</v>
      </c>
    </row>
    <row r="2865" spans="9:17" x14ac:dyDescent="0.45">
      <c r="I2865" t="s">
        <v>200</v>
      </c>
      <c r="J2865" t="s">
        <v>317</v>
      </c>
      <c r="K2865">
        <v>4.4428596174907083E-3</v>
      </c>
      <c r="L2865" t="s">
        <v>159</v>
      </c>
      <c r="N2865" t="s">
        <v>243</v>
      </c>
      <c r="O2865" t="s">
        <v>317</v>
      </c>
      <c r="P2865">
        <v>2.1376037675016305E-3</v>
      </c>
      <c r="Q2865" t="s">
        <v>159</v>
      </c>
    </row>
    <row r="2866" spans="9:17" x14ac:dyDescent="0.45">
      <c r="I2866" t="s">
        <v>200</v>
      </c>
      <c r="J2866" t="s">
        <v>318</v>
      </c>
      <c r="K2866">
        <v>2.3778586758274843E-3</v>
      </c>
      <c r="L2866" t="s">
        <v>159</v>
      </c>
      <c r="N2866" t="s">
        <v>243</v>
      </c>
      <c r="O2866" t="s">
        <v>318</v>
      </c>
      <c r="P2866">
        <v>1.7080819172443234E-2</v>
      </c>
      <c r="Q2866" t="s">
        <v>159</v>
      </c>
    </row>
    <row r="2867" spans="9:17" x14ac:dyDescent="0.45">
      <c r="I2867" t="s">
        <v>201</v>
      </c>
      <c r="J2867" t="s">
        <v>158</v>
      </c>
      <c r="K2867">
        <v>1.4040280511980079E-3</v>
      </c>
      <c r="L2867" t="s">
        <v>159</v>
      </c>
      <c r="N2867" t="s">
        <v>244</v>
      </c>
      <c r="O2867" t="s">
        <v>158</v>
      </c>
      <c r="P2867">
        <v>0.12601068560665732</v>
      </c>
      <c r="Q2867" t="s">
        <v>159</v>
      </c>
    </row>
    <row r="2868" spans="9:17" x14ac:dyDescent="0.45">
      <c r="I2868" t="s">
        <v>201</v>
      </c>
      <c r="J2868" t="s">
        <v>160</v>
      </c>
      <c r="K2868">
        <v>1.2802900289808737E-2</v>
      </c>
      <c r="L2868" t="s">
        <v>159</v>
      </c>
      <c r="N2868" t="s">
        <v>244</v>
      </c>
      <c r="O2868" t="s">
        <v>160</v>
      </c>
      <c r="P2868">
        <v>1.5367015037103556E-2</v>
      </c>
      <c r="Q2868" t="s">
        <v>159</v>
      </c>
    </row>
    <row r="2869" spans="9:17" x14ac:dyDescent="0.45">
      <c r="I2869" t="s">
        <v>201</v>
      </c>
      <c r="J2869" t="s">
        <v>161</v>
      </c>
      <c r="K2869">
        <v>0.37314938942274811</v>
      </c>
      <c r="L2869" t="s">
        <v>159</v>
      </c>
      <c r="N2869" t="s">
        <v>244</v>
      </c>
      <c r="O2869" t="s">
        <v>161</v>
      </c>
      <c r="P2869">
        <v>0.16601111731078805</v>
      </c>
      <c r="Q2869" t="s">
        <v>159</v>
      </c>
    </row>
    <row r="2870" spans="9:17" x14ac:dyDescent="0.45">
      <c r="I2870" t="s">
        <v>201</v>
      </c>
      <c r="J2870" t="s">
        <v>287</v>
      </c>
      <c r="K2870">
        <v>3.4319158879023509E-2</v>
      </c>
      <c r="L2870" t="s">
        <v>159</v>
      </c>
      <c r="N2870" t="s">
        <v>244</v>
      </c>
      <c r="O2870" t="s">
        <v>287</v>
      </c>
      <c r="P2870">
        <v>2.5554764812006608E-2</v>
      </c>
      <c r="Q2870" t="s">
        <v>159</v>
      </c>
    </row>
    <row r="2871" spans="9:17" x14ac:dyDescent="0.45">
      <c r="I2871" t="s">
        <v>201</v>
      </c>
      <c r="J2871" t="s">
        <v>288</v>
      </c>
      <c r="K2871">
        <v>2.0193916374821094E-2</v>
      </c>
      <c r="L2871" t="s">
        <v>159</v>
      </c>
      <c r="N2871" t="s">
        <v>244</v>
      </c>
      <c r="O2871" t="s">
        <v>288</v>
      </c>
      <c r="P2871">
        <v>2.5363834424522058E-2</v>
      </c>
      <c r="Q2871" t="s">
        <v>159</v>
      </c>
    </row>
    <row r="2872" spans="9:17" x14ac:dyDescent="0.45">
      <c r="I2872" t="s">
        <v>201</v>
      </c>
      <c r="J2872" t="s">
        <v>308</v>
      </c>
      <c r="K2872">
        <v>9.2321684856701055E-3</v>
      </c>
      <c r="L2872" t="s">
        <v>159</v>
      </c>
      <c r="N2872" t="s">
        <v>244</v>
      </c>
      <c r="O2872" t="s">
        <v>308</v>
      </c>
      <c r="P2872">
        <v>0.11340829094061017</v>
      </c>
      <c r="Q2872" t="s">
        <v>159</v>
      </c>
    </row>
    <row r="2873" spans="9:17" x14ac:dyDescent="0.45">
      <c r="I2873" t="s">
        <v>201</v>
      </c>
      <c r="J2873" t="s">
        <v>162</v>
      </c>
      <c r="K2873">
        <v>0</v>
      </c>
      <c r="L2873" t="s">
        <v>159</v>
      </c>
      <c r="N2873" t="s">
        <v>244</v>
      </c>
      <c r="O2873" t="s">
        <v>162</v>
      </c>
      <c r="P2873">
        <v>1.9639330024803277E-2</v>
      </c>
      <c r="Q2873" t="s">
        <v>159</v>
      </c>
    </row>
    <row r="2874" spans="9:17" x14ac:dyDescent="0.45">
      <c r="I2874" t="s">
        <v>201</v>
      </c>
      <c r="J2874" t="s">
        <v>163</v>
      </c>
      <c r="K2874">
        <v>0</v>
      </c>
      <c r="L2874" t="s">
        <v>159</v>
      </c>
      <c r="N2874" t="s">
        <v>244</v>
      </c>
      <c r="O2874" t="s">
        <v>163</v>
      </c>
      <c r="P2874">
        <v>2.7590060499933507E-3</v>
      </c>
      <c r="Q2874" t="s">
        <v>159</v>
      </c>
    </row>
    <row r="2875" spans="9:17" x14ac:dyDescent="0.45">
      <c r="I2875" t="s">
        <v>201</v>
      </c>
      <c r="J2875" t="s">
        <v>164</v>
      </c>
      <c r="K2875">
        <v>4.1736009696917119E-2</v>
      </c>
      <c r="L2875" t="s">
        <v>159</v>
      </c>
      <c r="N2875" t="s">
        <v>244</v>
      </c>
      <c r="O2875" t="s">
        <v>164</v>
      </c>
      <c r="P2875">
        <v>2.5136400557345537E-2</v>
      </c>
      <c r="Q2875" t="s">
        <v>159</v>
      </c>
    </row>
    <row r="2876" spans="9:17" x14ac:dyDescent="0.45">
      <c r="I2876" t="s">
        <v>201</v>
      </c>
      <c r="J2876" t="s">
        <v>289</v>
      </c>
      <c r="K2876">
        <v>3.9529307862835291E-3</v>
      </c>
      <c r="L2876" t="s">
        <v>159</v>
      </c>
      <c r="N2876" t="s">
        <v>244</v>
      </c>
      <c r="O2876" t="s">
        <v>289</v>
      </c>
      <c r="P2876">
        <v>3.1947289475704565E-3</v>
      </c>
      <c r="Q2876" t="s">
        <v>159</v>
      </c>
    </row>
    <row r="2877" spans="9:17" x14ac:dyDescent="0.45">
      <c r="I2877" t="s">
        <v>201</v>
      </c>
      <c r="J2877" t="s">
        <v>290</v>
      </c>
      <c r="K2877">
        <v>0</v>
      </c>
      <c r="L2877" t="s">
        <v>159</v>
      </c>
      <c r="N2877" t="s">
        <v>244</v>
      </c>
      <c r="O2877" t="s">
        <v>290</v>
      </c>
      <c r="P2877">
        <v>3.2287351437500392E-3</v>
      </c>
      <c r="Q2877" t="s">
        <v>159</v>
      </c>
    </row>
    <row r="2878" spans="9:17" x14ac:dyDescent="0.45">
      <c r="I2878" t="s">
        <v>201</v>
      </c>
      <c r="J2878" t="s">
        <v>309</v>
      </c>
      <c r="K2878">
        <v>0</v>
      </c>
      <c r="L2878" t="s">
        <v>159</v>
      </c>
      <c r="N2878" t="s">
        <v>244</v>
      </c>
      <c r="O2878" t="s">
        <v>309</v>
      </c>
      <c r="P2878">
        <v>1.5376264328032333E-2</v>
      </c>
      <c r="Q2878" t="s">
        <v>159</v>
      </c>
    </row>
    <row r="2879" spans="9:17" x14ac:dyDescent="0.45">
      <c r="I2879" t="s">
        <v>201</v>
      </c>
      <c r="J2879" t="s">
        <v>346</v>
      </c>
      <c r="K2879">
        <v>0</v>
      </c>
      <c r="L2879" t="s">
        <v>159</v>
      </c>
      <c r="N2879" t="s">
        <v>244</v>
      </c>
      <c r="O2879" t="s">
        <v>346</v>
      </c>
      <c r="P2879">
        <v>3.3981756497470094E-5</v>
      </c>
      <c r="Q2879" t="s">
        <v>159</v>
      </c>
    </row>
    <row r="2880" spans="9:17" x14ac:dyDescent="0.45">
      <c r="I2880" t="s">
        <v>201</v>
      </c>
      <c r="J2880" t="s">
        <v>347</v>
      </c>
      <c r="K2880">
        <v>0</v>
      </c>
      <c r="L2880" t="s">
        <v>159</v>
      </c>
      <c r="N2880" t="s">
        <v>244</v>
      </c>
      <c r="O2880" t="s">
        <v>347</v>
      </c>
      <c r="P2880">
        <v>3.2420127253318984E-5</v>
      </c>
      <c r="Q2880" t="s">
        <v>159</v>
      </c>
    </row>
    <row r="2881" spans="9:17" x14ac:dyDescent="0.45">
      <c r="I2881" t="s">
        <v>201</v>
      </c>
      <c r="J2881" t="s">
        <v>348</v>
      </c>
      <c r="K2881">
        <v>0</v>
      </c>
      <c r="L2881" t="s">
        <v>159</v>
      </c>
      <c r="N2881" t="s">
        <v>244</v>
      </c>
      <c r="O2881" t="s">
        <v>348</v>
      </c>
      <c r="P2881">
        <v>2.7823081749821628E-5</v>
      </c>
      <c r="Q2881" t="s">
        <v>159</v>
      </c>
    </row>
    <row r="2882" spans="9:17" x14ac:dyDescent="0.45">
      <c r="I2882" t="s">
        <v>201</v>
      </c>
      <c r="J2882" t="s">
        <v>349</v>
      </c>
      <c r="K2882">
        <v>0</v>
      </c>
      <c r="L2882" t="s">
        <v>159</v>
      </c>
      <c r="N2882" t="s">
        <v>244</v>
      </c>
      <c r="O2882" t="s">
        <v>349</v>
      </c>
      <c r="P2882">
        <v>2.4060617221709388E-5</v>
      </c>
      <c r="Q2882" t="s">
        <v>159</v>
      </c>
    </row>
    <row r="2883" spans="9:17" x14ac:dyDescent="0.45">
      <c r="I2883" t="s">
        <v>201</v>
      </c>
      <c r="J2883" t="s">
        <v>350</v>
      </c>
      <c r="K2883">
        <v>0</v>
      </c>
      <c r="L2883" t="s">
        <v>159</v>
      </c>
      <c r="N2883" t="s">
        <v>244</v>
      </c>
      <c r="O2883" t="s">
        <v>350</v>
      </c>
      <c r="P2883">
        <v>2.0088497373122121E-5</v>
      </c>
      <c r="Q2883" t="s">
        <v>159</v>
      </c>
    </row>
    <row r="2884" spans="9:17" x14ac:dyDescent="0.45">
      <c r="I2884" t="s">
        <v>201</v>
      </c>
      <c r="J2884" t="s">
        <v>351</v>
      </c>
      <c r="K2884">
        <v>0</v>
      </c>
      <c r="L2884" t="s">
        <v>159</v>
      </c>
      <c r="N2884" t="s">
        <v>244</v>
      </c>
      <c r="O2884" t="s">
        <v>351</v>
      </c>
      <c r="P2884">
        <v>2.0217058835858643E-5</v>
      </c>
      <c r="Q2884" t="s">
        <v>159</v>
      </c>
    </row>
    <row r="2885" spans="9:17" x14ac:dyDescent="0.45">
      <c r="I2885" t="s">
        <v>201</v>
      </c>
      <c r="J2885" t="s">
        <v>352</v>
      </c>
      <c r="K2885">
        <v>0</v>
      </c>
      <c r="L2885" t="s">
        <v>159</v>
      </c>
      <c r="N2885" t="s">
        <v>244</v>
      </c>
      <c r="O2885" t="s">
        <v>352</v>
      </c>
      <c r="P2885">
        <v>2.1819949224799957E-5</v>
      </c>
      <c r="Q2885" t="s">
        <v>159</v>
      </c>
    </row>
    <row r="2886" spans="9:17" x14ac:dyDescent="0.45">
      <c r="I2886" t="s">
        <v>201</v>
      </c>
      <c r="J2886" t="s">
        <v>353</v>
      </c>
      <c r="K2886">
        <v>0</v>
      </c>
      <c r="L2886" t="s">
        <v>159</v>
      </c>
      <c r="N2886" t="s">
        <v>244</v>
      </c>
      <c r="O2886" t="s">
        <v>353</v>
      </c>
      <c r="P2886">
        <v>2.1315748599652985E-5</v>
      </c>
      <c r="Q2886" t="s">
        <v>159</v>
      </c>
    </row>
    <row r="2887" spans="9:17" x14ac:dyDescent="0.45">
      <c r="I2887" t="s">
        <v>201</v>
      </c>
      <c r="J2887" t="s">
        <v>354</v>
      </c>
      <c r="K2887">
        <v>1.2704131766639199E-4</v>
      </c>
      <c r="L2887" t="s">
        <v>159</v>
      </c>
      <c r="N2887" t="s">
        <v>244</v>
      </c>
      <c r="O2887" t="s">
        <v>354</v>
      </c>
      <c r="P2887">
        <v>2.0170578104669812E-5</v>
      </c>
      <c r="Q2887" t="s">
        <v>159</v>
      </c>
    </row>
    <row r="2888" spans="9:17" x14ac:dyDescent="0.45">
      <c r="I2888" t="s">
        <v>201</v>
      </c>
      <c r="J2888" t="s">
        <v>355</v>
      </c>
      <c r="K2888">
        <v>1.8513727904931982E-4</v>
      </c>
      <c r="L2888" t="s">
        <v>159</v>
      </c>
      <c r="N2888" t="s">
        <v>244</v>
      </c>
      <c r="O2888" t="s">
        <v>355</v>
      </c>
      <c r="P2888">
        <v>1.7198634268909916E-5</v>
      </c>
      <c r="Q2888" t="s">
        <v>159</v>
      </c>
    </row>
    <row r="2889" spans="9:17" x14ac:dyDescent="0.45">
      <c r="I2889" t="s">
        <v>201</v>
      </c>
      <c r="J2889" t="s">
        <v>356</v>
      </c>
      <c r="K2889">
        <v>1.7411038297199808E-4</v>
      </c>
      <c r="L2889" t="s">
        <v>159</v>
      </c>
      <c r="N2889" t="s">
        <v>244</v>
      </c>
      <c r="O2889" t="s">
        <v>356</v>
      </c>
      <c r="P2889">
        <v>1.6681750017812205E-5</v>
      </c>
      <c r="Q2889" t="s">
        <v>159</v>
      </c>
    </row>
    <row r="2890" spans="9:17" x14ac:dyDescent="0.45">
      <c r="I2890" t="s">
        <v>201</v>
      </c>
      <c r="J2890" t="s">
        <v>357</v>
      </c>
      <c r="K2890">
        <v>1.6972902267333359E-4</v>
      </c>
      <c r="L2890" t="s">
        <v>159</v>
      </c>
      <c r="N2890" t="s">
        <v>244</v>
      </c>
      <c r="O2890" t="s">
        <v>357</v>
      </c>
      <c r="P2890">
        <v>2.3387178264544807E-5</v>
      </c>
      <c r="Q2890" t="s">
        <v>159</v>
      </c>
    </row>
    <row r="2891" spans="9:17" x14ac:dyDescent="0.45">
      <c r="I2891" t="s">
        <v>201</v>
      </c>
      <c r="J2891" t="s">
        <v>358</v>
      </c>
      <c r="K2891">
        <v>1.9643532130594787E-4</v>
      </c>
      <c r="L2891" t="s">
        <v>159</v>
      </c>
      <c r="N2891" t="s">
        <v>244</v>
      </c>
      <c r="O2891" t="s">
        <v>358</v>
      </c>
      <c r="P2891">
        <v>2.6109842245992012E-5</v>
      </c>
      <c r="Q2891" t="s">
        <v>159</v>
      </c>
    </row>
    <row r="2892" spans="9:17" x14ac:dyDescent="0.45">
      <c r="I2892" t="s">
        <v>201</v>
      </c>
      <c r="J2892" t="s">
        <v>359</v>
      </c>
      <c r="K2892">
        <v>2.2867858040709151E-4</v>
      </c>
      <c r="L2892" t="s">
        <v>159</v>
      </c>
      <c r="N2892" t="s">
        <v>244</v>
      </c>
      <c r="O2892" t="s">
        <v>359</v>
      </c>
      <c r="P2892">
        <v>2.7049243851337629E-5</v>
      </c>
      <c r="Q2892" t="s">
        <v>159</v>
      </c>
    </row>
    <row r="2893" spans="9:17" x14ac:dyDescent="0.45">
      <c r="I2893" t="s">
        <v>201</v>
      </c>
      <c r="J2893" t="s">
        <v>360</v>
      </c>
      <c r="K2893">
        <v>1.8017614445081914E-4</v>
      </c>
      <c r="L2893" t="s">
        <v>159</v>
      </c>
      <c r="N2893" t="s">
        <v>244</v>
      </c>
      <c r="O2893" t="s">
        <v>360</v>
      </c>
      <c r="P2893">
        <v>3.1976535482798565E-5</v>
      </c>
      <c r="Q2893" t="s">
        <v>159</v>
      </c>
    </row>
    <row r="2894" spans="9:17" x14ac:dyDescent="0.45">
      <c r="I2894" t="s">
        <v>201</v>
      </c>
      <c r="J2894" t="s">
        <v>361</v>
      </c>
      <c r="K2894">
        <v>1.6761575899132124E-4</v>
      </c>
      <c r="L2894" t="s">
        <v>159</v>
      </c>
      <c r="N2894" t="s">
        <v>244</v>
      </c>
      <c r="O2894" t="s">
        <v>361</v>
      </c>
      <c r="P2894">
        <v>4.1351575813346525E-5</v>
      </c>
      <c r="Q2894" t="s">
        <v>159</v>
      </c>
    </row>
    <row r="2895" spans="9:17" x14ac:dyDescent="0.45">
      <c r="I2895" t="s">
        <v>201</v>
      </c>
      <c r="J2895" t="s">
        <v>362</v>
      </c>
      <c r="K2895">
        <v>1.8037785565182845E-4</v>
      </c>
      <c r="L2895" t="s">
        <v>159</v>
      </c>
      <c r="N2895" t="s">
        <v>244</v>
      </c>
      <c r="O2895" t="s">
        <v>362</v>
      </c>
      <c r="P2895">
        <v>5.9281625163812161E-5</v>
      </c>
      <c r="Q2895" t="s">
        <v>159</v>
      </c>
    </row>
    <row r="2896" spans="9:17" x14ac:dyDescent="0.45">
      <c r="I2896" t="s">
        <v>201</v>
      </c>
      <c r="J2896" t="s">
        <v>363</v>
      </c>
      <c r="K2896">
        <v>1.6709107355365827E-4</v>
      </c>
      <c r="L2896" t="s">
        <v>159</v>
      </c>
      <c r="N2896" t="s">
        <v>244</v>
      </c>
      <c r="O2896" t="s">
        <v>363</v>
      </c>
      <c r="P2896">
        <v>7.9143803969289794E-5</v>
      </c>
      <c r="Q2896" t="s">
        <v>159</v>
      </c>
    </row>
    <row r="2897" spans="9:17" x14ac:dyDescent="0.45">
      <c r="I2897" t="s">
        <v>201</v>
      </c>
      <c r="J2897" t="s">
        <v>364</v>
      </c>
      <c r="K2897">
        <v>0</v>
      </c>
      <c r="L2897" t="s">
        <v>159</v>
      </c>
      <c r="N2897" t="s">
        <v>244</v>
      </c>
      <c r="O2897" t="s">
        <v>364</v>
      </c>
      <c r="P2897">
        <v>9.3371621698881162E-5</v>
      </c>
      <c r="Q2897" t="s">
        <v>159</v>
      </c>
    </row>
    <row r="2898" spans="9:17" x14ac:dyDescent="0.45">
      <c r="I2898" t="s">
        <v>201</v>
      </c>
      <c r="J2898" t="s">
        <v>365</v>
      </c>
      <c r="K2898">
        <v>0</v>
      </c>
      <c r="L2898" t="s">
        <v>159</v>
      </c>
      <c r="N2898" t="s">
        <v>244</v>
      </c>
      <c r="O2898" t="s">
        <v>365</v>
      </c>
      <c r="P2898">
        <v>1.0255011949212461E-4</v>
      </c>
      <c r="Q2898" t="s">
        <v>159</v>
      </c>
    </row>
    <row r="2899" spans="9:17" x14ac:dyDescent="0.45">
      <c r="I2899" t="s">
        <v>201</v>
      </c>
      <c r="J2899" t="s">
        <v>366</v>
      </c>
      <c r="K2899">
        <v>0</v>
      </c>
      <c r="L2899" t="s">
        <v>159</v>
      </c>
      <c r="N2899" t="s">
        <v>244</v>
      </c>
      <c r="O2899" t="s">
        <v>366</v>
      </c>
      <c r="P2899">
        <v>1.0325192380751314E-4</v>
      </c>
      <c r="Q2899" t="s">
        <v>159</v>
      </c>
    </row>
    <row r="2900" spans="9:17" x14ac:dyDescent="0.45">
      <c r="I2900" t="s">
        <v>201</v>
      </c>
      <c r="J2900" t="s">
        <v>367</v>
      </c>
      <c r="K2900">
        <v>0</v>
      </c>
      <c r="L2900" t="s">
        <v>159</v>
      </c>
      <c r="N2900" t="s">
        <v>244</v>
      </c>
      <c r="O2900" t="s">
        <v>367</v>
      </c>
      <c r="P2900">
        <v>1.0224495002426112E-4</v>
      </c>
      <c r="Q2900" t="s">
        <v>159</v>
      </c>
    </row>
    <row r="2901" spans="9:17" x14ac:dyDescent="0.45">
      <c r="I2901" t="s">
        <v>201</v>
      </c>
      <c r="J2901" t="s">
        <v>368</v>
      </c>
      <c r="K2901">
        <v>0</v>
      </c>
      <c r="L2901" t="s">
        <v>159</v>
      </c>
      <c r="N2901" t="s">
        <v>244</v>
      </c>
      <c r="O2901" t="s">
        <v>368</v>
      </c>
      <c r="P2901">
        <v>9.5621374752272655E-5</v>
      </c>
      <c r="Q2901" t="s">
        <v>159</v>
      </c>
    </row>
    <row r="2902" spans="9:17" x14ac:dyDescent="0.45">
      <c r="I2902" t="s">
        <v>201</v>
      </c>
      <c r="J2902" t="s">
        <v>369</v>
      </c>
      <c r="K2902">
        <v>0</v>
      </c>
      <c r="L2902" t="s">
        <v>159</v>
      </c>
      <c r="N2902" t="s">
        <v>244</v>
      </c>
      <c r="O2902" t="s">
        <v>369</v>
      </c>
      <c r="P2902">
        <v>7.9114676788822198E-5</v>
      </c>
      <c r="Q2902" t="s">
        <v>159</v>
      </c>
    </row>
    <row r="2903" spans="9:17" x14ac:dyDescent="0.45">
      <c r="I2903" t="s">
        <v>201</v>
      </c>
      <c r="J2903" t="s">
        <v>165</v>
      </c>
      <c r="K2903">
        <v>0</v>
      </c>
      <c r="L2903" t="s">
        <v>159</v>
      </c>
      <c r="N2903" t="s">
        <v>244</v>
      </c>
      <c r="O2903" t="s">
        <v>165</v>
      </c>
      <c r="P2903">
        <v>2.3158949588777265E-2</v>
      </c>
      <c r="Q2903" t="s">
        <v>159</v>
      </c>
    </row>
    <row r="2904" spans="9:17" x14ac:dyDescent="0.45">
      <c r="I2904" t="s">
        <v>201</v>
      </c>
      <c r="J2904" t="s">
        <v>166</v>
      </c>
      <c r="K2904">
        <v>0</v>
      </c>
      <c r="L2904" t="s">
        <v>159</v>
      </c>
      <c r="N2904" t="s">
        <v>244</v>
      </c>
      <c r="O2904" t="s">
        <v>166</v>
      </c>
      <c r="P2904">
        <v>3.3238554692845289E-3</v>
      </c>
      <c r="Q2904" t="s">
        <v>159</v>
      </c>
    </row>
    <row r="2905" spans="9:17" x14ac:dyDescent="0.45">
      <c r="I2905" t="s">
        <v>201</v>
      </c>
      <c r="J2905" t="s">
        <v>167</v>
      </c>
      <c r="K2905">
        <v>6.0162686338172788E-2</v>
      </c>
      <c r="L2905" t="s">
        <v>159</v>
      </c>
      <c r="N2905" t="s">
        <v>244</v>
      </c>
      <c r="O2905" t="s">
        <v>167</v>
      </c>
      <c r="P2905">
        <v>2.8632369447362641E-2</v>
      </c>
      <c r="Q2905" t="s">
        <v>159</v>
      </c>
    </row>
    <row r="2906" spans="9:17" x14ac:dyDescent="0.45">
      <c r="I2906" t="s">
        <v>201</v>
      </c>
      <c r="J2906" t="s">
        <v>291</v>
      </c>
      <c r="K2906">
        <v>5.8527076844780458E-3</v>
      </c>
      <c r="L2906" t="s">
        <v>159</v>
      </c>
      <c r="N2906" t="s">
        <v>244</v>
      </c>
      <c r="O2906" t="s">
        <v>291</v>
      </c>
      <c r="P2906">
        <v>3.3049025310919471E-3</v>
      </c>
      <c r="Q2906" t="s">
        <v>159</v>
      </c>
    </row>
    <row r="2907" spans="9:17" x14ac:dyDescent="0.45">
      <c r="I2907" t="s">
        <v>201</v>
      </c>
      <c r="J2907" t="s">
        <v>292</v>
      </c>
      <c r="K2907">
        <v>2.7204160189414723E-3</v>
      </c>
      <c r="L2907" t="s">
        <v>159</v>
      </c>
      <c r="N2907" t="s">
        <v>244</v>
      </c>
      <c r="O2907" t="s">
        <v>292</v>
      </c>
      <c r="P2907">
        <v>3.2943797216164789E-3</v>
      </c>
      <c r="Q2907" t="s">
        <v>159</v>
      </c>
    </row>
    <row r="2908" spans="9:17" x14ac:dyDescent="0.45">
      <c r="I2908" t="s">
        <v>201</v>
      </c>
      <c r="J2908" t="s">
        <v>310</v>
      </c>
      <c r="K2908">
        <v>0</v>
      </c>
      <c r="L2908" t="s">
        <v>159</v>
      </c>
      <c r="N2908" t="s">
        <v>244</v>
      </c>
      <c r="O2908" t="s">
        <v>310</v>
      </c>
      <c r="P2908">
        <v>1.6029345766969273E-2</v>
      </c>
      <c r="Q2908" t="s">
        <v>159</v>
      </c>
    </row>
    <row r="2909" spans="9:17" x14ac:dyDescent="0.45">
      <c r="I2909" t="s">
        <v>201</v>
      </c>
      <c r="J2909" t="s">
        <v>293</v>
      </c>
      <c r="K2909">
        <v>0</v>
      </c>
      <c r="L2909" t="s">
        <v>159</v>
      </c>
      <c r="N2909" t="s">
        <v>244</v>
      </c>
      <c r="O2909" t="s">
        <v>293</v>
      </c>
      <c r="P2909">
        <v>4.4443083416529621E-3</v>
      </c>
      <c r="Q2909" t="s">
        <v>159</v>
      </c>
    </row>
    <row r="2910" spans="9:17" x14ac:dyDescent="0.45">
      <c r="I2910" t="s">
        <v>201</v>
      </c>
      <c r="J2910" t="s">
        <v>294</v>
      </c>
      <c r="K2910">
        <v>0</v>
      </c>
      <c r="L2910" t="s">
        <v>159</v>
      </c>
      <c r="N2910" t="s">
        <v>244</v>
      </c>
      <c r="O2910" t="s">
        <v>294</v>
      </c>
      <c r="P2910">
        <v>5.5641409956343679E-4</v>
      </c>
      <c r="Q2910" t="s">
        <v>159</v>
      </c>
    </row>
    <row r="2911" spans="9:17" x14ac:dyDescent="0.45">
      <c r="I2911" t="s">
        <v>201</v>
      </c>
      <c r="J2911" t="s">
        <v>295</v>
      </c>
      <c r="K2911">
        <v>1.6016852459858E-2</v>
      </c>
      <c r="L2911" t="s">
        <v>159</v>
      </c>
      <c r="N2911" t="s">
        <v>244</v>
      </c>
      <c r="O2911" t="s">
        <v>295</v>
      </c>
      <c r="P2911">
        <v>6.0107172636399394E-3</v>
      </c>
      <c r="Q2911" t="s">
        <v>159</v>
      </c>
    </row>
    <row r="2912" spans="9:17" x14ac:dyDescent="0.45">
      <c r="I2912" t="s">
        <v>201</v>
      </c>
      <c r="J2912" t="s">
        <v>296</v>
      </c>
      <c r="K2912">
        <v>1.6156587778338486E-3</v>
      </c>
      <c r="L2912" t="s">
        <v>159</v>
      </c>
      <c r="N2912" t="s">
        <v>244</v>
      </c>
      <c r="O2912" t="s">
        <v>296</v>
      </c>
      <c r="P2912">
        <v>9.2684363082791931E-4</v>
      </c>
      <c r="Q2912" t="s">
        <v>159</v>
      </c>
    </row>
    <row r="2913" spans="9:17" x14ac:dyDescent="0.45">
      <c r="I2913" t="s">
        <v>201</v>
      </c>
      <c r="J2913" t="s">
        <v>297</v>
      </c>
      <c r="K2913">
        <v>1.1531123996843813E-3</v>
      </c>
      <c r="L2913" t="s">
        <v>159</v>
      </c>
      <c r="N2913" t="s">
        <v>244</v>
      </c>
      <c r="O2913" t="s">
        <v>297</v>
      </c>
      <c r="P2913">
        <v>9.4358267425792282E-4</v>
      </c>
      <c r="Q2913" t="s">
        <v>159</v>
      </c>
    </row>
    <row r="2914" spans="9:17" x14ac:dyDescent="0.45">
      <c r="I2914" t="s">
        <v>201</v>
      </c>
      <c r="J2914" t="s">
        <v>311</v>
      </c>
      <c r="K2914">
        <v>0</v>
      </c>
      <c r="L2914" t="s">
        <v>159</v>
      </c>
      <c r="N2914" t="s">
        <v>244</v>
      </c>
      <c r="O2914" t="s">
        <v>311</v>
      </c>
      <c r="P2914">
        <v>4.2602366670802883E-3</v>
      </c>
      <c r="Q2914" t="s">
        <v>159</v>
      </c>
    </row>
    <row r="2915" spans="9:17" x14ac:dyDescent="0.45">
      <c r="I2915" t="s">
        <v>201</v>
      </c>
      <c r="J2915" t="s">
        <v>298</v>
      </c>
      <c r="K2915">
        <v>4.2341710520630875E-3</v>
      </c>
      <c r="L2915" t="s">
        <v>159</v>
      </c>
      <c r="N2915" t="s">
        <v>244</v>
      </c>
      <c r="O2915" t="s">
        <v>298</v>
      </c>
      <c r="P2915">
        <v>7.0052804142391956E-2</v>
      </c>
      <c r="Q2915" t="s">
        <v>159</v>
      </c>
    </row>
    <row r="2916" spans="9:17" x14ac:dyDescent="0.45">
      <c r="I2916" t="s">
        <v>201</v>
      </c>
      <c r="J2916" t="s">
        <v>299</v>
      </c>
      <c r="K2916">
        <v>1.4816867658074969E-2</v>
      </c>
      <c r="L2916" t="s">
        <v>159</v>
      </c>
      <c r="N2916" t="s">
        <v>244</v>
      </c>
      <c r="O2916" t="s">
        <v>299</v>
      </c>
      <c r="P2916">
        <v>8.6334548819159175E-3</v>
      </c>
      <c r="Q2916" t="s">
        <v>159</v>
      </c>
    </row>
    <row r="2917" spans="9:17" x14ac:dyDescent="0.45">
      <c r="I2917" t="s">
        <v>201</v>
      </c>
      <c r="J2917" t="s">
        <v>300</v>
      </c>
      <c r="K2917">
        <v>0.24903687106054545</v>
      </c>
      <c r="L2917" t="s">
        <v>159</v>
      </c>
      <c r="N2917" t="s">
        <v>244</v>
      </c>
      <c r="O2917" t="s">
        <v>300</v>
      </c>
      <c r="P2917">
        <v>0.10054784358901951</v>
      </c>
      <c r="Q2917" t="s">
        <v>159</v>
      </c>
    </row>
    <row r="2918" spans="9:17" x14ac:dyDescent="0.45">
      <c r="I2918" t="s">
        <v>201</v>
      </c>
      <c r="J2918" t="s">
        <v>301</v>
      </c>
      <c r="K2918">
        <v>2.2500511130607595E-2</v>
      </c>
      <c r="L2918" t="s">
        <v>159</v>
      </c>
      <c r="N2918" t="s">
        <v>244</v>
      </c>
      <c r="O2918" t="s">
        <v>301</v>
      </c>
      <c r="P2918">
        <v>1.4646588758731897E-2</v>
      </c>
      <c r="Q2918" t="s">
        <v>159</v>
      </c>
    </row>
    <row r="2919" spans="9:17" x14ac:dyDescent="0.45">
      <c r="I2919" t="s">
        <v>201</v>
      </c>
      <c r="J2919" t="s">
        <v>302</v>
      </c>
      <c r="K2919">
        <v>1.6314536936178538E-2</v>
      </c>
      <c r="L2919" t="s">
        <v>159</v>
      </c>
      <c r="N2919" t="s">
        <v>244</v>
      </c>
      <c r="O2919" t="s">
        <v>302</v>
      </c>
      <c r="P2919">
        <v>1.4370263117561743E-2</v>
      </c>
      <c r="Q2919" t="s">
        <v>159</v>
      </c>
    </row>
    <row r="2920" spans="9:17" x14ac:dyDescent="0.45">
      <c r="I2920" t="s">
        <v>201</v>
      </c>
      <c r="J2920" t="s">
        <v>312</v>
      </c>
      <c r="K2920">
        <v>3.3091046979570517E-3</v>
      </c>
      <c r="L2920" t="s">
        <v>159</v>
      </c>
      <c r="N2920" t="s">
        <v>244</v>
      </c>
      <c r="O2920" t="s">
        <v>312</v>
      </c>
      <c r="P2920">
        <v>6.2339726824827461E-2</v>
      </c>
      <c r="Q2920" t="s">
        <v>159</v>
      </c>
    </row>
    <row r="2921" spans="9:17" x14ac:dyDescent="0.45">
      <c r="I2921" t="s">
        <v>201</v>
      </c>
      <c r="J2921" t="s">
        <v>397</v>
      </c>
      <c r="K2921">
        <v>0</v>
      </c>
      <c r="L2921" t="s">
        <v>159</v>
      </c>
      <c r="N2921" t="s">
        <v>244</v>
      </c>
      <c r="O2921" t="s">
        <v>397</v>
      </c>
      <c r="P2921">
        <v>5.7708278920622944E-5</v>
      </c>
      <c r="Q2921" t="s">
        <v>159</v>
      </c>
    </row>
    <row r="2922" spans="9:17" x14ac:dyDescent="0.45">
      <c r="I2922" t="s">
        <v>201</v>
      </c>
      <c r="J2922" t="s">
        <v>398</v>
      </c>
      <c r="K2922">
        <v>0</v>
      </c>
      <c r="L2922" t="s">
        <v>159</v>
      </c>
      <c r="N2922" t="s">
        <v>244</v>
      </c>
      <c r="O2922" t="s">
        <v>398</v>
      </c>
      <c r="P2922">
        <v>5.0196094589402932E-5</v>
      </c>
      <c r="Q2922" t="s">
        <v>159</v>
      </c>
    </row>
    <row r="2923" spans="9:17" x14ac:dyDescent="0.45">
      <c r="I2923" t="s">
        <v>201</v>
      </c>
      <c r="J2923" t="s">
        <v>399</v>
      </c>
      <c r="K2923">
        <v>0</v>
      </c>
      <c r="L2923" t="s">
        <v>159</v>
      </c>
      <c r="N2923" t="s">
        <v>244</v>
      </c>
      <c r="O2923" t="s">
        <v>399</v>
      </c>
      <c r="P2923">
        <v>5.0947915027561634E-5</v>
      </c>
      <c r="Q2923" t="s">
        <v>159</v>
      </c>
    </row>
    <row r="2924" spans="9:17" x14ac:dyDescent="0.45">
      <c r="I2924" t="s">
        <v>201</v>
      </c>
      <c r="J2924" t="s">
        <v>400</v>
      </c>
      <c r="K2924">
        <v>0</v>
      </c>
      <c r="L2924" t="s">
        <v>159</v>
      </c>
      <c r="N2924" t="s">
        <v>244</v>
      </c>
      <c r="O2924" t="s">
        <v>400</v>
      </c>
      <c r="P2924">
        <v>5.5050775532522028E-5</v>
      </c>
      <c r="Q2924" t="s">
        <v>159</v>
      </c>
    </row>
    <row r="2925" spans="9:17" x14ac:dyDescent="0.45">
      <c r="I2925" t="s">
        <v>201</v>
      </c>
      <c r="J2925" t="s">
        <v>401</v>
      </c>
      <c r="K2925">
        <v>0</v>
      </c>
      <c r="L2925" t="s">
        <v>159</v>
      </c>
      <c r="N2925" t="s">
        <v>244</v>
      </c>
      <c r="O2925" t="s">
        <v>401</v>
      </c>
      <c r="P2925">
        <v>5.6151663214458475E-5</v>
      </c>
      <c r="Q2925" t="s">
        <v>159</v>
      </c>
    </row>
    <row r="2926" spans="9:17" x14ac:dyDescent="0.45">
      <c r="I2926" t="s">
        <v>201</v>
      </c>
      <c r="J2926" t="s">
        <v>402</v>
      </c>
      <c r="K2926">
        <v>0</v>
      </c>
      <c r="L2926" t="s">
        <v>159</v>
      </c>
      <c r="N2926" t="s">
        <v>244</v>
      </c>
      <c r="O2926" t="s">
        <v>402</v>
      </c>
      <c r="P2926">
        <v>5.3677319041513519E-5</v>
      </c>
      <c r="Q2926" t="s">
        <v>159</v>
      </c>
    </row>
    <row r="2927" spans="9:17" x14ac:dyDescent="0.45">
      <c r="I2927" t="s">
        <v>201</v>
      </c>
      <c r="J2927" t="s">
        <v>403</v>
      </c>
      <c r="K2927">
        <v>0</v>
      </c>
      <c r="L2927" t="s">
        <v>159</v>
      </c>
      <c r="N2927" t="s">
        <v>244</v>
      </c>
      <c r="O2927" t="s">
        <v>403</v>
      </c>
      <c r="P2927">
        <v>4.877199675220465E-5</v>
      </c>
      <c r="Q2927" t="s">
        <v>159</v>
      </c>
    </row>
    <row r="2928" spans="9:17" x14ac:dyDescent="0.45">
      <c r="I2928" t="s">
        <v>201</v>
      </c>
      <c r="J2928" t="s">
        <v>404</v>
      </c>
      <c r="K2928">
        <v>1.9317597405865995E-4</v>
      </c>
      <c r="L2928" t="s">
        <v>159</v>
      </c>
      <c r="N2928" t="s">
        <v>244</v>
      </c>
      <c r="O2928" t="s">
        <v>404</v>
      </c>
      <c r="P2928">
        <v>4.4655393536765355E-5</v>
      </c>
      <c r="Q2928" t="s">
        <v>159</v>
      </c>
    </row>
    <row r="2929" spans="9:17" x14ac:dyDescent="0.45">
      <c r="I2929" t="s">
        <v>201</v>
      </c>
      <c r="J2929" t="s">
        <v>405</v>
      </c>
      <c r="K2929">
        <v>2.7760596939889617E-4</v>
      </c>
      <c r="L2929" t="s">
        <v>159</v>
      </c>
      <c r="N2929" t="s">
        <v>244</v>
      </c>
      <c r="O2929" t="s">
        <v>405</v>
      </c>
      <c r="P2929">
        <v>4.2804851326551232E-5</v>
      </c>
      <c r="Q2929" t="s">
        <v>159</v>
      </c>
    </row>
    <row r="2930" spans="9:17" x14ac:dyDescent="0.45">
      <c r="I2930" t="s">
        <v>201</v>
      </c>
      <c r="J2930" t="s">
        <v>406</v>
      </c>
      <c r="K2930">
        <v>3.0450220906823219E-4</v>
      </c>
      <c r="L2930" t="s">
        <v>159</v>
      </c>
      <c r="N2930" t="s">
        <v>244</v>
      </c>
      <c r="O2930" t="s">
        <v>406</v>
      </c>
      <c r="P2930">
        <v>4.6359022658225883E-5</v>
      </c>
      <c r="Q2930" t="s">
        <v>159</v>
      </c>
    </row>
    <row r="2931" spans="9:17" x14ac:dyDescent="0.45">
      <c r="I2931" t="s">
        <v>201</v>
      </c>
      <c r="J2931" t="s">
        <v>407</v>
      </c>
      <c r="K2931">
        <v>3.0385276831935195E-4</v>
      </c>
      <c r="L2931" t="s">
        <v>159</v>
      </c>
      <c r="N2931" t="s">
        <v>244</v>
      </c>
      <c r="O2931" t="s">
        <v>407</v>
      </c>
      <c r="P2931">
        <v>4.5600398320449328E-5</v>
      </c>
      <c r="Q2931" t="s">
        <v>159</v>
      </c>
    </row>
    <row r="2932" spans="9:17" x14ac:dyDescent="0.45">
      <c r="I2932" t="s">
        <v>201</v>
      </c>
      <c r="J2932" t="s">
        <v>408</v>
      </c>
      <c r="K2932">
        <v>3.0912095216066148E-4</v>
      </c>
      <c r="L2932" t="s">
        <v>159</v>
      </c>
      <c r="N2932" t="s">
        <v>244</v>
      </c>
      <c r="O2932" t="s">
        <v>408</v>
      </c>
      <c r="P2932">
        <v>5.9128321162966068E-5</v>
      </c>
      <c r="Q2932" t="s">
        <v>159</v>
      </c>
    </row>
    <row r="2933" spans="9:17" x14ac:dyDescent="0.45">
      <c r="I2933" t="s">
        <v>201</v>
      </c>
      <c r="J2933" t="s">
        <v>409</v>
      </c>
      <c r="K2933">
        <v>3.3093560881408473E-4</v>
      </c>
      <c r="L2933" t="s">
        <v>159</v>
      </c>
      <c r="N2933" t="s">
        <v>244</v>
      </c>
      <c r="O2933" t="s">
        <v>409</v>
      </c>
      <c r="P2933">
        <v>6.2041349442714468E-5</v>
      </c>
      <c r="Q2933" t="s">
        <v>159</v>
      </c>
    </row>
    <row r="2934" spans="9:17" x14ac:dyDescent="0.45">
      <c r="I2934" t="s">
        <v>201</v>
      </c>
      <c r="J2934" t="s">
        <v>410</v>
      </c>
      <c r="K2934">
        <v>3.3648837129315418E-4</v>
      </c>
      <c r="L2934" t="s">
        <v>159</v>
      </c>
      <c r="N2934" t="s">
        <v>244</v>
      </c>
      <c r="O2934" t="s">
        <v>410</v>
      </c>
      <c r="P2934">
        <v>6.7272071377382794E-5</v>
      </c>
      <c r="Q2934" t="s">
        <v>159</v>
      </c>
    </row>
    <row r="2935" spans="9:17" x14ac:dyDescent="0.45">
      <c r="I2935" t="s">
        <v>201</v>
      </c>
      <c r="J2935" t="s">
        <v>411</v>
      </c>
      <c r="K2935">
        <v>3.0875072685742602E-4</v>
      </c>
      <c r="L2935" t="s">
        <v>159</v>
      </c>
      <c r="N2935" t="s">
        <v>244</v>
      </c>
      <c r="O2935" t="s">
        <v>411</v>
      </c>
      <c r="P2935">
        <v>7.9832371540473725E-5</v>
      </c>
      <c r="Q2935" t="s">
        <v>159</v>
      </c>
    </row>
    <row r="2936" spans="9:17" x14ac:dyDescent="0.45">
      <c r="I2936" t="s">
        <v>201</v>
      </c>
      <c r="J2936" t="s">
        <v>412</v>
      </c>
      <c r="K2936">
        <v>2.9370082445740202E-4</v>
      </c>
      <c r="L2936" t="s">
        <v>159</v>
      </c>
      <c r="N2936" t="s">
        <v>244</v>
      </c>
      <c r="O2936" t="s">
        <v>412</v>
      </c>
      <c r="P2936">
        <v>8.4959856054227733E-5</v>
      </c>
      <c r="Q2936" t="s">
        <v>159</v>
      </c>
    </row>
    <row r="2937" spans="9:17" x14ac:dyDescent="0.45">
      <c r="I2937" t="s">
        <v>201</v>
      </c>
      <c r="J2937" t="s">
        <v>413</v>
      </c>
      <c r="K2937">
        <v>2.9117654285112471E-4</v>
      </c>
      <c r="L2937" t="s">
        <v>159</v>
      </c>
      <c r="N2937" t="s">
        <v>244</v>
      </c>
      <c r="O2937" t="s">
        <v>413</v>
      </c>
      <c r="P2937">
        <v>7.7065034669855591E-5</v>
      </c>
      <c r="Q2937" t="s">
        <v>159</v>
      </c>
    </row>
    <row r="2938" spans="9:17" x14ac:dyDescent="0.45">
      <c r="I2938" t="s">
        <v>201</v>
      </c>
      <c r="J2938" t="s">
        <v>414</v>
      </c>
      <c r="K2938">
        <v>2.7922998352691088E-4</v>
      </c>
      <c r="L2938" t="s">
        <v>159</v>
      </c>
      <c r="N2938" t="s">
        <v>244</v>
      </c>
      <c r="O2938" t="s">
        <v>414</v>
      </c>
      <c r="P2938">
        <v>6.9384631249775242E-5</v>
      </c>
      <c r="Q2938" t="s">
        <v>159</v>
      </c>
    </row>
    <row r="2939" spans="9:17" x14ac:dyDescent="0.45">
      <c r="I2939" t="s">
        <v>201</v>
      </c>
      <c r="J2939" t="s">
        <v>415</v>
      </c>
      <c r="K2939">
        <v>2.0018081066232977E-4</v>
      </c>
      <c r="L2939" t="s">
        <v>159</v>
      </c>
      <c r="N2939" t="s">
        <v>244</v>
      </c>
      <c r="O2939" t="s">
        <v>415</v>
      </c>
      <c r="P2939">
        <v>6.7571210648044696E-5</v>
      </c>
      <c r="Q2939" t="s">
        <v>159</v>
      </c>
    </row>
    <row r="2940" spans="9:17" x14ac:dyDescent="0.45">
      <c r="I2940" t="s">
        <v>201</v>
      </c>
      <c r="J2940" t="s">
        <v>416</v>
      </c>
      <c r="K2940">
        <v>0</v>
      </c>
      <c r="L2940" t="s">
        <v>159</v>
      </c>
      <c r="N2940" t="s">
        <v>244</v>
      </c>
      <c r="O2940" t="s">
        <v>416</v>
      </c>
      <c r="P2940">
        <v>6.0982235814059197E-5</v>
      </c>
      <c r="Q2940" t="s">
        <v>159</v>
      </c>
    </row>
    <row r="2941" spans="9:17" x14ac:dyDescent="0.45">
      <c r="I2941" t="s">
        <v>201</v>
      </c>
      <c r="J2941" t="s">
        <v>417</v>
      </c>
      <c r="K2941">
        <v>0</v>
      </c>
      <c r="L2941" t="s">
        <v>159</v>
      </c>
      <c r="N2941" t="s">
        <v>244</v>
      </c>
      <c r="O2941" t="s">
        <v>417</v>
      </c>
      <c r="P2941">
        <v>5.3560842902321267E-5</v>
      </c>
      <c r="Q2941" t="s">
        <v>159</v>
      </c>
    </row>
    <row r="2942" spans="9:17" x14ac:dyDescent="0.45">
      <c r="I2942" t="s">
        <v>201</v>
      </c>
      <c r="J2942" t="s">
        <v>418</v>
      </c>
      <c r="K2942">
        <v>0</v>
      </c>
      <c r="L2942" t="s">
        <v>159</v>
      </c>
      <c r="N2942" t="s">
        <v>244</v>
      </c>
      <c r="O2942" t="s">
        <v>418</v>
      </c>
      <c r="P2942">
        <v>4.9515271631948653E-5</v>
      </c>
      <c r="Q2942" t="s">
        <v>159</v>
      </c>
    </row>
    <row r="2943" spans="9:17" x14ac:dyDescent="0.45">
      <c r="I2943" t="s">
        <v>201</v>
      </c>
      <c r="J2943" t="s">
        <v>419</v>
      </c>
      <c r="K2943">
        <v>0</v>
      </c>
      <c r="L2943" t="s">
        <v>159</v>
      </c>
      <c r="N2943" t="s">
        <v>244</v>
      </c>
      <c r="O2943" t="s">
        <v>419</v>
      </c>
      <c r="P2943">
        <v>5.0062796204900408E-5</v>
      </c>
      <c r="Q2943" t="s">
        <v>159</v>
      </c>
    </row>
    <row r="2944" spans="9:17" x14ac:dyDescent="0.45">
      <c r="I2944" t="s">
        <v>201</v>
      </c>
      <c r="J2944" t="s">
        <v>420</v>
      </c>
      <c r="K2944">
        <v>0</v>
      </c>
      <c r="L2944" t="s">
        <v>159</v>
      </c>
      <c r="N2944" t="s">
        <v>244</v>
      </c>
      <c r="O2944" t="s">
        <v>420</v>
      </c>
      <c r="P2944">
        <v>6.0715125643180407E-5</v>
      </c>
      <c r="Q2944" t="s">
        <v>159</v>
      </c>
    </row>
    <row r="2945" spans="9:17" x14ac:dyDescent="0.45">
      <c r="I2945" t="s">
        <v>201</v>
      </c>
      <c r="J2945" t="s">
        <v>313</v>
      </c>
      <c r="K2945">
        <v>2.6228581060145509E-3</v>
      </c>
      <c r="L2945" t="s">
        <v>159</v>
      </c>
      <c r="N2945" t="s">
        <v>244</v>
      </c>
      <c r="O2945" t="s">
        <v>313</v>
      </c>
      <c r="P2945">
        <v>2.2213206384838011E-2</v>
      </c>
      <c r="Q2945" t="s">
        <v>159</v>
      </c>
    </row>
    <row r="2946" spans="9:17" x14ac:dyDescent="0.45">
      <c r="I2946" t="s">
        <v>201</v>
      </c>
      <c r="J2946" t="s">
        <v>314</v>
      </c>
      <c r="K2946">
        <v>4.9415057212127116E-3</v>
      </c>
      <c r="L2946" t="s">
        <v>159</v>
      </c>
      <c r="N2946" t="s">
        <v>244</v>
      </c>
      <c r="O2946" t="s">
        <v>314</v>
      </c>
      <c r="P2946">
        <v>2.4670917702511379E-3</v>
      </c>
      <c r="Q2946" t="s">
        <v>159</v>
      </c>
    </row>
    <row r="2947" spans="9:17" x14ac:dyDescent="0.45">
      <c r="I2947" t="s">
        <v>201</v>
      </c>
      <c r="J2947" t="s">
        <v>315</v>
      </c>
      <c r="K2947">
        <v>7.8153495470387344E-2</v>
      </c>
      <c r="L2947" t="s">
        <v>159</v>
      </c>
      <c r="N2947" t="s">
        <v>244</v>
      </c>
      <c r="O2947" t="s">
        <v>315</v>
      </c>
      <c r="P2947">
        <v>3.3084904185654199E-2</v>
      </c>
      <c r="Q2947" t="s">
        <v>159</v>
      </c>
    </row>
    <row r="2948" spans="9:17" x14ac:dyDescent="0.45">
      <c r="I2948" t="s">
        <v>201</v>
      </c>
      <c r="J2948" t="s">
        <v>316</v>
      </c>
      <c r="K2948">
        <v>6.4525698759402414E-3</v>
      </c>
      <c r="L2948" t="s">
        <v>159</v>
      </c>
      <c r="N2948" t="s">
        <v>244</v>
      </c>
      <c r="O2948" t="s">
        <v>316</v>
      </c>
      <c r="P2948">
        <v>5.3008887619870318E-3</v>
      </c>
      <c r="Q2948" t="s">
        <v>159</v>
      </c>
    </row>
    <row r="2949" spans="9:17" x14ac:dyDescent="0.45">
      <c r="I2949" t="s">
        <v>201</v>
      </c>
      <c r="J2949" t="s">
        <v>317</v>
      </c>
      <c r="K2949">
        <v>5.0171259079948086E-3</v>
      </c>
      <c r="L2949" t="s">
        <v>159</v>
      </c>
      <c r="N2949" t="s">
        <v>244</v>
      </c>
      <c r="O2949" t="s">
        <v>317</v>
      </c>
      <c r="P2949">
        <v>5.126292787811077E-3</v>
      </c>
      <c r="Q2949" t="s">
        <v>159</v>
      </c>
    </row>
    <row r="2950" spans="9:17" x14ac:dyDescent="0.45">
      <c r="I2950" t="s">
        <v>201</v>
      </c>
      <c r="J2950" t="s">
        <v>318</v>
      </c>
      <c r="K2950">
        <v>3.0833332393953288E-3</v>
      </c>
      <c r="L2950" t="s">
        <v>159</v>
      </c>
      <c r="N2950" t="s">
        <v>244</v>
      </c>
      <c r="O2950" t="s">
        <v>318</v>
      </c>
      <c r="P2950">
        <v>2.2766609311937584E-2</v>
      </c>
      <c r="Q2950" t="s">
        <v>159</v>
      </c>
    </row>
    <row r="2951" spans="9:17" x14ac:dyDescent="0.45">
      <c r="I2951" t="s">
        <v>202</v>
      </c>
      <c r="J2951" t="s">
        <v>158</v>
      </c>
      <c r="K2951">
        <v>1.5340943763234003E-3</v>
      </c>
      <c r="L2951" t="s">
        <v>159</v>
      </c>
      <c r="N2951" t="s">
        <v>245</v>
      </c>
      <c r="O2951" t="s">
        <v>158</v>
      </c>
      <c r="P2951">
        <v>0.13952031826423164</v>
      </c>
      <c r="Q2951" t="s">
        <v>159</v>
      </c>
    </row>
    <row r="2952" spans="9:17" x14ac:dyDescent="0.45">
      <c r="I2952" t="s">
        <v>202</v>
      </c>
      <c r="J2952" t="s">
        <v>160</v>
      </c>
      <c r="K2952">
        <v>1.2275542063182307E-2</v>
      </c>
      <c r="L2952" t="s">
        <v>159</v>
      </c>
      <c r="N2952" t="s">
        <v>245</v>
      </c>
      <c r="O2952" t="s">
        <v>160</v>
      </c>
      <c r="P2952">
        <v>1.7079363179097262E-2</v>
      </c>
      <c r="Q2952" t="s">
        <v>159</v>
      </c>
    </row>
    <row r="2953" spans="9:17" x14ac:dyDescent="0.45">
      <c r="I2953" t="s">
        <v>202</v>
      </c>
      <c r="J2953" t="s">
        <v>161</v>
      </c>
      <c r="K2953">
        <v>0.37104215760789216</v>
      </c>
      <c r="L2953" t="s">
        <v>159</v>
      </c>
      <c r="N2953" t="s">
        <v>245</v>
      </c>
      <c r="O2953" t="s">
        <v>161</v>
      </c>
      <c r="P2953">
        <v>0.14221258264622852</v>
      </c>
      <c r="Q2953" t="s">
        <v>159</v>
      </c>
    </row>
    <row r="2954" spans="9:17" x14ac:dyDescent="0.45">
      <c r="I2954" t="s">
        <v>202</v>
      </c>
      <c r="J2954" t="s">
        <v>287</v>
      </c>
      <c r="K2954">
        <v>3.41572286901769E-2</v>
      </c>
      <c r="L2954" t="s">
        <v>159</v>
      </c>
      <c r="N2954" t="s">
        <v>245</v>
      </c>
      <c r="O2954" t="s">
        <v>287</v>
      </c>
      <c r="P2954">
        <v>2.3075891073937475E-2</v>
      </c>
      <c r="Q2954" t="s">
        <v>159</v>
      </c>
    </row>
    <row r="2955" spans="9:17" x14ac:dyDescent="0.45">
      <c r="I2955" t="s">
        <v>202</v>
      </c>
      <c r="J2955" t="s">
        <v>288</v>
      </c>
      <c r="K2955">
        <v>2.0074119266278043E-2</v>
      </c>
      <c r="L2955" t="s">
        <v>159</v>
      </c>
      <c r="N2955" t="s">
        <v>245</v>
      </c>
      <c r="O2955" t="s">
        <v>288</v>
      </c>
      <c r="P2955">
        <v>2.7089333685282383E-2</v>
      </c>
      <c r="Q2955" t="s">
        <v>159</v>
      </c>
    </row>
    <row r="2956" spans="9:17" x14ac:dyDescent="0.45">
      <c r="I2956" t="s">
        <v>202</v>
      </c>
      <c r="J2956" t="s">
        <v>308</v>
      </c>
      <c r="K2956">
        <v>9.1040890935258773E-3</v>
      </c>
      <c r="L2956" t="s">
        <v>159</v>
      </c>
      <c r="N2956" t="s">
        <v>245</v>
      </c>
      <c r="O2956" t="s">
        <v>308</v>
      </c>
      <c r="P2956">
        <v>0.1367889313566383</v>
      </c>
      <c r="Q2956" t="s">
        <v>159</v>
      </c>
    </row>
    <row r="2957" spans="9:17" x14ac:dyDescent="0.45">
      <c r="I2957" t="s">
        <v>202</v>
      </c>
      <c r="J2957" t="s">
        <v>162</v>
      </c>
      <c r="K2957">
        <v>0</v>
      </c>
      <c r="L2957" t="s">
        <v>159</v>
      </c>
      <c r="N2957" t="s">
        <v>245</v>
      </c>
      <c r="O2957" t="s">
        <v>162</v>
      </c>
      <c r="P2957">
        <v>1.9090012540197439E-2</v>
      </c>
      <c r="Q2957" t="s">
        <v>159</v>
      </c>
    </row>
    <row r="2958" spans="9:17" x14ac:dyDescent="0.45">
      <c r="I2958" t="s">
        <v>202</v>
      </c>
      <c r="J2958" t="s">
        <v>163</v>
      </c>
      <c r="K2958">
        <v>0</v>
      </c>
      <c r="L2958" t="s">
        <v>159</v>
      </c>
      <c r="N2958" t="s">
        <v>245</v>
      </c>
      <c r="O2958" t="s">
        <v>163</v>
      </c>
      <c r="P2958">
        <v>2.6937657879265451E-3</v>
      </c>
      <c r="Q2958" t="s">
        <v>159</v>
      </c>
    </row>
    <row r="2959" spans="9:17" x14ac:dyDescent="0.45">
      <c r="I2959" t="s">
        <v>202</v>
      </c>
      <c r="J2959" t="s">
        <v>164</v>
      </c>
      <c r="K2959">
        <v>3.8374876121196902E-2</v>
      </c>
      <c r="L2959" t="s">
        <v>159</v>
      </c>
      <c r="N2959" t="s">
        <v>245</v>
      </c>
      <c r="O2959" t="s">
        <v>164</v>
      </c>
      <c r="P2959">
        <v>2.3405272381341956E-2</v>
      </c>
      <c r="Q2959" t="s">
        <v>159</v>
      </c>
    </row>
    <row r="2960" spans="9:17" x14ac:dyDescent="0.45">
      <c r="I2960" t="s">
        <v>202</v>
      </c>
      <c r="J2960" t="s">
        <v>289</v>
      </c>
      <c r="K2960">
        <v>3.3895522250232727E-3</v>
      </c>
      <c r="L2960" t="s">
        <v>159</v>
      </c>
      <c r="N2960" t="s">
        <v>245</v>
      </c>
      <c r="O2960" t="s">
        <v>289</v>
      </c>
      <c r="P2960">
        <v>2.6291382281913838E-3</v>
      </c>
      <c r="Q2960" t="s">
        <v>159</v>
      </c>
    </row>
    <row r="2961" spans="9:17" x14ac:dyDescent="0.45">
      <c r="I2961" t="s">
        <v>202</v>
      </c>
      <c r="J2961" t="s">
        <v>290</v>
      </c>
      <c r="K2961">
        <v>0</v>
      </c>
      <c r="L2961" t="s">
        <v>159</v>
      </c>
      <c r="N2961" t="s">
        <v>245</v>
      </c>
      <c r="O2961" t="s">
        <v>290</v>
      </c>
      <c r="P2961">
        <v>2.8259052754258207E-3</v>
      </c>
      <c r="Q2961" t="s">
        <v>159</v>
      </c>
    </row>
    <row r="2962" spans="9:17" x14ac:dyDescent="0.45">
      <c r="I2962" t="s">
        <v>202</v>
      </c>
      <c r="J2962" t="s">
        <v>309</v>
      </c>
      <c r="K2962">
        <v>0</v>
      </c>
      <c r="L2962" t="s">
        <v>159</v>
      </c>
      <c r="N2962" t="s">
        <v>245</v>
      </c>
      <c r="O2962" t="s">
        <v>309</v>
      </c>
      <c r="P2962">
        <v>1.5298303037480426E-2</v>
      </c>
      <c r="Q2962" t="s">
        <v>159</v>
      </c>
    </row>
    <row r="2963" spans="9:17" x14ac:dyDescent="0.45">
      <c r="I2963" t="s">
        <v>202</v>
      </c>
      <c r="J2963" t="s">
        <v>346</v>
      </c>
      <c r="K2963">
        <v>0</v>
      </c>
      <c r="L2963" t="s">
        <v>159</v>
      </c>
      <c r="N2963" t="s">
        <v>245</v>
      </c>
      <c r="O2963" t="s">
        <v>346</v>
      </c>
      <c r="P2963">
        <v>5.8395675336656483E-6</v>
      </c>
      <c r="Q2963" t="s">
        <v>159</v>
      </c>
    </row>
    <row r="2964" spans="9:17" x14ac:dyDescent="0.45">
      <c r="I2964" t="s">
        <v>202</v>
      </c>
      <c r="J2964" t="s">
        <v>347</v>
      </c>
      <c r="K2964">
        <v>0</v>
      </c>
      <c r="L2964" t="s">
        <v>159</v>
      </c>
      <c r="N2964" t="s">
        <v>245</v>
      </c>
      <c r="O2964" t="s">
        <v>347</v>
      </c>
      <c r="P2964">
        <v>3.1534068662184526E-6</v>
      </c>
      <c r="Q2964" t="s">
        <v>159</v>
      </c>
    </row>
    <row r="2965" spans="9:17" x14ac:dyDescent="0.45">
      <c r="I2965" t="s">
        <v>202</v>
      </c>
      <c r="J2965" t="s">
        <v>348</v>
      </c>
      <c r="K2965">
        <v>0</v>
      </c>
      <c r="L2965" t="s">
        <v>159</v>
      </c>
      <c r="N2965" t="s">
        <v>245</v>
      </c>
      <c r="O2965" t="s">
        <v>348</v>
      </c>
      <c r="P2965">
        <v>1.4828019249032939E-6</v>
      </c>
      <c r="Q2965" t="s">
        <v>159</v>
      </c>
    </row>
    <row r="2966" spans="9:17" x14ac:dyDescent="0.45">
      <c r="I2966" t="s">
        <v>202</v>
      </c>
      <c r="J2966" t="s">
        <v>349</v>
      </c>
      <c r="K2966">
        <v>0</v>
      </c>
      <c r="L2966" t="s">
        <v>159</v>
      </c>
      <c r="N2966" t="s">
        <v>245</v>
      </c>
      <c r="O2966" t="s">
        <v>349</v>
      </c>
      <c r="P2966">
        <v>7.8229140878614501E-7</v>
      </c>
      <c r="Q2966" t="s">
        <v>159</v>
      </c>
    </row>
    <row r="2967" spans="9:17" x14ac:dyDescent="0.45">
      <c r="I2967" t="s">
        <v>202</v>
      </c>
      <c r="J2967" t="s">
        <v>350</v>
      </c>
      <c r="K2967">
        <v>0</v>
      </c>
      <c r="L2967" t="s">
        <v>159</v>
      </c>
      <c r="N2967" t="s">
        <v>245</v>
      </c>
      <c r="O2967" t="s">
        <v>350</v>
      </c>
      <c r="P2967">
        <v>2.4210738465989126E-6</v>
      </c>
      <c r="Q2967" t="s">
        <v>159</v>
      </c>
    </row>
    <row r="2968" spans="9:17" x14ac:dyDescent="0.45">
      <c r="I2968" t="s">
        <v>202</v>
      </c>
      <c r="J2968" t="s">
        <v>351</v>
      </c>
      <c r="K2968">
        <v>0</v>
      </c>
      <c r="L2968" t="s">
        <v>159</v>
      </c>
      <c r="N2968" t="s">
        <v>245</v>
      </c>
      <c r="O2968" t="s">
        <v>351</v>
      </c>
      <c r="P2968">
        <v>6.7774404335482185E-6</v>
      </c>
      <c r="Q2968" t="s">
        <v>159</v>
      </c>
    </row>
    <row r="2969" spans="9:17" x14ac:dyDescent="0.45">
      <c r="I2969" t="s">
        <v>202</v>
      </c>
      <c r="J2969" t="s">
        <v>352</v>
      </c>
      <c r="K2969">
        <v>0</v>
      </c>
      <c r="L2969" t="s">
        <v>159</v>
      </c>
      <c r="N2969" t="s">
        <v>245</v>
      </c>
      <c r="O2969" t="s">
        <v>352</v>
      </c>
      <c r="P2969">
        <v>1.0645606089428615E-5</v>
      </c>
      <c r="Q2969" t="s">
        <v>159</v>
      </c>
    </row>
    <row r="2970" spans="9:17" x14ac:dyDescent="0.45">
      <c r="I2970" t="s">
        <v>202</v>
      </c>
      <c r="J2970" t="s">
        <v>353</v>
      </c>
      <c r="K2970">
        <v>0</v>
      </c>
      <c r="L2970" t="s">
        <v>159</v>
      </c>
      <c r="N2970" t="s">
        <v>245</v>
      </c>
      <c r="O2970" t="s">
        <v>353</v>
      </c>
      <c r="P2970">
        <v>1.097010041095023E-5</v>
      </c>
      <c r="Q2970" t="s">
        <v>159</v>
      </c>
    </row>
    <row r="2971" spans="9:17" x14ac:dyDescent="0.45">
      <c r="I2971" t="s">
        <v>202</v>
      </c>
      <c r="J2971" t="s">
        <v>354</v>
      </c>
      <c r="K2971">
        <v>8.3152107490323398E-5</v>
      </c>
      <c r="L2971" t="s">
        <v>159</v>
      </c>
      <c r="N2971" t="s">
        <v>245</v>
      </c>
      <c r="O2971" t="s">
        <v>354</v>
      </c>
      <c r="P2971">
        <v>8.0994798365285954E-6</v>
      </c>
      <c r="Q2971" t="s">
        <v>159</v>
      </c>
    </row>
    <row r="2972" spans="9:17" x14ac:dyDescent="0.45">
      <c r="I2972" t="s">
        <v>202</v>
      </c>
      <c r="J2972" t="s">
        <v>355</v>
      </c>
      <c r="K2972">
        <v>1.4680074658471524E-4</v>
      </c>
      <c r="L2972" t="s">
        <v>159</v>
      </c>
      <c r="N2972" t="s">
        <v>245</v>
      </c>
      <c r="O2972" t="s">
        <v>355</v>
      </c>
      <c r="P2972">
        <v>4.4591044718423023E-6</v>
      </c>
      <c r="Q2972" t="s">
        <v>159</v>
      </c>
    </row>
    <row r="2973" spans="9:17" x14ac:dyDescent="0.45">
      <c r="I2973" t="s">
        <v>202</v>
      </c>
      <c r="J2973" t="s">
        <v>356</v>
      </c>
      <c r="K2973">
        <v>1.7778613952372863E-4</v>
      </c>
      <c r="L2973" t="s">
        <v>159</v>
      </c>
      <c r="N2973" t="s">
        <v>245</v>
      </c>
      <c r="O2973" t="s">
        <v>356</v>
      </c>
      <c r="P2973">
        <v>1.3040824151599522E-6</v>
      </c>
      <c r="Q2973" t="s">
        <v>159</v>
      </c>
    </row>
    <row r="2974" spans="9:17" x14ac:dyDescent="0.45">
      <c r="I2974" t="s">
        <v>202</v>
      </c>
      <c r="J2974" t="s">
        <v>357</v>
      </c>
      <c r="K2974">
        <v>1.7342113883968448E-4</v>
      </c>
      <c r="L2974" t="s">
        <v>159</v>
      </c>
      <c r="N2974" t="s">
        <v>245</v>
      </c>
      <c r="O2974" t="s">
        <v>357</v>
      </c>
      <c r="P2974">
        <v>3.4119651772512172E-6</v>
      </c>
      <c r="Q2974" t="s">
        <v>159</v>
      </c>
    </row>
    <row r="2975" spans="9:17" x14ac:dyDescent="0.45">
      <c r="I2975" t="s">
        <v>202</v>
      </c>
      <c r="J2975" t="s">
        <v>358</v>
      </c>
      <c r="K2975">
        <v>2.0383410090370909E-4</v>
      </c>
      <c r="L2975" t="s">
        <v>159</v>
      </c>
      <c r="N2975" t="s">
        <v>245</v>
      </c>
      <c r="O2975" t="s">
        <v>358</v>
      </c>
      <c r="P2975">
        <v>1.7967924301334256E-6</v>
      </c>
      <c r="Q2975" t="s">
        <v>159</v>
      </c>
    </row>
    <row r="2976" spans="9:17" x14ac:dyDescent="0.45">
      <c r="I2976" t="s">
        <v>202</v>
      </c>
      <c r="J2976" t="s">
        <v>359</v>
      </c>
      <c r="K2976">
        <v>2.3995469509901815E-4</v>
      </c>
      <c r="L2976" t="s">
        <v>159</v>
      </c>
      <c r="N2976" t="s">
        <v>245</v>
      </c>
      <c r="O2976" t="s">
        <v>359</v>
      </c>
      <c r="P2976">
        <v>1.6475885625256355E-6</v>
      </c>
      <c r="Q2976" t="s">
        <v>159</v>
      </c>
    </row>
    <row r="2977" spans="9:17" x14ac:dyDescent="0.45">
      <c r="I2977" t="s">
        <v>202</v>
      </c>
      <c r="J2977" t="s">
        <v>360</v>
      </c>
      <c r="K2977">
        <v>1.8410277336482539E-4</v>
      </c>
      <c r="L2977" t="s">
        <v>159</v>
      </c>
      <c r="N2977" t="s">
        <v>245</v>
      </c>
      <c r="O2977" t="s">
        <v>360</v>
      </c>
      <c r="P2977">
        <v>1.147521248865148E-6</v>
      </c>
      <c r="Q2977" t="s">
        <v>159</v>
      </c>
    </row>
    <row r="2978" spans="9:17" x14ac:dyDescent="0.45">
      <c r="I2978" t="s">
        <v>202</v>
      </c>
      <c r="J2978" t="s">
        <v>361</v>
      </c>
      <c r="K2978">
        <v>1.7297220622958869E-4</v>
      </c>
      <c r="L2978" t="s">
        <v>159</v>
      </c>
      <c r="N2978" t="s">
        <v>245</v>
      </c>
      <c r="O2978" t="s">
        <v>361</v>
      </c>
      <c r="P2978">
        <v>8.3219064664164048E-7</v>
      </c>
      <c r="Q2978" t="s">
        <v>159</v>
      </c>
    </row>
    <row r="2979" spans="9:17" x14ac:dyDescent="0.45">
      <c r="I2979" t="s">
        <v>202</v>
      </c>
      <c r="J2979" t="s">
        <v>362</v>
      </c>
      <c r="K2979">
        <v>1.8920070194961155E-4</v>
      </c>
      <c r="L2979" t="s">
        <v>159</v>
      </c>
      <c r="N2979" t="s">
        <v>245</v>
      </c>
      <c r="O2979" t="s">
        <v>362</v>
      </c>
      <c r="P2979">
        <v>1.1370806678149109E-6</v>
      </c>
      <c r="Q2979" t="s">
        <v>159</v>
      </c>
    </row>
    <row r="2980" spans="9:17" x14ac:dyDescent="0.45">
      <c r="I2980" t="s">
        <v>202</v>
      </c>
      <c r="J2980" t="s">
        <v>363</v>
      </c>
      <c r="K2980">
        <v>1.695966303950737E-4</v>
      </c>
      <c r="L2980" t="s">
        <v>159</v>
      </c>
      <c r="N2980" t="s">
        <v>245</v>
      </c>
      <c r="O2980" t="s">
        <v>363</v>
      </c>
      <c r="P2980">
        <v>4.2296339417984678E-6</v>
      </c>
      <c r="Q2980" t="s">
        <v>159</v>
      </c>
    </row>
    <row r="2981" spans="9:17" x14ac:dyDescent="0.45">
      <c r="I2981" t="s">
        <v>202</v>
      </c>
      <c r="J2981" t="s">
        <v>364</v>
      </c>
      <c r="K2981">
        <v>0</v>
      </c>
      <c r="L2981" t="s">
        <v>159</v>
      </c>
      <c r="N2981" t="s">
        <v>245</v>
      </c>
      <c r="O2981" t="s">
        <v>364</v>
      </c>
      <c r="P2981">
        <v>8.1264479004704052E-6</v>
      </c>
      <c r="Q2981" t="s">
        <v>159</v>
      </c>
    </row>
    <row r="2982" spans="9:17" x14ac:dyDescent="0.45">
      <c r="I2982" t="s">
        <v>202</v>
      </c>
      <c r="J2982" t="s">
        <v>365</v>
      </c>
      <c r="K2982">
        <v>0</v>
      </c>
      <c r="L2982" t="s">
        <v>159</v>
      </c>
      <c r="N2982" t="s">
        <v>245</v>
      </c>
      <c r="O2982" t="s">
        <v>365</v>
      </c>
      <c r="P2982">
        <v>1.046551315352707E-5</v>
      </c>
      <c r="Q2982" t="s">
        <v>159</v>
      </c>
    </row>
    <row r="2983" spans="9:17" x14ac:dyDescent="0.45">
      <c r="I2983" t="s">
        <v>202</v>
      </c>
      <c r="J2983" t="s">
        <v>366</v>
      </c>
      <c r="K2983">
        <v>0</v>
      </c>
      <c r="L2983" t="s">
        <v>159</v>
      </c>
      <c r="N2983" t="s">
        <v>245</v>
      </c>
      <c r="O2983" t="s">
        <v>366</v>
      </c>
      <c r="P2983">
        <v>1.1334873813343735E-5</v>
      </c>
      <c r="Q2983" t="s">
        <v>159</v>
      </c>
    </row>
    <row r="2984" spans="9:17" x14ac:dyDescent="0.45">
      <c r="I2984" t="s">
        <v>202</v>
      </c>
      <c r="J2984" t="s">
        <v>367</v>
      </c>
      <c r="K2984">
        <v>0</v>
      </c>
      <c r="L2984" t="s">
        <v>159</v>
      </c>
      <c r="N2984" t="s">
        <v>245</v>
      </c>
      <c r="O2984" t="s">
        <v>367</v>
      </c>
      <c r="P2984">
        <v>1.1916385260212342E-5</v>
      </c>
      <c r="Q2984" t="s">
        <v>159</v>
      </c>
    </row>
    <row r="2985" spans="9:17" x14ac:dyDescent="0.45">
      <c r="I2985" t="s">
        <v>202</v>
      </c>
      <c r="J2985" t="s">
        <v>368</v>
      </c>
      <c r="K2985">
        <v>0</v>
      </c>
      <c r="L2985" t="s">
        <v>159</v>
      </c>
      <c r="N2985" t="s">
        <v>245</v>
      </c>
      <c r="O2985" t="s">
        <v>368</v>
      </c>
      <c r="P2985">
        <v>1.3188315362040038E-5</v>
      </c>
      <c r="Q2985" t="s">
        <v>159</v>
      </c>
    </row>
    <row r="2986" spans="9:17" x14ac:dyDescent="0.45">
      <c r="I2986" t="s">
        <v>202</v>
      </c>
      <c r="J2986" t="s">
        <v>369</v>
      </c>
      <c r="K2986">
        <v>0</v>
      </c>
      <c r="L2986" t="s">
        <v>159</v>
      </c>
      <c r="N2986" t="s">
        <v>245</v>
      </c>
      <c r="O2986" t="s">
        <v>369</v>
      </c>
      <c r="P2986">
        <v>1.2291449096929678E-5</v>
      </c>
      <c r="Q2986" t="s">
        <v>159</v>
      </c>
    </row>
    <row r="2987" spans="9:17" x14ac:dyDescent="0.45">
      <c r="I2987" t="s">
        <v>202</v>
      </c>
      <c r="J2987" t="s">
        <v>165</v>
      </c>
      <c r="K2987">
        <v>0</v>
      </c>
      <c r="L2987" t="s">
        <v>159</v>
      </c>
      <c r="N2987" t="s">
        <v>245</v>
      </c>
      <c r="O2987" t="s">
        <v>165</v>
      </c>
      <c r="P2987">
        <v>2.5202046767975529E-2</v>
      </c>
      <c r="Q2987" t="s">
        <v>159</v>
      </c>
    </row>
    <row r="2988" spans="9:17" x14ac:dyDescent="0.45">
      <c r="I2988" t="s">
        <v>202</v>
      </c>
      <c r="J2988" t="s">
        <v>166</v>
      </c>
      <c r="K2988">
        <v>0</v>
      </c>
      <c r="L2988" t="s">
        <v>159</v>
      </c>
      <c r="N2988" t="s">
        <v>245</v>
      </c>
      <c r="O2988" t="s">
        <v>166</v>
      </c>
      <c r="P2988">
        <v>3.8369410712096328E-3</v>
      </c>
      <c r="Q2988" t="s">
        <v>159</v>
      </c>
    </row>
    <row r="2989" spans="9:17" x14ac:dyDescent="0.45">
      <c r="I2989" t="s">
        <v>202</v>
      </c>
      <c r="J2989" t="s">
        <v>167</v>
      </c>
      <c r="K2989">
        <v>5.9119657153771932E-2</v>
      </c>
      <c r="L2989" t="s">
        <v>159</v>
      </c>
      <c r="N2989" t="s">
        <v>245</v>
      </c>
      <c r="O2989" t="s">
        <v>167</v>
      </c>
      <c r="P2989">
        <v>3.8754969265370184E-2</v>
      </c>
      <c r="Q2989" t="s">
        <v>159</v>
      </c>
    </row>
    <row r="2990" spans="9:17" x14ac:dyDescent="0.45">
      <c r="I2990" t="s">
        <v>202</v>
      </c>
      <c r="J2990" t="s">
        <v>291</v>
      </c>
      <c r="K2990">
        <v>5.520916099555199E-3</v>
      </c>
      <c r="L2990" t="s">
        <v>159</v>
      </c>
      <c r="N2990" t="s">
        <v>245</v>
      </c>
      <c r="O2990" t="s">
        <v>291</v>
      </c>
      <c r="P2990">
        <v>4.0500352430912125E-3</v>
      </c>
      <c r="Q2990" t="s">
        <v>159</v>
      </c>
    </row>
    <row r="2991" spans="9:17" x14ac:dyDescent="0.45">
      <c r="I2991" t="s">
        <v>202</v>
      </c>
      <c r="J2991" t="s">
        <v>292</v>
      </c>
      <c r="K2991">
        <v>1.7794772137642535E-3</v>
      </c>
      <c r="L2991" t="s">
        <v>159</v>
      </c>
      <c r="N2991" t="s">
        <v>245</v>
      </c>
      <c r="O2991" t="s">
        <v>292</v>
      </c>
      <c r="P2991">
        <v>4.0056097862163935E-3</v>
      </c>
      <c r="Q2991" t="s">
        <v>159</v>
      </c>
    </row>
    <row r="2992" spans="9:17" x14ac:dyDescent="0.45">
      <c r="I2992" t="s">
        <v>202</v>
      </c>
      <c r="J2992" t="s">
        <v>310</v>
      </c>
      <c r="K2992">
        <v>0</v>
      </c>
      <c r="L2992" t="s">
        <v>159</v>
      </c>
      <c r="N2992" t="s">
        <v>245</v>
      </c>
      <c r="O2992" t="s">
        <v>310</v>
      </c>
      <c r="P2992">
        <v>1.9216507954209178E-2</v>
      </c>
      <c r="Q2992" t="s">
        <v>159</v>
      </c>
    </row>
    <row r="2993" spans="9:17" x14ac:dyDescent="0.45">
      <c r="I2993" t="s">
        <v>202</v>
      </c>
      <c r="J2993" t="s">
        <v>293</v>
      </c>
      <c r="K2993">
        <v>0</v>
      </c>
      <c r="L2993" t="s">
        <v>159</v>
      </c>
      <c r="N2993" t="s">
        <v>245</v>
      </c>
      <c r="O2993" t="s">
        <v>293</v>
      </c>
      <c r="P2993">
        <v>4.2711972935661428E-3</v>
      </c>
      <c r="Q2993" t="s">
        <v>159</v>
      </c>
    </row>
    <row r="2994" spans="9:17" x14ac:dyDescent="0.45">
      <c r="I2994" t="s">
        <v>202</v>
      </c>
      <c r="J2994" t="s">
        <v>294</v>
      </c>
      <c r="K2994">
        <v>0</v>
      </c>
      <c r="L2994" t="s">
        <v>159</v>
      </c>
      <c r="N2994" t="s">
        <v>245</v>
      </c>
      <c r="O2994" t="s">
        <v>294</v>
      </c>
      <c r="P2994">
        <v>7.317324939277312E-4</v>
      </c>
      <c r="Q2994" t="s">
        <v>159</v>
      </c>
    </row>
    <row r="2995" spans="9:17" x14ac:dyDescent="0.45">
      <c r="I2995" t="s">
        <v>202</v>
      </c>
      <c r="J2995" t="s">
        <v>295</v>
      </c>
      <c r="K2995">
        <v>1.625681075146472E-2</v>
      </c>
      <c r="L2995" t="s">
        <v>159</v>
      </c>
      <c r="N2995" t="s">
        <v>245</v>
      </c>
      <c r="O2995" t="s">
        <v>295</v>
      </c>
      <c r="P2995">
        <v>5.0942928241156666E-3</v>
      </c>
      <c r="Q2995" t="s">
        <v>159</v>
      </c>
    </row>
    <row r="2996" spans="9:17" x14ac:dyDescent="0.45">
      <c r="I2996" t="s">
        <v>202</v>
      </c>
      <c r="J2996" t="s">
        <v>296</v>
      </c>
      <c r="K2996">
        <v>1.5551827605032893E-3</v>
      </c>
      <c r="L2996" t="s">
        <v>159</v>
      </c>
      <c r="N2996" t="s">
        <v>245</v>
      </c>
      <c r="O2996" t="s">
        <v>296</v>
      </c>
      <c r="P2996">
        <v>5.6788153835126993E-4</v>
      </c>
      <c r="Q2996" t="s">
        <v>159</v>
      </c>
    </row>
    <row r="2997" spans="9:17" x14ac:dyDescent="0.45">
      <c r="I2997" t="s">
        <v>202</v>
      </c>
      <c r="J2997" t="s">
        <v>297</v>
      </c>
      <c r="K2997">
        <v>1.120575707462546E-3</v>
      </c>
      <c r="L2997" t="s">
        <v>159</v>
      </c>
      <c r="N2997" t="s">
        <v>245</v>
      </c>
      <c r="O2997" t="s">
        <v>297</v>
      </c>
      <c r="P2997">
        <v>6.7106590756257022E-4</v>
      </c>
      <c r="Q2997" t="s">
        <v>159</v>
      </c>
    </row>
    <row r="2998" spans="9:17" x14ac:dyDescent="0.45">
      <c r="I2998" t="s">
        <v>202</v>
      </c>
      <c r="J2998" t="s">
        <v>311</v>
      </c>
      <c r="K2998">
        <v>0</v>
      </c>
      <c r="L2998" t="s">
        <v>159</v>
      </c>
      <c r="N2998" t="s">
        <v>245</v>
      </c>
      <c r="O2998" t="s">
        <v>311</v>
      </c>
      <c r="P2998">
        <v>3.5355534692396535E-3</v>
      </c>
      <c r="Q2998" t="s">
        <v>159</v>
      </c>
    </row>
    <row r="2999" spans="9:17" x14ac:dyDescent="0.45">
      <c r="I2999" t="s">
        <v>202</v>
      </c>
      <c r="J2999" t="s">
        <v>298</v>
      </c>
      <c r="K2999">
        <v>4.5282319868970317E-3</v>
      </c>
      <c r="L2999" t="s">
        <v>159</v>
      </c>
      <c r="N2999" t="s">
        <v>245</v>
      </c>
      <c r="O2999" t="s">
        <v>298</v>
      </c>
      <c r="P2999">
        <v>6.6319185185657034E-2</v>
      </c>
      <c r="Q2999" t="s">
        <v>159</v>
      </c>
    </row>
    <row r="3000" spans="9:17" x14ac:dyDescent="0.45">
      <c r="I3000" t="s">
        <v>202</v>
      </c>
      <c r="J3000" t="s">
        <v>299</v>
      </c>
      <c r="K3000">
        <v>1.5423588778734646E-2</v>
      </c>
      <c r="L3000" t="s">
        <v>159</v>
      </c>
      <c r="N3000" t="s">
        <v>245</v>
      </c>
      <c r="O3000" t="s">
        <v>299</v>
      </c>
      <c r="P3000">
        <v>7.5751492473355442E-3</v>
      </c>
      <c r="Q3000" t="s">
        <v>159</v>
      </c>
    </row>
    <row r="3001" spans="9:17" x14ac:dyDescent="0.45">
      <c r="I3001" t="s">
        <v>202</v>
      </c>
      <c r="J3001" t="s">
        <v>300</v>
      </c>
      <c r="K3001">
        <v>0.25425508130933994</v>
      </c>
      <c r="L3001" t="s">
        <v>159</v>
      </c>
      <c r="N3001" t="s">
        <v>245</v>
      </c>
      <c r="O3001" t="s">
        <v>300</v>
      </c>
      <c r="P3001">
        <v>7.7889556379152763E-2</v>
      </c>
      <c r="Q3001" t="s">
        <v>159</v>
      </c>
    </row>
    <row r="3002" spans="9:17" x14ac:dyDescent="0.45">
      <c r="I3002" t="s">
        <v>202</v>
      </c>
      <c r="J3002" t="s">
        <v>301</v>
      </c>
      <c r="K3002">
        <v>2.2811902242654638E-2</v>
      </c>
      <c r="L3002" t="s">
        <v>159</v>
      </c>
      <c r="N3002" t="s">
        <v>245</v>
      </c>
      <c r="O3002" t="s">
        <v>301</v>
      </c>
      <c r="P3002">
        <v>1.4229565906418027E-2</v>
      </c>
      <c r="Q3002" t="s">
        <v>159</v>
      </c>
    </row>
    <row r="3003" spans="9:17" x14ac:dyDescent="0.45">
      <c r="I3003" t="s">
        <v>202</v>
      </c>
      <c r="J3003" t="s">
        <v>302</v>
      </c>
      <c r="K3003">
        <v>1.6505630781769039E-2</v>
      </c>
      <c r="L3003" t="s">
        <v>159</v>
      </c>
      <c r="N3003" t="s">
        <v>245</v>
      </c>
      <c r="O3003" t="s">
        <v>302</v>
      </c>
      <c r="P3003">
        <v>1.6492552765992451E-2</v>
      </c>
      <c r="Q3003" t="s">
        <v>159</v>
      </c>
    </row>
    <row r="3004" spans="9:17" x14ac:dyDescent="0.45">
      <c r="I3004" t="s">
        <v>202</v>
      </c>
      <c r="J3004" t="s">
        <v>312</v>
      </c>
      <c r="K3004">
        <v>3.7257944362485418E-3</v>
      </c>
      <c r="L3004" t="s">
        <v>159</v>
      </c>
      <c r="N3004" t="s">
        <v>245</v>
      </c>
      <c r="O3004" t="s">
        <v>312</v>
      </c>
      <c r="P3004">
        <v>7.6338512914618975E-2</v>
      </c>
      <c r="Q3004" t="s">
        <v>159</v>
      </c>
    </row>
    <row r="3005" spans="9:17" x14ac:dyDescent="0.45">
      <c r="I3005" t="s">
        <v>202</v>
      </c>
      <c r="J3005" t="s">
        <v>397</v>
      </c>
      <c r="K3005">
        <v>0</v>
      </c>
      <c r="L3005" t="s">
        <v>159</v>
      </c>
      <c r="N3005" t="s">
        <v>245</v>
      </c>
      <c r="O3005" t="s">
        <v>397</v>
      </c>
      <c r="P3005">
        <v>3.4453732251566162E-5</v>
      </c>
      <c r="Q3005" t="s">
        <v>159</v>
      </c>
    </row>
    <row r="3006" spans="9:17" x14ac:dyDescent="0.45">
      <c r="I3006" t="s">
        <v>202</v>
      </c>
      <c r="J3006" t="s">
        <v>398</v>
      </c>
      <c r="K3006">
        <v>0</v>
      </c>
      <c r="L3006" t="s">
        <v>159</v>
      </c>
      <c r="N3006" t="s">
        <v>245</v>
      </c>
      <c r="O3006" t="s">
        <v>398</v>
      </c>
      <c r="P3006">
        <v>2.2539405989801533E-5</v>
      </c>
      <c r="Q3006" t="s">
        <v>159</v>
      </c>
    </row>
    <row r="3007" spans="9:17" x14ac:dyDescent="0.45">
      <c r="I3007" t="s">
        <v>202</v>
      </c>
      <c r="J3007" t="s">
        <v>399</v>
      </c>
      <c r="K3007">
        <v>0</v>
      </c>
      <c r="L3007" t="s">
        <v>159</v>
      </c>
      <c r="N3007" t="s">
        <v>245</v>
      </c>
      <c r="O3007" t="s">
        <v>399</v>
      </c>
      <c r="P3007">
        <v>1.7097274947983363E-5</v>
      </c>
      <c r="Q3007" t="s">
        <v>159</v>
      </c>
    </row>
    <row r="3008" spans="9:17" x14ac:dyDescent="0.45">
      <c r="I3008" t="s">
        <v>202</v>
      </c>
      <c r="J3008" t="s">
        <v>400</v>
      </c>
      <c r="K3008">
        <v>0</v>
      </c>
      <c r="L3008" t="s">
        <v>159</v>
      </c>
      <c r="N3008" t="s">
        <v>245</v>
      </c>
      <c r="O3008" t="s">
        <v>400</v>
      </c>
      <c r="P3008">
        <v>1.4019555271056817E-5</v>
      </c>
      <c r="Q3008" t="s">
        <v>159</v>
      </c>
    </row>
    <row r="3009" spans="9:17" x14ac:dyDescent="0.45">
      <c r="I3009" t="s">
        <v>202</v>
      </c>
      <c r="J3009" t="s">
        <v>401</v>
      </c>
      <c r="K3009">
        <v>0</v>
      </c>
      <c r="L3009" t="s">
        <v>159</v>
      </c>
      <c r="N3009" t="s">
        <v>245</v>
      </c>
      <c r="O3009" t="s">
        <v>401</v>
      </c>
      <c r="P3009">
        <v>1.0077214323076588E-5</v>
      </c>
      <c r="Q3009" t="s">
        <v>159</v>
      </c>
    </row>
    <row r="3010" spans="9:17" x14ac:dyDescent="0.45">
      <c r="I3010" t="s">
        <v>202</v>
      </c>
      <c r="J3010" t="s">
        <v>402</v>
      </c>
      <c r="K3010">
        <v>0</v>
      </c>
      <c r="L3010" t="s">
        <v>159</v>
      </c>
      <c r="N3010" t="s">
        <v>245</v>
      </c>
      <c r="O3010" t="s">
        <v>402</v>
      </c>
      <c r="P3010">
        <v>5.3118576776326849E-6</v>
      </c>
      <c r="Q3010" t="s">
        <v>159</v>
      </c>
    </row>
    <row r="3011" spans="9:17" x14ac:dyDescent="0.45">
      <c r="I3011" t="s">
        <v>202</v>
      </c>
      <c r="J3011" t="s">
        <v>403</v>
      </c>
      <c r="K3011">
        <v>0</v>
      </c>
      <c r="L3011" t="s">
        <v>159</v>
      </c>
      <c r="N3011" t="s">
        <v>245</v>
      </c>
      <c r="O3011" t="s">
        <v>403</v>
      </c>
      <c r="P3011">
        <v>1.2853772445299411E-6</v>
      </c>
      <c r="Q3011" t="s">
        <v>159</v>
      </c>
    </row>
    <row r="3012" spans="9:17" x14ac:dyDescent="0.45">
      <c r="I3012" t="s">
        <v>202</v>
      </c>
      <c r="J3012" t="s">
        <v>404</v>
      </c>
      <c r="K3012">
        <v>1.7132372821873911E-4</v>
      </c>
      <c r="L3012" t="s">
        <v>159</v>
      </c>
      <c r="N3012" t="s">
        <v>245</v>
      </c>
      <c r="O3012" t="s">
        <v>404</v>
      </c>
      <c r="P3012">
        <v>2.1011103466368778E-7</v>
      </c>
      <c r="Q3012" t="s">
        <v>159</v>
      </c>
    </row>
    <row r="3013" spans="9:17" x14ac:dyDescent="0.45">
      <c r="I3013" t="s">
        <v>202</v>
      </c>
      <c r="J3013" t="s">
        <v>405</v>
      </c>
      <c r="K3013">
        <v>2.6214725251528994E-4</v>
      </c>
      <c r="L3013" t="s">
        <v>159</v>
      </c>
      <c r="N3013" t="s">
        <v>245</v>
      </c>
      <c r="O3013" t="s">
        <v>405</v>
      </c>
      <c r="P3013">
        <v>1.3482420215225051E-8</v>
      </c>
      <c r="Q3013" t="s">
        <v>159</v>
      </c>
    </row>
    <row r="3014" spans="9:17" x14ac:dyDescent="0.45">
      <c r="I3014" t="s">
        <v>202</v>
      </c>
      <c r="J3014" t="s">
        <v>406</v>
      </c>
      <c r="K3014">
        <v>3.1680197635874772E-4</v>
      </c>
      <c r="L3014" t="s">
        <v>159</v>
      </c>
      <c r="N3014" t="s">
        <v>245</v>
      </c>
      <c r="O3014" t="s">
        <v>406</v>
      </c>
      <c r="P3014">
        <v>1.2445624660458086E-9</v>
      </c>
      <c r="Q3014" t="s">
        <v>159</v>
      </c>
    </row>
    <row r="3015" spans="9:17" x14ac:dyDescent="0.45">
      <c r="I3015" t="s">
        <v>202</v>
      </c>
      <c r="J3015" t="s">
        <v>407</v>
      </c>
      <c r="K3015">
        <v>3.1316432889654867E-4</v>
      </c>
      <c r="L3015" t="s">
        <v>159</v>
      </c>
      <c r="N3015" t="s">
        <v>245</v>
      </c>
      <c r="O3015" t="s">
        <v>407</v>
      </c>
      <c r="P3015">
        <v>1.9207713268968516E-8</v>
      </c>
      <c r="Q3015" t="s">
        <v>159</v>
      </c>
    </row>
    <row r="3016" spans="9:17" x14ac:dyDescent="0.45">
      <c r="I3016" t="s">
        <v>202</v>
      </c>
      <c r="J3016" t="s">
        <v>408</v>
      </c>
      <c r="K3016">
        <v>3.2009507522166674E-4</v>
      </c>
      <c r="L3016" t="s">
        <v>159</v>
      </c>
      <c r="N3016" t="s">
        <v>245</v>
      </c>
      <c r="O3016" t="s">
        <v>408</v>
      </c>
      <c r="P3016">
        <v>8.3473470217563993E-7</v>
      </c>
      <c r="Q3016" t="s">
        <v>159</v>
      </c>
    </row>
    <row r="3017" spans="9:17" x14ac:dyDescent="0.45">
      <c r="I3017" t="s">
        <v>202</v>
      </c>
      <c r="J3017" t="s">
        <v>409</v>
      </c>
      <c r="K3017">
        <v>3.3134905821364684E-4</v>
      </c>
      <c r="L3017" t="s">
        <v>159</v>
      </c>
      <c r="N3017" t="s">
        <v>245</v>
      </c>
      <c r="O3017" t="s">
        <v>409</v>
      </c>
      <c r="P3017">
        <v>8.3970747249760757E-6</v>
      </c>
      <c r="Q3017" t="s">
        <v>159</v>
      </c>
    </row>
    <row r="3018" spans="9:17" x14ac:dyDescent="0.45">
      <c r="I3018" t="s">
        <v>202</v>
      </c>
      <c r="J3018" t="s">
        <v>410</v>
      </c>
      <c r="K3018">
        <v>3.3952105631709695E-4</v>
      </c>
      <c r="L3018" t="s">
        <v>159</v>
      </c>
      <c r="N3018" t="s">
        <v>245</v>
      </c>
      <c r="O3018" t="s">
        <v>410</v>
      </c>
      <c r="P3018">
        <v>1.821339125725244E-5</v>
      </c>
      <c r="Q3018" t="s">
        <v>159</v>
      </c>
    </row>
    <row r="3019" spans="9:17" x14ac:dyDescent="0.45">
      <c r="I3019" t="s">
        <v>202</v>
      </c>
      <c r="J3019" t="s">
        <v>411</v>
      </c>
      <c r="K3019">
        <v>2.9810468086457418E-4</v>
      </c>
      <c r="L3019" t="s">
        <v>159</v>
      </c>
      <c r="N3019" t="s">
        <v>245</v>
      </c>
      <c r="O3019" t="s">
        <v>411</v>
      </c>
      <c r="P3019">
        <v>2.6631834006319551E-5</v>
      </c>
      <c r="Q3019" t="s">
        <v>159</v>
      </c>
    </row>
    <row r="3020" spans="9:17" x14ac:dyDescent="0.45">
      <c r="I3020" t="s">
        <v>202</v>
      </c>
      <c r="J3020" t="s">
        <v>412</v>
      </c>
      <c r="K3020">
        <v>2.71716177200702E-4</v>
      </c>
      <c r="L3020" t="s">
        <v>159</v>
      </c>
      <c r="N3020" t="s">
        <v>245</v>
      </c>
      <c r="O3020" t="s">
        <v>412</v>
      </c>
      <c r="P3020">
        <v>3.1400345426407764E-5</v>
      </c>
      <c r="Q3020" t="s">
        <v>159</v>
      </c>
    </row>
    <row r="3021" spans="9:17" x14ac:dyDescent="0.45">
      <c r="I3021" t="s">
        <v>202</v>
      </c>
      <c r="J3021" t="s">
        <v>413</v>
      </c>
      <c r="K3021">
        <v>2.2530737549699979E-4</v>
      </c>
      <c r="L3021" t="s">
        <v>159</v>
      </c>
      <c r="N3021" t="s">
        <v>245</v>
      </c>
      <c r="O3021" t="s">
        <v>413</v>
      </c>
      <c r="P3021">
        <v>3.3039588831784628E-5</v>
      </c>
      <c r="Q3021" t="s">
        <v>159</v>
      </c>
    </row>
    <row r="3022" spans="9:17" x14ac:dyDescent="0.45">
      <c r="I3022" t="s">
        <v>202</v>
      </c>
      <c r="J3022" t="s">
        <v>414</v>
      </c>
      <c r="K3022">
        <v>2.431619421828473E-4</v>
      </c>
      <c r="L3022" t="s">
        <v>159</v>
      </c>
      <c r="N3022" t="s">
        <v>245</v>
      </c>
      <c r="O3022" t="s">
        <v>414</v>
      </c>
      <c r="P3022">
        <v>3.6777291804878916E-5</v>
      </c>
      <c r="Q3022" t="s">
        <v>159</v>
      </c>
    </row>
    <row r="3023" spans="9:17" x14ac:dyDescent="0.45">
      <c r="I3023" t="s">
        <v>202</v>
      </c>
      <c r="J3023" t="s">
        <v>415</v>
      </c>
      <c r="K3023">
        <v>1.2543408537666373E-4</v>
      </c>
      <c r="L3023" t="s">
        <v>159</v>
      </c>
      <c r="N3023" t="s">
        <v>245</v>
      </c>
      <c r="O3023" t="s">
        <v>415</v>
      </c>
      <c r="P3023">
        <v>5.8330677053208629E-5</v>
      </c>
      <c r="Q3023" t="s">
        <v>159</v>
      </c>
    </row>
    <row r="3024" spans="9:17" x14ac:dyDescent="0.45">
      <c r="I3024" t="s">
        <v>202</v>
      </c>
      <c r="J3024" t="s">
        <v>416</v>
      </c>
      <c r="K3024">
        <v>0</v>
      </c>
      <c r="L3024" t="s">
        <v>159</v>
      </c>
      <c r="N3024" t="s">
        <v>245</v>
      </c>
      <c r="O3024" t="s">
        <v>416</v>
      </c>
      <c r="P3024">
        <v>5.8714894233531665E-5</v>
      </c>
      <c r="Q3024" t="s">
        <v>159</v>
      </c>
    </row>
    <row r="3025" spans="9:17" x14ac:dyDescent="0.45">
      <c r="I3025" t="s">
        <v>202</v>
      </c>
      <c r="J3025" t="s">
        <v>417</v>
      </c>
      <c r="K3025">
        <v>0</v>
      </c>
      <c r="L3025" t="s">
        <v>159</v>
      </c>
      <c r="N3025" t="s">
        <v>245</v>
      </c>
      <c r="O3025" t="s">
        <v>417</v>
      </c>
      <c r="P3025">
        <v>4.3785523836137101E-5</v>
      </c>
      <c r="Q3025" t="s">
        <v>159</v>
      </c>
    </row>
    <row r="3026" spans="9:17" x14ac:dyDescent="0.45">
      <c r="I3026" t="s">
        <v>202</v>
      </c>
      <c r="J3026" t="s">
        <v>418</v>
      </c>
      <c r="K3026">
        <v>0</v>
      </c>
      <c r="L3026" t="s">
        <v>159</v>
      </c>
      <c r="N3026" t="s">
        <v>245</v>
      </c>
      <c r="O3026" t="s">
        <v>418</v>
      </c>
      <c r="P3026">
        <v>2.7186879467496638E-5</v>
      </c>
      <c r="Q3026" t="s">
        <v>159</v>
      </c>
    </row>
    <row r="3027" spans="9:17" x14ac:dyDescent="0.45">
      <c r="I3027" t="s">
        <v>202</v>
      </c>
      <c r="J3027" t="s">
        <v>419</v>
      </c>
      <c r="K3027">
        <v>0</v>
      </c>
      <c r="L3027" t="s">
        <v>159</v>
      </c>
      <c r="N3027" t="s">
        <v>245</v>
      </c>
      <c r="O3027" t="s">
        <v>419</v>
      </c>
      <c r="P3027">
        <v>1.4650744633949938E-5</v>
      </c>
      <c r="Q3027" t="s">
        <v>159</v>
      </c>
    </row>
    <row r="3028" spans="9:17" x14ac:dyDescent="0.45">
      <c r="I3028" t="s">
        <v>202</v>
      </c>
      <c r="J3028" t="s">
        <v>420</v>
      </c>
      <c r="K3028">
        <v>0</v>
      </c>
      <c r="L3028" t="s">
        <v>159</v>
      </c>
      <c r="N3028" t="s">
        <v>245</v>
      </c>
      <c r="O3028" t="s">
        <v>420</v>
      </c>
      <c r="P3028">
        <v>5.4642212167258564E-6</v>
      </c>
      <c r="Q3028" t="s">
        <v>159</v>
      </c>
    </row>
    <row r="3029" spans="9:17" x14ac:dyDescent="0.45">
      <c r="I3029" t="s">
        <v>202</v>
      </c>
      <c r="J3029" t="s">
        <v>313</v>
      </c>
      <c r="K3029">
        <v>2.5294190343726074E-3</v>
      </c>
      <c r="L3029" t="s">
        <v>159</v>
      </c>
      <c r="N3029" t="s">
        <v>245</v>
      </c>
      <c r="O3029" t="s">
        <v>313</v>
      </c>
      <c r="P3029">
        <v>2.2113830489601739E-2</v>
      </c>
      <c r="Q3029" t="s">
        <v>159</v>
      </c>
    </row>
    <row r="3030" spans="9:17" x14ac:dyDescent="0.45">
      <c r="I3030" t="s">
        <v>202</v>
      </c>
      <c r="J3030" t="s">
        <v>314</v>
      </c>
      <c r="K3030">
        <v>4.4750108796242126E-3</v>
      </c>
      <c r="L3030" t="s">
        <v>159</v>
      </c>
      <c r="N3030" t="s">
        <v>245</v>
      </c>
      <c r="O3030" t="s">
        <v>314</v>
      </c>
      <c r="P3030">
        <v>2.3229647466937158E-3</v>
      </c>
      <c r="Q3030" t="s">
        <v>159</v>
      </c>
    </row>
    <row r="3031" spans="9:17" x14ac:dyDescent="0.45">
      <c r="I3031" t="s">
        <v>202</v>
      </c>
      <c r="J3031" t="s">
        <v>315</v>
      </c>
      <c r="K3031">
        <v>7.9216873834546314E-2</v>
      </c>
      <c r="L3031" t="s">
        <v>159</v>
      </c>
      <c r="N3031" t="s">
        <v>245</v>
      </c>
      <c r="O3031" t="s">
        <v>315</v>
      </c>
      <c r="P3031">
        <v>1.743933863060227E-2</v>
      </c>
      <c r="Q3031" t="s">
        <v>159</v>
      </c>
    </row>
    <row r="3032" spans="9:17" x14ac:dyDescent="0.45">
      <c r="I3032" t="s">
        <v>202</v>
      </c>
      <c r="J3032" t="s">
        <v>316</v>
      </c>
      <c r="K3032">
        <v>7.2429355060314353E-3</v>
      </c>
      <c r="L3032" t="s">
        <v>159</v>
      </c>
      <c r="N3032" t="s">
        <v>245</v>
      </c>
      <c r="O3032" t="s">
        <v>316</v>
      </c>
      <c r="P3032">
        <v>4.5751109107194949E-3</v>
      </c>
      <c r="Q3032" t="s">
        <v>159</v>
      </c>
    </row>
    <row r="3033" spans="9:17" x14ac:dyDescent="0.45">
      <c r="I3033" t="s">
        <v>202</v>
      </c>
      <c r="J3033" t="s">
        <v>317</v>
      </c>
      <c r="K3033">
        <v>5.6175073634851958E-3</v>
      </c>
      <c r="L3033" t="s">
        <v>159</v>
      </c>
      <c r="N3033" t="s">
        <v>245</v>
      </c>
      <c r="O3033" t="s">
        <v>317</v>
      </c>
      <c r="P3033">
        <v>5.7196469711032231E-3</v>
      </c>
      <c r="Q3033" t="s">
        <v>159</v>
      </c>
    </row>
    <row r="3034" spans="9:17" x14ac:dyDescent="0.45">
      <c r="I3034" t="s">
        <v>202</v>
      </c>
      <c r="J3034" t="s">
        <v>318</v>
      </c>
      <c r="K3034">
        <v>3.4047967389312056E-3</v>
      </c>
      <c r="L3034" t="s">
        <v>159</v>
      </c>
      <c r="N3034" t="s">
        <v>245</v>
      </c>
      <c r="O3034" t="s">
        <v>318</v>
      </c>
      <c r="P3034">
        <v>2.6732018404158991E-2</v>
      </c>
      <c r="Q3034" t="s">
        <v>159</v>
      </c>
    </row>
    <row r="3035" spans="9:17" x14ac:dyDescent="0.45">
      <c r="I3035" t="s">
        <v>203</v>
      </c>
      <c r="J3035" t="s">
        <v>158</v>
      </c>
      <c r="K3035">
        <v>0</v>
      </c>
      <c r="L3035" t="s">
        <v>159</v>
      </c>
      <c r="N3035" t="s">
        <v>246</v>
      </c>
      <c r="O3035" t="s">
        <v>158</v>
      </c>
      <c r="P3035">
        <v>0.10824387026480406</v>
      </c>
      <c r="Q3035" t="s">
        <v>159</v>
      </c>
    </row>
    <row r="3036" spans="9:17" x14ac:dyDescent="0.45">
      <c r="I3036" t="s">
        <v>203</v>
      </c>
      <c r="J3036" t="s">
        <v>160</v>
      </c>
      <c r="K3036">
        <v>1.5290886039481616E-2</v>
      </c>
      <c r="L3036" t="s">
        <v>159</v>
      </c>
      <c r="N3036" t="s">
        <v>246</v>
      </c>
      <c r="O3036" t="s">
        <v>160</v>
      </c>
      <c r="P3036">
        <v>1.6661942102198173E-2</v>
      </c>
      <c r="Q3036" t="s">
        <v>159</v>
      </c>
    </row>
    <row r="3037" spans="9:17" x14ac:dyDescent="0.45">
      <c r="I3037" t="s">
        <v>203</v>
      </c>
      <c r="J3037" t="s">
        <v>161</v>
      </c>
      <c r="K3037">
        <v>0.38591072408335558</v>
      </c>
      <c r="L3037" t="s">
        <v>159</v>
      </c>
      <c r="N3037" t="s">
        <v>246</v>
      </c>
      <c r="O3037" t="s">
        <v>161</v>
      </c>
      <c r="P3037">
        <v>0.18749264608811292</v>
      </c>
      <c r="Q3037" t="s">
        <v>159</v>
      </c>
    </row>
    <row r="3038" spans="9:17" x14ac:dyDescent="0.45">
      <c r="I3038" t="s">
        <v>203</v>
      </c>
      <c r="J3038" t="s">
        <v>287</v>
      </c>
      <c r="K3038">
        <v>3.4524977071121739E-2</v>
      </c>
      <c r="L3038" t="s">
        <v>159</v>
      </c>
      <c r="N3038" t="s">
        <v>246</v>
      </c>
      <c r="O3038" t="s">
        <v>287</v>
      </c>
      <c r="P3038">
        <v>3.3739717221020399E-2</v>
      </c>
      <c r="Q3038" t="s">
        <v>159</v>
      </c>
    </row>
    <row r="3039" spans="9:17" x14ac:dyDescent="0.45">
      <c r="I3039" t="s">
        <v>203</v>
      </c>
      <c r="J3039" t="s">
        <v>288</v>
      </c>
      <c r="K3039">
        <v>2.1896988950728391E-2</v>
      </c>
      <c r="L3039" t="s">
        <v>159</v>
      </c>
      <c r="N3039" t="s">
        <v>246</v>
      </c>
      <c r="O3039" t="s">
        <v>288</v>
      </c>
      <c r="P3039">
        <v>3.2615567819523399E-2</v>
      </c>
      <c r="Q3039" t="s">
        <v>159</v>
      </c>
    </row>
    <row r="3040" spans="9:17" x14ac:dyDescent="0.45">
      <c r="I3040" t="s">
        <v>203</v>
      </c>
      <c r="J3040" t="s">
        <v>308</v>
      </c>
      <c r="K3040">
        <v>7.5370209939194313E-3</v>
      </c>
      <c r="L3040" t="s">
        <v>159</v>
      </c>
      <c r="N3040" t="s">
        <v>246</v>
      </c>
      <c r="O3040" t="s">
        <v>308</v>
      </c>
      <c r="P3040">
        <v>9.7907884959439709E-2</v>
      </c>
      <c r="Q3040" t="s">
        <v>159</v>
      </c>
    </row>
    <row r="3041" spans="9:17" x14ac:dyDescent="0.45">
      <c r="I3041" t="s">
        <v>203</v>
      </c>
      <c r="J3041" t="s">
        <v>162</v>
      </c>
      <c r="K3041">
        <v>0</v>
      </c>
      <c r="L3041" t="s">
        <v>159</v>
      </c>
      <c r="N3041" t="s">
        <v>246</v>
      </c>
      <c r="O3041" t="s">
        <v>162</v>
      </c>
      <c r="P3041">
        <v>2.0850045837445767E-2</v>
      </c>
      <c r="Q3041" t="s">
        <v>159</v>
      </c>
    </row>
    <row r="3042" spans="9:17" x14ac:dyDescent="0.45">
      <c r="I3042" t="s">
        <v>203</v>
      </c>
      <c r="J3042" t="s">
        <v>163</v>
      </c>
      <c r="K3042">
        <v>0</v>
      </c>
      <c r="L3042" t="s">
        <v>159</v>
      </c>
      <c r="N3042" t="s">
        <v>246</v>
      </c>
      <c r="O3042" t="s">
        <v>163</v>
      </c>
      <c r="P3042">
        <v>3.0802700000464888E-3</v>
      </c>
      <c r="Q3042" t="s">
        <v>159</v>
      </c>
    </row>
    <row r="3043" spans="9:17" x14ac:dyDescent="0.45">
      <c r="I3043" t="s">
        <v>203</v>
      </c>
      <c r="J3043" t="s">
        <v>164</v>
      </c>
      <c r="K3043">
        <v>5.0572218433570765E-2</v>
      </c>
      <c r="L3043" t="s">
        <v>159</v>
      </c>
      <c r="N3043" t="s">
        <v>246</v>
      </c>
      <c r="O3043" t="s">
        <v>164</v>
      </c>
      <c r="P3043">
        <v>2.8650175720336239E-2</v>
      </c>
      <c r="Q3043" t="s">
        <v>159</v>
      </c>
    </row>
    <row r="3044" spans="9:17" x14ac:dyDescent="0.45">
      <c r="I3044" t="s">
        <v>203</v>
      </c>
      <c r="J3044" t="s">
        <v>289</v>
      </c>
      <c r="K3044">
        <v>4.5317043701456243E-3</v>
      </c>
      <c r="L3044" t="s">
        <v>159</v>
      </c>
      <c r="N3044" t="s">
        <v>246</v>
      </c>
      <c r="O3044" t="s">
        <v>289</v>
      </c>
      <c r="P3044">
        <v>3.0324204458054772E-3</v>
      </c>
      <c r="Q3044" t="s">
        <v>159</v>
      </c>
    </row>
    <row r="3045" spans="9:17" x14ac:dyDescent="0.45">
      <c r="I3045" t="s">
        <v>203</v>
      </c>
      <c r="J3045" t="s">
        <v>290</v>
      </c>
      <c r="K3045">
        <v>1.5006263592343264E-3</v>
      </c>
      <c r="L3045" t="s">
        <v>159</v>
      </c>
      <c r="N3045" t="s">
        <v>246</v>
      </c>
      <c r="O3045" t="s">
        <v>290</v>
      </c>
      <c r="P3045">
        <v>2.9571466641119112E-3</v>
      </c>
      <c r="Q3045" t="s">
        <v>159</v>
      </c>
    </row>
    <row r="3046" spans="9:17" x14ac:dyDescent="0.45">
      <c r="I3046" t="s">
        <v>203</v>
      </c>
      <c r="J3046" t="s">
        <v>309</v>
      </c>
      <c r="K3046">
        <v>0</v>
      </c>
      <c r="L3046" t="s">
        <v>159</v>
      </c>
      <c r="N3046" t="s">
        <v>246</v>
      </c>
      <c r="O3046" t="s">
        <v>309</v>
      </c>
      <c r="P3046">
        <v>1.5074872702261514E-2</v>
      </c>
      <c r="Q3046" t="s">
        <v>159</v>
      </c>
    </row>
    <row r="3047" spans="9:17" x14ac:dyDescent="0.45">
      <c r="I3047" t="s">
        <v>203</v>
      </c>
      <c r="J3047" t="s">
        <v>346</v>
      </c>
      <c r="K3047">
        <v>0</v>
      </c>
      <c r="L3047" t="s">
        <v>159</v>
      </c>
      <c r="N3047" t="s">
        <v>246</v>
      </c>
      <c r="O3047" t="s">
        <v>346</v>
      </c>
      <c r="P3047">
        <v>5.6904331947800188E-6</v>
      </c>
      <c r="Q3047" t="s">
        <v>159</v>
      </c>
    </row>
    <row r="3048" spans="9:17" x14ac:dyDescent="0.45">
      <c r="I3048" t="s">
        <v>203</v>
      </c>
      <c r="J3048" t="s">
        <v>347</v>
      </c>
      <c r="K3048">
        <v>0</v>
      </c>
      <c r="L3048" t="s">
        <v>159</v>
      </c>
      <c r="N3048" t="s">
        <v>246</v>
      </c>
      <c r="O3048" t="s">
        <v>347</v>
      </c>
      <c r="P3048">
        <v>4.6573762503744653E-6</v>
      </c>
      <c r="Q3048" t="s">
        <v>159</v>
      </c>
    </row>
    <row r="3049" spans="9:17" x14ac:dyDescent="0.45">
      <c r="I3049" t="s">
        <v>203</v>
      </c>
      <c r="J3049" t="s">
        <v>348</v>
      </c>
      <c r="K3049">
        <v>0</v>
      </c>
      <c r="L3049" t="s">
        <v>159</v>
      </c>
      <c r="N3049" t="s">
        <v>246</v>
      </c>
      <c r="O3049" t="s">
        <v>348</v>
      </c>
      <c r="P3049">
        <v>3.1881080959093621E-6</v>
      </c>
      <c r="Q3049" t="s">
        <v>159</v>
      </c>
    </row>
    <row r="3050" spans="9:17" x14ac:dyDescent="0.45">
      <c r="I3050" t="s">
        <v>203</v>
      </c>
      <c r="J3050" t="s">
        <v>349</v>
      </c>
      <c r="K3050">
        <v>0</v>
      </c>
      <c r="L3050" t="s">
        <v>159</v>
      </c>
      <c r="N3050" t="s">
        <v>246</v>
      </c>
      <c r="O3050" t="s">
        <v>349</v>
      </c>
      <c r="P3050">
        <v>4.0496527406914775E-6</v>
      </c>
      <c r="Q3050" t="s">
        <v>159</v>
      </c>
    </row>
    <row r="3051" spans="9:17" x14ac:dyDescent="0.45">
      <c r="I3051" t="s">
        <v>203</v>
      </c>
      <c r="J3051" t="s">
        <v>350</v>
      </c>
      <c r="K3051">
        <v>0</v>
      </c>
      <c r="L3051" t="s">
        <v>159</v>
      </c>
      <c r="N3051" t="s">
        <v>246</v>
      </c>
      <c r="O3051" t="s">
        <v>350</v>
      </c>
      <c r="P3051">
        <v>4.7075065190827008E-6</v>
      </c>
      <c r="Q3051" t="s">
        <v>159</v>
      </c>
    </row>
    <row r="3052" spans="9:17" x14ac:dyDescent="0.45">
      <c r="I3052" t="s">
        <v>203</v>
      </c>
      <c r="J3052" t="s">
        <v>351</v>
      </c>
      <c r="K3052">
        <v>0</v>
      </c>
      <c r="L3052" t="s">
        <v>159</v>
      </c>
      <c r="N3052" t="s">
        <v>246</v>
      </c>
      <c r="O3052" t="s">
        <v>351</v>
      </c>
      <c r="P3052">
        <v>6.2413919215789664E-6</v>
      </c>
      <c r="Q3052" t="s">
        <v>159</v>
      </c>
    </row>
    <row r="3053" spans="9:17" x14ac:dyDescent="0.45">
      <c r="I3053" t="s">
        <v>203</v>
      </c>
      <c r="J3053" t="s">
        <v>352</v>
      </c>
      <c r="K3053">
        <v>0</v>
      </c>
      <c r="L3053" t="s">
        <v>159</v>
      </c>
      <c r="N3053" t="s">
        <v>246</v>
      </c>
      <c r="O3053" t="s">
        <v>352</v>
      </c>
      <c r="P3053">
        <v>5.3732961589328693E-6</v>
      </c>
      <c r="Q3053" t="s">
        <v>159</v>
      </c>
    </row>
    <row r="3054" spans="9:17" x14ac:dyDescent="0.45">
      <c r="I3054" t="s">
        <v>203</v>
      </c>
      <c r="J3054" t="s">
        <v>353</v>
      </c>
      <c r="K3054">
        <v>0</v>
      </c>
      <c r="L3054" t="s">
        <v>159</v>
      </c>
      <c r="N3054" t="s">
        <v>246</v>
      </c>
      <c r="O3054" t="s">
        <v>353</v>
      </c>
      <c r="P3054">
        <v>4.4919591484083554E-6</v>
      </c>
      <c r="Q3054" t="s">
        <v>159</v>
      </c>
    </row>
    <row r="3055" spans="9:17" x14ac:dyDescent="0.45">
      <c r="I3055" t="s">
        <v>203</v>
      </c>
      <c r="J3055" t="s">
        <v>354</v>
      </c>
      <c r="K3055">
        <v>1.3081623920938287E-4</v>
      </c>
      <c r="L3055" t="s">
        <v>159</v>
      </c>
      <c r="N3055" t="s">
        <v>246</v>
      </c>
      <c r="O3055" t="s">
        <v>354</v>
      </c>
      <c r="P3055">
        <v>4.50036397086779E-6</v>
      </c>
      <c r="Q3055" t="s">
        <v>159</v>
      </c>
    </row>
    <row r="3056" spans="9:17" x14ac:dyDescent="0.45">
      <c r="I3056" t="s">
        <v>203</v>
      </c>
      <c r="J3056" t="s">
        <v>355</v>
      </c>
      <c r="K3056">
        <v>1.8242222779379447E-4</v>
      </c>
      <c r="L3056" t="s">
        <v>159</v>
      </c>
      <c r="N3056" t="s">
        <v>246</v>
      </c>
      <c r="O3056" t="s">
        <v>355</v>
      </c>
      <c r="P3056">
        <v>7.7933661666874588E-6</v>
      </c>
      <c r="Q3056" t="s">
        <v>159</v>
      </c>
    </row>
    <row r="3057" spans="9:17" x14ac:dyDescent="0.45">
      <c r="I3057" t="s">
        <v>203</v>
      </c>
      <c r="J3057" t="s">
        <v>356</v>
      </c>
      <c r="K3057">
        <v>1.9176846176486662E-4</v>
      </c>
      <c r="L3057" t="s">
        <v>159</v>
      </c>
      <c r="N3057" t="s">
        <v>246</v>
      </c>
      <c r="O3057" t="s">
        <v>356</v>
      </c>
      <c r="P3057">
        <v>3.2323737234442614E-6</v>
      </c>
      <c r="Q3057" t="s">
        <v>159</v>
      </c>
    </row>
    <row r="3058" spans="9:17" x14ac:dyDescent="0.45">
      <c r="I3058" t="s">
        <v>203</v>
      </c>
      <c r="J3058" t="s">
        <v>357</v>
      </c>
      <c r="K3058">
        <v>2.0577985607054641E-4</v>
      </c>
      <c r="L3058" t="s">
        <v>159</v>
      </c>
      <c r="N3058" t="s">
        <v>246</v>
      </c>
      <c r="O3058" t="s">
        <v>357</v>
      </c>
      <c r="P3058">
        <v>5.4288971497401242E-6</v>
      </c>
      <c r="Q3058" t="s">
        <v>159</v>
      </c>
    </row>
    <row r="3059" spans="9:17" x14ac:dyDescent="0.45">
      <c r="I3059" t="s">
        <v>203</v>
      </c>
      <c r="J3059" t="s">
        <v>358</v>
      </c>
      <c r="K3059">
        <v>2.3476761870868765E-4</v>
      </c>
      <c r="L3059" t="s">
        <v>159</v>
      </c>
      <c r="N3059" t="s">
        <v>246</v>
      </c>
      <c r="O3059" t="s">
        <v>358</v>
      </c>
      <c r="P3059">
        <v>3.7481624184593102E-6</v>
      </c>
      <c r="Q3059" t="s">
        <v>159</v>
      </c>
    </row>
    <row r="3060" spans="9:17" x14ac:dyDescent="0.45">
      <c r="I3060" t="s">
        <v>203</v>
      </c>
      <c r="J3060" t="s">
        <v>359</v>
      </c>
      <c r="K3060">
        <v>2.574276562673301E-4</v>
      </c>
      <c r="L3060" t="s">
        <v>159</v>
      </c>
      <c r="N3060" t="s">
        <v>246</v>
      </c>
      <c r="O3060" t="s">
        <v>359</v>
      </c>
      <c r="P3060">
        <v>3.1924491424793578E-6</v>
      </c>
      <c r="Q3060" t="s">
        <v>159</v>
      </c>
    </row>
    <row r="3061" spans="9:17" x14ac:dyDescent="0.45">
      <c r="I3061" t="s">
        <v>203</v>
      </c>
      <c r="J3061" t="s">
        <v>360</v>
      </c>
      <c r="K3061">
        <v>2.1630188843130255E-4</v>
      </c>
      <c r="L3061" t="s">
        <v>159</v>
      </c>
      <c r="N3061" t="s">
        <v>246</v>
      </c>
      <c r="O3061" t="s">
        <v>360</v>
      </c>
      <c r="P3061">
        <v>2.5281161236288149E-6</v>
      </c>
      <c r="Q3061" t="s">
        <v>159</v>
      </c>
    </row>
    <row r="3062" spans="9:17" x14ac:dyDescent="0.45">
      <c r="I3062" t="s">
        <v>203</v>
      </c>
      <c r="J3062" t="s">
        <v>361</v>
      </c>
      <c r="K3062">
        <v>1.8743170261487592E-4</v>
      </c>
      <c r="L3062" t="s">
        <v>159</v>
      </c>
      <c r="N3062" t="s">
        <v>246</v>
      </c>
      <c r="O3062" t="s">
        <v>361</v>
      </c>
      <c r="P3062">
        <v>5.5786516562154916E-6</v>
      </c>
      <c r="Q3062" t="s">
        <v>159</v>
      </c>
    </row>
    <row r="3063" spans="9:17" x14ac:dyDescent="0.45">
      <c r="I3063" t="s">
        <v>203</v>
      </c>
      <c r="J3063" t="s">
        <v>362</v>
      </c>
      <c r="K3063">
        <v>1.8073880104879197E-4</v>
      </c>
      <c r="L3063" t="s">
        <v>159</v>
      </c>
      <c r="N3063" t="s">
        <v>246</v>
      </c>
      <c r="O3063" t="s">
        <v>362</v>
      </c>
      <c r="P3063">
        <v>1.8943446914448809E-5</v>
      </c>
      <c r="Q3063" t="s">
        <v>159</v>
      </c>
    </row>
    <row r="3064" spans="9:17" x14ac:dyDescent="0.45">
      <c r="I3064" t="s">
        <v>203</v>
      </c>
      <c r="J3064" t="s">
        <v>363</v>
      </c>
      <c r="K3064">
        <v>1.5667804756722554E-4</v>
      </c>
      <c r="L3064" t="s">
        <v>159</v>
      </c>
      <c r="N3064" t="s">
        <v>246</v>
      </c>
      <c r="O3064" t="s">
        <v>363</v>
      </c>
      <c r="P3064">
        <v>3.9548019129264119E-5</v>
      </c>
      <c r="Q3064" t="s">
        <v>159</v>
      </c>
    </row>
    <row r="3065" spans="9:17" x14ac:dyDescent="0.45">
      <c r="I3065" t="s">
        <v>203</v>
      </c>
      <c r="J3065" t="s">
        <v>364</v>
      </c>
      <c r="K3065">
        <v>6.214680347633398E-5</v>
      </c>
      <c r="L3065" t="s">
        <v>159</v>
      </c>
      <c r="N3065" t="s">
        <v>246</v>
      </c>
      <c r="O3065" t="s">
        <v>364</v>
      </c>
      <c r="P3065">
        <v>5.2211958844394297E-5</v>
      </c>
      <c r="Q3065" t="s">
        <v>159</v>
      </c>
    </row>
    <row r="3066" spans="9:17" x14ac:dyDescent="0.45">
      <c r="I3066" t="s">
        <v>203</v>
      </c>
      <c r="J3066" t="s">
        <v>365</v>
      </c>
      <c r="K3066">
        <v>0</v>
      </c>
      <c r="L3066" t="s">
        <v>159</v>
      </c>
      <c r="N3066" t="s">
        <v>246</v>
      </c>
      <c r="O3066" t="s">
        <v>365</v>
      </c>
      <c r="P3066">
        <v>5.6603907923861324E-5</v>
      </c>
      <c r="Q3066" t="s">
        <v>159</v>
      </c>
    </row>
    <row r="3067" spans="9:17" x14ac:dyDescent="0.45">
      <c r="I3067" t="s">
        <v>203</v>
      </c>
      <c r="J3067" t="s">
        <v>366</v>
      </c>
      <c r="K3067">
        <v>0</v>
      </c>
      <c r="L3067" t="s">
        <v>159</v>
      </c>
      <c r="N3067" t="s">
        <v>246</v>
      </c>
      <c r="O3067" t="s">
        <v>366</v>
      </c>
      <c r="P3067">
        <v>5.1640454226106008E-5</v>
      </c>
      <c r="Q3067" t="s">
        <v>159</v>
      </c>
    </row>
    <row r="3068" spans="9:17" x14ac:dyDescent="0.45">
      <c r="I3068" t="s">
        <v>203</v>
      </c>
      <c r="J3068" t="s">
        <v>367</v>
      </c>
      <c r="K3068">
        <v>0</v>
      </c>
      <c r="L3068" t="s">
        <v>159</v>
      </c>
      <c r="N3068" t="s">
        <v>246</v>
      </c>
      <c r="O3068" t="s">
        <v>367</v>
      </c>
      <c r="P3068">
        <v>4.0924705355984927E-5</v>
      </c>
      <c r="Q3068" t="s">
        <v>159</v>
      </c>
    </row>
    <row r="3069" spans="9:17" x14ac:dyDescent="0.45">
      <c r="I3069" t="s">
        <v>203</v>
      </c>
      <c r="J3069" t="s">
        <v>368</v>
      </c>
      <c r="K3069">
        <v>0</v>
      </c>
      <c r="L3069" t="s">
        <v>159</v>
      </c>
      <c r="N3069" t="s">
        <v>246</v>
      </c>
      <c r="O3069" t="s">
        <v>368</v>
      </c>
      <c r="P3069">
        <v>2.4669378293784929E-5</v>
      </c>
      <c r="Q3069" t="s">
        <v>159</v>
      </c>
    </row>
    <row r="3070" spans="9:17" x14ac:dyDescent="0.45">
      <c r="I3070" t="s">
        <v>203</v>
      </c>
      <c r="J3070" t="s">
        <v>369</v>
      </c>
      <c r="K3070">
        <v>0</v>
      </c>
      <c r="L3070" t="s">
        <v>159</v>
      </c>
      <c r="N3070" t="s">
        <v>246</v>
      </c>
      <c r="O3070" t="s">
        <v>369</v>
      </c>
      <c r="P3070">
        <v>1.2031782303384008E-5</v>
      </c>
      <c r="Q3070" t="s">
        <v>159</v>
      </c>
    </row>
    <row r="3071" spans="9:17" x14ac:dyDescent="0.45">
      <c r="I3071" t="s">
        <v>203</v>
      </c>
      <c r="J3071" t="s">
        <v>165</v>
      </c>
      <c r="K3071">
        <v>0</v>
      </c>
      <c r="L3071" t="s">
        <v>159</v>
      </c>
      <c r="N3071" t="s">
        <v>246</v>
      </c>
      <c r="O3071" t="s">
        <v>165</v>
      </c>
      <c r="P3071">
        <v>2.859503354949449E-2</v>
      </c>
      <c r="Q3071" t="s">
        <v>159</v>
      </c>
    </row>
    <row r="3072" spans="9:17" x14ac:dyDescent="0.45">
      <c r="I3072" t="s">
        <v>203</v>
      </c>
      <c r="J3072" t="s">
        <v>166</v>
      </c>
      <c r="K3072">
        <v>0</v>
      </c>
      <c r="L3072" t="s">
        <v>159</v>
      </c>
      <c r="N3072" t="s">
        <v>246</v>
      </c>
      <c r="O3072" t="s">
        <v>166</v>
      </c>
      <c r="P3072">
        <v>4.9728374284399197E-3</v>
      </c>
      <c r="Q3072" t="s">
        <v>159</v>
      </c>
    </row>
    <row r="3073" spans="9:17" x14ac:dyDescent="0.45">
      <c r="I3073" t="s">
        <v>203</v>
      </c>
      <c r="J3073" t="s">
        <v>167</v>
      </c>
      <c r="K3073">
        <v>6.379836595853737E-2</v>
      </c>
      <c r="L3073" t="s">
        <v>159</v>
      </c>
      <c r="N3073" t="s">
        <v>246</v>
      </c>
      <c r="O3073" t="s">
        <v>167</v>
      </c>
      <c r="P3073">
        <v>4.7282150101361262E-2</v>
      </c>
      <c r="Q3073" t="s">
        <v>159</v>
      </c>
    </row>
    <row r="3074" spans="9:17" x14ac:dyDescent="0.45">
      <c r="I3074" t="s">
        <v>203</v>
      </c>
      <c r="J3074" t="s">
        <v>291</v>
      </c>
      <c r="K3074">
        <v>5.7461454722289888E-3</v>
      </c>
      <c r="L3074" t="s">
        <v>159</v>
      </c>
      <c r="N3074" t="s">
        <v>246</v>
      </c>
      <c r="O3074" t="s">
        <v>291</v>
      </c>
      <c r="P3074">
        <v>4.4331551360060383E-3</v>
      </c>
      <c r="Q3074" t="s">
        <v>159</v>
      </c>
    </row>
    <row r="3075" spans="9:17" x14ac:dyDescent="0.45">
      <c r="I3075" t="s">
        <v>203</v>
      </c>
      <c r="J3075" t="s">
        <v>292</v>
      </c>
      <c r="K3075">
        <v>3.8689791568126512E-3</v>
      </c>
      <c r="L3075" t="s">
        <v>159</v>
      </c>
      <c r="N3075" t="s">
        <v>246</v>
      </c>
      <c r="O3075" t="s">
        <v>292</v>
      </c>
      <c r="P3075">
        <v>3.9506840624239925E-3</v>
      </c>
      <c r="Q3075" t="s">
        <v>159</v>
      </c>
    </row>
    <row r="3076" spans="9:17" x14ac:dyDescent="0.45">
      <c r="I3076" t="s">
        <v>203</v>
      </c>
      <c r="J3076" t="s">
        <v>310</v>
      </c>
      <c r="K3076">
        <v>0</v>
      </c>
      <c r="L3076" t="s">
        <v>159</v>
      </c>
      <c r="N3076" t="s">
        <v>246</v>
      </c>
      <c r="O3076" t="s">
        <v>310</v>
      </c>
      <c r="P3076">
        <v>1.6032524195228708E-2</v>
      </c>
      <c r="Q3076" t="s">
        <v>159</v>
      </c>
    </row>
    <row r="3077" spans="9:17" x14ac:dyDescent="0.45">
      <c r="I3077" t="s">
        <v>203</v>
      </c>
      <c r="J3077" t="s">
        <v>293</v>
      </c>
      <c r="K3077">
        <v>0</v>
      </c>
      <c r="L3077" t="s">
        <v>159</v>
      </c>
      <c r="N3077" t="s">
        <v>246</v>
      </c>
      <c r="O3077" t="s">
        <v>293</v>
      </c>
      <c r="P3077">
        <v>2.2405727320463876E-3</v>
      </c>
      <c r="Q3077" t="s">
        <v>159</v>
      </c>
    </row>
    <row r="3078" spans="9:17" x14ac:dyDescent="0.45">
      <c r="I3078" t="s">
        <v>203</v>
      </c>
      <c r="J3078" t="s">
        <v>294</v>
      </c>
      <c r="K3078">
        <v>0</v>
      </c>
      <c r="L3078" t="s">
        <v>159</v>
      </c>
      <c r="N3078" t="s">
        <v>246</v>
      </c>
      <c r="O3078" t="s">
        <v>294</v>
      </c>
      <c r="P3078">
        <v>5.6118142368039286E-4</v>
      </c>
      <c r="Q3078" t="s">
        <v>159</v>
      </c>
    </row>
    <row r="3079" spans="9:17" x14ac:dyDescent="0.45">
      <c r="I3079" t="s">
        <v>203</v>
      </c>
      <c r="J3079" t="s">
        <v>295</v>
      </c>
      <c r="K3079">
        <v>1.5176506250990552E-2</v>
      </c>
      <c r="L3079" t="s">
        <v>159</v>
      </c>
      <c r="N3079" t="s">
        <v>246</v>
      </c>
      <c r="O3079" t="s">
        <v>295</v>
      </c>
      <c r="P3079">
        <v>6.0964859394740624E-3</v>
      </c>
      <c r="Q3079" t="s">
        <v>159</v>
      </c>
    </row>
    <row r="3080" spans="9:17" x14ac:dyDescent="0.45">
      <c r="I3080" t="s">
        <v>203</v>
      </c>
      <c r="J3080" t="s">
        <v>296</v>
      </c>
      <c r="K3080">
        <v>1.4925371816135583E-3</v>
      </c>
      <c r="L3080" t="s">
        <v>159</v>
      </c>
      <c r="N3080" t="s">
        <v>246</v>
      </c>
      <c r="O3080" t="s">
        <v>296</v>
      </c>
      <c r="P3080">
        <v>8.8062482373109103E-4</v>
      </c>
      <c r="Q3080" t="s">
        <v>159</v>
      </c>
    </row>
    <row r="3081" spans="9:17" x14ac:dyDescent="0.45">
      <c r="I3081" t="s">
        <v>203</v>
      </c>
      <c r="J3081" t="s">
        <v>297</v>
      </c>
      <c r="K3081">
        <v>9.2127490765374928E-4</v>
      </c>
      <c r="L3081" t="s">
        <v>159</v>
      </c>
      <c r="N3081" t="s">
        <v>246</v>
      </c>
      <c r="O3081" t="s">
        <v>297</v>
      </c>
      <c r="P3081">
        <v>9.4194271598479064E-4</v>
      </c>
      <c r="Q3081" t="s">
        <v>159</v>
      </c>
    </row>
    <row r="3082" spans="9:17" x14ac:dyDescent="0.45">
      <c r="I3082" t="s">
        <v>203</v>
      </c>
      <c r="J3082" t="s">
        <v>311</v>
      </c>
      <c r="K3082">
        <v>0</v>
      </c>
      <c r="L3082" t="s">
        <v>159</v>
      </c>
      <c r="N3082" t="s">
        <v>246</v>
      </c>
      <c r="O3082" t="s">
        <v>311</v>
      </c>
      <c r="P3082">
        <v>2.6481323286850406E-3</v>
      </c>
      <c r="Q3082" t="s">
        <v>159</v>
      </c>
    </row>
    <row r="3083" spans="9:17" x14ac:dyDescent="0.45">
      <c r="I3083" t="s">
        <v>203</v>
      </c>
      <c r="J3083" t="s">
        <v>298</v>
      </c>
      <c r="K3083">
        <v>2.7055439539450379E-3</v>
      </c>
      <c r="L3083" t="s">
        <v>159</v>
      </c>
      <c r="N3083" t="s">
        <v>246</v>
      </c>
      <c r="O3083" t="s">
        <v>298</v>
      </c>
      <c r="P3083">
        <v>4.9904840027938741E-2</v>
      </c>
      <c r="Q3083" t="s">
        <v>159</v>
      </c>
    </row>
    <row r="3084" spans="9:17" x14ac:dyDescent="0.45">
      <c r="I3084" t="s">
        <v>203</v>
      </c>
      <c r="J3084" t="s">
        <v>299</v>
      </c>
      <c r="K3084">
        <v>1.5193408339487463E-2</v>
      </c>
      <c r="L3084" t="s">
        <v>159</v>
      </c>
      <c r="N3084" t="s">
        <v>246</v>
      </c>
      <c r="O3084" t="s">
        <v>299</v>
      </c>
      <c r="P3084">
        <v>7.5160486249883137E-3</v>
      </c>
      <c r="Q3084" t="s">
        <v>159</v>
      </c>
    </row>
    <row r="3085" spans="9:17" x14ac:dyDescent="0.45">
      <c r="I3085" t="s">
        <v>203</v>
      </c>
      <c r="J3085" t="s">
        <v>300</v>
      </c>
      <c r="K3085">
        <v>0.24905261190075625</v>
      </c>
      <c r="L3085" t="s">
        <v>159</v>
      </c>
      <c r="N3085" t="s">
        <v>246</v>
      </c>
      <c r="O3085" t="s">
        <v>300</v>
      </c>
      <c r="P3085">
        <v>0.10428168201273919</v>
      </c>
      <c r="Q3085" t="s">
        <v>159</v>
      </c>
    </row>
    <row r="3086" spans="9:17" x14ac:dyDescent="0.45">
      <c r="I3086" t="s">
        <v>203</v>
      </c>
      <c r="J3086" t="s">
        <v>301</v>
      </c>
      <c r="K3086">
        <v>2.1375744853539221E-2</v>
      </c>
      <c r="L3086" t="s">
        <v>159</v>
      </c>
      <c r="N3086" t="s">
        <v>246</v>
      </c>
      <c r="O3086" t="s">
        <v>301</v>
      </c>
      <c r="P3086">
        <v>1.9964412542743511E-2</v>
      </c>
      <c r="Q3086" t="s">
        <v>159</v>
      </c>
    </row>
    <row r="3087" spans="9:17" x14ac:dyDescent="0.45">
      <c r="I3087" t="s">
        <v>203</v>
      </c>
      <c r="J3087" t="s">
        <v>302</v>
      </c>
      <c r="K3087">
        <v>1.3628182241968261E-2</v>
      </c>
      <c r="L3087" t="s">
        <v>159</v>
      </c>
      <c r="N3087" t="s">
        <v>246</v>
      </c>
      <c r="O3087" t="s">
        <v>302</v>
      </c>
      <c r="P3087">
        <v>1.8668875950971085E-2</v>
      </c>
      <c r="Q3087" t="s">
        <v>159</v>
      </c>
    </row>
    <row r="3088" spans="9:17" x14ac:dyDescent="0.45">
      <c r="I3088" t="s">
        <v>203</v>
      </c>
      <c r="J3088" t="s">
        <v>312</v>
      </c>
      <c r="K3088">
        <v>7.4172548688530013E-4</v>
      </c>
      <c r="L3088" t="s">
        <v>159</v>
      </c>
      <c r="N3088" t="s">
        <v>246</v>
      </c>
      <c r="O3088" t="s">
        <v>312</v>
      </c>
      <c r="P3088">
        <v>4.8587954578725036E-2</v>
      </c>
      <c r="Q3088" t="s">
        <v>159</v>
      </c>
    </row>
    <row r="3089" spans="9:17" x14ac:dyDescent="0.45">
      <c r="I3089" t="s">
        <v>203</v>
      </c>
      <c r="J3089" t="s">
        <v>397</v>
      </c>
      <c r="K3089">
        <v>0</v>
      </c>
      <c r="L3089" t="s">
        <v>159</v>
      </c>
      <c r="N3089" t="s">
        <v>246</v>
      </c>
      <c r="O3089" t="s">
        <v>397</v>
      </c>
      <c r="P3089">
        <v>4.4550490654587091E-6</v>
      </c>
      <c r="Q3089" t="s">
        <v>159</v>
      </c>
    </row>
    <row r="3090" spans="9:17" x14ac:dyDescent="0.45">
      <c r="I3090" t="s">
        <v>203</v>
      </c>
      <c r="J3090" t="s">
        <v>398</v>
      </c>
      <c r="K3090">
        <v>0</v>
      </c>
      <c r="L3090" t="s">
        <v>159</v>
      </c>
      <c r="N3090" t="s">
        <v>246</v>
      </c>
      <c r="O3090" t="s">
        <v>398</v>
      </c>
      <c r="P3090">
        <v>3.7095338437968249E-6</v>
      </c>
      <c r="Q3090" t="s">
        <v>159</v>
      </c>
    </row>
    <row r="3091" spans="9:17" x14ac:dyDescent="0.45">
      <c r="I3091" t="s">
        <v>203</v>
      </c>
      <c r="J3091" t="s">
        <v>399</v>
      </c>
      <c r="K3091">
        <v>0</v>
      </c>
      <c r="L3091" t="s">
        <v>159</v>
      </c>
      <c r="N3091" t="s">
        <v>246</v>
      </c>
      <c r="O3091" t="s">
        <v>399</v>
      </c>
      <c r="P3091">
        <v>3.8267020971196506E-6</v>
      </c>
      <c r="Q3091" t="s">
        <v>159</v>
      </c>
    </row>
    <row r="3092" spans="9:17" x14ac:dyDescent="0.45">
      <c r="I3092" t="s">
        <v>203</v>
      </c>
      <c r="J3092" t="s">
        <v>400</v>
      </c>
      <c r="K3092">
        <v>0</v>
      </c>
      <c r="L3092" t="s">
        <v>159</v>
      </c>
      <c r="N3092" t="s">
        <v>246</v>
      </c>
      <c r="O3092" t="s">
        <v>400</v>
      </c>
      <c r="P3092">
        <v>3.4297605270555567E-6</v>
      </c>
      <c r="Q3092" t="s">
        <v>159</v>
      </c>
    </row>
    <row r="3093" spans="9:17" x14ac:dyDescent="0.45">
      <c r="I3093" t="s">
        <v>203</v>
      </c>
      <c r="J3093" t="s">
        <v>401</v>
      </c>
      <c r="K3093">
        <v>0</v>
      </c>
      <c r="L3093" t="s">
        <v>159</v>
      </c>
      <c r="N3093" t="s">
        <v>246</v>
      </c>
      <c r="O3093" t="s">
        <v>401</v>
      </c>
      <c r="P3093">
        <v>2.31526330721328E-6</v>
      </c>
      <c r="Q3093" t="s">
        <v>159</v>
      </c>
    </row>
    <row r="3094" spans="9:17" x14ac:dyDescent="0.45">
      <c r="I3094" t="s">
        <v>203</v>
      </c>
      <c r="J3094" t="s">
        <v>402</v>
      </c>
      <c r="K3094">
        <v>0</v>
      </c>
      <c r="L3094" t="s">
        <v>159</v>
      </c>
      <c r="N3094" t="s">
        <v>246</v>
      </c>
      <c r="O3094" t="s">
        <v>402</v>
      </c>
      <c r="P3094">
        <v>1.7536492390130337E-6</v>
      </c>
      <c r="Q3094" t="s">
        <v>159</v>
      </c>
    </row>
    <row r="3095" spans="9:17" x14ac:dyDescent="0.45">
      <c r="I3095" t="s">
        <v>203</v>
      </c>
      <c r="J3095" t="s">
        <v>403</v>
      </c>
      <c r="K3095">
        <v>0</v>
      </c>
      <c r="L3095" t="s">
        <v>159</v>
      </c>
      <c r="N3095" t="s">
        <v>246</v>
      </c>
      <c r="O3095" t="s">
        <v>403</v>
      </c>
      <c r="P3095">
        <v>1.1652786136559174E-6</v>
      </c>
      <c r="Q3095" t="s">
        <v>159</v>
      </c>
    </row>
    <row r="3096" spans="9:17" x14ac:dyDescent="0.45">
      <c r="I3096" t="s">
        <v>203</v>
      </c>
      <c r="J3096" t="s">
        <v>404</v>
      </c>
      <c r="K3096">
        <v>1.4267479633315658E-4</v>
      </c>
      <c r="L3096" t="s">
        <v>159</v>
      </c>
      <c r="N3096" t="s">
        <v>246</v>
      </c>
      <c r="O3096" t="s">
        <v>404</v>
      </c>
      <c r="P3096">
        <v>6.5027022518000015E-7</v>
      </c>
      <c r="Q3096" t="s">
        <v>159</v>
      </c>
    </row>
    <row r="3097" spans="9:17" x14ac:dyDescent="0.45">
      <c r="I3097" t="s">
        <v>203</v>
      </c>
      <c r="J3097" t="s">
        <v>405</v>
      </c>
      <c r="K3097">
        <v>2.4066425911419071E-4</v>
      </c>
      <c r="L3097" t="s">
        <v>159</v>
      </c>
      <c r="N3097" t="s">
        <v>246</v>
      </c>
      <c r="O3097" t="s">
        <v>405</v>
      </c>
      <c r="P3097">
        <v>6.20936580090834E-8</v>
      </c>
      <c r="Q3097" t="s">
        <v>159</v>
      </c>
    </row>
    <row r="3098" spans="9:17" x14ac:dyDescent="0.45">
      <c r="I3098" t="s">
        <v>203</v>
      </c>
      <c r="J3098" t="s">
        <v>406</v>
      </c>
      <c r="K3098">
        <v>2.8325044806767929E-4</v>
      </c>
      <c r="L3098" t="s">
        <v>159</v>
      </c>
      <c r="N3098" t="s">
        <v>246</v>
      </c>
      <c r="O3098" t="s">
        <v>406</v>
      </c>
      <c r="P3098">
        <v>1.8249540275772986E-6</v>
      </c>
      <c r="Q3098" t="s">
        <v>159</v>
      </c>
    </row>
    <row r="3099" spans="9:17" x14ac:dyDescent="0.45">
      <c r="I3099" t="s">
        <v>203</v>
      </c>
      <c r="J3099" t="s">
        <v>407</v>
      </c>
      <c r="K3099">
        <v>2.995800610378817E-4</v>
      </c>
      <c r="L3099" t="s">
        <v>159</v>
      </c>
      <c r="N3099" t="s">
        <v>246</v>
      </c>
      <c r="O3099" t="s">
        <v>407</v>
      </c>
      <c r="P3099">
        <v>5.0896453488571568E-6</v>
      </c>
      <c r="Q3099" t="s">
        <v>159</v>
      </c>
    </row>
    <row r="3100" spans="9:17" x14ac:dyDescent="0.45">
      <c r="I3100" t="s">
        <v>203</v>
      </c>
      <c r="J3100" t="s">
        <v>408</v>
      </c>
      <c r="K3100">
        <v>3.1386475930204075E-4</v>
      </c>
      <c r="L3100" t="s">
        <v>159</v>
      </c>
      <c r="N3100" t="s">
        <v>246</v>
      </c>
      <c r="O3100" t="s">
        <v>408</v>
      </c>
      <c r="P3100">
        <v>1.5159513127700805E-5</v>
      </c>
      <c r="Q3100" t="s">
        <v>159</v>
      </c>
    </row>
    <row r="3101" spans="9:17" x14ac:dyDescent="0.45">
      <c r="I3101" t="s">
        <v>203</v>
      </c>
      <c r="J3101" t="s">
        <v>409</v>
      </c>
      <c r="K3101">
        <v>3.2865110066119613E-4</v>
      </c>
      <c r="L3101" t="s">
        <v>159</v>
      </c>
      <c r="N3101" t="s">
        <v>246</v>
      </c>
      <c r="O3101" t="s">
        <v>409</v>
      </c>
      <c r="P3101">
        <v>2.1287781810969694E-5</v>
      </c>
      <c r="Q3101" t="s">
        <v>159</v>
      </c>
    </row>
    <row r="3102" spans="9:17" x14ac:dyDescent="0.45">
      <c r="I3102" t="s">
        <v>203</v>
      </c>
      <c r="J3102" t="s">
        <v>410</v>
      </c>
      <c r="K3102">
        <v>3.3098250543727689E-4</v>
      </c>
      <c r="L3102" t="s">
        <v>159</v>
      </c>
      <c r="N3102" t="s">
        <v>246</v>
      </c>
      <c r="O3102" t="s">
        <v>410</v>
      </c>
      <c r="P3102">
        <v>2.2332778296840705E-5</v>
      </c>
      <c r="Q3102" t="s">
        <v>159</v>
      </c>
    </row>
    <row r="3103" spans="9:17" x14ac:dyDescent="0.45">
      <c r="I3103" t="s">
        <v>203</v>
      </c>
      <c r="J3103" t="s">
        <v>411</v>
      </c>
      <c r="K3103">
        <v>3.0671711730013203E-4</v>
      </c>
      <c r="L3103" t="s">
        <v>159</v>
      </c>
      <c r="N3103" t="s">
        <v>246</v>
      </c>
      <c r="O3103" t="s">
        <v>411</v>
      </c>
      <c r="P3103">
        <v>2.7364464071936408E-5</v>
      </c>
      <c r="Q3103" t="s">
        <v>159</v>
      </c>
    </row>
    <row r="3104" spans="9:17" x14ac:dyDescent="0.45">
      <c r="I3104" t="s">
        <v>203</v>
      </c>
      <c r="J3104" t="s">
        <v>412</v>
      </c>
      <c r="K3104">
        <v>2.7840869188727144E-4</v>
      </c>
      <c r="L3104" t="s">
        <v>159</v>
      </c>
      <c r="N3104" t="s">
        <v>246</v>
      </c>
      <c r="O3104" t="s">
        <v>412</v>
      </c>
      <c r="P3104">
        <v>3.5925405743441774E-5</v>
      </c>
      <c r="Q3104" t="s">
        <v>159</v>
      </c>
    </row>
    <row r="3105" spans="9:17" x14ac:dyDescent="0.45">
      <c r="I3105" t="s">
        <v>203</v>
      </c>
      <c r="J3105" t="s">
        <v>413</v>
      </c>
      <c r="K3105">
        <v>2.6426374077370116E-4</v>
      </c>
      <c r="L3105" t="s">
        <v>159</v>
      </c>
      <c r="N3105" t="s">
        <v>246</v>
      </c>
      <c r="O3105" t="s">
        <v>413</v>
      </c>
      <c r="P3105">
        <v>4.1451470542983131E-5</v>
      </c>
      <c r="Q3105" t="s">
        <v>159</v>
      </c>
    </row>
    <row r="3106" spans="9:17" x14ac:dyDescent="0.45">
      <c r="I3106" t="s">
        <v>203</v>
      </c>
      <c r="J3106" t="s">
        <v>414</v>
      </c>
      <c r="K3106">
        <v>2.3492118633232017E-4</v>
      </c>
      <c r="L3106" t="s">
        <v>159</v>
      </c>
      <c r="N3106" t="s">
        <v>246</v>
      </c>
      <c r="O3106" t="s">
        <v>414</v>
      </c>
      <c r="P3106">
        <v>4.6744417287995538E-5</v>
      </c>
      <c r="Q3106" t="s">
        <v>159</v>
      </c>
    </row>
    <row r="3107" spans="9:17" x14ac:dyDescent="0.45">
      <c r="I3107" t="s">
        <v>203</v>
      </c>
      <c r="J3107" t="s">
        <v>415</v>
      </c>
      <c r="K3107">
        <v>1.544169344320927E-4</v>
      </c>
      <c r="L3107" t="s">
        <v>159</v>
      </c>
      <c r="N3107" t="s">
        <v>246</v>
      </c>
      <c r="O3107" t="s">
        <v>415</v>
      </c>
      <c r="P3107">
        <v>6.2128398001058053E-5</v>
      </c>
      <c r="Q3107" t="s">
        <v>159</v>
      </c>
    </row>
    <row r="3108" spans="9:17" x14ac:dyDescent="0.45">
      <c r="I3108" t="s">
        <v>203</v>
      </c>
      <c r="J3108" t="s">
        <v>416</v>
      </c>
      <c r="K3108">
        <v>0</v>
      </c>
      <c r="L3108" t="s">
        <v>159</v>
      </c>
      <c r="N3108" t="s">
        <v>246</v>
      </c>
      <c r="O3108" t="s">
        <v>416</v>
      </c>
      <c r="P3108">
        <v>4.6745103125933954E-5</v>
      </c>
      <c r="Q3108" t="s">
        <v>159</v>
      </c>
    </row>
    <row r="3109" spans="9:17" x14ac:dyDescent="0.45">
      <c r="I3109" t="s">
        <v>203</v>
      </c>
      <c r="J3109" t="s">
        <v>417</v>
      </c>
      <c r="K3109">
        <v>0</v>
      </c>
      <c r="L3109" t="s">
        <v>159</v>
      </c>
      <c r="N3109" t="s">
        <v>246</v>
      </c>
      <c r="O3109" t="s">
        <v>417</v>
      </c>
      <c r="P3109">
        <v>2.7220992779423096E-5</v>
      </c>
      <c r="Q3109" t="s">
        <v>159</v>
      </c>
    </row>
    <row r="3110" spans="9:17" x14ac:dyDescent="0.45">
      <c r="I3110" t="s">
        <v>203</v>
      </c>
      <c r="J3110" t="s">
        <v>418</v>
      </c>
      <c r="K3110">
        <v>0</v>
      </c>
      <c r="L3110" t="s">
        <v>159</v>
      </c>
      <c r="N3110" t="s">
        <v>246</v>
      </c>
      <c r="O3110" t="s">
        <v>418</v>
      </c>
      <c r="P3110">
        <v>1.6032155922114655E-5</v>
      </c>
      <c r="Q3110" t="s">
        <v>159</v>
      </c>
    </row>
    <row r="3111" spans="9:17" x14ac:dyDescent="0.45">
      <c r="I3111" t="s">
        <v>203</v>
      </c>
      <c r="J3111" t="s">
        <v>419</v>
      </c>
      <c r="K3111">
        <v>0</v>
      </c>
      <c r="L3111" t="s">
        <v>159</v>
      </c>
      <c r="N3111" t="s">
        <v>246</v>
      </c>
      <c r="O3111" t="s">
        <v>419</v>
      </c>
      <c r="P3111">
        <v>8.5996805312540318E-6</v>
      </c>
      <c r="Q3111" t="s">
        <v>159</v>
      </c>
    </row>
    <row r="3112" spans="9:17" x14ac:dyDescent="0.45">
      <c r="I3112" t="s">
        <v>203</v>
      </c>
      <c r="J3112" t="s">
        <v>420</v>
      </c>
      <c r="K3112">
        <v>0</v>
      </c>
      <c r="L3112" t="s">
        <v>159</v>
      </c>
      <c r="N3112" t="s">
        <v>246</v>
      </c>
      <c r="O3112" t="s">
        <v>420</v>
      </c>
      <c r="P3112">
        <v>8.2229038113307139E-6</v>
      </c>
      <c r="Q3112" t="s">
        <v>159</v>
      </c>
    </row>
    <row r="3113" spans="9:17" x14ac:dyDescent="0.45">
      <c r="I3113" t="s">
        <v>203</v>
      </c>
      <c r="J3113" t="s">
        <v>313</v>
      </c>
      <c r="K3113">
        <v>1.7153987774918265E-3</v>
      </c>
      <c r="L3113" t="s">
        <v>159</v>
      </c>
      <c r="N3113" t="s">
        <v>246</v>
      </c>
      <c r="O3113" t="s">
        <v>313</v>
      </c>
      <c r="P3113">
        <v>1.5061713940561307E-2</v>
      </c>
      <c r="Q3113" t="s">
        <v>159</v>
      </c>
    </row>
    <row r="3114" spans="9:17" x14ac:dyDescent="0.45">
      <c r="I3114" t="s">
        <v>203</v>
      </c>
      <c r="J3114" t="s">
        <v>314</v>
      </c>
      <c r="K3114">
        <v>3.8228029627597705E-3</v>
      </c>
      <c r="L3114" t="s">
        <v>159</v>
      </c>
      <c r="N3114" t="s">
        <v>246</v>
      </c>
      <c r="O3114" t="s">
        <v>314</v>
      </c>
      <c r="P3114">
        <v>2.1977480719474292E-3</v>
      </c>
      <c r="Q3114" t="s">
        <v>159</v>
      </c>
    </row>
    <row r="3115" spans="9:17" x14ac:dyDescent="0.45">
      <c r="I3115" t="s">
        <v>203</v>
      </c>
      <c r="J3115" t="s">
        <v>315</v>
      </c>
      <c r="K3115">
        <v>6.2714151981477256E-2</v>
      </c>
      <c r="L3115" t="s">
        <v>159</v>
      </c>
      <c r="N3115" t="s">
        <v>246</v>
      </c>
      <c r="O3115" t="s">
        <v>315</v>
      </c>
      <c r="P3115">
        <v>3.2412521933536331E-2</v>
      </c>
      <c r="Q3115" t="s">
        <v>159</v>
      </c>
    </row>
    <row r="3116" spans="9:17" x14ac:dyDescent="0.45">
      <c r="I3116" t="s">
        <v>203</v>
      </c>
      <c r="J3116" t="s">
        <v>316</v>
      </c>
      <c r="K3116">
        <v>5.0062441907600388E-3</v>
      </c>
      <c r="L3116" t="s">
        <v>159</v>
      </c>
      <c r="N3116" t="s">
        <v>246</v>
      </c>
      <c r="O3116" t="s">
        <v>316</v>
      </c>
      <c r="P3116">
        <v>7.5200948899643277E-3</v>
      </c>
      <c r="Q3116" t="s">
        <v>159</v>
      </c>
    </row>
    <row r="3117" spans="9:17" x14ac:dyDescent="0.45">
      <c r="I3117" t="s">
        <v>203</v>
      </c>
      <c r="J3117" t="s">
        <v>317</v>
      </c>
      <c r="K3117">
        <v>3.8222967514860706E-3</v>
      </c>
      <c r="L3117" t="s">
        <v>159</v>
      </c>
      <c r="N3117" t="s">
        <v>246</v>
      </c>
      <c r="O3117" t="s">
        <v>317</v>
      </c>
      <c r="P3117">
        <v>6.9535010209381531E-3</v>
      </c>
      <c r="Q3117" t="s">
        <v>159</v>
      </c>
    </row>
    <row r="3118" spans="9:17" x14ac:dyDescent="0.45">
      <c r="I3118" t="s">
        <v>203</v>
      </c>
      <c r="J3118" t="s">
        <v>318</v>
      </c>
      <c r="K3118">
        <v>2.2682584264190767E-3</v>
      </c>
      <c r="L3118" t="s">
        <v>159</v>
      </c>
      <c r="N3118" t="s">
        <v>246</v>
      </c>
      <c r="O3118" t="s">
        <v>318</v>
      </c>
      <c r="P3118">
        <v>1.7210249120904395E-2</v>
      </c>
      <c r="Q3118" t="s">
        <v>159</v>
      </c>
    </row>
    <row r="3119" spans="9:17" x14ac:dyDescent="0.45">
      <c r="I3119" t="s">
        <v>204</v>
      </c>
      <c r="J3119" t="s">
        <v>158</v>
      </c>
      <c r="K3119">
        <v>1.5124999044531718E-4</v>
      </c>
      <c r="L3119" t="s">
        <v>159</v>
      </c>
      <c r="N3119" t="s">
        <v>247</v>
      </c>
      <c r="O3119" t="s">
        <v>158</v>
      </c>
      <c r="P3119">
        <v>9.2754604245286934E-2</v>
      </c>
      <c r="Q3119" t="s">
        <v>159</v>
      </c>
    </row>
    <row r="3120" spans="9:17" x14ac:dyDescent="0.45">
      <c r="I3120" t="s">
        <v>204</v>
      </c>
      <c r="J3120" t="s">
        <v>160</v>
      </c>
      <c r="K3120">
        <v>1.4675436000427453E-2</v>
      </c>
      <c r="L3120" t="s">
        <v>159</v>
      </c>
      <c r="N3120" t="s">
        <v>247</v>
      </c>
      <c r="O3120" t="s">
        <v>160</v>
      </c>
      <c r="P3120">
        <v>1.3946490840891067E-2</v>
      </c>
      <c r="Q3120" t="s">
        <v>159</v>
      </c>
    </row>
    <row r="3121" spans="9:17" x14ac:dyDescent="0.45">
      <c r="I3121" t="s">
        <v>204</v>
      </c>
      <c r="J3121" t="s">
        <v>161</v>
      </c>
      <c r="K3121">
        <v>0.38559586023089226</v>
      </c>
      <c r="L3121" t="s">
        <v>159</v>
      </c>
      <c r="N3121" t="s">
        <v>247</v>
      </c>
      <c r="O3121" t="s">
        <v>161</v>
      </c>
      <c r="P3121">
        <v>0.20137161519001751</v>
      </c>
      <c r="Q3121" t="s">
        <v>159</v>
      </c>
    </row>
    <row r="3122" spans="9:17" x14ac:dyDescent="0.45">
      <c r="I3122" t="s">
        <v>204</v>
      </c>
      <c r="J3122" t="s">
        <v>287</v>
      </c>
      <c r="K3122">
        <v>3.500371244716325E-2</v>
      </c>
      <c r="L3122" t="s">
        <v>159</v>
      </c>
      <c r="N3122" t="s">
        <v>247</v>
      </c>
      <c r="O3122" t="s">
        <v>287</v>
      </c>
      <c r="P3122">
        <v>3.6841567352360473E-2</v>
      </c>
      <c r="Q3122" t="s">
        <v>159</v>
      </c>
    </row>
    <row r="3123" spans="9:17" x14ac:dyDescent="0.45">
      <c r="I3123" t="s">
        <v>204</v>
      </c>
      <c r="J3123" t="s">
        <v>288</v>
      </c>
      <c r="K3123">
        <v>2.1768499684367063E-2</v>
      </c>
      <c r="L3123" t="s">
        <v>159</v>
      </c>
      <c r="N3123" t="s">
        <v>247</v>
      </c>
      <c r="O3123" t="s">
        <v>288</v>
      </c>
      <c r="P3123">
        <v>3.3615899731397877E-2</v>
      </c>
      <c r="Q3123" t="s">
        <v>159</v>
      </c>
    </row>
    <row r="3124" spans="9:17" x14ac:dyDescent="0.45">
      <c r="I3124" t="s">
        <v>204</v>
      </c>
      <c r="J3124" t="s">
        <v>308</v>
      </c>
      <c r="K3124">
        <v>7.8250628481517596E-3</v>
      </c>
      <c r="L3124" t="s">
        <v>159</v>
      </c>
      <c r="N3124" t="s">
        <v>247</v>
      </c>
      <c r="O3124" t="s">
        <v>308</v>
      </c>
      <c r="P3124">
        <v>0.10399997253909878</v>
      </c>
      <c r="Q3124" t="s">
        <v>159</v>
      </c>
    </row>
    <row r="3125" spans="9:17" x14ac:dyDescent="0.45">
      <c r="I3125" t="s">
        <v>204</v>
      </c>
      <c r="J3125" t="s">
        <v>162</v>
      </c>
      <c r="K3125">
        <v>0</v>
      </c>
      <c r="L3125" t="s">
        <v>159</v>
      </c>
      <c r="N3125" t="s">
        <v>247</v>
      </c>
      <c r="O3125" t="s">
        <v>162</v>
      </c>
      <c r="P3125">
        <v>1.633257619027572E-2</v>
      </c>
      <c r="Q3125" t="s">
        <v>159</v>
      </c>
    </row>
    <row r="3126" spans="9:17" x14ac:dyDescent="0.45">
      <c r="I3126" t="s">
        <v>204</v>
      </c>
      <c r="J3126" t="s">
        <v>163</v>
      </c>
      <c r="K3126">
        <v>0</v>
      </c>
      <c r="L3126" t="s">
        <v>159</v>
      </c>
      <c r="N3126" t="s">
        <v>247</v>
      </c>
      <c r="O3126" t="s">
        <v>163</v>
      </c>
      <c r="P3126">
        <v>2.6498721192197193E-3</v>
      </c>
      <c r="Q3126" t="s">
        <v>159</v>
      </c>
    </row>
    <row r="3127" spans="9:17" x14ac:dyDescent="0.45">
      <c r="I3127" t="s">
        <v>204</v>
      </c>
      <c r="J3127" t="s">
        <v>164</v>
      </c>
      <c r="K3127">
        <v>4.9437240226678628E-2</v>
      </c>
      <c r="L3127" t="s">
        <v>159</v>
      </c>
      <c r="N3127" t="s">
        <v>247</v>
      </c>
      <c r="O3127" t="s">
        <v>164</v>
      </c>
      <c r="P3127">
        <v>2.3284685283690893E-2</v>
      </c>
      <c r="Q3127" t="s">
        <v>159</v>
      </c>
    </row>
    <row r="3128" spans="9:17" x14ac:dyDescent="0.45">
      <c r="I3128" t="s">
        <v>204</v>
      </c>
      <c r="J3128" t="s">
        <v>289</v>
      </c>
      <c r="K3128">
        <v>4.3873861457998532E-3</v>
      </c>
      <c r="L3128" t="s">
        <v>159</v>
      </c>
      <c r="N3128" t="s">
        <v>247</v>
      </c>
      <c r="O3128" t="s">
        <v>289</v>
      </c>
      <c r="P3128">
        <v>2.5477223838560018E-3</v>
      </c>
      <c r="Q3128" t="s">
        <v>159</v>
      </c>
    </row>
    <row r="3129" spans="9:17" x14ac:dyDescent="0.45">
      <c r="I3129" t="s">
        <v>204</v>
      </c>
      <c r="J3129" t="s">
        <v>290</v>
      </c>
      <c r="K3129">
        <v>8.4285925680423711E-4</v>
      </c>
      <c r="L3129" t="s">
        <v>159</v>
      </c>
      <c r="N3129" t="s">
        <v>247</v>
      </c>
      <c r="O3129" t="s">
        <v>290</v>
      </c>
      <c r="P3129">
        <v>2.4380536029841174E-3</v>
      </c>
      <c r="Q3129" t="s">
        <v>159</v>
      </c>
    </row>
    <row r="3130" spans="9:17" x14ac:dyDescent="0.45">
      <c r="I3130" t="s">
        <v>204</v>
      </c>
      <c r="J3130" t="s">
        <v>309</v>
      </c>
      <c r="K3130">
        <v>0</v>
      </c>
      <c r="L3130" t="s">
        <v>159</v>
      </c>
      <c r="N3130" t="s">
        <v>247</v>
      </c>
      <c r="O3130" t="s">
        <v>309</v>
      </c>
      <c r="P3130">
        <v>1.0999755404453537E-2</v>
      </c>
      <c r="Q3130" t="s">
        <v>159</v>
      </c>
    </row>
    <row r="3131" spans="9:17" x14ac:dyDescent="0.45">
      <c r="I3131" t="s">
        <v>204</v>
      </c>
      <c r="J3131" t="s">
        <v>346</v>
      </c>
      <c r="K3131">
        <v>0</v>
      </c>
      <c r="L3131" t="s">
        <v>159</v>
      </c>
      <c r="N3131" t="s">
        <v>247</v>
      </c>
      <c r="O3131" t="s">
        <v>346</v>
      </c>
      <c r="P3131">
        <v>1.1893197757532805E-5</v>
      </c>
      <c r="Q3131" t="s">
        <v>159</v>
      </c>
    </row>
    <row r="3132" spans="9:17" x14ac:dyDescent="0.45">
      <c r="I3132" t="s">
        <v>204</v>
      </c>
      <c r="J3132" t="s">
        <v>347</v>
      </c>
      <c r="K3132">
        <v>0</v>
      </c>
      <c r="L3132" t="s">
        <v>159</v>
      </c>
      <c r="N3132" t="s">
        <v>247</v>
      </c>
      <c r="O3132" t="s">
        <v>347</v>
      </c>
      <c r="P3132">
        <v>9.5593797623428658E-6</v>
      </c>
      <c r="Q3132" t="s">
        <v>159</v>
      </c>
    </row>
    <row r="3133" spans="9:17" x14ac:dyDescent="0.45">
      <c r="I3133" t="s">
        <v>204</v>
      </c>
      <c r="J3133" t="s">
        <v>348</v>
      </c>
      <c r="K3133">
        <v>0</v>
      </c>
      <c r="L3133" t="s">
        <v>159</v>
      </c>
      <c r="N3133" t="s">
        <v>247</v>
      </c>
      <c r="O3133" t="s">
        <v>348</v>
      </c>
      <c r="P3133">
        <v>7.6426295179135874E-6</v>
      </c>
      <c r="Q3133" t="s">
        <v>159</v>
      </c>
    </row>
    <row r="3134" spans="9:17" x14ac:dyDescent="0.45">
      <c r="I3134" t="s">
        <v>204</v>
      </c>
      <c r="J3134" t="s">
        <v>349</v>
      </c>
      <c r="K3134">
        <v>0</v>
      </c>
      <c r="L3134" t="s">
        <v>159</v>
      </c>
      <c r="N3134" t="s">
        <v>247</v>
      </c>
      <c r="O3134" t="s">
        <v>349</v>
      </c>
      <c r="P3134">
        <v>6.3791738011955985E-6</v>
      </c>
      <c r="Q3134" t="s">
        <v>159</v>
      </c>
    </row>
    <row r="3135" spans="9:17" x14ac:dyDescent="0.45">
      <c r="I3135" t="s">
        <v>204</v>
      </c>
      <c r="J3135" t="s">
        <v>350</v>
      </c>
      <c r="K3135">
        <v>0</v>
      </c>
      <c r="L3135" t="s">
        <v>159</v>
      </c>
      <c r="N3135" t="s">
        <v>247</v>
      </c>
      <c r="O3135" t="s">
        <v>350</v>
      </c>
      <c r="P3135">
        <v>2.7680390323567226E-6</v>
      </c>
      <c r="Q3135" t="s">
        <v>159</v>
      </c>
    </row>
    <row r="3136" spans="9:17" x14ac:dyDescent="0.45">
      <c r="I3136" t="s">
        <v>204</v>
      </c>
      <c r="J3136" t="s">
        <v>351</v>
      </c>
      <c r="K3136">
        <v>0</v>
      </c>
      <c r="L3136" t="s">
        <v>159</v>
      </c>
      <c r="N3136" t="s">
        <v>247</v>
      </c>
      <c r="O3136" t="s">
        <v>351</v>
      </c>
      <c r="P3136">
        <v>2.987603243923155E-6</v>
      </c>
      <c r="Q3136" t="s">
        <v>159</v>
      </c>
    </row>
    <row r="3137" spans="9:17" x14ac:dyDescent="0.45">
      <c r="I3137" t="s">
        <v>204</v>
      </c>
      <c r="J3137" t="s">
        <v>352</v>
      </c>
      <c r="K3137">
        <v>0</v>
      </c>
      <c r="L3137" t="s">
        <v>159</v>
      </c>
      <c r="N3137" t="s">
        <v>247</v>
      </c>
      <c r="O3137" t="s">
        <v>352</v>
      </c>
      <c r="P3137">
        <v>4.7409512333775569E-6</v>
      </c>
      <c r="Q3137" t="s">
        <v>159</v>
      </c>
    </row>
    <row r="3138" spans="9:17" x14ac:dyDescent="0.45">
      <c r="I3138" t="s">
        <v>204</v>
      </c>
      <c r="J3138" t="s">
        <v>353</v>
      </c>
      <c r="K3138">
        <v>0</v>
      </c>
      <c r="L3138" t="s">
        <v>159</v>
      </c>
      <c r="N3138" t="s">
        <v>247</v>
      </c>
      <c r="O3138" t="s">
        <v>353</v>
      </c>
      <c r="P3138">
        <v>7.2783537132033021E-6</v>
      </c>
      <c r="Q3138" t="s">
        <v>159</v>
      </c>
    </row>
    <row r="3139" spans="9:17" x14ac:dyDescent="0.45">
      <c r="I3139" t="s">
        <v>204</v>
      </c>
      <c r="J3139" t="s">
        <v>354</v>
      </c>
      <c r="K3139">
        <v>1.3049249092530947E-4</v>
      </c>
      <c r="L3139" t="s">
        <v>159</v>
      </c>
      <c r="N3139" t="s">
        <v>247</v>
      </c>
      <c r="O3139" t="s">
        <v>354</v>
      </c>
      <c r="P3139">
        <v>1.1257235565075505E-5</v>
      </c>
      <c r="Q3139" t="s">
        <v>159</v>
      </c>
    </row>
    <row r="3140" spans="9:17" x14ac:dyDescent="0.45">
      <c r="I3140" t="s">
        <v>204</v>
      </c>
      <c r="J3140" t="s">
        <v>355</v>
      </c>
      <c r="K3140">
        <v>1.8237209839133274E-4</v>
      </c>
      <c r="L3140" t="s">
        <v>159</v>
      </c>
      <c r="N3140" t="s">
        <v>247</v>
      </c>
      <c r="O3140" t="s">
        <v>355</v>
      </c>
      <c r="P3140">
        <v>9.7433133096876233E-6</v>
      </c>
      <c r="Q3140" t="s">
        <v>159</v>
      </c>
    </row>
    <row r="3141" spans="9:17" x14ac:dyDescent="0.45">
      <c r="I3141" t="s">
        <v>204</v>
      </c>
      <c r="J3141" t="s">
        <v>356</v>
      </c>
      <c r="K3141">
        <v>1.8896870180093155E-4</v>
      </c>
      <c r="L3141" t="s">
        <v>159</v>
      </c>
      <c r="N3141" t="s">
        <v>247</v>
      </c>
      <c r="O3141" t="s">
        <v>356</v>
      </c>
      <c r="P3141">
        <v>3.6042637875172491E-6</v>
      </c>
      <c r="Q3141" t="s">
        <v>159</v>
      </c>
    </row>
    <row r="3142" spans="9:17" x14ac:dyDescent="0.45">
      <c r="I3142" t="s">
        <v>204</v>
      </c>
      <c r="J3142" t="s">
        <v>357</v>
      </c>
      <c r="K3142">
        <v>1.9805736894092885E-4</v>
      </c>
      <c r="L3142" t="s">
        <v>159</v>
      </c>
      <c r="N3142" t="s">
        <v>247</v>
      </c>
      <c r="O3142" t="s">
        <v>357</v>
      </c>
      <c r="P3142">
        <v>7.213674862433446E-6</v>
      </c>
      <c r="Q3142" t="s">
        <v>159</v>
      </c>
    </row>
    <row r="3143" spans="9:17" x14ac:dyDescent="0.45">
      <c r="I3143" t="s">
        <v>204</v>
      </c>
      <c r="J3143" t="s">
        <v>358</v>
      </c>
      <c r="K3143">
        <v>2.2816093019644473E-4</v>
      </c>
      <c r="L3143" t="s">
        <v>159</v>
      </c>
      <c r="N3143" t="s">
        <v>247</v>
      </c>
      <c r="O3143" t="s">
        <v>358</v>
      </c>
      <c r="P3143">
        <v>1.6683868215455356E-5</v>
      </c>
      <c r="Q3143" t="s">
        <v>159</v>
      </c>
    </row>
    <row r="3144" spans="9:17" x14ac:dyDescent="0.45">
      <c r="I3144" t="s">
        <v>204</v>
      </c>
      <c r="J3144" t="s">
        <v>359</v>
      </c>
      <c r="K3144">
        <v>2.4936795037863979E-4</v>
      </c>
      <c r="L3144" t="s">
        <v>159</v>
      </c>
      <c r="N3144" t="s">
        <v>247</v>
      </c>
      <c r="O3144" t="s">
        <v>359</v>
      </c>
      <c r="P3144">
        <v>2.1066768997861108E-5</v>
      </c>
      <c r="Q3144" t="s">
        <v>159</v>
      </c>
    </row>
    <row r="3145" spans="9:17" x14ac:dyDescent="0.45">
      <c r="I3145" t="s">
        <v>204</v>
      </c>
      <c r="J3145" t="s">
        <v>360</v>
      </c>
      <c r="K3145">
        <v>2.0855592697740607E-4</v>
      </c>
      <c r="L3145" t="s">
        <v>159</v>
      </c>
      <c r="N3145" t="s">
        <v>247</v>
      </c>
      <c r="O3145" t="s">
        <v>360</v>
      </c>
      <c r="P3145">
        <v>2.8647020876461027E-5</v>
      </c>
      <c r="Q3145" t="s">
        <v>159</v>
      </c>
    </row>
    <row r="3146" spans="9:17" x14ac:dyDescent="0.45">
      <c r="I3146" t="s">
        <v>204</v>
      </c>
      <c r="J3146" t="s">
        <v>361</v>
      </c>
      <c r="K3146">
        <v>1.8297361312921435E-4</v>
      </c>
      <c r="L3146" t="s">
        <v>159</v>
      </c>
      <c r="N3146" t="s">
        <v>247</v>
      </c>
      <c r="O3146" t="s">
        <v>361</v>
      </c>
      <c r="P3146">
        <v>4.0676918937170364E-5</v>
      </c>
      <c r="Q3146" t="s">
        <v>159</v>
      </c>
    </row>
    <row r="3147" spans="9:17" x14ac:dyDescent="0.45">
      <c r="I3147" t="s">
        <v>204</v>
      </c>
      <c r="J3147" t="s">
        <v>362</v>
      </c>
      <c r="K3147">
        <v>1.7334802424731017E-4</v>
      </c>
      <c r="L3147" t="s">
        <v>159</v>
      </c>
      <c r="N3147" t="s">
        <v>247</v>
      </c>
      <c r="O3147" t="s">
        <v>362</v>
      </c>
      <c r="P3147">
        <v>5.532234238064043E-5</v>
      </c>
      <c r="Q3147" t="s">
        <v>159</v>
      </c>
    </row>
    <row r="3148" spans="9:17" x14ac:dyDescent="0.45">
      <c r="I3148" t="s">
        <v>204</v>
      </c>
      <c r="J3148" t="s">
        <v>363</v>
      </c>
      <c r="K3148">
        <v>1.3863323047172413E-4</v>
      </c>
      <c r="L3148" t="s">
        <v>159</v>
      </c>
      <c r="N3148" t="s">
        <v>247</v>
      </c>
      <c r="O3148" t="s">
        <v>363</v>
      </c>
      <c r="P3148">
        <v>7.5280254471411985E-5</v>
      </c>
      <c r="Q3148" t="s">
        <v>159</v>
      </c>
    </row>
    <row r="3149" spans="9:17" x14ac:dyDescent="0.45">
      <c r="I3149" t="s">
        <v>204</v>
      </c>
      <c r="J3149" t="s">
        <v>364</v>
      </c>
      <c r="K3149">
        <v>2.4244433837021744E-5</v>
      </c>
      <c r="L3149" t="s">
        <v>159</v>
      </c>
      <c r="N3149" t="s">
        <v>247</v>
      </c>
      <c r="O3149" t="s">
        <v>364</v>
      </c>
      <c r="P3149">
        <v>8.5843985917167498E-5</v>
      </c>
      <c r="Q3149" t="s">
        <v>159</v>
      </c>
    </row>
    <row r="3150" spans="9:17" x14ac:dyDescent="0.45">
      <c r="I3150" t="s">
        <v>204</v>
      </c>
      <c r="J3150" t="s">
        <v>365</v>
      </c>
      <c r="K3150">
        <v>0</v>
      </c>
      <c r="L3150" t="s">
        <v>159</v>
      </c>
      <c r="N3150" t="s">
        <v>247</v>
      </c>
      <c r="O3150" t="s">
        <v>365</v>
      </c>
      <c r="P3150">
        <v>8.0120233550247228E-5</v>
      </c>
      <c r="Q3150" t="s">
        <v>159</v>
      </c>
    </row>
    <row r="3151" spans="9:17" x14ac:dyDescent="0.45">
      <c r="I3151" t="s">
        <v>204</v>
      </c>
      <c r="J3151" t="s">
        <v>366</v>
      </c>
      <c r="K3151">
        <v>0</v>
      </c>
      <c r="L3151" t="s">
        <v>159</v>
      </c>
      <c r="N3151" t="s">
        <v>247</v>
      </c>
      <c r="O3151" t="s">
        <v>366</v>
      </c>
      <c r="P3151">
        <v>6.8620250653414803E-5</v>
      </c>
      <c r="Q3151" t="s">
        <v>159</v>
      </c>
    </row>
    <row r="3152" spans="9:17" x14ac:dyDescent="0.45">
      <c r="I3152" t="s">
        <v>204</v>
      </c>
      <c r="J3152" t="s">
        <v>367</v>
      </c>
      <c r="K3152">
        <v>0</v>
      </c>
      <c r="L3152" t="s">
        <v>159</v>
      </c>
      <c r="N3152" t="s">
        <v>247</v>
      </c>
      <c r="O3152" t="s">
        <v>367</v>
      </c>
      <c r="P3152">
        <v>6.9702351072772068E-5</v>
      </c>
      <c r="Q3152" t="s">
        <v>159</v>
      </c>
    </row>
    <row r="3153" spans="9:17" x14ac:dyDescent="0.45">
      <c r="I3153" t="s">
        <v>204</v>
      </c>
      <c r="J3153" t="s">
        <v>368</v>
      </c>
      <c r="K3153">
        <v>0</v>
      </c>
      <c r="L3153" t="s">
        <v>159</v>
      </c>
      <c r="N3153" t="s">
        <v>247</v>
      </c>
      <c r="O3153" t="s">
        <v>368</v>
      </c>
      <c r="P3153">
        <v>7.2457964575514366E-5</v>
      </c>
      <c r="Q3153" t="s">
        <v>159</v>
      </c>
    </row>
    <row r="3154" spans="9:17" x14ac:dyDescent="0.45">
      <c r="I3154" t="s">
        <v>204</v>
      </c>
      <c r="J3154" t="s">
        <v>369</v>
      </c>
      <c r="K3154">
        <v>0</v>
      </c>
      <c r="L3154" t="s">
        <v>159</v>
      </c>
      <c r="N3154" t="s">
        <v>247</v>
      </c>
      <c r="O3154" t="s">
        <v>369</v>
      </c>
      <c r="P3154">
        <v>5.8429305773326153E-5</v>
      </c>
      <c r="Q3154" t="s">
        <v>159</v>
      </c>
    </row>
    <row r="3155" spans="9:17" x14ac:dyDescent="0.45">
      <c r="I3155" t="s">
        <v>204</v>
      </c>
      <c r="J3155" t="s">
        <v>165</v>
      </c>
      <c r="K3155">
        <v>0</v>
      </c>
      <c r="L3155" t="s">
        <v>159</v>
      </c>
      <c r="N3155" t="s">
        <v>247</v>
      </c>
      <c r="O3155" t="s">
        <v>165</v>
      </c>
      <c r="P3155">
        <v>2.7389587032442559E-2</v>
      </c>
      <c r="Q3155" t="s">
        <v>159</v>
      </c>
    </row>
    <row r="3156" spans="9:17" x14ac:dyDescent="0.45">
      <c r="I3156" t="s">
        <v>204</v>
      </c>
      <c r="J3156" t="s">
        <v>166</v>
      </c>
      <c r="K3156">
        <v>0</v>
      </c>
      <c r="L3156" t="s">
        <v>159</v>
      </c>
      <c r="N3156" t="s">
        <v>247</v>
      </c>
      <c r="O3156" t="s">
        <v>166</v>
      </c>
      <c r="P3156">
        <v>4.4523296715133897E-3</v>
      </c>
      <c r="Q3156" t="s">
        <v>159</v>
      </c>
    </row>
    <row r="3157" spans="9:17" x14ac:dyDescent="0.45">
      <c r="I3157" t="s">
        <v>204</v>
      </c>
      <c r="J3157" t="s">
        <v>167</v>
      </c>
      <c r="K3157">
        <v>6.4058520894143503E-2</v>
      </c>
      <c r="L3157" t="s">
        <v>159</v>
      </c>
      <c r="N3157" t="s">
        <v>247</v>
      </c>
      <c r="O3157" t="s">
        <v>167</v>
      </c>
      <c r="P3157">
        <v>4.2423254543367692E-2</v>
      </c>
      <c r="Q3157" t="s">
        <v>159</v>
      </c>
    </row>
    <row r="3158" spans="9:17" x14ac:dyDescent="0.45">
      <c r="I3158" t="s">
        <v>204</v>
      </c>
      <c r="J3158" t="s">
        <v>291</v>
      </c>
      <c r="K3158">
        <v>5.9692627087153298E-3</v>
      </c>
      <c r="L3158" t="s">
        <v>159</v>
      </c>
      <c r="N3158" t="s">
        <v>247</v>
      </c>
      <c r="O3158" t="s">
        <v>291</v>
      </c>
      <c r="P3158">
        <v>4.1901326779760807E-3</v>
      </c>
      <c r="Q3158" t="s">
        <v>159</v>
      </c>
    </row>
    <row r="3159" spans="9:17" x14ac:dyDescent="0.45">
      <c r="I3159" t="s">
        <v>204</v>
      </c>
      <c r="J3159" t="s">
        <v>292</v>
      </c>
      <c r="K3159">
        <v>3.9280230668461182E-3</v>
      </c>
      <c r="L3159" t="s">
        <v>159</v>
      </c>
      <c r="N3159" t="s">
        <v>247</v>
      </c>
      <c r="O3159" t="s">
        <v>292</v>
      </c>
      <c r="P3159">
        <v>3.9892905762090227E-3</v>
      </c>
      <c r="Q3159" t="s">
        <v>159</v>
      </c>
    </row>
    <row r="3160" spans="9:17" x14ac:dyDescent="0.45">
      <c r="I3160" t="s">
        <v>204</v>
      </c>
      <c r="J3160" t="s">
        <v>310</v>
      </c>
      <c r="K3160">
        <v>0</v>
      </c>
      <c r="L3160" t="s">
        <v>159</v>
      </c>
      <c r="N3160" t="s">
        <v>247</v>
      </c>
      <c r="O3160" t="s">
        <v>310</v>
      </c>
      <c r="P3160">
        <v>1.7120102908908176E-2</v>
      </c>
      <c r="Q3160" t="s">
        <v>159</v>
      </c>
    </row>
    <row r="3161" spans="9:17" x14ac:dyDescent="0.45">
      <c r="I3161" t="s">
        <v>204</v>
      </c>
      <c r="J3161" t="s">
        <v>293</v>
      </c>
      <c r="K3161">
        <v>0</v>
      </c>
      <c r="L3161" t="s">
        <v>159</v>
      </c>
      <c r="N3161" t="s">
        <v>247</v>
      </c>
      <c r="O3161" t="s">
        <v>293</v>
      </c>
      <c r="P3161">
        <v>3.8882845451412604E-3</v>
      </c>
      <c r="Q3161" t="s">
        <v>159</v>
      </c>
    </row>
    <row r="3162" spans="9:17" x14ac:dyDescent="0.45">
      <c r="I3162" t="s">
        <v>204</v>
      </c>
      <c r="J3162" t="s">
        <v>294</v>
      </c>
      <c r="K3162">
        <v>5.4207721575277697E-5</v>
      </c>
      <c r="L3162" t="s">
        <v>159</v>
      </c>
      <c r="N3162" t="s">
        <v>247</v>
      </c>
      <c r="O3162" t="s">
        <v>294</v>
      </c>
      <c r="P3162">
        <v>6.716484688981105E-4</v>
      </c>
      <c r="Q3162" t="s">
        <v>159</v>
      </c>
    </row>
    <row r="3163" spans="9:17" x14ac:dyDescent="0.45">
      <c r="I3163" t="s">
        <v>204</v>
      </c>
      <c r="J3163" t="s">
        <v>295</v>
      </c>
      <c r="K3163">
        <v>1.5407652619258609E-2</v>
      </c>
      <c r="L3163" t="s">
        <v>159</v>
      </c>
      <c r="N3163" t="s">
        <v>247</v>
      </c>
      <c r="O3163" t="s">
        <v>295</v>
      </c>
      <c r="P3163">
        <v>6.4822670098619488E-3</v>
      </c>
      <c r="Q3163" t="s">
        <v>159</v>
      </c>
    </row>
    <row r="3164" spans="9:17" x14ac:dyDescent="0.45">
      <c r="I3164" t="s">
        <v>204</v>
      </c>
      <c r="J3164" t="s">
        <v>296</v>
      </c>
      <c r="K3164">
        <v>1.4540588618790118E-3</v>
      </c>
      <c r="L3164" t="s">
        <v>159</v>
      </c>
      <c r="N3164" t="s">
        <v>247</v>
      </c>
      <c r="O3164" t="s">
        <v>296</v>
      </c>
      <c r="P3164">
        <v>9.5871852168521359E-4</v>
      </c>
      <c r="Q3164" t="s">
        <v>159</v>
      </c>
    </row>
    <row r="3165" spans="9:17" x14ac:dyDescent="0.45">
      <c r="I3165" t="s">
        <v>204</v>
      </c>
      <c r="J3165" t="s">
        <v>297</v>
      </c>
      <c r="K3165">
        <v>9.2139029661773885E-4</v>
      </c>
      <c r="L3165" t="s">
        <v>159</v>
      </c>
      <c r="N3165" t="s">
        <v>247</v>
      </c>
      <c r="O3165" t="s">
        <v>297</v>
      </c>
      <c r="P3165">
        <v>9.2304734807938907E-4</v>
      </c>
      <c r="Q3165" t="s">
        <v>159</v>
      </c>
    </row>
    <row r="3166" spans="9:17" x14ac:dyDescent="0.45">
      <c r="I3166" t="s">
        <v>204</v>
      </c>
      <c r="J3166" t="s">
        <v>311</v>
      </c>
      <c r="K3166">
        <v>0</v>
      </c>
      <c r="L3166" t="s">
        <v>159</v>
      </c>
      <c r="N3166" t="s">
        <v>247</v>
      </c>
      <c r="O3166" t="s">
        <v>311</v>
      </c>
      <c r="P3166">
        <v>3.4112300169221502E-3</v>
      </c>
      <c r="Q3166" t="s">
        <v>159</v>
      </c>
    </row>
    <row r="3167" spans="9:17" x14ac:dyDescent="0.45">
      <c r="I3167" t="s">
        <v>204</v>
      </c>
      <c r="J3167" t="s">
        <v>298</v>
      </c>
      <c r="K3167">
        <v>3.0607558023827246E-3</v>
      </c>
      <c r="L3167" t="s">
        <v>159</v>
      </c>
      <c r="N3167" t="s">
        <v>247</v>
      </c>
      <c r="O3167" t="s">
        <v>298</v>
      </c>
      <c r="P3167">
        <v>4.2580184642798773E-2</v>
      </c>
      <c r="Q3167" t="s">
        <v>159</v>
      </c>
    </row>
    <row r="3168" spans="9:17" x14ac:dyDescent="0.45">
      <c r="I3168" t="s">
        <v>204</v>
      </c>
      <c r="J3168" t="s">
        <v>299</v>
      </c>
      <c r="K3168">
        <v>1.5455538285392619E-2</v>
      </c>
      <c r="L3168" t="s">
        <v>159</v>
      </c>
      <c r="N3168" t="s">
        <v>247</v>
      </c>
      <c r="O3168" t="s">
        <v>299</v>
      </c>
      <c r="P3168">
        <v>5.170456617029931E-3</v>
      </c>
      <c r="Q3168" t="s">
        <v>159</v>
      </c>
    </row>
    <row r="3169" spans="9:17" x14ac:dyDescent="0.45">
      <c r="I3169" t="s">
        <v>204</v>
      </c>
      <c r="J3169" t="s">
        <v>300</v>
      </c>
      <c r="K3169">
        <v>0.24539197991209721</v>
      </c>
      <c r="L3169" t="s">
        <v>159</v>
      </c>
      <c r="N3169" t="s">
        <v>247</v>
      </c>
      <c r="O3169" t="s">
        <v>300</v>
      </c>
      <c r="P3169">
        <v>0.11424415862542235</v>
      </c>
      <c r="Q3169" t="s">
        <v>159</v>
      </c>
    </row>
    <row r="3170" spans="9:17" x14ac:dyDescent="0.45">
      <c r="I3170" t="s">
        <v>204</v>
      </c>
      <c r="J3170" t="s">
        <v>301</v>
      </c>
      <c r="K3170">
        <v>2.0752868516853797E-2</v>
      </c>
      <c r="L3170" t="s">
        <v>159</v>
      </c>
      <c r="N3170" t="s">
        <v>247</v>
      </c>
      <c r="O3170" t="s">
        <v>301</v>
      </c>
      <c r="P3170">
        <v>2.2746338152944117E-2</v>
      </c>
      <c r="Q3170" t="s">
        <v>159</v>
      </c>
    </row>
    <row r="3171" spans="9:17" x14ac:dyDescent="0.45">
      <c r="I3171" t="s">
        <v>204</v>
      </c>
      <c r="J3171" t="s">
        <v>302</v>
      </c>
      <c r="K3171">
        <v>1.3548843104258837E-2</v>
      </c>
      <c r="L3171" t="s">
        <v>159</v>
      </c>
      <c r="N3171" t="s">
        <v>247</v>
      </c>
      <c r="O3171" t="s">
        <v>302</v>
      </c>
      <c r="P3171">
        <v>2.0370809252305076E-2</v>
      </c>
      <c r="Q3171" t="s">
        <v>159</v>
      </c>
    </row>
    <row r="3172" spans="9:17" x14ac:dyDescent="0.45">
      <c r="I3172" t="s">
        <v>204</v>
      </c>
      <c r="J3172" t="s">
        <v>312</v>
      </c>
      <c r="K3172">
        <v>7.7686653988583111E-4</v>
      </c>
      <c r="L3172" t="s">
        <v>159</v>
      </c>
      <c r="N3172" t="s">
        <v>247</v>
      </c>
      <c r="O3172" t="s">
        <v>312</v>
      </c>
      <c r="P3172">
        <v>5.9524062740260723E-2</v>
      </c>
      <c r="Q3172" t="s">
        <v>159</v>
      </c>
    </row>
    <row r="3173" spans="9:17" x14ac:dyDescent="0.45">
      <c r="I3173" t="s">
        <v>204</v>
      </c>
      <c r="J3173" t="s">
        <v>397</v>
      </c>
      <c r="K3173">
        <v>0</v>
      </c>
      <c r="L3173" t="s">
        <v>159</v>
      </c>
      <c r="N3173" t="s">
        <v>247</v>
      </c>
      <c r="O3173" t="s">
        <v>397</v>
      </c>
      <c r="P3173">
        <v>3.800904773557692E-5</v>
      </c>
      <c r="Q3173" t="s">
        <v>159</v>
      </c>
    </row>
    <row r="3174" spans="9:17" x14ac:dyDescent="0.45">
      <c r="I3174" t="s">
        <v>204</v>
      </c>
      <c r="J3174" t="s">
        <v>398</v>
      </c>
      <c r="K3174">
        <v>0</v>
      </c>
      <c r="L3174" t="s">
        <v>159</v>
      </c>
      <c r="N3174" t="s">
        <v>247</v>
      </c>
      <c r="O3174" t="s">
        <v>398</v>
      </c>
      <c r="P3174">
        <v>2.7603494146008817E-5</v>
      </c>
      <c r="Q3174" t="s">
        <v>159</v>
      </c>
    </row>
    <row r="3175" spans="9:17" x14ac:dyDescent="0.45">
      <c r="I3175" t="s">
        <v>204</v>
      </c>
      <c r="J3175" t="s">
        <v>399</v>
      </c>
      <c r="K3175">
        <v>0</v>
      </c>
      <c r="L3175" t="s">
        <v>159</v>
      </c>
      <c r="N3175" t="s">
        <v>247</v>
      </c>
      <c r="O3175" t="s">
        <v>399</v>
      </c>
      <c r="P3175">
        <v>2.2504999809398395E-5</v>
      </c>
      <c r="Q3175" t="s">
        <v>159</v>
      </c>
    </row>
    <row r="3176" spans="9:17" x14ac:dyDescent="0.45">
      <c r="I3176" t="s">
        <v>204</v>
      </c>
      <c r="J3176" t="s">
        <v>400</v>
      </c>
      <c r="K3176">
        <v>0</v>
      </c>
      <c r="L3176" t="s">
        <v>159</v>
      </c>
      <c r="N3176" t="s">
        <v>247</v>
      </c>
      <c r="O3176" t="s">
        <v>400</v>
      </c>
      <c r="P3176">
        <v>1.9165507033837198E-5</v>
      </c>
      <c r="Q3176" t="s">
        <v>159</v>
      </c>
    </row>
    <row r="3177" spans="9:17" x14ac:dyDescent="0.45">
      <c r="I3177" t="s">
        <v>204</v>
      </c>
      <c r="J3177" t="s">
        <v>401</v>
      </c>
      <c r="K3177">
        <v>0</v>
      </c>
      <c r="L3177" t="s">
        <v>159</v>
      </c>
      <c r="N3177" t="s">
        <v>247</v>
      </c>
      <c r="O3177" t="s">
        <v>401</v>
      </c>
      <c r="P3177">
        <v>1.581977048865458E-5</v>
      </c>
      <c r="Q3177" t="s">
        <v>159</v>
      </c>
    </row>
    <row r="3178" spans="9:17" x14ac:dyDescent="0.45">
      <c r="I3178" t="s">
        <v>204</v>
      </c>
      <c r="J3178" t="s">
        <v>402</v>
      </c>
      <c r="K3178">
        <v>0</v>
      </c>
      <c r="L3178" t="s">
        <v>159</v>
      </c>
      <c r="N3178" t="s">
        <v>247</v>
      </c>
      <c r="O3178" t="s">
        <v>402</v>
      </c>
      <c r="P3178">
        <v>1.4029272117620599E-5</v>
      </c>
      <c r="Q3178" t="s">
        <v>159</v>
      </c>
    </row>
    <row r="3179" spans="9:17" x14ac:dyDescent="0.45">
      <c r="I3179" t="s">
        <v>204</v>
      </c>
      <c r="J3179" t="s">
        <v>403</v>
      </c>
      <c r="K3179">
        <v>0</v>
      </c>
      <c r="L3179" t="s">
        <v>159</v>
      </c>
      <c r="N3179" t="s">
        <v>247</v>
      </c>
      <c r="O3179" t="s">
        <v>403</v>
      </c>
      <c r="P3179">
        <v>1.4177002280312473E-5</v>
      </c>
      <c r="Q3179" t="s">
        <v>159</v>
      </c>
    </row>
    <row r="3180" spans="9:17" x14ac:dyDescent="0.45">
      <c r="I3180" t="s">
        <v>204</v>
      </c>
      <c r="J3180" t="s">
        <v>404</v>
      </c>
      <c r="K3180">
        <v>1.5050554619857508E-4</v>
      </c>
      <c r="L3180" t="s">
        <v>159</v>
      </c>
      <c r="N3180" t="s">
        <v>247</v>
      </c>
      <c r="O3180" t="s">
        <v>404</v>
      </c>
      <c r="P3180">
        <v>1.8820000252067613E-5</v>
      </c>
      <c r="Q3180" t="s">
        <v>159</v>
      </c>
    </row>
    <row r="3181" spans="9:17" x14ac:dyDescent="0.45">
      <c r="I3181" t="s">
        <v>204</v>
      </c>
      <c r="J3181" t="s">
        <v>405</v>
      </c>
      <c r="K3181">
        <v>2.4471809362352451E-4</v>
      </c>
      <c r="L3181" t="s">
        <v>159</v>
      </c>
      <c r="N3181" t="s">
        <v>247</v>
      </c>
      <c r="O3181" t="s">
        <v>405</v>
      </c>
      <c r="P3181">
        <v>1.8031863558671691E-5</v>
      </c>
      <c r="Q3181" t="s">
        <v>159</v>
      </c>
    </row>
    <row r="3182" spans="9:17" x14ac:dyDescent="0.45">
      <c r="I3182" t="s">
        <v>204</v>
      </c>
      <c r="J3182" t="s">
        <v>406</v>
      </c>
      <c r="K3182">
        <v>2.8575557709670002E-4</v>
      </c>
      <c r="L3182" t="s">
        <v>159</v>
      </c>
      <c r="N3182" t="s">
        <v>247</v>
      </c>
      <c r="O3182" t="s">
        <v>406</v>
      </c>
      <c r="P3182">
        <v>2.964575926837844E-5</v>
      </c>
      <c r="Q3182" t="s">
        <v>159</v>
      </c>
    </row>
    <row r="3183" spans="9:17" x14ac:dyDescent="0.45">
      <c r="I3183" t="s">
        <v>204</v>
      </c>
      <c r="J3183" t="s">
        <v>407</v>
      </c>
      <c r="K3183">
        <v>2.9854532056303054E-4</v>
      </c>
      <c r="L3183" t="s">
        <v>159</v>
      </c>
      <c r="N3183" t="s">
        <v>247</v>
      </c>
      <c r="O3183" t="s">
        <v>407</v>
      </c>
      <c r="P3183">
        <v>4.3073656676969908E-5</v>
      </c>
      <c r="Q3183" t="s">
        <v>159</v>
      </c>
    </row>
    <row r="3184" spans="9:17" x14ac:dyDescent="0.45">
      <c r="I3184" t="s">
        <v>204</v>
      </c>
      <c r="J3184" t="s">
        <v>408</v>
      </c>
      <c r="K3184">
        <v>3.1067242775992564E-4</v>
      </c>
      <c r="L3184" t="s">
        <v>159</v>
      </c>
      <c r="N3184" t="s">
        <v>247</v>
      </c>
      <c r="O3184" t="s">
        <v>408</v>
      </c>
      <c r="P3184">
        <v>5.2087994253254886E-5</v>
      </c>
      <c r="Q3184" t="s">
        <v>159</v>
      </c>
    </row>
    <row r="3185" spans="9:17" x14ac:dyDescent="0.45">
      <c r="I3185" t="s">
        <v>204</v>
      </c>
      <c r="J3185" t="s">
        <v>409</v>
      </c>
      <c r="K3185">
        <v>3.2690398898752596E-4</v>
      </c>
      <c r="L3185" t="s">
        <v>159</v>
      </c>
      <c r="N3185" t="s">
        <v>247</v>
      </c>
      <c r="O3185" t="s">
        <v>409</v>
      </c>
      <c r="P3185">
        <v>6.8123580358331906E-5</v>
      </c>
      <c r="Q3185" t="s">
        <v>159</v>
      </c>
    </row>
    <row r="3186" spans="9:17" x14ac:dyDescent="0.45">
      <c r="I3186" t="s">
        <v>204</v>
      </c>
      <c r="J3186" t="s">
        <v>410</v>
      </c>
      <c r="K3186">
        <v>3.2792090884899437E-4</v>
      </c>
      <c r="L3186" t="s">
        <v>159</v>
      </c>
      <c r="N3186" t="s">
        <v>247</v>
      </c>
      <c r="O3186" t="s">
        <v>410</v>
      </c>
      <c r="P3186">
        <v>8.5542869295706289E-5</v>
      </c>
      <c r="Q3186" t="s">
        <v>159</v>
      </c>
    </row>
    <row r="3187" spans="9:17" x14ac:dyDescent="0.45">
      <c r="I3187" t="s">
        <v>204</v>
      </c>
      <c r="J3187" t="s">
        <v>411</v>
      </c>
      <c r="K3187">
        <v>2.9735579136801334E-4</v>
      </c>
      <c r="L3187" t="s">
        <v>159</v>
      </c>
      <c r="N3187" t="s">
        <v>247</v>
      </c>
      <c r="O3187" t="s">
        <v>411</v>
      </c>
      <c r="P3187">
        <v>1.0407490533954676E-4</v>
      </c>
      <c r="Q3187" t="s">
        <v>159</v>
      </c>
    </row>
    <row r="3188" spans="9:17" x14ac:dyDescent="0.45">
      <c r="I3188" t="s">
        <v>204</v>
      </c>
      <c r="J3188" t="s">
        <v>412</v>
      </c>
      <c r="K3188">
        <v>2.7847349317976097E-4</v>
      </c>
      <c r="L3188" t="s">
        <v>159</v>
      </c>
      <c r="N3188" t="s">
        <v>247</v>
      </c>
      <c r="O3188" t="s">
        <v>412</v>
      </c>
      <c r="P3188">
        <v>1.4412267033349707E-4</v>
      </c>
      <c r="Q3188" t="s">
        <v>159</v>
      </c>
    </row>
    <row r="3189" spans="9:17" x14ac:dyDescent="0.45">
      <c r="I3189" t="s">
        <v>204</v>
      </c>
      <c r="J3189" t="s">
        <v>413</v>
      </c>
      <c r="K3189">
        <v>2.6840530146513724E-4</v>
      </c>
      <c r="L3189" t="s">
        <v>159</v>
      </c>
      <c r="N3189" t="s">
        <v>247</v>
      </c>
      <c r="O3189" t="s">
        <v>413</v>
      </c>
      <c r="P3189">
        <v>1.8469854201243164E-4</v>
      </c>
      <c r="Q3189" t="s">
        <v>159</v>
      </c>
    </row>
    <row r="3190" spans="9:17" x14ac:dyDescent="0.45">
      <c r="I3190" t="s">
        <v>204</v>
      </c>
      <c r="J3190" t="s">
        <v>414</v>
      </c>
      <c r="K3190">
        <v>2.4617081085104249E-4</v>
      </c>
      <c r="L3190" t="s">
        <v>159</v>
      </c>
      <c r="N3190" t="s">
        <v>247</v>
      </c>
      <c r="O3190" t="s">
        <v>414</v>
      </c>
      <c r="P3190">
        <v>1.5908926569408564E-4</v>
      </c>
      <c r="Q3190" t="s">
        <v>159</v>
      </c>
    </row>
    <row r="3191" spans="9:17" x14ac:dyDescent="0.45">
      <c r="I3191" t="s">
        <v>204</v>
      </c>
      <c r="J3191" t="s">
        <v>415</v>
      </c>
      <c r="K3191">
        <v>1.5491734821438186E-4</v>
      </c>
      <c r="L3191" t="s">
        <v>159</v>
      </c>
      <c r="N3191" t="s">
        <v>247</v>
      </c>
      <c r="O3191" t="s">
        <v>415</v>
      </c>
      <c r="P3191">
        <v>1.2746810508737898E-4</v>
      </c>
      <c r="Q3191" t="s">
        <v>159</v>
      </c>
    </row>
    <row r="3192" spans="9:17" x14ac:dyDescent="0.45">
      <c r="I3192" t="s">
        <v>204</v>
      </c>
      <c r="J3192" t="s">
        <v>416</v>
      </c>
      <c r="K3192">
        <v>0</v>
      </c>
      <c r="L3192" t="s">
        <v>159</v>
      </c>
      <c r="N3192" t="s">
        <v>247</v>
      </c>
      <c r="O3192" t="s">
        <v>416</v>
      </c>
      <c r="P3192">
        <v>8.3119956463647651E-5</v>
      </c>
      <c r="Q3192" t="s">
        <v>159</v>
      </c>
    </row>
    <row r="3193" spans="9:17" x14ac:dyDescent="0.45">
      <c r="I3193" t="s">
        <v>204</v>
      </c>
      <c r="J3193" t="s">
        <v>417</v>
      </c>
      <c r="K3193">
        <v>0</v>
      </c>
      <c r="L3193" t="s">
        <v>159</v>
      </c>
      <c r="N3193" t="s">
        <v>247</v>
      </c>
      <c r="O3193" t="s">
        <v>417</v>
      </c>
      <c r="P3193">
        <v>6.1944740313012582E-5</v>
      </c>
      <c r="Q3193" t="s">
        <v>159</v>
      </c>
    </row>
    <row r="3194" spans="9:17" x14ac:dyDescent="0.45">
      <c r="I3194" t="s">
        <v>204</v>
      </c>
      <c r="J3194" t="s">
        <v>418</v>
      </c>
      <c r="K3194">
        <v>0</v>
      </c>
      <c r="L3194" t="s">
        <v>159</v>
      </c>
      <c r="N3194" t="s">
        <v>247</v>
      </c>
      <c r="O3194" t="s">
        <v>418</v>
      </c>
      <c r="P3194">
        <v>4.4545502730363843E-5</v>
      </c>
      <c r="Q3194" t="s">
        <v>159</v>
      </c>
    </row>
    <row r="3195" spans="9:17" x14ac:dyDescent="0.45">
      <c r="I3195" t="s">
        <v>204</v>
      </c>
      <c r="J3195" t="s">
        <v>419</v>
      </c>
      <c r="K3195">
        <v>0</v>
      </c>
      <c r="L3195" t="s">
        <v>159</v>
      </c>
      <c r="N3195" t="s">
        <v>247</v>
      </c>
      <c r="O3195" t="s">
        <v>419</v>
      </c>
      <c r="P3195">
        <v>3.1876332583620723E-5</v>
      </c>
      <c r="Q3195" t="s">
        <v>159</v>
      </c>
    </row>
    <row r="3196" spans="9:17" x14ac:dyDescent="0.45">
      <c r="I3196" t="s">
        <v>204</v>
      </c>
      <c r="J3196" t="s">
        <v>420</v>
      </c>
      <c r="K3196">
        <v>0</v>
      </c>
      <c r="L3196" t="s">
        <v>159</v>
      </c>
      <c r="N3196" t="s">
        <v>247</v>
      </c>
      <c r="O3196" t="s">
        <v>420</v>
      </c>
      <c r="P3196">
        <v>1.9647460980324964E-5</v>
      </c>
      <c r="Q3196" t="s">
        <v>159</v>
      </c>
    </row>
    <row r="3197" spans="9:17" x14ac:dyDescent="0.45">
      <c r="I3197" t="s">
        <v>204</v>
      </c>
      <c r="J3197" t="s">
        <v>313</v>
      </c>
      <c r="K3197">
        <v>1.870940781822356E-3</v>
      </c>
      <c r="L3197" t="s">
        <v>159</v>
      </c>
      <c r="N3197" t="s">
        <v>247</v>
      </c>
      <c r="O3197" t="s">
        <v>313</v>
      </c>
      <c r="P3197">
        <v>7.9738212202468267E-3</v>
      </c>
      <c r="Q3197" t="s">
        <v>159</v>
      </c>
    </row>
    <row r="3198" spans="9:17" x14ac:dyDescent="0.45">
      <c r="I3198" t="s">
        <v>204</v>
      </c>
      <c r="J3198" t="s">
        <v>314</v>
      </c>
      <c r="K3198">
        <v>3.9461369275982259E-3</v>
      </c>
      <c r="L3198" t="s">
        <v>159</v>
      </c>
      <c r="N3198" t="s">
        <v>247</v>
      </c>
      <c r="O3198" t="s">
        <v>314</v>
      </c>
      <c r="P3198">
        <v>8.970720313796883E-4</v>
      </c>
      <c r="Q3198" t="s">
        <v>159</v>
      </c>
    </row>
    <row r="3199" spans="9:17" x14ac:dyDescent="0.45">
      <c r="I3199" t="s">
        <v>204</v>
      </c>
      <c r="J3199" t="s">
        <v>315</v>
      </c>
      <c r="K3199">
        <v>6.638251356746476E-2</v>
      </c>
      <c r="L3199" t="s">
        <v>159</v>
      </c>
      <c r="N3199" t="s">
        <v>247</v>
      </c>
      <c r="O3199" t="s">
        <v>315</v>
      </c>
      <c r="P3199">
        <v>3.5182894055108833E-2</v>
      </c>
      <c r="Q3199" t="s">
        <v>159</v>
      </c>
    </row>
    <row r="3200" spans="9:17" x14ac:dyDescent="0.45">
      <c r="I3200" t="s">
        <v>204</v>
      </c>
      <c r="J3200" t="s">
        <v>316</v>
      </c>
      <c r="K3200">
        <v>5.6943331856629783E-3</v>
      </c>
      <c r="L3200" t="s">
        <v>159</v>
      </c>
      <c r="N3200" t="s">
        <v>247</v>
      </c>
      <c r="O3200" t="s">
        <v>316</v>
      </c>
      <c r="P3200">
        <v>8.6168079015103722E-3</v>
      </c>
      <c r="Q3200" t="s">
        <v>159</v>
      </c>
    </row>
    <row r="3201" spans="9:17" x14ac:dyDescent="0.45">
      <c r="I3201" t="s">
        <v>204</v>
      </c>
      <c r="J3201" t="s">
        <v>317</v>
      </c>
      <c r="K3201">
        <v>4.2271383420280188E-3</v>
      </c>
      <c r="L3201" t="s">
        <v>159</v>
      </c>
      <c r="N3201" t="s">
        <v>247</v>
      </c>
      <c r="O3201" t="s">
        <v>317</v>
      </c>
      <c r="P3201">
        <v>7.2517346784705967E-3</v>
      </c>
      <c r="Q3201" t="s">
        <v>159</v>
      </c>
    </row>
    <row r="3202" spans="9:17" x14ac:dyDescent="0.45">
      <c r="I3202" t="s">
        <v>204</v>
      </c>
      <c r="J3202" t="s">
        <v>318</v>
      </c>
      <c r="K3202">
        <v>2.3161426573358812E-3</v>
      </c>
      <c r="L3202" t="s">
        <v>159</v>
      </c>
      <c r="N3202" t="s">
        <v>247</v>
      </c>
      <c r="O3202" t="s">
        <v>318</v>
      </c>
      <c r="P3202">
        <v>1.6573810498163328E-2</v>
      </c>
      <c r="Q3202" t="s">
        <v>159</v>
      </c>
    </row>
    <row r="3203" spans="9:17" x14ac:dyDescent="0.45">
      <c r="I3203" t="s">
        <v>205</v>
      </c>
      <c r="J3203" t="s">
        <v>158</v>
      </c>
      <c r="K3203">
        <v>5.5513204474363692E-5</v>
      </c>
      <c r="L3203" t="s">
        <v>159</v>
      </c>
      <c r="N3203" t="s">
        <v>248</v>
      </c>
      <c r="O3203" t="s">
        <v>158</v>
      </c>
      <c r="P3203">
        <v>0.14911682755400094</v>
      </c>
      <c r="Q3203" t="s">
        <v>159</v>
      </c>
    </row>
    <row r="3204" spans="9:17" x14ac:dyDescent="0.45">
      <c r="I3204" t="s">
        <v>205</v>
      </c>
      <c r="J3204" t="s">
        <v>160</v>
      </c>
      <c r="K3204">
        <v>1.7500427891911186E-2</v>
      </c>
      <c r="L3204" t="s">
        <v>159</v>
      </c>
      <c r="N3204" t="s">
        <v>248</v>
      </c>
      <c r="O3204" t="s">
        <v>160</v>
      </c>
      <c r="P3204">
        <v>1.7109192499504374E-2</v>
      </c>
      <c r="Q3204" t="s">
        <v>159</v>
      </c>
    </row>
    <row r="3205" spans="9:17" x14ac:dyDescent="0.45">
      <c r="I3205" t="s">
        <v>205</v>
      </c>
      <c r="J3205" t="s">
        <v>161</v>
      </c>
      <c r="K3205">
        <v>0.38886140983129575</v>
      </c>
      <c r="L3205" t="s">
        <v>159</v>
      </c>
      <c r="N3205" t="s">
        <v>248</v>
      </c>
      <c r="O3205" t="s">
        <v>161</v>
      </c>
      <c r="P3205">
        <v>0.14765711638985576</v>
      </c>
      <c r="Q3205" t="s">
        <v>159</v>
      </c>
    </row>
    <row r="3206" spans="9:17" x14ac:dyDescent="0.45">
      <c r="I3206" t="s">
        <v>205</v>
      </c>
      <c r="J3206" t="s">
        <v>287</v>
      </c>
      <c r="K3206">
        <v>3.4860413564796869E-2</v>
      </c>
      <c r="L3206" t="s">
        <v>159</v>
      </c>
      <c r="N3206" t="s">
        <v>248</v>
      </c>
      <c r="O3206" t="s">
        <v>287</v>
      </c>
      <c r="P3206">
        <v>1.8872503736247707E-2</v>
      </c>
      <c r="Q3206" t="s">
        <v>159</v>
      </c>
    </row>
    <row r="3207" spans="9:17" x14ac:dyDescent="0.45">
      <c r="I3207" t="s">
        <v>205</v>
      </c>
      <c r="J3207" t="s">
        <v>288</v>
      </c>
      <c r="K3207">
        <v>2.1019885868655823E-2</v>
      </c>
      <c r="L3207" t="s">
        <v>159</v>
      </c>
      <c r="N3207" t="s">
        <v>248</v>
      </c>
      <c r="O3207" t="s">
        <v>288</v>
      </c>
      <c r="P3207">
        <v>2.02630337343623E-2</v>
      </c>
      <c r="Q3207" t="s">
        <v>159</v>
      </c>
    </row>
    <row r="3208" spans="9:17" x14ac:dyDescent="0.45">
      <c r="I3208" t="s">
        <v>205</v>
      </c>
      <c r="J3208" t="s">
        <v>308</v>
      </c>
      <c r="K3208">
        <v>6.4699445458925794E-3</v>
      </c>
      <c r="L3208" t="s">
        <v>159</v>
      </c>
      <c r="N3208" t="s">
        <v>248</v>
      </c>
      <c r="O3208" t="s">
        <v>308</v>
      </c>
      <c r="P3208">
        <v>0.1233876276596431</v>
      </c>
      <c r="Q3208" t="s">
        <v>159</v>
      </c>
    </row>
    <row r="3209" spans="9:17" x14ac:dyDescent="0.45">
      <c r="I3209" t="s">
        <v>205</v>
      </c>
      <c r="J3209" t="s">
        <v>162</v>
      </c>
      <c r="K3209">
        <v>0</v>
      </c>
      <c r="L3209" t="s">
        <v>159</v>
      </c>
      <c r="N3209" t="s">
        <v>248</v>
      </c>
      <c r="O3209" t="s">
        <v>162</v>
      </c>
      <c r="P3209">
        <v>2.2333988559790349E-2</v>
      </c>
      <c r="Q3209" t="s">
        <v>159</v>
      </c>
    </row>
    <row r="3210" spans="9:17" x14ac:dyDescent="0.45">
      <c r="I3210" t="s">
        <v>205</v>
      </c>
      <c r="J3210" t="s">
        <v>163</v>
      </c>
      <c r="K3210">
        <v>0</v>
      </c>
      <c r="L3210" t="s">
        <v>159</v>
      </c>
      <c r="N3210" t="s">
        <v>248</v>
      </c>
      <c r="O3210" t="s">
        <v>163</v>
      </c>
      <c r="P3210">
        <v>3.1004816648689463E-3</v>
      </c>
      <c r="Q3210" t="s">
        <v>159</v>
      </c>
    </row>
    <row r="3211" spans="9:17" x14ac:dyDescent="0.45">
      <c r="I3211" t="s">
        <v>205</v>
      </c>
      <c r="J3211" t="s">
        <v>164</v>
      </c>
      <c r="K3211">
        <v>5.1009168467523819E-2</v>
      </c>
      <c r="L3211" t="s">
        <v>159</v>
      </c>
      <c r="N3211" t="s">
        <v>248</v>
      </c>
      <c r="O3211" t="s">
        <v>164</v>
      </c>
      <c r="P3211">
        <v>2.6038998019060275E-2</v>
      </c>
      <c r="Q3211" t="s">
        <v>159</v>
      </c>
    </row>
    <row r="3212" spans="9:17" x14ac:dyDescent="0.45">
      <c r="I3212" t="s">
        <v>205</v>
      </c>
      <c r="J3212" t="s">
        <v>289</v>
      </c>
      <c r="K3212">
        <v>4.3448135682919555E-3</v>
      </c>
      <c r="L3212" t="s">
        <v>159</v>
      </c>
      <c r="N3212" t="s">
        <v>248</v>
      </c>
      <c r="O3212" t="s">
        <v>289</v>
      </c>
      <c r="P3212">
        <v>2.7840397084024646E-3</v>
      </c>
      <c r="Q3212" t="s">
        <v>159</v>
      </c>
    </row>
    <row r="3213" spans="9:17" x14ac:dyDescent="0.45">
      <c r="I3213" t="s">
        <v>205</v>
      </c>
      <c r="J3213" t="s">
        <v>290</v>
      </c>
      <c r="K3213">
        <v>4.486269406963119E-4</v>
      </c>
      <c r="L3213" t="s">
        <v>159</v>
      </c>
      <c r="N3213" t="s">
        <v>248</v>
      </c>
      <c r="O3213" t="s">
        <v>290</v>
      </c>
      <c r="P3213">
        <v>2.8785034343106297E-3</v>
      </c>
      <c r="Q3213" t="s">
        <v>159</v>
      </c>
    </row>
    <row r="3214" spans="9:17" x14ac:dyDescent="0.45">
      <c r="I3214" t="s">
        <v>205</v>
      </c>
      <c r="J3214" t="s">
        <v>309</v>
      </c>
      <c r="K3214">
        <v>0</v>
      </c>
      <c r="L3214" t="s">
        <v>159</v>
      </c>
      <c r="N3214" t="s">
        <v>248</v>
      </c>
      <c r="O3214" t="s">
        <v>309</v>
      </c>
      <c r="P3214">
        <v>1.5930320058627045E-2</v>
      </c>
      <c r="Q3214" t="s">
        <v>159</v>
      </c>
    </row>
    <row r="3215" spans="9:17" x14ac:dyDescent="0.45">
      <c r="I3215" t="s">
        <v>205</v>
      </c>
      <c r="J3215" t="s">
        <v>346</v>
      </c>
      <c r="K3215">
        <v>0</v>
      </c>
      <c r="L3215" t="s">
        <v>159</v>
      </c>
      <c r="N3215" t="s">
        <v>248</v>
      </c>
      <c r="O3215" t="s">
        <v>346</v>
      </c>
      <c r="P3215">
        <v>4.027199204678195E-6</v>
      </c>
      <c r="Q3215" t="s">
        <v>159</v>
      </c>
    </row>
    <row r="3216" spans="9:17" x14ac:dyDescent="0.45">
      <c r="I3216" t="s">
        <v>205</v>
      </c>
      <c r="J3216" t="s">
        <v>347</v>
      </c>
      <c r="K3216">
        <v>0</v>
      </c>
      <c r="L3216" t="s">
        <v>159</v>
      </c>
      <c r="N3216" t="s">
        <v>248</v>
      </c>
      <c r="O3216" t="s">
        <v>347</v>
      </c>
      <c r="P3216">
        <v>3.96615787890517E-6</v>
      </c>
      <c r="Q3216" t="s">
        <v>159</v>
      </c>
    </row>
    <row r="3217" spans="9:17" x14ac:dyDescent="0.45">
      <c r="I3217" t="s">
        <v>205</v>
      </c>
      <c r="J3217" t="s">
        <v>348</v>
      </c>
      <c r="K3217">
        <v>0</v>
      </c>
      <c r="L3217" t="s">
        <v>159</v>
      </c>
      <c r="N3217" t="s">
        <v>248</v>
      </c>
      <c r="O3217" t="s">
        <v>348</v>
      </c>
      <c r="P3217">
        <v>2.6445428840425295E-6</v>
      </c>
      <c r="Q3217" t="s">
        <v>159</v>
      </c>
    </row>
    <row r="3218" spans="9:17" x14ac:dyDescent="0.45">
      <c r="I3218" t="s">
        <v>205</v>
      </c>
      <c r="J3218" t="s">
        <v>349</v>
      </c>
      <c r="K3218">
        <v>0</v>
      </c>
      <c r="L3218" t="s">
        <v>159</v>
      </c>
      <c r="N3218" t="s">
        <v>248</v>
      </c>
      <c r="O3218" t="s">
        <v>349</v>
      </c>
      <c r="P3218">
        <v>1.6228875705183132E-6</v>
      </c>
      <c r="Q3218" t="s">
        <v>159</v>
      </c>
    </row>
    <row r="3219" spans="9:17" x14ac:dyDescent="0.45">
      <c r="I3219" t="s">
        <v>205</v>
      </c>
      <c r="J3219" t="s">
        <v>350</v>
      </c>
      <c r="K3219">
        <v>0</v>
      </c>
      <c r="L3219" t="s">
        <v>159</v>
      </c>
      <c r="N3219" t="s">
        <v>248</v>
      </c>
      <c r="O3219" t="s">
        <v>350</v>
      </c>
      <c r="P3219">
        <v>1.5492483703072416E-6</v>
      </c>
      <c r="Q3219" t="s">
        <v>159</v>
      </c>
    </row>
    <row r="3220" spans="9:17" x14ac:dyDescent="0.45">
      <c r="I3220" t="s">
        <v>205</v>
      </c>
      <c r="J3220" t="s">
        <v>351</v>
      </c>
      <c r="K3220">
        <v>0</v>
      </c>
      <c r="L3220" t="s">
        <v>159</v>
      </c>
      <c r="N3220" t="s">
        <v>248</v>
      </c>
      <c r="O3220" t="s">
        <v>351</v>
      </c>
      <c r="P3220">
        <v>1.9333110761502324E-6</v>
      </c>
      <c r="Q3220" t="s">
        <v>159</v>
      </c>
    </row>
    <row r="3221" spans="9:17" x14ac:dyDescent="0.45">
      <c r="I3221" t="s">
        <v>205</v>
      </c>
      <c r="J3221" t="s">
        <v>352</v>
      </c>
      <c r="K3221">
        <v>0</v>
      </c>
      <c r="L3221" t="s">
        <v>159</v>
      </c>
      <c r="N3221" t="s">
        <v>248</v>
      </c>
      <c r="O3221" t="s">
        <v>352</v>
      </c>
      <c r="P3221">
        <v>2.8040343268922183E-6</v>
      </c>
      <c r="Q3221" t="s">
        <v>159</v>
      </c>
    </row>
    <row r="3222" spans="9:17" x14ac:dyDescent="0.45">
      <c r="I3222" t="s">
        <v>205</v>
      </c>
      <c r="J3222" t="s">
        <v>353</v>
      </c>
      <c r="K3222">
        <v>0</v>
      </c>
      <c r="L3222" t="s">
        <v>159</v>
      </c>
      <c r="N3222" t="s">
        <v>248</v>
      </c>
      <c r="O3222" t="s">
        <v>353</v>
      </c>
      <c r="P3222">
        <v>5.4417698660667842E-6</v>
      </c>
      <c r="Q3222" t="s">
        <v>159</v>
      </c>
    </row>
    <row r="3223" spans="9:17" x14ac:dyDescent="0.45">
      <c r="I3223" t="s">
        <v>205</v>
      </c>
      <c r="J3223" t="s">
        <v>354</v>
      </c>
      <c r="K3223">
        <v>1.417333872353894E-4</v>
      </c>
      <c r="L3223" t="s">
        <v>159</v>
      </c>
      <c r="N3223" t="s">
        <v>248</v>
      </c>
      <c r="O3223" t="s">
        <v>354</v>
      </c>
      <c r="P3223">
        <v>7.1755250850446196E-6</v>
      </c>
      <c r="Q3223" t="s">
        <v>159</v>
      </c>
    </row>
    <row r="3224" spans="9:17" x14ac:dyDescent="0.45">
      <c r="I3224" t="s">
        <v>205</v>
      </c>
      <c r="J3224" t="s">
        <v>355</v>
      </c>
      <c r="K3224">
        <v>1.9307800905594134E-4</v>
      </c>
      <c r="L3224" t="s">
        <v>159</v>
      </c>
      <c r="N3224" t="s">
        <v>248</v>
      </c>
      <c r="O3224" t="s">
        <v>355</v>
      </c>
      <c r="P3224">
        <v>4.1127030698033401E-6</v>
      </c>
      <c r="Q3224" t="s">
        <v>159</v>
      </c>
    </row>
    <row r="3225" spans="9:17" x14ac:dyDescent="0.45">
      <c r="I3225" t="s">
        <v>205</v>
      </c>
      <c r="J3225" t="s">
        <v>356</v>
      </c>
      <c r="K3225">
        <v>2.0207597972495505E-4</v>
      </c>
      <c r="L3225" t="s">
        <v>159</v>
      </c>
      <c r="N3225" t="s">
        <v>248</v>
      </c>
      <c r="O3225" t="s">
        <v>356</v>
      </c>
      <c r="P3225">
        <v>2.3447912164265666E-7</v>
      </c>
      <c r="Q3225" t="s">
        <v>159</v>
      </c>
    </row>
    <row r="3226" spans="9:17" x14ac:dyDescent="0.45">
      <c r="I3226" t="s">
        <v>205</v>
      </c>
      <c r="J3226" t="s">
        <v>357</v>
      </c>
      <c r="K3226">
        <v>2.17907355190475E-4</v>
      </c>
      <c r="L3226" t="s">
        <v>159</v>
      </c>
      <c r="N3226" t="s">
        <v>248</v>
      </c>
      <c r="O3226" t="s">
        <v>357</v>
      </c>
      <c r="P3226">
        <v>2.2159253802679849E-7</v>
      </c>
      <c r="Q3226" t="s">
        <v>159</v>
      </c>
    </row>
    <row r="3227" spans="9:17" x14ac:dyDescent="0.45">
      <c r="I3227" t="s">
        <v>205</v>
      </c>
      <c r="J3227" t="s">
        <v>358</v>
      </c>
      <c r="K3227">
        <v>2.4946726321097896E-4</v>
      </c>
      <c r="L3227" t="s">
        <v>159</v>
      </c>
      <c r="N3227" t="s">
        <v>248</v>
      </c>
      <c r="O3227" t="s">
        <v>358</v>
      </c>
      <c r="P3227">
        <v>4.5654691485940663E-8</v>
      </c>
      <c r="Q3227" t="s">
        <v>159</v>
      </c>
    </row>
    <row r="3228" spans="9:17" x14ac:dyDescent="0.45">
      <c r="I3228" t="s">
        <v>205</v>
      </c>
      <c r="J3228" t="s">
        <v>359</v>
      </c>
      <c r="K3228">
        <v>2.6450069454748163E-4</v>
      </c>
      <c r="L3228" t="s">
        <v>159</v>
      </c>
      <c r="N3228" t="s">
        <v>248</v>
      </c>
      <c r="O3228" t="s">
        <v>359</v>
      </c>
      <c r="P3228">
        <v>2.8964734769938681E-8</v>
      </c>
      <c r="Q3228" t="s">
        <v>159</v>
      </c>
    </row>
    <row r="3229" spans="9:17" x14ac:dyDescent="0.45">
      <c r="I3229" t="s">
        <v>205</v>
      </c>
      <c r="J3229" t="s">
        <v>360</v>
      </c>
      <c r="K3229">
        <v>2.2472711134485232E-4</v>
      </c>
      <c r="L3229" t="s">
        <v>159</v>
      </c>
      <c r="N3229" t="s">
        <v>248</v>
      </c>
      <c r="O3229" t="s">
        <v>360</v>
      </c>
      <c r="P3229">
        <v>3.0226493335891885E-8</v>
      </c>
      <c r="Q3229" t="s">
        <v>159</v>
      </c>
    </row>
    <row r="3230" spans="9:17" x14ac:dyDescent="0.45">
      <c r="I3230" t="s">
        <v>205</v>
      </c>
      <c r="J3230" t="s">
        <v>361</v>
      </c>
      <c r="K3230">
        <v>1.9760827734391327E-4</v>
      </c>
      <c r="L3230" t="s">
        <v>159</v>
      </c>
      <c r="N3230" t="s">
        <v>248</v>
      </c>
      <c r="O3230" t="s">
        <v>361</v>
      </c>
      <c r="P3230">
        <v>3.5813460124087857E-8</v>
      </c>
      <c r="Q3230" t="s">
        <v>159</v>
      </c>
    </row>
    <row r="3231" spans="9:17" x14ac:dyDescent="0.45">
      <c r="I3231" t="s">
        <v>205</v>
      </c>
      <c r="J3231" t="s">
        <v>362</v>
      </c>
      <c r="K3231">
        <v>1.6945504945821972E-4</v>
      </c>
      <c r="L3231" t="s">
        <v>159</v>
      </c>
      <c r="N3231" t="s">
        <v>248</v>
      </c>
      <c r="O3231" t="s">
        <v>362</v>
      </c>
      <c r="P3231">
        <v>4.1365506294153111E-8</v>
      </c>
      <c r="Q3231" t="s">
        <v>159</v>
      </c>
    </row>
    <row r="3232" spans="9:17" x14ac:dyDescent="0.45">
      <c r="I3232" t="s">
        <v>205</v>
      </c>
      <c r="J3232" t="s">
        <v>363</v>
      </c>
      <c r="K3232">
        <v>1.4841101322041306E-4</v>
      </c>
      <c r="L3232" t="s">
        <v>159</v>
      </c>
      <c r="N3232" t="s">
        <v>248</v>
      </c>
      <c r="O3232" t="s">
        <v>363</v>
      </c>
      <c r="P3232">
        <v>1.3083786399329487E-7</v>
      </c>
      <c r="Q3232" t="s">
        <v>159</v>
      </c>
    </row>
    <row r="3233" spans="9:17" x14ac:dyDescent="0.45">
      <c r="I3233" t="s">
        <v>205</v>
      </c>
      <c r="J3233" t="s">
        <v>364</v>
      </c>
      <c r="K3233">
        <v>2.6766578247573542E-6</v>
      </c>
      <c r="L3233" t="s">
        <v>159</v>
      </c>
      <c r="N3233" t="s">
        <v>248</v>
      </c>
      <c r="O3233" t="s">
        <v>364</v>
      </c>
      <c r="P3233">
        <v>5.3211799604585181E-7</v>
      </c>
      <c r="Q3233" t="s">
        <v>159</v>
      </c>
    </row>
    <row r="3234" spans="9:17" x14ac:dyDescent="0.45">
      <c r="I3234" t="s">
        <v>205</v>
      </c>
      <c r="J3234" t="s">
        <v>365</v>
      </c>
      <c r="K3234">
        <v>0</v>
      </c>
      <c r="L3234" t="s">
        <v>159</v>
      </c>
      <c r="N3234" t="s">
        <v>248</v>
      </c>
      <c r="O3234" t="s">
        <v>365</v>
      </c>
      <c r="P3234">
        <v>1.4678961656509015E-6</v>
      </c>
      <c r="Q3234" t="s">
        <v>159</v>
      </c>
    </row>
    <row r="3235" spans="9:17" x14ac:dyDescent="0.45">
      <c r="I3235" t="s">
        <v>205</v>
      </c>
      <c r="J3235" t="s">
        <v>366</v>
      </c>
      <c r="K3235">
        <v>0</v>
      </c>
      <c r="L3235" t="s">
        <v>159</v>
      </c>
      <c r="N3235" t="s">
        <v>248</v>
      </c>
      <c r="O3235" t="s">
        <v>366</v>
      </c>
      <c r="P3235">
        <v>2.5016017070527243E-6</v>
      </c>
      <c r="Q3235" t="s">
        <v>159</v>
      </c>
    </row>
    <row r="3236" spans="9:17" x14ac:dyDescent="0.45">
      <c r="I3236" t="s">
        <v>205</v>
      </c>
      <c r="J3236" t="s">
        <v>367</v>
      </c>
      <c r="K3236">
        <v>0</v>
      </c>
      <c r="L3236" t="s">
        <v>159</v>
      </c>
      <c r="N3236" t="s">
        <v>248</v>
      </c>
      <c r="O3236" t="s">
        <v>367</v>
      </c>
      <c r="P3236">
        <v>3.0922191868830024E-6</v>
      </c>
      <c r="Q3236" t="s">
        <v>159</v>
      </c>
    </row>
    <row r="3237" spans="9:17" x14ac:dyDescent="0.45">
      <c r="I3237" t="s">
        <v>205</v>
      </c>
      <c r="J3237" t="s">
        <v>368</v>
      </c>
      <c r="K3237">
        <v>0</v>
      </c>
      <c r="L3237" t="s">
        <v>159</v>
      </c>
      <c r="N3237" t="s">
        <v>248</v>
      </c>
      <c r="O3237" t="s">
        <v>368</v>
      </c>
      <c r="P3237">
        <v>2.873496113498793E-6</v>
      </c>
      <c r="Q3237" t="s">
        <v>159</v>
      </c>
    </row>
    <row r="3238" spans="9:17" x14ac:dyDescent="0.45">
      <c r="I3238" t="s">
        <v>205</v>
      </c>
      <c r="J3238" t="s">
        <v>369</v>
      </c>
      <c r="K3238">
        <v>0</v>
      </c>
      <c r="L3238" t="s">
        <v>159</v>
      </c>
      <c r="N3238" t="s">
        <v>248</v>
      </c>
      <c r="O3238" t="s">
        <v>369</v>
      </c>
      <c r="P3238">
        <v>2.0798586429768012E-6</v>
      </c>
      <c r="Q3238" t="s">
        <v>159</v>
      </c>
    </row>
    <row r="3239" spans="9:17" x14ac:dyDescent="0.45">
      <c r="I3239" t="s">
        <v>205</v>
      </c>
      <c r="J3239" t="s">
        <v>165</v>
      </c>
      <c r="K3239">
        <v>0</v>
      </c>
      <c r="L3239" t="s">
        <v>159</v>
      </c>
      <c r="N3239" t="s">
        <v>248</v>
      </c>
      <c r="O3239" t="s">
        <v>165</v>
      </c>
      <c r="P3239">
        <v>2.1221411128739567E-2</v>
      </c>
      <c r="Q3239" t="s">
        <v>159</v>
      </c>
    </row>
    <row r="3240" spans="9:17" x14ac:dyDescent="0.45">
      <c r="I3240" t="s">
        <v>205</v>
      </c>
      <c r="J3240" t="s">
        <v>166</v>
      </c>
      <c r="K3240">
        <v>4.0803535280736333E-6</v>
      </c>
      <c r="L3240" t="s">
        <v>159</v>
      </c>
      <c r="N3240" t="s">
        <v>248</v>
      </c>
      <c r="O3240" t="s">
        <v>166</v>
      </c>
      <c r="P3240">
        <v>2.8881727009211111E-3</v>
      </c>
      <c r="Q3240" t="s">
        <v>159</v>
      </c>
    </row>
    <row r="3241" spans="9:17" x14ac:dyDescent="0.45">
      <c r="I3241" t="s">
        <v>205</v>
      </c>
      <c r="J3241" t="s">
        <v>167</v>
      </c>
      <c r="K3241">
        <v>6.2172265567863642E-2</v>
      </c>
      <c r="L3241" t="s">
        <v>159</v>
      </c>
      <c r="N3241" t="s">
        <v>248</v>
      </c>
      <c r="O3241" t="s">
        <v>167</v>
      </c>
      <c r="P3241">
        <v>3.5263974606656159E-2</v>
      </c>
      <c r="Q3241" t="s">
        <v>159</v>
      </c>
    </row>
    <row r="3242" spans="9:17" x14ac:dyDescent="0.45">
      <c r="I3242" t="s">
        <v>205</v>
      </c>
      <c r="J3242" t="s">
        <v>291</v>
      </c>
      <c r="K3242">
        <v>5.280401750397911E-3</v>
      </c>
      <c r="L3242" t="s">
        <v>159</v>
      </c>
      <c r="N3242" t="s">
        <v>248</v>
      </c>
      <c r="O3242" t="s">
        <v>291</v>
      </c>
      <c r="P3242">
        <v>4.1348054317815507E-3</v>
      </c>
      <c r="Q3242" t="s">
        <v>159</v>
      </c>
    </row>
    <row r="3243" spans="9:17" x14ac:dyDescent="0.45">
      <c r="I3243" t="s">
        <v>205</v>
      </c>
      <c r="J3243" t="s">
        <v>292</v>
      </c>
      <c r="K3243">
        <v>3.6904315531979363E-3</v>
      </c>
      <c r="L3243" t="s">
        <v>159</v>
      </c>
      <c r="N3243" t="s">
        <v>248</v>
      </c>
      <c r="O3243" t="s">
        <v>292</v>
      </c>
      <c r="P3243">
        <v>4.0226814414240806E-3</v>
      </c>
      <c r="Q3243" t="s">
        <v>159</v>
      </c>
    </row>
    <row r="3244" spans="9:17" x14ac:dyDescent="0.45">
      <c r="I3244" t="s">
        <v>205</v>
      </c>
      <c r="J3244" t="s">
        <v>310</v>
      </c>
      <c r="K3244">
        <v>0</v>
      </c>
      <c r="L3244" t="s">
        <v>159</v>
      </c>
      <c r="N3244" t="s">
        <v>248</v>
      </c>
      <c r="O3244" t="s">
        <v>310</v>
      </c>
      <c r="P3244">
        <v>1.8577722310937381E-2</v>
      </c>
      <c r="Q3244" t="s">
        <v>159</v>
      </c>
    </row>
    <row r="3245" spans="9:17" x14ac:dyDescent="0.45">
      <c r="I3245" t="s">
        <v>205</v>
      </c>
      <c r="J3245" t="s">
        <v>293</v>
      </c>
      <c r="K3245">
        <v>0</v>
      </c>
      <c r="L3245" t="s">
        <v>159</v>
      </c>
      <c r="N3245" t="s">
        <v>248</v>
      </c>
      <c r="O3245" t="s">
        <v>293</v>
      </c>
      <c r="P3245">
        <v>4.3823020551392328E-3</v>
      </c>
      <c r="Q3245" t="s">
        <v>159</v>
      </c>
    </row>
    <row r="3246" spans="9:17" x14ac:dyDescent="0.45">
      <c r="I3246" t="s">
        <v>205</v>
      </c>
      <c r="J3246" t="s">
        <v>294</v>
      </c>
      <c r="K3246">
        <v>4.2348754721427428E-4</v>
      </c>
      <c r="L3246" t="s">
        <v>159</v>
      </c>
      <c r="N3246" t="s">
        <v>248</v>
      </c>
      <c r="O3246" t="s">
        <v>294</v>
      </c>
      <c r="P3246">
        <v>7.5643787381197937E-4</v>
      </c>
      <c r="Q3246" t="s">
        <v>159</v>
      </c>
    </row>
    <row r="3247" spans="9:17" x14ac:dyDescent="0.45">
      <c r="I3247" t="s">
        <v>205</v>
      </c>
      <c r="J3247" t="s">
        <v>295</v>
      </c>
      <c r="K3247">
        <v>1.5389262559294774E-2</v>
      </c>
      <c r="L3247" t="s">
        <v>159</v>
      </c>
      <c r="N3247" t="s">
        <v>248</v>
      </c>
      <c r="O3247" t="s">
        <v>295</v>
      </c>
      <c r="P3247">
        <v>7.5641526325008817E-3</v>
      </c>
      <c r="Q3247" t="s">
        <v>159</v>
      </c>
    </row>
    <row r="3248" spans="9:17" x14ac:dyDescent="0.45">
      <c r="I3248" t="s">
        <v>205</v>
      </c>
      <c r="J3248" t="s">
        <v>296</v>
      </c>
      <c r="K3248">
        <v>1.4621479977275031E-3</v>
      </c>
      <c r="L3248" t="s">
        <v>159</v>
      </c>
      <c r="N3248" t="s">
        <v>248</v>
      </c>
      <c r="O3248" t="s">
        <v>296</v>
      </c>
      <c r="P3248">
        <v>7.4306327135250229E-4</v>
      </c>
      <c r="Q3248" t="s">
        <v>159</v>
      </c>
    </row>
    <row r="3249" spans="9:17" x14ac:dyDescent="0.45">
      <c r="I3249" t="s">
        <v>205</v>
      </c>
      <c r="J3249" t="s">
        <v>297</v>
      </c>
      <c r="K3249">
        <v>9.1548934298922222E-4</v>
      </c>
      <c r="L3249" t="s">
        <v>159</v>
      </c>
      <c r="N3249" t="s">
        <v>248</v>
      </c>
      <c r="O3249" t="s">
        <v>297</v>
      </c>
      <c r="P3249">
        <v>6.9375045832191051E-4</v>
      </c>
      <c r="Q3249" t="s">
        <v>159</v>
      </c>
    </row>
    <row r="3250" spans="9:17" x14ac:dyDescent="0.45">
      <c r="I3250" t="s">
        <v>205</v>
      </c>
      <c r="J3250" t="s">
        <v>311</v>
      </c>
      <c r="K3250">
        <v>0</v>
      </c>
      <c r="L3250" t="s">
        <v>159</v>
      </c>
      <c r="N3250" t="s">
        <v>248</v>
      </c>
      <c r="O3250" t="s">
        <v>311</v>
      </c>
      <c r="P3250">
        <v>3.3532262186014455E-3</v>
      </c>
      <c r="Q3250" t="s">
        <v>159</v>
      </c>
    </row>
    <row r="3251" spans="9:17" x14ac:dyDescent="0.45">
      <c r="I3251" t="s">
        <v>205</v>
      </c>
      <c r="J3251" t="s">
        <v>298</v>
      </c>
      <c r="K3251">
        <v>3.6470061014117414E-3</v>
      </c>
      <c r="L3251" t="s">
        <v>159</v>
      </c>
      <c r="N3251" t="s">
        <v>248</v>
      </c>
      <c r="O3251" t="s">
        <v>298</v>
      </c>
      <c r="P3251">
        <v>7.6538575694527766E-2</v>
      </c>
      <c r="Q3251" t="s">
        <v>159</v>
      </c>
    </row>
    <row r="3252" spans="9:17" x14ac:dyDescent="0.45">
      <c r="I3252" t="s">
        <v>205</v>
      </c>
      <c r="J3252" t="s">
        <v>299</v>
      </c>
      <c r="K3252">
        <v>1.5401173500839419E-2</v>
      </c>
      <c r="L3252" t="s">
        <v>159</v>
      </c>
      <c r="N3252" t="s">
        <v>248</v>
      </c>
      <c r="O3252" t="s">
        <v>299</v>
      </c>
      <c r="P3252">
        <v>8.8290718456719916E-3</v>
      </c>
      <c r="Q3252" t="s">
        <v>159</v>
      </c>
    </row>
    <row r="3253" spans="9:17" x14ac:dyDescent="0.45">
      <c r="I3253" t="s">
        <v>205</v>
      </c>
      <c r="J3253" t="s">
        <v>300</v>
      </c>
      <c r="K3253">
        <v>0.245392606001828</v>
      </c>
      <c r="L3253" t="s">
        <v>159</v>
      </c>
      <c r="N3253" t="s">
        <v>248</v>
      </c>
      <c r="O3253" t="s">
        <v>300</v>
      </c>
      <c r="P3253">
        <v>9.0044771725338299E-2</v>
      </c>
      <c r="Q3253" t="s">
        <v>159</v>
      </c>
    </row>
    <row r="3254" spans="9:17" x14ac:dyDescent="0.45">
      <c r="I3254" t="s">
        <v>205</v>
      </c>
      <c r="J3254" t="s">
        <v>301</v>
      </c>
      <c r="K3254">
        <v>2.1170398258616385E-2</v>
      </c>
      <c r="L3254" t="s">
        <v>159</v>
      </c>
      <c r="N3254" t="s">
        <v>248</v>
      </c>
      <c r="O3254" t="s">
        <v>301</v>
      </c>
      <c r="P3254">
        <v>1.2089713069264778E-2</v>
      </c>
      <c r="Q3254" t="s">
        <v>159</v>
      </c>
    </row>
    <row r="3255" spans="9:17" x14ac:dyDescent="0.45">
      <c r="I3255" t="s">
        <v>205</v>
      </c>
      <c r="J3255" t="s">
        <v>302</v>
      </c>
      <c r="K3255">
        <v>1.3204203055473337E-2</v>
      </c>
      <c r="L3255" t="s">
        <v>159</v>
      </c>
      <c r="N3255" t="s">
        <v>248</v>
      </c>
      <c r="O3255" t="s">
        <v>302</v>
      </c>
      <c r="P3255">
        <v>1.2419581120903331E-2</v>
      </c>
      <c r="Q3255" t="s">
        <v>159</v>
      </c>
    </row>
    <row r="3256" spans="9:17" x14ac:dyDescent="0.45">
      <c r="I3256" t="s">
        <v>205</v>
      </c>
      <c r="J3256" t="s">
        <v>312</v>
      </c>
      <c r="K3256">
        <v>1.4995024872703616E-4</v>
      </c>
      <c r="L3256" t="s">
        <v>159</v>
      </c>
      <c r="N3256" t="s">
        <v>248</v>
      </c>
      <c r="O3256" t="s">
        <v>312</v>
      </c>
      <c r="P3256">
        <v>6.8819430780795735E-2</v>
      </c>
      <c r="Q3256" t="s">
        <v>159</v>
      </c>
    </row>
    <row r="3257" spans="9:17" x14ac:dyDescent="0.45">
      <c r="I3257" t="s">
        <v>205</v>
      </c>
      <c r="J3257" t="s">
        <v>397</v>
      </c>
      <c r="K3257">
        <v>0</v>
      </c>
      <c r="L3257" t="s">
        <v>159</v>
      </c>
      <c r="N3257" t="s">
        <v>248</v>
      </c>
      <c r="O3257" t="s">
        <v>397</v>
      </c>
      <c r="P3257">
        <v>2.7952217092936743E-5</v>
      </c>
      <c r="Q3257" t="s">
        <v>159</v>
      </c>
    </row>
    <row r="3258" spans="9:17" x14ac:dyDescent="0.45">
      <c r="I3258" t="s">
        <v>205</v>
      </c>
      <c r="J3258" t="s">
        <v>398</v>
      </c>
      <c r="K3258">
        <v>0</v>
      </c>
      <c r="L3258" t="s">
        <v>159</v>
      </c>
      <c r="N3258" t="s">
        <v>248</v>
      </c>
      <c r="O3258" t="s">
        <v>398</v>
      </c>
      <c r="P3258">
        <v>1.9503607957553549E-5</v>
      </c>
      <c r="Q3258" t="s">
        <v>159</v>
      </c>
    </row>
    <row r="3259" spans="9:17" x14ac:dyDescent="0.45">
      <c r="I3259" t="s">
        <v>205</v>
      </c>
      <c r="J3259" t="s">
        <v>399</v>
      </c>
      <c r="K3259">
        <v>0</v>
      </c>
      <c r="L3259" t="s">
        <v>159</v>
      </c>
      <c r="N3259" t="s">
        <v>248</v>
      </c>
      <c r="O3259" t="s">
        <v>399</v>
      </c>
      <c r="P3259">
        <v>1.7997267087445307E-5</v>
      </c>
      <c r="Q3259" t="s">
        <v>159</v>
      </c>
    </row>
    <row r="3260" spans="9:17" x14ac:dyDescent="0.45">
      <c r="I3260" t="s">
        <v>205</v>
      </c>
      <c r="J3260" t="s">
        <v>400</v>
      </c>
      <c r="K3260">
        <v>0</v>
      </c>
      <c r="L3260" t="s">
        <v>159</v>
      </c>
      <c r="N3260" t="s">
        <v>248</v>
      </c>
      <c r="O3260" t="s">
        <v>400</v>
      </c>
      <c r="P3260">
        <v>1.6235969194028699E-5</v>
      </c>
      <c r="Q3260" t="s">
        <v>159</v>
      </c>
    </row>
    <row r="3261" spans="9:17" x14ac:dyDescent="0.45">
      <c r="I3261" t="s">
        <v>205</v>
      </c>
      <c r="J3261" t="s">
        <v>401</v>
      </c>
      <c r="K3261">
        <v>0</v>
      </c>
      <c r="L3261" t="s">
        <v>159</v>
      </c>
      <c r="N3261" t="s">
        <v>248</v>
      </c>
      <c r="O3261" t="s">
        <v>401</v>
      </c>
      <c r="P3261">
        <v>1.3750898885517768E-5</v>
      </c>
      <c r="Q3261" t="s">
        <v>159</v>
      </c>
    </row>
    <row r="3262" spans="9:17" x14ac:dyDescent="0.45">
      <c r="I3262" t="s">
        <v>205</v>
      </c>
      <c r="J3262" t="s">
        <v>402</v>
      </c>
      <c r="K3262">
        <v>0</v>
      </c>
      <c r="L3262" t="s">
        <v>159</v>
      </c>
      <c r="N3262" t="s">
        <v>248</v>
      </c>
      <c r="O3262" t="s">
        <v>402</v>
      </c>
      <c r="P3262">
        <v>9.8257301257958092E-6</v>
      </c>
      <c r="Q3262" t="s">
        <v>159</v>
      </c>
    </row>
    <row r="3263" spans="9:17" x14ac:dyDescent="0.45">
      <c r="I3263" t="s">
        <v>205</v>
      </c>
      <c r="J3263" t="s">
        <v>403</v>
      </c>
      <c r="K3263">
        <v>0</v>
      </c>
      <c r="L3263" t="s">
        <v>159</v>
      </c>
      <c r="N3263" t="s">
        <v>248</v>
      </c>
      <c r="O3263" t="s">
        <v>403</v>
      </c>
      <c r="P3263">
        <v>7.8274594692050907E-6</v>
      </c>
      <c r="Q3263" t="s">
        <v>159</v>
      </c>
    </row>
    <row r="3264" spans="9:17" x14ac:dyDescent="0.45">
      <c r="I3264" t="s">
        <v>205</v>
      </c>
      <c r="J3264" t="s">
        <v>404</v>
      </c>
      <c r="K3264">
        <v>1.557938476568622E-4</v>
      </c>
      <c r="L3264" t="s">
        <v>159</v>
      </c>
      <c r="N3264" t="s">
        <v>248</v>
      </c>
      <c r="O3264" t="s">
        <v>404</v>
      </c>
      <c r="P3264">
        <v>6.6081498383926938E-6</v>
      </c>
      <c r="Q3264" t="s">
        <v>159</v>
      </c>
    </row>
    <row r="3265" spans="9:17" x14ac:dyDescent="0.45">
      <c r="I3265" t="s">
        <v>205</v>
      </c>
      <c r="J3265" t="s">
        <v>405</v>
      </c>
      <c r="K3265">
        <v>2.5448487342507112E-4</v>
      </c>
      <c r="L3265" t="s">
        <v>159</v>
      </c>
      <c r="N3265" t="s">
        <v>248</v>
      </c>
      <c r="O3265" t="s">
        <v>405</v>
      </c>
      <c r="P3265">
        <v>6.8179508086586715E-6</v>
      </c>
      <c r="Q3265" t="s">
        <v>159</v>
      </c>
    </row>
    <row r="3266" spans="9:17" x14ac:dyDescent="0.45">
      <c r="I3266" t="s">
        <v>205</v>
      </c>
      <c r="J3266" t="s">
        <v>406</v>
      </c>
      <c r="K3266">
        <v>2.946854701748178E-4</v>
      </c>
      <c r="L3266" t="s">
        <v>159</v>
      </c>
      <c r="N3266" t="s">
        <v>248</v>
      </c>
      <c r="O3266" t="s">
        <v>406</v>
      </c>
      <c r="P3266">
        <v>2.6050665679067038E-5</v>
      </c>
      <c r="Q3266" t="s">
        <v>159</v>
      </c>
    </row>
    <row r="3267" spans="9:17" x14ac:dyDescent="0.45">
      <c r="I3267" t="s">
        <v>205</v>
      </c>
      <c r="J3267" t="s">
        <v>407</v>
      </c>
      <c r="K3267">
        <v>3.1048529009450988E-4</v>
      </c>
      <c r="L3267" t="s">
        <v>159</v>
      </c>
      <c r="N3267" t="s">
        <v>248</v>
      </c>
      <c r="O3267" t="s">
        <v>407</v>
      </c>
      <c r="P3267">
        <v>5.698381471940741E-5</v>
      </c>
      <c r="Q3267" t="s">
        <v>159</v>
      </c>
    </row>
    <row r="3268" spans="9:17" x14ac:dyDescent="0.45">
      <c r="I3268" t="s">
        <v>205</v>
      </c>
      <c r="J3268" t="s">
        <v>408</v>
      </c>
      <c r="K3268">
        <v>3.259923260320257E-4</v>
      </c>
      <c r="L3268" t="s">
        <v>159</v>
      </c>
      <c r="N3268" t="s">
        <v>248</v>
      </c>
      <c r="O3268" t="s">
        <v>408</v>
      </c>
      <c r="P3268">
        <v>1.0015583171322095E-4</v>
      </c>
      <c r="Q3268" t="s">
        <v>159</v>
      </c>
    </row>
    <row r="3269" spans="9:17" x14ac:dyDescent="0.45">
      <c r="I3269" t="s">
        <v>205</v>
      </c>
      <c r="J3269" t="s">
        <v>409</v>
      </c>
      <c r="K3269">
        <v>3.4094182443723646E-4</v>
      </c>
      <c r="L3269" t="s">
        <v>159</v>
      </c>
      <c r="N3269" t="s">
        <v>248</v>
      </c>
      <c r="O3269" t="s">
        <v>409</v>
      </c>
      <c r="P3269">
        <v>1.3140178743954313E-4</v>
      </c>
      <c r="Q3269" t="s">
        <v>159</v>
      </c>
    </row>
    <row r="3270" spans="9:17" x14ac:dyDescent="0.45">
      <c r="I3270" t="s">
        <v>205</v>
      </c>
      <c r="J3270" t="s">
        <v>410</v>
      </c>
      <c r="K3270">
        <v>3.3970940436929022E-4</v>
      </c>
      <c r="L3270" t="s">
        <v>159</v>
      </c>
      <c r="N3270" t="s">
        <v>248</v>
      </c>
      <c r="O3270" t="s">
        <v>410</v>
      </c>
      <c r="P3270">
        <v>1.5022760754553752E-4</v>
      </c>
      <c r="Q3270" t="s">
        <v>159</v>
      </c>
    </row>
    <row r="3271" spans="9:17" x14ac:dyDescent="0.45">
      <c r="I3271" t="s">
        <v>205</v>
      </c>
      <c r="J3271" t="s">
        <v>411</v>
      </c>
      <c r="K3271">
        <v>3.1648307355431281E-4</v>
      </c>
      <c r="L3271" t="s">
        <v>159</v>
      </c>
      <c r="N3271" t="s">
        <v>248</v>
      </c>
      <c r="O3271" t="s">
        <v>411</v>
      </c>
      <c r="P3271">
        <v>1.5680135181268251E-4</v>
      </c>
      <c r="Q3271" t="s">
        <v>159</v>
      </c>
    </row>
    <row r="3272" spans="9:17" x14ac:dyDescent="0.45">
      <c r="I3272" t="s">
        <v>205</v>
      </c>
      <c r="J3272" t="s">
        <v>412</v>
      </c>
      <c r="K3272">
        <v>2.9720531771529422E-4</v>
      </c>
      <c r="L3272" t="s">
        <v>159</v>
      </c>
      <c r="N3272" t="s">
        <v>248</v>
      </c>
      <c r="O3272" t="s">
        <v>412</v>
      </c>
      <c r="P3272">
        <v>1.5434972960988832E-4</v>
      </c>
      <c r="Q3272" t="s">
        <v>159</v>
      </c>
    </row>
    <row r="3273" spans="9:17" x14ac:dyDescent="0.45">
      <c r="I3273" t="s">
        <v>205</v>
      </c>
      <c r="J3273" t="s">
        <v>413</v>
      </c>
      <c r="K3273">
        <v>2.7782278794343207E-4</v>
      </c>
      <c r="L3273" t="s">
        <v>159</v>
      </c>
      <c r="N3273" t="s">
        <v>248</v>
      </c>
      <c r="O3273" t="s">
        <v>413</v>
      </c>
      <c r="P3273">
        <v>1.4012040717367917E-4</v>
      </c>
      <c r="Q3273" t="s">
        <v>159</v>
      </c>
    </row>
    <row r="3274" spans="9:17" x14ac:dyDescent="0.45">
      <c r="I3274" t="s">
        <v>205</v>
      </c>
      <c r="J3274" t="s">
        <v>414</v>
      </c>
      <c r="K3274">
        <v>2.4304353567063046E-4</v>
      </c>
      <c r="L3274" t="s">
        <v>159</v>
      </c>
      <c r="N3274" t="s">
        <v>248</v>
      </c>
      <c r="O3274" t="s">
        <v>414</v>
      </c>
      <c r="P3274">
        <v>1.0449126583579443E-4</v>
      </c>
      <c r="Q3274" t="s">
        <v>159</v>
      </c>
    </row>
    <row r="3275" spans="9:17" x14ac:dyDescent="0.45">
      <c r="I3275" t="s">
        <v>205</v>
      </c>
      <c r="J3275" t="s">
        <v>415</v>
      </c>
      <c r="K3275">
        <v>1.4495099399716238E-4</v>
      </c>
      <c r="L3275" t="s">
        <v>159</v>
      </c>
      <c r="N3275" t="s">
        <v>248</v>
      </c>
      <c r="O3275" t="s">
        <v>415</v>
      </c>
      <c r="P3275">
        <v>7.4492818005205135E-5</v>
      </c>
      <c r="Q3275" t="s">
        <v>159</v>
      </c>
    </row>
    <row r="3276" spans="9:17" x14ac:dyDescent="0.45">
      <c r="I3276" t="s">
        <v>205</v>
      </c>
      <c r="J3276" t="s">
        <v>416</v>
      </c>
      <c r="K3276">
        <v>0</v>
      </c>
      <c r="L3276" t="s">
        <v>159</v>
      </c>
      <c r="N3276" t="s">
        <v>248</v>
      </c>
      <c r="O3276" t="s">
        <v>416</v>
      </c>
      <c r="P3276">
        <v>5.4953603371379993E-5</v>
      </c>
      <c r="Q3276" t="s">
        <v>159</v>
      </c>
    </row>
    <row r="3277" spans="9:17" x14ac:dyDescent="0.45">
      <c r="I3277" t="s">
        <v>205</v>
      </c>
      <c r="J3277" t="s">
        <v>417</v>
      </c>
      <c r="K3277">
        <v>0</v>
      </c>
      <c r="L3277" t="s">
        <v>159</v>
      </c>
      <c r="N3277" t="s">
        <v>248</v>
      </c>
      <c r="O3277" t="s">
        <v>417</v>
      </c>
      <c r="P3277">
        <v>3.8030455978141902E-5</v>
      </c>
      <c r="Q3277" t="s">
        <v>159</v>
      </c>
    </row>
    <row r="3278" spans="9:17" x14ac:dyDescent="0.45">
      <c r="I3278" t="s">
        <v>205</v>
      </c>
      <c r="J3278" t="s">
        <v>418</v>
      </c>
      <c r="K3278">
        <v>0</v>
      </c>
      <c r="L3278" t="s">
        <v>159</v>
      </c>
      <c r="N3278" t="s">
        <v>248</v>
      </c>
      <c r="O3278" t="s">
        <v>418</v>
      </c>
      <c r="P3278">
        <v>2.319022927624897E-5</v>
      </c>
      <c r="Q3278" t="s">
        <v>159</v>
      </c>
    </row>
    <row r="3279" spans="9:17" x14ac:dyDescent="0.45">
      <c r="I3279" t="s">
        <v>205</v>
      </c>
      <c r="J3279" t="s">
        <v>419</v>
      </c>
      <c r="K3279">
        <v>0</v>
      </c>
      <c r="L3279" t="s">
        <v>159</v>
      </c>
      <c r="N3279" t="s">
        <v>248</v>
      </c>
      <c r="O3279" t="s">
        <v>419</v>
      </c>
      <c r="P3279">
        <v>1.2020040144176915E-5</v>
      </c>
      <c r="Q3279" t="s">
        <v>159</v>
      </c>
    </row>
    <row r="3280" spans="9:17" x14ac:dyDescent="0.45">
      <c r="I3280" t="s">
        <v>205</v>
      </c>
      <c r="J3280" t="s">
        <v>420</v>
      </c>
      <c r="K3280">
        <v>0</v>
      </c>
      <c r="L3280" t="s">
        <v>159</v>
      </c>
      <c r="N3280" t="s">
        <v>248</v>
      </c>
      <c r="O3280" t="s">
        <v>420</v>
      </c>
      <c r="P3280">
        <v>1.748585992056926E-5</v>
      </c>
      <c r="Q3280" t="s">
        <v>159</v>
      </c>
    </row>
    <row r="3281" spans="9:17" x14ac:dyDescent="0.45">
      <c r="I3281" t="s">
        <v>205</v>
      </c>
      <c r="J3281" t="s">
        <v>313</v>
      </c>
      <c r="K3281">
        <v>2.165805520593817E-3</v>
      </c>
      <c r="L3281" t="s">
        <v>159</v>
      </c>
      <c r="N3281" t="s">
        <v>248</v>
      </c>
      <c r="O3281" t="s">
        <v>313</v>
      </c>
      <c r="P3281">
        <v>2.6066597921501868E-2</v>
      </c>
      <c r="Q3281" t="s">
        <v>159</v>
      </c>
    </row>
    <row r="3282" spans="9:17" x14ac:dyDescent="0.45">
      <c r="I3282" t="s">
        <v>205</v>
      </c>
      <c r="J3282" t="s">
        <v>314</v>
      </c>
      <c r="K3282">
        <v>3.9920911044802948E-3</v>
      </c>
      <c r="L3282" t="s">
        <v>159</v>
      </c>
      <c r="N3282" t="s">
        <v>248</v>
      </c>
      <c r="O3282" t="s">
        <v>314</v>
      </c>
      <c r="P3282">
        <v>2.4061251616798061E-3</v>
      </c>
      <c r="Q3282" t="s">
        <v>159</v>
      </c>
    </row>
    <row r="3283" spans="9:17" x14ac:dyDescent="0.45">
      <c r="I3283" t="s">
        <v>205</v>
      </c>
      <c r="J3283" t="s">
        <v>315</v>
      </c>
      <c r="K3283">
        <v>6.4115260667153576E-2</v>
      </c>
      <c r="L3283" t="s">
        <v>159</v>
      </c>
      <c r="N3283" t="s">
        <v>248</v>
      </c>
      <c r="O3283" t="s">
        <v>315</v>
      </c>
      <c r="P3283">
        <v>1.7609519353173564E-2</v>
      </c>
      <c r="Q3283" t="s">
        <v>159</v>
      </c>
    </row>
    <row r="3284" spans="9:17" x14ac:dyDescent="0.45">
      <c r="I3284" t="s">
        <v>205</v>
      </c>
      <c r="J3284" t="s">
        <v>316</v>
      </c>
      <c r="K3284">
        <v>5.269888556695683E-3</v>
      </c>
      <c r="L3284" t="s">
        <v>159</v>
      </c>
      <c r="N3284" t="s">
        <v>248</v>
      </c>
      <c r="O3284" t="s">
        <v>316</v>
      </c>
      <c r="P3284">
        <v>2.8529464442633612E-3</v>
      </c>
      <c r="Q3284" t="s">
        <v>159</v>
      </c>
    </row>
    <row r="3285" spans="9:17" x14ac:dyDescent="0.45">
      <c r="I3285" t="s">
        <v>205</v>
      </c>
      <c r="J3285" t="s">
        <v>317</v>
      </c>
      <c r="K3285">
        <v>3.780574270239341E-3</v>
      </c>
      <c r="L3285" t="s">
        <v>159</v>
      </c>
      <c r="N3285" t="s">
        <v>248</v>
      </c>
      <c r="O3285" t="s">
        <v>317</v>
      </c>
      <c r="P3285">
        <v>3.3831975564062372E-3</v>
      </c>
      <c r="Q3285" t="s">
        <v>159</v>
      </c>
    </row>
    <row r="3286" spans="9:17" x14ac:dyDescent="0.45">
      <c r="I3286" t="s">
        <v>205</v>
      </c>
      <c r="J3286" t="s">
        <v>318</v>
      </c>
      <c r="K3286">
        <v>2.4900326149633789E-3</v>
      </c>
      <c r="L3286" t="s">
        <v>159</v>
      </c>
      <c r="N3286" t="s">
        <v>248</v>
      </c>
      <c r="O3286" t="s">
        <v>318</v>
      </c>
      <c r="P3286">
        <v>2.4450267955369649E-2</v>
      </c>
      <c r="Q3286" t="s">
        <v>159</v>
      </c>
    </row>
    <row r="3287" spans="9:17" x14ac:dyDescent="0.45">
      <c r="I3287" t="s">
        <v>206</v>
      </c>
      <c r="J3287" t="s">
        <v>158</v>
      </c>
      <c r="K3287">
        <v>8.3985325403761451E-4</v>
      </c>
      <c r="L3287" t="s">
        <v>159</v>
      </c>
      <c r="N3287" t="s">
        <v>249</v>
      </c>
      <c r="O3287" t="s">
        <v>158</v>
      </c>
      <c r="P3287">
        <v>0.13950628934517048</v>
      </c>
      <c r="Q3287" t="s">
        <v>159</v>
      </c>
    </row>
    <row r="3288" spans="9:17" x14ac:dyDescent="0.45">
      <c r="I3288" t="s">
        <v>206</v>
      </c>
      <c r="J3288" t="s">
        <v>160</v>
      </c>
      <c r="K3288">
        <v>1.722294595528891E-2</v>
      </c>
      <c r="L3288" t="s">
        <v>159</v>
      </c>
      <c r="N3288" t="s">
        <v>249</v>
      </c>
      <c r="O3288" t="s">
        <v>160</v>
      </c>
      <c r="P3288">
        <v>1.5256670870797446E-2</v>
      </c>
      <c r="Q3288" t="s">
        <v>159</v>
      </c>
    </row>
    <row r="3289" spans="9:17" x14ac:dyDescent="0.45">
      <c r="I3289" t="s">
        <v>206</v>
      </c>
      <c r="J3289" t="s">
        <v>161</v>
      </c>
      <c r="K3289">
        <v>0.3916072402027384</v>
      </c>
      <c r="L3289" t="s">
        <v>159</v>
      </c>
      <c r="N3289" t="s">
        <v>249</v>
      </c>
      <c r="O3289" t="s">
        <v>161</v>
      </c>
      <c r="P3289">
        <v>0.14385736044576869</v>
      </c>
      <c r="Q3289" t="s">
        <v>159</v>
      </c>
    </row>
    <row r="3290" spans="9:17" x14ac:dyDescent="0.45">
      <c r="I3290" t="s">
        <v>206</v>
      </c>
      <c r="J3290" t="s">
        <v>287</v>
      </c>
      <c r="K3290">
        <v>3.3686699456725581E-2</v>
      </c>
      <c r="L3290" t="s">
        <v>159</v>
      </c>
      <c r="N3290" t="s">
        <v>249</v>
      </c>
      <c r="O3290" t="s">
        <v>287</v>
      </c>
      <c r="P3290">
        <v>1.7294718528847182E-2</v>
      </c>
      <c r="Q3290" t="s">
        <v>159</v>
      </c>
    </row>
    <row r="3291" spans="9:17" x14ac:dyDescent="0.45">
      <c r="I3291" t="s">
        <v>206</v>
      </c>
      <c r="J3291" t="s">
        <v>288</v>
      </c>
      <c r="K3291">
        <v>1.8449712114689345E-2</v>
      </c>
      <c r="L3291" t="s">
        <v>159</v>
      </c>
      <c r="N3291" t="s">
        <v>249</v>
      </c>
      <c r="O3291" t="s">
        <v>288</v>
      </c>
      <c r="P3291">
        <v>1.8183903921583651E-2</v>
      </c>
      <c r="Q3291" t="s">
        <v>159</v>
      </c>
    </row>
    <row r="3292" spans="9:17" x14ac:dyDescent="0.45">
      <c r="I3292" t="s">
        <v>206</v>
      </c>
      <c r="J3292" t="s">
        <v>308</v>
      </c>
      <c r="K3292">
        <v>5.8074244942595129E-3</v>
      </c>
      <c r="L3292" t="s">
        <v>159</v>
      </c>
      <c r="N3292" t="s">
        <v>249</v>
      </c>
      <c r="O3292" t="s">
        <v>308</v>
      </c>
      <c r="P3292">
        <v>0.11991488299415583</v>
      </c>
      <c r="Q3292" t="s">
        <v>159</v>
      </c>
    </row>
    <row r="3293" spans="9:17" x14ac:dyDescent="0.45">
      <c r="I3293" t="s">
        <v>206</v>
      </c>
      <c r="J3293" t="s">
        <v>162</v>
      </c>
      <c r="K3293">
        <v>0</v>
      </c>
      <c r="L3293" t="s">
        <v>159</v>
      </c>
      <c r="N3293" t="s">
        <v>249</v>
      </c>
      <c r="O3293" t="s">
        <v>162</v>
      </c>
      <c r="P3293">
        <v>2.1390741592450746E-2</v>
      </c>
      <c r="Q3293" t="s">
        <v>159</v>
      </c>
    </row>
    <row r="3294" spans="9:17" x14ac:dyDescent="0.45">
      <c r="I3294" t="s">
        <v>206</v>
      </c>
      <c r="J3294" t="s">
        <v>163</v>
      </c>
      <c r="K3294">
        <v>0</v>
      </c>
      <c r="L3294" t="s">
        <v>159</v>
      </c>
      <c r="N3294" t="s">
        <v>249</v>
      </c>
      <c r="O3294" t="s">
        <v>163</v>
      </c>
      <c r="P3294">
        <v>2.9700363384880584E-3</v>
      </c>
      <c r="Q3294" t="s">
        <v>159</v>
      </c>
    </row>
    <row r="3295" spans="9:17" x14ac:dyDescent="0.45">
      <c r="I3295" t="s">
        <v>206</v>
      </c>
      <c r="J3295" t="s">
        <v>164</v>
      </c>
      <c r="K3295">
        <v>5.0223330327100087E-2</v>
      </c>
      <c r="L3295" t="s">
        <v>159</v>
      </c>
      <c r="N3295" t="s">
        <v>249</v>
      </c>
      <c r="O3295" t="s">
        <v>164</v>
      </c>
      <c r="P3295">
        <v>2.578060226940632E-2</v>
      </c>
      <c r="Q3295" t="s">
        <v>159</v>
      </c>
    </row>
    <row r="3296" spans="9:17" x14ac:dyDescent="0.45">
      <c r="I3296" t="s">
        <v>206</v>
      </c>
      <c r="J3296" t="s">
        <v>289</v>
      </c>
      <c r="K3296">
        <v>4.2356125875124082E-3</v>
      </c>
      <c r="L3296" t="s">
        <v>159</v>
      </c>
      <c r="N3296" t="s">
        <v>249</v>
      </c>
      <c r="O3296" t="s">
        <v>289</v>
      </c>
      <c r="P3296">
        <v>2.7053464203508756E-3</v>
      </c>
      <c r="Q3296" t="s">
        <v>159</v>
      </c>
    </row>
    <row r="3297" spans="9:17" x14ac:dyDescent="0.45">
      <c r="I3297" t="s">
        <v>206</v>
      </c>
      <c r="J3297" t="s">
        <v>290</v>
      </c>
      <c r="K3297">
        <v>1.8918761797084221E-6</v>
      </c>
      <c r="L3297" t="s">
        <v>159</v>
      </c>
      <c r="N3297" t="s">
        <v>249</v>
      </c>
      <c r="O3297" t="s">
        <v>290</v>
      </c>
      <c r="P3297">
        <v>2.8888794987612758E-3</v>
      </c>
      <c r="Q3297" t="s">
        <v>159</v>
      </c>
    </row>
    <row r="3298" spans="9:17" x14ac:dyDescent="0.45">
      <c r="I3298" t="s">
        <v>206</v>
      </c>
      <c r="J3298" t="s">
        <v>309</v>
      </c>
      <c r="K3298">
        <v>0</v>
      </c>
      <c r="L3298" t="s">
        <v>159</v>
      </c>
      <c r="N3298" t="s">
        <v>249</v>
      </c>
      <c r="O3298" t="s">
        <v>309</v>
      </c>
      <c r="P3298">
        <v>1.606508053694233E-2</v>
      </c>
      <c r="Q3298" t="s">
        <v>159</v>
      </c>
    </row>
    <row r="3299" spans="9:17" x14ac:dyDescent="0.45">
      <c r="I3299" t="s">
        <v>206</v>
      </c>
      <c r="J3299" t="s">
        <v>346</v>
      </c>
      <c r="K3299">
        <v>0</v>
      </c>
      <c r="L3299" t="s">
        <v>159</v>
      </c>
      <c r="N3299" t="s">
        <v>249</v>
      </c>
      <c r="O3299" t="s">
        <v>346</v>
      </c>
      <c r="P3299">
        <v>5.8923095513866374E-6</v>
      </c>
      <c r="Q3299" t="s">
        <v>159</v>
      </c>
    </row>
    <row r="3300" spans="9:17" x14ac:dyDescent="0.45">
      <c r="I3300" t="s">
        <v>206</v>
      </c>
      <c r="J3300" t="s">
        <v>347</v>
      </c>
      <c r="K3300">
        <v>0</v>
      </c>
      <c r="L3300" t="s">
        <v>159</v>
      </c>
      <c r="N3300" t="s">
        <v>249</v>
      </c>
      <c r="O3300" t="s">
        <v>347</v>
      </c>
      <c r="P3300">
        <v>6.7256758581637036E-6</v>
      </c>
      <c r="Q3300" t="s">
        <v>159</v>
      </c>
    </row>
    <row r="3301" spans="9:17" x14ac:dyDescent="0.45">
      <c r="I3301" t="s">
        <v>206</v>
      </c>
      <c r="J3301" t="s">
        <v>348</v>
      </c>
      <c r="K3301">
        <v>0</v>
      </c>
      <c r="L3301" t="s">
        <v>159</v>
      </c>
      <c r="N3301" t="s">
        <v>249</v>
      </c>
      <c r="O3301" t="s">
        <v>348</v>
      </c>
      <c r="P3301">
        <v>1.4798478494686175E-5</v>
      </c>
      <c r="Q3301" t="s">
        <v>159</v>
      </c>
    </row>
    <row r="3302" spans="9:17" x14ac:dyDescent="0.45">
      <c r="I3302" t="s">
        <v>206</v>
      </c>
      <c r="J3302" t="s">
        <v>349</v>
      </c>
      <c r="K3302">
        <v>0</v>
      </c>
      <c r="L3302" t="s">
        <v>159</v>
      </c>
      <c r="N3302" t="s">
        <v>249</v>
      </c>
      <c r="O3302" t="s">
        <v>349</v>
      </c>
      <c r="P3302">
        <v>2.1440099792225052E-5</v>
      </c>
      <c r="Q3302" t="s">
        <v>159</v>
      </c>
    </row>
    <row r="3303" spans="9:17" x14ac:dyDescent="0.45">
      <c r="I3303" t="s">
        <v>206</v>
      </c>
      <c r="J3303" t="s">
        <v>350</v>
      </c>
      <c r="K3303">
        <v>0</v>
      </c>
      <c r="L3303" t="s">
        <v>159</v>
      </c>
      <c r="N3303" t="s">
        <v>249</v>
      </c>
      <c r="O3303" t="s">
        <v>350</v>
      </c>
      <c r="P3303">
        <v>2.1569368071545939E-5</v>
      </c>
      <c r="Q3303" t="s">
        <v>159</v>
      </c>
    </row>
    <row r="3304" spans="9:17" x14ac:dyDescent="0.45">
      <c r="I3304" t="s">
        <v>206</v>
      </c>
      <c r="J3304" t="s">
        <v>351</v>
      </c>
      <c r="K3304">
        <v>0</v>
      </c>
      <c r="L3304" t="s">
        <v>159</v>
      </c>
      <c r="N3304" t="s">
        <v>249</v>
      </c>
      <c r="O3304" t="s">
        <v>351</v>
      </c>
      <c r="P3304">
        <v>1.8496328244239458E-5</v>
      </c>
      <c r="Q3304" t="s">
        <v>159</v>
      </c>
    </row>
    <row r="3305" spans="9:17" x14ac:dyDescent="0.45">
      <c r="I3305" t="s">
        <v>206</v>
      </c>
      <c r="J3305" t="s">
        <v>352</v>
      </c>
      <c r="K3305">
        <v>0</v>
      </c>
      <c r="L3305" t="s">
        <v>159</v>
      </c>
      <c r="N3305" t="s">
        <v>249</v>
      </c>
      <c r="O3305" t="s">
        <v>352</v>
      </c>
      <c r="P3305">
        <v>1.5214574711997163E-5</v>
      </c>
      <c r="Q3305" t="s">
        <v>159</v>
      </c>
    </row>
    <row r="3306" spans="9:17" x14ac:dyDescent="0.45">
      <c r="I3306" t="s">
        <v>206</v>
      </c>
      <c r="J3306" t="s">
        <v>353</v>
      </c>
      <c r="K3306">
        <v>0</v>
      </c>
      <c r="L3306" t="s">
        <v>159</v>
      </c>
      <c r="N3306" t="s">
        <v>249</v>
      </c>
      <c r="O3306" t="s">
        <v>353</v>
      </c>
      <c r="P3306">
        <v>1.3703821799532339E-5</v>
      </c>
      <c r="Q3306" t="s">
        <v>159</v>
      </c>
    </row>
    <row r="3307" spans="9:17" x14ac:dyDescent="0.45">
      <c r="I3307" t="s">
        <v>206</v>
      </c>
      <c r="J3307" t="s">
        <v>354</v>
      </c>
      <c r="K3307">
        <v>1.2501139217304909E-4</v>
      </c>
      <c r="L3307" t="s">
        <v>159</v>
      </c>
      <c r="N3307" t="s">
        <v>249</v>
      </c>
      <c r="O3307" t="s">
        <v>354</v>
      </c>
      <c r="P3307">
        <v>1.1972568384263614E-5</v>
      </c>
      <c r="Q3307" t="s">
        <v>159</v>
      </c>
    </row>
    <row r="3308" spans="9:17" x14ac:dyDescent="0.45">
      <c r="I3308" t="s">
        <v>206</v>
      </c>
      <c r="J3308" t="s">
        <v>355</v>
      </c>
      <c r="K3308">
        <v>1.6521217860322412E-4</v>
      </c>
      <c r="L3308" t="s">
        <v>159</v>
      </c>
      <c r="N3308" t="s">
        <v>249</v>
      </c>
      <c r="O3308" t="s">
        <v>355</v>
      </c>
      <c r="P3308">
        <v>5.8690360875431804E-6</v>
      </c>
      <c r="Q3308" t="s">
        <v>159</v>
      </c>
    </row>
    <row r="3309" spans="9:17" x14ac:dyDescent="0.45">
      <c r="I3309" t="s">
        <v>206</v>
      </c>
      <c r="J3309" t="s">
        <v>356</v>
      </c>
      <c r="K3309">
        <v>1.9341897806949727E-4</v>
      </c>
      <c r="L3309" t="s">
        <v>159</v>
      </c>
      <c r="N3309" t="s">
        <v>249</v>
      </c>
      <c r="O3309" t="s">
        <v>356</v>
      </c>
      <c r="P3309">
        <v>3.1665560687244484E-6</v>
      </c>
      <c r="Q3309" t="s">
        <v>159</v>
      </c>
    </row>
    <row r="3310" spans="9:17" x14ac:dyDescent="0.45">
      <c r="I3310" t="s">
        <v>206</v>
      </c>
      <c r="J3310" t="s">
        <v>357</v>
      </c>
      <c r="K3310">
        <v>2.1091402586322338E-4</v>
      </c>
      <c r="L3310" t="s">
        <v>159</v>
      </c>
      <c r="N3310" t="s">
        <v>249</v>
      </c>
      <c r="O3310" t="s">
        <v>357</v>
      </c>
      <c r="P3310">
        <v>5.8938261782590685E-6</v>
      </c>
      <c r="Q3310" t="s">
        <v>159</v>
      </c>
    </row>
    <row r="3311" spans="9:17" x14ac:dyDescent="0.45">
      <c r="I3311" t="s">
        <v>206</v>
      </c>
      <c r="J3311" t="s">
        <v>358</v>
      </c>
      <c r="K3311">
        <v>2.4464283509145361E-4</v>
      </c>
      <c r="L3311" t="s">
        <v>159</v>
      </c>
      <c r="N3311" t="s">
        <v>249</v>
      </c>
      <c r="O3311" t="s">
        <v>358</v>
      </c>
      <c r="P3311">
        <v>7.7781300495418353E-6</v>
      </c>
      <c r="Q3311" t="s">
        <v>159</v>
      </c>
    </row>
    <row r="3312" spans="9:17" x14ac:dyDescent="0.45">
      <c r="I3312" t="s">
        <v>206</v>
      </c>
      <c r="J3312" t="s">
        <v>359</v>
      </c>
      <c r="K3312">
        <v>2.5371694588780804E-4</v>
      </c>
      <c r="L3312" t="s">
        <v>159</v>
      </c>
      <c r="N3312" t="s">
        <v>249</v>
      </c>
      <c r="O3312" t="s">
        <v>359</v>
      </c>
      <c r="P3312">
        <v>6.5639158976621285E-6</v>
      </c>
      <c r="Q3312" t="s">
        <v>159</v>
      </c>
    </row>
    <row r="3313" spans="9:17" x14ac:dyDescent="0.45">
      <c r="I3313" t="s">
        <v>206</v>
      </c>
      <c r="J3313" t="s">
        <v>360</v>
      </c>
      <c r="K3313">
        <v>2.0819583968802326E-4</v>
      </c>
      <c r="L3313" t="s">
        <v>159</v>
      </c>
      <c r="N3313" t="s">
        <v>249</v>
      </c>
      <c r="O3313" t="s">
        <v>360</v>
      </c>
      <c r="P3313">
        <v>3.6302234362452405E-6</v>
      </c>
      <c r="Q3313" t="s">
        <v>159</v>
      </c>
    </row>
    <row r="3314" spans="9:17" x14ac:dyDescent="0.45">
      <c r="I3314" t="s">
        <v>206</v>
      </c>
      <c r="J3314" t="s">
        <v>361</v>
      </c>
      <c r="K3314">
        <v>1.7379711061742568E-4</v>
      </c>
      <c r="L3314" t="s">
        <v>159</v>
      </c>
      <c r="N3314" t="s">
        <v>249</v>
      </c>
      <c r="O3314" t="s">
        <v>361</v>
      </c>
      <c r="P3314">
        <v>1.0719230084549203E-6</v>
      </c>
      <c r="Q3314" t="s">
        <v>159</v>
      </c>
    </row>
    <row r="3315" spans="9:17" x14ac:dyDescent="0.45">
      <c r="I3315" t="s">
        <v>206</v>
      </c>
      <c r="J3315" t="s">
        <v>362</v>
      </c>
      <c r="K3315">
        <v>1.5993685129292104E-4</v>
      </c>
      <c r="L3315" t="s">
        <v>159</v>
      </c>
      <c r="N3315" t="s">
        <v>249</v>
      </c>
      <c r="O3315" t="s">
        <v>362</v>
      </c>
      <c r="P3315">
        <v>1.1060292115482512E-7</v>
      </c>
      <c r="Q3315" t="s">
        <v>159</v>
      </c>
    </row>
    <row r="3316" spans="9:17" x14ac:dyDescent="0.45">
      <c r="I3316" t="s">
        <v>206</v>
      </c>
      <c r="J3316" t="s">
        <v>363</v>
      </c>
      <c r="K3316">
        <v>1.3494170873633299E-4</v>
      </c>
      <c r="L3316" t="s">
        <v>159</v>
      </c>
      <c r="N3316" t="s">
        <v>249</v>
      </c>
      <c r="O3316" t="s">
        <v>363</v>
      </c>
      <c r="P3316">
        <v>1.0343583503569586E-6</v>
      </c>
      <c r="Q3316" t="s">
        <v>159</v>
      </c>
    </row>
    <row r="3317" spans="9:17" x14ac:dyDescent="0.45">
      <c r="I3317" t="s">
        <v>206</v>
      </c>
      <c r="J3317" t="s">
        <v>364</v>
      </c>
      <c r="K3317">
        <v>0</v>
      </c>
      <c r="L3317" t="s">
        <v>159</v>
      </c>
      <c r="N3317" t="s">
        <v>249</v>
      </c>
      <c r="O3317" t="s">
        <v>364</v>
      </c>
      <c r="P3317">
        <v>2.436510610866796E-6</v>
      </c>
      <c r="Q3317" t="s">
        <v>159</v>
      </c>
    </row>
    <row r="3318" spans="9:17" x14ac:dyDescent="0.45">
      <c r="I3318" t="s">
        <v>206</v>
      </c>
      <c r="J3318" t="s">
        <v>365</v>
      </c>
      <c r="K3318">
        <v>0</v>
      </c>
      <c r="L3318" t="s">
        <v>159</v>
      </c>
      <c r="N3318" t="s">
        <v>249</v>
      </c>
      <c r="O3318" t="s">
        <v>365</v>
      </c>
      <c r="P3318">
        <v>2.8683167767244359E-6</v>
      </c>
      <c r="Q3318" t="s">
        <v>159</v>
      </c>
    </row>
    <row r="3319" spans="9:17" x14ac:dyDescent="0.45">
      <c r="I3319" t="s">
        <v>206</v>
      </c>
      <c r="J3319" t="s">
        <v>366</v>
      </c>
      <c r="K3319">
        <v>0</v>
      </c>
      <c r="L3319" t="s">
        <v>159</v>
      </c>
      <c r="N3319" t="s">
        <v>249</v>
      </c>
      <c r="O3319" t="s">
        <v>366</v>
      </c>
      <c r="P3319">
        <v>2.4488904659639459E-6</v>
      </c>
      <c r="Q3319" t="s">
        <v>159</v>
      </c>
    </row>
    <row r="3320" spans="9:17" x14ac:dyDescent="0.45">
      <c r="I3320" t="s">
        <v>206</v>
      </c>
      <c r="J3320" t="s">
        <v>367</v>
      </c>
      <c r="K3320">
        <v>0</v>
      </c>
      <c r="L3320" t="s">
        <v>159</v>
      </c>
      <c r="N3320" t="s">
        <v>249</v>
      </c>
      <c r="O3320" t="s">
        <v>367</v>
      </c>
      <c r="P3320">
        <v>2.6977407704712856E-6</v>
      </c>
      <c r="Q3320" t="s">
        <v>159</v>
      </c>
    </row>
    <row r="3321" spans="9:17" x14ac:dyDescent="0.45">
      <c r="I3321" t="s">
        <v>206</v>
      </c>
      <c r="J3321" t="s">
        <v>368</v>
      </c>
      <c r="K3321">
        <v>0</v>
      </c>
      <c r="L3321" t="s">
        <v>159</v>
      </c>
      <c r="N3321" t="s">
        <v>249</v>
      </c>
      <c r="O3321" t="s">
        <v>368</v>
      </c>
      <c r="P3321">
        <v>3.0233361477984838E-6</v>
      </c>
      <c r="Q3321" t="s">
        <v>159</v>
      </c>
    </row>
    <row r="3322" spans="9:17" x14ac:dyDescent="0.45">
      <c r="I3322" t="s">
        <v>206</v>
      </c>
      <c r="J3322" t="s">
        <v>369</v>
      </c>
      <c r="K3322">
        <v>0</v>
      </c>
      <c r="L3322" t="s">
        <v>159</v>
      </c>
      <c r="N3322" t="s">
        <v>249</v>
      </c>
      <c r="O3322" t="s">
        <v>369</v>
      </c>
      <c r="P3322">
        <v>2.5872008668301668E-6</v>
      </c>
      <c r="Q3322" t="s">
        <v>159</v>
      </c>
    </row>
    <row r="3323" spans="9:17" x14ac:dyDescent="0.45">
      <c r="I3323" t="s">
        <v>206</v>
      </c>
      <c r="J3323" t="s">
        <v>165</v>
      </c>
      <c r="K3323">
        <v>0</v>
      </c>
      <c r="L3323" t="s">
        <v>159</v>
      </c>
      <c r="N3323" t="s">
        <v>249</v>
      </c>
      <c r="O3323" t="s">
        <v>165</v>
      </c>
      <c r="P3323">
        <v>2.3451190968031131E-2</v>
      </c>
      <c r="Q3323" t="s">
        <v>159</v>
      </c>
    </row>
    <row r="3324" spans="9:17" x14ac:dyDescent="0.45">
      <c r="I3324" t="s">
        <v>206</v>
      </c>
      <c r="J3324" t="s">
        <v>166</v>
      </c>
      <c r="K3324">
        <v>3.5441307422666725E-5</v>
      </c>
      <c r="L3324" t="s">
        <v>159</v>
      </c>
      <c r="N3324" t="s">
        <v>249</v>
      </c>
      <c r="O3324" t="s">
        <v>166</v>
      </c>
      <c r="P3324">
        <v>2.7340279029704592E-3</v>
      </c>
      <c r="Q3324" t="s">
        <v>159</v>
      </c>
    </row>
    <row r="3325" spans="9:17" x14ac:dyDescent="0.45">
      <c r="I3325" t="s">
        <v>206</v>
      </c>
      <c r="J3325" t="s">
        <v>167</v>
      </c>
      <c r="K3325">
        <v>6.3923437730064425E-2</v>
      </c>
      <c r="L3325" t="s">
        <v>159</v>
      </c>
      <c r="N3325" t="s">
        <v>249</v>
      </c>
      <c r="O3325" t="s">
        <v>167</v>
      </c>
      <c r="P3325">
        <v>3.2692001334394594E-2</v>
      </c>
      <c r="Q3325" t="s">
        <v>159</v>
      </c>
    </row>
    <row r="3326" spans="9:17" x14ac:dyDescent="0.45">
      <c r="I3326" t="s">
        <v>206</v>
      </c>
      <c r="J3326" t="s">
        <v>291</v>
      </c>
      <c r="K3326">
        <v>5.6066531477893117E-3</v>
      </c>
      <c r="L3326" t="s">
        <v>159</v>
      </c>
      <c r="N3326" t="s">
        <v>249</v>
      </c>
      <c r="O3326" t="s">
        <v>291</v>
      </c>
      <c r="P3326">
        <v>3.9704680224454574E-3</v>
      </c>
      <c r="Q3326" t="s">
        <v>159</v>
      </c>
    </row>
    <row r="3327" spans="9:17" x14ac:dyDescent="0.45">
      <c r="I3327" t="s">
        <v>206</v>
      </c>
      <c r="J3327" t="s">
        <v>292</v>
      </c>
      <c r="K3327">
        <v>2.9682230827329701E-3</v>
      </c>
      <c r="L3327" t="s">
        <v>159</v>
      </c>
      <c r="N3327" t="s">
        <v>249</v>
      </c>
      <c r="O3327" t="s">
        <v>292</v>
      </c>
      <c r="P3327">
        <v>3.8952888056482068E-3</v>
      </c>
      <c r="Q3327" t="s">
        <v>159</v>
      </c>
    </row>
    <row r="3328" spans="9:17" x14ac:dyDescent="0.45">
      <c r="I3328" t="s">
        <v>206</v>
      </c>
      <c r="J3328" t="s">
        <v>310</v>
      </c>
      <c r="K3328">
        <v>0</v>
      </c>
      <c r="L3328" t="s">
        <v>159</v>
      </c>
      <c r="N3328" t="s">
        <v>249</v>
      </c>
      <c r="O3328" t="s">
        <v>310</v>
      </c>
      <c r="P3328">
        <v>2.134166439451694E-2</v>
      </c>
      <c r="Q3328" t="s">
        <v>159</v>
      </c>
    </row>
    <row r="3329" spans="9:17" x14ac:dyDescent="0.45">
      <c r="I3329" t="s">
        <v>206</v>
      </c>
      <c r="J3329" t="s">
        <v>293</v>
      </c>
      <c r="K3329">
        <v>0</v>
      </c>
      <c r="L3329" t="s">
        <v>159</v>
      </c>
      <c r="N3329" t="s">
        <v>249</v>
      </c>
      <c r="O3329" t="s">
        <v>293</v>
      </c>
      <c r="P3329">
        <v>7.3314738814494627E-3</v>
      </c>
      <c r="Q3329" t="s">
        <v>159</v>
      </c>
    </row>
    <row r="3330" spans="9:17" x14ac:dyDescent="0.45">
      <c r="I3330" t="s">
        <v>206</v>
      </c>
      <c r="J3330" t="s">
        <v>294</v>
      </c>
      <c r="K3330">
        <v>6.7718184456776556E-4</v>
      </c>
      <c r="L3330" t="s">
        <v>159</v>
      </c>
      <c r="N3330" t="s">
        <v>249</v>
      </c>
      <c r="O3330" t="s">
        <v>294</v>
      </c>
      <c r="P3330">
        <v>1.0269484034943234E-3</v>
      </c>
      <c r="Q3330" t="s">
        <v>159</v>
      </c>
    </row>
    <row r="3331" spans="9:17" x14ac:dyDescent="0.45">
      <c r="I3331" t="s">
        <v>206</v>
      </c>
      <c r="J3331" t="s">
        <v>295</v>
      </c>
      <c r="K3331">
        <v>1.5775713563425886E-2</v>
      </c>
      <c r="L3331" t="s">
        <v>159</v>
      </c>
      <c r="N3331" t="s">
        <v>249</v>
      </c>
      <c r="O3331" t="s">
        <v>295</v>
      </c>
      <c r="P3331">
        <v>9.7946119690471532E-3</v>
      </c>
      <c r="Q3331" t="s">
        <v>159</v>
      </c>
    </row>
    <row r="3332" spans="9:17" x14ac:dyDescent="0.45">
      <c r="I3332" t="s">
        <v>206</v>
      </c>
      <c r="J3332" t="s">
        <v>296</v>
      </c>
      <c r="K3332">
        <v>1.3721177205919585E-3</v>
      </c>
      <c r="L3332" t="s">
        <v>159</v>
      </c>
      <c r="N3332" t="s">
        <v>249</v>
      </c>
      <c r="O3332" t="s">
        <v>296</v>
      </c>
      <c r="P3332">
        <v>9.4657500940853814E-4</v>
      </c>
      <c r="Q3332" t="s">
        <v>159</v>
      </c>
    </row>
    <row r="3333" spans="9:17" x14ac:dyDescent="0.45">
      <c r="I3333" t="s">
        <v>206</v>
      </c>
      <c r="J3333" t="s">
        <v>297</v>
      </c>
      <c r="K3333">
        <v>8.9792010624945386E-4</v>
      </c>
      <c r="L3333" t="s">
        <v>159</v>
      </c>
      <c r="N3333" t="s">
        <v>249</v>
      </c>
      <c r="O3333" t="s">
        <v>297</v>
      </c>
      <c r="P3333">
        <v>8.4925596916488044E-4</v>
      </c>
      <c r="Q3333" t="s">
        <v>159</v>
      </c>
    </row>
    <row r="3334" spans="9:17" x14ac:dyDescent="0.45">
      <c r="I3334" t="s">
        <v>206</v>
      </c>
      <c r="J3334" t="s">
        <v>311</v>
      </c>
      <c r="K3334">
        <v>0</v>
      </c>
      <c r="L3334" t="s">
        <v>159</v>
      </c>
      <c r="N3334" t="s">
        <v>249</v>
      </c>
      <c r="O3334" t="s">
        <v>311</v>
      </c>
      <c r="P3334">
        <v>4.691682898879156E-3</v>
      </c>
      <c r="Q3334" t="s">
        <v>159</v>
      </c>
    </row>
    <row r="3335" spans="9:17" x14ac:dyDescent="0.45">
      <c r="I3335" t="s">
        <v>206</v>
      </c>
      <c r="J3335" t="s">
        <v>298</v>
      </c>
      <c r="K3335">
        <v>4.1558804487899581E-3</v>
      </c>
      <c r="L3335" t="s">
        <v>159</v>
      </c>
      <c r="N3335" t="s">
        <v>249</v>
      </c>
      <c r="O3335" t="s">
        <v>298</v>
      </c>
      <c r="P3335">
        <v>7.4187855099247385E-2</v>
      </c>
      <c r="Q3335" t="s">
        <v>159</v>
      </c>
    </row>
    <row r="3336" spans="9:17" x14ac:dyDescent="0.45">
      <c r="I3336" t="s">
        <v>206</v>
      </c>
      <c r="J3336" t="s">
        <v>299</v>
      </c>
      <c r="K3336">
        <v>1.6495072507198928E-2</v>
      </c>
      <c r="L3336" t="s">
        <v>159</v>
      </c>
      <c r="N3336" t="s">
        <v>249</v>
      </c>
      <c r="O3336" t="s">
        <v>299</v>
      </c>
      <c r="P3336">
        <v>7.9407328757092437E-3</v>
      </c>
      <c r="Q3336" t="s">
        <v>159</v>
      </c>
    </row>
    <row r="3337" spans="9:17" x14ac:dyDescent="0.45">
      <c r="I3337" t="s">
        <v>206</v>
      </c>
      <c r="J3337" t="s">
        <v>300</v>
      </c>
      <c r="K3337">
        <v>0.24592469497701294</v>
      </c>
      <c r="L3337" t="s">
        <v>159</v>
      </c>
      <c r="N3337" t="s">
        <v>249</v>
      </c>
      <c r="O3337" t="s">
        <v>300</v>
      </c>
      <c r="P3337">
        <v>0.1038449998190039</v>
      </c>
      <c r="Q3337" t="s">
        <v>159</v>
      </c>
    </row>
    <row r="3338" spans="9:17" x14ac:dyDescent="0.45">
      <c r="I3338" t="s">
        <v>206</v>
      </c>
      <c r="J3338" t="s">
        <v>301</v>
      </c>
      <c r="K3338">
        <v>1.965323660304244E-2</v>
      </c>
      <c r="L3338" t="s">
        <v>159</v>
      </c>
      <c r="N3338" t="s">
        <v>249</v>
      </c>
      <c r="O3338" t="s">
        <v>301</v>
      </c>
      <c r="P3338">
        <v>1.3868632094882814E-2</v>
      </c>
      <c r="Q3338" t="s">
        <v>159</v>
      </c>
    </row>
    <row r="3339" spans="9:17" x14ac:dyDescent="0.45">
      <c r="I3339" t="s">
        <v>206</v>
      </c>
      <c r="J3339" t="s">
        <v>302</v>
      </c>
      <c r="K3339">
        <v>1.2574086208682767E-2</v>
      </c>
      <c r="L3339" t="s">
        <v>159</v>
      </c>
      <c r="N3339" t="s">
        <v>249</v>
      </c>
      <c r="O3339" t="s">
        <v>302</v>
      </c>
      <c r="P3339">
        <v>1.3612465616586248E-2</v>
      </c>
      <c r="Q3339" t="s">
        <v>159</v>
      </c>
    </row>
    <row r="3340" spans="9:17" x14ac:dyDescent="0.45">
      <c r="I3340" t="s">
        <v>206</v>
      </c>
      <c r="J3340" t="s">
        <v>312</v>
      </c>
      <c r="K3340">
        <v>1.2054383022088355E-4</v>
      </c>
      <c r="L3340" t="s">
        <v>159</v>
      </c>
      <c r="N3340" t="s">
        <v>249</v>
      </c>
      <c r="O3340" t="s">
        <v>312</v>
      </c>
      <c r="P3340">
        <v>7.6551869810650264E-2</v>
      </c>
      <c r="Q3340" t="s">
        <v>159</v>
      </c>
    </row>
    <row r="3341" spans="9:17" x14ac:dyDescent="0.45">
      <c r="I3341" t="s">
        <v>206</v>
      </c>
      <c r="J3341" t="s">
        <v>397</v>
      </c>
      <c r="K3341">
        <v>0</v>
      </c>
      <c r="L3341" t="s">
        <v>159</v>
      </c>
      <c r="N3341" t="s">
        <v>249</v>
      </c>
      <c r="O3341" t="s">
        <v>397</v>
      </c>
      <c r="P3341">
        <v>6.0374003852092997E-5</v>
      </c>
      <c r="Q3341" t="s">
        <v>159</v>
      </c>
    </row>
    <row r="3342" spans="9:17" x14ac:dyDescent="0.45">
      <c r="I3342" t="s">
        <v>206</v>
      </c>
      <c r="J3342" t="s">
        <v>398</v>
      </c>
      <c r="K3342">
        <v>0</v>
      </c>
      <c r="L3342" t="s">
        <v>159</v>
      </c>
      <c r="N3342" t="s">
        <v>249</v>
      </c>
      <c r="O3342" t="s">
        <v>398</v>
      </c>
      <c r="P3342">
        <v>2.8623187298885881E-5</v>
      </c>
      <c r="Q3342" t="s">
        <v>159</v>
      </c>
    </row>
    <row r="3343" spans="9:17" x14ac:dyDescent="0.45">
      <c r="I3343" t="s">
        <v>206</v>
      </c>
      <c r="J3343" t="s">
        <v>399</v>
      </c>
      <c r="K3343">
        <v>0</v>
      </c>
      <c r="L3343" t="s">
        <v>159</v>
      </c>
      <c r="N3343" t="s">
        <v>249</v>
      </c>
      <c r="O3343" t="s">
        <v>399</v>
      </c>
      <c r="P3343">
        <v>1.2317625238611802E-5</v>
      </c>
      <c r="Q3343" t="s">
        <v>159</v>
      </c>
    </row>
    <row r="3344" spans="9:17" x14ac:dyDescent="0.45">
      <c r="I3344" t="s">
        <v>206</v>
      </c>
      <c r="J3344" t="s">
        <v>400</v>
      </c>
      <c r="K3344">
        <v>0</v>
      </c>
      <c r="L3344" t="s">
        <v>159</v>
      </c>
      <c r="N3344" t="s">
        <v>249</v>
      </c>
      <c r="O3344" t="s">
        <v>400</v>
      </c>
      <c r="P3344">
        <v>6.5933045991040363E-6</v>
      </c>
      <c r="Q3344" t="s">
        <v>159</v>
      </c>
    </row>
    <row r="3345" spans="9:17" x14ac:dyDescent="0.45">
      <c r="I3345" t="s">
        <v>206</v>
      </c>
      <c r="J3345" t="s">
        <v>401</v>
      </c>
      <c r="K3345">
        <v>0</v>
      </c>
      <c r="L3345" t="s">
        <v>159</v>
      </c>
      <c r="N3345" t="s">
        <v>249</v>
      </c>
      <c r="O3345" t="s">
        <v>401</v>
      </c>
      <c r="P3345">
        <v>4.6478423535749418E-6</v>
      </c>
      <c r="Q3345" t="s">
        <v>159</v>
      </c>
    </row>
    <row r="3346" spans="9:17" x14ac:dyDescent="0.45">
      <c r="I3346" t="s">
        <v>206</v>
      </c>
      <c r="J3346" t="s">
        <v>402</v>
      </c>
      <c r="K3346">
        <v>0</v>
      </c>
      <c r="L3346" t="s">
        <v>159</v>
      </c>
      <c r="N3346" t="s">
        <v>249</v>
      </c>
      <c r="O3346" t="s">
        <v>402</v>
      </c>
      <c r="P3346">
        <v>3.424298546283723E-6</v>
      </c>
      <c r="Q3346" t="s">
        <v>159</v>
      </c>
    </row>
    <row r="3347" spans="9:17" x14ac:dyDescent="0.45">
      <c r="I3347" t="s">
        <v>206</v>
      </c>
      <c r="J3347" t="s">
        <v>403</v>
      </c>
      <c r="K3347">
        <v>0</v>
      </c>
      <c r="L3347" t="s">
        <v>159</v>
      </c>
      <c r="N3347" t="s">
        <v>249</v>
      </c>
      <c r="O3347" t="s">
        <v>403</v>
      </c>
      <c r="P3347">
        <v>2.9010705037810629E-6</v>
      </c>
      <c r="Q3347" t="s">
        <v>159</v>
      </c>
    </row>
    <row r="3348" spans="9:17" x14ac:dyDescent="0.45">
      <c r="I3348" t="s">
        <v>206</v>
      </c>
      <c r="J3348" t="s">
        <v>404</v>
      </c>
      <c r="K3348">
        <v>1.6826957102384304E-4</v>
      </c>
      <c r="L3348" t="s">
        <v>159</v>
      </c>
      <c r="N3348" t="s">
        <v>249</v>
      </c>
      <c r="O3348" t="s">
        <v>404</v>
      </c>
      <c r="P3348">
        <v>3.3197313700672089E-6</v>
      </c>
      <c r="Q3348" t="s">
        <v>159</v>
      </c>
    </row>
    <row r="3349" spans="9:17" x14ac:dyDescent="0.45">
      <c r="I3349" t="s">
        <v>206</v>
      </c>
      <c r="J3349" t="s">
        <v>405</v>
      </c>
      <c r="K3349">
        <v>2.6142235137253424E-4</v>
      </c>
      <c r="L3349" t="s">
        <v>159</v>
      </c>
      <c r="N3349" t="s">
        <v>249</v>
      </c>
      <c r="O3349" t="s">
        <v>405</v>
      </c>
      <c r="P3349">
        <v>3.8863129158510512E-6</v>
      </c>
      <c r="Q3349" t="s">
        <v>159</v>
      </c>
    </row>
    <row r="3350" spans="9:17" x14ac:dyDescent="0.45">
      <c r="I3350" t="s">
        <v>206</v>
      </c>
      <c r="J3350" t="s">
        <v>406</v>
      </c>
      <c r="K3350">
        <v>2.9713611688472329E-4</v>
      </c>
      <c r="L3350" t="s">
        <v>159</v>
      </c>
      <c r="N3350" t="s">
        <v>249</v>
      </c>
      <c r="O3350" t="s">
        <v>406</v>
      </c>
      <c r="P3350">
        <v>2.5862060276927981E-5</v>
      </c>
      <c r="Q3350" t="s">
        <v>159</v>
      </c>
    </row>
    <row r="3351" spans="9:17" x14ac:dyDescent="0.45">
      <c r="I3351" t="s">
        <v>206</v>
      </c>
      <c r="J3351" t="s">
        <v>407</v>
      </c>
      <c r="K3351">
        <v>3.1191178023920967E-4</v>
      </c>
      <c r="L3351" t="s">
        <v>159</v>
      </c>
      <c r="N3351" t="s">
        <v>249</v>
      </c>
      <c r="O3351" t="s">
        <v>407</v>
      </c>
      <c r="P3351">
        <v>6.4842082425946236E-5</v>
      </c>
      <c r="Q3351" t="s">
        <v>159</v>
      </c>
    </row>
    <row r="3352" spans="9:17" x14ac:dyDescent="0.45">
      <c r="I3352" t="s">
        <v>206</v>
      </c>
      <c r="J3352" t="s">
        <v>408</v>
      </c>
      <c r="K3352">
        <v>3.2525330417099889E-4</v>
      </c>
      <c r="L3352" t="s">
        <v>159</v>
      </c>
      <c r="N3352" t="s">
        <v>249</v>
      </c>
      <c r="O3352" t="s">
        <v>408</v>
      </c>
      <c r="P3352">
        <v>1.1374774109994319E-4</v>
      </c>
      <c r="Q3352" t="s">
        <v>159</v>
      </c>
    </row>
    <row r="3353" spans="9:17" x14ac:dyDescent="0.45">
      <c r="I3353" t="s">
        <v>206</v>
      </c>
      <c r="J3353" t="s">
        <v>409</v>
      </c>
      <c r="K3353">
        <v>3.4033788391697473E-4</v>
      </c>
      <c r="L3353" t="s">
        <v>159</v>
      </c>
      <c r="N3353" t="s">
        <v>249</v>
      </c>
      <c r="O3353" t="s">
        <v>409</v>
      </c>
      <c r="P3353">
        <v>1.5129310934405556E-4</v>
      </c>
      <c r="Q3353" t="s">
        <v>159</v>
      </c>
    </row>
    <row r="3354" spans="9:17" x14ac:dyDescent="0.45">
      <c r="I3354" t="s">
        <v>206</v>
      </c>
      <c r="J3354" t="s">
        <v>410</v>
      </c>
      <c r="K3354">
        <v>3.2763768658690927E-4</v>
      </c>
      <c r="L3354" t="s">
        <v>159</v>
      </c>
      <c r="N3354" t="s">
        <v>249</v>
      </c>
      <c r="O3354" t="s">
        <v>410</v>
      </c>
      <c r="P3354">
        <v>1.8441540490896126E-4</v>
      </c>
      <c r="Q3354" t="s">
        <v>159</v>
      </c>
    </row>
    <row r="3355" spans="9:17" x14ac:dyDescent="0.45">
      <c r="I3355" t="s">
        <v>206</v>
      </c>
      <c r="J3355" t="s">
        <v>411</v>
      </c>
      <c r="K3355">
        <v>3.0813994128104581E-4</v>
      </c>
      <c r="L3355" t="s">
        <v>159</v>
      </c>
      <c r="N3355" t="s">
        <v>249</v>
      </c>
      <c r="O3355" t="s">
        <v>411</v>
      </c>
      <c r="P3355">
        <v>2.0451391952868038E-4</v>
      </c>
      <c r="Q3355" t="s">
        <v>159</v>
      </c>
    </row>
    <row r="3356" spans="9:17" x14ac:dyDescent="0.45">
      <c r="I3356" t="s">
        <v>206</v>
      </c>
      <c r="J3356" t="s">
        <v>412</v>
      </c>
      <c r="K3356">
        <v>2.9016962615347917E-4</v>
      </c>
      <c r="L3356" t="s">
        <v>159</v>
      </c>
      <c r="N3356" t="s">
        <v>249</v>
      </c>
      <c r="O3356" t="s">
        <v>412</v>
      </c>
      <c r="P3356">
        <v>2.086279521628797E-4</v>
      </c>
      <c r="Q3356" t="s">
        <v>159</v>
      </c>
    </row>
    <row r="3357" spans="9:17" x14ac:dyDescent="0.45">
      <c r="I3357" t="s">
        <v>206</v>
      </c>
      <c r="J3357" t="s">
        <v>413</v>
      </c>
      <c r="K3357">
        <v>2.6602359702647101E-4</v>
      </c>
      <c r="L3357" t="s">
        <v>159</v>
      </c>
      <c r="N3357" t="s">
        <v>249</v>
      </c>
      <c r="O3357" t="s">
        <v>413</v>
      </c>
      <c r="P3357">
        <v>1.9423968878387796E-4</v>
      </c>
      <c r="Q3357" t="s">
        <v>159</v>
      </c>
    </row>
    <row r="3358" spans="9:17" x14ac:dyDescent="0.45">
      <c r="I3358" t="s">
        <v>206</v>
      </c>
      <c r="J3358" t="s">
        <v>414</v>
      </c>
      <c r="K3358">
        <v>2.4221592743621113E-4</v>
      </c>
      <c r="L3358" t="s">
        <v>159</v>
      </c>
      <c r="N3358" t="s">
        <v>249</v>
      </c>
      <c r="O3358" t="s">
        <v>414</v>
      </c>
      <c r="P3358">
        <v>1.3808513999860662E-4</v>
      </c>
      <c r="Q3358" t="s">
        <v>159</v>
      </c>
    </row>
    <row r="3359" spans="9:17" x14ac:dyDescent="0.45">
      <c r="I3359" t="s">
        <v>206</v>
      </c>
      <c r="J3359" t="s">
        <v>415</v>
      </c>
      <c r="K3359">
        <v>1.5020768747608221E-4</v>
      </c>
      <c r="L3359" t="s">
        <v>159</v>
      </c>
      <c r="N3359" t="s">
        <v>249</v>
      </c>
      <c r="O3359" t="s">
        <v>415</v>
      </c>
      <c r="P3359">
        <v>1.0215123575656949E-4</v>
      </c>
      <c r="Q3359" t="s">
        <v>159</v>
      </c>
    </row>
    <row r="3360" spans="9:17" x14ac:dyDescent="0.45">
      <c r="I3360" t="s">
        <v>206</v>
      </c>
      <c r="J3360" t="s">
        <v>416</v>
      </c>
      <c r="K3360">
        <v>0</v>
      </c>
      <c r="L3360" t="s">
        <v>159</v>
      </c>
      <c r="N3360" t="s">
        <v>249</v>
      </c>
      <c r="O3360" t="s">
        <v>416</v>
      </c>
      <c r="P3360">
        <v>8.0707945533946832E-5</v>
      </c>
      <c r="Q3360" t="s">
        <v>159</v>
      </c>
    </row>
    <row r="3361" spans="9:17" x14ac:dyDescent="0.45">
      <c r="I3361" t="s">
        <v>206</v>
      </c>
      <c r="J3361" t="s">
        <v>417</v>
      </c>
      <c r="K3361">
        <v>0</v>
      </c>
      <c r="L3361" t="s">
        <v>159</v>
      </c>
      <c r="N3361" t="s">
        <v>249</v>
      </c>
      <c r="O3361" t="s">
        <v>417</v>
      </c>
      <c r="P3361">
        <v>6.5129202801099731E-5</v>
      </c>
      <c r="Q3361" t="s">
        <v>159</v>
      </c>
    </row>
    <row r="3362" spans="9:17" x14ac:dyDescent="0.45">
      <c r="I3362" t="s">
        <v>206</v>
      </c>
      <c r="J3362" t="s">
        <v>418</v>
      </c>
      <c r="K3362">
        <v>0</v>
      </c>
      <c r="L3362" t="s">
        <v>159</v>
      </c>
      <c r="N3362" t="s">
        <v>249</v>
      </c>
      <c r="O3362" t="s">
        <v>418</v>
      </c>
      <c r="P3362">
        <v>4.9048931963190582E-5</v>
      </c>
      <c r="Q3362" t="s">
        <v>159</v>
      </c>
    </row>
    <row r="3363" spans="9:17" x14ac:dyDescent="0.45">
      <c r="I3363" t="s">
        <v>206</v>
      </c>
      <c r="J3363" t="s">
        <v>419</v>
      </c>
      <c r="K3363">
        <v>0</v>
      </c>
      <c r="L3363" t="s">
        <v>159</v>
      </c>
      <c r="N3363" t="s">
        <v>249</v>
      </c>
      <c r="O3363" t="s">
        <v>419</v>
      </c>
      <c r="P3363">
        <v>2.9514553335339393E-5</v>
      </c>
      <c r="Q3363" t="s">
        <v>159</v>
      </c>
    </row>
    <row r="3364" spans="9:17" x14ac:dyDescent="0.45">
      <c r="I3364" t="s">
        <v>206</v>
      </c>
      <c r="J3364" t="s">
        <v>420</v>
      </c>
      <c r="K3364">
        <v>0</v>
      </c>
      <c r="L3364" t="s">
        <v>159</v>
      </c>
      <c r="N3364" t="s">
        <v>249</v>
      </c>
      <c r="O3364" t="s">
        <v>420</v>
      </c>
      <c r="P3364">
        <v>2.4645051895008665E-5</v>
      </c>
      <c r="Q3364" t="s">
        <v>159</v>
      </c>
    </row>
    <row r="3365" spans="9:17" x14ac:dyDescent="0.45">
      <c r="I3365" t="s">
        <v>206</v>
      </c>
      <c r="J3365" t="s">
        <v>313</v>
      </c>
      <c r="K3365">
        <v>2.0490646559659224E-3</v>
      </c>
      <c r="L3365" t="s">
        <v>159</v>
      </c>
      <c r="N3365" t="s">
        <v>249</v>
      </c>
      <c r="O3365" t="s">
        <v>313</v>
      </c>
      <c r="P3365">
        <v>2.1956943499028336E-2</v>
      </c>
      <c r="Q3365" t="s">
        <v>159</v>
      </c>
    </row>
    <row r="3366" spans="9:17" x14ac:dyDescent="0.45">
      <c r="I3366" t="s">
        <v>206</v>
      </c>
      <c r="J3366" t="s">
        <v>314</v>
      </c>
      <c r="K3366">
        <v>4.0810236491048103E-3</v>
      </c>
      <c r="L3366" t="s">
        <v>159</v>
      </c>
      <c r="N3366" t="s">
        <v>249</v>
      </c>
      <c r="O3366" t="s">
        <v>314</v>
      </c>
      <c r="P3366">
        <v>1.7342375303876019E-3</v>
      </c>
      <c r="Q3366" t="s">
        <v>159</v>
      </c>
    </row>
    <row r="3367" spans="9:17" x14ac:dyDescent="0.45">
      <c r="I3367" t="s">
        <v>206</v>
      </c>
      <c r="J3367" t="s">
        <v>315</v>
      </c>
      <c r="K3367">
        <v>6.4985932893281542E-2</v>
      </c>
      <c r="L3367" t="s">
        <v>159</v>
      </c>
      <c r="N3367" t="s">
        <v>249</v>
      </c>
      <c r="O3367" t="s">
        <v>315</v>
      </c>
      <c r="P3367">
        <v>1.4921923579987749E-2</v>
      </c>
      <c r="Q3367" t="s">
        <v>159</v>
      </c>
    </row>
    <row r="3368" spans="9:17" x14ac:dyDescent="0.45">
      <c r="I3368" t="s">
        <v>206</v>
      </c>
      <c r="J3368" t="s">
        <v>316</v>
      </c>
      <c r="K3368">
        <v>5.3596116309258934E-3</v>
      </c>
      <c r="L3368" t="s">
        <v>159</v>
      </c>
      <c r="N3368" t="s">
        <v>249</v>
      </c>
      <c r="O3368" t="s">
        <v>316</v>
      </c>
      <c r="P3368">
        <v>2.9518650698849482E-3</v>
      </c>
      <c r="Q3368" t="s">
        <v>159</v>
      </c>
    </row>
    <row r="3369" spans="9:17" x14ac:dyDescent="0.45">
      <c r="I3369" t="s">
        <v>206</v>
      </c>
      <c r="J3369" t="s">
        <v>317</v>
      </c>
      <c r="K3369">
        <v>3.8516755300203715E-3</v>
      </c>
      <c r="L3369" t="s">
        <v>159</v>
      </c>
      <c r="N3369" t="s">
        <v>249</v>
      </c>
      <c r="O3369" t="s">
        <v>317</v>
      </c>
      <c r="P3369">
        <v>3.3321495529072703E-3</v>
      </c>
      <c r="Q3369" t="s">
        <v>159</v>
      </c>
    </row>
    <row r="3370" spans="9:17" x14ac:dyDescent="0.45">
      <c r="I3370" t="s">
        <v>206</v>
      </c>
      <c r="J3370" t="s">
        <v>318</v>
      </c>
      <c r="K3370">
        <v>2.2592649547855392E-3</v>
      </c>
      <c r="L3370" t="s">
        <v>159</v>
      </c>
      <c r="N3370" t="s">
        <v>249</v>
      </c>
      <c r="O3370" t="s">
        <v>318</v>
      </c>
      <c r="P3370">
        <v>2.4612717940513583E-2</v>
      </c>
      <c r="Q3370" t="s">
        <v>159</v>
      </c>
    </row>
    <row r="3371" spans="9:17" x14ac:dyDescent="0.45">
      <c r="I3371" t="s">
        <v>207</v>
      </c>
      <c r="J3371" t="s">
        <v>158</v>
      </c>
      <c r="K3371">
        <v>1.0022052096170327E-3</v>
      </c>
      <c r="L3371" t="s">
        <v>159</v>
      </c>
      <c r="N3371" t="s">
        <v>250</v>
      </c>
      <c r="O3371" t="s">
        <v>158</v>
      </c>
      <c r="P3371">
        <v>0.17121089024118102</v>
      </c>
      <c r="Q3371" t="s">
        <v>159</v>
      </c>
    </row>
    <row r="3372" spans="9:17" x14ac:dyDescent="0.45">
      <c r="I3372" t="s">
        <v>207</v>
      </c>
      <c r="J3372" t="s">
        <v>160</v>
      </c>
      <c r="K3372">
        <v>1.5142999062213208E-2</v>
      </c>
      <c r="L3372" t="s">
        <v>159</v>
      </c>
      <c r="N3372" t="s">
        <v>250</v>
      </c>
      <c r="O3372" t="s">
        <v>160</v>
      </c>
      <c r="P3372">
        <v>1.9325750039226292E-2</v>
      </c>
      <c r="Q3372" t="s">
        <v>159</v>
      </c>
    </row>
    <row r="3373" spans="9:17" x14ac:dyDescent="0.45">
      <c r="I3373" t="s">
        <v>207</v>
      </c>
      <c r="J3373" t="s">
        <v>161</v>
      </c>
      <c r="K3373">
        <v>0.37346580995454937</v>
      </c>
      <c r="L3373" t="s">
        <v>159</v>
      </c>
      <c r="N3373" t="s">
        <v>250</v>
      </c>
      <c r="O3373" t="s">
        <v>161</v>
      </c>
      <c r="P3373">
        <v>0.13267284183805775</v>
      </c>
      <c r="Q3373" t="s">
        <v>159</v>
      </c>
    </row>
    <row r="3374" spans="9:17" x14ac:dyDescent="0.45">
      <c r="I3374" t="s">
        <v>207</v>
      </c>
      <c r="J3374" t="s">
        <v>287</v>
      </c>
      <c r="K3374">
        <v>3.4307594676627674E-2</v>
      </c>
      <c r="L3374" t="s">
        <v>159</v>
      </c>
      <c r="N3374" t="s">
        <v>250</v>
      </c>
      <c r="O3374" t="s">
        <v>287</v>
      </c>
      <c r="P3374">
        <v>1.5235982763199946E-2</v>
      </c>
      <c r="Q3374" t="s">
        <v>159</v>
      </c>
    </row>
    <row r="3375" spans="9:17" x14ac:dyDescent="0.45">
      <c r="I3375" t="s">
        <v>207</v>
      </c>
      <c r="J3375" t="s">
        <v>288</v>
      </c>
      <c r="K3375">
        <v>2.0742480089319098E-2</v>
      </c>
      <c r="L3375" t="s">
        <v>159</v>
      </c>
      <c r="N3375" t="s">
        <v>250</v>
      </c>
      <c r="O3375" t="s">
        <v>288</v>
      </c>
      <c r="P3375">
        <v>1.7090478777200536E-2</v>
      </c>
      <c r="Q3375" t="s">
        <v>159</v>
      </c>
    </row>
    <row r="3376" spans="9:17" x14ac:dyDescent="0.45">
      <c r="I3376" t="s">
        <v>207</v>
      </c>
      <c r="J3376" t="s">
        <v>308</v>
      </c>
      <c r="K3376">
        <v>8.7953484993314839E-3</v>
      </c>
      <c r="L3376" t="s">
        <v>159</v>
      </c>
      <c r="N3376" t="s">
        <v>250</v>
      </c>
      <c r="O3376" t="s">
        <v>308</v>
      </c>
      <c r="P3376">
        <v>0.12450544190315291</v>
      </c>
      <c r="Q3376" t="s">
        <v>159</v>
      </c>
    </row>
    <row r="3377" spans="9:17" x14ac:dyDescent="0.45">
      <c r="I3377" t="s">
        <v>207</v>
      </c>
      <c r="J3377" t="s">
        <v>162</v>
      </c>
      <c r="K3377">
        <v>0</v>
      </c>
      <c r="L3377" t="s">
        <v>159</v>
      </c>
      <c r="N3377" t="s">
        <v>250</v>
      </c>
      <c r="O3377" t="s">
        <v>162</v>
      </c>
      <c r="P3377">
        <v>2.4405485831774813E-2</v>
      </c>
      <c r="Q3377" t="s">
        <v>159</v>
      </c>
    </row>
    <row r="3378" spans="9:17" x14ac:dyDescent="0.45">
      <c r="I3378" t="s">
        <v>207</v>
      </c>
      <c r="J3378" t="s">
        <v>163</v>
      </c>
      <c r="K3378">
        <v>0</v>
      </c>
      <c r="L3378" t="s">
        <v>159</v>
      </c>
      <c r="N3378" t="s">
        <v>250</v>
      </c>
      <c r="O3378" t="s">
        <v>163</v>
      </c>
      <c r="P3378">
        <v>3.5560295790562461E-3</v>
      </c>
      <c r="Q3378" t="s">
        <v>159</v>
      </c>
    </row>
    <row r="3379" spans="9:17" x14ac:dyDescent="0.45">
      <c r="I3379" t="s">
        <v>207</v>
      </c>
      <c r="J3379" t="s">
        <v>164</v>
      </c>
      <c r="K3379">
        <v>4.4256918100252812E-2</v>
      </c>
      <c r="L3379" t="s">
        <v>159</v>
      </c>
      <c r="N3379" t="s">
        <v>250</v>
      </c>
      <c r="O3379" t="s">
        <v>164</v>
      </c>
      <c r="P3379">
        <v>2.4402180096381967E-2</v>
      </c>
      <c r="Q3379" t="s">
        <v>159</v>
      </c>
    </row>
    <row r="3380" spans="9:17" x14ac:dyDescent="0.45">
      <c r="I3380" t="s">
        <v>207</v>
      </c>
      <c r="J3380" t="s">
        <v>289</v>
      </c>
      <c r="K3380">
        <v>4.093011366828052E-3</v>
      </c>
      <c r="L3380" t="s">
        <v>159</v>
      </c>
      <c r="N3380" t="s">
        <v>250</v>
      </c>
      <c r="O3380" t="s">
        <v>289</v>
      </c>
      <c r="P3380">
        <v>2.3738012273974429E-3</v>
      </c>
      <c r="Q3380" t="s">
        <v>159</v>
      </c>
    </row>
    <row r="3381" spans="9:17" x14ac:dyDescent="0.45">
      <c r="I3381" t="s">
        <v>207</v>
      </c>
      <c r="J3381" t="s">
        <v>290</v>
      </c>
      <c r="K3381">
        <v>3.1513439372254855E-5</v>
      </c>
      <c r="L3381" t="s">
        <v>159</v>
      </c>
      <c r="N3381" t="s">
        <v>250</v>
      </c>
      <c r="O3381" t="s">
        <v>290</v>
      </c>
      <c r="P3381">
        <v>2.7149885879644759E-3</v>
      </c>
      <c r="Q3381" t="s">
        <v>159</v>
      </c>
    </row>
    <row r="3382" spans="9:17" x14ac:dyDescent="0.45">
      <c r="I3382" t="s">
        <v>207</v>
      </c>
      <c r="J3382" t="s">
        <v>309</v>
      </c>
      <c r="K3382">
        <v>0</v>
      </c>
      <c r="L3382" t="s">
        <v>159</v>
      </c>
      <c r="N3382" t="s">
        <v>250</v>
      </c>
      <c r="O3382" t="s">
        <v>309</v>
      </c>
      <c r="P3382">
        <v>1.6723272782758928E-2</v>
      </c>
      <c r="Q3382" t="s">
        <v>159</v>
      </c>
    </row>
    <row r="3383" spans="9:17" x14ac:dyDescent="0.45">
      <c r="I3383" t="s">
        <v>207</v>
      </c>
      <c r="J3383" t="s">
        <v>346</v>
      </c>
      <c r="K3383">
        <v>0</v>
      </c>
      <c r="L3383" t="s">
        <v>159</v>
      </c>
      <c r="N3383" t="s">
        <v>250</v>
      </c>
      <c r="O3383" t="s">
        <v>346</v>
      </c>
      <c r="P3383">
        <v>1.4311037961996687E-6</v>
      </c>
      <c r="Q3383" t="s">
        <v>159</v>
      </c>
    </row>
    <row r="3384" spans="9:17" x14ac:dyDescent="0.45">
      <c r="I3384" t="s">
        <v>207</v>
      </c>
      <c r="J3384" t="s">
        <v>347</v>
      </c>
      <c r="K3384">
        <v>0</v>
      </c>
      <c r="L3384" t="s">
        <v>159</v>
      </c>
      <c r="N3384" t="s">
        <v>250</v>
      </c>
      <c r="O3384" t="s">
        <v>347</v>
      </c>
      <c r="P3384">
        <v>1.4410906505689633E-6</v>
      </c>
      <c r="Q3384" t="s">
        <v>159</v>
      </c>
    </row>
    <row r="3385" spans="9:17" x14ac:dyDescent="0.45">
      <c r="I3385" t="s">
        <v>207</v>
      </c>
      <c r="J3385" t="s">
        <v>348</v>
      </c>
      <c r="K3385">
        <v>0</v>
      </c>
      <c r="L3385" t="s">
        <v>159</v>
      </c>
      <c r="N3385" t="s">
        <v>250</v>
      </c>
      <c r="O3385" t="s">
        <v>348</v>
      </c>
      <c r="P3385">
        <v>1.2094563785512486E-6</v>
      </c>
      <c r="Q3385" t="s">
        <v>159</v>
      </c>
    </row>
    <row r="3386" spans="9:17" x14ac:dyDescent="0.45">
      <c r="I3386" t="s">
        <v>207</v>
      </c>
      <c r="J3386" t="s">
        <v>349</v>
      </c>
      <c r="K3386">
        <v>0</v>
      </c>
      <c r="L3386" t="s">
        <v>159</v>
      </c>
      <c r="N3386" t="s">
        <v>250</v>
      </c>
      <c r="O3386" t="s">
        <v>349</v>
      </c>
      <c r="P3386">
        <v>1.6326012923878095E-6</v>
      </c>
      <c r="Q3386" t="s">
        <v>159</v>
      </c>
    </row>
    <row r="3387" spans="9:17" x14ac:dyDescent="0.45">
      <c r="I3387" t="s">
        <v>207</v>
      </c>
      <c r="J3387" t="s">
        <v>350</v>
      </c>
      <c r="K3387">
        <v>0</v>
      </c>
      <c r="L3387" t="s">
        <v>159</v>
      </c>
      <c r="N3387" t="s">
        <v>250</v>
      </c>
      <c r="O3387" t="s">
        <v>350</v>
      </c>
      <c r="P3387">
        <v>2.2549415113693124E-6</v>
      </c>
      <c r="Q3387" t="s">
        <v>159</v>
      </c>
    </row>
    <row r="3388" spans="9:17" x14ac:dyDescent="0.45">
      <c r="I3388" t="s">
        <v>207</v>
      </c>
      <c r="J3388" t="s">
        <v>351</v>
      </c>
      <c r="K3388">
        <v>0</v>
      </c>
      <c r="L3388" t="s">
        <v>159</v>
      </c>
      <c r="N3388" t="s">
        <v>250</v>
      </c>
      <c r="O3388" t="s">
        <v>351</v>
      </c>
      <c r="P3388">
        <v>3.4519533711767589E-6</v>
      </c>
      <c r="Q3388" t="s">
        <v>159</v>
      </c>
    </row>
    <row r="3389" spans="9:17" x14ac:dyDescent="0.45">
      <c r="I3389" t="s">
        <v>207</v>
      </c>
      <c r="J3389" t="s">
        <v>352</v>
      </c>
      <c r="K3389">
        <v>0</v>
      </c>
      <c r="L3389" t="s">
        <v>159</v>
      </c>
      <c r="N3389" t="s">
        <v>250</v>
      </c>
      <c r="O3389" t="s">
        <v>352</v>
      </c>
      <c r="P3389">
        <v>7.5128922816772892E-6</v>
      </c>
      <c r="Q3389" t="s">
        <v>159</v>
      </c>
    </row>
    <row r="3390" spans="9:17" x14ac:dyDescent="0.45">
      <c r="I3390" t="s">
        <v>207</v>
      </c>
      <c r="J3390" t="s">
        <v>353</v>
      </c>
      <c r="K3390">
        <v>0</v>
      </c>
      <c r="L3390" t="s">
        <v>159</v>
      </c>
      <c r="N3390" t="s">
        <v>250</v>
      </c>
      <c r="O3390" t="s">
        <v>353</v>
      </c>
      <c r="P3390">
        <v>1.2937114273439661E-5</v>
      </c>
      <c r="Q3390" t="s">
        <v>159</v>
      </c>
    </row>
    <row r="3391" spans="9:17" x14ac:dyDescent="0.45">
      <c r="I3391" t="s">
        <v>207</v>
      </c>
      <c r="J3391" t="s">
        <v>354</v>
      </c>
      <c r="K3391">
        <v>9.3339185351398558E-5</v>
      </c>
      <c r="L3391" t="s">
        <v>159</v>
      </c>
      <c r="N3391" t="s">
        <v>250</v>
      </c>
      <c r="O3391" t="s">
        <v>354</v>
      </c>
      <c r="P3391">
        <v>1.6411573860384646E-5</v>
      </c>
      <c r="Q3391" t="s">
        <v>159</v>
      </c>
    </row>
    <row r="3392" spans="9:17" x14ac:dyDescent="0.45">
      <c r="I3392" t="s">
        <v>207</v>
      </c>
      <c r="J3392" t="s">
        <v>355</v>
      </c>
      <c r="K3392">
        <v>1.4861575547877036E-4</v>
      </c>
      <c r="L3392" t="s">
        <v>159</v>
      </c>
      <c r="N3392" t="s">
        <v>250</v>
      </c>
      <c r="O3392" t="s">
        <v>355</v>
      </c>
      <c r="P3392">
        <v>1.0839206886740511E-5</v>
      </c>
      <c r="Q3392" t="s">
        <v>159</v>
      </c>
    </row>
    <row r="3393" spans="9:17" x14ac:dyDescent="0.45">
      <c r="I3393" t="s">
        <v>207</v>
      </c>
      <c r="J3393" t="s">
        <v>356</v>
      </c>
      <c r="K3393">
        <v>1.4949048475397099E-4</v>
      </c>
      <c r="L3393" t="s">
        <v>159</v>
      </c>
      <c r="N3393" t="s">
        <v>250</v>
      </c>
      <c r="O3393" t="s">
        <v>356</v>
      </c>
      <c r="P3393">
        <v>5.9602635201083162E-7</v>
      </c>
      <c r="Q3393" t="s">
        <v>159</v>
      </c>
    </row>
    <row r="3394" spans="9:17" x14ac:dyDescent="0.45">
      <c r="I3394" t="s">
        <v>207</v>
      </c>
      <c r="J3394" t="s">
        <v>357</v>
      </c>
      <c r="K3394">
        <v>1.6126237458469718E-4</v>
      </c>
      <c r="L3394" t="s">
        <v>159</v>
      </c>
      <c r="N3394" t="s">
        <v>250</v>
      </c>
      <c r="O3394" t="s">
        <v>357</v>
      </c>
      <c r="P3394">
        <v>1.4343837415955935E-7</v>
      </c>
      <c r="Q3394" t="s">
        <v>159</v>
      </c>
    </row>
    <row r="3395" spans="9:17" x14ac:dyDescent="0.45">
      <c r="I3395" t="s">
        <v>207</v>
      </c>
      <c r="J3395" t="s">
        <v>358</v>
      </c>
      <c r="K3395">
        <v>1.8811636660146227E-4</v>
      </c>
      <c r="L3395" t="s">
        <v>159</v>
      </c>
      <c r="N3395" t="s">
        <v>250</v>
      </c>
      <c r="O3395" t="s">
        <v>358</v>
      </c>
      <c r="P3395">
        <v>1.6228705234405873E-7</v>
      </c>
      <c r="Q3395" t="s">
        <v>159</v>
      </c>
    </row>
    <row r="3396" spans="9:17" x14ac:dyDescent="0.45">
      <c r="I3396" t="s">
        <v>207</v>
      </c>
      <c r="J3396" t="s">
        <v>359</v>
      </c>
      <c r="K3396">
        <v>2.2063040281816273E-4</v>
      </c>
      <c r="L3396" t="s">
        <v>159</v>
      </c>
      <c r="N3396" t="s">
        <v>250</v>
      </c>
      <c r="O3396" t="s">
        <v>359</v>
      </c>
      <c r="P3396">
        <v>2.426021448309046E-7</v>
      </c>
      <c r="Q3396" t="s">
        <v>159</v>
      </c>
    </row>
    <row r="3397" spans="9:17" x14ac:dyDescent="0.45">
      <c r="I3397" t="s">
        <v>207</v>
      </c>
      <c r="J3397" t="s">
        <v>360</v>
      </c>
      <c r="K3397">
        <v>1.7786768913643459E-4</v>
      </c>
      <c r="L3397" t="s">
        <v>159</v>
      </c>
      <c r="N3397" t="s">
        <v>250</v>
      </c>
      <c r="O3397" t="s">
        <v>360</v>
      </c>
      <c r="P3397">
        <v>3.568930587905928E-7</v>
      </c>
      <c r="Q3397" t="s">
        <v>159</v>
      </c>
    </row>
    <row r="3398" spans="9:17" x14ac:dyDescent="0.45">
      <c r="I3398" t="s">
        <v>207</v>
      </c>
      <c r="J3398" t="s">
        <v>361</v>
      </c>
      <c r="K3398">
        <v>1.5997473746748057E-4</v>
      </c>
      <c r="L3398" t="s">
        <v>159</v>
      </c>
      <c r="N3398" t="s">
        <v>250</v>
      </c>
      <c r="O3398" t="s">
        <v>361</v>
      </c>
      <c r="P3398">
        <v>4.3024657360121894E-7</v>
      </c>
      <c r="Q3398" t="s">
        <v>159</v>
      </c>
    </row>
    <row r="3399" spans="9:17" x14ac:dyDescent="0.45">
      <c r="I3399" t="s">
        <v>207</v>
      </c>
      <c r="J3399" t="s">
        <v>362</v>
      </c>
      <c r="K3399">
        <v>1.6573111464145081E-4</v>
      </c>
      <c r="L3399" t="s">
        <v>159</v>
      </c>
      <c r="N3399" t="s">
        <v>250</v>
      </c>
      <c r="O3399" t="s">
        <v>362</v>
      </c>
      <c r="P3399">
        <v>1.4992944212366678E-6</v>
      </c>
      <c r="Q3399" t="s">
        <v>159</v>
      </c>
    </row>
    <row r="3400" spans="9:17" x14ac:dyDescent="0.45">
      <c r="I3400" t="s">
        <v>207</v>
      </c>
      <c r="J3400" t="s">
        <v>363</v>
      </c>
      <c r="K3400">
        <v>1.5256295814559866E-4</v>
      </c>
      <c r="L3400" t="s">
        <v>159</v>
      </c>
      <c r="N3400" t="s">
        <v>250</v>
      </c>
      <c r="O3400" t="s">
        <v>363</v>
      </c>
      <c r="P3400">
        <v>6.4484586231638421E-6</v>
      </c>
      <c r="Q3400" t="s">
        <v>159</v>
      </c>
    </row>
    <row r="3401" spans="9:17" x14ac:dyDescent="0.45">
      <c r="I3401" t="s">
        <v>207</v>
      </c>
      <c r="J3401" t="s">
        <v>364</v>
      </c>
      <c r="K3401">
        <v>0</v>
      </c>
      <c r="L3401" t="s">
        <v>159</v>
      </c>
      <c r="N3401" t="s">
        <v>250</v>
      </c>
      <c r="O3401" t="s">
        <v>364</v>
      </c>
      <c r="P3401">
        <v>1.2759585290772587E-5</v>
      </c>
      <c r="Q3401" t="s">
        <v>159</v>
      </c>
    </row>
    <row r="3402" spans="9:17" x14ac:dyDescent="0.45">
      <c r="I3402" t="s">
        <v>207</v>
      </c>
      <c r="J3402" t="s">
        <v>365</v>
      </c>
      <c r="K3402">
        <v>0</v>
      </c>
      <c r="L3402" t="s">
        <v>159</v>
      </c>
      <c r="N3402" t="s">
        <v>250</v>
      </c>
      <c r="O3402" t="s">
        <v>365</v>
      </c>
      <c r="P3402">
        <v>2.0869258019813516E-5</v>
      </c>
      <c r="Q3402" t="s">
        <v>159</v>
      </c>
    </row>
    <row r="3403" spans="9:17" x14ac:dyDescent="0.45">
      <c r="I3403" t="s">
        <v>207</v>
      </c>
      <c r="J3403" t="s">
        <v>366</v>
      </c>
      <c r="K3403">
        <v>0</v>
      </c>
      <c r="L3403" t="s">
        <v>159</v>
      </c>
      <c r="N3403" t="s">
        <v>250</v>
      </c>
      <c r="O3403" t="s">
        <v>366</v>
      </c>
      <c r="P3403">
        <v>2.5806591378444241E-5</v>
      </c>
      <c r="Q3403" t="s">
        <v>159</v>
      </c>
    </row>
    <row r="3404" spans="9:17" x14ac:dyDescent="0.45">
      <c r="I3404" t="s">
        <v>207</v>
      </c>
      <c r="J3404" t="s">
        <v>367</v>
      </c>
      <c r="K3404">
        <v>0</v>
      </c>
      <c r="L3404" t="s">
        <v>159</v>
      </c>
      <c r="N3404" t="s">
        <v>250</v>
      </c>
      <c r="O3404" t="s">
        <v>367</v>
      </c>
      <c r="P3404">
        <v>3.0317866699768873E-5</v>
      </c>
      <c r="Q3404" t="s">
        <v>159</v>
      </c>
    </row>
    <row r="3405" spans="9:17" x14ac:dyDescent="0.45">
      <c r="I3405" t="s">
        <v>207</v>
      </c>
      <c r="J3405" t="s">
        <v>368</v>
      </c>
      <c r="K3405">
        <v>0</v>
      </c>
      <c r="L3405" t="s">
        <v>159</v>
      </c>
      <c r="N3405" t="s">
        <v>250</v>
      </c>
      <c r="O3405" t="s">
        <v>368</v>
      </c>
      <c r="P3405">
        <v>3.2626596055534305E-5</v>
      </c>
      <c r="Q3405" t="s">
        <v>159</v>
      </c>
    </row>
    <row r="3406" spans="9:17" x14ac:dyDescent="0.45">
      <c r="I3406" t="s">
        <v>207</v>
      </c>
      <c r="J3406" t="s">
        <v>369</v>
      </c>
      <c r="K3406">
        <v>0</v>
      </c>
      <c r="L3406" t="s">
        <v>159</v>
      </c>
      <c r="N3406" t="s">
        <v>250</v>
      </c>
      <c r="O3406" t="s">
        <v>369</v>
      </c>
      <c r="P3406">
        <v>3.3206305240908436E-5</v>
      </c>
      <c r="Q3406" t="s">
        <v>159</v>
      </c>
    </row>
    <row r="3407" spans="9:17" x14ac:dyDescent="0.45">
      <c r="I3407" t="s">
        <v>207</v>
      </c>
      <c r="J3407" t="s">
        <v>165</v>
      </c>
      <c r="K3407">
        <v>0</v>
      </c>
      <c r="L3407" t="s">
        <v>159</v>
      </c>
      <c r="N3407" t="s">
        <v>250</v>
      </c>
      <c r="O3407" t="s">
        <v>165</v>
      </c>
      <c r="P3407">
        <v>2.4728271911021386E-2</v>
      </c>
      <c r="Q3407" t="s">
        <v>159</v>
      </c>
    </row>
    <row r="3408" spans="9:17" x14ac:dyDescent="0.45">
      <c r="I3408" t="s">
        <v>207</v>
      </c>
      <c r="J3408" t="s">
        <v>166</v>
      </c>
      <c r="K3408">
        <v>0</v>
      </c>
      <c r="L3408" t="s">
        <v>159</v>
      </c>
      <c r="N3408" t="s">
        <v>250</v>
      </c>
      <c r="O3408" t="s">
        <v>166</v>
      </c>
      <c r="P3408">
        <v>3.3551623086705111E-3</v>
      </c>
      <c r="Q3408" t="s">
        <v>159</v>
      </c>
    </row>
    <row r="3409" spans="9:17" x14ac:dyDescent="0.45">
      <c r="I3409" t="s">
        <v>207</v>
      </c>
      <c r="J3409" t="s">
        <v>167</v>
      </c>
      <c r="K3409">
        <v>5.9847485164521042E-2</v>
      </c>
      <c r="L3409" t="s">
        <v>159</v>
      </c>
      <c r="N3409" t="s">
        <v>250</v>
      </c>
      <c r="O3409" t="s">
        <v>167</v>
      </c>
      <c r="P3409">
        <v>2.9834637404644163E-2</v>
      </c>
      <c r="Q3409" t="s">
        <v>159</v>
      </c>
    </row>
    <row r="3410" spans="9:17" x14ac:dyDescent="0.45">
      <c r="I3410" t="s">
        <v>207</v>
      </c>
      <c r="J3410" t="s">
        <v>291</v>
      </c>
      <c r="K3410">
        <v>5.8578933023436201E-3</v>
      </c>
      <c r="L3410" t="s">
        <v>159</v>
      </c>
      <c r="N3410" t="s">
        <v>250</v>
      </c>
      <c r="O3410" t="s">
        <v>291</v>
      </c>
      <c r="P3410">
        <v>3.4686646312344599E-3</v>
      </c>
      <c r="Q3410" t="s">
        <v>159</v>
      </c>
    </row>
    <row r="3411" spans="9:17" x14ac:dyDescent="0.45">
      <c r="I3411" t="s">
        <v>207</v>
      </c>
      <c r="J3411" t="s">
        <v>292</v>
      </c>
      <c r="K3411">
        <v>3.5822407339167455E-3</v>
      </c>
      <c r="L3411" t="s">
        <v>159</v>
      </c>
      <c r="N3411" t="s">
        <v>250</v>
      </c>
      <c r="O3411" t="s">
        <v>292</v>
      </c>
      <c r="P3411">
        <v>3.5774591583824524E-3</v>
      </c>
      <c r="Q3411" t="s">
        <v>159</v>
      </c>
    </row>
    <row r="3412" spans="9:17" x14ac:dyDescent="0.45">
      <c r="I3412" t="s">
        <v>207</v>
      </c>
      <c r="J3412" t="s">
        <v>310</v>
      </c>
      <c r="K3412">
        <v>0</v>
      </c>
      <c r="L3412" t="s">
        <v>159</v>
      </c>
      <c r="N3412" t="s">
        <v>250</v>
      </c>
      <c r="O3412" t="s">
        <v>310</v>
      </c>
      <c r="P3412">
        <v>2.0346604195022919E-2</v>
      </c>
      <c r="Q3412" t="s">
        <v>159</v>
      </c>
    </row>
    <row r="3413" spans="9:17" x14ac:dyDescent="0.45">
      <c r="I3413" t="s">
        <v>207</v>
      </c>
      <c r="J3413" t="s">
        <v>293</v>
      </c>
      <c r="K3413">
        <v>0</v>
      </c>
      <c r="L3413" t="s">
        <v>159</v>
      </c>
      <c r="N3413" t="s">
        <v>250</v>
      </c>
      <c r="O3413" t="s">
        <v>293</v>
      </c>
      <c r="P3413">
        <v>6.2738576574089579E-3</v>
      </c>
      <c r="Q3413" t="s">
        <v>159</v>
      </c>
    </row>
    <row r="3414" spans="9:17" x14ac:dyDescent="0.45">
      <c r="I3414" t="s">
        <v>207</v>
      </c>
      <c r="J3414" t="s">
        <v>294</v>
      </c>
      <c r="K3414">
        <v>0</v>
      </c>
      <c r="L3414" t="s">
        <v>159</v>
      </c>
      <c r="N3414" t="s">
        <v>250</v>
      </c>
      <c r="O3414" t="s">
        <v>294</v>
      </c>
      <c r="P3414">
        <v>8.5802995144900721E-4</v>
      </c>
      <c r="Q3414" t="s">
        <v>159</v>
      </c>
    </row>
    <row r="3415" spans="9:17" x14ac:dyDescent="0.45">
      <c r="I3415" t="s">
        <v>207</v>
      </c>
      <c r="J3415" t="s">
        <v>295</v>
      </c>
      <c r="K3415">
        <v>1.4969201232285895E-2</v>
      </c>
      <c r="L3415" t="s">
        <v>159</v>
      </c>
      <c r="N3415" t="s">
        <v>250</v>
      </c>
      <c r="O3415" t="s">
        <v>295</v>
      </c>
      <c r="P3415">
        <v>6.5880782645266764E-3</v>
      </c>
      <c r="Q3415" t="s">
        <v>159</v>
      </c>
    </row>
    <row r="3416" spans="9:17" x14ac:dyDescent="0.45">
      <c r="I3416" t="s">
        <v>207</v>
      </c>
      <c r="J3416" t="s">
        <v>296</v>
      </c>
      <c r="K3416">
        <v>1.4700198035441775E-3</v>
      </c>
      <c r="L3416" t="s">
        <v>159</v>
      </c>
      <c r="N3416" t="s">
        <v>250</v>
      </c>
      <c r="O3416" t="s">
        <v>296</v>
      </c>
      <c r="P3416">
        <v>7.1652147806755898E-4</v>
      </c>
      <c r="Q3416" t="s">
        <v>159</v>
      </c>
    </row>
    <row r="3417" spans="9:17" x14ac:dyDescent="0.45">
      <c r="I3417" t="s">
        <v>207</v>
      </c>
      <c r="J3417" t="s">
        <v>297</v>
      </c>
      <c r="K3417">
        <v>1.0216610501830926E-3</v>
      </c>
      <c r="L3417" t="s">
        <v>159</v>
      </c>
      <c r="N3417" t="s">
        <v>250</v>
      </c>
      <c r="O3417" t="s">
        <v>297</v>
      </c>
      <c r="P3417">
        <v>7.1708903967941347E-4</v>
      </c>
      <c r="Q3417" t="s">
        <v>159</v>
      </c>
    </row>
    <row r="3418" spans="9:17" x14ac:dyDescent="0.45">
      <c r="I3418" t="s">
        <v>207</v>
      </c>
      <c r="J3418" t="s">
        <v>311</v>
      </c>
      <c r="K3418">
        <v>0</v>
      </c>
      <c r="L3418" t="s">
        <v>159</v>
      </c>
      <c r="N3418" t="s">
        <v>250</v>
      </c>
      <c r="O3418" t="s">
        <v>311</v>
      </c>
      <c r="P3418">
        <v>3.6502736385391117E-3</v>
      </c>
      <c r="Q3418" t="s">
        <v>159</v>
      </c>
    </row>
    <row r="3419" spans="9:17" x14ac:dyDescent="0.45">
      <c r="I3419" t="s">
        <v>207</v>
      </c>
      <c r="J3419" t="s">
        <v>298</v>
      </c>
      <c r="K3419">
        <v>4.4106854398792868E-3</v>
      </c>
      <c r="L3419" t="s">
        <v>159</v>
      </c>
      <c r="N3419" t="s">
        <v>250</v>
      </c>
      <c r="O3419" t="s">
        <v>298</v>
      </c>
      <c r="P3419">
        <v>8.7211223944780022E-2</v>
      </c>
      <c r="Q3419" t="s">
        <v>159</v>
      </c>
    </row>
    <row r="3420" spans="9:17" x14ac:dyDescent="0.45">
      <c r="I3420" t="s">
        <v>207</v>
      </c>
      <c r="J3420" t="s">
        <v>299</v>
      </c>
      <c r="K3420">
        <v>1.6329174391613313E-2</v>
      </c>
      <c r="L3420" t="s">
        <v>159</v>
      </c>
      <c r="N3420" t="s">
        <v>250</v>
      </c>
      <c r="O3420" t="s">
        <v>299</v>
      </c>
      <c r="P3420">
        <v>8.0890194203117553E-3</v>
      </c>
      <c r="Q3420" t="s">
        <v>159</v>
      </c>
    </row>
    <row r="3421" spans="9:17" x14ac:dyDescent="0.45">
      <c r="I3421" t="s">
        <v>207</v>
      </c>
      <c r="J3421" t="s">
        <v>300</v>
      </c>
      <c r="K3421">
        <v>0.24666412646579616</v>
      </c>
      <c r="L3421" t="s">
        <v>159</v>
      </c>
      <c r="N3421" t="s">
        <v>250</v>
      </c>
      <c r="O3421" t="s">
        <v>300</v>
      </c>
      <c r="P3421">
        <v>7.0687636827084233E-2</v>
      </c>
      <c r="Q3421" t="s">
        <v>159</v>
      </c>
    </row>
    <row r="3422" spans="9:17" x14ac:dyDescent="0.45">
      <c r="I3422" t="s">
        <v>207</v>
      </c>
      <c r="J3422" t="s">
        <v>301</v>
      </c>
      <c r="K3422">
        <v>2.206049695984014E-2</v>
      </c>
      <c r="L3422" t="s">
        <v>159</v>
      </c>
      <c r="N3422" t="s">
        <v>250</v>
      </c>
      <c r="O3422" t="s">
        <v>301</v>
      </c>
      <c r="P3422">
        <v>1.0427243776645377E-2</v>
      </c>
      <c r="Q3422" t="s">
        <v>159</v>
      </c>
    </row>
    <row r="3423" spans="9:17" x14ac:dyDescent="0.45">
      <c r="I3423" t="s">
        <v>207</v>
      </c>
      <c r="J3423" t="s">
        <v>302</v>
      </c>
      <c r="K3423">
        <v>1.5730490668317783E-2</v>
      </c>
      <c r="L3423" t="s">
        <v>159</v>
      </c>
      <c r="N3423" t="s">
        <v>250</v>
      </c>
      <c r="O3423" t="s">
        <v>302</v>
      </c>
      <c r="P3423">
        <v>1.1025270847099077E-2</v>
      </c>
      <c r="Q3423" t="s">
        <v>159</v>
      </c>
    </row>
    <row r="3424" spans="9:17" x14ac:dyDescent="0.45">
      <c r="I3424" t="s">
        <v>207</v>
      </c>
      <c r="J3424" t="s">
        <v>312</v>
      </c>
      <c r="K3424">
        <v>2.3904706227481491E-3</v>
      </c>
      <c r="L3424" t="s">
        <v>159</v>
      </c>
      <c r="N3424" t="s">
        <v>250</v>
      </c>
      <c r="O3424" t="s">
        <v>312</v>
      </c>
      <c r="P3424">
        <v>7.2677329350892148E-2</v>
      </c>
      <c r="Q3424" t="s">
        <v>159</v>
      </c>
    </row>
    <row r="3425" spans="9:17" x14ac:dyDescent="0.45">
      <c r="I3425" t="s">
        <v>207</v>
      </c>
      <c r="J3425" t="s">
        <v>397</v>
      </c>
      <c r="K3425">
        <v>0</v>
      </c>
      <c r="L3425" t="s">
        <v>159</v>
      </c>
      <c r="N3425" t="s">
        <v>250</v>
      </c>
      <c r="O3425" t="s">
        <v>397</v>
      </c>
      <c r="P3425">
        <v>6.1306534782462087E-5</v>
      </c>
      <c r="Q3425" t="s">
        <v>159</v>
      </c>
    </row>
    <row r="3426" spans="9:17" x14ac:dyDescent="0.45">
      <c r="I3426" t="s">
        <v>207</v>
      </c>
      <c r="J3426" t="s">
        <v>398</v>
      </c>
      <c r="K3426">
        <v>0</v>
      </c>
      <c r="L3426" t="s">
        <v>159</v>
      </c>
      <c r="N3426" t="s">
        <v>250</v>
      </c>
      <c r="O3426" t="s">
        <v>398</v>
      </c>
      <c r="P3426">
        <v>4.4647701485168613E-5</v>
      </c>
      <c r="Q3426" t="s">
        <v>159</v>
      </c>
    </row>
    <row r="3427" spans="9:17" x14ac:dyDescent="0.45">
      <c r="I3427" t="s">
        <v>207</v>
      </c>
      <c r="J3427" t="s">
        <v>399</v>
      </c>
      <c r="K3427">
        <v>0</v>
      </c>
      <c r="L3427" t="s">
        <v>159</v>
      </c>
      <c r="N3427" t="s">
        <v>250</v>
      </c>
      <c r="O3427" t="s">
        <v>399</v>
      </c>
      <c r="P3427">
        <v>3.4562066936206387E-5</v>
      </c>
      <c r="Q3427" t="s">
        <v>159</v>
      </c>
    </row>
    <row r="3428" spans="9:17" x14ac:dyDescent="0.45">
      <c r="I3428" t="s">
        <v>207</v>
      </c>
      <c r="J3428" t="s">
        <v>400</v>
      </c>
      <c r="K3428">
        <v>0</v>
      </c>
      <c r="L3428" t="s">
        <v>159</v>
      </c>
      <c r="N3428" t="s">
        <v>250</v>
      </c>
      <c r="O3428" t="s">
        <v>400</v>
      </c>
      <c r="P3428">
        <v>3.3033808930085677E-5</v>
      </c>
      <c r="Q3428" t="s">
        <v>159</v>
      </c>
    </row>
    <row r="3429" spans="9:17" x14ac:dyDescent="0.45">
      <c r="I3429" t="s">
        <v>207</v>
      </c>
      <c r="J3429" t="s">
        <v>401</v>
      </c>
      <c r="K3429">
        <v>0</v>
      </c>
      <c r="L3429" t="s">
        <v>159</v>
      </c>
      <c r="N3429" t="s">
        <v>250</v>
      </c>
      <c r="O3429" t="s">
        <v>401</v>
      </c>
      <c r="P3429">
        <v>3.5165441042453873E-5</v>
      </c>
      <c r="Q3429" t="s">
        <v>159</v>
      </c>
    </row>
    <row r="3430" spans="9:17" x14ac:dyDescent="0.45">
      <c r="I3430" t="s">
        <v>207</v>
      </c>
      <c r="J3430" t="s">
        <v>402</v>
      </c>
      <c r="K3430">
        <v>0</v>
      </c>
      <c r="L3430" t="s">
        <v>159</v>
      </c>
      <c r="N3430" t="s">
        <v>250</v>
      </c>
      <c r="O3430" t="s">
        <v>402</v>
      </c>
      <c r="P3430">
        <v>3.6240690919905251E-5</v>
      </c>
      <c r="Q3430" t="s">
        <v>159</v>
      </c>
    </row>
    <row r="3431" spans="9:17" x14ac:dyDescent="0.45">
      <c r="I3431" t="s">
        <v>207</v>
      </c>
      <c r="J3431" t="s">
        <v>403</v>
      </c>
      <c r="K3431">
        <v>0</v>
      </c>
      <c r="L3431" t="s">
        <v>159</v>
      </c>
      <c r="N3431" t="s">
        <v>250</v>
      </c>
      <c r="O3431" t="s">
        <v>403</v>
      </c>
      <c r="P3431">
        <v>3.1353455611403527E-5</v>
      </c>
      <c r="Q3431" t="s">
        <v>159</v>
      </c>
    </row>
    <row r="3432" spans="9:17" x14ac:dyDescent="0.45">
      <c r="I3432" t="s">
        <v>207</v>
      </c>
      <c r="J3432" t="s">
        <v>404</v>
      </c>
      <c r="K3432">
        <v>1.8042796578012968E-4</v>
      </c>
      <c r="L3432" t="s">
        <v>159</v>
      </c>
      <c r="N3432" t="s">
        <v>250</v>
      </c>
      <c r="O3432" t="s">
        <v>404</v>
      </c>
      <c r="P3432">
        <v>2.3428836251207174E-5</v>
      </c>
      <c r="Q3432" t="s">
        <v>159</v>
      </c>
    </row>
    <row r="3433" spans="9:17" x14ac:dyDescent="0.45">
      <c r="I3433" t="s">
        <v>207</v>
      </c>
      <c r="J3433" t="s">
        <v>405</v>
      </c>
      <c r="K3433">
        <v>2.6353120431709103E-4</v>
      </c>
      <c r="L3433" t="s">
        <v>159</v>
      </c>
      <c r="N3433" t="s">
        <v>250</v>
      </c>
      <c r="O3433" t="s">
        <v>405</v>
      </c>
      <c r="P3433">
        <v>6.2532075490087819E-6</v>
      </c>
      <c r="Q3433" t="s">
        <v>159</v>
      </c>
    </row>
    <row r="3434" spans="9:17" x14ac:dyDescent="0.45">
      <c r="I3434" t="s">
        <v>207</v>
      </c>
      <c r="J3434" t="s">
        <v>406</v>
      </c>
      <c r="K3434">
        <v>2.892701321254086E-4</v>
      </c>
      <c r="L3434" t="s">
        <v>159</v>
      </c>
      <c r="N3434" t="s">
        <v>250</v>
      </c>
      <c r="O3434" t="s">
        <v>406</v>
      </c>
      <c r="P3434">
        <v>1.0889746575908628E-6</v>
      </c>
      <c r="Q3434" t="s">
        <v>159</v>
      </c>
    </row>
    <row r="3435" spans="9:17" x14ac:dyDescent="0.45">
      <c r="I3435" t="s">
        <v>207</v>
      </c>
      <c r="J3435" t="s">
        <v>407</v>
      </c>
      <c r="K3435">
        <v>2.9077302601662627E-4</v>
      </c>
      <c r="L3435" t="s">
        <v>159</v>
      </c>
      <c r="N3435" t="s">
        <v>250</v>
      </c>
      <c r="O3435" t="s">
        <v>407</v>
      </c>
      <c r="P3435">
        <v>1.1475527720411578E-6</v>
      </c>
      <c r="Q3435" t="s">
        <v>159</v>
      </c>
    </row>
    <row r="3436" spans="9:17" x14ac:dyDescent="0.45">
      <c r="I3436" t="s">
        <v>207</v>
      </c>
      <c r="J3436" t="s">
        <v>408</v>
      </c>
      <c r="K3436">
        <v>2.971393605777715E-4</v>
      </c>
      <c r="L3436" t="s">
        <v>159</v>
      </c>
      <c r="N3436" t="s">
        <v>250</v>
      </c>
      <c r="O3436" t="s">
        <v>408</v>
      </c>
      <c r="P3436">
        <v>3.9048156455830765E-6</v>
      </c>
      <c r="Q3436" t="s">
        <v>159</v>
      </c>
    </row>
    <row r="3437" spans="9:17" x14ac:dyDescent="0.45">
      <c r="I3437" t="s">
        <v>207</v>
      </c>
      <c r="J3437" t="s">
        <v>409</v>
      </c>
      <c r="K3437">
        <v>3.1559067346164613E-4</v>
      </c>
      <c r="L3437" t="s">
        <v>159</v>
      </c>
      <c r="N3437" t="s">
        <v>250</v>
      </c>
      <c r="O3437" t="s">
        <v>409</v>
      </c>
      <c r="P3437">
        <v>9.5312578410581839E-6</v>
      </c>
      <c r="Q3437" t="s">
        <v>159</v>
      </c>
    </row>
    <row r="3438" spans="9:17" x14ac:dyDescent="0.45">
      <c r="I3438" t="s">
        <v>207</v>
      </c>
      <c r="J3438" t="s">
        <v>410</v>
      </c>
      <c r="K3438">
        <v>3.2055176305256409E-4</v>
      </c>
      <c r="L3438" t="s">
        <v>159</v>
      </c>
      <c r="N3438" t="s">
        <v>250</v>
      </c>
      <c r="O3438" t="s">
        <v>410</v>
      </c>
      <c r="P3438">
        <v>2.4182737826824211E-5</v>
      </c>
      <c r="Q3438" t="s">
        <v>159</v>
      </c>
    </row>
    <row r="3439" spans="9:17" x14ac:dyDescent="0.45">
      <c r="I3439" t="s">
        <v>207</v>
      </c>
      <c r="J3439" t="s">
        <v>411</v>
      </c>
      <c r="K3439">
        <v>2.9663634919254746E-4</v>
      </c>
      <c r="L3439" t="s">
        <v>159</v>
      </c>
      <c r="N3439" t="s">
        <v>250</v>
      </c>
      <c r="O3439" t="s">
        <v>411</v>
      </c>
      <c r="P3439">
        <v>3.6398637476367537E-5</v>
      </c>
      <c r="Q3439" t="s">
        <v>159</v>
      </c>
    </row>
    <row r="3440" spans="9:17" x14ac:dyDescent="0.45">
      <c r="I3440" t="s">
        <v>207</v>
      </c>
      <c r="J3440" t="s">
        <v>412</v>
      </c>
      <c r="K3440">
        <v>2.8204904082864432E-4</v>
      </c>
      <c r="L3440" t="s">
        <v>159</v>
      </c>
      <c r="N3440" t="s">
        <v>250</v>
      </c>
      <c r="O3440" t="s">
        <v>412</v>
      </c>
      <c r="P3440">
        <v>4.0135712857639245E-5</v>
      </c>
      <c r="Q3440" t="s">
        <v>159</v>
      </c>
    </row>
    <row r="3441" spans="9:17" x14ac:dyDescent="0.45">
      <c r="I3441" t="s">
        <v>207</v>
      </c>
      <c r="J3441" t="s">
        <v>413</v>
      </c>
      <c r="K3441">
        <v>2.7644432970392734E-4</v>
      </c>
      <c r="L3441" t="s">
        <v>159</v>
      </c>
      <c r="N3441" t="s">
        <v>250</v>
      </c>
      <c r="O3441" t="s">
        <v>413</v>
      </c>
      <c r="P3441">
        <v>3.5826021200541755E-5</v>
      </c>
      <c r="Q3441" t="s">
        <v>159</v>
      </c>
    </row>
    <row r="3442" spans="9:17" x14ac:dyDescent="0.45">
      <c r="I3442" t="s">
        <v>207</v>
      </c>
      <c r="J3442" t="s">
        <v>414</v>
      </c>
      <c r="K3442">
        <v>2.6409426578742357E-4</v>
      </c>
      <c r="L3442" t="s">
        <v>159</v>
      </c>
      <c r="N3442" t="s">
        <v>250</v>
      </c>
      <c r="O3442" t="s">
        <v>414</v>
      </c>
      <c r="P3442">
        <v>2.7549967341899088E-5</v>
      </c>
      <c r="Q3442" t="s">
        <v>159</v>
      </c>
    </row>
    <row r="3443" spans="9:17" x14ac:dyDescent="0.45">
      <c r="I3443" t="s">
        <v>207</v>
      </c>
      <c r="J3443" t="s">
        <v>415</v>
      </c>
      <c r="K3443">
        <v>1.9197563475894107E-4</v>
      </c>
      <c r="L3443" t="s">
        <v>159</v>
      </c>
      <c r="N3443" t="s">
        <v>250</v>
      </c>
      <c r="O3443" t="s">
        <v>415</v>
      </c>
      <c r="P3443">
        <v>2.7246769197336176E-5</v>
      </c>
      <c r="Q3443" t="s">
        <v>159</v>
      </c>
    </row>
    <row r="3444" spans="9:17" x14ac:dyDescent="0.45">
      <c r="I3444" t="s">
        <v>207</v>
      </c>
      <c r="J3444" t="s">
        <v>416</v>
      </c>
      <c r="K3444">
        <v>0</v>
      </c>
      <c r="L3444" t="s">
        <v>159</v>
      </c>
      <c r="N3444" t="s">
        <v>250</v>
      </c>
      <c r="O3444" t="s">
        <v>416</v>
      </c>
      <c r="P3444">
        <v>2.9207086431451416E-5</v>
      </c>
      <c r="Q3444" t="s">
        <v>159</v>
      </c>
    </row>
    <row r="3445" spans="9:17" x14ac:dyDescent="0.45">
      <c r="I3445" t="s">
        <v>207</v>
      </c>
      <c r="J3445" t="s">
        <v>417</v>
      </c>
      <c r="K3445">
        <v>0</v>
      </c>
      <c r="L3445" t="s">
        <v>159</v>
      </c>
      <c r="N3445" t="s">
        <v>250</v>
      </c>
      <c r="O3445" t="s">
        <v>417</v>
      </c>
      <c r="P3445">
        <v>2.9476109645002926E-5</v>
      </c>
      <c r="Q3445" t="s">
        <v>159</v>
      </c>
    </row>
    <row r="3446" spans="9:17" x14ac:dyDescent="0.45">
      <c r="I3446" t="s">
        <v>207</v>
      </c>
      <c r="J3446" t="s">
        <v>418</v>
      </c>
      <c r="K3446">
        <v>0</v>
      </c>
      <c r="L3446" t="s">
        <v>159</v>
      </c>
      <c r="N3446" t="s">
        <v>250</v>
      </c>
      <c r="O3446" t="s">
        <v>418</v>
      </c>
      <c r="P3446">
        <v>2.9343286281514106E-5</v>
      </c>
      <c r="Q3446" t="s">
        <v>159</v>
      </c>
    </row>
    <row r="3447" spans="9:17" x14ac:dyDescent="0.45">
      <c r="I3447" t="s">
        <v>207</v>
      </c>
      <c r="J3447" t="s">
        <v>419</v>
      </c>
      <c r="K3447">
        <v>0</v>
      </c>
      <c r="L3447" t="s">
        <v>159</v>
      </c>
      <c r="N3447" t="s">
        <v>250</v>
      </c>
      <c r="O3447" t="s">
        <v>419</v>
      </c>
      <c r="P3447">
        <v>2.8079654656917092E-5</v>
      </c>
      <c r="Q3447" t="s">
        <v>159</v>
      </c>
    </row>
    <row r="3448" spans="9:17" x14ac:dyDescent="0.45">
      <c r="I3448" t="s">
        <v>207</v>
      </c>
      <c r="J3448" t="s">
        <v>420</v>
      </c>
      <c r="K3448">
        <v>0</v>
      </c>
      <c r="L3448" t="s">
        <v>159</v>
      </c>
      <c r="N3448" t="s">
        <v>250</v>
      </c>
      <c r="O3448" t="s">
        <v>420</v>
      </c>
      <c r="P3448">
        <v>2.3963697881016699E-5</v>
      </c>
      <c r="Q3448" t="s">
        <v>159</v>
      </c>
    </row>
    <row r="3449" spans="9:17" x14ac:dyDescent="0.45">
      <c r="I3449" t="s">
        <v>207</v>
      </c>
      <c r="J3449" t="s">
        <v>313</v>
      </c>
      <c r="K3449">
        <v>2.9167858168616377E-3</v>
      </c>
      <c r="L3449" t="s">
        <v>159</v>
      </c>
      <c r="N3449" t="s">
        <v>250</v>
      </c>
      <c r="O3449" t="s">
        <v>313</v>
      </c>
      <c r="P3449">
        <v>3.0683285491837447E-2</v>
      </c>
      <c r="Q3449" t="s">
        <v>159</v>
      </c>
    </row>
    <row r="3450" spans="9:17" x14ac:dyDescent="0.45">
      <c r="I3450" t="s">
        <v>207</v>
      </c>
      <c r="J3450" t="s">
        <v>314</v>
      </c>
      <c r="K3450">
        <v>5.1230156258903438E-3</v>
      </c>
      <c r="L3450" t="s">
        <v>159</v>
      </c>
      <c r="N3450" t="s">
        <v>250</v>
      </c>
      <c r="O3450" t="s">
        <v>314</v>
      </c>
      <c r="P3450">
        <v>2.8876423054336152E-3</v>
      </c>
      <c r="Q3450" t="s">
        <v>159</v>
      </c>
    </row>
    <row r="3451" spans="9:17" x14ac:dyDescent="0.45">
      <c r="I3451" t="s">
        <v>207</v>
      </c>
      <c r="J3451" t="s">
        <v>315</v>
      </c>
      <c r="K3451">
        <v>7.5647506402395981E-2</v>
      </c>
      <c r="L3451" t="s">
        <v>159</v>
      </c>
      <c r="N3451" t="s">
        <v>250</v>
      </c>
      <c r="O3451" t="s">
        <v>315</v>
      </c>
      <c r="P3451">
        <v>1.7147843528127531E-2</v>
      </c>
      <c r="Q3451" t="s">
        <v>159</v>
      </c>
    </row>
    <row r="3452" spans="9:17" x14ac:dyDescent="0.45">
      <c r="I3452" t="s">
        <v>207</v>
      </c>
      <c r="J3452" t="s">
        <v>316</v>
      </c>
      <c r="K3452">
        <v>6.7683867982337815E-3</v>
      </c>
      <c r="L3452" t="s">
        <v>159</v>
      </c>
      <c r="N3452" t="s">
        <v>250</v>
      </c>
      <c r="O3452" t="s">
        <v>316</v>
      </c>
      <c r="P3452">
        <v>2.4813349753702611E-3</v>
      </c>
      <c r="Q3452" t="s">
        <v>159</v>
      </c>
    </row>
    <row r="3453" spans="9:17" x14ac:dyDescent="0.45">
      <c r="I3453" t="s">
        <v>207</v>
      </c>
      <c r="J3453" t="s">
        <v>317</v>
      </c>
      <c r="K3453">
        <v>5.2762937105977504E-3</v>
      </c>
      <c r="L3453" t="s">
        <v>159</v>
      </c>
      <c r="N3453" t="s">
        <v>250</v>
      </c>
      <c r="O3453" t="s">
        <v>317</v>
      </c>
      <c r="P3453">
        <v>2.8207310415729243E-3</v>
      </c>
      <c r="Q3453" t="s">
        <v>159</v>
      </c>
    </row>
    <row r="3454" spans="9:17" x14ac:dyDescent="0.45">
      <c r="I3454" t="s">
        <v>207</v>
      </c>
      <c r="J3454" t="s">
        <v>318</v>
      </c>
      <c r="K3454">
        <v>3.2101105983362906E-3</v>
      </c>
      <c r="L3454" t="s">
        <v>159</v>
      </c>
      <c r="N3454" t="s">
        <v>250</v>
      </c>
      <c r="O3454" t="s">
        <v>318</v>
      </c>
      <c r="P3454">
        <v>2.4651983776038448E-2</v>
      </c>
      <c r="Q3454" t="s">
        <v>159</v>
      </c>
    </row>
    <row r="3455" spans="9:17" x14ac:dyDescent="0.45">
      <c r="I3455" t="s">
        <v>208</v>
      </c>
      <c r="J3455" t="s">
        <v>158</v>
      </c>
      <c r="K3455">
        <v>1.8531836683473584E-4</v>
      </c>
      <c r="L3455" t="s">
        <v>159</v>
      </c>
      <c r="N3455" t="s">
        <v>251</v>
      </c>
      <c r="O3455" t="s">
        <v>158</v>
      </c>
      <c r="P3455">
        <v>0.18845305372165341</v>
      </c>
      <c r="Q3455" t="s">
        <v>159</v>
      </c>
    </row>
    <row r="3456" spans="9:17" x14ac:dyDescent="0.45">
      <c r="I3456" t="s">
        <v>208</v>
      </c>
      <c r="J3456" t="s">
        <v>160</v>
      </c>
      <c r="K3456">
        <v>1.4558662350115232E-2</v>
      </c>
      <c r="L3456" t="s">
        <v>159</v>
      </c>
      <c r="N3456" t="s">
        <v>251</v>
      </c>
      <c r="O3456" t="s">
        <v>160</v>
      </c>
      <c r="P3456">
        <v>2.0864581638101169E-2</v>
      </c>
      <c r="Q3456" t="s">
        <v>159</v>
      </c>
    </row>
    <row r="3457" spans="9:17" x14ac:dyDescent="0.45">
      <c r="I3457" t="s">
        <v>208</v>
      </c>
      <c r="J3457" t="s">
        <v>161</v>
      </c>
      <c r="K3457">
        <v>0.3802612169020273</v>
      </c>
      <c r="L3457" t="s">
        <v>159</v>
      </c>
      <c r="N3457" t="s">
        <v>251</v>
      </c>
      <c r="O3457" t="s">
        <v>161</v>
      </c>
      <c r="P3457">
        <v>0.11181548875999875</v>
      </c>
      <c r="Q3457" t="s">
        <v>159</v>
      </c>
    </row>
    <row r="3458" spans="9:17" x14ac:dyDescent="0.45">
      <c r="I3458" t="s">
        <v>208</v>
      </c>
      <c r="J3458" t="s">
        <v>287</v>
      </c>
      <c r="K3458">
        <v>3.4757119747626672E-2</v>
      </c>
      <c r="L3458" t="s">
        <v>159</v>
      </c>
      <c r="N3458" t="s">
        <v>251</v>
      </c>
      <c r="O3458" t="s">
        <v>287</v>
      </c>
      <c r="P3458">
        <v>9.4594337686959469E-3</v>
      </c>
      <c r="Q3458" t="s">
        <v>159</v>
      </c>
    </row>
    <row r="3459" spans="9:17" x14ac:dyDescent="0.45">
      <c r="I3459" t="s">
        <v>208</v>
      </c>
      <c r="J3459" t="s">
        <v>288</v>
      </c>
      <c r="K3459">
        <v>2.1253191625419054E-2</v>
      </c>
      <c r="L3459" t="s">
        <v>159</v>
      </c>
      <c r="N3459" t="s">
        <v>251</v>
      </c>
      <c r="O3459" t="s">
        <v>288</v>
      </c>
      <c r="P3459">
        <v>1.2282950357302884E-2</v>
      </c>
      <c r="Q3459" t="s">
        <v>159</v>
      </c>
    </row>
    <row r="3460" spans="9:17" x14ac:dyDescent="0.45">
      <c r="I3460" t="s">
        <v>208</v>
      </c>
      <c r="J3460" t="s">
        <v>308</v>
      </c>
      <c r="K3460">
        <v>7.8211732564363763E-3</v>
      </c>
      <c r="L3460" t="s">
        <v>159</v>
      </c>
      <c r="N3460" t="s">
        <v>251</v>
      </c>
      <c r="O3460" t="s">
        <v>308</v>
      </c>
      <c r="P3460">
        <v>0.12065131501002133</v>
      </c>
      <c r="Q3460" t="s">
        <v>159</v>
      </c>
    </row>
    <row r="3461" spans="9:17" x14ac:dyDescent="0.45">
      <c r="I3461" t="s">
        <v>208</v>
      </c>
      <c r="J3461" t="s">
        <v>162</v>
      </c>
      <c r="K3461">
        <v>0</v>
      </c>
      <c r="L3461" t="s">
        <v>159</v>
      </c>
      <c r="N3461" t="s">
        <v>251</v>
      </c>
      <c r="O3461" t="s">
        <v>162</v>
      </c>
      <c r="P3461">
        <v>2.8236368647085956E-2</v>
      </c>
      <c r="Q3461" t="s">
        <v>159</v>
      </c>
    </row>
    <row r="3462" spans="9:17" x14ac:dyDescent="0.45">
      <c r="I3462" t="s">
        <v>208</v>
      </c>
      <c r="J3462" t="s">
        <v>163</v>
      </c>
      <c r="K3462">
        <v>0</v>
      </c>
      <c r="L3462" t="s">
        <v>159</v>
      </c>
      <c r="N3462" t="s">
        <v>251</v>
      </c>
      <c r="O3462" t="s">
        <v>163</v>
      </c>
      <c r="P3462">
        <v>3.8634833055426802E-3</v>
      </c>
      <c r="Q3462" t="s">
        <v>159</v>
      </c>
    </row>
    <row r="3463" spans="9:17" x14ac:dyDescent="0.45">
      <c r="I3463" t="s">
        <v>208</v>
      </c>
      <c r="J3463" t="s">
        <v>164</v>
      </c>
      <c r="K3463">
        <v>4.7542877754109231E-2</v>
      </c>
      <c r="L3463" t="s">
        <v>159</v>
      </c>
      <c r="N3463" t="s">
        <v>251</v>
      </c>
      <c r="O3463" t="s">
        <v>164</v>
      </c>
      <c r="P3463">
        <v>2.1227938176879756E-2</v>
      </c>
      <c r="Q3463" t="s">
        <v>159</v>
      </c>
    </row>
    <row r="3464" spans="9:17" x14ac:dyDescent="0.45">
      <c r="I3464" t="s">
        <v>208</v>
      </c>
      <c r="J3464" t="s">
        <v>289</v>
      </c>
      <c r="K3464">
        <v>4.4561225687888345E-3</v>
      </c>
      <c r="L3464" t="s">
        <v>159</v>
      </c>
      <c r="N3464" t="s">
        <v>251</v>
      </c>
      <c r="O3464" t="s">
        <v>289</v>
      </c>
      <c r="P3464">
        <v>1.6949156973883443E-3</v>
      </c>
      <c r="Q3464" t="s">
        <v>159</v>
      </c>
    </row>
    <row r="3465" spans="9:17" x14ac:dyDescent="0.45">
      <c r="I3465" t="s">
        <v>208</v>
      </c>
      <c r="J3465" t="s">
        <v>290</v>
      </c>
      <c r="K3465">
        <v>4.5045096642165795E-4</v>
      </c>
      <c r="L3465" t="s">
        <v>159</v>
      </c>
      <c r="N3465" t="s">
        <v>251</v>
      </c>
      <c r="O3465" t="s">
        <v>290</v>
      </c>
      <c r="P3465">
        <v>2.3038270230821083E-3</v>
      </c>
      <c r="Q3465" t="s">
        <v>159</v>
      </c>
    </row>
    <row r="3466" spans="9:17" x14ac:dyDescent="0.45">
      <c r="I3466" t="s">
        <v>208</v>
      </c>
      <c r="J3466" t="s">
        <v>309</v>
      </c>
      <c r="K3466">
        <v>0</v>
      </c>
      <c r="L3466" t="s">
        <v>159</v>
      </c>
      <c r="N3466" t="s">
        <v>251</v>
      </c>
      <c r="O3466" t="s">
        <v>309</v>
      </c>
      <c r="P3466">
        <v>1.8989407103325757E-2</v>
      </c>
      <c r="Q3466" t="s">
        <v>159</v>
      </c>
    </row>
    <row r="3467" spans="9:17" x14ac:dyDescent="0.45">
      <c r="I3467" t="s">
        <v>208</v>
      </c>
      <c r="J3467" t="s">
        <v>346</v>
      </c>
      <c r="K3467">
        <v>0</v>
      </c>
      <c r="L3467" t="s">
        <v>159</v>
      </c>
      <c r="N3467" t="s">
        <v>251</v>
      </c>
      <c r="O3467" t="s">
        <v>346</v>
      </c>
      <c r="P3467">
        <v>3.0035346644015649E-5</v>
      </c>
      <c r="Q3467" t="s">
        <v>159</v>
      </c>
    </row>
    <row r="3468" spans="9:17" x14ac:dyDescent="0.45">
      <c r="I3468" t="s">
        <v>208</v>
      </c>
      <c r="J3468" t="s">
        <v>347</v>
      </c>
      <c r="K3468">
        <v>0</v>
      </c>
      <c r="L3468" t="s">
        <v>159</v>
      </c>
      <c r="N3468" t="s">
        <v>251</v>
      </c>
      <c r="O3468" t="s">
        <v>347</v>
      </c>
      <c r="P3468">
        <v>3.2949083331401112E-5</v>
      </c>
      <c r="Q3468" t="s">
        <v>159</v>
      </c>
    </row>
    <row r="3469" spans="9:17" x14ac:dyDescent="0.45">
      <c r="I3469" t="s">
        <v>208</v>
      </c>
      <c r="J3469" t="s">
        <v>348</v>
      </c>
      <c r="K3469">
        <v>0</v>
      </c>
      <c r="L3469" t="s">
        <v>159</v>
      </c>
      <c r="N3469" t="s">
        <v>251</v>
      </c>
      <c r="O3469" t="s">
        <v>348</v>
      </c>
      <c r="P3469">
        <v>3.6019314697472544E-5</v>
      </c>
      <c r="Q3469" t="s">
        <v>159</v>
      </c>
    </row>
    <row r="3470" spans="9:17" x14ac:dyDescent="0.45">
      <c r="I3470" t="s">
        <v>208</v>
      </c>
      <c r="J3470" t="s">
        <v>349</v>
      </c>
      <c r="K3470">
        <v>0</v>
      </c>
      <c r="L3470" t="s">
        <v>159</v>
      </c>
      <c r="N3470" t="s">
        <v>251</v>
      </c>
      <c r="O3470" t="s">
        <v>349</v>
      </c>
      <c r="P3470">
        <v>3.8580047998010866E-5</v>
      </c>
      <c r="Q3470" t="s">
        <v>159</v>
      </c>
    </row>
    <row r="3471" spans="9:17" x14ac:dyDescent="0.45">
      <c r="I3471" t="s">
        <v>208</v>
      </c>
      <c r="J3471" t="s">
        <v>350</v>
      </c>
      <c r="K3471">
        <v>0</v>
      </c>
      <c r="L3471" t="s">
        <v>159</v>
      </c>
      <c r="N3471" t="s">
        <v>251</v>
      </c>
      <c r="O3471" t="s">
        <v>350</v>
      </c>
      <c r="P3471">
        <v>3.8053607311351886E-5</v>
      </c>
      <c r="Q3471" t="s">
        <v>159</v>
      </c>
    </row>
    <row r="3472" spans="9:17" x14ac:dyDescent="0.45">
      <c r="I3472" t="s">
        <v>208</v>
      </c>
      <c r="J3472" t="s">
        <v>351</v>
      </c>
      <c r="K3472">
        <v>0</v>
      </c>
      <c r="L3472" t="s">
        <v>159</v>
      </c>
      <c r="N3472" t="s">
        <v>251</v>
      </c>
      <c r="O3472" t="s">
        <v>351</v>
      </c>
      <c r="P3472">
        <v>3.2928352007962405E-5</v>
      </c>
      <c r="Q3472" t="s">
        <v>159</v>
      </c>
    </row>
    <row r="3473" spans="9:17" x14ac:dyDescent="0.45">
      <c r="I3473" t="s">
        <v>208</v>
      </c>
      <c r="J3473" t="s">
        <v>352</v>
      </c>
      <c r="K3473">
        <v>0</v>
      </c>
      <c r="L3473" t="s">
        <v>159</v>
      </c>
      <c r="N3473" t="s">
        <v>251</v>
      </c>
      <c r="O3473" t="s">
        <v>352</v>
      </c>
      <c r="P3473">
        <v>3.0309727600217629E-5</v>
      </c>
      <c r="Q3473" t="s">
        <v>159</v>
      </c>
    </row>
    <row r="3474" spans="9:17" x14ac:dyDescent="0.45">
      <c r="I3474" t="s">
        <v>208</v>
      </c>
      <c r="J3474" t="s">
        <v>353</v>
      </c>
      <c r="K3474">
        <v>0</v>
      </c>
      <c r="L3474" t="s">
        <v>159</v>
      </c>
      <c r="N3474" t="s">
        <v>251</v>
      </c>
      <c r="O3474" t="s">
        <v>353</v>
      </c>
      <c r="P3474">
        <v>3.0157711752686217E-5</v>
      </c>
      <c r="Q3474" t="s">
        <v>159</v>
      </c>
    </row>
    <row r="3475" spans="9:17" x14ac:dyDescent="0.45">
      <c r="I3475" t="s">
        <v>208</v>
      </c>
      <c r="J3475" t="s">
        <v>354</v>
      </c>
      <c r="K3475">
        <v>1.2862102387551749E-4</v>
      </c>
      <c r="L3475" t="s">
        <v>159</v>
      </c>
      <c r="N3475" t="s">
        <v>251</v>
      </c>
      <c r="O3475" t="s">
        <v>354</v>
      </c>
      <c r="P3475">
        <v>3.2801284480235856E-5</v>
      </c>
      <c r="Q3475" t="s">
        <v>159</v>
      </c>
    </row>
    <row r="3476" spans="9:17" x14ac:dyDescent="0.45">
      <c r="I3476" t="s">
        <v>208</v>
      </c>
      <c r="J3476" t="s">
        <v>355</v>
      </c>
      <c r="K3476">
        <v>1.7782412633456478E-4</v>
      </c>
      <c r="L3476" t="s">
        <v>159</v>
      </c>
      <c r="N3476" t="s">
        <v>251</v>
      </c>
      <c r="O3476" t="s">
        <v>355</v>
      </c>
      <c r="P3476">
        <v>2.1372447667682331E-5</v>
      </c>
      <c r="Q3476" t="s">
        <v>159</v>
      </c>
    </row>
    <row r="3477" spans="9:17" x14ac:dyDescent="0.45">
      <c r="I3477" t="s">
        <v>208</v>
      </c>
      <c r="J3477" t="s">
        <v>356</v>
      </c>
      <c r="K3477">
        <v>1.8092058489401286E-4</v>
      </c>
      <c r="L3477" t="s">
        <v>159</v>
      </c>
      <c r="N3477" t="s">
        <v>251</v>
      </c>
      <c r="O3477" t="s">
        <v>356</v>
      </c>
      <c r="P3477">
        <v>7.8657707452183619E-6</v>
      </c>
      <c r="Q3477" t="s">
        <v>159</v>
      </c>
    </row>
    <row r="3478" spans="9:17" x14ac:dyDescent="0.45">
      <c r="I3478" t="s">
        <v>208</v>
      </c>
      <c r="J3478" t="s">
        <v>357</v>
      </c>
      <c r="K3478">
        <v>1.8536540874550193E-4</v>
      </c>
      <c r="L3478" t="s">
        <v>159</v>
      </c>
      <c r="N3478" t="s">
        <v>251</v>
      </c>
      <c r="O3478" t="s">
        <v>357</v>
      </c>
      <c r="P3478">
        <v>5.3036639873271551E-6</v>
      </c>
      <c r="Q3478" t="s">
        <v>159</v>
      </c>
    </row>
    <row r="3479" spans="9:17" x14ac:dyDescent="0.45">
      <c r="I3479" t="s">
        <v>208</v>
      </c>
      <c r="J3479" t="s">
        <v>358</v>
      </c>
      <c r="K3479">
        <v>2.1235004074092895E-4</v>
      </c>
      <c r="L3479" t="s">
        <v>159</v>
      </c>
      <c r="N3479" t="s">
        <v>251</v>
      </c>
      <c r="O3479" t="s">
        <v>358</v>
      </c>
      <c r="P3479">
        <v>3.8321407713880757E-6</v>
      </c>
      <c r="Q3479" t="s">
        <v>159</v>
      </c>
    </row>
    <row r="3480" spans="9:17" x14ac:dyDescent="0.45">
      <c r="I3480" t="s">
        <v>208</v>
      </c>
      <c r="J3480" t="s">
        <v>359</v>
      </c>
      <c r="K3480">
        <v>2.3718668675598098E-4</v>
      </c>
      <c r="L3480" t="s">
        <v>159</v>
      </c>
      <c r="N3480" t="s">
        <v>251</v>
      </c>
      <c r="O3480" t="s">
        <v>359</v>
      </c>
      <c r="P3480">
        <v>2.4770395594566217E-6</v>
      </c>
      <c r="Q3480" t="s">
        <v>159</v>
      </c>
    </row>
    <row r="3481" spans="9:17" x14ac:dyDescent="0.45">
      <c r="I3481" t="s">
        <v>208</v>
      </c>
      <c r="J3481" t="s">
        <v>360</v>
      </c>
      <c r="K3481">
        <v>1.9386593501384786E-4</v>
      </c>
      <c r="L3481" t="s">
        <v>159</v>
      </c>
      <c r="N3481" t="s">
        <v>251</v>
      </c>
      <c r="O3481" t="s">
        <v>360</v>
      </c>
      <c r="P3481">
        <v>2.6654463461423961E-6</v>
      </c>
      <c r="Q3481" t="s">
        <v>159</v>
      </c>
    </row>
    <row r="3482" spans="9:17" x14ac:dyDescent="0.45">
      <c r="I3482" t="s">
        <v>208</v>
      </c>
      <c r="J3482" t="s">
        <v>361</v>
      </c>
      <c r="K3482">
        <v>1.6703764975592859E-4</v>
      </c>
      <c r="L3482" t="s">
        <v>159</v>
      </c>
      <c r="N3482" t="s">
        <v>251</v>
      </c>
      <c r="O3482" t="s">
        <v>361</v>
      </c>
      <c r="P3482">
        <v>3.3330774098015032E-6</v>
      </c>
      <c r="Q3482" t="s">
        <v>159</v>
      </c>
    </row>
    <row r="3483" spans="9:17" x14ac:dyDescent="0.45">
      <c r="I3483" t="s">
        <v>208</v>
      </c>
      <c r="J3483" t="s">
        <v>362</v>
      </c>
      <c r="K3483">
        <v>1.6233889004141168E-4</v>
      </c>
      <c r="L3483" t="s">
        <v>159</v>
      </c>
      <c r="N3483" t="s">
        <v>251</v>
      </c>
      <c r="O3483" t="s">
        <v>362</v>
      </c>
      <c r="P3483">
        <v>6.3326722134673405E-6</v>
      </c>
      <c r="Q3483" t="s">
        <v>159</v>
      </c>
    </row>
    <row r="3484" spans="9:17" x14ac:dyDescent="0.45">
      <c r="I3484" t="s">
        <v>208</v>
      </c>
      <c r="J3484" t="s">
        <v>363</v>
      </c>
      <c r="K3484">
        <v>1.4813375182912174E-4</v>
      </c>
      <c r="L3484" t="s">
        <v>159</v>
      </c>
      <c r="N3484" t="s">
        <v>251</v>
      </c>
      <c r="O3484" t="s">
        <v>363</v>
      </c>
      <c r="P3484">
        <v>2.0032722280891913E-5</v>
      </c>
      <c r="Q3484" t="s">
        <v>159</v>
      </c>
    </row>
    <row r="3485" spans="9:17" x14ac:dyDescent="0.45">
      <c r="I3485" t="s">
        <v>208</v>
      </c>
      <c r="J3485" t="s">
        <v>364</v>
      </c>
      <c r="K3485">
        <v>0</v>
      </c>
      <c r="L3485" t="s">
        <v>159</v>
      </c>
      <c r="N3485" t="s">
        <v>251</v>
      </c>
      <c r="O3485" t="s">
        <v>364</v>
      </c>
      <c r="P3485">
        <v>4.327595631901151E-5</v>
      </c>
      <c r="Q3485" t="s">
        <v>159</v>
      </c>
    </row>
    <row r="3486" spans="9:17" x14ac:dyDescent="0.45">
      <c r="I3486" t="s">
        <v>208</v>
      </c>
      <c r="J3486" t="s">
        <v>365</v>
      </c>
      <c r="K3486">
        <v>0</v>
      </c>
      <c r="L3486" t="s">
        <v>159</v>
      </c>
      <c r="N3486" t="s">
        <v>251</v>
      </c>
      <c r="O3486" t="s">
        <v>365</v>
      </c>
      <c r="P3486">
        <v>6.468099818547015E-5</v>
      </c>
      <c r="Q3486" t="s">
        <v>159</v>
      </c>
    </row>
    <row r="3487" spans="9:17" x14ac:dyDescent="0.45">
      <c r="I3487" t="s">
        <v>208</v>
      </c>
      <c r="J3487" t="s">
        <v>366</v>
      </c>
      <c r="K3487">
        <v>0</v>
      </c>
      <c r="L3487" t="s">
        <v>159</v>
      </c>
      <c r="N3487" t="s">
        <v>251</v>
      </c>
      <c r="O3487" t="s">
        <v>366</v>
      </c>
      <c r="P3487">
        <v>7.4355612441686939E-5</v>
      </c>
      <c r="Q3487" t="s">
        <v>159</v>
      </c>
    </row>
    <row r="3488" spans="9:17" x14ac:dyDescent="0.45">
      <c r="I3488" t="s">
        <v>208</v>
      </c>
      <c r="J3488" t="s">
        <v>367</v>
      </c>
      <c r="K3488">
        <v>0</v>
      </c>
      <c r="L3488" t="s">
        <v>159</v>
      </c>
      <c r="N3488" t="s">
        <v>251</v>
      </c>
      <c r="O3488" t="s">
        <v>367</v>
      </c>
      <c r="P3488">
        <v>7.6610323099584793E-5</v>
      </c>
      <c r="Q3488" t="s">
        <v>159</v>
      </c>
    </row>
    <row r="3489" spans="9:17" x14ac:dyDescent="0.45">
      <c r="I3489" t="s">
        <v>208</v>
      </c>
      <c r="J3489" t="s">
        <v>368</v>
      </c>
      <c r="K3489">
        <v>0</v>
      </c>
      <c r="L3489" t="s">
        <v>159</v>
      </c>
      <c r="N3489" t="s">
        <v>251</v>
      </c>
      <c r="O3489" t="s">
        <v>368</v>
      </c>
      <c r="P3489">
        <v>7.4283565104218892E-5</v>
      </c>
      <c r="Q3489" t="s">
        <v>159</v>
      </c>
    </row>
    <row r="3490" spans="9:17" x14ac:dyDescent="0.45">
      <c r="I3490" t="s">
        <v>208</v>
      </c>
      <c r="J3490" t="s">
        <v>369</v>
      </c>
      <c r="K3490">
        <v>0</v>
      </c>
      <c r="L3490" t="s">
        <v>159</v>
      </c>
      <c r="N3490" t="s">
        <v>251</v>
      </c>
      <c r="O3490" t="s">
        <v>369</v>
      </c>
      <c r="P3490">
        <v>7.7001902566740547E-5</v>
      </c>
      <c r="Q3490" t="s">
        <v>159</v>
      </c>
    </row>
    <row r="3491" spans="9:17" x14ac:dyDescent="0.45">
      <c r="I3491" t="s">
        <v>208</v>
      </c>
      <c r="J3491" t="s">
        <v>165</v>
      </c>
      <c r="K3491">
        <v>0</v>
      </c>
      <c r="L3491" t="s">
        <v>159</v>
      </c>
      <c r="N3491" t="s">
        <v>251</v>
      </c>
      <c r="O3491" t="s">
        <v>165</v>
      </c>
      <c r="P3491">
        <v>3.2557856776908797E-2</v>
      </c>
      <c r="Q3491" t="s">
        <v>159</v>
      </c>
    </row>
    <row r="3492" spans="9:17" x14ac:dyDescent="0.45">
      <c r="I3492" t="s">
        <v>208</v>
      </c>
      <c r="J3492" t="s">
        <v>166</v>
      </c>
      <c r="K3492">
        <v>0</v>
      </c>
      <c r="L3492" t="s">
        <v>159</v>
      </c>
      <c r="N3492" t="s">
        <v>251</v>
      </c>
      <c r="O3492" t="s">
        <v>166</v>
      </c>
      <c r="P3492">
        <v>4.1795296147187598E-3</v>
      </c>
      <c r="Q3492" t="s">
        <v>159</v>
      </c>
    </row>
    <row r="3493" spans="9:17" x14ac:dyDescent="0.45">
      <c r="I3493" t="s">
        <v>208</v>
      </c>
      <c r="J3493" t="s">
        <v>167</v>
      </c>
      <c r="K3493">
        <v>6.2866670051391613E-2</v>
      </c>
      <c r="L3493" t="s">
        <v>159</v>
      </c>
      <c r="N3493" t="s">
        <v>251</v>
      </c>
      <c r="O3493" t="s">
        <v>167</v>
      </c>
      <c r="P3493">
        <v>2.4360979192050429E-2</v>
      </c>
      <c r="Q3493" t="s">
        <v>159</v>
      </c>
    </row>
    <row r="3494" spans="9:17" x14ac:dyDescent="0.45">
      <c r="I3494" t="s">
        <v>208</v>
      </c>
      <c r="J3494" t="s">
        <v>291</v>
      </c>
      <c r="K3494">
        <v>5.9334194132136331E-3</v>
      </c>
      <c r="L3494" t="s">
        <v>159</v>
      </c>
      <c r="N3494" t="s">
        <v>251</v>
      </c>
      <c r="O3494" t="s">
        <v>291</v>
      </c>
      <c r="P3494">
        <v>2.3772491960205012E-3</v>
      </c>
      <c r="Q3494" t="s">
        <v>159</v>
      </c>
    </row>
    <row r="3495" spans="9:17" x14ac:dyDescent="0.45">
      <c r="I3495" t="s">
        <v>208</v>
      </c>
      <c r="J3495" t="s">
        <v>292</v>
      </c>
      <c r="K3495">
        <v>4.0868235743722735E-3</v>
      </c>
      <c r="L3495" t="s">
        <v>159</v>
      </c>
      <c r="N3495" t="s">
        <v>251</v>
      </c>
      <c r="O3495" t="s">
        <v>292</v>
      </c>
      <c r="P3495">
        <v>3.026228998373418E-3</v>
      </c>
      <c r="Q3495" t="s">
        <v>159</v>
      </c>
    </row>
    <row r="3496" spans="9:17" x14ac:dyDescent="0.45">
      <c r="I3496" t="s">
        <v>208</v>
      </c>
      <c r="J3496" t="s">
        <v>310</v>
      </c>
      <c r="K3496">
        <v>0</v>
      </c>
      <c r="L3496" t="s">
        <v>159</v>
      </c>
      <c r="N3496" t="s">
        <v>251</v>
      </c>
      <c r="O3496" t="s">
        <v>310</v>
      </c>
      <c r="P3496">
        <v>2.3997810031763513E-2</v>
      </c>
      <c r="Q3496" t="s">
        <v>159</v>
      </c>
    </row>
    <row r="3497" spans="9:17" x14ac:dyDescent="0.45">
      <c r="I3497" t="s">
        <v>208</v>
      </c>
      <c r="J3497" t="s">
        <v>293</v>
      </c>
      <c r="K3497">
        <v>0</v>
      </c>
      <c r="L3497" t="s">
        <v>159</v>
      </c>
      <c r="N3497" t="s">
        <v>251</v>
      </c>
      <c r="O3497" t="s">
        <v>293</v>
      </c>
      <c r="P3497">
        <v>8.2236244912412271E-3</v>
      </c>
      <c r="Q3497" t="s">
        <v>159</v>
      </c>
    </row>
    <row r="3498" spans="9:17" x14ac:dyDescent="0.45">
      <c r="I3498" t="s">
        <v>208</v>
      </c>
      <c r="J3498" t="s">
        <v>294</v>
      </c>
      <c r="K3498">
        <v>0</v>
      </c>
      <c r="L3498" t="s">
        <v>159</v>
      </c>
      <c r="N3498" t="s">
        <v>251</v>
      </c>
      <c r="O3498" t="s">
        <v>294</v>
      </c>
      <c r="P3498">
        <v>9.7529978902229141E-4</v>
      </c>
      <c r="Q3498" t="s">
        <v>159</v>
      </c>
    </row>
    <row r="3499" spans="9:17" x14ac:dyDescent="0.45">
      <c r="I3499" t="s">
        <v>208</v>
      </c>
      <c r="J3499" t="s">
        <v>295</v>
      </c>
      <c r="K3499">
        <v>1.5388241606248007E-2</v>
      </c>
      <c r="L3499" t="s">
        <v>159</v>
      </c>
      <c r="N3499" t="s">
        <v>251</v>
      </c>
      <c r="O3499" t="s">
        <v>295</v>
      </c>
      <c r="P3499">
        <v>7.8775448830878253E-3</v>
      </c>
      <c r="Q3499" t="s">
        <v>159</v>
      </c>
    </row>
    <row r="3500" spans="9:17" x14ac:dyDescent="0.45">
      <c r="I3500" t="s">
        <v>208</v>
      </c>
      <c r="J3500" t="s">
        <v>296</v>
      </c>
      <c r="K3500">
        <v>1.4240341605334019E-3</v>
      </c>
      <c r="L3500" t="s">
        <v>159</v>
      </c>
      <c r="N3500" t="s">
        <v>251</v>
      </c>
      <c r="O3500" t="s">
        <v>296</v>
      </c>
      <c r="P3500">
        <v>7.0594377855973871E-4</v>
      </c>
      <c r="Q3500" t="s">
        <v>159</v>
      </c>
    </row>
    <row r="3501" spans="9:17" x14ac:dyDescent="0.45">
      <c r="I3501" t="s">
        <v>208</v>
      </c>
      <c r="J3501" t="s">
        <v>297</v>
      </c>
      <c r="K3501">
        <v>9.4614243550728374E-4</v>
      </c>
      <c r="L3501" t="s">
        <v>159</v>
      </c>
      <c r="N3501" t="s">
        <v>251</v>
      </c>
      <c r="O3501" t="s">
        <v>297</v>
      </c>
      <c r="P3501">
        <v>7.2655313084473122E-4</v>
      </c>
      <c r="Q3501" t="s">
        <v>159</v>
      </c>
    </row>
    <row r="3502" spans="9:17" x14ac:dyDescent="0.45">
      <c r="I3502" t="s">
        <v>208</v>
      </c>
      <c r="J3502" t="s">
        <v>311</v>
      </c>
      <c r="K3502">
        <v>0</v>
      </c>
      <c r="L3502" t="s">
        <v>159</v>
      </c>
      <c r="N3502" t="s">
        <v>251</v>
      </c>
      <c r="O3502" t="s">
        <v>311</v>
      </c>
      <c r="P3502">
        <v>5.7707588424291707E-3</v>
      </c>
      <c r="Q3502" t="s">
        <v>159</v>
      </c>
    </row>
    <row r="3503" spans="9:17" x14ac:dyDescent="0.45">
      <c r="I3503" t="s">
        <v>208</v>
      </c>
      <c r="J3503" t="s">
        <v>298</v>
      </c>
      <c r="K3503">
        <v>3.1884871355869122E-3</v>
      </c>
      <c r="L3503" t="s">
        <v>159</v>
      </c>
      <c r="N3503" t="s">
        <v>251</v>
      </c>
      <c r="O3503" t="s">
        <v>298</v>
      </c>
      <c r="P3503">
        <v>0.10528586814406675</v>
      </c>
      <c r="Q3503" t="s">
        <v>159</v>
      </c>
    </row>
    <row r="3504" spans="9:17" x14ac:dyDescent="0.45">
      <c r="I3504" t="s">
        <v>208</v>
      </c>
      <c r="J3504" t="s">
        <v>299</v>
      </c>
      <c r="K3504">
        <v>1.5390026600202025E-2</v>
      </c>
      <c r="L3504" t="s">
        <v>159</v>
      </c>
      <c r="N3504" t="s">
        <v>251</v>
      </c>
      <c r="O3504" t="s">
        <v>299</v>
      </c>
      <c r="P3504">
        <v>8.5382201841258006E-3</v>
      </c>
      <c r="Q3504" t="s">
        <v>159</v>
      </c>
    </row>
    <row r="3505" spans="9:17" x14ac:dyDescent="0.45">
      <c r="I3505" t="s">
        <v>208</v>
      </c>
      <c r="J3505" t="s">
        <v>300</v>
      </c>
      <c r="K3505">
        <v>0.24594366516036675</v>
      </c>
      <c r="L3505" t="s">
        <v>159</v>
      </c>
      <c r="N3505" t="s">
        <v>251</v>
      </c>
      <c r="O3505" t="s">
        <v>300</v>
      </c>
      <c r="P3505">
        <v>6.0405689928534734E-2</v>
      </c>
      <c r="Q3505" t="s">
        <v>159</v>
      </c>
    </row>
    <row r="3506" spans="9:17" x14ac:dyDescent="0.45">
      <c r="I3506" t="s">
        <v>208</v>
      </c>
      <c r="J3506" t="s">
        <v>301</v>
      </c>
      <c r="K3506">
        <v>2.0967195027656461E-2</v>
      </c>
      <c r="L3506" t="s">
        <v>159</v>
      </c>
      <c r="N3506" t="s">
        <v>251</v>
      </c>
      <c r="O3506" t="s">
        <v>301</v>
      </c>
      <c r="P3506">
        <v>8.2684248502725207E-3</v>
      </c>
      <c r="Q3506" t="s">
        <v>159</v>
      </c>
    </row>
    <row r="3507" spans="9:17" x14ac:dyDescent="0.45">
      <c r="I3507" t="s">
        <v>208</v>
      </c>
      <c r="J3507" t="s">
        <v>302</v>
      </c>
      <c r="K3507">
        <v>1.4445133047127251E-2</v>
      </c>
      <c r="L3507" t="s">
        <v>159</v>
      </c>
      <c r="N3507" t="s">
        <v>251</v>
      </c>
      <c r="O3507" t="s">
        <v>302</v>
      </c>
      <c r="P3507">
        <v>9.4501422087147416E-3</v>
      </c>
      <c r="Q3507" t="s">
        <v>159</v>
      </c>
    </row>
    <row r="3508" spans="9:17" x14ac:dyDescent="0.45">
      <c r="I3508" t="s">
        <v>208</v>
      </c>
      <c r="J3508" t="s">
        <v>312</v>
      </c>
      <c r="K3508">
        <v>1.2655886745206457E-3</v>
      </c>
      <c r="L3508" t="s">
        <v>159</v>
      </c>
      <c r="N3508" t="s">
        <v>251</v>
      </c>
      <c r="O3508" t="s">
        <v>312</v>
      </c>
      <c r="P3508">
        <v>8.1018245301681918E-2</v>
      </c>
      <c r="Q3508" t="s">
        <v>159</v>
      </c>
    </row>
    <row r="3509" spans="9:17" x14ac:dyDescent="0.45">
      <c r="I3509" t="s">
        <v>208</v>
      </c>
      <c r="J3509" t="s">
        <v>397</v>
      </c>
      <c r="K3509">
        <v>0</v>
      </c>
      <c r="L3509" t="s">
        <v>159</v>
      </c>
      <c r="N3509" t="s">
        <v>251</v>
      </c>
      <c r="O3509" t="s">
        <v>397</v>
      </c>
      <c r="P3509">
        <v>1.76666950191672E-4</v>
      </c>
      <c r="Q3509" t="s">
        <v>159</v>
      </c>
    </row>
    <row r="3510" spans="9:17" x14ac:dyDescent="0.45">
      <c r="I3510" t="s">
        <v>208</v>
      </c>
      <c r="J3510" t="s">
        <v>398</v>
      </c>
      <c r="K3510">
        <v>0</v>
      </c>
      <c r="L3510" t="s">
        <v>159</v>
      </c>
      <c r="N3510" t="s">
        <v>251</v>
      </c>
      <c r="O3510" t="s">
        <v>398</v>
      </c>
      <c r="P3510">
        <v>1.7438320744927045E-4</v>
      </c>
      <c r="Q3510" t="s">
        <v>159</v>
      </c>
    </row>
    <row r="3511" spans="9:17" x14ac:dyDescent="0.45">
      <c r="I3511" t="s">
        <v>208</v>
      </c>
      <c r="J3511" t="s">
        <v>399</v>
      </c>
      <c r="K3511">
        <v>0</v>
      </c>
      <c r="L3511" t="s">
        <v>159</v>
      </c>
      <c r="N3511" t="s">
        <v>251</v>
      </c>
      <c r="O3511" t="s">
        <v>399</v>
      </c>
      <c r="P3511">
        <v>1.6414581930852086E-4</v>
      </c>
      <c r="Q3511" t="s">
        <v>159</v>
      </c>
    </row>
    <row r="3512" spans="9:17" x14ac:dyDescent="0.45">
      <c r="I3512" t="s">
        <v>208</v>
      </c>
      <c r="J3512" t="s">
        <v>400</v>
      </c>
      <c r="K3512">
        <v>0</v>
      </c>
      <c r="L3512" t="s">
        <v>159</v>
      </c>
      <c r="N3512" t="s">
        <v>251</v>
      </c>
      <c r="O3512" t="s">
        <v>400</v>
      </c>
      <c r="P3512">
        <v>1.5194935729230438E-4</v>
      </c>
      <c r="Q3512" t="s">
        <v>159</v>
      </c>
    </row>
    <row r="3513" spans="9:17" x14ac:dyDescent="0.45">
      <c r="I3513" t="s">
        <v>208</v>
      </c>
      <c r="J3513" t="s">
        <v>401</v>
      </c>
      <c r="K3513">
        <v>0</v>
      </c>
      <c r="L3513" t="s">
        <v>159</v>
      </c>
      <c r="N3513" t="s">
        <v>251</v>
      </c>
      <c r="O3513" t="s">
        <v>401</v>
      </c>
      <c r="P3513">
        <v>1.3989203173549286E-4</v>
      </c>
      <c r="Q3513" t="s">
        <v>159</v>
      </c>
    </row>
    <row r="3514" spans="9:17" x14ac:dyDescent="0.45">
      <c r="I3514" t="s">
        <v>208</v>
      </c>
      <c r="J3514" t="s">
        <v>402</v>
      </c>
      <c r="K3514">
        <v>0</v>
      </c>
      <c r="L3514" t="s">
        <v>159</v>
      </c>
      <c r="N3514" t="s">
        <v>251</v>
      </c>
      <c r="O3514" t="s">
        <v>402</v>
      </c>
      <c r="P3514">
        <v>1.3600565781079333E-4</v>
      </c>
      <c r="Q3514" t="s">
        <v>159</v>
      </c>
    </row>
    <row r="3515" spans="9:17" x14ac:dyDescent="0.45">
      <c r="I3515" t="s">
        <v>208</v>
      </c>
      <c r="J3515" t="s">
        <v>403</v>
      </c>
      <c r="K3515">
        <v>0</v>
      </c>
      <c r="L3515" t="s">
        <v>159</v>
      </c>
      <c r="N3515" t="s">
        <v>251</v>
      </c>
      <c r="O3515" t="s">
        <v>403</v>
      </c>
      <c r="P3515">
        <v>1.2457836845795436E-4</v>
      </c>
      <c r="Q3515" t="s">
        <v>159</v>
      </c>
    </row>
    <row r="3516" spans="9:17" x14ac:dyDescent="0.45">
      <c r="I3516" t="s">
        <v>208</v>
      </c>
      <c r="J3516" t="s">
        <v>404</v>
      </c>
      <c r="K3516">
        <v>1.6863254320392584E-4</v>
      </c>
      <c r="L3516" t="s">
        <v>159</v>
      </c>
      <c r="N3516" t="s">
        <v>251</v>
      </c>
      <c r="O3516" t="s">
        <v>404</v>
      </c>
      <c r="P3516">
        <v>9.816948087656959E-5</v>
      </c>
      <c r="Q3516" t="s">
        <v>159</v>
      </c>
    </row>
    <row r="3517" spans="9:17" x14ac:dyDescent="0.45">
      <c r="I3517" t="s">
        <v>208</v>
      </c>
      <c r="J3517" t="s">
        <v>405</v>
      </c>
      <c r="K3517">
        <v>2.5833129510430763E-4</v>
      </c>
      <c r="L3517" t="s">
        <v>159</v>
      </c>
      <c r="N3517" t="s">
        <v>251</v>
      </c>
      <c r="O3517" t="s">
        <v>405</v>
      </c>
      <c r="P3517">
        <v>4.0553158724904676E-5</v>
      </c>
      <c r="Q3517" t="s">
        <v>159</v>
      </c>
    </row>
    <row r="3518" spans="9:17" x14ac:dyDescent="0.45">
      <c r="I3518" t="s">
        <v>208</v>
      </c>
      <c r="J3518" t="s">
        <v>406</v>
      </c>
      <c r="K3518">
        <v>2.9059605181793282E-4</v>
      </c>
      <c r="L3518" t="s">
        <v>159</v>
      </c>
      <c r="N3518" t="s">
        <v>251</v>
      </c>
      <c r="O3518" t="s">
        <v>406</v>
      </c>
      <c r="P3518">
        <v>3.5392311206454909E-5</v>
      </c>
      <c r="Q3518" t="s">
        <v>159</v>
      </c>
    </row>
    <row r="3519" spans="9:17" x14ac:dyDescent="0.45">
      <c r="I3519" t="s">
        <v>208</v>
      </c>
      <c r="J3519" t="s">
        <v>407</v>
      </c>
      <c r="K3519">
        <v>2.9651567547408554E-4</v>
      </c>
      <c r="L3519" t="s">
        <v>159</v>
      </c>
      <c r="N3519" t="s">
        <v>251</v>
      </c>
      <c r="O3519" t="s">
        <v>407</v>
      </c>
      <c r="P3519">
        <v>3.8223703025034553E-5</v>
      </c>
      <c r="Q3519" t="s">
        <v>159</v>
      </c>
    </row>
    <row r="3520" spans="9:17" x14ac:dyDescent="0.45">
      <c r="I3520" t="s">
        <v>208</v>
      </c>
      <c r="J3520" t="s">
        <v>408</v>
      </c>
      <c r="K3520">
        <v>3.047856330061531E-4</v>
      </c>
      <c r="L3520" t="s">
        <v>159</v>
      </c>
      <c r="N3520" t="s">
        <v>251</v>
      </c>
      <c r="O3520" t="s">
        <v>408</v>
      </c>
      <c r="P3520">
        <v>2.4076695798173958E-5</v>
      </c>
      <c r="Q3520" t="s">
        <v>159</v>
      </c>
    </row>
    <row r="3521" spans="9:17" x14ac:dyDescent="0.45">
      <c r="I3521" t="s">
        <v>208</v>
      </c>
      <c r="J3521" t="s">
        <v>409</v>
      </c>
      <c r="K3521">
        <v>3.208498278573957E-4</v>
      </c>
      <c r="L3521" t="s">
        <v>159</v>
      </c>
      <c r="N3521" t="s">
        <v>251</v>
      </c>
      <c r="O3521" t="s">
        <v>409</v>
      </c>
      <c r="P3521">
        <v>1.856458216237425E-5</v>
      </c>
      <c r="Q3521" t="s">
        <v>159</v>
      </c>
    </row>
    <row r="3522" spans="9:17" x14ac:dyDescent="0.45">
      <c r="I3522" t="s">
        <v>208</v>
      </c>
      <c r="J3522" t="s">
        <v>410</v>
      </c>
      <c r="K3522">
        <v>3.2446093189953204E-4</v>
      </c>
      <c r="L3522" t="s">
        <v>159</v>
      </c>
      <c r="N3522" t="s">
        <v>251</v>
      </c>
      <c r="O3522" t="s">
        <v>410</v>
      </c>
      <c r="P3522">
        <v>1.3004291256376475E-5</v>
      </c>
      <c r="Q3522" t="s">
        <v>159</v>
      </c>
    </row>
    <row r="3523" spans="9:17" x14ac:dyDescent="0.45">
      <c r="I3523" t="s">
        <v>208</v>
      </c>
      <c r="J3523" t="s">
        <v>411</v>
      </c>
      <c r="K3523">
        <v>3.0065424502680269E-4</v>
      </c>
      <c r="L3523" t="s">
        <v>159</v>
      </c>
      <c r="N3523" t="s">
        <v>251</v>
      </c>
      <c r="O3523" t="s">
        <v>411</v>
      </c>
      <c r="P3523">
        <v>7.4193157587881913E-6</v>
      </c>
      <c r="Q3523" t="s">
        <v>159</v>
      </c>
    </row>
    <row r="3524" spans="9:17" x14ac:dyDescent="0.45">
      <c r="I3524" t="s">
        <v>208</v>
      </c>
      <c r="J3524" t="s">
        <v>412</v>
      </c>
      <c r="K3524">
        <v>2.8233438010099828E-4</v>
      </c>
      <c r="L3524" t="s">
        <v>159</v>
      </c>
      <c r="N3524" t="s">
        <v>251</v>
      </c>
      <c r="O3524" t="s">
        <v>412</v>
      </c>
      <c r="P3524">
        <v>2.2917472322847655E-6</v>
      </c>
      <c r="Q3524" t="s">
        <v>159</v>
      </c>
    </row>
    <row r="3525" spans="9:17" x14ac:dyDescent="0.45">
      <c r="I3525" t="s">
        <v>208</v>
      </c>
      <c r="J3525" t="s">
        <v>413</v>
      </c>
      <c r="K3525">
        <v>2.6299574889379471E-4</v>
      </c>
      <c r="L3525" t="s">
        <v>159</v>
      </c>
      <c r="N3525" t="s">
        <v>251</v>
      </c>
      <c r="O3525" t="s">
        <v>413</v>
      </c>
      <c r="P3525">
        <v>3.5331999239945286E-7</v>
      </c>
      <c r="Q3525" t="s">
        <v>159</v>
      </c>
    </row>
    <row r="3526" spans="9:17" x14ac:dyDescent="0.45">
      <c r="I3526" t="s">
        <v>208</v>
      </c>
      <c r="J3526" t="s">
        <v>414</v>
      </c>
      <c r="K3526">
        <v>2.5087889172549721E-4</v>
      </c>
      <c r="L3526" t="s">
        <v>159</v>
      </c>
      <c r="N3526" t="s">
        <v>251</v>
      </c>
      <c r="O3526" t="s">
        <v>414</v>
      </c>
      <c r="P3526">
        <v>2.487248551167267E-7</v>
      </c>
      <c r="Q3526" t="s">
        <v>159</v>
      </c>
    </row>
    <row r="3527" spans="9:17" x14ac:dyDescent="0.45">
      <c r="I3527" t="s">
        <v>208</v>
      </c>
      <c r="J3527" t="s">
        <v>415</v>
      </c>
      <c r="K3527">
        <v>1.6903126442367047E-4</v>
      </c>
      <c r="L3527" t="s">
        <v>159</v>
      </c>
      <c r="N3527" t="s">
        <v>251</v>
      </c>
      <c r="O3527" t="s">
        <v>415</v>
      </c>
      <c r="P3527">
        <v>7.8021511195994552E-6</v>
      </c>
      <c r="Q3527" t="s">
        <v>159</v>
      </c>
    </row>
    <row r="3528" spans="9:17" x14ac:dyDescent="0.45">
      <c r="I3528" t="s">
        <v>208</v>
      </c>
      <c r="J3528" t="s">
        <v>416</v>
      </c>
      <c r="K3528">
        <v>0</v>
      </c>
      <c r="L3528" t="s">
        <v>159</v>
      </c>
      <c r="N3528" t="s">
        <v>251</v>
      </c>
      <c r="O3528" t="s">
        <v>416</v>
      </c>
      <c r="P3528">
        <v>3.7442930743212724E-5</v>
      </c>
      <c r="Q3528" t="s">
        <v>159</v>
      </c>
    </row>
    <row r="3529" spans="9:17" x14ac:dyDescent="0.45">
      <c r="I3529" t="s">
        <v>208</v>
      </c>
      <c r="J3529" t="s">
        <v>417</v>
      </c>
      <c r="K3529">
        <v>0</v>
      </c>
      <c r="L3529" t="s">
        <v>159</v>
      </c>
      <c r="N3529" t="s">
        <v>251</v>
      </c>
      <c r="O3529" t="s">
        <v>417</v>
      </c>
      <c r="P3529">
        <v>8.1683668723011262E-5</v>
      </c>
      <c r="Q3529" t="s">
        <v>159</v>
      </c>
    </row>
    <row r="3530" spans="9:17" x14ac:dyDescent="0.45">
      <c r="I3530" t="s">
        <v>208</v>
      </c>
      <c r="J3530" t="s">
        <v>418</v>
      </c>
      <c r="K3530">
        <v>0</v>
      </c>
      <c r="L3530" t="s">
        <v>159</v>
      </c>
      <c r="N3530" t="s">
        <v>251</v>
      </c>
      <c r="O3530" t="s">
        <v>418</v>
      </c>
      <c r="P3530">
        <v>9.7852893986924498E-5</v>
      </c>
      <c r="Q3530" t="s">
        <v>159</v>
      </c>
    </row>
    <row r="3531" spans="9:17" x14ac:dyDescent="0.45">
      <c r="I3531" t="s">
        <v>208</v>
      </c>
      <c r="J3531" t="s">
        <v>419</v>
      </c>
      <c r="K3531">
        <v>0</v>
      </c>
      <c r="L3531" t="s">
        <v>159</v>
      </c>
      <c r="N3531" t="s">
        <v>251</v>
      </c>
      <c r="O3531" t="s">
        <v>419</v>
      </c>
      <c r="P3531">
        <v>9.7340963333778755E-5</v>
      </c>
      <c r="Q3531" t="s">
        <v>159</v>
      </c>
    </row>
    <row r="3532" spans="9:17" x14ac:dyDescent="0.45">
      <c r="I3532" t="s">
        <v>208</v>
      </c>
      <c r="J3532" t="s">
        <v>420</v>
      </c>
      <c r="K3532">
        <v>0</v>
      </c>
      <c r="L3532" t="s">
        <v>159</v>
      </c>
      <c r="N3532" t="s">
        <v>251</v>
      </c>
      <c r="O3532" t="s">
        <v>420</v>
      </c>
      <c r="P3532">
        <v>6.3114898895920459E-5</v>
      </c>
      <c r="Q3532" t="s">
        <v>159</v>
      </c>
    </row>
    <row r="3533" spans="9:17" x14ac:dyDescent="0.45">
      <c r="I3533" t="s">
        <v>208</v>
      </c>
      <c r="J3533" t="s">
        <v>313</v>
      </c>
      <c r="K3533">
        <v>2.2822951989201587E-3</v>
      </c>
      <c r="L3533" t="s">
        <v>159</v>
      </c>
      <c r="N3533" t="s">
        <v>251</v>
      </c>
      <c r="O3533" t="s">
        <v>313</v>
      </c>
      <c r="P3533">
        <v>3.0844517669950135E-2</v>
      </c>
      <c r="Q3533" t="s">
        <v>159</v>
      </c>
    </row>
    <row r="3534" spans="9:17" x14ac:dyDescent="0.45">
      <c r="I3534" t="s">
        <v>208</v>
      </c>
      <c r="J3534" t="s">
        <v>314</v>
      </c>
      <c r="K3534">
        <v>4.427567166795222E-3</v>
      </c>
      <c r="L3534" t="s">
        <v>159</v>
      </c>
      <c r="N3534" t="s">
        <v>251</v>
      </c>
      <c r="O3534" t="s">
        <v>314</v>
      </c>
      <c r="P3534">
        <v>2.6741161234404873E-3</v>
      </c>
      <c r="Q3534" t="s">
        <v>159</v>
      </c>
    </row>
    <row r="3535" spans="9:17" x14ac:dyDescent="0.45">
      <c r="I3535" t="s">
        <v>208</v>
      </c>
      <c r="J3535" t="s">
        <v>315</v>
      </c>
      <c r="K3535">
        <v>7.1339561134916102E-2</v>
      </c>
      <c r="L3535" t="s">
        <v>159</v>
      </c>
      <c r="N3535" t="s">
        <v>251</v>
      </c>
      <c r="O3535" t="s">
        <v>315</v>
      </c>
      <c r="P3535">
        <v>1.392683410898117E-2</v>
      </c>
      <c r="Q3535" t="s">
        <v>159</v>
      </c>
    </row>
    <row r="3536" spans="9:17" x14ac:dyDescent="0.45">
      <c r="I3536" t="s">
        <v>208</v>
      </c>
      <c r="J3536" t="s">
        <v>316</v>
      </c>
      <c r="K3536">
        <v>6.335067161763637E-3</v>
      </c>
      <c r="L3536" t="s">
        <v>159</v>
      </c>
      <c r="N3536" t="s">
        <v>251</v>
      </c>
      <c r="O3536" t="s">
        <v>316</v>
      </c>
      <c r="P3536">
        <v>1.259026175026024E-3</v>
      </c>
      <c r="Q3536" t="s">
        <v>159</v>
      </c>
    </row>
    <row r="3537" spans="9:17" x14ac:dyDescent="0.45">
      <c r="I3537" t="s">
        <v>208</v>
      </c>
      <c r="J3537" t="s">
        <v>317</v>
      </c>
      <c r="K3537">
        <v>4.7146832820996083E-3</v>
      </c>
      <c r="L3537" t="s">
        <v>159</v>
      </c>
      <c r="N3537" t="s">
        <v>251</v>
      </c>
      <c r="O3537" t="s">
        <v>317</v>
      </c>
      <c r="P3537">
        <v>1.577565416611528E-3</v>
      </c>
      <c r="Q3537" t="s">
        <v>159</v>
      </c>
    </row>
    <row r="3538" spans="9:17" x14ac:dyDescent="0.45">
      <c r="I3538" t="s">
        <v>208</v>
      </c>
      <c r="J3538" t="s">
        <v>318</v>
      </c>
      <c r="K3538">
        <v>2.7455550444823377E-3</v>
      </c>
      <c r="L3538" t="s">
        <v>159</v>
      </c>
      <c r="N3538" t="s">
        <v>251</v>
      </c>
      <c r="O3538" t="s">
        <v>318</v>
      </c>
      <c r="P3538">
        <v>1.9612793910038093E-2</v>
      </c>
      <c r="Q3538" t="s">
        <v>159</v>
      </c>
    </row>
    <row r="3539" spans="9:17" x14ac:dyDescent="0.45">
      <c r="I3539" t="s">
        <v>209</v>
      </c>
      <c r="J3539" t="s">
        <v>158</v>
      </c>
      <c r="K3539">
        <v>1.0449113922378658E-3</v>
      </c>
      <c r="L3539" t="s">
        <v>159</v>
      </c>
    </row>
    <row r="3540" spans="9:17" x14ac:dyDescent="0.45">
      <c r="I3540" t="s">
        <v>209</v>
      </c>
      <c r="J3540" t="s">
        <v>160</v>
      </c>
      <c r="K3540">
        <v>1.4024774081668681E-2</v>
      </c>
      <c r="L3540" t="s">
        <v>159</v>
      </c>
    </row>
    <row r="3541" spans="9:17" x14ac:dyDescent="0.45">
      <c r="I3541" t="s">
        <v>209</v>
      </c>
      <c r="J3541" t="s">
        <v>161</v>
      </c>
      <c r="K3541">
        <v>0.38387320844105183</v>
      </c>
      <c r="L3541" t="s">
        <v>159</v>
      </c>
    </row>
    <row r="3542" spans="9:17" x14ac:dyDescent="0.45">
      <c r="I3542" t="s">
        <v>209</v>
      </c>
      <c r="J3542" t="s">
        <v>287</v>
      </c>
      <c r="K3542">
        <v>3.4304461764467435E-2</v>
      </c>
      <c r="L3542" t="s">
        <v>159</v>
      </c>
    </row>
    <row r="3543" spans="9:17" x14ac:dyDescent="0.45">
      <c r="I3543" t="s">
        <v>209</v>
      </c>
      <c r="J3543" t="s">
        <v>288</v>
      </c>
      <c r="K3543">
        <v>1.8471383336725336E-2</v>
      </c>
      <c r="L3543" t="s">
        <v>159</v>
      </c>
    </row>
    <row r="3544" spans="9:17" x14ac:dyDescent="0.45">
      <c r="I3544" t="s">
        <v>209</v>
      </c>
      <c r="J3544" t="s">
        <v>308</v>
      </c>
      <c r="K3544">
        <v>6.8783471758101337E-3</v>
      </c>
      <c r="L3544" t="s">
        <v>159</v>
      </c>
    </row>
    <row r="3545" spans="9:17" x14ac:dyDescent="0.45">
      <c r="I3545" t="s">
        <v>209</v>
      </c>
      <c r="J3545" t="s">
        <v>162</v>
      </c>
      <c r="K3545">
        <v>0</v>
      </c>
      <c r="L3545" t="s">
        <v>159</v>
      </c>
    </row>
    <row r="3546" spans="9:17" x14ac:dyDescent="0.45">
      <c r="I3546" t="s">
        <v>209</v>
      </c>
      <c r="J3546" t="s">
        <v>163</v>
      </c>
      <c r="K3546">
        <v>0</v>
      </c>
      <c r="L3546" t="s">
        <v>159</v>
      </c>
    </row>
    <row r="3547" spans="9:17" x14ac:dyDescent="0.45">
      <c r="I3547" t="s">
        <v>209</v>
      </c>
      <c r="J3547" t="s">
        <v>164</v>
      </c>
      <c r="K3547">
        <v>4.8431669381584767E-2</v>
      </c>
      <c r="L3547" t="s">
        <v>159</v>
      </c>
    </row>
    <row r="3548" spans="9:17" x14ac:dyDescent="0.45">
      <c r="I3548" t="s">
        <v>209</v>
      </c>
      <c r="J3548" t="s">
        <v>289</v>
      </c>
      <c r="K3548">
        <v>4.5027121749765288E-3</v>
      </c>
      <c r="L3548" t="s">
        <v>159</v>
      </c>
    </row>
    <row r="3549" spans="9:17" x14ac:dyDescent="0.45">
      <c r="I3549" t="s">
        <v>209</v>
      </c>
      <c r="J3549" t="s">
        <v>290</v>
      </c>
      <c r="K3549">
        <v>0</v>
      </c>
      <c r="L3549" t="s">
        <v>159</v>
      </c>
    </row>
    <row r="3550" spans="9:17" x14ac:dyDescent="0.45">
      <c r="I3550" t="s">
        <v>209</v>
      </c>
      <c r="J3550" t="s">
        <v>309</v>
      </c>
      <c r="K3550">
        <v>0</v>
      </c>
      <c r="L3550" t="s">
        <v>159</v>
      </c>
    </row>
    <row r="3551" spans="9:17" x14ac:dyDescent="0.45">
      <c r="I3551" t="s">
        <v>209</v>
      </c>
      <c r="J3551" t="s">
        <v>346</v>
      </c>
      <c r="K3551">
        <v>0</v>
      </c>
      <c r="L3551" t="s">
        <v>159</v>
      </c>
    </row>
    <row r="3552" spans="9:17" x14ac:dyDescent="0.45">
      <c r="I3552" t="s">
        <v>209</v>
      </c>
      <c r="J3552" t="s">
        <v>347</v>
      </c>
      <c r="K3552">
        <v>0</v>
      </c>
      <c r="L3552" t="s">
        <v>159</v>
      </c>
    </row>
    <row r="3553" spans="9:12" x14ac:dyDescent="0.45">
      <c r="I3553" t="s">
        <v>209</v>
      </c>
      <c r="J3553" t="s">
        <v>348</v>
      </c>
      <c r="K3553">
        <v>0</v>
      </c>
      <c r="L3553" t="s">
        <v>159</v>
      </c>
    </row>
    <row r="3554" spans="9:12" x14ac:dyDescent="0.45">
      <c r="I3554" t="s">
        <v>209</v>
      </c>
      <c r="J3554" t="s">
        <v>349</v>
      </c>
      <c r="K3554">
        <v>0</v>
      </c>
      <c r="L3554" t="s">
        <v>159</v>
      </c>
    </row>
    <row r="3555" spans="9:12" x14ac:dyDescent="0.45">
      <c r="I3555" t="s">
        <v>209</v>
      </c>
      <c r="J3555" t="s">
        <v>350</v>
      </c>
      <c r="K3555">
        <v>0</v>
      </c>
      <c r="L3555" t="s">
        <v>159</v>
      </c>
    </row>
    <row r="3556" spans="9:12" x14ac:dyDescent="0.45">
      <c r="I3556" t="s">
        <v>209</v>
      </c>
      <c r="J3556" t="s">
        <v>351</v>
      </c>
      <c r="K3556">
        <v>0</v>
      </c>
      <c r="L3556" t="s">
        <v>159</v>
      </c>
    </row>
    <row r="3557" spans="9:12" x14ac:dyDescent="0.45">
      <c r="I3557" t="s">
        <v>209</v>
      </c>
      <c r="J3557" t="s">
        <v>352</v>
      </c>
      <c r="K3557">
        <v>0</v>
      </c>
      <c r="L3557" t="s">
        <v>159</v>
      </c>
    </row>
    <row r="3558" spans="9:12" x14ac:dyDescent="0.45">
      <c r="I3558" t="s">
        <v>209</v>
      </c>
      <c r="J3558" t="s">
        <v>353</v>
      </c>
      <c r="K3558">
        <v>0</v>
      </c>
      <c r="L3558" t="s">
        <v>159</v>
      </c>
    </row>
    <row r="3559" spans="9:12" x14ac:dyDescent="0.45">
      <c r="I3559" t="s">
        <v>209</v>
      </c>
      <c r="J3559" t="s">
        <v>354</v>
      </c>
      <c r="K3559">
        <v>1.075345953440315E-4</v>
      </c>
      <c r="L3559" t="s">
        <v>159</v>
      </c>
    </row>
    <row r="3560" spans="9:12" x14ac:dyDescent="0.45">
      <c r="I3560" t="s">
        <v>209</v>
      </c>
      <c r="J3560" t="s">
        <v>355</v>
      </c>
      <c r="K3560">
        <v>1.4375608098322369E-4</v>
      </c>
      <c r="L3560" t="s">
        <v>159</v>
      </c>
    </row>
    <row r="3561" spans="9:12" x14ac:dyDescent="0.45">
      <c r="I3561" t="s">
        <v>209</v>
      </c>
      <c r="J3561" t="s">
        <v>356</v>
      </c>
      <c r="K3561">
        <v>1.5530925537221688E-4</v>
      </c>
      <c r="L3561" t="s">
        <v>159</v>
      </c>
    </row>
    <row r="3562" spans="9:12" x14ac:dyDescent="0.45">
      <c r="I3562" t="s">
        <v>209</v>
      </c>
      <c r="J3562" t="s">
        <v>357</v>
      </c>
      <c r="K3562">
        <v>1.7573028408701343E-4</v>
      </c>
      <c r="L3562" t="s">
        <v>159</v>
      </c>
    </row>
    <row r="3563" spans="9:12" x14ac:dyDescent="0.45">
      <c r="I3563" t="s">
        <v>209</v>
      </c>
      <c r="J3563" t="s">
        <v>358</v>
      </c>
      <c r="K3563">
        <v>2.0096679948219997E-4</v>
      </c>
      <c r="L3563" t="s">
        <v>159</v>
      </c>
    </row>
    <row r="3564" spans="9:12" x14ac:dyDescent="0.45">
      <c r="I3564" t="s">
        <v>209</v>
      </c>
      <c r="J3564" t="s">
        <v>359</v>
      </c>
      <c r="K3564">
        <v>2.3224038790100096E-4</v>
      </c>
      <c r="L3564" t="s">
        <v>159</v>
      </c>
    </row>
    <row r="3565" spans="9:12" x14ac:dyDescent="0.45">
      <c r="I3565" t="s">
        <v>209</v>
      </c>
      <c r="J3565" t="s">
        <v>360</v>
      </c>
      <c r="K3565">
        <v>1.9201036853751477E-4</v>
      </c>
      <c r="L3565" t="s">
        <v>159</v>
      </c>
    </row>
    <row r="3566" spans="9:12" x14ac:dyDescent="0.45">
      <c r="I3566" t="s">
        <v>209</v>
      </c>
      <c r="J3566" t="s">
        <v>361</v>
      </c>
      <c r="K3566">
        <v>1.7945879039861677E-4</v>
      </c>
      <c r="L3566" t="s">
        <v>159</v>
      </c>
    </row>
    <row r="3567" spans="9:12" x14ac:dyDescent="0.45">
      <c r="I3567" t="s">
        <v>209</v>
      </c>
      <c r="J3567" t="s">
        <v>362</v>
      </c>
      <c r="K3567">
        <v>1.7932570329168643E-4</v>
      </c>
      <c r="L3567" t="s">
        <v>159</v>
      </c>
    </row>
    <row r="3568" spans="9:12" x14ac:dyDescent="0.45">
      <c r="I3568" t="s">
        <v>209</v>
      </c>
      <c r="J3568" t="s">
        <v>363</v>
      </c>
      <c r="K3568">
        <v>1.6086663163490116E-4</v>
      </c>
      <c r="L3568" t="s">
        <v>159</v>
      </c>
    </row>
    <row r="3569" spans="9:12" x14ac:dyDescent="0.45">
      <c r="I3569" t="s">
        <v>209</v>
      </c>
      <c r="J3569" t="s">
        <v>364</v>
      </c>
      <c r="K3569">
        <v>0</v>
      </c>
      <c r="L3569" t="s">
        <v>159</v>
      </c>
    </row>
    <row r="3570" spans="9:12" x14ac:dyDescent="0.45">
      <c r="I3570" t="s">
        <v>209</v>
      </c>
      <c r="J3570" t="s">
        <v>365</v>
      </c>
      <c r="K3570">
        <v>0</v>
      </c>
      <c r="L3570" t="s">
        <v>159</v>
      </c>
    </row>
    <row r="3571" spans="9:12" x14ac:dyDescent="0.45">
      <c r="I3571" t="s">
        <v>209</v>
      </c>
      <c r="J3571" t="s">
        <v>366</v>
      </c>
      <c r="K3571">
        <v>0</v>
      </c>
      <c r="L3571" t="s">
        <v>159</v>
      </c>
    </row>
    <row r="3572" spans="9:12" x14ac:dyDescent="0.45">
      <c r="I3572" t="s">
        <v>209</v>
      </c>
      <c r="J3572" t="s">
        <v>367</v>
      </c>
      <c r="K3572">
        <v>0</v>
      </c>
      <c r="L3572" t="s">
        <v>159</v>
      </c>
    </row>
    <row r="3573" spans="9:12" x14ac:dyDescent="0.45">
      <c r="I3573" t="s">
        <v>209</v>
      </c>
      <c r="J3573" t="s">
        <v>368</v>
      </c>
      <c r="K3573">
        <v>0</v>
      </c>
      <c r="L3573" t="s">
        <v>159</v>
      </c>
    </row>
    <row r="3574" spans="9:12" x14ac:dyDescent="0.45">
      <c r="I3574" t="s">
        <v>209</v>
      </c>
      <c r="J3574" t="s">
        <v>369</v>
      </c>
      <c r="K3574">
        <v>0</v>
      </c>
      <c r="L3574" t="s">
        <v>159</v>
      </c>
    </row>
    <row r="3575" spans="9:12" x14ac:dyDescent="0.45">
      <c r="I3575" t="s">
        <v>209</v>
      </c>
      <c r="J3575" t="s">
        <v>165</v>
      </c>
      <c r="K3575">
        <v>0</v>
      </c>
      <c r="L3575" t="s">
        <v>159</v>
      </c>
    </row>
    <row r="3576" spans="9:12" x14ac:dyDescent="0.45">
      <c r="I3576" t="s">
        <v>209</v>
      </c>
      <c r="J3576" t="s">
        <v>166</v>
      </c>
      <c r="K3576">
        <v>0</v>
      </c>
      <c r="L3576" t="s">
        <v>159</v>
      </c>
    </row>
    <row r="3577" spans="9:12" x14ac:dyDescent="0.45">
      <c r="I3577" t="s">
        <v>209</v>
      </c>
      <c r="J3577" t="s">
        <v>167</v>
      </c>
      <c r="K3577">
        <v>6.4225923262173967E-2</v>
      </c>
      <c r="L3577" t="s">
        <v>159</v>
      </c>
    </row>
    <row r="3578" spans="9:12" x14ac:dyDescent="0.45">
      <c r="I3578" t="s">
        <v>209</v>
      </c>
      <c r="J3578" t="s">
        <v>291</v>
      </c>
      <c r="K3578">
        <v>6.1358790750335752E-3</v>
      </c>
      <c r="L3578" t="s">
        <v>159</v>
      </c>
    </row>
    <row r="3579" spans="9:12" x14ac:dyDescent="0.45">
      <c r="I3579" t="s">
        <v>209</v>
      </c>
      <c r="J3579" t="s">
        <v>292</v>
      </c>
      <c r="K3579">
        <v>2.7297310829428596E-3</v>
      </c>
      <c r="L3579" t="s">
        <v>159</v>
      </c>
    </row>
    <row r="3580" spans="9:12" x14ac:dyDescent="0.45">
      <c r="I3580" t="s">
        <v>209</v>
      </c>
      <c r="J3580" t="s">
        <v>310</v>
      </c>
      <c r="K3580">
        <v>0</v>
      </c>
      <c r="L3580" t="s">
        <v>159</v>
      </c>
    </row>
    <row r="3581" spans="9:12" x14ac:dyDescent="0.45">
      <c r="I3581" t="s">
        <v>209</v>
      </c>
      <c r="J3581" t="s">
        <v>293</v>
      </c>
      <c r="K3581">
        <v>0</v>
      </c>
      <c r="L3581" t="s">
        <v>159</v>
      </c>
    </row>
    <row r="3582" spans="9:12" x14ac:dyDescent="0.45">
      <c r="I3582" t="s">
        <v>209</v>
      </c>
      <c r="J3582" t="s">
        <v>294</v>
      </c>
      <c r="K3582">
        <v>3.9088071635345824E-5</v>
      </c>
      <c r="L3582" t="s">
        <v>159</v>
      </c>
    </row>
    <row r="3583" spans="9:12" x14ac:dyDescent="0.45">
      <c r="I3583" t="s">
        <v>209</v>
      </c>
      <c r="J3583" t="s">
        <v>295</v>
      </c>
      <c r="K3583">
        <v>1.5768926981049321E-2</v>
      </c>
      <c r="L3583" t="s">
        <v>159</v>
      </c>
    </row>
    <row r="3584" spans="9:12" x14ac:dyDescent="0.45">
      <c r="I3584" t="s">
        <v>209</v>
      </c>
      <c r="J3584" t="s">
        <v>296</v>
      </c>
      <c r="K3584">
        <v>1.4353318936169619E-3</v>
      </c>
      <c r="L3584" t="s">
        <v>159</v>
      </c>
    </row>
    <row r="3585" spans="9:12" x14ac:dyDescent="0.45">
      <c r="I3585" t="s">
        <v>209</v>
      </c>
      <c r="J3585" t="s">
        <v>297</v>
      </c>
      <c r="K3585">
        <v>9.9634224009412372E-4</v>
      </c>
      <c r="L3585" t="s">
        <v>159</v>
      </c>
    </row>
    <row r="3586" spans="9:12" x14ac:dyDescent="0.45">
      <c r="I3586" t="s">
        <v>209</v>
      </c>
      <c r="J3586" t="s">
        <v>311</v>
      </c>
      <c r="K3586">
        <v>0</v>
      </c>
      <c r="L3586" t="s">
        <v>159</v>
      </c>
    </row>
    <row r="3587" spans="9:12" x14ac:dyDescent="0.45">
      <c r="I3587" t="s">
        <v>209</v>
      </c>
      <c r="J3587" t="s">
        <v>298</v>
      </c>
      <c r="K3587">
        <v>3.5349027398481102E-3</v>
      </c>
      <c r="L3587" t="s">
        <v>159</v>
      </c>
    </row>
    <row r="3588" spans="9:12" x14ac:dyDescent="0.45">
      <c r="I3588" t="s">
        <v>209</v>
      </c>
      <c r="J3588" t="s">
        <v>299</v>
      </c>
      <c r="K3588">
        <v>1.5111921779371507E-2</v>
      </c>
      <c r="L3588" t="s">
        <v>159</v>
      </c>
    </row>
    <row r="3589" spans="9:12" x14ac:dyDescent="0.45">
      <c r="I3589" t="s">
        <v>209</v>
      </c>
      <c r="J3589" t="s">
        <v>300</v>
      </c>
      <c r="K3589">
        <v>0.24681440923966483</v>
      </c>
      <c r="L3589" t="s">
        <v>159</v>
      </c>
    </row>
    <row r="3590" spans="9:12" x14ac:dyDescent="0.45">
      <c r="I3590" t="s">
        <v>209</v>
      </c>
      <c r="J3590" t="s">
        <v>301</v>
      </c>
      <c r="K3590">
        <v>2.08116851020669E-2</v>
      </c>
      <c r="L3590" t="s">
        <v>159</v>
      </c>
    </row>
    <row r="3591" spans="9:12" x14ac:dyDescent="0.45">
      <c r="I3591" t="s">
        <v>209</v>
      </c>
      <c r="J3591" t="s">
        <v>302</v>
      </c>
      <c r="K3591">
        <v>1.3743220067819015E-2</v>
      </c>
      <c r="L3591" t="s">
        <v>159</v>
      </c>
    </row>
    <row r="3592" spans="9:12" x14ac:dyDescent="0.45">
      <c r="I3592" t="s">
        <v>209</v>
      </c>
      <c r="J3592" t="s">
        <v>312</v>
      </c>
      <c r="K3592">
        <v>6.7392005154998222E-4</v>
      </c>
      <c r="L3592" t="s">
        <v>159</v>
      </c>
    </row>
    <row r="3593" spans="9:12" x14ac:dyDescent="0.45">
      <c r="I3593" t="s">
        <v>209</v>
      </c>
      <c r="J3593" t="s">
        <v>397</v>
      </c>
      <c r="K3593">
        <v>0</v>
      </c>
      <c r="L3593" t="s">
        <v>159</v>
      </c>
    </row>
    <row r="3594" spans="9:12" x14ac:dyDescent="0.45">
      <c r="I3594" t="s">
        <v>209</v>
      </c>
      <c r="J3594" t="s">
        <v>398</v>
      </c>
      <c r="K3594">
        <v>0</v>
      </c>
      <c r="L3594" t="s">
        <v>159</v>
      </c>
    </row>
    <row r="3595" spans="9:12" x14ac:dyDescent="0.45">
      <c r="I3595" t="s">
        <v>209</v>
      </c>
      <c r="J3595" t="s">
        <v>399</v>
      </c>
      <c r="K3595">
        <v>0</v>
      </c>
      <c r="L3595" t="s">
        <v>159</v>
      </c>
    </row>
    <row r="3596" spans="9:12" x14ac:dyDescent="0.45">
      <c r="I3596" t="s">
        <v>209</v>
      </c>
      <c r="J3596" t="s">
        <v>400</v>
      </c>
      <c r="K3596">
        <v>0</v>
      </c>
      <c r="L3596" t="s">
        <v>159</v>
      </c>
    </row>
    <row r="3597" spans="9:12" x14ac:dyDescent="0.45">
      <c r="I3597" t="s">
        <v>209</v>
      </c>
      <c r="J3597" t="s">
        <v>401</v>
      </c>
      <c r="K3597">
        <v>0</v>
      </c>
      <c r="L3597" t="s">
        <v>159</v>
      </c>
    </row>
    <row r="3598" spans="9:12" x14ac:dyDescent="0.45">
      <c r="I3598" t="s">
        <v>209</v>
      </c>
      <c r="J3598" t="s">
        <v>402</v>
      </c>
      <c r="K3598">
        <v>0</v>
      </c>
      <c r="L3598" t="s">
        <v>159</v>
      </c>
    </row>
    <row r="3599" spans="9:12" x14ac:dyDescent="0.45">
      <c r="I3599" t="s">
        <v>209</v>
      </c>
      <c r="J3599" t="s">
        <v>403</v>
      </c>
      <c r="K3599">
        <v>0</v>
      </c>
      <c r="L3599" t="s">
        <v>159</v>
      </c>
    </row>
    <row r="3600" spans="9:12" x14ac:dyDescent="0.45">
      <c r="I3600" t="s">
        <v>209</v>
      </c>
      <c r="J3600" t="s">
        <v>404</v>
      </c>
      <c r="K3600">
        <v>1.8815263011670512E-4</v>
      </c>
      <c r="L3600" t="s">
        <v>159</v>
      </c>
    </row>
    <row r="3601" spans="9:12" x14ac:dyDescent="0.45">
      <c r="I3601" t="s">
        <v>209</v>
      </c>
      <c r="J3601" t="s">
        <v>405</v>
      </c>
      <c r="K3601">
        <v>2.7926434684257879E-4</v>
      </c>
      <c r="L3601" t="s">
        <v>159</v>
      </c>
    </row>
    <row r="3602" spans="9:12" x14ac:dyDescent="0.45">
      <c r="I3602" t="s">
        <v>209</v>
      </c>
      <c r="J3602" t="s">
        <v>406</v>
      </c>
      <c r="K3602">
        <v>3.0753323236410547E-4</v>
      </c>
      <c r="L3602" t="s">
        <v>159</v>
      </c>
    </row>
    <row r="3603" spans="9:12" x14ac:dyDescent="0.45">
      <c r="I3603" t="s">
        <v>209</v>
      </c>
      <c r="J3603" t="s">
        <v>407</v>
      </c>
      <c r="K3603">
        <v>3.1332624919755875E-4</v>
      </c>
      <c r="L3603" t="s">
        <v>159</v>
      </c>
    </row>
    <row r="3604" spans="9:12" x14ac:dyDescent="0.45">
      <c r="I3604" t="s">
        <v>209</v>
      </c>
      <c r="J3604" t="s">
        <v>408</v>
      </c>
      <c r="K3604">
        <v>3.2230573032708852E-4</v>
      </c>
      <c r="L3604" t="s">
        <v>159</v>
      </c>
    </row>
    <row r="3605" spans="9:12" x14ac:dyDescent="0.45">
      <c r="I3605" t="s">
        <v>209</v>
      </c>
      <c r="J3605" t="s">
        <v>409</v>
      </c>
      <c r="K3605">
        <v>3.4146759614190502E-4</v>
      </c>
      <c r="L3605" t="s">
        <v>159</v>
      </c>
    </row>
    <row r="3606" spans="9:12" x14ac:dyDescent="0.45">
      <c r="I3606" t="s">
        <v>209</v>
      </c>
      <c r="J3606" t="s">
        <v>410</v>
      </c>
      <c r="K3606">
        <v>3.4089116588361756E-4</v>
      </c>
      <c r="L3606" t="s">
        <v>159</v>
      </c>
    </row>
    <row r="3607" spans="9:12" x14ac:dyDescent="0.45">
      <c r="I3607" t="s">
        <v>209</v>
      </c>
      <c r="J3607" t="s">
        <v>411</v>
      </c>
      <c r="K3607">
        <v>3.1651221151855405E-4</v>
      </c>
      <c r="L3607" t="s">
        <v>159</v>
      </c>
    </row>
    <row r="3608" spans="9:12" x14ac:dyDescent="0.45">
      <c r="I3608" t="s">
        <v>209</v>
      </c>
      <c r="J3608" t="s">
        <v>412</v>
      </c>
      <c r="K3608">
        <v>3.0044354262615154E-4</v>
      </c>
      <c r="L3608" t="s">
        <v>159</v>
      </c>
    </row>
    <row r="3609" spans="9:12" x14ac:dyDescent="0.45">
      <c r="I3609" t="s">
        <v>209</v>
      </c>
      <c r="J3609" t="s">
        <v>413</v>
      </c>
      <c r="K3609">
        <v>2.9066918342323479E-4</v>
      </c>
      <c r="L3609" t="s">
        <v>159</v>
      </c>
    </row>
    <row r="3610" spans="9:12" x14ac:dyDescent="0.45">
      <c r="I3610" t="s">
        <v>209</v>
      </c>
      <c r="J3610" t="s">
        <v>414</v>
      </c>
      <c r="K3610">
        <v>2.7026035786336262E-4</v>
      </c>
      <c r="L3610" t="s">
        <v>159</v>
      </c>
    </row>
    <row r="3611" spans="9:12" x14ac:dyDescent="0.45">
      <c r="I3611" t="s">
        <v>209</v>
      </c>
      <c r="J3611" t="s">
        <v>415</v>
      </c>
      <c r="K3611">
        <v>1.8364934995815163E-4</v>
      </c>
      <c r="L3611" t="s">
        <v>159</v>
      </c>
    </row>
    <row r="3612" spans="9:12" x14ac:dyDescent="0.45">
      <c r="I3612" t="s">
        <v>209</v>
      </c>
      <c r="J3612" t="s">
        <v>416</v>
      </c>
      <c r="K3612">
        <v>0</v>
      </c>
      <c r="L3612" t="s">
        <v>159</v>
      </c>
    </row>
    <row r="3613" spans="9:12" x14ac:dyDescent="0.45">
      <c r="I3613" t="s">
        <v>209</v>
      </c>
      <c r="J3613" t="s">
        <v>417</v>
      </c>
      <c r="K3613">
        <v>0</v>
      </c>
      <c r="L3613" t="s">
        <v>159</v>
      </c>
    </row>
    <row r="3614" spans="9:12" x14ac:dyDescent="0.45">
      <c r="I3614" t="s">
        <v>209</v>
      </c>
      <c r="J3614" t="s">
        <v>418</v>
      </c>
      <c r="K3614">
        <v>0</v>
      </c>
      <c r="L3614" t="s">
        <v>159</v>
      </c>
    </row>
    <row r="3615" spans="9:12" x14ac:dyDescent="0.45">
      <c r="I3615" t="s">
        <v>209</v>
      </c>
      <c r="J3615" t="s">
        <v>419</v>
      </c>
      <c r="K3615">
        <v>0</v>
      </c>
      <c r="L3615" t="s">
        <v>159</v>
      </c>
    </row>
    <row r="3616" spans="9:12" x14ac:dyDescent="0.45">
      <c r="I3616" t="s">
        <v>209</v>
      </c>
      <c r="J3616" t="s">
        <v>420</v>
      </c>
      <c r="K3616">
        <v>0</v>
      </c>
      <c r="L3616" t="s">
        <v>159</v>
      </c>
    </row>
    <row r="3617" spans="9:12" x14ac:dyDescent="0.45">
      <c r="I3617" t="s">
        <v>209</v>
      </c>
      <c r="J3617" t="s">
        <v>313</v>
      </c>
      <c r="K3617">
        <v>1.8123409362595174E-3</v>
      </c>
      <c r="L3617" t="s">
        <v>159</v>
      </c>
    </row>
    <row r="3618" spans="9:12" x14ac:dyDescent="0.45">
      <c r="I3618" t="s">
        <v>209</v>
      </c>
      <c r="J3618" t="s">
        <v>314</v>
      </c>
      <c r="K3618">
        <v>3.6501484131306206E-3</v>
      </c>
      <c r="L3618" t="s">
        <v>159</v>
      </c>
    </row>
    <row r="3619" spans="9:12" x14ac:dyDescent="0.45">
      <c r="I3619" t="s">
        <v>209</v>
      </c>
      <c r="J3619" t="s">
        <v>315</v>
      </c>
      <c r="K3619">
        <v>7.2551401948808658E-2</v>
      </c>
      <c r="L3619" t="s">
        <v>159</v>
      </c>
    </row>
    <row r="3620" spans="9:12" x14ac:dyDescent="0.45">
      <c r="I3620" t="s">
        <v>209</v>
      </c>
      <c r="J3620" t="s">
        <v>316</v>
      </c>
      <c r="K3620">
        <v>6.2214068747342569E-3</v>
      </c>
      <c r="L3620" t="s">
        <v>159</v>
      </c>
    </row>
    <row r="3621" spans="9:12" x14ac:dyDescent="0.45">
      <c r="I3621" t="s">
        <v>209</v>
      </c>
      <c r="J3621" t="s">
        <v>317</v>
      </c>
      <c r="K3621">
        <v>4.490257942920046E-3</v>
      </c>
      <c r="L3621" t="s">
        <v>159</v>
      </c>
    </row>
    <row r="3622" spans="9:12" x14ac:dyDescent="0.45">
      <c r="I3622" t="s">
        <v>209</v>
      </c>
      <c r="J3622" t="s">
        <v>318</v>
      </c>
      <c r="K3622">
        <v>2.5400200554622312E-3</v>
      </c>
      <c r="L3622" t="s">
        <v>159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14749-2CA2-4091-8130-733B6FBDBCC2}">
  <dimension ref="A9:AN5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103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272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278</v>
      </c>
      <c r="AK10" t="s">
        <v>47</v>
      </c>
      <c r="AL10" t="s">
        <v>115</v>
      </c>
      <c r="AM10" t="s">
        <v>279</v>
      </c>
      <c r="AN10" t="s">
        <v>280</v>
      </c>
    </row>
    <row r="11" spans="1:40" x14ac:dyDescent="0.45">
      <c r="A11" t="str">
        <f>IFERROR(IF(Veda!D5=A10,"ok","x"),"")</f>
        <v>ok</v>
      </c>
      <c r="C11" t="s">
        <v>423</v>
      </c>
      <c r="D11" t="s">
        <v>149</v>
      </c>
      <c r="E11" t="s">
        <v>424</v>
      </c>
      <c r="F11" t="s">
        <v>423</v>
      </c>
      <c r="G11" t="s">
        <v>149</v>
      </c>
      <c r="I11" t="s">
        <v>157</v>
      </c>
      <c r="J11" t="s">
        <v>425</v>
      </c>
      <c r="K11">
        <v>1.0000000000000018</v>
      </c>
      <c r="L11" t="s">
        <v>159</v>
      </c>
      <c r="N11" t="s">
        <v>210</v>
      </c>
      <c r="O11" t="s">
        <v>425</v>
      </c>
      <c r="P11">
        <v>1.0000000000000004</v>
      </c>
      <c r="Q11" t="s">
        <v>159</v>
      </c>
      <c r="S11" t="s">
        <v>252</v>
      </c>
      <c r="T11" t="s">
        <v>425</v>
      </c>
      <c r="U11">
        <v>0.99999999999999833</v>
      </c>
      <c r="V11" t="s">
        <v>159</v>
      </c>
      <c r="X11">
        <v>1</v>
      </c>
      <c r="Y11">
        <v>1.0000000000000002</v>
      </c>
      <c r="Z11" t="s">
        <v>425</v>
      </c>
      <c r="AA11" t="s">
        <v>25</v>
      </c>
      <c r="AC11" t="s">
        <v>22</v>
      </c>
      <c r="AD11" t="s">
        <v>425</v>
      </c>
      <c r="AE11">
        <v>1</v>
      </c>
      <c r="AG11" t="s">
        <v>96</v>
      </c>
      <c r="AH11" t="s">
        <v>425</v>
      </c>
      <c r="AI11">
        <v>0.30323107909744218</v>
      </c>
      <c r="AK11">
        <v>2020</v>
      </c>
      <c r="AL11" t="s">
        <v>423</v>
      </c>
      <c r="AM11">
        <v>0.11397265823480134</v>
      </c>
      <c r="AN11" t="s">
        <v>281</v>
      </c>
    </row>
    <row r="12" spans="1:40" x14ac:dyDescent="0.45">
      <c r="I12" t="s">
        <v>168</v>
      </c>
      <c r="J12" t="s">
        <v>425</v>
      </c>
      <c r="K12">
        <v>0.99999999999999833</v>
      </c>
      <c r="L12" t="s">
        <v>159</v>
      </c>
      <c r="N12" t="s">
        <v>211</v>
      </c>
      <c r="O12" t="s">
        <v>425</v>
      </c>
      <c r="P12">
        <v>0.99999999999999745</v>
      </c>
      <c r="Q12" t="s">
        <v>159</v>
      </c>
      <c r="S12" t="s">
        <v>253</v>
      </c>
      <c r="T12" t="s">
        <v>425</v>
      </c>
      <c r="U12">
        <v>0.99999999999999867</v>
      </c>
      <c r="V12" t="s">
        <v>159</v>
      </c>
      <c r="AC12" t="s">
        <v>19</v>
      </c>
      <c r="AD12" t="s">
        <v>425</v>
      </c>
      <c r="AE12">
        <v>1</v>
      </c>
      <c r="AK12">
        <v>2021</v>
      </c>
      <c r="AL12" t="s">
        <v>423</v>
      </c>
      <c r="AM12">
        <v>0.24308755760368658</v>
      </c>
      <c r="AN12" t="s">
        <v>281</v>
      </c>
    </row>
    <row r="13" spans="1:40" x14ac:dyDescent="0.45">
      <c r="I13" t="s">
        <v>169</v>
      </c>
      <c r="J13" t="s">
        <v>425</v>
      </c>
      <c r="K13">
        <v>0.99999999999999789</v>
      </c>
      <c r="L13" t="s">
        <v>159</v>
      </c>
      <c r="N13" t="s">
        <v>212</v>
      </c>
      <c r="O13" t="s">
        <v>425</v>
      </c>
      <c r="P13">
        <v>0.99999999999999867</v>
      </c>
      <c r="Q13" t="s">
        <v>159</v>
      </c>
      <c r="S13" t="s">
        <v>254</v>
      </c>
      <c r="T13" t="s">
        <v>425</v>
      </c>
      <c r="U13">
        <v>0.99999999999999989</v>
      </c>
      <c r="V13" t="s">
        <v>159</v>
      </c>
      <c r="AK13">
        <v>2022</v>
      </c>
      <c r="AL13" t="s">
        <v>423</v>
      </c>
      <c r="AM13">
        <v>0.47792214257268012</v>
      </c>
      <c r="AN13" t="s">
        <v>281</v>
      </c>
    </row>
    <row r="14" spans="1:40" x14ac:dyDescent="0.45">
      <c r="I14" t="s">
        <v>170</v>
      </c>
      <c r="J14" t="s">
        <v>425</v>
      </c>
      <c r="K14">
        <v>1.0000000000000007</v>
      </c>
      <c r="L14" t="s">
        <v>159</v>
      </c>
      <c r="N14" t="s">
        <v>213</v>
      </c>
      <c r="O14" t="s">
        <v>425</v>
      </c>
      <c r="P14">
        <v>1.0000000000000007</v>
      </c>
      <c r="Q14" t="s">
        <v>159</v>
      </c>
      <c r="S14" t="s">
        <v>255</v>
      </c>
      <c r="T14" t="s">
        <v>425</v>
      </c>
      <c r="U14">
        <v>0.999999999999996</v>
      </c>
      <c r="V14" t="s">
        <v>159</v>
      </c>
      <c r="AK14">
        <v>2025</v>
      </c>
      <c r="AL14" t="s">
        <v>423</v>
      </c>
      <c r="AM14">
        <v>0.23350833333333332</v>
      </c>
      <c r="AN14" t="s">
        <v>281</v>
      </c>
    </row>
    <row r="15" spans="1:40" x14ac:dyDescent="0.45">
      <c r="I15" t="s">
        <v>171</v>
      </c>
      <c r="J15" t="s">
        <v>425</v>
      </c>
      <c r="K15">
        <v>1.0000000000000022</v>
      </c>
      <c r="L15" t="s">
        <v>159</v>
      </c>
      <c r="N15" t="s">
        <v>214</v>
      </c>
      <c r="O15" t="s">
        <v>425</v>
      </c>
      <c r="P15">
        <v>0.99999999999999412</v>
      </c>
      <c r="Q15" t="s">
        <v>159</v>
      </c>
      <c r="S15" t="s">
        <v>256</v>
      </c>
      <c r="T15" t="s">
        <v>425</v>
      </c>
      <c r="U15">
        <v>0.999999999999999</v>
      </c>
      <c r="V15" t="s">
        <v>159</v>
      </c>
      <c r="AK15">
        <v>2026</v>
      </c>
      <c r="AL15" t="s">
        <v>423</v>
      </c>
      <c r="AM15">
        <v>0.22680833333333336</v>
      </c>
      <c r="AN15" t="s">
        <v>281</v>
      </c>
    </row>
    <row r="16" spans="1:40" x14ac:dyDescent="0.45">
      <c r="I16" t="s">
        <v>172</v>
      </c>
      <c r="J16" t="s">
        <v>425</v>
      </c>
      <c r="K16">
        <v>1.0000000000000007</v>
      </c>
      <c r="L16" t="s">
        <v>159</v>
      </c>
      <c r="N16" t="s">
        <v>215</v>
      </c>
      <c r="O16" t="s">
        <v>425</v>
      </c>
      <c r="P16">
        <v>0.99999999999999922</v>
      </c>
      <c r="Q16" t="s">
        <v>159</v>
      </c>
      <c r="S16" t="s">
        <v>257</v>
      </c>
      <c r="T16" t="s">
        <v>425</v>
      </c>
      <c r="U16">
        <v>0.99999999999999911</v>
      </c>
      <c r="V16" t="s">
        <v>159</v>
      </c>
      <c r="AK16">
        <v>2027</v>
      </c>
      <c r="AL16" t="s">
        <v>423</v>
      </c>
      <c r="AM16">
        <v>0.23114999999999999</v>
      </c>
      <c r="AN16" t="s">
        <v>281</v>
      </c>
    </row>
    <row r="17" spans="9:40" x14ac:dyDescent="0.45">
      <c r="I17" t="s">
        <v>173</v>
      </c>
      <c r="J17" t="s">
        <v>425</v>
      </c>
      <c r="K17">
        <v>1.0000000000000031</v>
      </c>
      <c r="L17" t="s">
        <v>159</v>
      </c>
      <c r="N17" t="s">
        <v>216</v>
      </c>
      <c r="O17" t="s">
        <v>425</v>
      </c>
      <c r="P17">
        <v>1.0000000000000033</v>
      </c>
      <c r="Q17" t="s">
        <v>159</v>
      </c>
      <c r="S17" t="s">
        <v>258</v>
      </c>
      <c r="T17" t="s">
        <v>425</v>
      </c>
      <c r="U17">
        <v>0.99999999999999989</v>
      </c>
      <c r="V17" t="s">
        <v>159</v>
      </c>
      <c r="AK17">
        <v>2028</v>
      </c>
      <c r="AL17" t="s">
        <v>423</v>
      </c>
      <c r="AM17">
        <v>0.19825000000000001</v>
      </c>
      <c r="AN17" t="s">
        <v>281</v>
      </c>
    </row>
    <row r="18" spans="9:40" x14ac:dyDescent="0.45">
      <c r="I18" t="s">
        <v>174</v>
      </c>
      <c r="J18" t="s">
        <v>425</v>
      </c>
      <c r="K18">
        <v>0.99999999999999722</v>
      </c>
      <c r="L18" t="s">
        <v>159</v>
      </c>
      <c r="N18" t="s">
        <v>217</v>
      </c>
      <c r="O18" t="s">
        <v>425</v>
      </c>
      <c r="P18">
        <v>0.999999999999999</v>
      </c>
      <c r="Q18" t="s">
        <v>159</v>
      </c>
      <c r="S18" t="s">
        <v>259</v>
      </c>
      <c r="T18" t="s">
        <v>425</v>
      </c>
      <c r="U18">
        <v>1.000000000000002</v>
      </c>
      <c r="V18" t="s">
        <v>159</v>
      </c>
      <c r="AK18">
        <v>2029</v>
      </c>
      <c r="AL18" t="s">
        <v>423</v>
      </c>
      <c r="AM18">
        <v>0.27240833333333336</v>
      </c>
      <c r="AN18" t="s">
        <v>281</v>
      </c>
    </row>
    <row r="19" spans="9:40" x14ac:dyDescent="0.45">
      <c r="I19" t="s">
        <v>175</v>
      </c>
      <c r="J19" t="s">
        <v>425</v>
      </c>
      <c r="K19">
        <v>1</v>
      </c>
      <c r="L19" t="s">
        <v>159</v>
      </c>
      <c r="N19" t="s">
        <v>218</v>
      </c>
      <c r="O19" t="s">
        <v>425</v>
      </c>
      <c r="P19">
        <v>0.99999999999999878</v>
      </c>
      <c r="Q19" t="s">
        <v>159</v>
      </c>
      <c r="S19" t="s">
        <v>260</v>
      </c>
      <c r="T19" t="s">
        <v>425</v>
      </c>
      <c r="U19">
        <v>0.99999999999999944</v>
      </c>
      <c r="V19" t="s">
        <v>159</v>
      </c>
      <c r="AK19">
        <v>2030</v>
      </c>
      <c r="AL19" t="s">
        <v>423</v>
      </c>
      <c r="AM19">
        <v>0.20199166666666665</v>
      </c>
      <c r="AN19" t="s">
        <v>281</v>
      </c>
    </row>
    <row r="20" spans="9:40" x14ac:dyDescent="0.45">
      <c r="I20" t="s">
        <v>176</v>
      </c>
      <c r="J20" t="s">
        <v>425</v>
      </c>
      <c r="K20">
        <v>1.0000000000000013</v>
      </c>
      <c r="L20" t="s">
        <v>159</v>
      </c>
      <c r="N20" t="s">
        <v>219</v>
      </c>
      <c r="O20" t="s">
        <v>425</v>
      </c>
      <c r="P20">
        <v>1.0000000000000011</v>
      </c>
      <c r="Q20" t="s">
        <v>159</v>
      </c>
      <c r="S20" t="s">
        <v>261</v>
      </c>
      <c r="T20" t="s">
        <v>425</v>
      </c>
      <c r="U20">
        <v>0.99999999999999734</v>
      </c>
      <c r="V20" t="s">
        <v>159</v>
      </c>
      <c r="AK20">
        <v>2031</v>
      </c>
      <c r="AL20" t="s">
        <v>423</v>
      </c>
      <c r="AM20">
        <v>0.20382500000000001</v>
      </c>
      <c r="AN20" t="s">
        <v>281</v>
      </c>
    </row>
    <row r="21" spans="9:40" x14ac:dyDescent="0.45">
      <c r="I21" t="s">
        <v>177</v>
      </c>
      <c r="J21" t="s">
        <v>425</v>
      </c>
      <c r="K21">
        <v>1.0000000000000018</v>
      </c>
      <c r="L21" t="s">
        <v>159</v>
      </c>
      <c r="N21" t="s">
        <v>220</v>
      </c>
      <c r="O21" t="s">
        <v>425</v>
      </c>
      <c r="P21">
        <v>1</v>
      </c>
      <c r="Q21" t="s">
        <v>159</v>
      </c>
      <c r="S21" t="s">
        <v>262</v>
      </c>
      <c r="T21" t="s">
        <v>425</v>
      </c>
      <c r="U21">
        <v>1.0000000000000036</v>
      </c>
      <c r="V21" t="s">
        <v>159</v>
      </c>
      <c r="AK21">
        <v>2032</v>
      </c>
      <c r="AL21" t="s">
        <v>423</v>
      </c>
      <c r="AM21">
        <v>0.20173333333333332</v>
      </c>
      <c r="AN21" t="s">
        <v>281</v>
      </c>
    </row>
    <row r="22" spans="9:40" x14ac:dyDescent="0.45">
      <c r="I22" t="s">
        <v>178</v>
      </c>
      <c r="J22" t="s">
        <v>425</v>
      </c>
      <c r="K22">
        <v>1.0000000000000038</v>
      </c>
      <c r="L22" t="s">
        <v>159</v>
      </c>
      <c r="N22" t="s">
        <v>221</v>
      </c>
      <c r="O22" t="s">
        <v>425</v>
      </c>
      <c r="P22">
        <v>1.0000000000000011</v>
      </c>
      <c r="Q22" t="s">
        <v>159</v>
      </c>
      <c r="S22" t="s">
        <v>263</v>
      </c>
      <c r="T22" t="s">
        <v>425</v>
      </c>
      <c r="U22">
        <v>0.99999999999999667</v>
      </c>
      <c r="V22" t="s">
        <v>159</v>
      </c>
      <c r="AK22">
        <v>2033</v>
      </c>
      <c r="AL22" t="s">
        <v>423</v>
      </c>
      <c r="AM22">
        <v>0.20395833333333335</v>
      </c>
      <c r="AN22" t="s">
        <v>281</v>
      </c>
    </row>
    <row r="23" spans="9:40" x14ac:dyDescent="0.45">
      <c r="I23" t="s">
        <v>179</v>
      </c>
      <c r="J23" t="s">
        <v>425</v>
      </c>
      <c r="K23">
        <v>0.99999999999999578</v>
      </c>
      <c r="L23" t="s">
        <v>159</v>
      </c>
      <c r="N23" t="s">
        <v>222</v>
      </c>
      <c r="O23" t="s">
        <v>425</v>
      </c>
      <c r="P23">
        <v>1.000000000000002</v>
      </c>
      <c r="Q23" t="s">
        <v>159</v>
      </c>
      <c r="S23" t="s">
        <v>264</v>
      </c>
      <c r="T23" t="s">
        <v>425</v>
      </c>
      <c r="U23">
        <v>0.99999999999999878</v>
      </c>
      <c r="V23" t="s">
        <v>159</v>
      </c>
      <c r="AK23">
        <v>2034</v>
      </c>
      <c r="AL23" t="s">
        <v>423</v>
      </c>
      <c r="AM23">
        <v>0.20148333333333335</v>
      </c>
      <c r="AN23" t="s">
        <v>281</v>
      </c>
    </row>
    <row r="24" spans="9:40" x14ac:dyDescent="0.45">
      <c r="I24" t="s">
        <v>180</v>
      </c>
      <c r="J24" t="s">
        <v>425</v>
      </c>
      <c r="K24">
        <v>0.99999999999999589</v>
      </c>
      <c r="L24" t="s">
        <v>159</v>
      </c>
      <c r="N24" t="s">
        <v>223</v>
      </c>
      <c r="O24" t="s">
        <v>425</v>
      </c>
      <c r="P24">
        <v>1.0000000000000013</v>
      </c>
      <c r="Q24" t="s">
        <v>159</v>
      </c>
      <c r="S24" t="s">
        <v>265</v>
      </c>
      <c r="T24" t="s">
        <v>425</v>
      </c>
      <c r="U24">
        <v>0.999999999999997</v>
      </c>
      <c r="V24" t="s">
        <v>159</v>
      </c>
      <c r="AK24">
        <v>2035</v>
      </c>
      <c r="AL24" t="s">
        <v>423</v>
      </c>
      <c r="AM24">
        <v>0.23829166666666668</v>
      </c>
      <c r="AN24" t="s">
        <v>281</v>
      </c>
    </row>
    <row r="25" spans="9:40" x14ac:dyDescent="0.45">
      <c r="I25" t="s">
        <v>181</v>
      </c>
      <c r="J25" t="s">
        <v>425</v>
      </c>
      <c r="K25">
        <v>1.0000000000000009</v>
      </c>
      <c r="L25" t="s">
        <v>159</v>
      </c>
      <c r="N25" t="s">
        <v>224</v>
      </c>
      <c r="O25" t="s">
        <v>425</v>
      </c>
      <c r="P25">
        <v>1.000000000000002</v>
      </c>
      <c r="Q25" t="s">
        <v>159</v>
      </c>
      <c r="S25" t="s">
        <v>266</v>
      </c>
      <c r="T25" t="s">
        <v>425</v>
      </c>
      <c r="U25">
        <v>0.99999999999999756</v>
      </c>
      <c r="V25" t="s">
        <v>159</v>
      </c>
      <c r="AK25">
        <v>2036</v>
      </c>
      <c r="AL25" t="s">
        <v>423</v>
      </c>
      <c r="AM25">
        <v>0.23233333333333336</v>
      </c>
      <c r="AN25" t="s">
        <v>281</v>
      </c>
    </row>
    <row r="26" spans="9:40" x14ac:dyDescent="0.45">
      <c r="I26" t="s">
        <v>182</v>
      </c>
      <c r="J26" t="s">
        <v>425</v>
      </c>
      <c r="K26">
        <v>0.99999999999999689</v>
      </c>
      <c r="L26" t="s">
        <v>159</v>
      </c>
      <c r="N26" t="s">
        <v>225</v>
      </c>
      <c r="O26" t="s">
        <v>425</v>
      </c>
      <c r="P26">
        <v>1.0000000000000007</v>
      </c>
      <c r="Q26" t="s">
        <v>159</v>
      </c>
      <c r="S26" t="s">
        <v>267</v>
      </c>
      <c r="T26" t="s">
        <v>425</v>
      </c>
      <c r="U26">
        <v>0.99999999999999711</v>
      </c>
      <c r="V26" t="s">
        <v>159</v>
      </c>
      <c r="AK26">
        <v>2037</v>
      </c>
      <c r="AL26" t="s">
        <v>423</v>
      </c>
      <c r="AM26">
        <v>0.23968333333333336</v>
      </c>
      <c r="AN26" t="s">
        <v>281</v>
      </c>
    </row>
    <row r="27" spans="9:40" x14ac:dyDescent="0.45">
      <c r="I27" t="s">
        <v>183</v>
      </c>
      <c r="J27" t="s">
        <v>425</v>
      </c>
      <c r="K27">
        <v>0.99999999999999578</v>
      </c>
      <c r="L27" t="s">
        <v>159</v>
      </c>
      <c r="N27" t="s">
        <v>226</v>
      </c>
      <c r="O27" t="s">
        <v>425</v>
      </c>
      <c r="P27">
        <v>0.99999999999999911</v>
      </c>
      <c r="Q27" t="s">
        <v>159</v>
      </c>
      <c r="S27" t="s">
        <v>268</v>
      </c>
      <c r="T27" t="s">
        <v>425</v>
      </c>
      <c r="U27">
        <v>0.99999999999999722</v>
      </c>
      <c r="V27" t="s">
        <v>159</v>
      </c>
      <c r="AK27">
        <v>2038</v>
      </c>
      <c r="AL27" t="s">
        <v>423</v>
      </c>
      <c r="AM27">
        <v>0.22250833333333334</v>
      </c>
      <c r="AN27" t="s">
        <v>281</v>
      </c>
    </row>
    <row r="28" spans="9:40" x14ac:dyDescent="0.45">
      <c r="I28" t="s">
        <v>184</v>
      </c>
      <c r="J28" t="s">
        <v>425</v>
      </c>
      <c r="K28">
        <v>0.99999999999999867</v>
      </c>
      <c r="L28" t="s">
        <v>159</v>
      </c>
      <c r="N28" t="s">
        <v>227</v>
      </c>
      <c r="O28" t="s">
        <v>425</v>
      </c>
      <c r="P28">
        <v>1.0000000000000013</v>
      </c>
      <c r="Q28" t="s">
        <v>159</v>
      </c>
      <c r="S28" t="s">
        <v>269</v>
      </c>
      <c r="T28" t="s">
        <v>425</v>
      </c>
      <c r="U28">
        <v>1.0000000000000016</v>
      </c>
      <c r="V28" t="s">
        <v>159</v>
      </c>
      <c r="AK28">
        <v>2039</v>
      </c>
      <c r="AL28" t="s">
        <v>423</v>
      </c>
      <c r="AM28">
        <v>0.230325</v>
      </c>
      <c r="AN28" t="s">
        <v>281</v>
      </c>
    </row>
    <row r="29" spans="9:40" x14ac:dyDescent="0.45">
      <c r="I29" t="s">
        <v>185</v>
      </c>
      <c r="J29" t="s">
        <v>425</v>
      </c>
      <c r="K29">
        <v>1.0000000000000013</v>
      </c>
      <c r="L29" t="s">
        <v>159</v>
      </c>
      <c r="N29" t="s">
        <v>228</v>
      </c>
      <c r="O29" t="s">
        <v>425</v>
      </c>
      <c r="P29">
        <v>1.000000000000004</v>
      </c>
      <c r="Q29" t="s">
        <v>159</v>
      </c>
      <c r="S29" t="s">
        <v>270</v>
      </c>
      <c r="T29" t="s">
        <v>425</v>
      </c>
      <c r="U29">
        <v>0.99999999999999933</v>
      </c>
      <c r="V29" t="s">
        <v>159</v>
      </c>
      <c r="AK29">
        <v>2040</v>
      </c>
      <c r="AL29" t="s">
        <v>423</v>
      </c>
      <c r="AM29">
        <v>0.23488333333333333</v>
      </c>
      <c r="AN29" t="s">
        <v>281</v>
      </c>
    </row>
    <row r="30" spans="9:40" x14ac:dyDescent="0.45">
      <c r="I30" t="s">
        <v>186</v>
      </c>
      <c r="J30" t="s">
        <v>425</v>
      </c>
      <c r="K30">
        <v>1.0000000000000013</v>
      </c>
      <c r="L30" t="s">
        <v>159</v>
      </c>
      <c r="N30" t="s">
        <v>229</v>
      </c>
      <c r="O30" t="s">
        <v>425</v>
      </c>
      <c r="P30">
        <v>1.0000000000000036</v>
      </c>
      <c r="Q30" t="s">
        <v>159</v>
      </c>
      <c r="S30" t="s">
        <v>271</v>
      </c>
      <c r="T30" t="s">
        <v>425</v>
      </c>
      <c r="U30">
        <v>1.0000000000000024</v>
      </c>
      <c r="V30" t="s">
        <v>159</v>
      </c>
      <c r="AK30">
        <v>2041</v>
      </c>
      <c r="AL30" t="s">
        <v>423</v>
      </c>
      <c r="AM30">
        <v>0.23152499999999998</v>
      </c>
      <c r="AN30" t="s">
        <v>281</v>
      </c>
    </row>
    <row r="31" spans="9:40" x14ac:dyDescent="0.45">
      <c r="I31" t="s">
        <v>187</v>
      </c>
      <c r="J31" t="s">
        <v>425</v>
      </c>
      <c r="K31">
        <v>1.0000000000000004</v>
      </c>
      <c r="L31" t="s">
        <v>159</v>
      </c>
      <c r="N31" t="s">
        <v>230</v>
      </c>
      <c r="O31" t="s">
        <v>425</v>
      </c>
      <c r="P31">
        <v>0.99999999999999756</v>
      </c>
      <c r="Q31" t="s">
        <v>159</v>
      </c>
      <c r="AK31">
        <v>2042</v>
      </c>
      <c r="AL31" t="s">
        <v>423</v>
      </c>
      <c r="AM31">
        <v>0.227075</v>
      </c>
      <c r="AN31" t="s">
        <v>281</v>
      </c>
    </row>
    <row r="32" spans="9:40" x14ac:dyDescent="0.45">
      <c r="I32" t="s">
        <v>188</v>
      </c>
      <c r="J32" t="s">
        <v>425</v>
      </c>
      <c r="K32">
        <v>0.99999999999999434</v>
      </c>
      <c r="L32" t="s">
        <v>159</v>
      </c>
      <c r="N32" t="s">
        <v>231</v>
      </c>
      <c r="O32" t="s">
        <v>425</v>
      </c>
      <c r="P32">
        <v>0.99999999999999978</v>
      </c>
      <c r="Q32" t="s">
        <v>159</v>
      </c>
      <c r="AK32">
        <v>2043</v>
      </c>
      <c r="AL32" t="s">
        <v>423</v>
      </c>
      <c r="AM32">
        <v>0.22925000000000004</v>
      </c>
      <c r="AN32" t="s">
        <v>281</v>
      </c>
    </row>
    <row r="33" spans="9:40" x14ac:dyDescent="0.45">
      <c r="I33" t="s">
        <v>189</v>
      </c>
      <c r="J33" t="s">
        <v>425</v>
      </c>
      <c r="K33">
        <v>1.0000000000000024</v>
      </c>
      <c r="L33" t="s">
        <v>159</v>
      </c>
      <c r="N33" t="s">
        <v>232</v>
      </c>
      <c r="O33" t="s">
        <v>425</v>
      </c>
      <c r="P33">
        <v>1.0000000000000027</v>
      </c>
      <c r="Q33" t="s">
        <v>159</v>
      </c>
      <c r="AK33">
        <v>2044</v>
      </c>
      <c r="AL33" t="s">
        <v>423</v>
      </c>
      <c r="AM33">
        <v>0.22678333333333334</v>
      </c>
      <c r="AN33" t="s">
        <v>281</v>
      </c>
    </row>
    <row r="34" spans="9:40" x14ac:dyDescent="0.45">
      <c r="I34" t="s">
        <v>190</v>
      </c>
      <c r="J34" t="s">
        <v>425</v>
      </c>
      <c r="K34">
        <v>1.0000000000000024</v>
      </c>
      <c r="L34" t="s">
        <v>159</v>
      </c>
      <c r="N34" t="s">
        <v>233</v>
      </c>
      <c r="O34" t="s">
        <v>425</v>
      </c>
      <c r="P34">
        <v>1.0000000000000029</v>
      </c>
      <c r="Q34" t="s">
        <v>159</v>
      </c>
      <c r="AK34">
        <v>2045</v>
      </c>
      <c r="AL34" t="s">
        <v>423</v>
      </c>
      <c r="AM34">
        <v>0.2300416666666667</v>
      </c>
      <c r="AN34" t="s">
        <v>281</v>
      </c>
    </row>
    <row r="35" spans="9:40" x14ac:dyDescent="0.45">
      <c r="I35" t="s">
        <v>191</v>
      </c>
      <c r="J35" t="s">
        <v>425</v>
      </c>
      <c r="K35">
        <v>1.0000000000000002</v>
      </c>
      <c r="L35" t="s">
        <v>159</v>
      </c>
      <c r="N35" t="s">
        <v>234</v>
      </c>
      <c r="O35" t="s">
        <v>425</v>
      </c>
      <c r="P35">
        <v>0.99999999999999978</v>
      </c>
      <c r="Q35" t="s">
        <v>159</v>
      </c>
      <c r="AK35">
        <v>2046</v>
      </c>
      <c r="AL35" t="s">
        <v>423</v>
      </c>
      <c r="AM35">
        <v>0.23524166666666665</v>
      </c>
      <c r="AN35" t="s">
        <v>281</v>
      </c>
    </row>
    <row r="36" spans="9:40" x14ac:dyDescent="0.45">
      <c r="I36" t="s">
        <v>192</v>
      </c>
      <c r="J36" t="s">
        <v>425</v>
      </c>
      <c r="K36">
        <v>1.0000000000000027</v>
      </c>
      <c r="L36" t="s">
        <v>159</v>
      </c>
      <c r="N36" t="s">
        <v>235</v>
      </c>
      <c r="O36" t="s">
        <v>425</v>
      </c>
      <c r="P36">
        <v>1</v>
      </c>
      <c r="Q36" t="s">
        <v>159</v>
      </c>
      <c r="AK36">
        <v>2047</v>
      </c>
      <c r="AL36" t="s">
        <v>423</v>
      </c>
      <c r="AM36">
        <v>0.26222499999999999</v>
      </c>
      <c r="AN36" t="s">
        <v>281</v>
      </c>
    </row>
    <row r="37" spans="9:40" x14ac:dyDescent="0.45">
      <c r="I37" t="s">
        <v>193</v>
      </c>
      <c r="J37" t="s">
        <v>425</v>
      </c>
      <c r="K37">
        <v>1.0000000000000004</v>
      </c>
      <c r="L37" t="s">
        <v>159</v>
      </c>
      <c r="N37" t="s">
        <v>236</v>
      </c>
      <c r="O37" t="s">
        <v>425</v>
      </c>
      <c r="P37">
        <v>0.99999999999999978</v>
      </c>
      <c r="Q37" t="s">
        <v>159</v>
      </c>
      <c r="AK37">
        <v>2048</v>
      </c>
      <c r="AL37" t="s">
        <v>423</v>
      </c>
      <c r="AM37">
        <v>0.2739583333333333</v>
      </c>
      <c r="AN37" t="s">
        <v>281</v>
      </c>
    </row>
    <row r="38" spans="9:40" x14ac:dyDescent="0.45">
      <c r="I38" t="s">
        <v>194</v>
      </c>
      <c r="J38" t="s">
        <v>425</v>
      </c>
      <c r="K38">
        <v>0.999999999999999</v>
      </c>
      <c r="L38" t="s">
        <v>159</v>
      </c>
      <c r="N38" t="s">
        <v>237</v>
      </c>
      <c r="O38" t="s">
        <v>425</v>
      </c>
      <c r="P38">
        <v>0.99999999999999978</v>
      </c>
      <c r="Q38" t="s">
        <v>159</v>
      </c>
      <c r="AK38">
        <v>2049</v>
      </c>
      <c r="AL38" t="s">
        <v>423</v>
      </c>
      <c r="AM38">
        <v>0.27109166666666668</v>
      </c>
      <c r="AN38" t="s">
        <v>281</v>
      </c>
    </row>
    <row r="39" spans="9:40" x14ac:dyDescent="0.45">
      <c r="I39" t="s">
        <v>195</v>
      </c>
      <c r="J39" t="s">
        <v>425</v>
      </c>
      <c r="K39">
        <v>0.99999999999999922</v>
      </c>
      <c r="L39" t="s">
        <v>159</v>
      </c>
      <c r="N39" t="s">
        <v>238</v>
      </c>
      <c r="O39" t="s">
        <v>425</v>
      </c>
      <c r="P39">
        <v>0.99999999999999833</v>
      </c>
      <c r="Q39" t="s">
        <v>159</v>
      </c>
      <c r="AK39">
        <v>2050</v>
      </c>
      <c r="AL39" t="s">
        <v>423</v>
      </c>
      <c r="AM39">
        <v>0.26933333333333337</v>
      </c>
      <c r="AN39" t="s">
        <v>281</v>
      </c>
    </row>
    <row r="40" spans="9:40" x14ac:dyDescent="0.45">
      <c r="I40" t="s">
        <v>196</v>
      </c>
      <c r="J40" t="s">
        <v>425</v>
      </c>
      <c r="K40">
        <v>0.99999999999999889</v>
      </c>
      <c r="L40" t="s">
        <v>159</v>
      </c>
      <c r="N40" t="s">
        <v>239</v>
      </c>
      <c r="O40" t="s">
        <v>425</v>
      </c>
      <c r="P40">
        <v>1</v>
      </c>
      <c r="Q40" t="s">
        <v>159</v>
      </c>
    </row>
    <row r="41" spans="9:40" x14ac:dyDescent="0.45">
      <c r="I41" t="s">
        <v>197</v>
      </c>
      <c r="J41" t="s">
        <v>425</v>
      </c>
      <c r="K41">
        <v>0.99999999999999745</v>
      </c>
      <c r="L41" t="s">
        <v>159</v>
      </c>
      <c r="N41" t="s">
        <v>240</v>
      </c>
      <c r="O41" t="s">
        <v>425</v>
      </c>
      <c r="P41">
        <v>0.99999999999999978</v>
      </c>
      <c r="Q41" t="s">
        <v>159</v>
      </c>
    </row>
    <row r="42" spans="9:40" x14ac:dyDescent="0.45">
      <c r="I42" t="s">
        <v>198</v>
      </c>
      <c r="J42" t="s">
        <v>425</v>
      </c>
      <c r="K42">
        <v>1.0000000000000044</v>
      </c>
      <c r="L42" t="s">
        <v>159</v>
      </c>
      <c r="N42" t="s">
        <v>241</v>
      </c>
      <c r="O42" t="s">
        <v>425</v>
      </c>
      <c r="P42">
        <v>0.99999999999999722</v>
      </c>
      <c r="Q42" t="s">
        <v>159</v>
      </c>
    </row>
    <row r="43" spans="9:40" x14ac:dyDescent="0.45">
      <c r="I43" t="s">
        <v>199</v>
      </c>
      <c r="J43" t="s">
        <v>425</v>
      </c>
      <c r="K43">
        <v>0.99999999999999922</v>
      </c>
      <c r="L43" t="s">
        <v>159</v>
      </c>
      <c r="N43" t="s">
        <v>242</v>
      </c>
      <c r="O43" t="s">
        <v>425</v>
      </c>
      <c r="P43">
        <v>0.99999999999999967</v>
      </c>
      <c r="Q43" t="s">
        <v>159</v>
      </c>
    </row>
    <row r="44" spans="9:40" x14ac:dyDescent="0.45">
      <c r="I44" t="s">
        <v>200</v>
      </c>
      <c r="J44" t="s">
        <v>425</v>
      </c>
      <c r="K44">
        <v>1.0000000000000011</v>
      </c>
      <c r="L44" t="s">
        <v>159</v>
      </c>
      <c r="N44" t="s">
        <v>243</v>
      </c>
      <c r="O44" t="s">
        <v>425</v>
      </c>
      <c r="P44">
        <v>1.0000000000000047</v>
      </c>
      <c r="Q44" t="s">
        <v>159</v>
      </c>
    </row>
    <row r="45" spans="9:40" x14ac:dyDescent="0.45">
      <c r="I45" t="s">
        <v>201</v>
      </c>
      <c r="J45" t="s">
        <v>425</v>
      </c>
      <c r="K45">
        <v>1.0000000000000004</v>
      </c>
      <c r="L45" t="s">
        <v>159</v>
      </c>
      <c r="N45" t="s">
        <v>244</v>
      </c>
      <c r="O45" t="s">
        <v>425</v>
      </c>
      <c r="P45">
        <v>0.99999999999999911</v>
      </c>
      <c r="Q45" t="s">
        <v>159</v>
      </c>
    </row>
    <row r="46" spans="9:40" x14ac:dyDescent="0.45">
      <c r="I46" t="s">
        <v>202</v>
      </c>
      <c r="J46" t="s">
        <v>425</v>
      </c>
      <c r="K46">
        <v>0.99999999999999933</v>
      </c>
      <c r="L46" t="s">
        <v>159</v>
      </c>
      <c r="N46" t="s">
        <v>245</v>
      </c>
      <c r="O46" t="s">
        <v>425</v>
      </c>
      <c r="P46">
        <v>0.99999999999999889</v>
      </c>
      <c r="Q46" t="s">
        <v>159</v>
      </c>
    </row>
    <row r="47" spans="9:40" x14ac:dyDescent="0.45">
      <c r="I47" t="s">
        <v>203</v>
      </c>
      <c r="J47" t="s">
        <v>425</v>
      </c>
      <c r="K47">
        <v>1.000000000000002</v>
      </c>
      <c r="L47" t="s">
        <v>159</v>
      </c>
      <c r="N47" t="s">
        <v>246</v>
      </c>
      <c r="O47" t="s">
        <v>425</v>
      </c>
      <c r="P47">
        <v>0.99999999999999845</v>
      </c>
      <c r="Q47" t="s">
        <v>159</v>
      </c>
    </row>
    <row r="48" spans="9:40" x14ac:dyDescent="0.45">
      <c r="I48" t="s">
        <v>204</v>
      </c>
      <c r="J48" t="s">
        <v>425</v>
      </c>
      <c r="K48">
        <v>1.0000000000000016</v>
      </c>
      <c r="L48" t="s">
        <v>159</v>
      </c>
      <c r="N48" t="s">
        <v>247</v>
      </c>
      <c r="O48" t="s">
        <v>425</v>
      </c>
      <c r="P48">
        <v>0.999999999999999</v>
      </c>
      <c r="Q48" t="s">
        <v>159</v>
      </c>
    </row>
    <row r="49" spans="9:17" x14ac:dyDescent="0.45">
      <c r="I49" t="s">
        <v>205</v>
      </c>
      <c r="J49" t="s">
        <v>425</v>
      </c>
      <c r="K49">
        <v>1.000000000000002</v>
      </c>
      <c r="L49" t="s">
        <v>159</v>
      </c>
      <c r="N49" t="s">
        <v>248</v>
      </c>
      <c r="O49" t="s">
        <v>425</v>
      </c>
      <c r="P49">
        <v>0.99999999999999634</v>
      </c>
      <c r="Q49" t="s">
        <v>159</v>
      </c>
    </row>
    <row r="50" spans="9:17" x14ac:dyDescent="0.45">
      <c r="I50" t="s">
        <v>206</v>
      </c>
      <c r="J50" t="s">
        <v>425</v>
      </c>
      <c r="K50">
        <v>0.99999999999999944</v>
      </c>
      <c r="L50" t="s">
        <v>159</v>
      </c>
      <c r="N50" t="s">
        <v>249</v>
      </c>
      <c r="O50" t="s">
        <v>425</v>
      </c>
      <c r="P50">
        <v>1.0000000000000004</v>
      </c>
      <c r="Q50" t="s">
        <v>159</v>
      </c>
    </row>
    <row r="51" spans="9:17" x14ac:dyDescent="0.45">
      <c r="I51" t="s">
        <v>207</v>
      </c>
      <c r="J51" t="s">
        <v>425</v>
      </c>
      <c r="K51">
        <v>0.99999999999999833</v>
      </c>
      <c r="L51" t="s">
        <v>159</v>
      </c>
      <c r="N51" t="s">
        <v>250</v>
      </c>
      <c r="O51" t="s">
        <v>425</v>
      </c>
      <c r="P51">
        <v>1.0000000000000004</v>
      </c>
      <c r="Q51" t="s">
        <v>159</v>
      </c>
    </row>
    <row r="52" spans="9:17" x14ac:dyDescent="0.45">
      <c r="I52" t="s">
        <v>208</v>
      </c>
      <c r="J52" t="s">
        <v>425</v>
      </c>
      <c r="K52">
        <v>1.0000000000000033</v>
      </c>
      <c r="L52" t="s">
        <v>159</v>
      </c>
      <c r="N52" t="s">
        <v>251</v>
      </c>
      <c r="O52" t="s">
        <v>425</v>
      </c>
      <c r="P52">
        <v>1.0000000000000009</v>
      </c>
      <c r="Q52" t="s">
        <v>159</v>
      </c>
    </row>
    <row r="53" spans="9:17" x14ac:dyDescent="0.45">
      <c r="I53" t="s">
        <v>209</v>
      </c>
      <c r="J53" t="s">
        <v>425</v>
      </c>
      <c r="K53">
        <v>0.99999999999999978</v>
      </c>
      <c r="L53" t="s">
        <v>159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CBEFD-F634-45C7-8E00-00E224066D37}">
  <dimension ref="A9:AN52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272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278</v>
      </c>
      <c r="AK10" t="s">
        <v>47</v>
      </c>
      <c r="AL10" t="s">
        <v>115</v>
      </c>
      <c r="AM10" t="s">
        <v>279</v>
      </c>
      <c r="AN10" t="s">
        <v>280</v>
      </c>
    </row>
    <row r="11" spans="1:40" x14ac:dyDescent="0.45">
      <c r="A11" t="str">
        <f>IFERROR(IF(Veda!D5=A10,"ok","x"),"")</f>
        <v>x</v>
      </c>
      <c r="C11" t="s">
        <v>426</v>
      </c>
      <c r="D11" t="s">
        <v>149</v>
      </c>
      <c r="E11" t="s">
        <v>274</v>
      </c>
      <c r="F11" t="s">
        <v>427</v>
      </c>
      <c r="G11" t="s">
        <v>149</v>
      </c>
      <c r="I11" t="s">
        <v>157</v>
      </c>
      <c r="J11" t="s">
        <v>432</v>
      </c>
      <c r="K11">
        <v>0.27258084768058527</v>
      </c>
      <c r="L11" t="s">
        <v>159</v>
      </c>
      <c r="N11" t="s">
        <v>210</v>
      </c>
      <c r="O11" t="s">
        <v>432</v>
      </c>
      <c r="P11">
        <v>0.13102801121050664</v>
      </c>
      <c r="Q11" t="s">
        <v>159</v>
      </c>
      <c r="S11" t="s">
        <v>252</v>
      </c>
      <c r="T11" t="s">
        <v>432</v>
      </c>
      <c r="U11">
        <v>0.10694483687956338</v>
      </c>
      <c r="V11" t="s">
        <v>159</v>
      </c>
      <c r="X11">
        <v>0.11426940639269406</v>
      </c>
      <c r="Y11">
        <v>0.16087081189037786</v>
      </c>
      <c r="Z11" t="s">
        <v>432</v>
      </c>
      <c r="AA11" t="s">
        <v>25</v>
      </c>
      <c r="AC11" t="s">
        <v>22</v>
      </c>
      <c r="AD11" t="s">
        <v>432</v>
      </c>
      <c r="AE11">
        <v>0.125897471633165</v>
      </c>
      <c r="AG11" t="s">
        <v>96</v>
      </c>
      <c r="AH11" t="s">
        <v>432</v>
      </c>
      <c r="AI11">
        <v>0.14219132031312931</v>
      </c>
      <c r="AK11">
        <v>2020</v>
      </c>
      <c r="AL11" t="s">
        <v>426</v>
      </c>
      <c r="AM11">
        <v>0.11589008363201909</v>
      </c>
      <c r="AN11" t="s">
        <v>281</v>
      </c>
    </row>
    <row r="12" spans="1:40" x14ac:dyDescent="0.45">
      <c r="C12" t="s">
        <v>428</v>
      </c>
      <c r="E12" t="s">
        <v>276</v>
      </c>
      <c r="G12" t="s">
        <v>149</v>
      </c>
      <c r="I12" t="s">
        <v>157</v>
      </c>
      <c r="J12" t="s">
        <v>433</v>
      </c>
      <c r="K12">
        <v>9.0487640153686039E-4</v>
      </c>
      <c r="L12" t="s">
        <v>159</v>
      </c>
      <c r="N12" t="s">
        <v>210</v>
      </c>
      <c r="O12" t="s">
        <v>433</v>
      </c>
      <c r="P12">
        <v>7.7224826336486918E-2</v>
      </c>
      <c r="Q12" t="s">
        <v>159</v>
      </c>
      <c r="S12" t="s">
        <v>252</v>
      </c>
      <c r="T12" t="s">
        <v>433</v>
      </c>
      <c r="U12">
        <v>0.11658542831787351</v>
      </c>
      <c r="V12" t="s">
        <v>159</v>
      </c>
      <c r="X12">
        <v>0.11426940639269406</v>
      </c>
      <c r="Y12">
        <v>5.2547713165767528E-2</v>
      </c>
      <c r="Z12" t="s">
        <v>433</v>
      </c>
      <c r="AA12" t="s">
        <v>25</v>
      </c>
      <c r="AC12" t="s">
        <v>22</v>
      </c>
      <c r="AD12" t="s">
        <v>433</v>
      </c>
      <c r="AE12">
        <v>8.9052931649279118E-2</v>
      </c>
      <c r="AG12" t="s">
        <v>96</v>
      </c>
      <c r="AH12" t="s">
        <v>433</v>
      </c>
      <c r="AI12">
        <v>0.22550853423156569</v>
      </c>
      <c r="AK12">
        <v>2020</v>
      </c>
      <c r="AL12" t="s">
        <v>428</v>
      </c>
      <c r="AM12">
        <v>0.1451612903225806</v>
      </c>
      <c r="AN12" t="s">
        <v>281</v>
      </c>
    </row>
    <row r="13" spans="1:40" x14ac:dyDescent="0.45">
      <c r="C13" t="s">
        <v>429</v>
      </c>
      <c r="E13" t="s">
        <v>430</v>
      </c>
      <c r="G13" t="s">
        <v>149</v>
      </c>
      <c r="I13" t="s">
        <v>157</v>
      </c>
      <c r="J13" t="s">
        <v>434</v>
      </c>
      <c r="K13">
        <v>1.8148316189943829E-2</v>
      </c>
      <c r="L13" t="s">
        <v>159</v>
      </c>
      <c r="N13" t="s">
        <v>210</v>
      </c>
      <c r="O13" t="s">
        <v>434</v>
      </c>
      <c r="P13">
        <v>3.222335297269343E-2</v>
      </c>
      <c r="Q13" t="s">
        <v>159</v>
      </c>
      <c r="S13" t="s">
        <v>252</v>
      </c>
      <c r="T13" t="s">
        <v>434</v>
      </c>
      <c r="U13">
        <v>2.2733858643937802E-2</v>
      </c>
      <c r="V13" t="s">
        <v>159</v>
      </c>
      <c r="X13">
        <v>2.0776255707762557E-2</v>
      </c>
      <c r="Y13">
        <v>3.5896543437005365E-2</v>
      </c>
      <c r="Z13" t="s">
        <v>434</v>
      </c>
      <c r="AA13" t="s">
        <v>25</v>
      </c>
      <c r="AC13" t="s">
        <v>22</v>
      </c>
      <c r="AD13" t="s">
        <v>434</v>
      </c>
      <c r="AE13">
        <v>2.3837681704707972E-2</v>
      </c>
      <c r="AG13" t="s">
        <v>96</v>
      </c>
      <c r="AH13" t="s">
        <v>434</v>
      </c>
      <c r="AI13">
        <v>3.9048008502869269E-2</v>
      </c>
      <c r="AK13">
        <v>2020</v>
      </c>
      <c r="AL13" t="s">
        <v>429</v>
      </c>
      <c r="AM13">
        <v>7.8454798884906321E-2</v>
      </c>
      <c r="AN13" t="s">
        <v>281</v>
      </c>
    </row>
    <row r="14" spans="1:40" x14ac:dyDescent="0.45">
      <c r="C14" t="s">
        <v>431</v>
      </c>
      <c r="I14" t="s">
        <v>157</v>
      </c>
      <c r="J14" t="s">
        <v>435</v>
      </c>
      <c r="K14">
        <v>0.21088416283276396</v>
      </c>
      <c r="L14" t="s">
        <v>159</v>
      </c>
      <c r="N14" t="s">
        <v>210</v>
      </c>
      <c r="O14" t="s">
        <v>435</v>
      </c>
      <c r="P14">
        <v>0.11014821156899776</v>
      </c>
      <c r="Q14" t="s">
        <v>159</v>
      </c>
      <c r="S14" t="s">
        <v>252</v>
      </c>
      <c r="T14" t="s">
        <v>435</v>
      </c>
      <c r="U14">
        <v>9.4447517930649053E-2</v>
      </c>
      <c r="V14" t="s">
        <v>159</v>
      </c>
      <c r="X14">
        <v>0.11552511415525114</v>
      </c>
      <c r="Y14">
        <v>0.16263862301005233</v>
      </c>
      <c r="Z14" t="s">
        <v>435</v>
      </c>
      <c r="AA14" t="s">
        <v>25</v>
      </c>
      <c r="AC14" t="s">
        <v>22</v>
      </c>
      <c r="AD14" t="s">
        <v>435</v>
      </c>
      <c r="AE14">
        <v>0.12817890549216052</v>
      </c>
      <c r="AG14" t="s">
        <v>96</v>
      </c>
      <c r="AH14" t="s">
        <v>435</v>
      </c>
      <c r="AI14">
        <v>0.13860983442394659</v>
      </c>
      <c r="AK14">
        <v>2020</v>
      </c>
      <c r="AL14" t="s">
        <v>431</v>
      </c>
      <c r="AM14">
        <v>0.11638446009969923</v>
      </c>
      <c r="AN14" t="s">
        <v>281</v>
      </c>
    </row>
    <row r="15" spans="1:40" x14ac:dyDescent="0.45">
      <c r="I15" t="s">
        <v>157</v>
      </c>
      <c r="J15" t="s">
        <v>436</v>
      </c>
      <c r="K15">
        <v>0</v>
      </c>
      <c r="L15" t="s">
        <v>159</v>
      </c>
      <c r="N15" t="s">
        <v>210</v>
      </c>
      <c r="O15" t="s">
        <v>436</v>
      </c>
      <c r="P15">
        <v>7.3995563082388513E-2</v>
      </c>
      <c r="Q15" t="s">
        <v>159</v>
      </c>
      <c r="S15" t="s">
        <v>252</v>
      </c>
      <c r="T15" t="s">
        <v>436</v>
      </c>
      <c r="U15">
        <v>0.11055860593253974</v>
      </c>
      <c r="V15" t="s">
        <v>159</v>
      </c>
      <c r="X15">
        <v>0.11552511415525114</v>
      </c>
      <c r="Y15">
        <v>5.3125160563193538E-2</v>
      </c>
      <c r="Z15" t="s">
        <v>436</v>
      </c>
      <c r="AA15" t="s">
        <v>25</v>
      </c>
      <c r="AC15" t="s">
        <v>22</v>
      </c>
      <c r="AD15" t="s">
        <v>436</v>
      </c>
      <c r="AE15">
        <v>9.2179371115221773E-2</v>
      </c>
      <c r="AG15" t="s">
        <v>96</v>
      </c>
      <c r="AH15" t="s">
        <v>436</v>
      </c>
      <c r="AI15">
        <v>0.25190441197550828</v>
      </c>
      <c r="AK15">
        <v>2021</v>
      </c>
      <c r="AL15" t="s">
        <v>426</v>
      </c>
      <c r="AM15">
        <v>0.11589008363201909</v>
      </c>
      <c r="AN15" t="s">
        <v>281</v>
      </c>
    </row>
    <row r="16" spans="1:40" x14ac:dyDescent="0.45">
      <c r="I16" t="s">
        <v>157</v>
      </c>
      <c r="J16" t="s">
        <v>437</v>
      </c>
      <c r="K16">
        <v>1.5102966594450644E-2</v>
      </c>
      <c r="L16" t="s">
        <v>159</v>
      </c>
      <c r="N16" t="s">
        <v>210</v>
      </c>
      <c r="O16" t="s">
        <v>437</v>
      </c>
      <c r="P16">
        <v>1.8989307192213103E-2</v>
      </c>
      <c r="Q16" t="s">
        <v>159</v>
      </c>
      <c r="S16" t="s">
        <v>252</v>
      </c>
      <c r="T16" t="s">
        <v>437</v>
      </c>
      <c r="U16">
        <v>1.9931871157263446E-2</v>
      </c>
      <c r="V16" t="s">
        <v>159</v>
      </c>
      <c r="X16">
        <v>2.1004566210045664E-2</v>
      </c>
      <c r="Y16">
        <v>3.6291010947302131E-2</v>
      </c>
      <c r="Z16" t="s">
        <v>437</v>
      </c>
      <c r="AA16" t="s">
        <v>25</v>
      </c>
      <c r="AC16" t="s">
        <v>22</v>
      </c>
      <c r="AD16" t="s">
        <v>437</v>
      </c>
      <c r="AE16">
        <v>2.4622293482199631E-2</v>
      </c>
      <c r="AG16" t="s">
        <v>96</v>
      </c>
      <c r="AH16" t="s">
        <v>437</v>
      </c>
      <c r="AI16">
        <v>6.8106255135007121E-2</v>
      </c>
      <c r="AK16">
        <v>2021</v>
      </c>
      <c r="AL16" t="s">
        <v>428</v>
      </c>
      <c r="AM16">
        <v>0.1505376344086021</v>
      </c>
      <c r="AN16" t="s">
        <v>281</v>
      </c>
    </row>
    <row r="17" spans="9:40" x14ac:dyDescent="0.45">
      <c r="I17" t="s">
        <v>157</v>
      </c>
      <c r="J17" t="s">
        <v>438</v>
      </c>
      <c r="K17">
        <v>0.18076210875344373</v>
      </c>
      <c r="L17" t="s">
        <v>159</v>
      </c>
      <c r="N17" t="s">
        <v>210</v>
      </c>
      <c r="O17" t="s">
        <v>438</v>
      </c>
      <c r="P17">
        <v>0.22264334971671454</v>
      </c>
      <c r="Q17" t="s">
        <v>159</v>
      </c>
      <c r="S17" t="s">
        <v>252</v>
      </c>
      <c r="T17" t="s">
        <v>438</v>
      </c>
      <c r="U17">
        <v>9.9106505918095E-2</v>
      </c>
      <c r="V17" t="s">
        <v>159</v>
      </c>
      <c r="X17">
        <v>0.11552511415525114</v>
      </c>
      <c r="Y17">
        <v>0.16263862301005233</v>
      </c>
      <c r="Z17" t="s">
        <v>438</v>
      </c>
      <c r="AA17" t="s">
        <v>25</v>
      </c>
      <c r="AC17" t="s">
        <v>22</v>
      </c>
      <c r="AD17" t="s">
        <v>438</v>
      </c>
      <c r="AE17">
        <v>0.14122668061578486</v>
      </c>
      <c r="AG17" t="s">
        <v>96</v>
      </c>
      <c r="AH17" t="s">
        <v>438</v>
      </c>
      <c r="AI17">
        <v>0.15428508129096374</v>
      </c>
      <c r="AK17">
        <v>2021</v>
      </c>
      <c r="AL17" t="s">
        <v>429</v>
      </c>
      <c r="AM17">
        <v>6.6308243727598498E-2</v>
      </c>
      <c r="AN17" t="s">
        <v>281</v>
      </c>
    </row>
    <row r="18" spans="9:40" x14ac:dyDescent="0.45">
      <c r="I18" t="s">
        <v>157</v>
      </c>
      <c r="J18" t="s">
        <v>439</v>
      </c>
      <c r="K18">
        <v>0</v>
      </c>
      <c r="L18" t="s">
        <v>159</v>
      </c>
      <c r="N18" t="s">
        <v>210</v>
      </c>
      <c r="O18" t="s">
        <v>439</v>
      </c>
      <c r="P18">
        <v>0.15674942533389966</v>
      </c>
      <c r="Q18" t="s">
        <v>159</v>
      </c>
      <c r="S18" t="s">
        <v>252</v>
      </c>
      <c r="T18" t="s">
        <v>439</v>
      </c>
      <c r="U18">
        <v>0.10738932890102117</v>
      </c>
      <c r="V18" t="s">
        <v>159</v>
      </c>
      <c r="X18">
        <v>0.11552511415525114</v>
      </c>
      <c r="Y18">
        <v>5.3125160563193538E-2</v>
      </c>
      <c r="Z18" t="s">
        <v>439</v>
      </c>
      <c r="AA18" t="s">
        <v>25</v>
      </c>
      <c r="AC18" t="s">
        <v>22</v>
      </c>
      <c r="AD18" t="s">
        <v>439</v>
      </c>
      <c r="AE18">
        <v>0.10175593767770898</v>
      </c>
      <c r="AG18" t="s">
        <v>96</v>
      </c>
      <c r="AH18" t="s">
        <v>439</v>
      </c>
      <c r="AI18">
        <v>0.31047239725771369</v>
      </c>
      <c r="AK18">
        <v>2021</v>
      </c>
      <c r="AL18" t="s">
        <v>431</v>
      </c>
      <c r="AM18">
        <v>0.6396142686465266</v>
      </c>
      <c r="AN18" t="s">
        <v>281</v>
      </c>
    </row>
    <row r="19" spans="9:40" x14ac:dyDescent="0.45">
      <c r="I19" t="s">
        <v>157</v>
      </c>
      <c r="J19" t="s">
        <v>440</v>
      </c>
      <c r="K19">
        <v>9.0081405017707339E-3</v>
      </c>
      <c r="L19" t="s">
        <v>159</v>
      </c>
      <c r="N19" t="s">
        <v>210</v>
      </c>
      <c r="O19" t="s">
        <v>440</v>
      </c>
      <c r="P19">
        <v>2.9374174016197286E-2</v>
      </c>
      <c r="Q19" t="s">
        <v>159</v>
      </c>
      <c r="S19" t="s">
        <v>252</v>
      </c>
      <c r="T19" t="s">
        <v>440</v>
      </c>
      <c r="U19">
        <v>1.8550938593963621E-2</v>
      </c>
      <c r="V19" t="s">
        <v>159</v>
      </c>
      <c r="X19">
        <v>2.1004566210045664E-2</v>
      </c>
      <c r="Y19">
        <v>3.6291010947302131E-2</v>
      </c>
      <c r="Z19" t="s">
        <v>440</v>
      </c>
      <c r="AA19" t="s">
        <v>25</v>
      </c>
      <c r="AC19" t="s">
        <v>22</v>
      </c>
      <c r="AD19" t="s">
        <v>440</v>
      </c>
      <c r="AE19">
        <v>2.9595660135039684E-2</v>
      </c>
      <c r="AG19" t="s">
        <v>96</v>
      </c>
      <c r="AH19" t="s">
        <v>440</v>
      </c>
      <c r="AI19">
        <v>9.1431176988599816E-2</v>
      </c>
      <c r="AK19">
        <v>2022</v>
      </c>
      <c r="AL19" t="s">
        <v>426</v>
      </c>
      <c r="AM19">
        <v>0.28872958980485858</v>
      </c>
      <c r="AN19" t="s">
        <v>281</v>
      </c>
    </row>
    <row r="20" spans="9:40" x14ac:dyDescent="0.45">
      <c r="I20" t="s">
        <v>157</v>
      </c>
      <c r="J20" t="s">
        <v>441</v>
      </c>
      <c r="K20">
        <v>0.26359717007102024</v>
      </c>
      <c r="L20" t="s">
        <v>159</v>
      </c>
      <c r="N20" t="s">
        <v>210</v>
      </c>
      <c r="O20" t="s">
        <v>441</v>
      </c>
      <c r="P20">
        <v>6.6736264256965175E-2</v>
      </c>
      <c r="Q20" t="s">
        <v>159</v>
      </c>
      <c r="S20" t="s">
        <v>252</v>
      </c>
      <c r="T20" t="s">
        <v>441</v>
      </c>
      <c r="U20">
        <v>0.12797360669006866</v>
      </c>
      <c r="V20" t="s">
        <v>159</v>
      </c>
      <c r="X20">
        <v>0.11301369863013698</v>
      </c>
      <c r="Y20">
        <v>0.15910300077070333</v>
      </c>
      <c r="Z20" t="s">
        <v>441</v>
      </c>
      <c r="AA20" t="s">
        <v>25</v>
      </c>
      <c r="AC20" t="s">
        <v>22</v>
      </c>
      <c r="AD20" t="s">
        <v>441</v>
      </c>
      <c r="AE20">
        <v>0.1288927108241269</v>
      </c>
      <c r="AG20" t="s">
        <v>96</v>
      </c>
      <c r="AH20" t="s">
        <v>441</v>
      </c>
      <c r="AI20">
        <v>0.15161296759920728</v>
      </c>
      <c r="AK20">
        <v>2022</v>
      </c>
      <c r="AL20" t="s">
        <v>428</v>
      </c>
      <c r="AM20">
        <v>0.71346077260055762</v>
      </c>
      <c r="AN20" t="s">
        <v>281</v>
      </c>
    </row>
    <row r="21" spans="9:40" x14ac:dyDescent="0.45">
      <c r="I21" t="s">
        <v>157</v>
      </c>
      <c r="J21" t="s">
        <v>442</v>
      </c>
      <c r="K21">
        <v>8.0270055934464118E-4</v>
      </c>
      <c r="L21" t="s">
        <v>159</v>
      </c>
      <c r="N21" t="s">
        <v>210</v>
      </c>
      <c r="O21" t="s">
        <v>442</v>
      </c>
      <c r="P21">
        <v>5.3874965834140941E-2</v>
      </c>
      <c r="Q21" t="s">
        <v>159</v>
      </c>
      <c r="S21" t="s">
        <v>252</v>
      </c>
      <c r="T21" t="s">
        <v>442</v>
      </c>
      <c r="U21">
        <v>0.14820611021404798</v>
      </c>
      <c r="V21" t="s">
        <v>159</v>
      </c>
      <c r="X21">
        <v>0.11301369863013698</v>
      </c>
      <c r="Y21">
        <v>5.197026576834151E-2</v>
      </c>
      <c r="Z21" t="s">
        <v>442</v>
      </c>
      <c r="AA21" t="s">
        <v>25</v>
      </c>
      <c r="AC21" t="s">
        <v>22</v>
      </c>
      <c r="AD21" t="s">
        <v>442</v>
      </c>
      <c r="AE21">
        <v>9.1154704234609168E-2</v>
      </c>
      <c r="AG21" t="s">
        <v>96</v>
      </c>
      <c r="AH21" t="s">
        <v>442</v>
      </c>
      <c r="AI21">
        <v>0.21072117904921628</v>
      </c>
      <c r="AK21">
        <v>2022</v>
      </c>
      <c r="AL21" t="s">
        <v>429</v>
      </c>
      <c r="AM21">
        <v>0.17622461170848261</v>
      </c>
      <c r="AN21" t="s">
        <v>281</v>
      </c>
    </row>
    <row r="22" spans="9:40" x14ac:dyDescent="0.45">
      <c r="I22" t="s">
        <v>157</v>
      </c>
      <c r="J22" t="s">
        <v>443</v>
      </c>
      <c r="K22">
        <v>2.8208710415142012E-2</v>
      </c>
      <c r="L22" t="s">
        <v>159</v>
      </c>
      <c r="N22" t="s">
        <v>210</v>
      </c>
      <c r="O22" t="s">
        <v>443</v>
      </c>
      <c r="P22">
        <v>2.7012548478796382E-2</v>
      </c>
      <c r="Q22" t="s">
        <v>159</v>
      </c>
      <c r="S22" t="s">
        <v>252</v>
      </c>
      <c r="T22" t="s">
        <v>443</v>
      </c>
      <c r="U22">
        <v>2.7571390820974956E-2</v>
      </c>
      <c r="V22" t="s">
        <v>159</v>
      </c>
      <c r="X22">
        <v>2.0547945205479451E-2</v>
      </c>
      <c r="Y22">
        <v>3.5502075926708607E-2</v>
      </c>
      <c r="Z22" t="s">
        <v>443</v>
      </c>
      <c r="AA22" t="s">
        <v>25</v>
      </c>
      <c r="AC22" t="s">
        <v>22</v>
      </c>
      <c r="AD22" t="s">
        <v>443</v>
      </c>
      <c r="AE22">
        <v>2.3605651435996321E-2</v>
      </c>
      <c r="AG22" t="s">
        <v>96</v>
      </c>
      <c r="AH22" t="s">
        <v>443</v>
      </c>
      <c r="AI22">
        <v>3.7895933388856218E-2</v>
      </c>
      <c r="AK22">
        <v>2022</v>
      </c>
      <c r="AL22" t="s">
        <v>431</v>
      </c>
      <c r="AM22">
        <v>0.73327359617682186</v>
      </c>
      <c r="AN22" t="s">
        <v>281</v>
      </c>
    </row>
    <row r="23" spans="9:40" x14ac:dyDescent="0.45">
      <c r="I23" t="s">
        <v>168</v>
      </c>
      <c r="J23" t="s">
        <v>432</v>
      </c>
      <c r="K23">
        <v>0.27266552231289126</v>
      </c>
      <c r="L23" t="s">
        <v>159</v>
      </c>
      <c r="N23" t="s">
        <v>211</v>
      </c>
      <c r="O23" t="s">
        <v>432</v>
      </c>
      <c r="P23">
        <v>0.13370481894265895</v>
      </c>
      <c r="Q23" t="s">
        <v>159</v>
      </c>
      <c r="S23" t="s">
        <v>253</v>
      </c>
      <c r="T23" t="s">
        <v>432</v>
      </c>
      <c r="U23">
        <v>0.10691346503541624</v>
      </c>
      <c r="V23" t="s">
        <v>159</v>
      </c>
      <c r="AC23" t="s">
        <v>19</v>
      </c>
      <c r="AD23" t="s">
        <v>432</v>
      </c>
      <c r="AE23">
        <v>0.1150358178375669</v>
      </c>
      <c r="AK23">
        <v>2025</v>
      </c>
      <c r="AL23" t="s">
        <v>426</v>
      </c>
      <c r="AM23">
        <v>0.13543333333333332</v>
      </c>
      <c r="AN23" t="s">
        <v>281</v>
      </c>
    </row>
    <row r="24" spans="9:40" x14ac:dyDescent="0.45">
      <c r="I24" t="s">
        <v>168</v>
      </c>
      <c r="J24" t="s">
        <v>433</v>
      </c>
      <c r="K24">
        <v>5.4229377804470224E-4</v>
      </c>
      <c r="L24" t="s">
        <v>159</v>
      </c>
      <c r="N24" t="s">
        <v>211</v>
      </c>
      <c r="O24" t="s">
        <v>433</v>
      </c>
      <c r="P24">
        <v>8.8423953738319849E-2</v>
      </c>
      <c r="Q24" t="s">
        <v>159</v>
      </c>
      <c r="S24" t="s">
        <v>253</v>
      </c>
      <c r="T24" t="s">
        <v>433</v>
      </c>
      <c r="U24">
        <v>0.12066031848185485</v>
      </c>
      <c r="V24" t="s">
        <v>159</v>
      </c>
      <c r="AC24" t="s">
        <v>19</v>
      </c>
      <c r="AD24" t="s">
        <v>433</v>
      </c>
      <c r="AE24">
        <v>0.11327031247351813</v>
      </c>
      <c r="AK24">
        <v>2025</v>
      </c>
      <c r="AL24" t="s">
        <v>428</v>
      </c>
      <c r="AM24">
        <v>0.32613333333333333</v>
      </c>
      <c r="AN24" t="s">
        <v>281</v>
      </c>
    </row>
    <row r="25" spans="9:40" x14ac:dyDescent="0.45">
      <c r="I25" t="s">
        <v>168</v>
      </c>
      <c r="J25" t="s">
        <v>434</v>
      </c>
      <c r="K25">
        <v>2.2774695287517334E-2</v>
      </c>
      <c r="L25" t="s">
        <v>159</v>
      </c>
      <c r="N25" t="s">
        <v>211</v>
      </c>
      <c r="O25" t="s">
        <v>434</v>
      </c>
      <c r="P25">
        <v>2.7791584263076513E-2</v>
      </c>
      <c r="Q25" t="s">
        <v>159</v>
      </c>
      <c r="S25" t="s">
        <v>253</v>
      </c>
      <c r="T25" t="s">
        <v>434</v>
      </c>
      <c r="U25">
        <v>2.4389753964871617E-2</v>
      </c>
      <c r="V25" t="s">
        <v>159</v>
      </c>
      <c r="AC25" t="s">
        <v>19</v>
      </c>
      <c r="AD25" t="s">
        <v>434</v>
      </c>
      <c r="AE25">
        <v>2.0960992430768252E-2</v>
      </c>
      <c r="AK25">
        <v>2025</v>
      </c>
      <c r="AL25" t="s">
        <v>429</v>
      </c>
      <c r="AM25">
        <v>0.11186666666666667</v>
      </c>
      <c r="AN25" t="s">
        <v>281</v>
      </c>
    </row>
    <row r="26" spans="9:40" x14ac:dyDescent="0.45">
      <c r="I26" t="s">
        <v>168</v>
      </c>
      <c r="J26" t="s">
        <v>435</v>
      </c>
      <c r="K26">
        <v>0.2011746064556364</v>
      </c>
      <c r="L26" t="s">
        <v>159</v>
      </c>
      <c r="N26" t="s">
        <v>211</v>
      </c>
      <c r="O26" t="s">
        <v>435</v>
      </c>
      <c r="P26">
        <v>0.11571911002280014</v>
      </c>
      <c r="Q26" t="s">
        <v>159</v>
      </c>
      <c r="S26" t="s">
        <v>253</v>
      </c>
      <c r="T26" t="s">
        <v>435</v>
      </c>
      <c r="U26">
        <v>8.5805877270650338E-2</v>
      </c>
      <c r="V26" t="s">
        <v>159</v>
      </c>
      <c r="AC26" t="s">
        <v>19</v>
      </c>
      <c r="AD26" t="s">
        <v>435</v>
      </c>
      <c r="AE26">
        <v>0.11627205323413892</v>
      </c>
      <c r="AK26">
        <v>2025</v>
      </c>
      <c r="AL26" t="s">
        <v>431</v>
      </c>
      <c r="AM26">
        <v>0.36060000000000003</v>
      </c>
      <c r="AN26" t="s">
        <v>281</v>
      </c>
    </row>
    <row r="27" spans="9:40" x14ac:dyDescent="0.45">
      <c r="I27" t="s">
        <v>168</v>
      </c>
      <c r="J27" t="s">
        <v>436</v>
      </c>
      <c r="K27">
        <v>0</v>
      </c>
      <c r="L27" t="s">
        <v>159</v>
      </c>
      <c r="N27" t="s">
        <v>211</v>
      </c>
      <c r="O27" t="s">
        <v>436</v>
      </c>
      <c r="P27">
        <v>8.2770886303681707E-2</v>
      </c>
      <c r="Q27" t="s">
        <v>159</v>
      </c>
      <c r="S27" t="s">
        <v>253</v>
      </c>
      <c r="T27" t="s">
        <v>436</v>
      </c>
      <c r="U27">
        <v>0.10833083089422242</v>
      </c>
      <c r="V27" t="s">
        <v>159</v>
      </c>
      <c r="AC27" t="s">
        <v>19</v>
      </c>
      <c r="AD27" t="s">
        <v>436</v>
      </c>
      <c r="AE27">
        <v>0.11454703858953919</v>
      </c>
      <c r="AK27">
        <v>2026</v>
      </c>
      <c r="AL27" t="s">
        <v>426</v>
      </c>
      <c r="AM27">
        <v>0.13843333333333332</v>
      </c>
      <c r="AN27" t="s">
        <v>281</v>
      </c>
    </row>
    <row r="28" spans="9:40" x14ac:dyDescent="0.45">
      <c r="I28" t="s">
        <v>168</v>
      </c>
      <c r="J28" t="s">
        <v>437</v>
      </c>
      <c r="K28">
        <v>1.6292351444787679E-2</v>
      </c>
      <c r="L28" t="s">
        <v>159</v>
      </c>
      <c r="N28" t="s">
        <v>211</v>
      </c>
      <c r="O28" t="s">
        <v>437</v>
      </c>
      <c r="P28">
        <v>1.9611173300474512E-2</v>
      </c>
      <c r="Q28" t="s">
        <v>159</v>
      </c>
      <c r="S28" t="s">
        <v>253</v>
      </c>
      <c r="T28" t="s">
        <v>437</v>
      </c>
      <c r="U28">
        <v>2.0524353322493236E-2</v>
      </c>
      <c r="V28" t="s">
        <v>159</v>
      </c>
      <c r="AC28" t="s">
        <v>19</v>
      </c>
      <c r="AD28" t="s">
        <v>437</v>
      </c>
      <c r="AE28">
        <v>2.1203482735187951E-2</v>
      </c>
      <c r="AK28">
        <v>2026</v>
      </c>
      <c r="AL28" t="s">
        <v>428</v>
      </c>
      <c r="AM28">
        <v>0.31013333333333332</v>
      </c>
      <c r="AN28" t="s">
        <v>281</v>
      </c>
    </row>
    <row r="29" spans="9:40" x14ac:dyDescent="0.45">
      <c r="I29" t="s">
        <v>168</v>
      </c>
      <c r="J29" t="s">
        <v>438</v>
      </c>
      <c r="K29">
        <v>0.1725001117463475</v>
      </c>
      <c r="L29" t="s">
        <v>159</v>
      </c>
      <c r="N29" t="s">
        <v>211</v>
      </c>
      <c r="O29" t="s">
        <v>438</v>
      </c>
      <c r="P29">
        <v>0.18423367160754603</v>
      </c>
      <c r="Q29" t="s">
        <v>159</v>
      </c>
      <c r="S29" t="s">
        <v>253</v>
      </c>
      <c r="T29" t="s">
        <v>438</v>
      </c>
      <c r="U29">
        <v>9.6936767556867781E-2</v>
      </c>
      <c r="V29" t="s">
        <v>159</v>
      </c>
      <c r="AC29" t="s">
        <v>19</v>
      </c>
      <c r="AD29" t="s">
        <v>438</v>
      </c>
      <c r="AE29">
        <v>0.11634877439863946</v>
      </c>
      <c r="AK29">
        <v>2026</v>
      </c>
      <c r="AL29" t="s">
        <v>429</v>
      </c>
      <c r="AM29">
        <v>0.11416666666666668</v>
      </c>
      <c r="AN29" t="s">
        <v>281</v>
      </c>
    </row>
    <row r="30" spans="9:40" x14ac:dyDescent="0.45">
      <c r="I30" t="s">
        <v>168</v>
      </c>
      <c r="J30" t="s">
        <v>439</v>
      </c>
      <c r="K30">
        <v>0</v>
      </c>
      <c r="L30" t="s">
        <v>159</v>
      </c>
      <c r="N30" t="s">
        <v>211</v>
      </c>
      <c r="O30" t="s">
        <v>439</v>
      </c>
      <c r="P30">
        <v>0.14074029357793902</v>
      </c>
      <c r="Q30" t="s">
        <v>159</v>
      </c>
      <c r="S30" t="s">
        <v>253</v>
      </c>
      <c r="T30" t="s">
        <v>439</v>
      </c>
      <c r="U30">
        <v>0.10372444978850041</v>
      </c>
      <c r="V30" t="s">
        <v>159</v>
      </c>
      <c r="AC30" t="s">
        <v>19</v>
      </c>
      <c r="AD30" t="s">
        <v>439</v>
      </c>
      <c r="AE30">
        <v>0.11445742744707917</v>
      </c>
      <c r="AK30">
        <v>2026</v>
      </c>
      <c r="AL30" t="s">
        <v>431</v>
      </c>
      <c r="AM30">
        <v>0.34450000000000003</v>
      </c>
      <c r="AN30" t="s">
        <v>281</v>
      </c>
    </row>
    <row r="31" spans="9:40" x14ac:dyDescent="0.45">
      <c r="I31" t="s">
        <v>168</v>
      </c>
      <c r="J31" t="s">
        <v>440</v>
      </c>
      <c r="K31">
        <v>1.0291203740193841E-2</v>
      </c>
      <c r="L31" t="s">
        <v>159</v>
      </c>
      <c r="N31" t="s">
        <v>211</v>
      </c>
      <c r="O31" t="s">
        <v>440</v>
      </c>
      <c r="P31">
        <v>2.9085552462858908E-2</v>
      </c>
      <c r="Q31" t="s">
        <v>159</v>
      </c>
      <c r="S31" t="s">
        <v>253</v>
      </c>
      <c r="T31" t="s">
        <v>440</v>
      </c>
      <c r="U31">
        <v>1.7955485609455191E-2</v>
      </c>
      <c r="V31" t="s">
        <v>159</v>
      </c>
      <c r="AC31" t="s">
        <v>19</v>
      </c>
      <c r="AD31" t="s">
        <v>440</v>
      </c>
      <c r="AE31">
        <v>2.1342068061643422E-2</v>
      </c>
      <c r="AK31">
        <v>2027</v>
      </c>
      <c r="AL31" t="s">
        <v>426</v>
      </c>
      <c r="AM31">
        <v>0.13813333333333333</v>
      </c>
      <c r="AN31" t="s">
        <v>281</v>
      </c>
    </row>
    <row r="32" spans="9:40" x14ac:dyDescent="0.45">
      <c r="I32" t="s">
        <v>168</v>
      </c>
      <c r="J32" t="s">
        <v>441</v>
      </c>
      <c r="K32">
        <v>0.27155957536170361</v>
      </c>
      <c r="L32" t="s">
        <v>159</v>
      </c>
      <c r="N32" t="s">
        <v>211</v>
      </c>
      <c r="O32" t="s">
        <v>441</v>
      </c>
      <c r="P32">
        <v>7.5574815956750779E-2</v>
      </c>
      <c r="Q32" t="s">
        <v>159</v>
      </c>
      <c r="S32" t="s">
        <v>253</v>
      </c>
      <c r="T32" t="s">
        <v>441</v>
      </c>
      <c r="U32">
        <v>0.12902487862204504</v>
      </c>
      <c r="V32" t="s">
        <v>159</v>
      </c>
      <c r="AC32" t="s">
        <v>19</v>
      </c>
      <c r="AD32" t="s">
        <v>441</v>
      </c>
      <c r="AE32">
        <v>0.11383266382963325</v>
      </c>
      <c r="AK32">
        <v>2027</v>
      </c>
      <c r="AL32" t="s">
        <v>428</v>
      </c>
      <c r="AM32">
        <v>0.3128333333333333</v>
      </c>
      <c r="AN32" t="s">
        <v>281</v>
      </c>
    </row>
    <row r="33" spans="9:40" x14ac:dyDescent="0.45">
      <c r="I33" t="s">
        <v>168</v>
      </c>
      <c r="J33" t="s">
        <v>442</v>
      </c>
      <c r="K33">
        <v>5.6733429624546204E-4</v>
      </c>
      <c r="L33" t="s">
        <v>159</v>
      </c>
      <c r="N33" t="s">
        <v>211</v>
      </c>
      <c r="O33" t="s">
        <v>442</v>
      </c>
      <c r="P33">
        <v>7.5776933254991713E-2</v>
      </c>
      <c r="Q33" t="s">
        <v>159</v>
      </c>
      <c r="S33" t="s">
        <v>253</v>
      </c>
      <c r="T33" t="s">
        <v>442</v>
      </c>
      <c r="U33">
        <v>0.15472836881577207</v>
      </c>
      <c r="V33" t="s">
        <v>159</v>
      </c>
      <c r="AC33" t="s">
        <v>19</v>
      </c>
      <c r="AD33" t="s">
        <v>442</v>
      </c>
      <c r="AE33">
        <v>0.11202434560686698</v>
      </c>
      <c r="AK33">
        <v>2027</v>
      </c>
      <c r="AL33" t="s">
        <v>429</v>
      </c>
      <c r="AM33">
        <v>0.10693333333333332</v>
      </c>
      <c r="AN33" t="s">
        <v>281</v>
      </c>
    </row>
    <row r="34" spans="9:40" x14ac:dyDescent="0.45">
      <c r="I34" t="s">
        <v>168</v>
      </c>
      <c r="J34" t="s">
        <v>443</v>
      </c>
      <c r="K34">
        <v>3.1632305576630548E-2</v>
      </c>
      <c r="L34" t="s">
        <v>159</v>
      </c>
      <c r="N34" t="s">
        <v>211</v>
      </c>
      <c r="O34" t="s">
        <v>443</v>
      </c>
      <c r="P34">
        <v>2.6567206568899385E-2</v>
      </c>
      <c r="Q34" t="s">
        <v>159</v>
      </c>
      <c r="S34" t="s">
        <v>253</v>
      </c>
      <c r="T34" t="s">
        <v>443</v>
      </c>
      <c r="U34">
        <v>3.1005450637849454E-2</v>
      </c>
      <c r="V34" t="s">
        <v>159</v>
      </c>
      <c r="AC34" t="s">
        <v>19</v>
      </c>
      <c r="AD34" t="s">
        <v>443</v>
      </c>
      <c r="AE34">
        <v>2.0705023355418403E-2</v>
      </c>
      <c r="AK34">
        <v>2027</v>
      </c>
      <c r="AL34" t="s">
        <v>431</v>
      </c>
      <c r="AM34">
        <v>0.36670000000000003</v>
      </c>
      <c r="AN34" t="s">
        <v>281</v>
      </c>
    </row>
    <row r="35" spans="9:40" x14ac:dyDescent="0.45">
      <c r="I35" t="s">
        <v>169</v>
      </c>
      <c r="J35" t="s">
        <v>432</v>
      </c>
      <c r="K35">
        <v>0.27053000897856688</v>
      </c>
      <c r="L35" t="s">
        <v>159</v>
      </c>
      <c r="N35" t="s">
        <v>212</v>
      </c>
      <c r="O35" t="s">
        <v>432</v>
      </c>
      <c r="P35">
        <v>0.11433136557471178</v>
      </c>
      <c r="Q35" t="s">
        <v>159</v>
      </c>
      <c r="S35" t="s">
        <v>254</v>
      </c>
      <c r="T35" t="s">
        <v>432</v>
      </c>
      <c r="U35">
        <v>0.1150318785185145</v>
      </c>
      <c r="V35" t="s">
        <v>159</v>
      </c>
      <c r="AK35">
        <v>2028</v>
      </c>
      <c r="AL35" t="s">
        <v>426</v>
      </c>
      <c r="AM35">
        <v>0.1263</v>
      </c>
      <c r="AN35" t="s">
        <v>281</v>
      </c>
    </row>
    <row r="36" spans="9:40" x14ac:dyDescent="0.45">
      <c r="I36" t="s">
        <v>169</v>
      </c>
      <c r="J36" t="s">
        <v>433</v>
      </c>
      <c r="K36">
        <v>2.0627494251048064E-3</v>
      </c>
      <c r="L36" t="s">
        <v>159</v>
      </c>
      <c r="N36" t="s">
        <v>212</v>
      </c>
      <c r="O36" t="s">
        <v>433</v>
      </c>
      <c r="P36">
        <v>0.10750442177062294</v>
      </c>
      <c r="Q36" t="s">
        <v>159</v>
      </c>
      <c r="S36" t="s">
        <v>254</v>
      </c>
      <c r="T36" t="s">
        <v>433</v>
      </c>
      <c r="U36">
        <v>0.11615542000150544</v>
      </c>
      <c r="V36" t="s">
        <v>159</v>
      </c>
      <c r="AK36">
        <v>2028</v>
      </c>
      <c r="AL36" t="s">
        <v>428</v>
      </c>
      <c r="AM36">
        <v>0.25273333333333331</v>
      </c>
      <c r="AN36" t="s">
        <v>281</v>
      </c>
    </row>
    <row r="37" spans="9:40" x14ac:dyDescent="0.45">
      <c r="I37" t="s">
        <v>169</v>
      </c>
      <c r="J37" t="s">
        <v>434</v>
      </c>
      <c r="K37">
        <v>2.4570896836277827E-2</v>
      </c>
      <c r="L37" t="s">
        <v>159</v>
      </c>
      <c r="N37" t="s">
        <v>212</v>
      </c>
      <c r="O37" t="s">
        <v>434</v>
      </c>
      <c r="P37">
        <v>2.864740234155046E-2</v>
      </c>
      <c r="Q37" t="s">
        <v>159</v>
      </c>
      <c r="S37" t="s">
        <v>254</v>
      </c>
      <c r="T37" t="s">
        <v>434</v>
      </c>
      <c r="U37">
        <v>3.3563715877151311E-2</v>
      </c>
      <c r="V37" t="s">
        <v>159</v>
      </c>
      <c r="AK37">
        <v>2028</v>
      </c>
      <c r="AL37" t="s">
        <v>429</v>
      </c>
      <c r="AM37">
        <v>9.2299999999999993E-2</v>
      </c>
      <c r="AN37" t="s">
        <v>281</v>
      </c>
    </row>
    <row r="38" spans="9:40" x14ac:dyDescent="0.45">
      <c r="I38" t="s">
        <v>169</v>
      </c>
      <c r="J38" t="s">
        <v>435</v>
      </c>
      <c r="K38">
        <v>0.19627179599796779</v>
      </c>
      <c r="L38" t="s">
        <v>159</v>
      </c>
      <c r="N38" t="s">
        <v>212</v>
      </c>
      <c r="O38" t="s">
        <v>435</v>
      </c>
      <c r="P38">
        <v>8.8439980799970314E-2</v>
      </c>
      <c r="Q38" t="s">
        <v>159</v>
      </c>
      <c r="S38" t="s">
        <v>254</v>
      </c>
      <c r="T38" t="s">
        <v>435</v>
      </c>
      <c r="U38">
        <v>8.1557910624953725E-2</v>
      </c>
      <c r="V38" t="s">
        <v>159</v>
      </c>
      <c r="AK38">
        <v>2028</v>
      </c>
      <c r="AL38" t="s">
        <v>431</v>
      </c>
      <c r="AM38">
        <v>0.32166666666666666</v>
      </c>
      <c r="AN38" t="s">
        <v>281</v>
      </c>
    </row>
    <row r="39" spans="9:40" x14ac:dyDescent="0.45">
      <c r="I39" t="s">
        <v>169</v>
      </c>
      <c r="J39" t="s">
        <v>436</v>
      </c>
      <c r="K39">
        <v>0</v>
      </c>
      <c r="L39" t="s">
        <v>159</v>
      </c>
      <c r="N39" t="s">
        <v>212</v>
      </c>
      <c r="O39" t="s">
        <v>436</v>
      </c>
      <c r="P39">
        <v>8.9298389148002658E-2</v>
      </c>
      <c r="Q39" t="s">
        <v>159</v>
      </c>
      <c r="S39" t="s">
        <v>254</v>
      </c>
      <c r="T39" t="s">
        <v>436</v>
      </c>
      <c r="U39">
        <v>9.3002441827328627E-2</v>
      </c>
      <c r="V39" t="s">
        <v>159</v>
      </c>
      <c r="AK39">
        <v>2029</v>
      </c>
      <c r="AL39" t="s">
        <v>426</v>
      </c>
      <c r="AM39">
        <v>0.16133333333333333</v>
      </c>
      <c r="AN39" t="s">
        <v>281</v>
      </c>
    </row>
    <row r="40" spans="9:40" x14ac:dyDescent="0.45">
      <c r="I40" t="s">
        <v>169</v>
      </c>
      <c r="J40" t="s">
        <v>437</v>
      </c>
      <c r="K40">
        <v>1.5626924474545431E-2</v>
      </c>
      <c r="L40" t="s">
        <v>159</v>
      </c>
      <c r="N40" t="s">
        <v>212</v>
      </c>
      <c r="O40" t="s">
        <v>437</v>
      </c>
      <c r="P40">
        <v>2.2095564285681366E-2</v>
      </c>
      <c r="Q40" t="s">
        <v>159</v>
      </c>
      <c r="S40" t="s">
        <v>254</v>
      </c>
      <c r="T40" t="s">
        <v>437</v>
      </c>
      <c r="U40">
        <v>2.4428907256566473E-2</v>
      </c>
      <c r="V40" t="s">
        <v>159</v>
      </c>
      <c r="AK40">
        <v>2029</v>
      </c>
      <c r="AL40" t="s">
        <v>428</v>
      </c>
      <c r="AM40">
        <v>0.34826666666666667</v>
      </c>
      <c r="AN40" t="s">
        <v>281</v>
      </c>
    </row>
    <row r="41" spans="9:40" x14ac:dyDescent="0.45">
      <c r="I41" t="s">
        <v>169</v>
      </c>
      <c r="J41" t="s">
        <v>438</v>
      </c>
      <c r="K41">
        <v>0.15445588479673727</v>
      </c>
      <c r="L41" t="s">
        <v>159</v>
      </c>
      <c r="N41" t="s">
        <v>212</v>
      </c>
      <c r="O41" t="s">
        <v>438</v>
      </c>
      <c r="P41">
        <v>0.14476140571880314</v>
      </c>
      <c r="Q41" t="s">
        <v>159</v>
      </c>
      <c r="S41" t="s">
        <v>254</v>
      </c>
      <c r="T41" t="s">
        <v>438</v>
      </c>
      <c r="U41">
        <v>0.1077002618998137</v>
      </c>
      <c r="V41" t="s">
        <v>159</v>
      </c>
      <c r="AK41">
        <v>2029</v>
      </c>
      <c r="AL41" t="s">
        <v>429</v>
      </c>
      <c r="AM41">
        <v>0.12886666666666666</v>
      </c>
      <c r="AN41" t="s">
        <v>281</v>
      </c>
    </row>
    <row r="42" spans="9:40" x14ac:dyDescent="0.45">
      <c r="I42" t="s">
        <v>169</v>
      </c>
      <c r="J42" t="s">
        <v>439</v>
      </c>
      <c r="K42">
        <v>0</v>
      </c>
      <c r="L42" t="s">
        <v>159</v>
      </c>
      <c r="N42" t="s">
        <v>212</v>
      </c>
      <c r="O42" t="s">
        <v>439</v>
      </c>
      <c r="P42">
        <v>0.10708406041769197</v>
      </c>
      <c r="Q42" t="s">
        <v>159</v>
      </c>
      <c r="S42" t="s">
        <v>254</v>
      </c>
      <c r="T42" t="s">
        <v>439</v>
      </c>
      <c r="U42">
        <v>0.10888495570361173</v>
      </c>
      <c r="V42" t="s">
        <v>159</v>
      </c>
      <c r="AK42">
        <v>2029</v>
      </c>
      <c r="AL42" t="s">
        <v>431</v>
      </c>
      <c r="AM42">
        <v>0.45116666666666666</v>
      </c>
      <c r="AN42" t="s">
        <v>281</v>
      </c>
    </row>
    <row r="43" spans="9:40" x14ac:dyDescent="0.45">
      <c r="I43" t="s">
        <v>169</v>
      </c>
      <c r="J43" t="s">
        <v>440</v>
      </c>
      <c r="K43">
        <v>7.6187356856325349E-3</v>
      </c>
      <c r="L43" t="s">
        <v>159</v>
      </c>
      <c r="N43" t="s">
        <v>212</v>
      </c>
      <c r="O43" t="s">
        <v>440</v>
      </c>
      <c r="P43">
        <v>2.461556664825508E-2</v>
      </c>
      <c r="Q43" t="s">
        <v>159</v>
      </c>
      <c r="S43" t="s">
        <v>254</v>
      </c>
      <c r="T43" t="s">
        <v>440</v>
      </c>
      <c r="U43">
        <v>2.2062456131898698E-2</v>
      </c>
      <c r="V43" t="s">
        <v>159</v>
      </c>
      <c r="AK43">
        <v>2030</v>
      </c>
      <c r="AL43" t="s">
        <v>426</v>
      </c>
      <c r="AM43">
        <v>0.13086666666666666</v>
      </c>
      <c r="AN43" t="s">
        <v>281</v>
      </c>
    </row>
    <row r="44" spans="9:40" x14ac:dyDescent="0.45">
      <c r="I44" t="s">
        <v>169</v>
      </c>
      <c r="J44" t="s">
        <v>441</v>
      </c>
      <c r="K44">
        <v>0.2898997149339661</v>
      </c>
      <c r="L44" t="s">
        <v>159</v>
      </c>
      <c r="N44" t="s">
        <v>212</v>
      </c>
      <c r="O44" t="s">
        <v>441</v>
      </c>
      <c r="P44">
        <v>9.4511180165366818E-2</v>
      </c>
      <c r="Q44" t="s">
        <v>159</v>
      </c>
      <c r="S44" t="s">
        <v>254</v>
      </c>
      <c r="T44" t="s">
        <v>441</v>
      </c>
      <c r="U44">
        <v>0.12375235106730212</v>
      </c>
      <c r="V44" t="s">
        <v>159</v>
      </c>
      <c r="AK44">
        <v>2030</v>
      </c>
      <c r="AL44" t="s">
        <v>428</v>
      </c>
      <c r="AM44">
        <v>0.27026666666666666</v>
      </c>
      <c r="AN44" t="s">
        <v>281</v>
      </c>
    </row>
    <row r="45" spans="9:40" x14ac:dyDescent="0.45">
      <c r="I45" t="s">
        <v>169</v>
      </c>
      <c r="J45" t="s">
        <v>442</v>
      </c>
      <c r="K45">
        <v>2.3548440445857639E-3</v>
      </c>
      <c r="L45" t="s">
        <v>159</v>
      </c>
      <c r="N45" t="s">
        <v>212</v>
      </c>
      <c r="O45" t="s">
        <v>442</v>
      </c>
      <c r="P45">
        <v>0.13600768662749693</v>
      </c>
      <c r="Q45" t="s">
        <v>159</v>
      </c>
      <c r="S45" t="s">
        <v>254</v>
      </c>
      <c r="T45" t="s">
        <v>442</v>
      </c>
      <c r="U45">
        <v>0.1334328661212533</v>
      </c>
      <c r="V45" t="s">
        <v>159</v>
      </c>
      <c r="AK45">
        <v>2030</v>
      </c>
      <c r="AL45" t="s">
        <v>429</v>
      </c>
      <c r="AM45">
        <v>9.3999999999999986E-2</v>
      </c>
      <c r="AN45" t="s">
        <v>281</v>
      </c>
    </row>
    <row r="46" spans="9:40" x14ac:dyDescent="0.45">
      <c r="I46" t="s">
        <v>169</v>
      </c>
      <c r="J46" t="s">
        <v>443</v>
      </c>
      <c r="K46">
        <v>3.6608444826613531E-2</v>
      </c>
      <c r="L46" t="s">
        <v>159</v>
      </c>
      <c r="N46" t="s">
        <v>212</v>
      </c>
      <c r="O46" t="s">
        <v>443</v>
      </c>
      <c r="P46">
        <v>4.2702976501845194E-2</v>
      </c>
      <c r="Q46" t="s">
        <v>159</v>
      </c>
      <c r="S46" t="s">
        <v>254</v>
      </c>
      <c r="T46" t="s">
        <v>443</v>
      </c>
      <c r="U46">
        <v>4.0426834970100238E-2</v>
      </c>
      <c r="V46" t="s">
        <v>159</v>
      </c>
      <c r="AK46">
        <v>2030</v>
      </c>
      <c r="AL46" t="s">
        <v>431</v>
      </c>
      <c r="AM46">
        <v>0.31283333333333335</v>
      </c>
      <c r="AN46" t="s">
        <v>281</v>
      </c>
    </row>
    <row r="47" spans="9:40" x14ac:dyDescent="0.45">
      <c r="I47" t="s">
        <v>170</v>
      </c>
      <c r="J47" t="s">
        <v>432</v>
      </c>
      <c r="K47">
        <v>0.27314056159615646</v>
      </c>
      <c r="L47" t="s">
        <v>159</v>
      </c>
      <c r="N47" t="s">
        <v>213</v>
      </c>
      <c r="O47" t="s">
        <v>432</v>
      </c>
      <c r="P47">
        <v>0.14156275571682506</v>
      </c>
      <c r="Q47" t="s">
        <v>159</v>
      </c>
      <c r="S47" t="s">
        <v>255</v>
      </c>
      <c r="T47" t="s">
        <v>432</v>
      </c>
      <c r="U47">
        <v>0.11614938385818444</v>
      </c>
      <c r="V47" t="s">
        <v>159</v>
      </c>
      <c r="AK47">
        <v>2031</v>
      </c>
      <c r="AL47" t="s">
        <v>426</v>
      </c>
      <c r="AM47">
        <v>0.12003333333333333</v>
      </c>
      <c r="AN47" t="s">
        <v>281</v>
      </c>
    </row>
    <row r="48" spans="9:40" x14ac:dyDescent="0.45">
      <c r="I48" t="s">
        <v>170</v>
      </c>
      <c r="J48" t="s">
        <v>433</v>
      </c>
      <c r="K48">
        <v>3.3599846274017953E-3</v>
      </c>
      <c r="L48" t="s">
        <v>159</v>
      </c>
      <c r="N48" t="s">
        <v>213</v>
      </c>
      <c r="O48" t="s">
        <v>433</v>
      </c>
      <c r="P48">
        <v>8.1482923038198873E-2</v>
      </c>
      <c r="Q48" t="s">
        <v>159</v>
      </c>
      <c r="S48" t="s">
        <v>255</v>
      </c>
      <c r="T48" t="s">
        <v>433</v>
      </c>
      <c r="U48">
        <v>0.12498188932839034</v>
      </c>
      <c r="V48" t="s">
        <v>159</v>
      </c>
      <c r="AK48">
        <v>2031</v>
      </c>
      <c r="AL48" t="s">
        <v>428</v>
      </c>
      <c r="AM48">
        <v>0.27460000000000001</v>
      </c>
      <c r="AN48" t="s">
        <v>281</v>
      </c>
    </row>
    <row r="49" spans="9:40" x14ac:dyDescent="0.45">
      <c r="I49" t="s">
        <v>170</v>
      </c>
      <c r="J49" t="s">
        <v>434</v>
      </c>
      <c r="K49">
        <v>2.2377895512198254E-2</v>
      </c>
      <c r="L49" t="s">
        <v>159</v>
      </c>
      <c r="N49" t="s">
        <v>213</v>
      </c>
      <c r="O49" t="s">
        <v>434</v>
      </c>
      <c r="P49">
        <v>3.1580974902831835E-2</v>
      </c>
      <c r="Q49" t="s">
        <v>159</v>
      </c>
      <c r="S49" t="s">
        <v>255</v>
      </c>
      <c r="T49" t="s">
        <v>434</v>
      </c>
      <c r="U49">
        <v>2.482761052142857E-2</v>
      </c>
      <c r="V49" t="s">
        <v>159</v>
      </c>
      <c r="AK49">
        <v>2031</v>
      </c>
      <c r="AL49" t="s">
        <v>429</v>
      </c>
      <c r="AM49">
        <v>9.3799999999999994E-2</v>
      </c>
      <c r="AN49" t="s">
        <v>281</v>
      </c>
    </row>
    <row r="50" spans="9:40" x14ac:dyDescent="0.45">
      <c r="I50" t="s">
        <v>170</v>
      </c>
      <c r="J50" t="s">
        <v>435</v>
      </c>
      <c r="K50">
        <v>0.19538716208383064</v>
      </c>
      <c r="L50" t="s">
        <v>159</v>
      </c>
      <c r="N50" t="s">
        <v>213</v>
      </c>
      <c r="O50" t="s">
        <v>435</v>
      </c>
      <c r="P50">
        <v>9.7306038427382641E-2</v>
      </c>
      <c r="Q50" t="s">
        <v>159</v>
      </c>
      <c r="S50" t="s">
        <v>255</v>
      </c>
      <c r="T50" t="s">
        <v>435</v>
      </c>
      <c r="U50">
        <v>9.4049060155335887E-2</v>
      </c>
      <c r="V50" t="s">
        <v>159</v>
      </c>
      <c r="AK50">
        <v>2031</v>
      </c>
      <c r="AL50" t="s">
        <v>431</v>
      </c>
      <c r="AM50">
        <v>0.32686666666666664</v>
      </c>
      <c r="AN50" t="s">
        <v>281</v>
      </c>
    </row>
    <row r="51" spans="9:40" x14ac:dyDescent="0.45">
      <c r="I51" t="s">
        <v>170</v>
      </c>
      <c r="J51" t="s">
        <v>436</v>
      </c>
      <c r="K51">
        <v>0</v>
      </c>
      <c r="L51" t="s">
        <v>159</v>
      </c>
      <c r="N51" t="s">
        <v>213</v>
      </c>
      <c r="O51" t="s">
        <v>436</v>
      </c>
      <c r="P51">
        <v>6.3533458385746783E-2</v>
      </c>
      <c r="Q51" t="s">
        <v>159</v>
      </c>
      <c r="S51" t="s">
        <v>255</v>
      </c>
      <c r="T51" t="s">
        <v>436</v>
      </c>
      <c r="U51">
        <v>0.10682448393998559</v>
      </c>
      <c r="V51" t="s">
        <v>159</v>
      </c>
      <c r="AK51">
        <v>2032</v>
      </c>
      <c r="AL51" t="s">
        <v>426</v>
      </c>
      <c r="AM51">
        <v>0.1203</v>
      </c>
      <c r="AN51" t="s">
        <v>281</v>
      </c>
    </row>
    <row r="52" spans="9:40" x14ac:dyDescent="0.45">
      <c r="I52" t="s">
        <v>170</v>
      </c>
      <c r="J52" t="s">
        <v>437</v>
      </c>
      <c r="K52">
        <v>1.1974607748645696E-2</v>
      </c>
      <c r="L52" t="s">
        <v>159</v>
      </c>
      <c r="N52" t="s">
        <v>213</v>
      </c>
      <c r="O52" t="s">
        <v>437</v>
      </c>
      <c r="P52">
        <v>2.3201718960850434E-2</v>
      </c>
      <c r="Q52" t="s">
        <v>159</v>
      </c>
      <c r="S52" t="s">
        <v>255</v>
      </c>
      <c r="T52" t="s">
        <v>437</v>
      </c>
      <c r="U52">
        <v>2.0199408096643282E-2</v>
      </c>
      <c r="V52" t="s">
        <v>159</v>
      </c>
      <c r="AK52">
        <v>2032</v>
      </c>
      <c r="AL52" t="s">
        <v>428</v>
      </c>
      <c r="AM52">
        <v>0.26919999999999999</v>
      </c>
      <c r="AN52" t="s">
        <v>281</v>
      </c>
    </row>
    <row r="53" spans="9:40" x14ac:dyDescent="0.45">
      <c r="I53" t="s">
        <v>170</v>
      </c>
      <c r="J53" t="s">
        <v>438</v>
      </c>
      <c r="K53">
        <v>0.16469568785250729</v>
      </c>
      <c r="L53" t="s">
        <v>159</v>
      </c>
      <c r="N53" t="s">
        <v>213</v>
      </c>
      <c r="O53" t="s">
        <v>438</v>
      </c>
      <c r="P53">
        <v>0.16984553301951824</v>
      </c>
      <c r="Q53" t="s">
        <v>159</v>
      </c>
      <c r="S53" t="s">
        <v>255</v>
      </c>
      <c r="T53" t="s">
        <v>438</v>
      </c>
      <c r="U53">
        <v>9.4209111872531295E-2</v>
      </c>
      <c r="V53" t="s">
        <v>159</v>
      </c>
      <c r="AK53">
        <v>2032</v>
      </c>
      <c r="AL53" t="s">
        <v>429</v>
      </c>
      <c r="AM53">
        <v>9.2100000000000001E-2</v>
      </c>
      <c r="AN53" t="s">
        <v>281</v>
      </c>
    </row>
    <row r="54" spans="9:40" x14ac:dyDescent="0.45">
      <c r="I54" t="s">
        <v>170</v>
      </c>
      <c r="J54" t="s">
        <v>439</v>
      </c>
      <c r="K54">
        <v>0</v>
      </c>
      <c r="L54" t="s">
        <v>159</v>
      </c>
      <c r="N54" t="s">
        <v>213</v>
      </c>
      <c r="O54" t="s">
        <v>439</v>
      </c>
      <c r="P54">
        <v>0.1260305265651758</v>
      </c>
      <c r="Q54" t="s">
        <v>159</v>
      </c>
      <c r="S54" t="s">
        <v>255</v>
      </c>
      <c r="T54" t="s">
        <v>439</v>
      </c>
      <c r="U54">
        <v>9.9248854368834891E-2</v>
      </c>
      <c r="V54" t="s">
        <v>159</v>
      </c>
      <c r="AK54">
        <v>2032</v>
      </c>
      <c r="AL54" t="s">
        <v>431</v>
      </c>
      <c r="AM54">
        <v>0.32533333333333331</v>
      </c>
      <c r="AN54" t="s">
        <v>281</v>
      </c>
    </row>
    <row r="55" spans="9:40" x14ac:dyDescent="0.45">
      <c r="I55" t="s">
        <v>170</v>
      </c>
      <c r="J55" t="s">
        <v>440</v>
      </c>
      <c r="K55">
        <v>6.0847944274077768E-3</v>
      </c>
      <c r="L55" t="s">
        <v>159</v>
      </c>
      <c r="N55" t="s">
        <v>213</v>
      </c>
      <c r="O55" t="s">
        <v>440</v>
      </c>
      <c r="P55">
        <v>2.7955598332336903E-2</v>
      </c>
      <c r="Q55" t="s">
        <v>159</v>
      </c>
      <c r="S55" t="s">
        <v>255</v>
      </c>
      <c r="T55" t="s">
        <v>440</v>
      </c>
      <c r="U55">
        <v>1.7981334603546374E-2</v>
      </c>
      <c r="V55" t="s">
        <v>159</v>
      </c>
      <c r="AK55">
        <v>2033</v>
      </c>
      <c r="AL55" t="s">
        <v>426</v>
      </c>
      <c r="AM55">
        <v>0.12419999999999999</v>
      </c>
      <c r="AN55" t="s">
        <v>281</v>
      </c>
    </row>
    <row r="56" spans="9:40" x14ac:dyDescent="0.45">
      <c r="I56" t="s">
        <v>170</v>
      </c>
      <c r="J56" t="s">
        <v>441</v>
      </c>
      <c r="K56">
        <v>0.28598235538660222</v>
      </c>
      <c r="L56" t="s">
        <v>159</v>
      </c>
      <c r="N56" t="s">
        <v>213</v>
      </c>
      <c r="O56" t="s">
        <v>441</v>
      </c>
      <c r="P56">
        <v>0.11993674772805012</v>
      </c>
      <c r="Q56" t="s">
        <v>159</v>
      </c>
      <c r="S56" t="s">
        <v>255</v>
      </c>
      <c r="T56" t="s">
        <v>441</v>
      </c>
      <c r="U56">
        <v>0.1271793924708868</v>
      </c>
      <c r="V56" t="s">
        <v>159</v>
      </c>
      <c r="AK56">
        <v>2033</v>
      </c>
      <c r="AL56" t="s">
        <v>428</v>
      </c>
      <c r="AM56">
        <v>0.25980000000000003</v>
      </c>
      <c r="AN56" t="s">
        <v>281</v>
      </c>
    </row>
    <row r="57" spans="9:40" x14ac:dyDescent="0.45">
      <c r="I57" t="s">
        <v>170</v>
      </c>
      <c r="J57" t="s">
        <v>442</v>
      </c>
      <c r="K57">
        <v>3.6401760518357776E-3</v>
      </c>
      <c r="L57" t="s">
        <v>159</v>
      </c>
      <c r="N57" t="s">
        <v>213</v>
      </c>
      <c r="O57" t="s">
        <v>442</v>
      </c>
      <c r="P57">
        <v>7.236843376080368E-2</v>
      </c>
      <c r="Q57" t="s">
        <v>159</v>
      </c>
      <c r="S57" t="s">
        <v>255</v>
      </c>
      <c r="T57" t="s">
        <v>442</v>
      </c>
      <c r="U57">
        <v>0.14506561637715162</v>
      </c>
      <c r="V57" t="s">
        <v>159</v>
      </c>
      <c r="AK57">
        <v>2033</v>
      </c>
      <c r="AL57" t="s">
        <v>429</v>
      </c>
      <c r="AM57">
        <v>9.4266666666666679E-2</v>
      </c>
      <c r="AN57" t="s">
        <v>281</v>
      </c>
    </row>
    <row r="58" spans="9:40" x14ac:dyDescent="0.45">
      <c r="I58" t="s">
        <v>170</v>
      </c>
      <c r="J58" t="s">
        <v>443</v>
      </c>
      <c r="K58">
        <v>3.3356774713414625E-2</v>
      </c>
      <c r="L58" t="s">
        <v>159</v>
      </c>
      <c r="N58" t="s">
        <v>213</v>
      </c>
      <c r="O58" t="s">
        <v>443</v>
      </c>
      <c r="P58">
        <v>4.5195291162280278E-2</v>
      </c>
      <c r="Q58" t="s">
        <v>159</v>
      </c>
      <c r="S58" t="s">
        <v>255</v>
      </c>
      <c r="T58" t="s">
        <v>443</v>
      </c>
      <c r="U58">
        <v>2.9283854407076898E-2</v>
      </c>
      <c r="V58" t="s">
        <v>159</v>
      </c>
      <c r="AK58">
        <v>2033</v>
      </c>
      <c r="AL58" t="s">
        <v>431</v>
      </c>
      <c r="AM58">
        <v>0.33756666666666663</v>
      </c>
      <c r="AN58" t="s">
        <v>281</v>
      </c>
    </row>
    <row r="59" spans="9:40" x14ac:dyDescent="0.45">
      <c r="I59" t="s">
        <v>171</v>
      </c>
      <c r="J59" t="s">
        <v>432</v>
      </c>
      <c r="K59">
        <v>0.27459358560161601</v>
      </c>
      <c r="L59" t="s">
        <v>159</v>
      </c>
      <c r="N59" t="s">
        <v>214</v>
      </c>
      <c r="O59" t="s">
        <v>432</v>
      </c>
      <c r="P59">
        <v>0.11542759919031116</v>
      </c>
      <c r="Q59" t="s">
        <v>159</v>
      </c>
      <c r="S59" t="s">
        <v>256</v>
      </c>
      <c r="T59" t="s">
        <v>432</v>
      </c>
      <c r="U59">
        <v>0.12486522445388623</v>
      </c>
      <c r="V59" t="s">
        <v>159</v>
      </c>
      <c r="AK59">
        <v>2034</v>
      </c>
      <c r="AL59" t="s">
        <v>426</v>
      </c>
      <c r="AM59">
        <v>0.12119999999999999</v>
      </c>
      <c r="AN59" t="s">
        <v>281</v>
      </c>
    </row>
    <row r="60" spans="9:40" x14ac:dyDescent="0.45">
      <c r="I60" t="s">
        <v>171</v>
      </c>
      <c r="J60" t="s">
        <v>433</v>
      </c>
      <c r="K60">
        <v>2.7252622682510685E-3</v>
      </c>
      <c r="L60" t="s">
        <v>159</v>
      </c>
      <c r="N60" t="s">
        <v>214</v>
      </c>
      <c r="O60" t="s">
        <v>433</v>
      </c>
      <c r="P60">
        <v>8.1559211796917969E-2</v>
      </c>
      <c r="Q60" t="s">
        <v>159</v>
      </c>
      <c r="S60" t="s">
        <v>256</v>
      </c>
      <c r="T60" t="s">
        <v>433</v>
      </c>
      <c r="U60">
        <v>0.12074027610367931</v>
      </c>
      <c r="V60" t="s">
        <v>159</v>
      </c>
      <c r="AK60">
        <v>2034</v>
      </c>
      <c r="AL60" t="s">
        <v>428</v>
      </c>
      <c r="AM60">
        <v>0.2702</v>
      </c>
      <c r="AN60" t="s">
        <v>281</v>
      </c>
    </row>
    <row r="61" spans="9:40" x14ac:dyDescent="0.45">
      <c r="I61" t="s">
        <v>171</v>
      </c>
      <c r="J61" t="s">
        <v>434</v>
      </c>
      <c r="K61">
        <v>1.9620907541769785E-2</v>
      </c>
      <c r="L61" t="s">
        <v>159</v>
      </c>
      <c r="N61" t="s">
        <v>214</v>
      </c>
      <c r="O61" t="s">
        <v>434</v>
      </c>
      <c r="P61">
        <v>3.6204428580155247E-2</v>
      </c>
      <c r="Q61" t="s">
        <v>159</v>
      </c>
      <c r="S61" t="s">
        <v>256</v>
      </c>
      <c r="T61" t="s">
        <v>434</v>
      </c>
      <c r="U61">
        <v>3.5270962067829363E-2</v>
      </c>
      <c r="V61" t="s">
        <v>159</v>
      </c>
      <c r="AK61">
        <v>2034</v>
      </c>
      <c r="AL61" t="s">
        <v>429</v>
      </c>
      <c r="AM61">
        <v>9.1633333333333344E-2</v>
      </c>
      <c r="AN61" t="s">
        <v>281</v>
      </c>
    </row>
    <row r="62" spans="9:40" x14ac:dyDescent="0.45">
      <c r="I62" t="s">
        <v>171</v>
      </c>
      <c r="J62" t="s">
        <v>435</v>
      </c>
      <c r="K62">
        <v>0.20184024892510072</v>
      </c>
      <c r="L62" t="s">
        <v>159</v>
      </c>
      <c r="N62" t="s">
        <v>214</v>
      </c>
      <c r="O62" t="s">
        <v>435</v>
      </c>
      <c r="P62">
        <v>0.10164215875786485</v>
      </c>
      <c r="Q62" t="s">
        <v>159</v>
      </c>
      <c r="S62" t="s">
        <v>256</v>
      </c>
      <c r="T62" t="s">
        <v>435</v>
      </c>
      <c r="U62">
        <v>9.5569907264989304E-2</v>
      </c>
      <c r="V62" t="s">
        <v>159</v>
      </c>
      <c r="AK62">
        <v>2034</v>
      </c>
      <c r="AL62" t="s">
        <v>431</v>
      </c>
      <c r="AM62">
        <v>0.32290000000000002</v>
      </c>
      <c r="AN62" t="s">
        <v>281</v>
      </c>
    </row>
    <row r="63" spans="9:40" x14ac:dyDescent="0.45">
      <c r="I63" t="s">
        <v>171</v>
      </c>
      <c r="J63" t="s">
        <v>436</v>
      </c>
      <c r="K63">
        <v>0</v>
      </c>
      <c r="L63" t="s">
        <v>159</v>
      </c>
      <c r="N63" t="s">
        <v>214</v>
      </c>
      <c r="O63" t="s">
        <v>436</v>
      </c>
      <c r="P63">
        <v>7.6547355043142321E-2</v>
      </c>
      <c r="Q63" t="s">
        <v>159</v>
      </c>
      <c r="S63" t="s">
        <v>256</v>
      </c>
      <c r="T63" t="s">
        <v>436</v>
      </c>
      <c r="U63">
        <v>9.4274457922395069E-2</v>
      </c>
      <c r="V63" t="s">
        <v>159</v>
      </c>
      <c r="AK63">
        <v>2035</v>
      </c>
      <c r="AL63" t="s">
        <v>426</v>
      </c>
      <c r="AM63">
        <v>0.15469999999999998</v>
      </c>
      <c r="AN63" t="s">
        <v>281</v>
      </c>
    </row>
    <row r="64" spans="9:40" x14ac:dyDescent="0.45">
      <c r="I64" t="s">
        <v>171</v>
      </c>
      <c r="J64" t="s">
        <v>437</v>
      </c>
      <c r="K64">
        <v>1.2137202209070153E-2</v>
      </c>
      <c r="L64" t="s">
        <v>159</v>
      </c>
      <c r="N64" t="s">
        <v>214</v>
      </c>
      <c r="O64" t="s">
        <v>437</v>
      </c>
      <c r="P64">
        <v>2.5622713722481448E-2</v>
      </c>
      <c r="Q64" t="s">
        <v>159</v>
      </c>
      <c r="S64" t="s">
        <v>256</v>
      </c>
      <c r="T64" t="s">
        <v>437</v>
      </c>
      <c r="U64">
        <v>2.5475853799424051E-2</v>
      </c>
      <c r="V64" t="s">
        <v>159</v>
      </c>
      <c r="AK64">
        <v>2035</v>
      </c>
      <c r="AL64" t="s">
        <v>428</v>
      </c>
      <c r="AM64">
        <v>0.32379999999999998</v>
      </c>
      <c r="AN64" t="s">
        <v>281</v>
      </c>
    </row>
    <row r="65" spans="9:40" x14ac:dyDescent="0.45">
      <c r="I65" t="s">
        <v>171</v>
      </c>
      <c r="J65" t="s">
        <v>438</v>
      </c>
      <c r="K65">
        <v>0.17384203162562697</v>
      </c>
      <c r="L65" t="s">
        <v>159</v>
      </c>
      <c r="N65" t="s">
        <v>214</v>
      </c>
      <c r="O65" t="s">
        <v>438</v>
      </c>
      <c r="P65">
        <v>0.1899520795504139</v>
      </c>
      <c r="Q65" t="s">
        <v>159</v>
      </c>
      <c r="S65" t="s">
        <v>256</v>
      </c>
      <c r="T65" t="s">
        <v>438</v>
      </c>
      <c r="U65">
        <v>0.10245493816101846</v>
      </c>
      <c r="V65" t="s">
        <v>159</v>
      </c>
      <c r="AK65">
        <v>2035</v>
      </c>
      <c r="AL65" t="s">
        <v>429</v>
      </c>
      <c r="AM65">
        <v>0.1123</v>
      </c>
      <c r="AN65" t="s">
        <v>281</v>
      </c>
    </row>
    <row r="66" spans="9:40" x14ac:dyDescent="0.45">
      <c r="I66" t="s">
        <v>171</v>
      </c>
      <c r="J66" t="s">
        <v>439</v>
      </c>
      <c r="K66">
        <v>0</v>
      </c>
      <c r="L66" t="s">
        <v>159</v>
      </c>
      <c r="N66" t="s">
        <v>214</v>
      </c>
      <c r="O66" t="s">
        <v>439</v>
      </c>
      <c r="P66">
        <v>0.1454913221818942</v>
      </c>
      <c r="Q66" t="s">
        <v>159</v>
      </c>
      <c r="S66" t="s">
        <v>256</v>
      </c>
      <c r="T66" t="s">
        <v>439</v>
      </c>
      <c r="U66">
        <v>0.10311355028138514</v>
      </c>
      <c r="V66" t="s">
        <v>159</v>
      </c>
      <c r="AK66">
        <v>2035</v>
      </c>
      <c r="AL66" t="s">
        <v>431</v>
      </c>
      <c r="AM66">
        <v>0.36236666666666667</v>
      </c>
      <c r="AN66" t="s">
        <v>281</v>
      </c>
    </row>
    <row r="67" spans="9:40" x14ac:dyDescent="0.45">
      <c r="I67" t="s">
        <v>171</v>
      </c>
      <c r="J67" t="s">
        <v>440</v>
      </c>
      <c r="K67">
        <v>6.9146233587416431E-3</v>
      </c>
      <c r="L67" t="s">
        <v>159</v>
      </c>
      <c r="N67" t="s">
        <v>214</v>
      </c>
      <c r="O67" t="s">
        <v>440</v>
      </c>
      <c r="P67">
        <v>2.8580941913864816E-2</v>
      </c>
      <c r="Q67" t="s">
        <v>159</v>
      </c>
      <c r="S67" t="s">
        <v>256</v>
      </c>
      <c r="T67" t="s">
        <v>440</v>
      </c>
      <c r="U67">
        <v>2.1052924466731883E-2</v>
      </c>
      <c r="V67" t="s">
        <v>159</v>
      </c>
      <c r="AK67">
        <v>2036</v>
      </c>
      <c r="AL67" t="s">
        <v>426</v>
      </c>
      <c r="AM67">
        <v>0.14656666666666665</v>
      </c>
      <c r="AN67" t="s">
        <v>281</v>
      </c>
    </row>
    <row r="68" spans="9:40" x14ac:dyDescent="0.45">
      <c r="I68" t="s">
        <v>171</v>
      </c>
      <c r="J68" t="s">
        <v>441</v>
      </c>
      <c r="K68">
        <v>0.27599098909039915</v>
      </c>
      <c r="L68" t="s">
        <v>159</v>
      </c>
      <c r="N68" t="s">
        <v>214</v>
      </c>
      <c r="O68" t="s">
        <v>441</v>
      </c>
      <c r="P68">
        <v>8.1294485981418668E-2</v>
      </c>
      <c r="Q68" t="s">
        <v>159</v>
      </c>
      <c r="S68" t="s">
        <v>256</v>
      </c>
      <c r="T68" t="s">
        <v>441</v>
      </c>
      <c r="U68">
        <v>0.1216496345233028</v>
      </c>
      <c r="V68" t="s">
        <v>159</v>
      </c>
      <c r="AK68">
        <v>2036</v>
      </c>
      <c r="AL68" t="s">
        <v>428</v>
      </c>
      <c r="AM68">
        <v>0.3</v>
      </c>
      <c r="AN68" t="s">
        <v>281</v>
      </c>
    </row>
    <row r="69" spans="9:40" x14ac:dyDescent="0.45">
      <c r="I69" t="s">
        <v>171</v>
      </c>
      <c r="J69" t="s">
        <v>442</v>
      </c>
      <c r="K69">
        <v>2.7727366752102133E-3</v>
      </c>
      <c r="L69" t="s">
        <v>159</v>
      </c>
      <c r="N69" t="s">
        <v>214</v>
      </c>
      <c r="O69" t="s">
        <v>442</v>
      </c>
      <c r="P69">
        <v>7.4848795533721812E-2</v>
      </c>
      <c r="Q69" t="s">
        <v>159</v>
      </c>
      <c r="S69" t="s">
        <v>256</v>
      </c>
      <c r="T69" t="s">
        <v>442</v>
      </c>
      <c r="U69">
        <v>0.11925974437640932</v>
      </c>
      <c r="V69" t="s">
        <v>159</v>
      </c>
      <c r="AK69">
        <v>2036</v>
      </c>
      <c r="AL69" t="s">
        <v>429</v>
      </c>
      <c r="AM69">
        <v>0.11246666666666667</v>
      </c>
      <c r="AN69" t="s">
        <v>281</v>
      </c>
    </row>
    <row r="70" spans="9:40" x14ac:dyDescent="0.45">
      <c r="I70" t="s">
        <v>171</v>
      </c>
      <c r="J70" t="s">
        <v>443</v>
      </c>
      <c r="K70">
        <v>2.9562412704216449E-2</v>
      </c>
      <c r="L70" t="s">
        <v>159</v>
      </c>
      <c r="N70" t="s">
        <v>214</v>
      </c>
      <c r="O70" t="s">
        <v>443</v>
      </c>
      <c r="P70">
        <v>4.2828907747807683E-2</v>
      </c>
      <c r="Q70" t="s">
        <v>159</v>
      </c>
      <c r="S70" t="s">
        <v>256</v>
      </c>
      <c r="T70" t="s">
        <v>443</v>
      </c>
      <c r="U70">
        <v>3.6272526578948118E-2</v>
      </c>
      <c r="V70" t="s">
        <v>159</v>
      </c>
      <c r="AK70">
        <v>2036</v>
      </c>
      <c r="AL70" t="s">
        <v>431</v>
      </c>
      <c r="AM70">
        <v>0.37030000000000002</v>
      </c>
      <c r="AN70" t="s">
        <v>281</v>
      </c>
    </row>
    <row r="71" spans="9:40" x14ac:dyDescent="0.45">
      <c r="I71" t="s">
        <v>172</v>
      </c>
      <c r="J71" t="s">
        <v>432</v>
      </c>
      <c r="K71">
        <v>0.26305765662287595</v>
      </c>
      <c r="L71" t="s">
        <v>159</v>
      </c>
      <c r="N71" t="s">
        <v>215</v>
      </c>
      <c r="O71" t="s">
        <v>432</v>
      </c>
      <c r="P71">
        <v>0.10936464845730179</v>
      </c>
      <c r="Q71" t="s">
        <v>159</v>
      </c>
      <c r="S71" t="s">
        <v>257</v>
      </c>
      <c r="T71" t="s">
        <v>432</v>
      </c>
      <c r="U71">
        <v>0.12206621966921757</v>
      </c>
      <c r="V71" t="s">
        <v>159</v>
      </c>
      <c r="AK71">
        <v>2037</v>
      </c>
      <c r="AL71" t="s">
        <v>426</v>
      </c>
      <c r="AM71">
        <v>0.14023333333333335</v>
      </c>
      <c r="AN71" t="s">
        <v>281</v>
      </c>
    </row>
    <row r="72" spans="9:40" x14ac:dyDescent="0.45">
      <c r="I72" t="s">
        <v>172</v>
      </c>
      <c r="J72" t="s">
        <v>433</v>
      </c>
      <c r="K72">
        <v>0</v>
      </c>
      <c r="L72" t="s">
        <v>159</v>
      </c>
      <c r="N72" t="s">
        <v>215</v>
      </c>
      <c r="O72" t="s">
        <v>433</v>
      </c>
      <c r="P72">
        <v>0.10357648879917607</v>
      </c>
      <c r="Q72" t="s">
        <v>159</v>
      </c>
      <c r="S72" t="s">
        <v>257</v>
      </c>
      <c r="T72" t="s">
        <v>433</v>
      </c>
      <c r="U72">
        <v>0.12792105648540772</v>
      </c>
      <c r="V72" t="s">
        <v>159</v>
      </c>
      <c r="AK72">
        <v>2037</v>
      </c>
      <c r="AL72" t="s">
        <v>428</v>
      </c>
      <c r="AM72">
        <v>0.31573333333333331</v>
      </c>
      <c r="AN72" t="s">
        <v>281</v>
      </c>
    </row>
    <row r="73" spans="9:40" x14ac:dyDescent="0.45">
      <c r="I73" t="s">
        <v>172</v>
      </c>
      <c r="J73" t="s">
        <v>434</v>
      </c>
      <c r="K73">
        <v>3.140497462003921E-2</v>
      </c>
      <c r="L73" t="s">
        <v>159</v>
      </c>
      <c r="N73" t="s">
        <v>215</v>
      </c>
      <c r="O73" t="s">
        <v>434</v>
      </c>
      <c r="P73">
        <v>2.8652543516793551E-2</v>
      </c>
      <c r="Q73" t="s">
        <v>159</v>
      </c>
      <c r="S73" t="s">
        <v>257</v>
      </c>
      <c r="T73" t="s">
        <v>434</v>
      </c>
      <c r="U73">
        <v>2.7737081502412327E-2</v>
      </c>
      <c r="V73" t="s">
        <v>159</v>
      </c>
      <c r="AK73">
        <v>2037</v>
      </c>
      <c r="AL73" t="s">
        <v>429</v>
      </c>
      <c r="AM73">
        <v>0.10746666666666667</v>
      </c>
      <c r="AN73" t="s">
        <v>281</v>
      </c>
    </row>
    <row r="74" spans="9:40" x14ac:dyDescent="0.45">
      <c r="I74" t="s">
        <v>172</v>
      </c>
      <c r="J74" t="s">
        <v>435</v>
      </c>
      <c r="K74">
        <v>0.19633365995596957</v>
      </c>
      <c r="L74" t="s">
        <v>159</v>
      </c>
      <c r="N74" t="s">
        <v>215</v>
      </c>
      <c r="O74" t="s">
        <v>435</v>
      </c>
      <c r="P74">
        <v>0.10545956471667134</v>
      </c>
      <c r="Q74" t="s">
        <v>159</v>
      </c>
      <c r="S74" t="s">
        <v>257</v>
      </c>
      <c r="T74" t="s">
        <v>435</v>
      </c>
      <c r="U74">
        <v>9.4424621642444487E-2</v>
      </c>
      <c r="V74" t="s">
        <v>159</v>
      </c>
      <c r="AK74">
        <v>2037</v>
      </c>
      <c r="AL74" t="s">
        <v>431</v>
      </c>
      <c r="AM74">
        <v>0.39529999999999998</v>
      </c>
      <c r="AN74" t="s">
        <v>281</v>
      </c>
    </row>
    <row r="75" spans="9:40" x14ac:dyDescent="0.45">
      <c r="I75" t="s">
        <v>172</v>
      </c>
      <c r="J75" t="s">
        <v>436</v>
      </c>
      <c r="K75">
        <v>0</v>
      </c>
      <c r="L75" t="s">
        <v>159</v>
      </c>
      <c r="N75" t="s">
        <v>215</v>
      </c>
      <c r="O75" t="s">
        <v>436</v>
      </c>
      <c r="P75">
        <v>0.10129679741785279</v>
      </c>
      <c r="Q75" t="s">
        <v>159</v>
      </c>
      <c r="S75" t="s">
        <v>257</v>
      </c>
      <c r="T75" t="s">
        <v>436</v>
      </c>
      <c r="U75">
        <v>0.10652586654501288</v>
      </c>
      <c r="V75" t="s">
        <v>159</v>
      </c>
      <c r="AK75">
        <v>2038</v>
      </c>
      <c r="AL75" t="s">
        <v>426</v>
      </c>
      <c r="AM75">
        <v>0.14526666666666666</v>
      </c>
      <c r="AN75" t="s">
        <v>281</v>
      </c>
    </row>
    <row r="76" spans="9:40" x14ac:dyDescent="0.45">
      <c r="I76" t="s">
        <v>172</v>
      </c>
      <c r="J76" t="s">
        <v>437</v>
      </c>
      <c r="K76">
        <v>2.0181140725877244E-2</v>
      </c>
      <c r="L76" t="s">
        <v>159</v>
      </c>
      <c r="N76" t="s">
        <v>215</v>
      </c>
      <c r="O76" t="s">
        <v>437</v>
      </c>
      <c r="P76">
        <v>2.2440769261341229E-2</v>
      </c>
      <c r="Q76" t="s">
        <v>159</v>
      </c>
      <c r="S76" t="s">
        <v>257</v>
      </c>
      <c r="T76" t="s">
        <v>437</v>
      </c>
      <c r="U76">
        <v>2.2191621762184224E-2</v>
      </c>
      <c r="V76" t="s">
        <v>159</v>
      </c>
      <c r="AK76">
        <v>2038</v>
      </c>
      <c r="AL76" t="s">
        <v>428</v>
      </c>
      <c r="AM76">
        <v>0.30786666666666668</v>
      </c>
      <c r="AN76" t="s">
        <v>281</v>
      </c>
    </row>
    <row r="77" spans="9:40" x14ac:dyDescent="0.45">
      <c r="I77" t="s">
        <v>172</v>
      </c>
      <c r="J77" t="s">
        <v>438</v>
      </c>
      <c r="K77">
        <v>0.14625946881302868</v>
      </c>
      <c r="L77" t="s">
        <v>159</v>
      </c>
      <c r="N77" t="s">
        <v>215</v>
      </c>
      <c r="O77" t="s">
        <v>438</v>
      </c>
      <c r="P77">
        <v>0.15623095346765373</v>
      </c>
      <c r="Q77" t="s">
        <v>159</v>
      </c>
      <c r="S77" t="s">
        <v>257</v>
      </c>
      <c r="T77" t="s">
        <v>438</v>
      </c>
      <c r="U77">
        <v>9.1790845419341974E-2</v>
      </c>
      <c r="V77" t="s">
        <v>159</v>
      </c>
      <c r="AK77">
        <v>2038</v>
      </c>
      <c r="AL77" t="s">
        <v>429</v>
      </c>
      <c r="AM77">
        <v>0.10246666666666666</v>
      </c>
      <c r="AN77" t="s">
        <v>281</v>
      </c>
    </row>
    <row r="78" spans="9:40" x14ac:dyDescent="0.45">
      <c r="I78" t="s">
        <v>172</v>
      </c>
      <c r="J78" t="s">
        <v>439</v>
      </c>
      <c r="K78">
        <v>0</v>
      </c>
      <c r="L78" t="s">
        <v>159</v>
      </c>
      <c r="N78" t="s">
        <v>215</v>
      </c>
      <c r="O78" t="s">
        <v>439</v>
      </c>
      <c r="P78">
        <v>0.13280318233818486</v>
      </c>
      <c r="Q78" t="s">
        <v>159</v>
      </c>
      <c r="S78" t="s">
        <v>257</v>
      </c>
      <c r="T78" t="s">
        <v>439</v>
      </c>
      <c r="U78">
        <v>9.6889515667506892E-2</v>
      </c>
      <c r="V78" t="s">
        <v>159</v>
      </c>
      <c r="AK78">
        <v>2038</v>
      </c>
      <c r="AL78" t="s">
        <v>431</v>
      </c>
      <c r="AM78">
        <v>0.33443333333333336</v>
      </c>
      <c r="AN78" t="s">
        <v>281</v>
      </c>
    </row>
    <row r="79" spans="9:40" x14ac:dyDescent="0.45">
      <c r="I79" t="s">
        <v>172</v>
      </c>
      <c r="J79" t="s">
        <v>440</v>
      </c>
      <c r="K79">
        <v>1.1134934011727986E-2</v>
      </c>
      <c r="L79" t="s">
        <v>159</v>
      </c>
      <c r="N79" t="s">
        <v>215</v>
      </c>
      <c r="O79" t="s">
        <v>440</v>
      </c>
      <c r="P79">
        <v>2.8154684307758561E-2</v>
      </c>
      <c r="Q79" t="s">
        <v>159</v>
      </c>
      <c r="S79" t="s">
        <v>257</v>
      </c>
      <c r="T79" t="s">
        <v>440</v>
      </c>
      <c r="U79">
        <v>1.9008351445735122E-2</v>
      </c>
      <c r="V79" t="s">
        <v>159</v>
      </c>
      <c r="AK79">
        <v>2039</v>
      </c>
      <c r="AL79" t="s">
        <v>426</v>
      </c>
      <c r="AM79">
        <v>0.15110000000000001</v>
      </c>
      <c r="AN79" t="s">
        <v>281</v>
      </c>
    </row>
    <row r="80" spans="9:40" x14ac:dyDescent="0.45">
      <c r="I80" t="s">
        <v>172</v>
      </c>
      <c r="J80" t="s">
        <v>441</v>
      </c>
      <c r="K80">
        <v>0.28508948593907191</v>
      </c>
      <c r="L80" t="s">
        <v>159</v>
      </c>
      <c r="N80" t="s">
        <v>215</v>
      </c>
      <c r="O80" t="s">
        <v>441</v>
      </c>
      <c r="P80">
        <v>6.9521516749274953E-2</v>
      </c>
      <c r="Q80" t="s">
        <v>159</v>
      </c>
      <c r="S80" t="s">
        <v>257</v>
      </c>
      <c r="T80" t="s">
        <v>441</v>
      </c>
      <c r="U80">
        <v>0.1245920100065037</v>
      </c>
      <c r="V80" t="s">
        <v>159</v>
      </c>
      <c r="AK80">
        <v>2039</v>
      </c>
      <c r="AL80" t="s">
        <v>428</v>
      </c>
      <c r="AM80">
        <v>0.32269999999999999</v>
      </c>
      <c r="AN80" t="s">
        <v>281</v>
      </c>
    </row>
    <row r="81" spans="9:40" x14ac:dyDescent="0.45">
      <c r="I81" t="s">
        <v>172</v>
      </c>
      <c r="J81" t="s">
        <v>442</v>
      </c>
      <c r="K81">
        <v>6.4907228099134063E-3</v>
      </c>
      <c r="L81" t="s">
        <v>159</v>
      </c>
      <c r="N81" t="s">
        <v>215</v>
      </c>
      <c r="O81" t="s">
        <v>442</v>
      </c>
      <c r="P81">
        <v>0.11028045512597572</v>
      </c>
      <c r="Q81" t="s">
        <v>159</v>
      </c>
      <c r="S81" t="s">
        <v>257</v>
      </c>
      <c r="T81" t="s">
        <v>442</v>
      </c>
      <c r="U81">
        <v>0.1373644239737595</v>
      </c>
      <c r="V81" t="s">
        <v>159</v>
      </c>
      <c r="AK81">
        <v>2039</v>
      </c>
      <c r="AL81" t="s">
        <v>429</v>
      </c>
      <c r="AM81">
        <v>0.1033</v>
      </c>
      <c r="AN81" t="s">
        <v>281</v>
      </c>
    </row>
    <row r="82" spans="9:40" x14ac:dyDescent="0.45">
      <c r="I82" t="s">
        <v>172</v>
      </c>
      <c r="J82" t="s">
        <v>443</v>
      </c>
      <c r="K82">
        <v>4.0047956501496673E-2</v>
      </c>
      <c r="L82" t="s">
        <v>159</v>
      </c>
      <c r="N82" t="s">
        <v>215</v>
      </c>
      <c r="O82" t="s">
        <v>443</v>
      </c>
      <c r="P82">
        <v>3.2218395842014663E-2</v>
      </c>
      <c r="Q82" t="s">
        <v>159</v>
      </c>
      <c r="S82" t="s">
        <v>257</v>
      </c>
      <c r="T82" t="s">
        <v>443</v>
      </c>
      <c r="U82">
        <v>2.9488385880472687E-2</v>
      </c>
      <c r="V82" t="s">
        <v>159</v>
      </c>
      <c r="AK82">
        <v>2039</v>
      </c>
      <c r="AL82" t="s">
        <v>431</v>
      </c>
      <c r="AM82">
        <v>0.34420000000000001</v>
      </c>
      <c r="AN82" t="s">
        <v>281</v>
      </c>
    </row>
    <row r="83" spans="9:40" x14ac:dyDescent="0.45">
      <c r="I83" t="s">
        <v>173</v>
      </c>
      <c r="J83" t="s">
        <v>432</v>
      </c>
      <c r="K83">
        <v>0.26717561383391736</v>
      </c>
      <c r="L83" t="s">
        <v>159</v>
      </c>
      <c r="N83" t="s">
        <v>216</v>
      </c>
      <c r="O83" t="s">
        <v>432</v>
      </c>
      <c r="P83">
        <v>0.22543399149860976</v>
      </c>
      <c r="Q83" t="s">
        <v>159</v>
      </c>
      <c r="S83" t="s">
        <v>258</v>
      </c>
      <c r="T83" t="s">
        <v>432</v>
      </c>
      <c r="U83">
        <v>0.13534449359177422</v>
      </c>
      <c r="V83" t="s">
        <v>159</v>
      </c>
      <c r="AK83">
        <v>2040</v>
      </c>
      <c r="AL83" t="s">
        <v>426</v>
      </c>
      <c r="AM83">
        <v>0.14643333333333333</v>
      </c>
      <c r="AN83" t="s">
        <v>281</v>
      </c>
    </row>
    <row r="84" spans="9:40" x14ac:dyDescent="0.45">
      <c r="I84" t="s">
        <v>173</v>
      </c>
      <c r="J84" t="s">
        <v>433</v>
      </c>
      <c r="K84">
        <v>4.7593759586769192E-5</v>
      </c>
      <c r="L84" t="s">
        <v>159</v>
      </c>
      <c r="N84" t="s">
        <v>216</v>
      </c>
      <c r="O84" t="s">
        <v>433</v>
      </c>
      <c r="P84">
        <v>8.1902889092397929E-2</v>
      </c>
      <c r="Q84" t="s">
        <v>159</v>
      </c>
      <c r="S84" t="s">
        <v>258</v>
      </c>
      <c r="T84" t="s">
        <v>433</v>
      </c>
      <c r="U84">
        <v>0.12146992811034484</v>
      </c>
      <c r="V84" t="s">
        <v>159</v>
      </c>
      <c r="AK84">
        <v>2040</v>
      </c>
      <c r="AL84" t="s">
        <v>428</v>
      </c>
      <c r="AM84">
        <v>0.32336666666666664</v>
      </c>
      <c r="AN84" t="s">
        <v>281</v>
      </c>
    </row>
    <row r="85" spans="9:40" x14ac:dyDescent="0.45">
      <c r="I85" t="s">
        <v>173</v>
      </c>
      <c r="J85" t="s">
        <v>434</v>
      </c>
      <c r="K85">
        <v>2.9311734657723212E-2</v>
      </c>
      <c r="L85" t="s">
        <v>159</v>
      </c>
      <c r="N85" t="s">
        <v>216</v>
      </c>
      <c r="O85" t="s">
        <v>434</v>
      </c>
      <c r="P85">
        <v>3.3211261775836644E-2</v>
      </c>
      <c r="Q85" t="s">
        <v>159</v>
      </c>
      <c r="S85" t="s">
        <v>258</v>
      </c>
      <c r="T85" t="s">
        <v>434</v>
      </c>
      <c r="U85">
        <v>2.6178364269530515E-2</v>
      </c>
      <c r="V85" t="s">
        <v>159</v>
      </c>
      <c r="AK85">
        <v>2040</v>
      </c>
      <c r="AL85" t="s">
        <v>429</v>
      </c>
      <c r="AM85">
        <v>0.10986666666666667</v>
      </c>
      <c r="AN85" t="s">
        <v>281</v>
      </c>
    </row>
    <row r="86" spans="9:40" x14ac:dyDescent="0.45">
      <c r="I86" t="s">
        <v>173</v>
      </c>
      <c r="J86" t="s">
        <v>435</v>
      </c>
      <c r="K86">
        <v>0.1969554012844236</v>
      </c>
      <c r="L86" t="s">
        <v>159</v>
      </c>
      <c r="N86" t="s">
        <v>216</v>
      </c>
      <c r="O86" t="s">
        <v>435</v>
      </c>
      <c r="P86">
        <v>9.1260423680550859E-2</v>
      </c>
      <c r="Q86" t="s">
        <v>159</v>
      </c>
      <c r="S86" t="s">
        <v>258</v>
      </c>
      <c r="T86" t="s">
        <v>435</v>
      </c>
      <c r="U86">
        <v>9.7920322986010458E-2</v>
      </c>
      <c r="V86" t="s">
        <v>159</v>
      </c>
      <c r="AK86">
        <v>2040</v>
      </c>
      <c r="AL86" t="s">
        <v>431</v>
      </c>
      <c r="AM86">
        <v>0.35986666666666661</v>
      </c>
      <c r="AN86" t="s">
        <v>281</v>
      </c>
    </row>
    <row r="87" spans="9:40" x14ac:dyDescent="0.45">
      <c r="I87" t="s">
        <v>173</v>
      </c>
      <c r="J87" t="s">
        <v>436</v>
      </c>
      <c r="K87">
        <v>0</v>
      </c>
      <c r="L87" t="s">
        <v>159</v>
      </c>
      <c r="N87" t="s">
        <v>216</v>
      </c>
      <c r="O87" t="s">
        <v>436</v>
      </c>
      <c r="P87">
        <v>4.3699451399801283E-2</v>
      </c>
      <c r="Q87" t="s">
        <v>159</v>
      </c>
      <c r="S87" t="s">
        <v>258</v>
      </c>
      <c r="T87" t="s">
        <v>436</v>
      </c>
      <c r="U87">
        <v>0.10513446906885715</v>
      </c>
      <c r="V87" t="s">
        <v>159</v>
      </c>
      <c r="AK87">
        <v>2041</v>
      </c>
      <c r="AL87" t="s">
        <v>426</v>
      </c>
      <c r="AM87">
        <v>0.14866666666666667</v>
      </c>
      <c r="AN87" t="s">
        <v>281</v>
      </c>
    </row>
    <row r="88" spans="9:40" x14ac:dyDescent="0.45">
      <c r="I88" t="s">
        <v>173</v>
      </c>
      <c r="J88" t="s">
        <v>437</v>
      </c>
      <c r="K88">
        <v>1.9502026097338643E-2</v>
      </c>
      <c r="L88" t="s">
        <v>159</v>
      </c>
      <c r="N88" t="s">
        <v>216</v>
      </c>
      <c r="O88" t="s">
        <v>437</v>
      </c>
      <c r="P88">
        <v>1.2917880486628402E-2</v>
      </c>
      <c r="Q88" t="s">
        <v>159</v>
      </c>
      <c r="S88" t="s">
        <v>258</v>
      </c>
      <c r="T88" t="s">
        <v>437</v>
      </c>
      <c r="U88">
        <v>2.1726563259798048E-2</v>
      </c>
      <c r="V88" t="s">
        <v>159</v>
      </c>
      <c r="AK88">
        <v>2041</v>
      </c>
      <c r="AL88" t="s">
        <v>428</v>
      </c>
      <c r="AM88">
        <v>0.30079999999999996</v>
      </c>
      <c r="AN88" t="s">
        <v>281</v>
      </c>
    </row>
    <row r="89" spans="9:40" x14ac:dyDescent="0.45">
      <c r="I89" t="s">
        <v>173</v>
      </c>
      <c r="J89" t="s">
        <v>438</v>
      </c>
      <c r="K89">
        <v>0.13777583548325203</v>
      </c>
      <c r="L89" t="s">
        <v>159</v>
      </c>
      <c r="N89" t="s">
        <v>216</v>
      </c>
      <c r="O89" t="s">
        <v>438</v>
      </c>
      <c r="P89">
        <v>0.21686880446910983</v>
      </c>
      <c r="Q89" t="s">
        <v>159</v>
      </c>
      <c r="S89" t="s">
        <v>258</v>
      </c>
      <c r="T89" t="s">
        <v>438</v>
      </c>
      <c r="U89">
        <v>0.11986703183572979</v>
      </c>
      <c r="V89" t="s">
        <v>159</v>
      </c>
      <c r="AK89">
        <v>2041</v>
      </c>
      <c r="AL89" t="s">
        <v>429</v>
      </c>
      <c r="AM89">
        <v>0.10906666666666666</v>
      </c>
      <c r="AN89" t="s">
        <v>281</v>
      </c>
    </row>
    <row r="90" spans="9:40" x14ac:dyDescent="0.45">
      <c r="I90" t="s">
        <v>173</v>
      </c>
      <c r="J90" t="s">
        <v>439</v>
      </c>
      <c r="K90">
        <v>0</v>
      </c>
      <c r="L90" t="s">
        <v>159</v>
      </c>
      <c r="N90" t="s">
        <v>216</v>
      </c>
      <c r="O90" t="s">
        <v>439</v>
      </c>
      <c r="P90">
        <v>0.13749912922004445</v>
      </c>
      <c r="Q90" t="s">
        <v>159</v>
      </c>
      <c r="S90" t="s">
        <v>258</v>
      </c>
      <c r="T90" t="s">
        <v>439</v>
      </c>
      <c r="U90">
        <v>0.12495657202444412</v>
      </c>
      <c r="V90" t="s">
        <v>159</v>
      </c>
      <c r="AK90">
        <v>2041</v>
      </c>
      <c r="AL90" t="s">
        <v>431</v>
      </c>
      <c r="AM90">
        <v>0.36756666666666665</v>
      </c>
      <c r="AN90" t="s">
        <v>281</v>
      </c>
    </row>
    <row r="91" spans="9:40" x14ac:dyDescent="0.45">
      <c r="I91" t="s">
        <v>173</v>
      </c>
      <c r="J91" t="s">
        <v>440</v>
      </c>
      <c r="K91">
        <v>1.0070978904355319E-2</v>
      </c>
      <c r="L91" t="s">
        <v>159</v>
      </c>
      <c r="N91" t="s">
        <v>216</v>
      </c>
      <c r="O91" t="s">
        <v>440</v>
      </c>
      <c r="P91">
        <v>3.0289956050990746E-2</v>
      </c>
      <c r="Q91" t="s">
        <v>159</v>
      </c>
      <c r="S91" t="s">
        <v>258</v>
      </c>
      <c r="T91" t="s">
        <v>440</v>
      </c>
      <c r="U91">
        <v>2.3376965160657119E-2</v>
      </c>
      <c r="V91" t="s">
        <v>159</v>
      </c>
      <c r="AK91">
        <v>2042</v>
      </c>
      <c r="AL91" t="s">
        <v>426</v>
      </c>
      <c r="AM91">
        <v>0.14536666666666667</v>
      </c>
      <c r="AN91" t="s">
        <v>281</v>
      </c>
    </row>
    <row r="92" spans="9:40" x14ac:dyDescent="0.45">
      <c r="I92" t="s">
        <v>173</v>
      </c>
      <c r="J92" t="s">
        <v>441</v>
      </c>
      <c r="K92">
        <v>0.29364879189725079</v>
      </c>
      <c r="L92" t="s">
        <v>159</v>
      </c>
      <c r="N92" t="s">
        <v>216</v>
      </c>
      <c r="O92" t="s">
        <v>441</v>
      </c>
      <c r="P92">
        <v>8.0997505859158311E-2</v>
      </c>
      <c r="Q92" t="s">
        <v>159</v>
      </c>
      <c r="S92" t="s">
        <v>258</v>
      </c>
      <c r="T92" t="s">
        <v>441</v>
      </c>
      <c r="U92">
        <v>0.10871056381672783</v>
      </c>
      <c r="V92" t="s">
        <v>159</v>
      </c>
      <c r="AK92">
        <v>2042</v>
      </c>
      <c r="AL92" t="s">
        <v>428</v>
      </c>
      <c r="AM92">
        <v>0.30780000000000002</v>
      </c>
      <c r="AN92" t="s">
        <v>281</v>
      </c>
    </row>
    <row r="93" spans="9:40" x14ac:dyDescent="0.45">
      <c r="I93" t="s">
        <v>173</v>
      </c>
      <c r="J93" t="s">
        <v>442</v>
      </c>
      <c r="K93">
        <v>5.4341534559914596E-3</v>
      </c>
      <c r="L93" t="s">
        <v>159</v>
      </c>
      <c r="N93" t="s">
        <v>216</v>
      </c>
      <c r="O93" t="s">
        <v>442</v>
      </c>
      <c r="P93">
        <v>3.1949626718861264E-2</v>
      </c>
      <c r="Q93" t="s">
        <v>159</v>
      </c>
      <c r="S93" t="s">
        <v>258</v>
      </c>
      <c r="T93" t="s">
        <v>442</v>
      </c>
      <c r="U93">
        <v>9.3557764441085087E-2</v>
      </c>
      <c r="V93" t="s">
        <v>159</v>
      </c>
      <c r="AK93">
        <v>2042</v>
      </c>
      <c r="AL93" t="s">
        <v>429</v>
      </c>
      <c r="AM93">
        <v>0.10516666666666667</v>
      </c>
      <c r="AN93" t="s">
        <v>281</v>
      </c>
    </row>
    <row r="94" spans="9:40" x14ac:dyDescent="0.45">
      <c r="I94" t="s">
        <v>173</v>
      </c>
      <c r="J94" t="s">
        <v>443</v>
      </c>
      <c r="K94">
        <v>4.0077870626164025E-2</v>
      </c>
      <c r="L94" t="s">
        <v>159</v>
      </c>
      <c r="N94" t="s">
        <v>216</v>
      </c>
      <c r="O94" t="s">
        <v>443</v>
      </c>
      <c r="P94">
        <v>1.3969079748013851E-2</v>
      </c>
      <c r="Q94" t="s">
        <v>159</v>
      </c>
      <c r="S94" t="s">
        <v>258</v>
      </c>
      <c r="T94" t="s">
        <v>443</v>
      </c>
      <c r="U94">
        <v>2.1756961435040731E-2</v>
      </c>
      <c r="V94" t="s">
        <v>159</v>
      </c>
      <c r="AK94">
        <v>2042</v>
      </c>
      <c r="AL94" t="s">
        <v>431</v>
      </c>
      <c r="AM94">
        <v>0.3499666666666667</v>
      </c>
      <c r="AN94" t="s">
        <v>281</v>
      </c>
    </row>
    <row r="95" spans="9:40" x14ac:dyDescent="0.45">
      <c r="I95" t="s">
        <v>174</v>
      </c>
      <c r="J95" t="s">
        <v>432</v>
      </c>
      <c r="K95">
        <v>0.26692809146745211</v>
      </c>
      <c r="L95" t="s">
        <v>159</v>
      </c>
      <c r="N95" t="s">
        <v>217</v>
      </c>
      <c r="O95" t="s">
        <v>432</v>
      </c>
      <c r="P95">
        <v>0.14407235048877662</v>
      </c>
      <c r="Q95" t="s">
        <v>159</v>
      </c>
      <c r="S95" t="s">
        <v>259</v>
      </c>
      <c r="T95" t="s">
        <v>432</v>
      </c>
      <c r="U95">
        <v>0.1279918692672963</v>
      </c>
      <c r="V95" t="s">
        <v>159</v>
      </c>
      <c r="AK95">
        <v>2043</v>
      </c>
      <c r="AL95" t="s">
        <v>426</v>
      </c>
      <c r="AM95">
        <v>0.14119999999999999</v>
      </c>
      <c r="AN95" t="s">
        <v>281</v>
      </c>
    </row>
    <row r="96" spans="9:40" x14ac:dyDescent="0.45">
      <c r="I96" t="s">
        <v>174</v>
      </c>
      <c r="J96" t="s">
        <v>433</v>
      </c>
      <c r="K96">
        <v>0</v>
      </c>
      <c r="L96" t="s">
        <v>159</v>
      </c>
      <c r="N96" t="s">
        <v>217</v>
      </c>
      <c r="O96" t="s">
        <v>433</v>
      </c>
      <c r="P96">
        <v>0.14309108627939304</v>
      </c>
      <c r="Q96" t="s">
        <v>159</v>
      </c>
      <c r="S96" t="s">
        <v>259</v>
      </c>
      <c r="T96" t="s">
        <v>433</v>
      </c>
      <c r="U96">
        <v>0.1252694165904529</v>
      </c>
      <c r="V96" t="s">
        <v>159</v>
      </c>
      <c r="AK96">
        <v>2043</v>
      </c>
      <c r="AL96" t="s">
        <v>428</v>
      </c>
      <c r="AM96">
        <v>0.31830000000000003</v>
      </c>
      <c r="AN96" t="s">
        <v>281</v>
      </c>
    </row>
    <row r="97" spans="9:40" x14ac:dyDescent="0.45">
      <c r="I97" t="s">
        <v>174</v>
      </c>
      <c r="J97" t="s">
        <v>434</v>
      </c>
      <c r="K97">
        <v>2.6700273067605251E-2</v>
      </c>
      <c r="L97" t="s">
        <v>159</v>
      </c>
      <c r="N97" t="s">
        <v>217</v>
      </c>
      <c r="O97" t="s">
        <v>434</v>
      </c>
      <c r="P97">
        <v>3.0364702457436506E-2</v>
      </c>
      <c r="Q97" t="s">
        <v>159</v>
      </c>
      <c r="S97" t="s">
        <v>259</v>
      </c>
      <c r="T97" t="s">
        <v>434</v>
      </c>
      <c r="U97">
        <v>2.6866367743035149E-2</v>
      </c>
      <c r="V97" t="s">
        <v>159</v>
      </c>
      <c r="AK97">
        <v>2043</v>
      </c>
      <c r="AL97" t="s">
        <v>429</v>
      </c>
      <c r="AM97">
        <v>0.10306666666666668</v>
      </c>
      <c r="AN97" t="s">
        <v>281</v>
      </c>
    </row>
    <row r="98" spans="9:40" x14ac:dyDescent="0.45">
      <c r="I98" t="s">
        <v>174</v>
      </c>
      <c r="J98" t="s">
        <v>435</v>
      </c>
      <c r="K98">
        <v>0.20490996521461907</v>
      </c>
      <c r="L98" t="s">
        <v>159</v>
      </c>
      <c r="N98" t="s">
        <v>217</v>
      </c>
      <c r="O98" t="s">
        <v>435</v>
      </c>
      <c r="P98">
        <v>6.6167501377977805E-2</v>
      </c>
      <c r="Q98" t="s">
        <v>159</v>
      </c>
      <c r="S98" t="s">
        <v>259</v>
      </c>
      <c r="T98" t="s">
        <v>435</v>
      </c>
      <c r="U98">
        <v>0.11120419022337712</v>
      </c>
      <c r="V98" t="s">
        <v>159</v>
      </c>
      <c r="AK98">
        <v>2043</v>
      </c>
      <c r="AL98" t="s">
        <v>431</v>
      </c>
      <c r="AM98">
        <v>0.35443333333333332</v>
      </c>
      <c r="AN98" t="s">
        <v>281</v>
      </c>
    </row>
    <row r="99" spans="9:40" x14ac:dyDescent="0.45">
      <c r="I99" t="s">
        <v>174</v>
      </c>
      <c r="J99" t="s">
        <v>436</v>
      </c>
      <c r="K99">
        <v>0</v>
      </c>
      <c r="L99" t="s">
        <v>159</v>
      </c>
      <c r="N99" t="s">
        <v>217</v>
      </c>
      <c r="O99" t="s">
        <v>436</v>
      </c>
      <c r="P99">
        <v>8.3696408626886307E-2</v>
      </c>
      <c r="Q99" t="s">
        <v>159</v>
      </c>
      <c r="S99" t="s">
        <v>259</v>
      </c>
      <c r="T99" t="s">
        <v>436</v>
      </c>
      <c r="U99">
        <v>0.12347988902453624</v>
      </c>
      <c r="V99" t="s">
        <v>159</v>
      </c>
      <c r="AK99">
        <v>2044</v>
      </c>
      <c r="AL99" t="s">
        <v>426</v>
      </c>
      <c r="AM99">
        <v>0.14986666666666668</v>
      </c>
      <c r="AN99" t="s">
        <v>281</v>
      </c>
    </row>
    <row r="100" spans="9:40" x14ac:dyDescent="0.45">
      <c r="I100" t="s">
        <v>174</v>
      </c>
      <c r="J100" t="s">
        <v>437</v>
      </c>
      <c r="K100">
        <v>1.9789712534201521E-2</v>
      </c>
      <c r="L100" t="s">
        <v>159</v>
      </c>
      <c r="N100" t="s">
        <v>217</v>
      </c>
      <c r="O100" t="s">
        <v>437</v>
      </c>
      <c r="P100">
        <v>1.5081903272949849E-2</v>
      </c>
      <c r="Q100" t="s">
        <v>159</v>
      </c>
      <c r="S100" t="s">
        <v>259</v>
      </c>
      <c r="T100" t="s">
        <v>437</v>
      </c>
      <c r="U100">
        <v>2.4334600322473851E-2</v>
      </c>
      <c r="V100" t="s">
        <v>159</v>
      </c>
      <c r="AK100">
        <v>2044</v>
      </c>
      <c r="AL100" t="s">
        <v>428</v>
      </c>
      <c r="AM100">
        <v>0.29720000000000002</v>
      </c>
      <c r="AN100" t="s">
        <v>281</v>
      </c>
    </row>
    <row r="101" spans="9:40" x14ac:dyDescent="0.45">
      <c r="I101" t="s">
        <v>174</v>
      </c>
      <c r="J101" t="s">
        <v>438</v>
      </c>
      <c r="K101">
        <v>0.17024297307349739</v>
      </c>
      <c r="L101" t="s">
        <v>159</v>
      </c>
      <c r="N101" t="s">
        <v>217</v>
      </c>
      <c r="O101" t="s">
        <v>438</v>
      </c>
      <c r="P101">
        <v>0.15027960683795324</v>
      </c>
      <c r="Q101" t="s">
        <v>159</v>
      </c>
      <c r="S101" t="s">
        <v>259</v>
      </c>
      <c r="T101" t="s">
        <v>438</v>
      </c>
      <c r="U101">
        <v>0.10240377467782764</v>
      </c>
      <c r="V101" t="s">
        <v>159</v>
      </c>
      <c r="AK101">
        <v>2044</v>
      </c>
      <c r="AL101" t="s">
        <v>429</v>
      </c>
      <c r="AM101">
        <v>0.10746666666666667</v>
      </c>
      <c r="AN101" t="s">
        <v>281</v>
      </c>
    </row>
    <row r="102" spans="9:40" x14ac:dyDescent="0.45">
      <c r="I102" t="s">
        <v>174</v>
      </c>
      <c r="J102" t="s">
        <v>439</v>
      </c>
      <c r="K102">
        <v>0</v>
      </c>
      <c r="L102" t="s">
        <v>159</v>
      </c>
      <c r="N102" t="s">
        <v>217</v>
      </c>
      <c r="O102" t="s">
        <v>439</v>
      </c>
      <c r="P102">
        <v>0.16631601844076196</v>
      </c>
      <c r="Q102" t="s">
        <v>159</v>
      </c>
      <c r="S102" t="s">
        <v>259</v>
      </c>
      <c r="T102" t="s">
        <v>439</v>
      </c>
      <c r="U102">
        <v>0.10870982613468869</v>
      </c>
      <c r="V102" t="s">
        <v>159</v>
      </c>
      <c r="AK102">
        <v>2044</v>
      </c>
      <c r="AL102" t="s">
        <v>431</v>
      </c>
      <c r="AM102">
        <v>0.35259999999999997</v>
      </c>
      <c r="AN102" t="s">
        <v>281</v>
      </c>
    </row>
    <row r="103" spans="9:40" x14ac:dyDescent="0.45">
      <c r="I103" t="s">
        <v>174</v>
      </c>
      <c r="J103" t="s">
        <v>440</v>
      </c>
      <c r="K103">
        <v>1.2191902923002595E-2</v>
      </c>
      <c r="L103" t="s">
        <v>159</v>
      </c>
      <c r="N103" t="s">
        <v>217</v>
      </c>
      <c r="O103" t="s">
        <v>440</v>
      </c>
      <c r="P103">
        <v>2.5588487148964691E-2</v>
      </c>
      <c r="Q103" t="s">
        <v>159</v>
      </c>
      <c r="S103" t="s">
        <v>259</v>
      </c>
      <c r="T103" t="s">
        <v>440</v>
      </c>
      <c r="U103">
        <v>2.4027531024767828E-2</v>
      </c>
      <c r="V103" t="s">
        <v>159</v>
      </c>
      <c r="AK103">
        <v>2045</v>
      </c>
      <c r="AL103" t="s">
        <v>426</v>
      </c>
      <c r="AM103">
        <v>0.14956666666666665</v>
      </c>
      <c r="AN103" t="s">
        <v>281</v>
      </c>
    </row>
    <row r="104" spans="9:40" x14ac:dyDescent="0.45">
      <c r="I104" t="s">
        <v>174</v>
      </c>
      <c r="J104" t="s">
        <v>441</v>
      </c>
      <c r="K104">
        <v>0.26519777231439678</v>
      </c>
      <c r="L104" t="s">
        <v>159</v>
      </c>
      <c r="N104" t="s">
        <v>217</v>
      </c>
      <c r="O104" t="s">
        <v>441</v>
      </c>
      <c r="P104">
        <v>7.0836786638236837E-2</v>
      </c>
      <c r="Q104" t="s">
        <v>159</v>
      </c>
      <c r="S104" t="s">
        <v>259</v>
      </c>
      <c r="T104" t="s">
        <v>441</v>
      </c>
      <c r="U104">
        <v>9.8959362930087919E-2</v>
      </c>
      <c r="V104" t="s">
        <v>159</v>
      </c>
      <c r="AK104">
        <v>2045</v>
      </c>
      <c r="AL104" t="s">
        <v>428</v>
      </c>
      <c r="AM104">
        <v>0.30656666666666665</v>
      </c>
      <c r="AN104" t="s">
        <v>281</v>
      </c>
    </row>
    <row r="105" spans="9:40" x14ac:dyDescent="0.45">
      <c r="I105" t="s">
        <v>174</v>
      </c>
      <c r="J105" t="s">
        <v>442</v>
      </c>
      <c r="K105">
        <v>0</v>
      </c>
      <c r="L105" t="s">
        <v>159</v>
      </c>
      <c r="N105" t="s">
        <v>217</v>
      </c>
      <c r="O105" t="s">
        <v>442</v>
      </c>
      <c r="P105">
        <v>8.8062161003117201E-2</v>
      </c>
      <c r="Q105" t="s">
        <v>159</v>
      </c>
      <c r="S105" t="s">
        <v>259</v>
      </c>
      <c r="T105" t="s">
        <v>442</v>
      </c>
      <c r="U105">
        <v>0.1053576593359241</v>
      </c>
      <c r="V105" t="s">
        <v>159</v>
      </c>
      <c r="AK105">
        <v>2045</v>
      </c>
      <c r="AL105" t="s">
        <v>429</v>
      </c>
      <c r="AM105">
        <v>0.10953333333333333</v>
      </c>
      <c r="AN105" t="s">
        <v>281</v>
      </c>
    </row>
    <row r="106" spans="9:40" x14ac:dyDescent="0.45">
      <c r="I106" t="s">
        <v>174</v>
      </c>
      <c r="J106" t="s">
        <v>443</v>
      </c>
      <c r="K106">
        <v>3.4039309405222505E-2</v>
      </c>
      <c r="L106" t="s">
        <v>159</v>
      </c>
      <c r="N106" t="s">
        <v>217</v>
      </c>
      <c r="O106" t="s">
        <v>443</v>
      </c>
      <c r="P106">
        <v>1.6442987427544901E-2</v>
      </c>
      <c r="Q106" t="s">
        <v>159</v>
      </c>
      <c r="S106" t="s">
        <v>259</v>
      </c>
      <c r="T106" t="s">
        <v>443</v>
      </c>
      <c r="U106">
        <v>2.1395512725534162E-2</v>
      </c>
      <c r="V106" t="s">
        <v>159</v>
      </c>
      <c r="AK106">
        <v>2045</v>
      </c>
      <c r="AL106" t="s">
        <v>431</v>
      </c>
      <c r="AM106">
        <v>0.35450000000000004</v>
      </c>
      <c r="AN106" t="s">
        <v>281</v>
      </c>
    </row>
    <row r="107" spans="9:40" x14ac:dyDescent="0.45">
      <c r="I107" t="s">
        <v>175</v>
      </c>
      <c r="J107" t="s">
        <v>432</v>
      </c>
      <c r="K107">
        <v>0.26688154029515804</v>
      </c>
      <c r="L107" t="s">
        <v>159</v>
      </c>
      <c r="N107" t="s">
        <v>218</v>
      </c>
      <c r="O107" t="s">
        <v>432</v>
      </c>
      <c r="P107">
        <v>0.1286031505861896</v>
      </c>
      <c r="Q107" t="s">
        <v>159</v>
      </c>
      <c r="S107" t="s">
        <v>260</v>
      </c>
      <c r="T107" t="s">
        <v>432</v>
      </c>
      <c r="U107">
        <v>0.13560528511253239</v>
      </c>
      <c r="V107" t="s">
        <v>159</v>
      </c>
      <c r="AK107">
        <v>2046</v>
      </c>
      <c r="AL107" t="s">
        <v>426</v>
      </c>
      <c r="AM107">
        <v>0.14686666666666667</v>
      </c>
      <c r="AN107" t="s">
        <v>281</v>
      </c>
    </row>
    <row r="108" spans="9:40" x14ac:dyDescent="0.45">
      <c r="I108" t="s">
        <v>175</v>
      </c>
      <c r="J108" t="s">
        <v>433</v>
      </c>
      <c r="K108">
        <v>1.2738602805992787E-6</v>
      </c>
      <c r="L108" t="s">
        <v>159</v>
      </c>
      <c r="N108" t="s">
        <v>218</v>
      </c>
      <c r="O108" t="s">
        <v>433</v>
      </c>
      <c r="P108">
        <v>0.17800364931236673</v>
      </c>
      <c r="Q108" t="s">
        <v>159</v>
      </c>
      <c r="S108" t="s">
        <v>260</v>
      </c>
      <c r="T108" t="s">
        <v>433</v>
      </c>
      <c r="U108">
        <v>0.1211870145549129</v>
      </c>
      <c r="V108" t="s">
        <v>159</v>
      </c>
      <c r="AK108">
        <v>2046</v>
      </c>
      <c r="AL108" t="s">
        <v>428</v>
      </c>
      <c r="AM108">
        <v>0.31693333333333334</v>
      </c>
      <c r="AN108" t="s">
        <v>281</v>
      </c>
    </row>
    <row r="109" spans="9:40" x14ac:dyDescent="0.45">
      <c r="I109" t="s">
        <v>175</v>
      </c>
      <c r="J109" t="s">
        <v>434</v>
      </c>
      <c r="K109">
        <v>2.7171728821198737E-2</v>
      </c>
      <c r="L109" t="s">
        <v>159</v>
      </c>
      <c r="N109" t="s">
        <v>218</v>
      </c>
      <c r="O109" t="s">
        <v>434</v>
      </c>
      <c r="P109">
        <v>2.6264467645871613E-2</v>
      </c>
      <c r="Q109" t="s">
        <v>159</v>
      </c>
      <c r="S109" t="s">
        <v>260</v>
      </c>
      <c r="T109" t="s">
        <v>434</v>
      </c>
      <c r="U109">
        <v>2.6338980047117752E-2</v>
      </c>
      <c r="V109" t="s">
        <v>159</v>
      </c>
      <c r="AK109">
        <v>2046</v>
      </c>
      <c r="AL109" t="s">
        <v>429</v>
      </c>
      <c r="AM109">
        <v>0.10423333333333333</v>
      </c>
      <c r="AN109" t="s">
        <v>281</v>
      </c>
    </row>
    <row r="110" spans="9:40" x14ac:dyDescent="0.45">
      <c r="I110" t="s">
        <v>175</v>
      </c>
      <c r="J110" t="s">
        <v>435</v>
      </c>
      <c r="K110">
        <v>0.19956274342938388</v>
      </c>
      <c r="L110" t="s">
        <v>159</v>
      </c>
      <c r="N110" t="s">
        <v>218</v>
      </c>
      <c r="O110" t="s">
        <v>435</v>
      </c>
      <c r="P110">
        <v>5.8486667370142881E-2</v>
      </c>
      <c r="Q110" t="s">
        <v>159</v>
      </c>
      <c r="S110" t="s">
        <v>260</v>
      </c>
      <c r="T110" t="s">
        <v>435</v>
      </c>
      <c r="U110">
        <v>0.10435184835973096</v>
      </c>
      <c r="V110" t="s">
        <v>159</v>
      </c>
      <c r="AK110">
        <v>2046</v>
      </c>
      <c r="AL110" t="s">
        <v>431</v>
      </c>
      <c r="AM110">
        <v>0.37293333333333334</v>
      </c>
      <c r="AN110" t="s">
        <v>281</v>
      </c>
    </row>
    <row r="111" spans="9:40" x14ac:dyDescent="0.45">
      <c r="I111" t="s">
        <v>175</v>
      </c>
      <c r="J111" t="s">
        <v>436</v>
      </c>
      <c r="K111">
        <v>0</v>
      </c>
      <c r="L111" t="s">
        <v>159</v>
      </c>
      <c r="N111" t="s">
        <v>218</v>
      </c>
      <c r="O111" t="s">
        <v>436</v>
      </c>
      <c r="P111">
        <v>9.7487443641659538E-2</v>
      </c>
      <c r="Q111" t="s">
        <v>159</v>
      </c>
      <c r="S111" t="s">
        <v>260</v>
      </c>
      <c r="T111" t="s">
        <v>436</v>
      </c>
      <c r="U111">
        <v>0.12195623035694159</v>
      </c>
      <c r="V111" t="s">
        <v>159</v>
      </c>
      <c r="AK111">
        <v>2047</v>
      </c>
      <c r="AL111" t="s">
        <v>426</v>
      </c>
      <c r="AM111">
        <v>0.17326666666666668</v>
      </c>
      <c r="AN111" t="s">
        <v>281</v>
      </c>
    </row>
    <row r="112" spans="9:40" x14ac:dyDescent="0.45">
      <c r="I112" t="s">
        <v>175</v>
      </c>
      <c r="J112" t="s">
        <v>437</v>
      </c>
      <c r="K112">
        <v>1.8762104428439862E-2</v>
      </c>
      <c r="L112" t="s">
        <v>159</v>
      </c>
      <c r="N112" t="s">
        <v>218</v>
      </c>
      <c r="O112" t="s">
        <v>437</v>
      </c>
      <c r="P112">
        <v>1.2562731563274103E-2</v>
      </c>
      <c r="Q112" t="s">
        <v>159</v>
      </c>
      <c r="S112" t="s">
        <v>260</v>
      </c>
      <c r="T112" t="s">
        <v>437</v>
      </c>
      <c r="U112">
        <v>2.3149254249947817E-2</v>
      </c>
      <c r="V112" t="s">
        <v>159</v>
      </c>
      <c r="AK112">
        <v>2047</v>
      </c>
      <c r="AL112" t="s">
        <v>428</v>
      </c>
      <c r="AM112">
        <v>0.36183333333333328</v>
      </c>
      <c r="AN112" t="s">
        <v>281</v>
      </c>
    </row>
    <row r="113" spans="9:40" x14ac:dyDescent="0.45">
      <c r="I113" t="s">
        <v>175</v>
      </c>
      <c r="J113" t="s">
        <v>438</v>
      </c>
      <c r="K113">
        <v>0.15986685333067757</v>
      </c>
      <c r="L113" t="s">
        <v>159</v>
      </c>
      <c r="N113" t="s">
        <v>218</v>
      </c>
      <c r="O113" t="s">
        <v>438</v>
      </c>
      <c r="P113">
        <v>0.11706358660971018</v>
      </c>
      <c r="Q113" t="s">
        <v>159</v>
      </c>
      <c r="S113" t="s">
        <v>260</v>
      </c>
      <c r="T113" t="s">
        <v>438</v>
      </c>
      <c r="U113">
        <v>0.11457796620891357</v>
      </c>
      <c r="V113" t="s">
        <v>159</v>
      </c>
      <c r="AK113">
        <v>2047</v>
      </c>
      <c r="AL113" t="s">
        <v>429</v>
      </c>
      <c r="AM113">
        <v>0.12476666666666665</v>
      </c>
      <c r="AN113" t="s">
        <v>281</v>
      </c>
    </row>
    <row r="114" spans="9:40" x14ac:dyDescent="0.45">
      <c r="I114" t="s">
        <v>175</v>
      </c>
      <c r="J114" t="s">
        <v>439</v>
      </c>
      <c r="K114">
        <v>0</v>
      </c>
      <c r="L114" t="s">
        <v>159</v>
      </c>
      <c r="N114" t="s">
        <v>218</v>
      </c>
      <c r="O114" t="s">
        <v>439</v>
      </c>
      <c r="P114">
        <v>0.16849222805790834</v>
      </c>
      <c r="Q114" t="s">
        <v>159</v>
      </c>
      <c r="S114" t="s">
        <v>260</v>
      </c>
      <c r="T114" t="s">
        <v>439</v>
      </c>
      <c r="U114">
        <v>0.11162376077397952</v>
      </c>
      <c r="V114" t="s">
        <v>159</v>
      </c>
      <c r="AK114">
        <v>2047</v>
      </c>
      <c r="AL114" t="s">
        <v>431</v>
      </c>
      <c r="AM114">
        <v>0.38903333333333334</v>
      </c>
      <c r="AN114" t="s">
        <v>281</v>
      </c>
    </row>
    <row r="115" spans="9:40" x14ac:dyDescent="0.45">
      <c r="I115" t="s">
        <v>175</v>
      </c>
      <c r="J115" t="s">
        <v>440</v>
      </c>
      <c r="K115">
        <v>1.1617764764640954E-2</v>
      </c>
      <c r="L115" t="s">
        <v>159</v>
      </c>
      <c r="N115" t="s">
        <v>218</v>
      </c>
      <c r="O115" t="s">
        <v>440</v>
      </c>
      <c r="P115">
        <v>2.0675424929812669E-2</v>
      </c>
      <c r="Q115" t="s">
        <v>159</v>
      </c>
      <c r="S115" t="s">
        <v>260</v>
      </c>
      <c r="T115" t="s">
        <v>440</v>
      </c>
      <c r="U115">
        <v>2.3485188941804815E-2</v>
      </c>
      <c r="V115" t="s">
        <v>159</v>
      </c>
      <c r="AK115">
        <v>2048</v>
      </c>
      <c r="AL115" t="s">
        <v>426</v>
      </c>
      <c r="AM115">
        <v>0.17130000000000001</v>
      </c>
      <c r="AN115" t="s">
        <v>281</v>
      </c>
    </row>
    <row r="116" spans="9:40" x14ac:dyDescent="0.45">
      <c r="I116" t="s">
        <v>175</v>
      </c>
      <c r="J116" t="s">
        <v>441</v>
      </c>
      <c r="K116">
        <v>0.27935052935919469</v>
      </c>
      <c r="L116" t="s">
        <v>159</v>
      </c>
      <c r="N116" t="s">
        <v>218</v>
      </c>
      <c r="O116" t="s">
        <v>441</v>
      </c>
      <c r="P116">
        <v>6.8217382264498125E-2</v>
      </c>
      <c r="Q116" t="s">
        <v>159</v>
      </c>
      <c r="S116" t="s">
        <v>260</v>
      </c>
      <c r="T116" t="s">
        <v>441</v>
      </c>
      <c r="U116">
        <v>9.9762982554751592E-2</v>
      </c>
      <c r="V116" t="s">
        <v>159</v>
      </c>
      <c r="AK116">
        <v>2048</v>
      </c>
      <c r="AL116" t="s">
        <v>428</v>
      </c>
      <c r="AM116">
        <v>0.36346666666666666</v>
      </c>
      <c r="AN116" t="s">
        <v>281</v>
      </c>
    </row>
    <row r="117" spans="9:40" x14ac:dyDescent="0.45">
      <c r="I117" t="s">
        <v>175</v>
      </c>
      <c r="J117" t="s">
        <v>442</v>
      </c>
      <c r="K117">
        <v>6.8573461941815828E-4</v>
      </c>
      <c r="L117" t="s">
        <v>159</v>
      </c>
      <c r="N117" t="s">
        <v>218</v>
      </c>
      <c r="O117" t="s">
        <v>442</v>
      </c>
      <c r="P117">
        <v>0.10961633565328788</v>
      </c>
      <c r="Q117" t="s">
        <v>159</v>
      </c>
      <c r="S117" t="s">
        <v>260</v>
      </c>
      <c r="T117" t="s">
        <v>442</v>
      </c>
      <c r="U117">
        <v>9.6647429093792772E-2</v>
      </c>
      <c r="V117" t="s">
        <v>159</v>
      </c>
      <c r="AK117">
        <v>2048</v>
      </c>
      <c r="AL117" t="s">
        <v>429</v>
      </c>
      <c r="AM117">
        <v>0.13253333333333336</v>
      </c>
      <c r="AN117" t="s">
        <v>281</v>
      </c>
    </row>
    <row r="118" spans="9:40" x14ac:dyDescent="0.45">
      <c r="I118" t="s">
        <v>175</v>
      </c>
      <c r="J118" t="s">
        <v>443</v>
      </c>
      <c r="K118">
        <v>3.6099727091607581E-2</v>
      </c>
      <c r="L118" t="s">
        <v>159</v>
      </c>
      <c r="N118" t="s">
        <v>218</v>
      </c>
      <c r="O118" t="s">
        <v>443</v>
      </c>
      <c r="P118">
        <v>1.452693236527716E-2</v>
      </c>
      <c r="Q118" t="s">
        <v>159</v>
      </c>
      <c r="S118" t="s">
        <v>260</v>
      </c>
      <c r="T118" t="s">
        <v>443</v>
      </c>
      <c r="U118">
        <v>2.1314059745573714E-2</v>
      </c>
      <c r="V118" t="s">
        <v>159</v>
      </c>
      <c r="AK118">
        <v>2048</v>
      </c>
      <c r="AL118" t="s">
        <v>431</v>
      </c>
      <c r="AM118">
        <v>0.42853333333333338</v>
      </c>
      <c r="AN118" t="s">
        <v>281</v>
      </c>
    </row>
    <row r="119" spans="9:40" x14ac:dyDescent="0.45">
      <c r="I119" t="s">
        <v>176</v>
      </c>
      <c r="J119" t="s">
        <v>432</v>
      </c>
      <c r="K119">
        <v>0.25683500420229372</v>
      </c>
      <c r="L119" t="s">
        <v>159</v>
      </c>
      <c r="N119" t="s">
        <v>219</v>
      </c>
      <c r="O119" t="s">
        <v>432</v>
      </c>
      <c r="P119">
        <v>0.16337492418465871</v>
      </c>
      <c r="Q119" t="s">
        <v>159</v>
      </c>
      <c r="S119" t="s">
        <v>261</v>
      </c>
      <c r="T119" t="s">
        <v>432</v>
      </c>
      <c r="U119">
        <v>0.12760880709570771</v>
      </c>
      <c r="V119" t="s">
        <v>159</v>
      </c>
      <c r="AK119">
        <v>2049</v>
      </c>
      <c r="AL119" t="s">
        <v>426</v>
      </c>
      <c r="AM119">
        <v>0.17643333333333333</v>
      </c>
      <c r="AN119" t="s">
        <v>281</v>
      </c>
    </row>
    <row r="120" spans="9:40" x14ac:dyDescent="0.45">
      <c r="I120" t="s">
        <v>176</v>
      </c>
      <c r="J120" t="s">
        <v>433</v>
      </c>
      <c r="K120">
        <v>2.0683107069843418E-4</v>
      </c>
      <c r="L120" t="s">
        <v>159</v>
      </c>
      <c r="N120" t="s">
        <v>219</v>
      </c>
      <c r="O120" t="s">
        <v>433</v>
      </c>
      <c r="P120">
        <v>0.12482428575906143</v>
      </c>
      <c r="Q120" t="s">
        <v>159</v>
      </c>
      <c r="S120" t="s">
        <v>261</v>
      </c>
      <c r="T120" t="s">
        <v>433</v>
      </c>
      <c r="U120">
        <v>0.14323869588521002</v>
      </c>
      <c r="V120" t="s">
        <v>159</v>
      </c>
      <c r="AK120">
        <v>2049</v>
      </c>
      <c r="AL120" t="s">
        <v>428</v>
      </c>
      <c r="AM120">
        <v>0.35536666666666666</v>
      </c>
      <c r="AN120" t="s">
        <v>281</v>
      </c>
    </row>
    <row r="121" spans="9:40" x14ac:dyDescent="0.45">
      <c r="I121" t="s">
        <v>176</v>
      </c>
      <c r="J121" t="s">
        <v>434</v>
      </c>
      <c r="K121">
        <v>3.347925939183418E-2</v>
      </c>
      <c r="L121" t="s">
        <v>159</v>
      </c>
      <c r="N121" t="s">
        <v>219</v>
      </c>
      <c r="O121" t="s">
        <v>434</v>
      </c>
      <c r="P121">
        <v>5.3988826046292376E-2</v>
      </c>
      <c r="Q121" t="s">
        <v>159</v>
      </c>
      <c r="S121" t="s">
        <v>261</v>
      </c>
      <c r="T121" t="s">
        <v>434</v>
      </c>
      <c r="U121">
        <v>2.7601740830398101E-2</v>
      </c>
      <c r="V121" t="s">
        <v>159</v>
      </c>
      <c r="AK121">
        <v>2049</v>
      </c>
      <c r="AL121" t="s">
        <v>429</v>
      </c>
      <c r="AM121">
        <v>0.1179</v>
      </c>
      <c r="AN121" t="s">
        <v>281</v>
      </c>
    </row>
    <row r="122" spans="9:40" x14ac:dyDescent="0.45">
      <c r="I122" t="s">
        <v>176</v>
      </c>
      <c r="J122" t="s">
        <v>435</v>
      </c>
      <c r="K122">
        <v>0.18340665887303828</v>
      </c>
      <c r="L122" t="s">
        <v>159</v>
      </c>
      <c r="N122" t="s">
        <v>219</v>
      </c>
      <c r="O122" t="s">
        <v>435</v>
      </c>
      <c r="P122">
        <v>6.7870194363935682E-2</v>
      </c>
      <c r="Q122" t="s">
        <v>159</v>
      </c>
      <c r="S122" t="s">
        <v>261</v>
      </c>
      <c r="T122" t="s">
        <v>435</v>
      </c>
      <c r="U122">
        <v>9.8081933399954621E-2</v>
      </c>
      <c r="V122" t="s">
        <v>159</v>
      </c>
      <c r="AK122">
        <v>2049</v>
      </c>
      <c r="AL122" t="s">
        <v>431</v>
      </c>
      <c r="AM122">
        <v>0.4346666666666667</v>
      </c>
      <c r="AN122" t="s">
        <v>281</v>
      </c>
    </row>
    <row r="123" spans="9:40" x14ac:dyDescent="0.45">
      <c r="I123" t="s">
        <v>176</v>
      </c>
      <c r="J123" t="s">
        <v>436</v>
      </c>
      <c r="K123">
        <v>0</v>
      </c>
      <c r="L123" t="s">
        <v>159</v>
      </c>
      <c r="N123" t="s">
        <v>219</v>
      </c>
      <c r="O123" t="s">
        <v>436</v>
      </c>
      <c r="P123">
        <v>7.6500113129695818E-2</v>
      </c>
      <c r="Q123" t="s">
        <v>159</v>
      </c>
      <c r="S123" t="s">
        <v>261</v>
      </c>
      <c r="T123" t="s">
        <v>436</v>
      </c>
      <c r="U123">
        <v>0.11145543433665941</v>
      </c>
      <c r="V123" t="s">
        <v>159</v>
      </c>
      <c r="AK123">
        <v>2050</v>
      </c>
      <c r="AL123" t="s">
        <v>426</v>
      </c>
      <c r="AM123">
        <v>0.16276666666666667</v>
      </c>
      <c r="AN123" t="s">
        <v>281</v>
      </c>
    </row>
    <row r="124" spans="9:40" x14ac:dyDescent="0.45">
      <c r="I124" t="s">
        <v>176</v>
      </c>
      <c r="J124" t="s">
        <v>437</v>
      </c>
      <c r="K124">
        <v>2.1310274528712578E-2</v>
      </c>
      <c r="L124" t="s">
        <v>159</v>
      </c>
      <c r="N124" t="s">
        <v>219</v>
      </c>
      <c r="O124" t="s">
        <v>437</v>
      </c>
      <c r="P124">
        <v>2.5390929423215212E-2</v>
      </c>
      <c r="Q124" t="s">
        <v>159</v>
      </c>
      <c r="S124" t="s">
        <v>261</v>
      </c>
      <c r="T124" t="s">
        <v>437</v>
      </c>
      <c r="U124">
        <v>2.1670044455268083E-2</v>
      </c>
      <c r="V124" t="s">
        <v>159</v>
      </c>
      <c r="AK124">
        <v>2050</v>
      </c>
      <c r="AL124" t="s">
        <v>428</v>
      </c>
      <c r="AM124">
        <v>0.36883333333333335</v>
      </c>
      <c r="AN124" t="s">
        <v>281</v>
      </c>
    </row>
    <row r="125" spans="9:40" x14ac:dyDescent="0.45">
      <c r="I125" t="s">
        <v>176</v>
      </c>
      <c r="J125" t="s">
        <v>438</v>
      </c>
      <c r="K125">
        <v>0.12265806130463378</v>
      </c>
      <c r="L125" t="s">
        <v>159</v>
      </c>
      <c r="N125" t="s">
        <v>219</v>
      </c>
      <c r="O125" t="s">
        <v>438</v>
      </c>
      <c r="P125">
        <v>0.11280733657952721</v>
      </c>
      <c r="Q125" t="s">
        <v>159</v>
      </c>
      <c r="S125" t="s">
        <v>261</v>
      </c>
      <c r="T125" t="s">
        <v>438</v>
      </c>
      <c r="U125">
        <v>0.11752112661821508</v>
      </c>
      <c r="V125" t="s">
        <v>159</v>
      </c>
      <c r="AK125">
        <v>2050</v>
      </c>
      <c r="AL125" t="s">
        <v>429</v>
      </c>
      <c r="AM125">
        <v>0.12406666666666666</v>
      </c>
      <c r="AN125" t="s">
        <v>281</v>
      </c>
    </row>
    <row r="126" spans="9:40" x14ac:dyDescent="0.45">
      <c r="I126" t="s">
        <v>176</v>
      </c>
      <c r="J126" t="s">
        <v>439</v>
      </c>
      <c r="K126">
        <v>0</v>
      </c>
      <c r="L126" t="s">
        <v>159</v>
      </c>
      <c r="N126" t="s">
        <v>219</v>
      </c>
      <c r="O126" t="s">
        <v>439</v>
      </c>
      <c r="P126">
        <v>0.13108426681280538</v>
      </c>
      <c r="Q126" t="s">
        <v>159</v>
      </c>
      <c r="S126" t="s">
        <v>261</v>
      </c>
      <c r="T126" t="s">
        <v>439</v>
      </c>
      <c r="U126">
        <v>0.12351730724995695</v>
      </c>
      <c r="V126" t="s">
        <v>159</v>
      </c>
      <c r="AK126">
        <v>2050</v>
      </c>
      <c r="AL126" t="s">
        <v>431</v>
      </c>
      <c r="AM126">
        <v>0.42166666666666669</v>
      </c>
      <c r="AN126" t="s">
        <v>281</v>
      </c>
    </row>
    <row r="127" spans="9:40" x14ac:dyDescent="0.45">
      <c r="I127" t="s">
        <v>176</v>
      </c>
      <c r="J127" t="s">
        <v>440</v>
      </c>
      <c r="K127">
        <v>1.0574064189709834E-2</v>
      </c>
      <c r="L127" t="s">
        <v>159</v>
      </c>
      <c r="N127" t="s">
        <v>219</v>
      </c>
      <c r="O127" t="s">
        <v>440</v>
      </c>
      <c r="P127">
        <v>2.9625709726053162E-2</v>
      </c>
      <c r="Q127" t="s">
        <v>159</v>
      </c>
      <c r="S127" t="s">
        <v>261</v>
      </c>
      <c r="T127" t="s">
        <v>440</v>
      </c>
      <c r="U127">
        <v>2.4173032970566718E-2</v>
      </c>
      <c r="V127" t="s">
        <v>159</v>
      </c>
    </row>
    <row r="128" spans="9:40" x14ac:dyDescent="0.45">
      <c r="I128" t="s">
        <v>176</v>
      </c>
      <c r="J128" t="s">
        <v>441</v>
      </c>
      <c r="K128">
        <v>0.30937377168622709</v>
      </c>
      <c r="L128" t="s">
        <v>159</v>
      </c>
      <c r="N128" t="s">
        <v>219</v>
      </c>
      <c r="O128" t="s">
        <v>441</v>
      </c>
      <c r="P128">
        <v>9.6889581874858147E-2</v>
      </c>
      <c r="Q128" t="s">
        <v>159</v>
      </c>
      <c r="S128" t="s">
        <v>261</v>
      </c>
      <c r="T128" t="s">
        <v>441</v>
      </c>
      <c r="U128">
        <v>8.6926882558262433E-2</v>
      </c>
      <c r="V128" t="s">
        <v>159</v>
      </c>
    </row>
    <row r="129" spans="9:22" x14ac:dyDescent="0.45">
      <c r="I129" t="s">
        <v>176</v>
      </c>
      <c r="J129" t="s">
        <v>442</v>
      </c>
      <c r="K129">
        <v>1.2179817476859894E-2</v>
      </c>
      <c r="L129" t="s">
        <v>159</v>
      </c>
      <c r="N129" t="s">
        <v>219</v>
      </c>
      <c r="O129" t="s">
        <v>442</v>
      </c>
      <c r="P129">
        <v>8.0133459062173396E-2</v>
      </c>
      <c r="Q129" t="s">
        <v>159</v>
      </c>
      <c r="S129" t="s">
        <v>261</v>
      </c>
      <c r="T129" t="s">
        <v>442</v>
      </c>
      <c r="U129">
        <v>9.732950521285276E-2</v>
      </c>
      <c r="V129" t="s">
        <v>159</v>
      </c>
    </row>
    <row r="130" spans="9:22" x14ac:dyDescent="0.45">
      <c r="I130" t="s">
        <v>176</v>
      </c>
      <c r="J130" t="s">
        <v>443</v>
      </c>
      <c r="K130">
        <v>4.9976257275993502E-2</v>
      </c>
      <c r="L130" t="s">
        <v>159</v>
      </c>
      <c r="N130" t="s">
        <v>219</v>
      </c>
      <c r="O130" t="s">
        <v>443</v>
      </c>
      <c r="P130">
        <v>3.7510373037724545E-2</v>
      </c>
      <c r="Q130" t="s">
        <v>159</v>
      </c>
      <c r="S130" t="s">
        <v>261</v>
      </c>
      <c r="T130" t="s">
        <v>443</v>
      </c>
      <c r="U130">
        <v>2.0875489386945504E-2</v>
      </c>
      <c r="V130" t="s">
        <v>159</v>
      </c>
    </row>
    <row r="131" spans="9:22" x14ac:dyDescent="0.45">
      <c r="I131" t="s">
        <v>177</v>
      </c>
      <c r="J131" t="s">
        <v>432</v>
      </c>
      <c r="K131">
        <v>0.2610173219089536</v>
      </c>
      <c r="L131" t="s">
        <v>159</v>
      </c>
      <c r="N131" t="s">
        <v>220</v>
      </c>
      <c r="O131" t="s">
        <v>432</v>
      </c>
      <c r="P131">
        <v>0.13416000939751335</v>
      </c>
      <c r="Q131" t="s">
        <v>159</v>
      </c>
      <c r="S131" t="s">
        <v>262</v>
      </c>
      <c r="T131" t="s">
        <v>432</v>
      </c>
      <c r="U131">
        <v>0.12275599600507436</v>
      </c>
      <c r="V131" t="s">
        <v>159</v>
      </c>
    </row>
    <row r="132" spans="9:22" x14ac:dyDescent="0.45">
      <c r="I132" t="s">
        <v>177</v>
      </c>
      <c r="J132" t="s">
        <v>433</v>
      </c>
      <c r="K132">
        <v>0</v>
      </c>
      <c r="L132" t="s">
        <v>159</v>
      </c>
      <c r="N132" t="s">
        <v>220</v>
      </c>
      <c r="O132" t="s">
        <v>433</v>
      </c>
      <c r="P132">
        <v>0.14411153033589741</v>
      </c>
      <c r="Q132" t="s">
        <v>159</v>
      </c>
      <c r="S132" t="s">
        <v>262</v>
      </c>
      <c r="T132" t="s">
        <v>433</v>
      </c>
      <c r="U132">
        <v>0.1308342389630445</v>
      </c>
      <c r="V132" t="s">
        <v>159</v>
      </c>
    </row>
    <row r="133" spans="9:22" x14ac:dyDescent="0.45">
      <c r="I133" t="s">
        <v>177</v>
      </c>
      <c r="J133" t="s">
        <v>434</v>
      </c>
      <c r="K133">
        <v>3.148932252809953E-2</v>
      </c>
      <c r="L133" t="s">
        <v>159</v>
      </c>
      <c r="N133" t="s">
        <v>220</v>
      </c>
      <c r="O133" t="s">
        <v>434</v>
      </c>
      <c r="P133">
        <v>3.8798056525877991E-2</v>
      </c>
      <c r="Q133" t="s">
        <v>159</v>
      </c>
      <c r="S133" t="s">
        <v>262</v>
      </c>
      <c r="T133" t="s">
        <v>434</v>
      </c>
      <c r="U133">
        <v>2.6080114763195172E-2</v>
      </c>
      <c r="V133" t="s">
        <v>159</v>
      </c>
    </row>
    <row r="134" spans="9:22" x14ac:dyDescent="0.45">
      <c r="I134" t="s">
        <v>177</v>
      </c>
      <c r="J134" t="s">
        <v>435</v>
      </c>
      <c r="K134">
        <v>0.19162376124696198</v>
      </c>
      <c r="L134" t="s">
        <v>159</v>
      </c>
      <c r="N134" t="s">
        <v>220</v>
      </c>
      <c r="O134" t="s">
        <v>435</v>
      </c>
      <c r="P134">
        <v>6.2572585186247018E-2</v>
      </c>
      <c r="Q134" t="s">
        <v>159</v>
      </c>
      <c r="S134" t="s">
        <v>262</v>
      </c>
      <c r="T134" t="s">
        <v>435</v>
      </c>
      <c r="U134">
        <v>0.10618546827961713</v>
      </c>
      <c r="V134" t="s">
        <v>159</v>
      </c>
    </row>
    <row r="135" spans="9:22" x14ac:dyDescent="0.45">
      <c r="I135" t="s">
        <v>177</v>
      </c>
      <c r="J135" t="s">
        <v>436</v>
      </c>
      <c r="K135">
        <v>0</v>
      </c>
      <c r="L135" t="s">
        <v>159</v>
      </c>
      <c r="N135" t="s">
        <v>220</v>
      </c>
      <c r="O135" t="s">
        <v>436</v>
      </c>
      <c r="P135">
        <v>7.898634278658602E-2</v>
      </c>
      <c r="Q135" t="s">
        <v>159</v>
      </c>
      <c r="S135" t="s">
        <v>262</v>
      </c>
      <c r="T135" t="s">
        <v>436</v>
      </c>
      <c r="U135">
        <v>0.11460562377329901</v>
      </c>
      <c r="V135" t="s">
        <v>159</v>
      </c>
    </row>
    <row r="136" spans="9:22" x14ac:dyDescent="0.45">
      <c r="I136" t="s">
        <v>177</v>
      </c>
      <c r="J136" t="s">
        <v>437</v>
      </c>
      <c r="K136">
        <v>2.0958365176367726E-2</v>
      </c>
      <c r="L136" t="s">
        <v>159</v>
      </c>
      <c r="N136" t="s">
        <v>220</v>
      </c>
      <c r="O136" t="s">
        <v>437</v>
      </c>
      <c r="P136">
        <v>1.7096303687098413E-2</v>
      </c>
      <c r="Q136" t="s">
        <v>159</v>
      </c>
      <c r="S136" t="s">
        <v>262</v>
      </c>
      <c r="T136" t="s">
        <v>437</v>
      </c>
      <c r="U136">
        <v>2.2245919036348986E-2</v>
      </c>
      <c r="V136" t="s">
        <v>159</v>
      </c>
    </row>
    <row r="137" spans="9:22" x14ac:dyDescent="0.45">
      <c r="I137" t="s">
        <v>177</v>
      </c>
      <c r="J137" t="s">
        <v>438</v>
      </c>
      <c r="K137">
        <v>0.12335228903500896</v>
      </c>
      <c r="L137" t="s">
        <v>159</v>
      </c>
      <c r="N137" t="s">
        <v>220</v>
      </c>
      <c r="O137" t="s">
        <v>438</v>
      </c>
      <c r="P137">
        <v>0.15350251389457054</v>
      </c>
      <c r="Q137" t="s">
        <v>159</v>
      </c>
      <c r="S137" t="s">
        <v>262</v>
      </c>
      <c r="T137" t="s">
        <v>438</v>
      </c>
      <c r="U137">
        <v>0.11610763603718363</v>
      </c>
      <c r="V137" t="s">
        <v>159</v>
      </c>
    </row>
    <row r="138" spans="9:22" x14ac:dyDescent="0.45">
      <c r="I138" t="s">
        <v>177</v>
      </c>
      <c r="J138" t="s">
        <v>439</v>
      </c>
      <c r="K138">
        <v>0</v>
      </c>
      <c r="L138" t="s">
        <v>159</v>
      </c>
      <c r="N138" t="s">
        <v>220</v>
      </c>
      <c r="O138" t="s">
        <v>439</v>
      </c>
      <c r="P138">
        <v>0.19086413957865031</v>
      </c>
      <c r="Q138" t="s">
        <v>159</v>
      </c>
      <c r="S138" t="s">
        <v>262</v>
      </c>
      <c r="T138" t="s">
        <v>439</v>
      </c>
      <c r="U138">
        <v>0.11980745414935882</v>
      </c>
      <c r="V138" t="s">
        <v>159</v>
      </c>
    </row>
    <row r="139" spans="9:22" x14ac:dyDescent="0.45">
      <c r="I139" t="s">
        <v>177</v>
      </c>
      <c r="J139" t="s">
        <v>440</v>
      </c>
      <c r="K139">
        <v>1.0376543306773452E-2</v>
      </c>
      <c r="L139" t="s">
        <v>159</v>
      </c>
      <c r="N139" t="s">
        <v>220</v>
      </c>
      <c r="O139" t="s">
        <v>440</v>
      </c>
      <c r="P139">
        <v>2.7083864284140443E-2</v>
      </c>
      <c r="Q139" t="s">
        <v>159</v>
      </c>
      <c r="S139" t="s">
        <v>262</v>
      </c>
      <c r="T139" t="s">
        <v>440</v>
      </c>
      <c r="U139">
        <v>2.2894117478970355E-2</v>
      </c>
      <c r="V139" t="s">
        <v>159</v>
      </c>
    </row>
    <row r="140" spans="9:22" x14ac:dyDescent="0.45">
      <c r="I140" t="s">
        <v>177</v>
      </c>
      <c r="J140" t="s">
        <v>441</v>
      </c>
      <c r="K140">
        <v>0.30480284115187328</v>
      </c>
      <c r="L140" t="s">
        <v>159</v>
      </c>
      <c r="N140" t="s">
        <v>220</v>
      </c>
      <c r="O140" t="s">
        <v>441</v>
      </c>
      <c r="P140">
        <v>6.0224295704263207E-2</v>
      </c>
      <c r="Q140" t="s">
        <v>159</v>
      </c>
      <c r="S140" t="s">
        <v>262</v>
      </c>
      <c r="T140" t="s">
        <v>441</v>
      </c>
      <c r="U140">
        <v>0.10144113865075655</v>
      </c>
      <c r="V140" t="s">
        <v>159</v>
      </c>
    </row>
    <row r="141" spans="9:22" x14ac:dyDescent="0.45">
      <c r="I141" t="s">
        <v>177</v>
      </c>
      <c r="J141" t="s">
        <v>442</v>
      </c>
      <c r="K141">
        <v>1.0007509054026146E-2</v>
      </c>
      <c r="L141" t="s">
        <v>159</v>
      </c>
      <c r="N141" t="s">
        <v>220</v>
      </c>
      <c r="O141" t="s">
        <v>442</v>
      </c>
      <c r="P141">
        <v>6.9317096482896967E-2</v>
      </c>
      <c r="Q141" t="s">
        <v>159</v>
      </c>
      <c r="S141" t="s">
        <v>262</v>
      </c>
      <c r="T141" t="s">
        <v>442</v>
      </c>
      <c r="U141">
        <v>9.6036560808163904E-2</v>
      </c>
      <c r="V141" t="s">
        <v>159</v>
      </c>
    </row>
    <row r="142" spans="9:22" x14ac:dyDescent="0.45">
      <c r="I142" t="s">
        <v>177</v>
      </c>
      <c r="J142" t="s">
        <v>443</v>
      </c>
      <c r="K142">
        <v>4.6372046591937173E-2</v>
      </c>
      <c r="L142" t="s">
        <v>159</v>
      </c>
      <c r="N142" t="s">
        <v>220</v>
      </c>
      <c r="O142" t="s">
        <v>443</v>
      </c>
      <c r="P142">
        <v>2.3283262136258316E-2</v>
      </c>
      <c r="Q142" t="s">
        <v>159</v>
      </c>
      <c r="S142" t="s">
        <v>262</v>
      </c>
      <c r="T142" t="s">
        <v>443</v>
      </c>
      <c r="U142">
        <v>2.1005732054991132E-2</v>
      </c>
      <c r="V142" t="s">
        <v>159</v>
      </c>
    </row>
    <row r="143" spans="9:22" x14ac:dyDescent="0.45">
      <c r="I143" t="s">
        <v>178</v>
      </c>
      <c r="J143" t="s">
        <v>432</v>
      </c>
      <c r="K143">
        <v>0.25965443259993709</v>
      </c>
      <c r="L143" t="s">
        <v>159</v>
      </c>
      <c r="N143" t="s">
        <v>221</v>
      </c>
      <c r="O143" t="s">
        <v>432</v>
      </c>
      <c r="P143">
        <v>0.12793092774834458</v>
      </c>
      <c r="Q143" t="s">
        <v>159</v>
      </c>
      <c r="S143" t="s">
        <v>263</v>
      </c>
      <c r="T143" t="s">
        <v>432</v>
      </c>
      <c r="U143">
        <v>0.11953692393793808</v>
      </c>
      <c r="V143" t="s">
        <v>159</v>
      </c>
    </row>
    <row r="144" spans="9:22" x14ac:dyDescent="0.45">
      <c r="I144" t="s">
        <v>178</v>
      </c>
      <c r="J144" t="s">
        <v>433</v>
      </c>
      <c r="K144">
        <v>4.2121117012075306E-6</v>
      </c>
      <c r="L144" t="s">
        <v>159</v>
      </c>
      <c r="N144" t="s">
        <v>221</v>
      </c>
      <c r="O144" t="s">
        <v>433</v>
      </c>
      <c r="P144">
        <v>0.111981538151755</v>
      </c>
      <c r="Q144" t="s">
        <v>159</v>
      </c>
      <c r="S144" t="s">
        <v>263</v>
      </c>
      <c r="T144" t="s">
        <v>433</v>
      </c>
      <c r="U144">
        <v>0.12492237106653607</v>
      </c>
      <c r="V144" t="s">
        <v>159</v>
      </c>
    </row>
    <row r="145" spans="9:22" x14ac:dyDescent="0.45">
      <c r="I145" t="s">
        <v>178</v>
      </c>
      <c r="J145" t="s">
        <v>434</v>
      </c>
      <c r="K145">
        <v>3.5124541747428677E-2</v>
      </c>
      <c r="L145" t="s">
        <v>159</v>
      </c>
      <c r="N145" t="s">
        <v>221</v>
      </c>
      <c r="O145" t="s">
        <v>434</v>
      </c>
      <c r="P145">
        <v>2.8610475892683843E-2</v>
      </c>
      <c r="Q145" t="s">
        <v>159</v>
      </c>
      <c r="S145" t="s">
        <v>263</v>
      </c>
      <c r="T145" t="s">
        <v>434</v>
      </c>
      <c r="U145">
        <v>2.5417521538791024E-2</v>
      </c>
      <c r="V145" t="s">
        <v>159</v>
      </c>
    </row>
    <row r="146" spans="9:22" x14ac:dyDescent="0.45">
      <c r="I146" t="s">
        <v>178</v>
      </c>
      <c r="J146" t="s">
        <v>435</v>
      </c>
      <c r="K146">
        <v>0.18971341172076228</v>
      </c>
      <c r="L146" t="s">
        <v>159</v>
      </c>
      <c r="N146" t="s">
        <v>221</v>
      </c>
      <c r="O146" t="s">
        <v>435</v>
      </c>
      <c r="P146">
        <v>9.8082489605863896E-2</v>
      </c>
      <c r="Q146" t="s">
        <v>159</v>
      </c>
      <c r="S146" t="s">
        <v>263</v>
      </c>
      <c r="T146" t="s">
        <v>435</v>
      </c>
      <c r="U146">
        <v>0.10913501045921019</v>
      </c>
      <c r="V146" t="s">
        <v>159</v>
      </c>
    </row>
    <row r="147" spans="9:22" x14ac:dyDescent="0.45">
      <c r="I147" t="s">
        <v>178</v>
      </c>
      <c r="J147" t="s">
        <v>436</v>
      </c>
      <c r="K147">
        <v>0</v>
      </c>
      <c r="L147" t="s">
        <v>159</v>
      </c>
      <c r="N147" t="s">
        <v>221</v>
      </c>
      <c r="O147" t="s">
        <v>436</v>
      </c>
      <c r="P147">
        <v>9.6108823215334718E-2</v>
      </c>
      <c r="Q147" t="s">
        <v>159</v>
      </c>
      <c r="S147" t="s">
        <v>263</v>
      </c>
      <c r="T147" t="s">
        <v>436</v>
      </c>
      <c r="U147">
        <v>0.12028073507404109</v>
      </c>
      <c r="V147" t="s">
        <v>159</v>
      </c>
    </row>
    <row r="148" spans="9:22" x14ac:dyDescent="0.45">
      <c r="I148" t="s">
        <v>178</v>
      </c>
      <c r="J148" t="s">
        <v>437</v>
      </c>
      <c r="K148">
        <v>2.2319397686471638E-2</v>
      </c>
      <c r="L148" t="s">
        <v>159</v>
      </c>
      <c r="N148" t="s">
        <v>221</v>
      </c>
      <c r="O148" t="s">
        <v>437</v>
      </c>
      <c r="P148">
        <v>2.2195009227535312E-2</v>
      </c>
      <c r="Q148" t="s">
        <v>159</v>
      </c>
      <c r="S148" t="s">
        <v>263</v>
      </c>
      <c r="T148" t="s">
        <v>437</v>
      </c>
      <c r="U148">
        <v>2.2661332184318646E-2</v>
      </c>
      <c r="V148" t="s">
        <v>159</v>
      </c>
    </row>
    <row r="149" spans="9:22" x14ac:dyDescent="0.45">
      <c r="I149" t="s">
        <v>178</v>
      </c>
      <c r="J149" t="s">
        <v>438</v>
      </c>
      <c r="K149">
        <v>0.12969787044349967</v>
      </c>
      <c r="L149" t="s">
        <v>159</v>
      </c>
      <c r="N149" t="s">
        <v>221</v>
      </c>
      <c r="O149" t="s">
        <v>438</v>
      </c>
      <c r="P149">
        <v>0.13957397831103033</v>
      </c>
      <c r="Q149" t="s">
        <v>159</v>
      </c>
      <c r="S149" t="s">
        <v>263</v>
      </c>
      <c r="T149" t="s">
        <v>438</v>
      </c>
      <c r="U149">
        <v>0.10769528235483281</v>
      </c>
      <c r="V149" t="s">
        <v>159</v>
      </c>
    </row>
    <row r="150" spans="9:22" x14ac:dyDescent="0.45">
      <c r="I150" t="s">
        <v>178</v>
      </c>
      <c r="J150" t="s">
        <v>439</v>
      </c>
      <c r="K150">
        <v>0</v>
      </c>
      <c r="L150" t="s">
        <v>159</v>
      </c>
      <c r="N150" t="s">
        <v>221</v>
      </c>
      <c r="O150" t="s">
        <v>439</v>
      </c>
      <c r="P150">
        <v>0.13284058385421393</v>
      </c>
      <c r="Q150" t="s">
        <v>159</v>
      </c>
      <c r="S150" t="s">
        <v>263</v>
      </c>
      <c r="T150" t="s">
        <v>439</v>
      </c>
      <c r="U150">
        <v>0.11817076917202464</v>
      </c>
      <c r="V150" t="s">
        <v>159</v>
      </c>
    </row>
    <row r="151" spans="9:22" x14ac:dyDescent="0.45">
      <c r="I151" t="s">
        <v>178</v>
      </c>
      <c r="J151" t="s">
        <v>440</v>
      </c>
      <c r="K151">
        <v>1.0856057030055467E-2</v>
      </c>
      <c r="L151" t="s">
        <v>159</v>
      </c>
      <c r="N151" t="s">
        <v>221</v>
      </c>
      <c r="O151" t="s">
        <v>440</v>
      </c>
      <c r="P151">
        <v>2.3462996350063488E-2</v>
      </c>
      <c r="Q151" t="s">
        <v>159</v>
      </c>
      <c r="S151" t="s">
        <v>263</v>
      </c>
      <c r="T151" t="s">
        <v>440</v>
      </c>
      <c r="U151">
        <v>2.299264277678139E-2</v>
      </c>
      <c r="V151" t="s">
        <v>159</v>
      </c>
    </row>
    <row r="152" spans="9:22" x14ac:dyDescent="0.45">
      <c r="I152" t="s">
        <v>178</v>
      </c>
      <c r="J152" t="s">
        <v>441</v>
      </c>
      <c r="K152">
        <v>0.29323464709224062</v>
      </c>
      <c r="L152" t="s">
        <v>159</v>
      </c>
      <c r="N152" t="s">
        <v>221</v>
      </c>
      <c r="O152" t="s">
        <v>441</v>
      </c>
      <c r="P152">
        <v>0.10618402896218905</v>
      </c>
      <c r="Q152" t="s">
        <v>159</v>
      </c>
      <c r="S152" t="s">
        <v>263</v>
      </c>
      <c r="T152" t="s">
        <v>441</v>
      </c>
      <c r="U152">
        <v>0.10382193100630444</v>
      </c>
      <c r="V152" t="s">
        <v>159</v>
      </c>
    </row>
    <row r="153" spans="9:22" x14ac:dyDescent="0.45">
      <c r="I153" t="s">
        <v>178</v>
      </c>
      <c r="J153" t="s">
        <v>442</v>
      </c>
      <c r="K153">
        <v>1.1221471588629864E-2</v>
      </c>
      <c r="L153" t="s">
        <v>159</v>
      </c>
      <c r="N153" t="s">
        <v>221</v>
      </c>
      <c r="O153" t="s">
        <v>442</v>
      </c>
      <c r="P153">
        <v>8.6920196904630959E-2</v>
      </c>
      <c r="Q153" t="s">
        <v>159</v>
      </c>
      <c r="S153" t="s">
        <v>263</v>
      </c>
      <c r="T153" t="s">
        <v>442</v>
      </c>
      <c r="U153">
        <v>0.10463868339416219</v>
      </c>
      <c r="V153" t="s">
        <v>159</v>
      </c>
    </row>
    <row r="154" spans="9:22" x14ac:dyDescent="0.45">
      <c r="I154" t="s">
        <v>178</v>
      </c>
      <c r="J154" t="s">
        <v>443</v>
      </c>
      <c r="K154">
        <v>4.817395797927726E-2</v>
      </c>
      <c r="L154" t="s">
        <v>159</v>
      </c>
      <c r="N154" t="s">
        <v>221</v>
      </c>
      <c r="O154" t="s">
        <v>443</v>
      </c>
      <c r="P154">
        <v>2.6108951776355988E-2</v>
      </c>
      <c r="Q154" t="s">
        <v>159</v>
      </c>
      <c r="S154" t="s">
        <v>263</v>
      </c>
      <c r="T154" t="s">
        <v>443</v>
      </c>
      <c r="U154">
        <v>2.0726797035056123E-2</v>
      </c>
      <c r="V154" t="s">
        <v>159</v>
      </c>
    </row>
    <row r="155" spans="9:22" x14ac:dyDescent="0.45">
      <c r="I155" t="s">
        <v>179</v>
      </c>
      <c r="J155" t="s">
        <v>432</v>
      </c>
      <c r="K155">
        <v>0.2625510690849468</v>
      </c>
      <c r="L155" t="s">
        <v>159</v>
      </c>
      <c r="N155" t="s">
        <v>222</v>
      </c>
      <c r="O155" t="s">
        <v>432</v>
      </c>
      <c r="P155">
        <v>0.12677002861884379</v>
      </c>
      <c r="Q155" t="s">
        <v>159</v>
      </c>
      <c r="S155" t="s">
        <v>264</v>
      </c>
      <c r="T155" t="s">
        <v>432</v>
      </c>
      <c r="U155">
        <v>0.1255471478414053</v>
      </c>
      <c r="V155" t="s">
        <v>159</v>
      </c>
    </row>
    <row r="156" spans="9:22" x14ac:dyDescent="0.45">
      <c r="I156" t="s">
        <v>179</v>
      </c>
      <c r="J156" t="s">
        <v>433</v>
      </c>
      <c r="K156">
        <v>0</v>
      </c>
      <c r="L156" t="s">
        <v>159</v>
      </c>
      <c r="N156" t="s">
        <v>222</v>
      </c>
      <c r="O156" t="s">
        <v>433</v>
      </c>
      <c r="P156">
        <v>0.10776398418914096</v>
      </c>
      <c r="Q156" t="s">
        <v>159</v>
      </c>
      <c r="S156" t="s">
        <v>264</v>
      </c>
      <c r="T156" t="s">
        <v>433</v>
      </c>
      <c r="U156">
        <v>0.12710369303878541</v>
      </c>
      <c r="V156" t="s">
        <v>159</v>
      </c>
    </row>
    <row r="157" spans="9:22" x14ac:dyDescent="0.45">
      <c r="I157" t="s">
        <v>179</v>
      </c>
      <c r="J157" t="s">
        <v>434</v>
      </c>
      <c r="K157">
        <v>3.2188841542393293E-2</v>
      </c>
      <c r="L157" t="s">
        <v>159</v>
      </c>
      <c r="N157" t="s">
        <v>222</v>
      </c>
      <c r="O157" t="s">
        <v>434</v>
      </c>
      <c r="P157">
        <v>2.7985956754058908E-2</v>
      </c>
      <c r="Q157" t="s">
        <v>159</v>
      </c>
      <c r="S157" t="s">
        <v>264</v>
      </c>
      <c r="T157" t="s">
        <v>434</v>
      </c>
      <c r="U157">
        <v>2.3987922840629446E-2</v>
      </c>
      <c r="V157" t="s">
        <v>159</v>
      </c>
    </row>
    <row r="158" spans="9:22" x14ac:dyDescent="0.45">
      <c r="I158" t="s">
        <v>179</v>
      </c>
      <c r="J158" t="s">
        <v>435</v>
      </c>
      <c r="K158">
        <v>0.19480347113873481</v>
      </c>
      <c r="L158" t="s">
        <v>159</v>
      </c>
      <c r="N158" t="s">
        <v>222</v>
      </c>
      <c r="O158" t="s">
        <v>435</v>
      </c>
      <c r="P158">
        <v>9.8274771948130696E-2</v>
      </c>
      <c r="Q158" t="s">
        <v>159</v>
      </c>
      <c r="S158" t="s">
        <v>264</v>
      </c>
      <c r="T158" t="s">
        <v>435</v>
      </c>
      <c r="U158">
        <v>0.10041470819767322</v>
      </c>
      <c r="V158" t="s">
        <v>159</v>
      </c>
    </row>
    <row r="159" spans="9:22" x14ac:dyDescent="0.45">
      <c r="I159" t="s">
        <v>179</v>
      </c>
      <c r="J159" t="s">
        <v>436</v>
      </c>
      <c r="K159">
        <v>0</v>
      </c>
      <c r="L159" t="s">
        <v>159</v>
      </c>
      <c r="N159" t="s">
        <v>222</v>
      </c>
      <c r="O159" t="s">
        <v>436</v>
      </c>
      <c r="P159">
        <v>8.5313713103130573E-2</v>
      </c>
      <c r="Q159" t="s">
        <v>159</v>
      </c>
      <c r="S159" t="s">
        <v>264</v>
      </c>
      <c r="T159" t="s">
        <v>436</v>
      </c>
      <c r="U159">
        <v>9.7231581459991195E-2</v>
      </c>
      <c r="V159" t="s">
        <v>159</v>
      </c>
    </row>
    <row r="160" spans="9:22" x14ac:dyDescent="0.45">
      <c r="I160" t="s">
        <v>179</v>
      </c>
      <c r="J160" t="s">
        <v>437</v>
      </c>
      <c r="K160">
        <v>2.1023586752192729E-2</v>
      </c>
      <c r="L160" t="s">
        <v>159</v>
      </c>
      <c r="N160" t="s">
        <v>222</v>
      </c>
      <c r="O160" t="s">
        <v>437</v>
      </c>
      <c r="P160">
        <v>2.2753120996390892E-2</v>
      </c>
      <c r="Q160" t="s">
        <v>159</v>
      </c>
      <c r="S160" t="s">
        <v>264</v>
      </c>
      <c r="T160" t="s">
        <v>437</v>
      </c>
      <c r="U160">
        <v>1.8018232521371552E-2</v>
      </c>
      <c r="V160" t="s">
        <v>159</v>
      </c>
    </row>
    <row r="161" spans="9:22" x14ac:dyDescent="0.45">
      <c r="I161" t="s">
        <v>179</v>
      </c>
      <c r="J161" t="s">
        <v>438</v>
      </c>
      <c r="K161">
        <v>0.12888599371796305</v>
      </c>
      <c r="L161" t="s">
        <v>159</v>
      </c>
      <c r="N161" t="s">
        <v>222</v>
      </c>
      <c r="O161" t="s">
        <v>438</v>
      </c>
      <c r="P161">
        <v>0.13109059675114609</v>
      </c>
      <c r="Q161" t="s">
        <v>159</v>
      </c>
      <c r="S161" t="s">
        <v>264</v>
      </c>
      <c r="T161" t="s">
        <v>438</v>
      </c>
      <c r="U161">
        <v>0.13921847424682615</v>
      </c>
      <c r="V161" t="s">
        <v>159</v>
      </c>
    </row>
    <row r="162" spans="9:22" x14ac:dyDescent="0.45">
      <c r="I162" t="s">
        <v>179</v>
      </c>
      <c r="J162" t="s">
        <v>439</v>
      </c>
      <c r="K162">
        <v>0</v>
      </c>
      <c r="L162" t="s">
        <v>159</v>
      </c>
      <c r="N162" t="s">
        <v>222</v>
      </c>
      <c r="O162" t="s">
        <v>439</v>
      </c>
      <c r="P162">
        <v>0.12034875584426839</v>
      </c>
      <c r="Q162" t="s">
        <v>159</v>
      </c>
      <c r="S162" t="s">
        <v>264</v>
      </c>
      <c r="T162" t="s">
        <v>439</v>
      </c>
      <c r="U162">
        <v>0.14112055148887073</v>
      </c>
      <c r="V162" t="s">
        <v>159</v>
      </c>
    </row>
    <row r="163" spans="9:22" x14ac:dyDescent="0.45">
      <c r="I163" t="s">
        <v>179</v>
      </c>
      <c r="J163" t="s">
        <v>440</v>
      </c>
      <c r="K163">
        <v>1.0840293557074689E-2</v>
      </c>
      <c r="L163" t="s">
        <v>159</v>
      </c>
      <c r="N163" t="s">
        <v>222</v>
      </c>
      <c r="O163" t="s">
        <v>440</v>
      </c>
      <c r="P163">
        <v>2.5075070125008463E-2</v>
      </c>
      <c r="Q163" t="s">
        <v>159</v>
      </c>
      <c r="S163" t="s">
        <v>264</v>
      </c>
      <c r="T163" t="s">
        <v>440</v>
      </c>
      <c r="U163">
        <v>2.4991609992792634E-2</v>
      </c>
      <c r="V163" t="s">
        <v>159</v>
      </c>
    </row>
    <row r="164" spans="9:22" x14ac:dyDescent="0.45">
      <c r="I164" t="s">
        <v>179</v>
      </c>
      <c r="J164" t="s">
        <v>441</v>
      </c>
      <c r="K164">
        <v>0.29581584891104157</v>
      </c>
      <c r="L164" t="s">
        <v>159</v>
      </c>
      <c r="N164" t="s">
        <v>222</v>
      </c>
      <c r="O164" t="s">
        <v>441</v>
      </c>
      <c r="P164">
        <v>0.12422608752635823</v>
      </c>
      <c r="Q164" t="s">
        <v>159</v>
      </c>
      <c r="S164" t="s">
        <v>264</v>
      </c>
      <c r="T164" t="s">
        <v>441</v>
      </c>
      <c r="U164">
        <v>8.7131783666093768E-2</v>
      </c>
      <c r="V164" t="s">
        <v>159</v>
      </c>
    </row>
    <row r="165" spans="9:22" x14ac:dyDescent="0.45">
      <c r="I165" t="s">
        <v>179</v>
      </c>
      <c r="J165" t="s">
        <v>442</v>
      </c>
      <c r="K165">
        <v>9.038578657175951E-3</v>
      </c>
      <c r="L165" t="s">
        <v>159</v>
      </c>
      <c r="N165" t="s">
        <v>222</v>
      </c>
      <c r="O165" t="s">
        <v>442</v>
      </c>
      <c r="P165">
        <v>9.990983052565508E-2</v>
      </c>
      <c r="Q165" t="s">
        <v>159</v>
      </c>
      <c r="S165" t="s">
        <v>264</v>
      </c>
      <c r="T165" t="s">
        <v>442</v>
      </c>
      <c r="U165">
        <v>9.7625389553188557E-2</v>
      </c>
      <c r="V165" t="s">
        <v>159</v>
      </c>
    </row>
    <row r="166" spans="9:22" x14ac:dyDescent="0.45">
      <c r="I166" t="s">
        <v>179</v>
      </c>
      <c r="J166" t="s">
        <v>443</v>
      </c>
      <c r="K166">
        <v>4.4852316638472861E-2</v>
      </c>
      <c r="L166" t="s">
        <v>159</v>
      </c>
      <c r="N166" t="s">
        <v>222</v>
      </c>
      <c r="O166" t="s">
        <v>443</v>
      </c>
      <c r="P166">
        <v>3.0488083617869852E-2</v>
      </c>
      <c r="Q166" t="s">
        <v>159</v>
      </c>
      <c r="S166" t="s">
        <v>264</v>
      </c>
      <c r="T166" t="s">
        <v>443</v>
      </c>
      <c r="U166">
        <v>1.7608905152370777E-2</v>
      </c>
      <c r="V166" t="s">
        <v>159</v>
      </c>
    </row>
    <row r="167" spans="9:22" x14ac:dyDescent="0.45">
      <c r="I167" t="s">
        <v>180</v>
      </c>
      <c r="J167" t="s">
        <v>432</v>
      </c>
      <c r="K167">
        <v>0.25787670871268753</v>
      </c>
      <c r="L167" t="s">
        <v>159</v>
      </c>
      <c r="N167" t="s">
        <v>223</v>
      </c>
      <c r="O167" t="s">
        <v>432</v>
      </c>
      <c r="P167">
        <v>0.12819263285747581</v>
      </c>
      <c r="Q167" t="s">
        <v>159</v>
      </c>
      <c r="S167" t="s">
        <v>265</v>
      </c>
      <c r="T167" t="s">
        <v>432</v>
      </c>
      <c r="U167">
        <v>0.12239540232672889</v>
      </c>
      <c r="V167" t="s">
        <v>159</v>
      </c>
    </row>
    <row r="168" spans="9:22" x14ac:dyDescent="0.45">
      <c r="I168" t="s">
        <v>180</v>
      </c>
      <c r="J168" t="s">
        <v>433</v>
      </c>
      <c r="K168">
        <v>0</v>
      </c>
      <c r="L168" t="s">
        <v>159</v>
      </c>
      <c r="N168" t="s">
        <v>223</v>
      </c>
      <c r="O168" t="s">
        <v>433</v>
      </c>
      <c r="P168">
        <v>0.10687273865330528</v>
      </c>
      <c r="Q168" t="s">
        <v>159</v>
      </c>
      <c r="S168" t="s">
        <v>265</v>
      </c>
      <c r="T168" t="s">
        <v>433</v>
      </c>
      <c r="U168">
        <v>0.12240673590925712</v>
      </c>
      <c r="V168" t="s">
        <v>159</v>
      </c>
    </row>
    <row r="169" spans="9:22" x14ac:dyDescent="0.45">
      <c r="I169" t="s">
        <v>180</v>
      </c>
      <c r="J169" t="s">
        <v>434</v>
      </c>
      <c r="K169">
        <v>3.5127115766271616E-2</v>
      </c>
      <c r="L169" t="s">
        <v>159</v>
      </c>
      <c r="N169" t="s">
        <v>223</v>
      </c>
      <c r="O169" t="s">
        <v>434</v>
      </c>
      <c r="P169">
        <v>2.5411381841383821E-2</v>
      </c>
      <c r="Q169" t="s">
        <v>159</v>
      </c>
      <c r="S169" t="s">
        <v>265</v>
      </c>
      <c r="T169" t="s">
        <v>434</v>
      </c>
      <c r="U169">
        <v>2.4131697661536406E-2</v>
      </c>
      <c r="V169" t="s">
        <v>159</v>
      </c>
    </row>
    <row r="170" spans="9:22" x14ac:dyDescent="0.45">
      <c r="I170" t="s">
        <v>180</v>
      </c>
      <c r="J170" t="s">
        <v>435</v>
      </c>
      <c r="K170">
        <v>0.19434863644059927</v>
      </c>
      <c r="L170" t="s">
        <v>159</v>
      </c>
      <c r="N170" t="s">
        <v>223</v>
      </c>
      <c r="O170" t="s">
        <v>435</v>
      </c>
      <c r="P170">
        <v>9.9164484455698129E-2</v>
      </c>
      <c r="Q170" t="s">
        <v>159</v>
      </c>
      <c r="S170" t="s">
        <v>265</v>
      </c>
      <c r="T170" t="s">
        <v>435</v>
      </c>
      <c r="U170">
        <v>0.10197476711980967</v>
      </c>
      <c r="V170" t="s">
        <v>159</v>
      </c>
    </row>
    <row r="171" spans="9:22" x14ac:dyDescent="0.45">
      <c r="I171" t="s">
        <v>180</v>
      </c>
      <c r="J171" t="s">
        <v>436</v>
      </c>
      <c r="K171">
        <v>0</v>
      </c>
      <c r="L171" t="s">
        <v>159</v>
      </c>
      <c r="N171" t="s">
        <v>223</v>
      </c>
      <c r="O171" t="s">
        <v>436</v>
      </c>
      <c r="P171">
        <v>8.2524128271837485E-2</v>
      </c>
      <c r="Q171" t="s">
        <v>159</v>
      </c>
      <c r="S171" t="s">
        <v>265</v>
      </c>
      <c r="T171" t="s">
        <v>436</v>
      </c>
      <c r="U171">
        <v>0.100582952235491</v>
      </c>
      <c r="V171" t="s">
        <v>159</v>
      </c>
    </row>
    <row r="172" spans="9:22" x14ac:dyDescent="0.45">
      <c r="I172" t="s">
        <v>180</v>
      </c>
      <c r="J172" t="s">
        <v>437</v>
      </c>
      <c r="K172">
        <v>2.2485371709861788E-2</v>
      </c>
      <c r="L172" t="s">
        <v>159</v>
      </c>
      <c r="N172" t="s">
        <v>223</v>
      </c>
      <c r="O172" t="s">
        <v>437</v>
      </c>
      <c r="P172">
        <v>2.0444209017081331E-2</v>
      </c>
      <c r="Q172" t="s">
        <v>159</v>
      </c>
      <c r="S172" t="s">
        <v>265</v>
      </c>
      <c r="T172" t="s">
        <v>437</v>
      </c>
      <c r="U172">
        <v>1.9363089418760842E-2</v>
      </c>
      <c r="V172" t="s">
        <v>159</v>
      </c>
    </row>
    <row r="173" spans="9:22" x14ac:dyDescent="0.45">
      <c r="I173" t="s">
        <v>180</v>
      </c>
      <c r="J173" t="s">
        <v>438</v>
      </c>
      <c r="K173">
        <v>0.1376522186698593</v>
      </c>
      <c r="L173" t="s">
        <v>159</v>
      </c>
      <c r="N173" t="s">
        <v>223</v>
      </c>
      <c r="O173" t="s">
        <v>438</v>
      </c>
      <c r="P173">
        <v>0.14486507359673889</v>
      </c>
      <c r="Q173" t="s">
        <v>159</v>
      </c>
      <c r="S173" t="s">
        <v>265</v>
      </c>
      <c r="T173" t="s">
        <v>438</v>
      </c>
      <c r="U173">
        <v>0.13592667710417186</v>
      </c>
      <c r="V173" t="s">
        <v>159</v>
      </c>
    </row>
    <row r="174" spans="9:22" x14ac:dyDescent="0.45">
      <c r="I174" t="s">
        <v>180</v>
      </c>
      <c r="J174" t="s">
        <v>439</v>
      </c>
      <c r="K174">
        <v>0</v>
      </c>
      <c r="L174" t="s">
        <v>159</v>
      </c>
      <c r="N174" t="s">
        <v>223</v>
      </c>
      <c r="O174" t="s">
        <v>439</v>
      </c>
      <c r="P174">
        <v>0.13449534818068998</v>
      </c>
      <c r="Q174" t="s">
        <v>159</v>
      </c>
      <c r="S174" t="s">
        <v>265</v>
      </c>
      <c r="T174" t="s">
        <v>439</v>
      </c>
      <c r="U174">
        <v>0.1386170345864319</v>
      </c>
      <c r="V174" t="s">
        <v>159</v>
      </c>
    </row>
    <row r="175" spans="9:22" x14ac:dyDescent="0.45">
      <c r="I175" t="s">
        <v>180</v>
      </c>
      <c r="J175" t="s">
        <v>440</v>
      </c>
      <c r="K175">
        <v>1.1286514314135914E-2</v>
      </c>
      <c r="L175" t="s">
        <v>159</v>
      </c>
      <c r="N175" t="s">
        <v>223</v>
      </c>
      <c r="O175" t="s">
        <v>440</v>
      </c>
      <c r="P175">
        <v>2.4383980599773935E-2</v>
      </c>
      <c r="Q175" t="s">
        <v>159</v>
      </c>
      <c r="S175" t="s">
        <v>265</v>
      </c>
      <c r="T175" t="s">
        <v>440</v>
      </c>
      <c r="U175">
        <v>2.545910077745013E-2</v>
      </c>
      <c r="V175" t="s">
        <v>159</v>
      </c>
    </row>
    <row r="176" spans="9:22" x14ac:dyDescent="0.45">
      <c r="I176" t="s">
        <v>180</v>
      </c>
      <c r="J176" t="s">
        <v>441</v>
      </c>
      <c r="K176">
        <v>0.28556649591624972</v>
      </c>
      <c r="L176" t="s">
        <v>159</v>
      </c>
      <c r="N176" t="s">
        <v>223</v>
      </c>
      <c r="O176" t="s">
        <v>441</v>
      </c>
      <c r="P176">
        <v>0.11785699719258048</v>
      </c>
      <c r="Q176" t="s">
        <v>159</v>
      </c>
      <c r="S176" t="s">
        <v>265</v>
      </c>
      <c r="T176" t="s">
        <v>441</v>
      </c>
      <c r="U176">
        <v>8.9829993722275778E-2</v>
      </c>
      <c r="V176" t="s">
        <v>159</v>
      </c>
    </row>
    <row r="177" spans="9:22" x14ac:dyDescent="0.45">
      <c r="I177" t="s">
        <v>180</v>
      </c>
      <c r="J177" t="s">
        <v>442</v>
      </c>
      <c r="K177">
        <v>1.0152925476709821E-2</v>
      </c>
      <c r="L177" t="s">
        <v>159</v>
      </c>
      <c r="N177" t="s">
        <v>223</v>
      </c>
      <c r="O177" t="s">
        <v>442</v>
      </c>
      <c r="P177">
        <v>8.9942524670933791E-2</v>
      </c>
      <c r="Q177" t="s">
        <v>159</v>
      </c>
      <c r="S177" t="s">
        <v>265</v>
      </c>
      <c r="T177" t="s">
        <v>442</v>
      </c>
      <c r="U177">
        <v>9.9392987698976198E-2</v>
      </c>
      <c r="V177" t="s">
        <v>159</v>
      </c>
    </row>
    <row r="178" spans="9:22" x14ac:dyDescent="0.45">
      <c r="I178" t="s">
        <v>180</v>
      </c>
      <c r="J178" t="s">
        <v>443</v>
      </c>
      <c r="K178">
        <v>4.5504012993620939E-2</v>
      </c>
      <c r="L178" t="s">
        <v>159</v>
      </c>
      <c r="N178" t="s">
        <v>223</v>
      </c>
      <c r="O178" t="s">
        <v>443</v>
      </c>
      <c r="P178">
        <v>2.5846500662502398E-2</v>
      </c>
      <c r="Q178" t="s">
        <v>159</v>
      </c>
      <c r="S178" t="s">
        <v>265</v>
      </c>
      <c r="T178" t="s">
        <v>443</v>
      </c>
      <c r="U178">
        <v>1.9919561439107222E-2</v>
      </c>
      <c r="V178" t="s">
        <v>159</v>
      </c>
    </row>
    <row r="179" spans="9:22" x14ac:dyDescent="0.45">
      <c r="I179" t="s">
        <v>181</v>
      </c>
      <c r="J179" t="s">
        <v>432</v>
      </c>
      <c r="K179">
        <v>0.27134808454315562</v>
      </c>
      <c r="L179" t="s">
        <v>159</v>
      </c>
      <c r="N179" t="s">
        <v>224</v>
      </c>
      <c r="O179" t="s">
        <v>432</v>
      </c>
      <c r="P179">
        <v>0.1259330836622721</v>
      </c>
      <c r="Q179" t="s">
        <v>159</v>
      </c>
      <c r="S179" t="s">
        <v>266</v>
      </c>
      <c r="T179" t="s">
        <v>432</v>
      </c>
      <c r="U179">
        <v>0.12553623074369666</v>
      </c>
      <c r="V179" t="s">
        <v>159</v>
      </c>
    </row>
    <row r="180" spans="9:22" x14ac:dyDescent="0.45">
      <c r="I180" t="s">
        <v>181</v>
      </c>
      <c r="J180" t="s">
        <v>433</v>
      </c>
      <c r="K180">
        <v>3.6298518072197944E-3</v>
      </c>
      <c r="L180" t="s">
        <v>159</v>
      </c>
      <c r="N180" t="s">
        <v>224</v>
      </c>
      <c r="O180" t="s">
        <v>433</v>
      </c>
      <c r="P180">
        <v>0.14266373840503263</v>
      </c>
      <c r="Q180" t="s">
        <v>159</v>
      </c>
      <c r="S180" t="s">
        <v>266</v>
      </c>
      <c r="T180" t="s">
        <v>433</v>
      </c>
      <c r="U180">
        <v>0.11069855071069452</v>
      </c>
      <c r="V180" t="s">
        <v>159</v>
      </c>
    </row>
    <row r="181" spans="9:22" x14ac:dyDescent="0.45">
      <c r="I181" t="s">
        <v>181</v>
      </c>
      <c r="J181" t="s">
        <v>434</v>
      </c>
      <c r="K181">
        <v>2.2826918723088323E-2</v>
      </c>
      <c r="L181" t="s">
        <v>159</v>
      </c>
      <c r="N181" t="s">
        <v>224</v>
      </c>
      <c r="O181" t="s">
        <v>434</v>
      </c>
      <c r="P181">
        <v>4.6515259054458503E-2</v>
      </c>
      <c r="Q181" t="s">
        <v>159</v>
      </c>
      <c r="S181" t="s">
        <v>266</v>
      </c>
      <c r="T181" t="s">
        <v>434</v>
      </c>
      <c r="U181">
        <v>2.7123952307130262E-2</v>
      </c>
      <c r="V181" t="s">
        <v>159</v>
      </c>
    </row>
    <row r="182" spans="9:22" x14ac:dyDescent="0.45">
      <c r="I182" t="s">
        <v>181</v>
      </c>
      <c r="J182" t="s">
        <v>435</v>
      </c>
      <c r="K182">
        <v>0.1957585194409939</v>
      </c>
      <c r="L182" t="s">
        <v>159</v>
      </c>
      <c r="N182" t="s">
        <v>224</v>
      </c>
      <c r="O182" t="s">
        <v>435</v>
      </c>
      <c r="P182">
        <v>7.4467565827296411E-2</v>
      </c>
      <c r="Q182" t="s">
        <v>159</v>
      </c>
      <c r="S182" t="s">
        <v>266</v>
      </c>
      <c r="T182" t="s">
        <v>435</v>
      </c>
      <c r="U182">
        <v>0.10001687159577957</v>
      </c>
      <c r="V182" t="s">
        <v>159</v>
      </c>
    </row>
    <row r="183" spans="9:22" x14ac:dyDescent="0.45">
      <c r="I183" t="s">
        <v>181</v>
      </c>
      <c r="J183" t="s">
        <v>436</v>
      </c>
      <c r="K183">
        <v>0</v>
      </c>
      <c r="L183" t="s">
        <v>159</v>
      </c>
      <c r="N183" t="s">
        <v>224</v>
      </c>
      <c r="O183" t="s">
        <v>436</v>
      </c>
      <c r="P183">
        <v>8.8255870091033972E-2</v>
      </c>
      <c r="Q183" t="s">
        <v>159</v>
      </c>
      <c r="S183" t="s">
        <v>266</v>
      </c>
      <c r="T183" t="s">
        <v>436</v>
      </c>
      <c r="U183">
        <v>9.0869290400573496E-2</v>
      </c>
      <c r="V183" t="s">
        <v>159</v>
      </c>
    </row>
    <row r="184" spans="9:22" x14ac:dyDescent="0.45">
      <c r="I184" t="s">
        <v>181</v>
      </c>
      <c r="J184" t="s">
        <v>437</v>
      </c>
      <c r="K184">
        <v>1.2403341811584652E-2</v>
      </c>
      <c r="L184" t="s">
        <v>159</v>
      </c>
      <c r="N184" t="s">
        <v>224</v>
      </c>
      <c r="O184" t="s">
        <v>437</v>
      </c>
      <c r="P184">
        <v>2.4968165309020122E-2</v>
      </c>
      <c r="Q184" t="s">
        <v>159</v>
      </c>
      <c r="S184" t="s">
        <v>266</v>
      </c>
      <c r="T184" t="s">
        <v>437</v>
      </c>
      <c r="U184">
        <v>2.2281378430002732E-2</v>
      </c>
      <c r="V184" t="s">
        <v>159</v>
      </c>
    </row>
    <row r="185" spans="9:22" x14ac:dyDescent="0.45">
      <c r="I185" t="s">
        <v>181</v>
      </c>
      <c r="J185" t="s">
        <v>438</v>
      </c>
      <c r="K185">
        <v>0.14482159206466094</v>
      </c>
      <c r="L185" t="s">
        <v>159</v>
      </c>
      <c r="N185" t="s">
        <v>224</v>
      </c>
      <c r="O185" t="s">
        <v>438</v>
      </c>
      <c r="P185">
        <v>0.11435852611806965</v>
      </c>
      <c r="Q185" t="s">
        <v>159</v>
      </c>
      <c r="S185" t="s">
        <v>266</v>
      </c>
      <c r="T185" t="s">
        <v>438</v>
      </c>
      <c r="U185">
        <v>0.12886993491910892</v>
      </c>
      <c r="V185" t="s">
        <v>159</v>
      </c>
    </row>
    <row r="186" spans="9:22" x14ac:dyDescent="0.45">
      <c r="I186" t="s">
        <v>181</v>
      </c>
      <c r="J186" t="s">
        <v>439</v>
      </c>
      <c r="K186">
        <v>0</v>
      </c>
      <c r="L186" t="s">
        <v>159</v>
      </c>
      <c r="N186" t="s">
        <v>224</v>
      </c>
      <c r="O186" t="s">
        <v>439</v>
      </c>
      <c r="P186">
        <v>0.14329082636152576</v>
      </c>
      <c r="Q186" t="s">
        <v>159</v>
      </c>
      <c r="S186" t="s">
        <v>266</v>
      </c>
      <c r="T186" t="s">
        <v>439</v>
      </c>
      <c r="U186">
        <v>0.12151932475205098</v>
      </c>
      <c r="V186" t="s">
        <v>159</v>
      </c>
    </row>
    <row r="187" spans="9:22" x14ac:dyDescent="0.45">
      <c r="I187" t="s">
        <v>181</v>
      </c>
      <c r="J187" t="s">
        <v>440</v>
      </c>
      <c r="K187">
        <v>4.347822324343751E-3</v>
      </c>
      <c r="L187" t="s">
        <v>159</v>
      </c>
      <c r="N187" t="s">
        <v>224</v>
      </c>
      <c r="O187" t="s">
        <v>440</v>
      </c>
      <c r="P187">
        <v>3.524679363357832E-2</v>
      </c>
      <c r="Q187" t="s">
        <v>159</v>
      </c>
      <c r="S187" t="s">
        <v>266</v>
      </c>
      <c r="T187" t="s">
        <v>440</v>
      </c>
      <c r="U187">
        <v>2.5156286509433561E-2</v>
      </c>
      <c r="V187" t="s">
        <v>159</v>
      </c>
    </row>
    <row r="188" spans="9:22" x14ac:dyDescent="0.45">
      <c r="I188" t="s">
        <v>181</v>
      </c>
      <c r="J188" t="s">
        <v>441</v>
      </c>
      <c r="K188">
        <v>0.30219728457265871</v>
      </c>
      <c r="L188" t="s">
        <v>159</v>
      </c>
      <c r="N188" t="s">
        <v>224</v>
      </c>
      <c r="O188" t="s">
        <v>441</v>
      </c>
      <c r="P188">
        <v>8.7439282837683624E-2</v>
      </c>
      <c r="Q188" t="s">
        <v>159</v>
      </c>
      <c r="S188" t="s">
        <v>266</v>
      </c>
      <c r="T188" t="s">
        <v>441</v>
      </c>
      <c r="U188">
        <v>0.11512582992355595</v>
      </c>
      <c r="V188" t="s">
        <v>159</v>
      </c>
    </row>
    <row r="189" spans="9:22" x14ac:dyDescent="0.45">
      <c r="I189" t="s">
        <v>181</v>
      </c>
      <c r="J189" t="s">
        <v>442</v>
      </c>
      <c r="K189">
        <v>4.1729323531793146E-3</v>
      </c>
      <c r="L189" t="s">
        <v>159</v>
      </c>
      <c r="N189" t="s">
        <v>224</v>
      </c>
      <c r="O189" t="s">
        <v>442</v>
      </c>
      <c r="P189">
        <v>8.7400452357006483E-2</v>
      </c>
      <c r="Q189" t="s">
        <v>159</v>
      </c>
      <c r="S189" t="s">
        <v>266</v>
      </c>
      <c r="T189" t="s">
        <v>442</v>
      </c>
      <c r="U189">
        <v>0.10500275481265013</v>
      </c>
      <c r="V189" t="s">
        <v>159</v>
      </c>
    </row>
    <row r="190" spans="9:22" x14ac:dyDescent="0.45">
      <c r="I190" t="s">
        <v>181</v>
      </c>
      <c r="J190" t="s">
        <v>443</v>
      </c>
      <c r="K190">
        <v>3.8493652359115879E-2</v>
      </c>
      <c r="L190" t="s">
        <v>159</v>
      </c>
      <c r="N190" t="s">
        <v>224</v>
      </c>
      <c r="O190" t="s">
        <v>443</v>
      </c>
      <c r="P190">
        <v>2.9460436343024411E-2</v>
      </c>
      <c r="Q190" t="s">
        <v>159</v>
      </c>
      <c r="S190" t="s">
        <v>266</v>
      </c>
      <c r="T190" t="s">
        <v>443</v>
      </c>
      <c r="U190">
        <v>2.7799594895320769E-2</v>
      </c>
      <c r="V190" t="s">
        <v>159</v>
      </c>
    </row>
    <row r="191" spans="9:22" x14ac:dyDescent="0.45">
      <c r="I191" t="s">
        <v>182</v>
      </c>
      <c r="J191" t="s">
        <v>432</v>
      </c>
      <c r="K191">
        <v>0.27620663674498275</v>
      </c>
      <c r="L191" t="s">
        <v>159</v>
      </c>
      <c r="N191" t="s">
        <v>225</v>
      </c>
      <c r="O191" t="s">
        <v>432</v>
      </c>
      <c r="P191">
        <v>0.12360090859974027</v>
      </c>
      <c r="Q191" t="s">
        <v>159</v>
      </c>
      <c r="S191" t="s">
        <v>267</v>
      </c>
      <c r="T191" t="s">
        <v>432</v>
      </c>
      <c r="U191">
        <v>0.1143162872931309</v>
      </c>
      <c r="V191" t="s">
        <v>159</v>
      </c>
    </row>
    <row r="192" spans="9:22" x14ac:dyDescent="0.45">
      <c r="I192" t="s">
        <v>182</v>
      </c>
      <c r="J192" t="s">
        <v>433</v>
      </c>
      <c r="K192">
        <v>3.7947706852900511E-3</v>
      </c>
      <c r="L192" t="s">
        <v>159</v>
      </c>
      <c r="N192" t="s">
        <v>225</v>
      </c>
      <c r="O192" t="s">
        <v>433</v>
      </c>
      <c r="P192">
        <v>0.13193546402233866</v>
      </c>
      <c r="Q192" t="s">
        <v>159</v>
      </c>
      <c r="S192" t="s">
        <v>267</v>
      </c>
      <c r="T192" t="s">
        <v>433</v>
      </c>
      <c r="U192">
        <v>0.11647699427481549</v>
      </c>
      <c r="V192" t="s">
        <v>159</v>
      </c>
    </row>
    <row r="193" spans="9:22" x14ac:dyDescent="0.45">
      <c r="I193" t="s">
        <v>182</v>
      </c>
      <c r="J193" t="s">
        <v>434</v>
      </c>
      <c r="K193">
        <v>2.2036195266902616E-2</v>
      </c>
      <c r="L193" t="s">
        <v>159</v>
      </c>
      <c r="N193" t="s">
        <v>225</v>
      </c>
      <c r="O193" t="s">
        <v>434</v>
      </c>
      <c r="P193">
        <v>3.0974648731042873E-2</v>
      </c>
      <c r="Q193" t="s">
        <v>159</v>
      </c>
      <c r="S193" t="s">
        <v>267</v>
      </c>
      <c r="T193" t="s">
        <v>434</v>
      </c>
      <c r="U193">
        <v>2.3139621757181227E-2</v>
      </c>
      <c r="V193" t="s">
        <v>159</v>
      </c>
    </row>
    <row r="194" spans="9:22" x14ac:dyDescent="0.45">
      <c r="I194" t="s">
        <v>182</v>
      </c>
      <c r="J194" t="s">
        <v>435</v>
      </c>
      <c r="K194">
        <v>0.19564733561662029</v>
      </c>
      <c r="L194" t="s">
        <v>159</v>
      </c>
      <c r="N194" t="s">
        <v>225</v>
      </c>
      <c r="O194" t="s">
        <v>435</v>
      </c>
      <c r="P194">
        <v>9.8374927229671574E-2</v>
      </c>
      <c r="Q194" t="s">
        <v>159</v>
      </c>
      <c r="S194" t="s">
        <v>267</v>
      </c>
      <c r="T194" t="s">
        <v>435</v>
      </c>
      <c r="U194">
        <v>0.10148311540810732</v>
      </c>
      <c r="V194" t="s">
        <v>159</v>
      </c>
    </row>
    <row r="195" spans="9:22" x14ac:dyDescent="0.45">
      <c r="I195" t="s">
        <v>182</v>
      </c>
      <c r="J195" t="s">
        <v>436</v>
      </c>
      <c r="K195">
        <v>0</v>
      </c>
      <c r="L195" t="s">
        <v>159</v>
      </c>
      <c r="N195" t="s">
        <v>225</v>
      </c>
      <c r="O195" t="s">
        <v>436</v>
      </c>
      <c r="P195">
        <v>0.11236606683335314</v>
      </c>
      <c r="Q195" t="s">
        <v>159</v>
      </c>
      <c r="S195" t="s">
        <v>267</v>
      </c>
      <c r="T195" t="s">
        <v>436</v>
      </c>
      <c r="U195">
        <v>0.10853975950325753</v>
      </c>
      <c r="V195" t="s">
        <v>159</v>
      </c>
    </row>
    <row r="196" spans="9:22" x14ac:dyDescent="0.45">
      <c r="I196" t="s">
        <v>182</v>
      </c>
      <c r="J196" t="s">
        <v>437</v>
      </c>
      <c r="K196">
        <v>1.1910477102064021E-2</v>
      </c>
      <c r="L196" t="s">
        <v>159</v>
      </c>
      <c r="N196" t="s">
        <v>225</v>
      </c>
      <c r="O196" t="s">
        <v>437</v>
      </c>
      <c r="P196">
        <v>2.3787476278264982E-2</v>
      </c>
      <c r="Q196" t="s">
        <v>159</v>
      </c>
      <c r="S196" t="s">
        <v>267</v>
      </c>
      <c r="T196" t="s">
        <v>437</v>
      </c>
      <c r="U196">
        <v>2.0664762821785029E-2</v>
      </c>
      <c r="V196" t="s">
        <v>159</v>
      </c>
    </row>
    <row r="197" spans="9:22" x14ac:dyDescent="0.45">
      <c r="I197" t="s">
        <v>182</v>
      </c>
      <c r="J197" t="s">
        <v>438</v>
      </c>
      <c r="K197">
        <v>0.16254101597031967</v>
      </c>
      <c r="L197" t="s">
        <v>159</v>
      </c>
      <c r="N197" t="s">
        <v>225</v>
      </c>
      <c r="O197" t="s">
        <v>438</v>
      </c>
      <c r="P197">
        <v>0.10301621578735023</v>
      </c>
      <c r="Q197" t="s">
        <v>159</v>
      </c>
      <c r="S197" t="s">
        <v>267</v>
      </c>
      <c r="T197" t="s">
        <v>438</v>
      </c>
      <c r="U197">
        <v>0.1201927714825414</v>
      </c>
      <c r="V197" t="s">
        <v>159</v>
      </c>
    </row>
    <row r="198" spans="9:22" x14ac:dyDescent="0.45">
      <c r="I198" t="s">
        <v>182</v>
      </c>
      <c r="J198" t="s">
        <v>439</v>
      </c>
      <c r="K198">
        <v>0</v>
      </c>
      <c r="L198" t="s">
        <v>159</v>
      </c>
      <c r="N198" t="s">
        <v>225</v>
      </c>
      <c r="O198" t="s">
        <v>439</v>
      </c>
      <c r="P198">
        <v>0.11941008677074114</v>
      </c>
      <c r="Q198" t="s">
        <v>159</v>
      </c>
      <c r="S198" t="s">
        <v>267</v>
      </c>
      <c r="T198" t="s">
        <v>439</v>
      </c>
      <c r="U198">
        <v>0.12180693875515723</v>
      </c>
      <c r="V198" t="s">
        <v>159</v>
      </c>
    </row>
    <row r="199" spans="9:22" x14ac:dyDescent="0.45">
      <c r="I199" t="s">
        <v>182</v>
      </c>
      <c r="J199" t="s">
        <v>440</v>
      </c>
      <c r="K199">
        <v>4.7142914807852482E-3</v>
      </c>
      <c r="L199" t="s">
        <v>159</v>
      </c>
      <c r="N199" t="s">
        <v>225</v>
      </c>
      <c r="O199" t="s">
        <v>440</v>
      </c>
      <c r="P199">
        <v>2.5995152120397443E-2</v>
      </c>
      <c r="Q199" t="s">
        <v>159</v>
      </c>
      <c r="S199" t="s">
        <v>267</v>
      </c>
      <c r="T199" t="s">
        <v>440</v>
      </c>
      <c r="U199">
        <v>2.2307479402609024E-2</v>
      </c>
      <c r="V199" t="s">
        <v>159</v>
      </c>
    </row>
    <row r="200" spans="9:22" x14ac:dyDescent="0.45">
      <c r="I200" t="s">
        <v>182</v>
      </c>
      <c r="J200" t="s">
        <v>441</v>
      </c>
      <c r="K200">
        <v>0.28566384660505345</v>
      </c>
      <c r="L200" t="s">
        <v>159</v>
      </c>
      <c r="N200" t="s">
        <v>225</v>
      </c>
      <c r="O200" t="s">
        <v>441</v>
      </c>
      <c r="P200">
        <v>0.10411610176279336</v>
      </c>
      <c r="Q200" t="s">
        <v>159</v>
      </c>
      <c r="S200" t="s">
        <v>267</v>
      </c>
      <c r="T200" t="s">
        <v>441</v>
      </c>
      <c r="U200">
        <v>0.10810314000316538</v>
      </c>
      <c r="V200" t="s">
        <v>159</v>
      </c>
    </row>
    <row r="201" spans="9:22" x14ac:dyDescent="0.45">
      <c r="I201" t="s">
        <v>182</v>
      </c>
      <c r="J201" t="s">
        <v>442</v>
      </c>
      <c r="K201">
        <v>3.9587784606514211E-3</v>
      </c>
      <c r="L201" t="s">
        <v>159</v>
      </c>
      <c r="N201" t="s">
        <v>225</v>
      </c>
      <c r="O201" t="s">
        <v>442</v>
      </c>
      <c r="P201">
        <v>0.10245488972977324</v>
      </c>
      <c r="Q201" t="s">
        <v>159</v>
      </c>
      <c r="S201" t="s">
        <v>267</v>
      </c>
      <c r="T201" t="s">
        <v>442</v>
      </c>
      <c r="U201">
        <v>0.11960614167903461</v>
      </c>
      <c r="V201" t="s">
        <v>159</v>
      </c>
    </row>
    <row r="202" spans="9:22" x14ac:dyDescent="0.45">
      <c r="I202" t="s">
        <v>182</v>
      </c>
      <c r="J202" t="s">
        <v>443</v>
      </c>
      <c r="K202">
        <v>3.3526652067327391E-2</v>
      </c>
      <c r="L202" t="s">
        <v>159</v>
      </c>
      <c r="N202" t="s">
        <v>225</v>
      </c>
      <c r="O202" t="s">
        <v>443</v>
      </c>
      <c r="P202">
        <v>2.3968062134533796E-2</v>
      </c>
      <c r="Q202" t="s">
        <v>159</v>
      </c>
      <c r="S202" t="s">
        <v>267</v>
      </c>
      <c r="T202" t="s">
        <v>443</v>
      </c>
      <c r="U202">
        <v>2.3362987619211951E-2</v>
      </c>
      <c r="V202" t="s">
        <v>159</v>
      </c>
    </row>
    <row r="203" spans="9:22" x14ac:dyDescent="0.45">
      <c r="I203" t="s">
        <v>183</v>
      </c>
      <c r="J203" t="s">
        <v>432</v>
      </c>
      <c r="K203">
        <v>0.27301949719324325</v>
      </c>
      <c r="L203" t="s">
        <v>159</v>
      </c>
      <c r="N203" t="s">
        <v>226</v>
      </c>
      <c r="O203" t="s">
        <v>432</v>
      </c>
      <c r="P203">
        <v>0.14878432820926313</v>
      </c>
      <c r="Q203" t="s">
        <v>159</v>
      </c>
      <c r="S203" t="s">
        <v>268</v>
      </c>
      <c r="T203" t="s">
        <v>432</v>
      </c>
      <c r="U203">
        <v>0.12305932229166605</v>
      </c>
      <c r="V203" t="s">
        <v>159</v>
      </c>
    </row>
    <row r="204" spans="9:22" x14ac:dyDescent="0.45">
      <c r="I204" t="s">
        <v>183</v>
      </c>
      <c r="J204" t="s">
        <v>433</v>
      </c>
      <c r="K204">
        <v>2.9454585675017767E-3</v>
      </c>
      <c r="L204" t="s">
        <v>159</v>
      </c>
      <c r="N204" t="s">
        <v>226</v>
      </c>
      <c r="O204" t="s">
        <v>433</v>
      </c>
      <c r="P204">
        <v>0.10002920104420558</v>
      </c>
      <c r="Q204" t="s">
        <v>159</v>
      </c>
      <c r="S204" t="s">
        <v>268</v>
      </c>
      <c r="T204" t="s">
        <v>433</v>
      </c>
      <c r="U204">
        <v>0.12438316870191256</v>
      </c>
      <c r="V204" t="s">
        <v>159</v>
      </c>
    </row>
    <row r="205" spans="9:22" x14ac:dyDescent="0.45">
      <c r="I205" t="s">
        <v>183</v>
      </c>
      <c r="J205" t="s">
        <v>434</v>
      </c>
      <c r="K205">
        <v>2.5032735345812965E-2</v>
      </c>
      <c r="L205" t="s">
        <v>159</v>
      </c>
      <c r="N205" t="s">
        <v>226</v>
      </c>
      <c r="O205" t="s">
        <v>434</v>
      </c>
      <c r="P205">
        <v>4.2822042582549756E-2</v>
      </c>
      <c r="Q205" t="s">
        <v>159</v>
      </c>
      <c r="S205" t="s">
        <v>268</v>
      </c>
      <c r="T205" t="s">
        <v>434</v>
      </c>
      <c r="U205">
        <v>2.2323825397321414E-2</v>
      </c>
      <c r="V205" t="s">
        <v>159</v>
      </c>
    </row>
    <row r="206" spans="9:22" x14ac:dyDescent="0.45">
      <c r="I206" t="s">
        <v>183</v>
      </c>
      <c r="J206" t="s">
        <v>435</v>
      </c>
      <c r="K206">
        <v>0.19395564748069366</v>
      </c>
      <c r="L206" t="s">
        <v>159</v>
      </c>
      <c r="N206" t="s">
        <v>226</v>
      </c>
      <c r="O206" t="s">
        <v>435</v>
      </c>
      <c r="P206">
        <v>0.11236060848475464</v>
      </c>
      <c r="Q206" t="s">
        <v>159</v>
      </c>
      <c r="S206" t="s">
        <v>268</v>
      </c>
      <c r="T206" t="s">
        <v>435</v>
      </c>
      <c r="U206">
        <v>0.10112482002614365</v>
      </c>
      <c r="V206" t="s">
        <v>159</v>
      </c>
    </row>
    <row r="207" spans="9:22" x14ac:dyDescent="0.45">
      <c r="I207" t="s">
        <v>183</v>
      </c>
      <c r="J207" t="s">
        <v>436</v>
      </c>
      <c r="K207">
        <v>0</v>
      </c>
      <c r="L207" t="s">
        <v>159</v>
      </c>
      <c r="N207" t="s">
        <v>226</v>
      </c>
      <c r="O207" t="s">
        <v>436</v>
      </c>
      <c r="P207">
        <v>0.10514960705282213</v>
      </c>
      <c r="Q207" t="s">
        <v>159</v>
      </c>
      <c r="S207" t="s">
        <v>268</v>
      </c>
      <c r="T207" t="s">
        <v>436</v>
      </c>
      <c r="U207">
        <v>9.9540050850585787E-2</v>
      </c>
      <c r="V207" t="s">
        <v>159</v>
      </c>
    </row>
    <row r="208" spans="9:22" x14ac:dyDescent="0.45">
      <c r="I208" t="s">
        <v>183</v>
      </c>
      <c r="J208" t="s">
        <v>437</v>
      </c>
      <c r="K208">
        <v>1.445631943959513E-2</v>
      </c>
      <c r="L208" t="s">
        <v>159</v>
      </c>
      <c r="N208" t="s">
        <v>226</v>
      </c>
      <c r="O208" t="s">
        <v>437</v>
      </c>
      <c r="P208">
        <v>2.2326980697059122E-2</v>
      </c>
      <c r="Q208" t="s">
        <v>159</v>
      </c>
      <c r="S208" t="s">
        <v>268</v>
      </c>
      <c r="T208" t="s">
        <v>437</v>
      </c>
      <c r="U208">
        <v>1.9114441149278218E-2</v>
      </c>
      <c r="V208" t="s">
        <v>159</v>
      </c>
    </row>
    <row r="209" spans="9:22" x14ac:dyDescent="0.45">
      <c r="I209" t="s">
        <v>183</v>
      </c>
      <c r="J209" t="s">
        <v>438</v>
      </c>
      <c r="K209">
        <v>0.15064610900749198</v>
      </c>
      <c r="L209" t="s">
        <v>159</v>
      </c>
      <c r="N209" t="s">
        <v>226</v>
      </c>
      <c r="O209" t="s">
        <v>438</v>
      </c>
      <c r="P209">
        <v>0.16537813024057801</v>
      </c>
      <c r="Q209" t="s">
        <v>159</v>
      </c>
      <c r="S209" t="s">
        <v>268</v>
      </c>
      <c r="T209" t="s">
        <v>438</v>
      </c>
      <c r="U209">
        <v>0.13125122258250241</v>
      </c>
      <c r="V209" t="s">
        <v>159</v>
      </c>
    </row>
    <row r="210" spans="9:22" x14ac:dyDescent="0.45">
      <c r="I210" t="s">
        <v>183</v>
      </c>
      <c r="J210" t="s">
        <v>439</v>
      </c>
      <c r="K210">
        <v>0</v>
      </c>
      <c r="L210" t="s">
        <v>159</v>
      </c>
      <c r="N210" t="s">
        <v>226</v>
      </c>
      <c r="O210" t="s">
        <v>439</v>
      </c>
      <c r="P210">
        <v>0.10731192912237869</v>
      </c>
      <c r="Q210" t="s">
        <v>159</v>
      </c>
      <c r="S210" t="s">
        <v>268</v>
      </c>
      <c r="T210" t="s">
        <v>439</v>
      </c>
      <c r="U210">
        <v>0.13247935006031267</v>
      </c>
      <c r="V210" t="s">
        <v>159</v>
      </c>
    </row>
    <row r="211" spans="9:22" x14ac:dyDescent="0.45">
      <c r="I211" t="s">
        <v>183</v>
      </c>
      <c r="J211" t="s">
        <v>440</v>
      </c>
      <c r="K211">
        <v>6.1666069320881868E-3</v>
      </c>
      <c r="L211" t="s">
        <v>159</v>
      </c>
      <c r="N211" t="s">
        <v>226</v>
      </c>
      <c r="O211" t="s">
        <v>440</v>
      </c>
      <c r="P211">
        <v>2.2028972939414023E-2</v>
      </c>
      <c r="Q211" t="s">
        <v>159</v>
      </c>
      <c r="S211" t="s">
        <v>268</v>
      </c>
      <c r="T211" t="s">
        <v>440</v>
      </c>
      <c r="U211">
        <v>2.3112673638429185E-2</v>
      </c>
      <c r="V211" t="s">
        <v>159</v>
      </c>
    </row>
    <row r="212" spans="9:22" x14ac:dyDescent="0.45">
      <c r="I212" t="s">
        <v>183</v>
      </c>
      <c r="J212" t="s">
        <v>441</v>
      </c>
      <c r="K212">
        <v>0.29313150097082619</v>
      </c>
      <c r="L212" t="s">
        <v>159</v>
      </c>
      <c r="N212" t="s">
        <v>226</v>
      </c>
      <c r="O212" t="s">
        <v>441</v>
      </c>
      <c r="P212">
        <v>8.7249182966034705E-2</v>
      </c>
      <c r="Q212" t="s">
        <v>159</v>
      </c>
      <c r="S212" t="s">
        <v>268</v>
      </c>
      <c r="T212" t="s">
        <v>441</v>
      </c>
      <c r="U212">
        <v>0.10310358659999684</v>
      </c>
      <c r="V212" t="s">
        <v>159</v>
      </c>
    </row>
    <row r="213" spans="9:22" x14ac:dyDescent="0.45">
      <c r="I213" t="s">
        <v>183</v>
      </c>
      <c r="J213" t="s">
        <v>442</v>
      </c>
      <c r="K213">
        <v>3.2434564844139725E-3</v>
      </c>
      <c r="L213" t="s">
        <v>159</v>
      </c>
      <c r="N213" t="s">
        <v>226</v>
      </c>
      <c r="O213" t="s">
        <v>442</v>
      </c>
      <c r="P213">
        <v>5.5063337341050005E-2</v>
      </c>
      <c r="Q213" t="s">
        <v>159</v>
      </c>
      <c r="S213" t="s">
        <v>268</v>
      </c>
      <c r="T213" t="s">
        <v>442</v>
      </c>
      <c r="U213">
        <v>0.10119189157231484</v>
      </c>
      <c r="V213" t="s">
        <v>159</v>
      </c>
    </row>
    <row r="214" spans="9:22" x14ac:dyDescent="0.45">
      <c r="I214" t="s">
        <v>183</v>
      </c>
      <c r="J214" t="s">
        <v>443</v>
      </c>
      <c r="K214">
        <v>3.7402668578328718E-2</v>
      </c>
      <c r="L214" t="s">
        <v>159</v>
      </c>
      <c r="N214" t="s">
        <v>226</v>
      </c>
      <c r="O214" t="s">
        <v>443</v>
      </c>
      <c r="P214">
        <v>3.1495679319889322E-2</v>
      </c>
      <c r="Q214" t="s">
        <v>159</v>
      </c>
      <c r="S214" t="s">
        <v>268</v>
      </c>
      <c r="T214" t="s">
        <v>443</v>
      </c>
      <c r="U214">
        <v>1.9315647129533643E-2</v>
      </c>
      <c r="V214" t="s">
        <v>159</v>
      </c>
    </row>
    <row r="215" spans="9:22" x14ac:dyDescent="0.45">
      <c r="I215" t="s">
        <v>184</v>
      </c>
      <c r="J215" t="s">
        <v>432</v>
      </c>
      <c r="K215">
        <v>0.26063990438812484</v>
      </c>
      <c r="L215" t="s">
        <v>159</v>
      </c>
      <c r="N215" t="s">
        <v>227</v>
      </c>
      <c r="O215" t="s">
        <v>432</v>
      </c>
      <c r="P215">
        <v>0.13621349406630764</v>
      </c>
      <c r="Q215" t="s">
        <v>159</v>
      </c>
      <c r="S215" t="s">
        <v>269</v>
      </c>
      <c r="T215" t="s">
        <v>432</v>
      </c>
      <c r="U215">
        <v>0.12574493984102883</v>
      </c>
      <c r="V215" t="s">
        <v>159</v>
      </c>
    </row>
    <row r="216" spans="9:22" x14ac:dyDescent="0.45">
      <c r="I216" t="s">
        <v>184</v>
      </c>
      <c r="J216" t="s">
        <v>433</v>
      </c>
      <c r="K216">
        <v>1.6896327509348169E-4</v>
      </c>
      <c r="L216" t="s">
        <v>159</v>
      </c>
      <c r="N216" t="s">
        <v>227</v>
      </c>
      <c r="O216" t="s">
        <v>433</v>
      </c>
      <c r="P216">
        <v>0.11931170916697834</v>
      </c>
      <c r="Q216" t="s">
        <v>159</v>
      </c>
      <c r="S216" t="s">
        <v>269</v>
      </c>
      <c r="T216" t="s">
        <v>433</v>
      </c>
      <c r="U216">
        <v>0.12171226767804166</v>
      </c>
      <c r="V216" t="s">
        <v>159</v>
      </c>
    </row>
    <row r="217" spans="9:22" x14ac:dyDescent="0.45">
      <c r="I217" t="s">
        <v>184</v>
      </c>
      <c r="J217" t="s">
        <v>434</v>
      </c>
      <c r="K217">
        <v>3.08942293716724E-2</v>
      </c>
      <c r="L217" t="s">
        <v>159</v>
      </c>
      <c r="N217" t="s">
        <v>227</v>
      </c>
      <c r="O217" t="s">
        <v>434</v>
      </c>
      <c r="P217">
        <v>2.737400384727072E-2</v>
      </c>
      <c r="Q217" t="s">
        <v>159</v>
      </c>
      <c r="S217" t="s">
        <v>269</v>
      </c>
      <c r="T217" t="s">
        <v>434</v>
      </c>
      <c r="U217">
        <v>2.4834742360270109E-2</v>
      </c>
      <c r="V217" t="s">
        <v>159</v>
      </c>
    </row>
    <row r="218" spans="9:22" x14ac:dyDescent="0.45">
      <c r="I218" t="s">
        <v>184</v>
      </c>
      <c r="J218" t="s">
        <v>435</v>
      </c>
      <c r="K218">
        <v>0.18844423079259179</v>
      </c>
      <c r="L218" t="s">
        <v>159</v>
      </c>
      <c r="N218" t="s">
        <v>227</v>
      </c>
      <c r="O218" t="s">
        <v>435</v>
      </c>
      <c r="P218">
        <v>0.1062701910444953</v>
      </c>
      <c r="Q218" t="s">
        <v>159</v>
      </c>
      <c r="S218" t="s">
        <v>269</v>
      </c>
      <c r="T218" t="s">
        <v>435</v>
      </c>
      <c r="U218">
        <v>9.5930628146078847E-2</v>
      </c>
      <c r="V218" t="s">
        <v>159</v>
      </c>
    </row>
    <row r="219" spans="9:22" x14ac:dyDescent="0.45">
      <c r="I219" t="s">
        <v>184</v>
      </c>
      <c r="J219" t="s">
        <v>436</v>
      </c>
      <c r="K219">
        <v>0</v>
      </c>
      <c r="L219" t="s">
        <v>159</v>
      </c>
      <c r="N219" t="s">
        <v>227</v>
      </c>
      <c r="O219" t="s">
        <v>436</v>
      </c>
      <c r="P219">
        <v>0.11925615386571344</v>
      </c>
      <c r="Q219" t="s">
        <v>159</v>
      </c>
      <c r="S219" t="s">
        <v>269</v>
      </c>
      <c r="T219" t="s">
        <v>436</v>
      </c>
      <c r="U219">
        <v>9.6457506127200388E-2</v>
      </c>
      <c r="V219" t="s">
        <v>159</v>
      </c>
    </row>
    <row r="220" spans="9:22" x14ac:dyDescent="0.45">
      <c r="I220" t="s">
        <v>184</v>
      </c>
      <c r="J220" t="s">
        <v>437</v>
      </c>
      <c r="K220">
        <v>2.0643521551451056E-2</v>
      </c>
      <c r="L220" t="s">
        <v>159</v>
      </c>
      <c r="N220" t="s">
        <v>227</v>
      </c>
      <c r="O220" t="s">
        <v>437</v>
      </c>
      <c r="P220">
        <v>2.3633055985196542E-2</v>
      </c>
      <c r="Q220" t="s">
        <v>159</v>
      </c>
      <c r="S220" t="s">
        <v>269</v>
      </c>
      <c r="T220" t="s">
        <v>437</v>
      </c>
      <c r="U220">
        <v>2.079123957781245E-2</v>
      </c>
      <c r="V220" t="s">
        <v>159</v>
      </c>
    </row>
    <row r="221" spans="9:22" x14ac:dyDescent="0.45">
      <c r="I221" t="s">
        <v>184</v>
      </c>
      <c r="J221" t="s">
        <v>438</v>
      </c>
      <c r="K221">
        <v>0.12862284368790083</v>
      </c>
      <c r="L221" t="s">
        <v>159</v>
      </c>
      <c r="N221" t="s">
        <v>227</v>
      </c>
      <c r="O221" t="s">
        <v>438</v>
      </c>
      <c r="P221">
        <v>0.11225722087575189</v>
      </c>
      <c r="Q221" t="s">
        <v>159</v>
      </c>
      <c r="S221" t="s">
        <v>269</v>
      </c>
      <c r="T221" t="s">
        <v>438</v>
      </c>
      <c r="U221">
        <v>0.1295004552273388</v>
      </c>
      <c r="V221" t="s">
        <v>159</v>
      </c>
    </row>
    <row r="222" spans="9:22" x14ac:dyDescent="0.45">
      <c r="I222" t="s">
        <v>184</v>
      </c>
      <c r="J222" t="s">
        <v>439</v>
      </c>
      <c r="K222">
        <v>0</v>
      </c>
      <c r="L222" t="s">
        <v>159</v>
      </c>
      <c r="N222" t="s">
        <v>227</v>
      </c>
      <c r="O222" t="s">
        <v>439</v>
      </c>
      <c r="P222">
        <v>0.10826825721565934</v>
      </c>
      <c r="Q222" t="s">
        <v>159</v>
      </c>
      <c r="S222" t="s">
        <v>269</v>
      </c>
      <c r="T222" t="s">
        <v>439</v>
      </c>
      <c r="U222">
        <v>0.13535188748806481</v>
      </c>
      <c r="V222" t="s">
        <v>159</v>
      </c>
    </row>
    <row r="223" spans="9:22" x14ac:dyDescent="0.45">
      <c r="I223" t="s">
        <v>184</v>
      </c>
      <c r="J223" t="s">
        <v>440</v>
      </c>
      <c r="K223">
        <v>9.0881649105688782E-3</v>
      </c>
      <c r="L223" t="s">
        <v>159</v>
      </c>
      <c r="N223" t="s">
        <v>227</v>
      </c>
      <c r="O223" t="s">
        <v>440</v>
      </c>
      <c r="P223">
        <v>2.3341463295445314E-2</v>
      </c>
      <c r="Q223" t="s">
        <v>159</v>
      </c>
      <c r="S223" t="s">
        <v>269</v>
      </c>
      <c r="T223" t="s">
        <v>440</v>
      </c>
      <c r="U223">
        <v>2.3386442090318944E-2</v>
      </c>
      <c r="V223" t="s">
        <v>159</v>
      </c>
    </row>
    <row r="224" spans="9:22" x14ac:dyDescent="0.45">
      <c r="I224" t="s">
        <v>184</v>
      </c>
      <c r="J224" t="s">
        <v>441</v>
      </c>
      <c r="K224">
        <v>0.30393968974129576</v>
      </c>
      <c r="L224" t="s">
        <v>159</v>
      </c>
      <c r="N224" t="s">
        <v>227</v>
      </c>
      <c r="O224" t="s">
        <v>441</v>
      </c>
      <c r="P224">
        <v>0.10469425245493021</v>
      </c>
      <c r="Q224" t="s">
        <v>159</v>
      </c>
      <c r="S224" t="s">
        <v>269</v>
      </c>
      <c r="T224" t="s">
        <v>441</v>
      </c>
      <c r="U224">
        <v>0.10958091567706135</v>
      </c>
      <c r="V224" t="s">
        <v>159</v>
      </c>
    </row>
    <row r="225" spans="9:22" x14ac:dyDescent="0.45">
      <c r="I225" t="s">
        <v>184</v>
      </c>
      <c r="J225" t="s">
        <v>442</v>
      </c>
      <c r="K225">
        <v>1.0309973891983227E-2</v>
      </c>
      <c r="L225" t="s">
        <v>159</v>
      </c>
      <c r="N225" t="s">
        <v>227</v>
      </c>
      <c r="O225" t="s">
        <v>442</v>
      </c>
      <c r="P225">
        <v>9.6443553153592668E-2</v>
      </c>
      <c r="Q225" t="s">
        <v>159</v>
      </c>
      <c r="S225" t="s">
        <v>269</v>
      </c>
      <c r="T225" t="s">
        <v>442</v>
      </c>
      <c r="U225">
        <v>9.472454984993077E-2</v>
      </c>
      <c r="V225" t="s">
        <v>159</v>
      </c>
    </row>
    <row r="226" spans="9:22" x14ac:dyDescent="0.45">
      <c r="I226" t="s">
        <v>184</v>
      </c>
      <c r="J226" t="s">
        <v>443</v>
      </c>
      <c r="K226">
        <v>4.7248478389316416E-2</v>
      </c>
      <c r="L226" t="s">
        <v>159</v>
      </c>
      <c r="N226" t="s">
        <v>227</v>
      </c>
      <c r="O226" t="s">
        <v>443</v>
      </c>
      <c r="P226">
        <v>2.2936645028660031E-2</v>
      </c>
      <c r="Q226" t="s">
        <v>159</v>
      </c>
      <c r="S226" t="s">
        <v>269</v>
      </c>
      <c r="T226" t="s">
        <v>443</v>
      </c>
      <c r="U226">
        <v>2.1984425936854571E-2</v>
      </c>
      <c r="V226" t="s">
        <v>159</v>
      </c>
    </row>
    <row r="227" spans="9:22" x14ac:dyDescent="0.45">
      <c r="I227" t="s">
        <v>185</v>
      </c>
      <c r="J227" t="s">
        <v>432</v>
      </c>
      <c r="K227">
        <v>0.26439530471863587</v>
      </c>
      <c r="L227" t="s">
        <v>159</v>
      </c>
      <c r="N227" t="s">
        <v>228</v>
      </c>
      <c r="O227" t="s">
        <v>432</v>
      </c>
      <c r="P227">
        <v>0.15341372021156849</v>
      </c>
      <c r="Q227" t="s">
        <v>159</v>
      </c>
      <c r="S227" t="s">
        <v>270</v>
      </c>
      <c r="T227" t="s">
        <v>432</v>
      </c>
      <c r="U227">
        <v>0.12167473837590466</v>
      </c>
      <c r="V227" t="s">
        <v>159</v>
      </c>
    </row>
    <row r="228" spans="9:22" x14ac:dyDescent="0.45">
      <c r="I228" t="s">
        <v>185</v>
      </c>
      <c r="J228" t="s">
        <v>433</v>
      </c>
      <c r="K228">
        <v>1.293674723535847E-3</v>
      </c>
      <c r="L228" t="s">
        <v>159</v>
      </c>
      <c r="N228" t="s">
        <v>228</v>
      </c>
      <c r="O228" t="s">
        <v>433</v>
      </c>
      <c r="P228">
        <v>0.11607845267447291</v>
      </c>
      <c r="Q228" t="s">
        <v>159</v>
      </c>
      <c r="S228" t="s">
        <v>270</v>
      </c>
      <c r="T228" t="s">
        <v>433</v>
      </c>
      <c r="U228">
        <v>0.12689227671937592</v>
      </c>
      <c r="V228" t="s">
        <v>159</v>
      </c>
    </row>
    <row r="229" spans="9:22" x14ac:dyDescent="0.45">
      <c r="I229" t="s">
        <v>185</v>
      </c>
      <c r="J229" t="s">
        <v>434</v>
      </c>
      <c r="K229">
        <v>2.8841041779550332E-2</v>
      </c>
      <c r="L229" t="s">
        <v>159</v>
      </c>
      <c r="N229" t="s">
        <v>228</v>
      </c>
      <c r="O229" t="s">
        <v>434</v>
      </c>
      <c r="P229">
        <v>3.8495766743651808E-2</v>
      </c>
      <c r="Q229" t="s">
        <v>159</v>
      </c>
      <c r="S229" t="s">
        <v>270</v>
      </c>
      <c r="T229" t="s">
        <v>434</v>
      </c>
      <c r="U229">
        <v>2.4423411336207103E-2</v>
      </c>
      <c r="V229" t="s">
        <v>159</v>
      </c>
    </row>
    <row r="230" spans="9:22" x14ac:dyDescent="0.45">
      <c r="I230" t="s">
        <v>185</v>
      </c>
      <c r="J230" t="s">
        <v>435</v>
      </c>
      <c r="K230">
        <v>0.19056835366682398</v>
      </c>
      <c r="L230" t="s">
        <v>159</v>
      </c>
      <c r="N230" t="s">
        <v>228</v>
      </c>
      <c r="O230" t="s">
        <v>435</v>
      </c>
      <c r="P230">
        <v>0.10676094603930718</v>
      </c>
      <c r="Q230" t="s">
        <v>159</v>
      </c>
      <c r="S230" t="s">
        <v>270</v>
      </c>
      <c r="T230" t="s">
        <v>435</v>
      </c>
      <c r="U230">
        <v>9.8198970924358059E-2</v>
      </c>
      <c r="V230" t="s">
        <v>159</v>
      </c>
    </row>
    <row r="231" spans="9:22" x14ac:dyDescent="0.45">
      <c r="I231" t="s">
        <v>185</v>
      </c>
      <c r="J231" t="s">
        <v>436</v>
      </c>
      <c r="K231">
        <v>0</v>
      </c>
      <c r="L231" t="s">
        <v>159</v>
      </c>
      <c r="N231" t="s">
        <v>228</v>
      </c>
      <c r="O231" t="s">
        <v>436</v>
      </c>
      <c r="P231">
        <v>0.11164645507231724</v>
      </c>
      <c r="Q231" t="s">
        <v>159</v>
      </c>
      <c r="S231" t="s">
        <v>270</v>
      </c>
      <c r="T231" t="s">
        <v>436</v>
      </c>
      <c r="U231">
        <v>9.6098758766200512E-2</v>
      </c>
      <c r="V231" t="s">
        <v>159</v>
      </c>
    </row>
    <row r="232" spans="9:22" x14ac:dyDescent="0.45">
      <c r="I232" t="s">
        <v>185</v>
      </c>
      <c r="J232" t="s">
        <v>437</v>
      </c>
      <c r="K232">
        <v>1.7951718756004469E-2</v>
      </c>
      <c r="L232" t="s">
        <v>159</v>
      </c>
      <c r="N232" t="s">
        <v>228</v>
      </c>
      <c r="O232" t="s">
        <v>437</v>
      </c>
      <c r="P232">
        <v>2.6778793819357972E-2</v>
      </c>
      <c r="Q232" t="s">
        <v>159</v>
      </c>
      <c r="S232" t="s">
        <v>270</v>
      </c>
      <c r="T232" t="s">
        <v>437</v>
      </c>
      <c r="U232">
        <v>1.8907116318099479E-2</v>
      </c>
      <c r="V232" t="s">
        <v>159</v>
      </c>
    </row>
    <row r="233" spans="9:22" x14ac:dyDescent="0.45">
      <c r="I233" t="s">
        <v>185</v>
      </c>
      <c r="J233" t="s">
        <v>438</v>
      </c>
      <c r="K233">
        <v>0.13329267338046022</v>
      </c>
      <c r="L233" t="s">
        <v>159</v>
      </c>
      <c r="N233" t="s">
        <v>228</v>
      </c>
      <c r="O233" t="s">
        <v>438</v>
      </c>
      <c r="P233">
        <v>0.10439474796347488</v>
      </c>
      <c r="Q233" t="s">
        <v>159</v>
      </c>
      <c r="S233" t="s">
        <v>270</v>
      </c>
      <c r="T233" t="s">
        <v>438</v>
      </c>
      <c r="U233">
        <v>0.13193936365425876</v>
      </c>
      <c r="V233" t="s">
        <v>159</v>
      </c>
    </row>
    <row r="234" spans="9:22" x14ac:dyDescent="0.45">
      <c r="I234" t="s">
        <v>185</v>
      </c>
      <c r="J234" t="s">
        <v>439</v>
      </c>
      <c r="K234">
        <v>0</v>
      </c>
      <c r="L234" t="s">
        <v>159</v>
      </c>
      <c r="N234" t="s">
        <v>228</v>
      </c>
      <c r="O234" t="s">
        <v>439</v>
      </c>
      <c r="P234">
        <v>9.2540478520617073E-2</v>
      </c>
      <c r="Q234" t="s">
        <v>159</v>
      </c>
      <c r="S234" t="s">
        <v>270</v>
      </c>
      <c r="T234" t="s">
        <v>439</v>
      </c>
      <c r="U234">
        <v>0.13091823869126273</v>
      </c>
      <c r="V234" t="s">
        <v>159</v>
      </c>
    </row>
    <row r="235" spans="9:22" x14ac:dyDescent="0.45">
      <c r="I235" t="s">
        <v>185</v>
      </c>
      <c r="J235" t="s">
        <v>440</v>
      </c>
      <c r="K235">
        <v>7.0530708982310389E-3</v>
      </c>
      <c r="L235" t="s">
        <v>159</v>
      </c>
      <c r="N235" t="s">
        <v>228</v>
      </c>
      <c r="O235" t="s">
        <v>440</v>
      </c>
      <c r="P235">
        <v>2.6116719470288617E-2</v>
      </c>
      <c r="Q235" t="s">
        <v>159</v>
      </c>
      <c r="S235" t="s">
        <v>270</v>
      </c>
      <c r="T235" t="s">
        <v>440</v>
      </c>
      <c r="U235">
        <v>2.3874501324302418E-2</v>
      </c>
      <c r="V235" t="s">
        <v>159</v>
      </c>
    </row>
    <row r="236" spans="9:22" x14ac:dyDescent="0.45">
      <c r="I236" t="s">
        <v>185</v>
      </c>
      <c r="J236" t="s">
        <v>441</v>
      </c>
      <c r="K236">
        <v>0.30197904017310639</v>
      </c>
      <c r="L236" t="s">
        <v>159</v>
      </c>
      <c r="N236" t="s">
        <v>228</v>
      </c>
      <c r="O236" t="s">
        <v>441</v>
      </c>
      <c r="P236">
        <v>0.1044767203988614</v>
      </c>
      <c r="Q236" t="s">
        <v>159</v>
      </c>
      <c r="S236" t="s">
        <v>270</v>
      </c>
      <c r="T236" t="s">
        <v>441</v>
      </c>
      <c r="U236">
        <v>0.10130037332549811</v>
      </c>
      <c r="V236" t="s">
        <v>159</v>
      </c>
    </row>
    <row r="237" spans="9:22" x14ac:dyDescent="0.45">
      <c r="I237" t="s">
        <v>185</v>
      </c>
      <c r="J237" t="s">
        <v>442</v>
      </c>
      <c r="K237">
        <v>1.0025510316654015E-2</v>
      </c>
      <c r="L237" t="s">
        <v>159</v>
      </c>
      <c r="N237" t="s">
        <v>228</v>
      </c>
      <c r="O237" t="s">
        <v>442</v>
      </c>
      <c r="P237">
        <v>8.9726507311488984E-2</v>
      </c>
      <c r="Q237" t="s">
        <v>159</v>
      </c>
      <c r="S237" t="s">
        <v>270</v>
      </c>
      <c r="T237" t="s">
        <v>442</v>
      </c>
      <c r="U237">
        <v>0.10494890909137626</v>
      </c>
      <c r="V237" t="s">
        <v>159</v>
      </c>
    </row>
    <row r="238" spans="9:22" x14ac:dyDescent="0.45">
      <c r="I238" t="s">
        <v>185</v>
      </c>
      <c r="J238" t="s">
        <v>443</v>
      </c>
      <c r="K238">
        <v>4.4599611586999093E-2</v>
      </c>
      <c r="L238" t="s">
        <v>159</v>
      </c>
      <c r="N238" t="s">
        <v>228</v>
      </c>
      <c r="O238" t="s">
        <v>443</v>
      </c>
      <c r="P238">
        <v>2.9570691774597514E-2</v>
      </c>
      <c r="Q238" t="s">
        <v>159</v>
      </c>
      <c r="S238" t="s">
        <v>270</v>
      </c>
      <c r="T238" t="s">
        <v>443</v>
      </c>
      <c r="U238">
        <v>2.0823341473155281E-2</v>
      </c>
      <c r="V238" t="s">
        <v>159</v>
      </c>
    </row>
    <row r="239" spans="9:22" x14ac:dyDescent="0.45">
      <c r="I239" t="s">
        <v>186</v>
      </c>
      <c r="J239" t="s">
        <v>432</v>
      </c>
      <c r="K239">
        <v>0.26749349211239243</v>
      </c>
      <c r="L239" t="s">
        <v>159</v>
      </c>
      <c r="N239" t="s">
        <v>229</v>
      </c>
      <c r="O239" t="s">
        <v>432</v>
      </c>
      <c r="P239">
        <v>0.1127677874678716</v>
      </c>
      <c r="Q239" t="s">
        <v>159</v>
      </c>
      <c r="S239" t="s">
        <v>271</v>
      </c>
      <c r="T239" t="s">
        <v>432</v>
      </c>
      <c r="U239">
        <v>0.12434745220902368</v>
      </c>
      <c r="V239" t="s">
        <v>159</v>
      </c>
    </row>
    <row r="240" spans="9:22" x14ac:dyDescent="0.45">
      <c r="I240" t="s">
        <v>186</v>
      </c>
      <c r="J240" t="s">
        <v>433</v>
      </c>
      <c r="K240">
        <v>2.6687881786302873E-3</v>
      </c>
      <c r="L240" t="s">
        <v>159</v>
      </c>
      <c r="N240" t="s">
        <v>229</v>
      </c>
      <c r="O240" t="s">
        <v>433</v>
      </c>
      <c r="P240">
        <v>0.17403602674340826</v>
      </c>
      <c r="Q240" t="s">
        <v>159</v>
      </c>
      <c r="S240" t="s">
        <v>271</v>
      </c>
      <c r="T240" t="s">
        <v>433</v>
      </c>
      <c r="U240">
        <v>0.11633182299915944</v>
      </c>
      <c r="V240" t="s">
        <v>159</v>
      </c>
    </row>
    <row r="241" spans="9:22" x14ac:dyDescent="0.45">
      <c r="I241" t="s">
        <v>186</v>
      </c>
      <c r="J241" t="s">
        <v>434</v>
      </c>
      <c r="K241">
        <v>2.5391200611972673E-2</v>
      </c>
      <c r="L241" t="s">
        <v>159</v>
      </c>
      <c r="N241" t="s">
        <v>229</v>
      </c>
      <c r="O241" t="s">
        <v>434</v>
      </c>
      <c r="P241">
        <v>2.7716859403676932E-2</v>
      </c>
      <c r="Q241" t="s">
        <v>159</v>
      </c>
      <c r="S241" t="s">
        <v>271</v>
      </c>
      <c r="T241" t="s">
        <v>434</v>
      </c>
      <c r="U241">
        <v>2.4204703283105481E-2</v>
      </c>
      <c r="V241" t="s">
        <v>159</v>
      </c>
    </row>
    <row r="242" spans="9:22" x14ac:dyDescent="0.45">
      <c r="I242" t="s">
        <v>186</v>
      </c>
      <c r="J242" t="s">
        <v>435</v>
      </c>
      <c r="K242">
        <v>0.1919780244311122</v>
      </c>
      <c r="L242" t="s">
        <v>159</v>
      </c>
      <c r="N242" t="s">
        <v>229</v>
      </c>
      <c r="O242" t="s">
        <v>435</v>
      </c>
      <c r="P242">
        <v>6.8300650468629487E-2</v>
      </c>
      <c r="Q242" t="s">
        <v>159</v>
      </c>
      <c r="S242" t="s">
        <v>271</v>
      </c>
      <c r="T242" t="s">
        <v>435</v>
      </c>
      <c r="U242">
        <v>9.5027752852601746E-2</v>
      </c>
      <c r="V242" t="s">
        <v>159</v>
      </c>
    </row>
    <row r="243" spans="9:22" x14ac:dyDescent="0.45">
      <c r="I243" t="s">
        <v>186</v>
      </c>
      <c r="J243" t="s">
        <v>436</v>
      </c>
      <c r="K243">
        <v>0</v>
      </c>
      <c r="L243" t="s">
        <v>159</v>
      </c>
      <c r="N243" t="s">
        <v>229</v>
      </c>
      <c r="O243" t="s">
        <v>436</v>
      </c>
      <c r="P243">
        <v>0.11456747881891717</v>
      </c>
      <c r="Q243" t="s">
        <v>159</v>
      </c>
      <c r="S243" t="s">
        <v>271</v>
      </c>
      <c r="T243" t="s">
        <v>436</v>
      </c>
      <c r="U243">
        <v>8.7343771859552263E-2</v>
      </c>
      <c r="V243" t="s">
        <v>159</v>
      </c>
    </row>
    <row r="244" spans="9:22" x14ac:dyDescent="0.45">
      <c r="I244" t="s">
        <v>186</v>
      </c>
      <c r="J244" t="s">
        <v>437</v>
      </c>
      <c r="K244">
        <v>1.4911804635670409E-2</v>
      </c>
      <c r="L244" t="s">
        <v>159</v>
      </c>
      <c r="N244" t="s">
        <v>229</v>
      </c>
      <c r="O244" t="s">
        <v>437</v>
      </c>
      <c r="P244">
        <v>1.6413761299962155E-2</v>
      </c>
      <c r="Q244" t="s">
        <v>159</v>
      </c>
      <c r="S244" t="s">
        <v>271</v>
      </c>
      <c r="T244" t="s">
        <v>437</v>
      </c>
      <c r="U244">
        <v>1.9484058994752217E-2</v>
      </c>
      <c r="V244" t="s">
        <v>159</v>
      </c>
    </row>
    <row r="245" spans="9:22" x14ac:dyDescent="0.45">
      <c r="I245" t="s">
        <v>186</v>
      </c>
      <c r="J245" t="s">
        <v>438</v>
      </c>
      <c r="K245">
        <v>0.13632854186288995</v>
      </c>
      <c r="L245" t="s">
        <v>159</v>
      </c>
      <c r="N245" t="s">
        <v>229</v>
      </c>
      <c r="O245" t="s">
        <v>438</v>
      </c>
      <c r="P245">
        <v>8.1707221204376929E-2</v>
      </c>
      <c r="Q245" t="s">
        <v>159</v>
      </c>
      <c r="S245" t="s">
        <v>271</v>
      </c>
      <c r="T245" t="s">
        <v>438</v>
      </c>
      <c r="U245">
        <v>0.13787972856409419</v>
      </c>
      <c r="V245" t="s">
        <v>159</v>
      </c>
    </row>
    <row r="246" spans="9:22" x14ac:dyDescent="0.45">
      <c r="I246" t="s">
        <v>186</v>
      </c>
      <c r="J246" t="s">
        <v>439</v>
      </c>
      <c r="K246">
        <v>0</v>
      </c>
      <c r="L246" t="s">
        <v>159</v>
      </c>
      <c r="N246" t="s">
        <v>229</v>
      </c>
      <c r="O246" t="s">
        <v>439</v>
      </c>
      <c r="P246">
        <v>0.11405827147794764</v>
      </c>
      <c r="Q246" t="s">
        <v>159</v>
      </c>
      <c r="S246" t="s">
        <v>271</v>
      </c>
      <c r="T246" t="s">
        <v>439</v>
      </c>
      <c r="U246">
        <v>0.13312904233749392</v>
      </c>
      <c r="V246" t="s">
        <v>159</v>
      </c>
    </row>
    <row r="247" spans="9:22" x14ac:dyDescent="0.45">
      <c r="I247" t="s">
        <v>186</v>
      </c>
      <c r="J247" t="s">
        <v>440</v>
      </c>
      <c r="K247">
        <v>5.6766431039249497E-3</v>
      </c>
      <c r="L247" t="s">
        <v>159</v>
      </c>
      <c r="N247" t="s">
        <v>229</v>
      </c>
      <c r="O247" t="s">
        <v>440</v>
      </c>
      <c r="P247">
        <v>1.5736193577966382E-2</v>
      </c>
      <c r="Q247" t="s">
        <v>159</v>
      </c>
      <c r="S247" t="s">
        <v>271</v>
      </c>
      <c r="T247" t="s">
        <v>440</v>
      </c>
      <c r="U247">
        <v>2.4869469396389947E-2</v>
      </c>
      <c r="V247" t="s">
        <v>159</v>
      </c>
    </row>
    <row r="248" spans="9:22" x14ac:dyDescent="0.45">
      <c r="I248" t="s">
        <v>186</v>
      </c>
      <c r="J248" t="s">
        <v>441</v>
      </c>
      <c r="K248">
        <v>0.30657039958206717</v>
      </c>
      <c r="L248" t="s">
        <v>159</v>
      </c>
      <c r="N248" t="s">
        <v>229</v>
      </c>
      <c r="O248" t="s">
        <v>441</v>
      </c>
      <c r="P248">
        <v>0.10736358620604937</v>
      </c>
      <c r="Q248" t="s">
        <v>159</v>
      </c>
      <c r="S248" t="s">
        <v>271</v>
      </c>
      <c r="T248" t="s">
        <v>441</v>
      </c>
      <c r="U248">
        <v>0.1142091207336369</v>
      </c>
      <c r="V248" t="s">
        <v>159</v>
      </c>
    </row>
    <row r="249" spans="9:22" x14ac:dyDescent="0.45">
      <c r="I249" t="s">
        <v>186</v>
      </c>
      <c r="J249" t="s">
        <v>442</v>
      </c>
      <c r="K249">
        <v>7.3869936137715125E-3</v>
      </c>
      <c r="L249" t="s">
        <v>159</v>
      </c>
      <c r="N249" t="s">
        <v>229</v>
      </c>
      <c r="O249" t="s">
        <v>442</v>
      </c>
      <c r="P249">
        <v>0.14474364580948923</v>
      </c>
      <c r="Q249" t="s">
        <v>159</v>
      </c>
      <c r="S249" t="s">
        <v>271</v>
      </c>
      <c r="T249" t="s">
        <v>442</v>
      </c>
      <c r="U249">
        <v>9.9619240222671407E-2</v>
      </c>
      <c r="V249" t="s">
        <v>159</v>
      </c>
    </row>
    <row r="250" spans="9:22" x14ac:dyDescent="0.45">
      <c r="I250" t="s">
        <v>186</v>
      </c>
      <c r="J250" t="s">
        <v>443</v>
      </c>
      <c r="K250">
        <v>4.1594111867569734E-2</v>
      </c>
      <c r="L250" t="s">
        <v>159</v>
      </c>
      <c r="N250" t="s">
        <v>229</v>
      </c>
      <c r="O250" t="s">
        <v>443</v>
      </c>
      <c r="P250">
        <v>2.2588517521708304E-2</v>
      </c>
      <c r="Q250" t="s">
        <v>159</v>
      </c>
      <c r="S250" t="s">
        <v>271</v>
      </c>
      <c r="T250" t="s">
        <v>443</v>
      </c>
      <c r="U250">
        <v>2.3553836547521155E-2</v>
      </c>
      <c r="V250" t="s">
        <v>159</v>
      </c>
    </row>
    <row r="251" spans="9:22" x14ac:dyDescent="0.45">
      <c r="I251" t="s">
        <v>187</v>
      </c>
      <c r="J251" t="s">
        <v>432</v>
      </c>
      <c r="K251">
        <v>0.26825243375601543</v>
      </c>
      <c r="L251" t="s">
        <v>159</v>
      </c>
      <c r="N251" t="s">
        <v>230</v>
      </c>
      <c r="O251" t="s">
        <v>432</v>
      </c>
      <c r="P251">
        <v>0.10751081859850313</v>
      </c>
      <c r="Q251" t="s">
        <v>159</v>
      </c>
    </row>
    <row r="252" spans="9:22" x14ac:dyDescent="0.45">
      <c r="I252" t="s">
        <v>187</v>
      </c>
      <c r="J252" t="s">
        <v>433</v>
      </c>
      <c r="K252">
        <v>1.2699523369311472E-3</v>
      </c>
      <c r="L252" t="s">
        <v>159</v>
      </c>
      <c r="N252" t="s">
        <v>230</v>
      </c>
      <c r="O252" t="s">
        <v>433</v>
      </c>
      <c r="P252">
        <v>0.16259295936239263</v>
      </c>
      <c r="Q252" t="s">
        <v>159</v>
      </c>
    </row>
    <row r="253" spans="9:22" x14ac:dyDescent="0.45">
      <c r="I253" t="s">
        <v>187</v>
      </c>
      <c r="J253" t="s">
        <v>434</v>
      </c>
      <c r="K253">
        <v>2.8592669662198079E-2</v>
      </c>
      <c r="L253" t="s">
        <v>159</v>
      </c>
      <c r="N253" t="s">
        <v>230</v>
      </c>
      <c r="O253" t="s">
        <v>434</v>
      </c>
      <c r="P253">
        <v>2.6752544386548675E-2</v>
      </c>
      <c r="Q253" t="s">
        <v>159</v>
      </c>
    </row>
    <row r="254" spans="9:22" x14ac:dyDescent="0.45">
      <c r="I254" t="s">
        <v>187</v>
      </c>
      <c r="J254" t="s">
        <v>435</v>
      </c>
      <c r="K254">
        <v>0.19138382959940586</v>
      </c>
      <c r="L254" t="s">
        <v>159</v>
      </c>
      <c r="N254" t="s">
        <v>230</v>
      </c>
      <c r="O254" t="s">
        <v>435</v>
      </c>
      <c r="P254">
        <v>7.4490117696711267E-2</v>
      </c>
      <c r="Q254" t="s">
        <v>159</v>
      </c>
    </row>
    <row r="255" spans="9:22" x14ac:dyDescent="0.45">
      <c r="I255" t="s">
        <v>187</v>
      </c>
      <c r="J255" t="s">
        <v>436</v>
      </c>
      <c r="K255">
        <v>0</v>
      </c>
      <c r="L255" t="s">
        <v>159</v>
      </c>
      <c r="N255" t="s">
        <v>230</v>
      </c>
      <c r="O255" t="s">
        <v>436</v>
      </c>
      <c r="P255">
        <v>0.11850932696354183</v>
      </c>
      <c r="Q255" t="s">
        <v>159</v>
      </c>
    </row>
    <row r="256" spans="9:22" x14ac:dyDescent="0.45">
      <c r="I256" t="s">
        <v>187</v>
      </c>
      <c r="J256" t="s">
        <v>437</v>
      </c>
      <c r="K256">
        <v>1.7919255088423427E-2</v>
      </c>
      <c r="L256" t="s">
        <v>159</v>
      </c>
      <c r="N256" t="s">
        <v>230</v>
      </c>
      <c r="O256" t="s">
        <v>437</v>
      </c>
      <c r="P256">
        <v>1.8607702204390633E-2</v>
      </c>
      <c r="Q256" t="s">
        <v>159</v>
      </c>
    </row>
    <row r="257" spans="9:17" x14ac:dyDescent="0.45">
      <c r="I257" t="s">
        <v>187</v>
      </c>
      <c r="J257" t="s">
        <v>438</v>
      </c>
      <c r="K257">
        <v>0.13809591647526914</v>
      </c>
      <c r="L257" t="s">
        <v>159</v>
      </c>
      <c r="N257" t="s">
        <v>230</v>
      </c>
      <c r="O257" t="s">
        <v>438</v>
      </c>
      <c r="P257">
        <v>7.9676250416686897E-2</v>
      </c>
      <c r="Q257" t="s">
        <v>159</v>
      </c>
    </row>
    <row r="258" spans="9:17" x14ac:dyDescent="0.45">
      <c r="I258" t="s">
        <v>187</v>
      </c>
      <c r="J258" t="s">
        <v>439</v>
      </c>
      <c r="K258">
        <v>0</v>
      </c>
      <c r="L258" t="s">
        <v>159</v>
      </c>
      <c r="N258" t="s">
        <v>230</v>
      </c>
      <c r="O258" t="s">
        <v>439</v>
      </c>
      <c r="P258">
        <v>0.13512566836795994</v>
      </c>
      <c r="Q258" t="s">
        <v>159</v>
      </c>
    </row>
    <row r="259" spans="9:17" x14ac:dyDescent="0.45">
      <c r="I259" t="s">
        <v>187</v>
      </c>
      <c r="J259" t="s">
        <v>440</v>
      </c>
      <c r="K259">
        <v>7.458014217396506E-3</v>
      </c>
      <c r="L259" t="s">
        <v>159</v>
      </c>
      <c r="N259" t="s">
        <v>230</v>
      </c>
      <c r="O259" t="s">
        <v>440</v>
      </c>
      <c r="P259">
        <v>2.0477631549905572E-2</v>
      </c>
      <c r="Q259" t="s">
        <v>159</v>
      </c>
    </row>
    <row r="260" spans="9:17" x14ac:dyDescent="0.45">
      <c r="I260" t="s">
        <v>187</v>
      </c>
      <c r="J260" t="s">
        <v>441</v>
      </c>
      <c r="K260">
        <v>0.29851412871975869</v>
      </c>
      <c r="L260" t="s">
        <v>159</v>
      </c>
      <c r="N260" t="s">
        <v>230</v>
      </c>
      <c r="O260" t="s">
        <v>441</v>
      </c>
      <c r="P260">
        <v>9.8201882578659389E-2</v>
      </c>
      <c r="Q260" t="s">
        <v>159</v>
      </c>
    </row>
    <row r="261" spans="9:17" x14ac:dyDescent="0.45">
      <c r="I261" t="s">
        <v>187</v>
      </c>
      <c r="J261" t="s">
        <v>442</v>
      </c>
      <c r="K261">
        <v>7.5502053296820941E-3</v>
      </c>
      <c r="L261" t="s">
        <v>159</v>
      </c>
      <c r="N261" t="s">
        <v>230</v>
      </c>
      <c r="O261" t="s">
        <v>442</v>
      </c>
      <c r="P261">
        <v>0.13587987111400707</v>
      </c>
      <c r="Q261" t="s">
        <v>159</v>
      </c>
    </row>
    <row r="262" spans="9:17" x14ac:dyDescent="0.45">
      <c r="I262" t="s">
        <v>187</v>
      </c>
      <c r="J262" t="s">
        <v>443</v>
      </c>
      <c r="K262">
        <v>4.09635948149202E-2</v>
      </c>
      <c r="L262" t="s">
        <v>159</v>
      </c>
      <c r="N262" t="s">
        <v>230</v>
      </c>
      <c r="O262" t="s">
        <v>443</v>
      </c>
      <c r="P262">
        <v>2.2175226760690579E-2</v>
      </c>
      <c r="Q262" t="s">
        <v>159</v>
      </c>
    </row>
    <row r="263" spans="9:17" x14ac:dyDescent="0.45">
      <c r="I263" t="s">
        <v>188</v>
      </c>
      <c r="J263" t="s">
        <v>432</v>
      </c>
      <c r="K263">
        <v>0.25021086100176931</v>
      </c>
      <c r="L263" t="s">
        <v>159</v>
      </c>
      <c r="N263" t="s">
        <v>231</v>
      </c>
      <c r="O263" t="s">
        <v>432</v>
      </c>
      <c r="P263">
        <v>0.10607744025122483</v>
      </c>
      <c r="Q263" t="s">
        <v>159</v>
      </c>
    </row>
    <row r="264" spans="9:17" x14ac:dyDescent="0.45">
      <c r="I264" t="s">
        <v>188</v>
      </c>
      <c r="J264" t="s">
        <v>433</v>
      </c>
      <c r="K264">
        <v>0</v>
      </c>
      <c r="L264" t="s">
        <v>159</v>
      </c>
      <c r="N264" t="s">
        <v>231</v>
      </c>
      <c r="O264" t="s">
        <v>433</v>
      </c>
      <c r="P264">
        <v>0.23881907967016444</v>
      </c>
      <c r="Q264" t="s">
        <v>159</v>
      </c>
    </row>
    <row r="265" spans="9:17" x14ac:dyDescent="0.45">
      <c r="I265" t="s">
        <v>188</v>
      </c>
      <c r="J265" t="s">
        <v>434</v>
      </c>
      <c r="K265">
        <v>2.8962572048273495E-2</v>
      </c>
      <c r="L265" t="s">
        <v>159</v>
      </c>
      <c r="N265" t="s">
        <v>231</v>
      </c>
      <c r="O265" t="s">
        <v>434</v>
      </c>
      <c r="P265">
        <v>3.8335762658355484E-2</v>
      </c>
      <c r="Q265" t="s">
        <v>159</v>
      </c>
    </row>
    <row r="266" spans="9:17" x14ac:dyDescent="0.45">
      <c r="I266" t="s">
        <v>188</v>
      </c>
      <c r="J266" t="s">
        <v>435</v>
      </c>
      <c r="K266">
        <v>0.22155029414756716</v>
      </c>
      <c r="L266" t="s">
        <v>159</v>
      </c>
      <c r="N266" t="s">
        <v>231</v>
      </c>
      <c r="O266" t="s">
        <v>435</v>
      </c>
      <c r="P266">
        <v>4.4480860060409154E-2</v>
      </c>
      <c r="Q266" t="s">
        <v>159</v>
      </c>
    </row>
    <row r="267" spans="9:17" x14ac:dyDescent="0.45">
      <c r="I267" t="s">
        <v>188</v>
      </c>
      <c r="J267" t="s">
        <v>436</v>
      </c>
      <c r="K267">
        <v>0</v>
      </c>
      <c r="L267" t="s">
        <v>159</v>
      </c>
      <c r="N267" t="s">
        <v>231</v>
      </c>
      <c r="O267" t="s">
        <v>436</v>
      </c>
      <c r="P267">
        <v>0.10919587356767023</v>
      </c>
      <c r="Q267" t="s">
        <v>159</v>
      </c>
    </row>
    <row r="268" spans="9:17" x14ac:dyDescent="0.45">
      <c r="I268" t="s">
        <v>188</v>
      </c>
      <c r="J268" t="s">
        <v>437</v>
      </c>
      <c r="K268">
        <v>2.4295029084810849E-2</v>
      </c>
      <c r="L268" t="s">
        <v>159</v>
      </c>
      <c r="N268" t="s">
        <v>231</v>
      </c>
      <c r="O268" t="s">
        <v>437</v>
      </c>
      <c r="P268">
        <v>1.5526673921173165E-2</v>
      </c>
      <c r="Q268" t="s">
        <v>159</v>
      </c>
    </row>
    <row r="269" spans="9:17" x14ac:dyDescent="0.45">
      <c r="I269" t="s">
        <v>188</v>
      </c>
      <c r="J269" t="s">
        <v>438</v>
      </c>
      <c r="K269">
        <v>0.18422433934173688</v>
      </c>
      <c r="L269" t="s">
        <v>159</v>
      </c>
      <c r="N269" t="s">
        <v>231</v>
      </c>
      <c r="O269" t="s">
        <v>438</v>
      </c>
      <c r="P269">
        <v>6.973214672831439E-2</v>
      </c>
      <c r="Q269" t="s">
        <v>159</v>
      </c>
    </row>
    <row r="270" spans="9:17" x14ac:dyDescent="0.45">
      <c r="I270" t="s">
        <v>188</v>
      </c>
      <c r="J270" t="s">
        <v>439</v>
      </c>
      <c r="K270">
        <v>0</v>
      </c>
      <c r="L270" t="s">
        <v>159</v>
      </c>
      <c r="N270" t="s">
        <v>231</v>
      </c>
      <c r="O270" t="s">
        <v>439</v>
      </c>
      <c r="P270">
        <v>0.12770189229217699</v>
      </c>
      <c r="Q270" t="s">
        <v>159</v>
      </c>
    </row>
    <row r="271" spans="9:17" x14ac:dyDescent="0.45">
      <c r="I271" t="s">
        <v>188</v>
      </c>
      <c r="J271" t="s">
        <v>440</v>
      </c>
      <c r="K271">
        <v>1.5863052958853568E-2</v>
      </c>
      <c r="L271" t="s">
        <v>159</v>
      </c>
      <c r="N271" t="s">
        <v>231</v>
      </c>
      <c r="O271" t="s">
        <v>440</v>
      </c>
      <c r="P271">
        <v>2.0711593239789671E-2</v>
      </c>
      <c r="Q271" t="s">
        <v>159</v>
      </c>
    </row>
    <row r="272" spans="9:17" x14ac:dyDescent="0.45">
      <c r="I272" t="s">
        <v>188</v>
      </c>
      <c r="J272" t="s">
        <v>441</v>
      </c>
      <c r="K272">
        <v>0.23587894450261315</v>
      </c>
      <c r="L272" t="s">
        <v>159</v>
      </c>
      <c r="N272" t="s">
        <v>231</v>
      </c>
      <c r="O272" t="s">
        <v>441</v>
      </c>
      <c r="P272">
        <v>5.7343407514786109E-2</v>
      </c>
      <c r="Q272" t="s">
        <v>159</v>
      </c>
    </row>
    <row r="273" spans="9:17" x14ac:dyDescent="0.45">
      <c r="I273" t="s">
        <v>188</v>
      </c>
      <c r="J273" t="s">
        <v>442</v>
      </c>
      <c r="K273">
        <v>5.8755671181810361E-3</v>
      </c>
      <c r="L273" t="s">
        <v>159</v>
      </c>
      <c r="N273" t="s">
        <v>231</v>
      </c>
      <c r="O273" t="s">
        <v>442</v>
      </c>
      <c r="P273">
        <v>0.15055981808626637</v>
      </c>
      <c r="Q273" t="s">
        <v>159</v>
      </c>
    </row>
    <row r="274" spans="9:17" x14ac:dyDescent="0.45">
      <c r="I274" t="s">
        <v>188</v>
      </c>
      <c r="J274" t="s">
        <v>443</v>
      </c>
      <c r="K274">
        <v>3.3139339796188938E-2</v>
      </c>
      <c r="L274" t="s">
        <v>159</v>
      </c>
      <c r="N274" t="s">
        <v>231</v>
      </c>
      <c r="O274" t="s">
        <v>443</v>
      </c>
      <c r="P274">
        <v>2.1515452009668996E-2</v>
      </c>
      <c r="Q274" t="s">
        <v>159</v>
      </c>
    </row>
    <row r="275" spans="9:17" x14ac:dyDescent="0.45">
      <c r="I275" t="s">
        <v>189</v>
      </c>
      <c r="J275" t="s">
        <v>432</v>
      </c>
      <c r="K275">
        <v>0.25081483603230864</v>
      </c>
      <c r="L275" t="s">
        <v>159</v>
      </c>
      <c r="N275" t="s">
        <v>232</v>
      </c>
      <c r="O275" t="s">
        <v>432</v>
      </c>
      <c r="P275">
        <v>0.11589205386660634</v>
      </c>
      <c r="Q275" t="s">
        <v>159</v>
      </c>
    </row>
    <row r="276" spans="9:17" x14ac:dyDescent="0.45">
      <c r="I276" t="s">
        <v>189</v>
      </c>
      <c r="J276" t="s">
        <v>433</v>
      </c>
      <c r="K276">
        <v>0</v>
      </c>
      <c r="L276" t="s">
        <v>159</v>
      </c>
      <c r="N276" t="s">
        <v>232</v>
      </c>
      <c r="O276" t="s">
        <v>433</v>
      </c>
      <c r="P276">
        <v>0.20961235682931942</v>
      </c>
      <c r="Q276" t="s">
        <v>159</v>
      </c>
    </row>
    <row r="277" spans="9:17" x14ac:dyDescent="0.45">
      <c r="I277" t="s">
        <v>189</v>
      </c>
      <c r="J277" t="s">
        <v>434</v>
      </c>
      <c r="K277">
        <v>2.8524728714481258E-2</v>
      </c>
      <c r="L277" t="s">
        <v>159</v>
      </c>
      <c r="N277" t="s">
        <v>232</v>
      </c>
      <c r="O277" t="s">
        <v>434</v>
      </c>
      <c r="P277">
        <v>2.5187638120204147E-2</v>
      </c>
      <c r="Q277" t="s">
        <v>159</v>
      </c>
    </row>
    <row r="278" spans="9:17" x14ac:dyDescent="0.45">
      <c r="I278" t="s">
        <v>189</v>
      </c>
      <c r="J278" t="s">
        <v>435</v>
      </c>
      <c r="K278">
        <v>0.22020732683183453</v>
      </c>
      <c r="L278" t="s">
        <v>159</v>
      </c>
      <c r="N278" t="s">
        <v>232</v>
      </c>
      <c r="O278" t="s">
        <v>435</v>
      </c>
      <c r="P278">
        <v>5.9945090656670225E-2</v>
      </c>
      <c r="Q278" t="s">
        <v>159</v>
      </c>
    </row>
    <row r="279" spans="9:17" x14ac:dyDescent="0.45">
      <c r="I279" t="s">
        <v>189</v>
      </c>
      <c r="J279" t="s">
        <v>436</v>
      </c>
      <c r="K279">
        <v>0</v>
      </c>
      <c r="L279" t="s">
        <v>159</v>
      </c>
      <c r="N279" t="s">
        <v>232</v>
      </c>
      <c r="O279" t="s">
        <v>436</v>
      </c>
      <c r="P279">
        <v>0.12152255697812318</v>
      </c>
      <c r="Q279" t="s">
        <v>159</v>
      </c>
    </row>
    <row r="280" spans="9:17" x14ac:dyDescent="0.45">
      <c r="I280" t="s">
        <v>189</v>
      </c>
      <c r="J280" t="s">
        <v>437</v>
      </c>
      <c r="K280">
        <v>2.3503072086094701E-2</v>
      </c>
      <c r="L280" t="s">
        <v>159</v>
      </c>
      <c r="N280" t="s">
        <v>232</v>
      </c>
      <c r="O280" t="s">
        <v>437</v>
      </c>
      <c r="P280">
        <v>1.0835989986670071E-2</v>
      </c>
      <c r="Q280" t="s">
        <v>159</v>
      </c>
    </row>
    <row r="281" spans="9:17" x14ac:dyDescent="0.45">
      <c r="I281" t="s">
        <v>189</v>
      </c>
      <c r="J281" t="s">
        <v>438</v>
      </c>
      <c r="K281">
        <v>0.18737719353567661</v>
      </c>
      <c r="L281" t="s">
        <v>159</v>
      </c>
      <c r="N281" t="s">
        <v>232</v>
      </c>
      <c r="O281" t="s">
        <v>438</v>
      </c>
      <c r="P281">
        <v>7.5196351940418793E-2</v>
      </c>
      <c r="Q281" t="s">
        <v>159</v>
      </c>
    </row>
    <row r="282" spans="9:17" x14ac:dyDescent="0.45">
      <c r="I282" t="s">
        <v>189</v>
      </c>
      <c r="J282" t="s">
        <v>439</v>
      </c>
      <c r="K282">
        <v>0</v>
      </c>
      <c r="L282" t="s">
        <v>159</v>
      </c>
      <c r="N282" t="s">
        <v>232</v>
      </c>
      <c r="O282" t="s">
        <v>439</v>
      </c>
      <c r="P282">
        <v>0.12664964641004967</v>
      </c>
      <c r="Q282" t="s">
        <v>159</v>
      </c>
    </row>
    <row r="283" spans="9:17" x14ac:dyDescent="0.45">
      <c r="I283" t="s">
        <v>189</v>
      </c>
      <c r="J283" t="s">
        <v>440</v>
      </c>
      <c r="K283">
        <v>1.7175601456066808E-2</v>
      </c>
      <c r="L283" t="s">
        <v>159</v>
      </c>
      <c r="N283" t="s">
        <v>232</v>
      </c>
      <c r="O283" t="s">
        <v>440</v>
      </c>
      <c r="P283">
        <v>1.5141911917493627E-2</v>
      </c>
      <c r="Q283" t="s">
        <v>159</v>
      </c>
    </row>
    <row r="284" spans="9:17" x14ac:dyDescent="0.45">
      <c r="I284" t="s">
        <v>189</v>
      </c>
      <c r="J284" t="s">
        <v>441</v>
      </c>
      <c r="K284">
        <v>0.23510563938722903</v>
      </c>
      <c r="L284" t="s">
        <v>159</v>
      </c>
      <c r="N284" t="s">
        <v>232</v>
      </c>
      <c r="O284" t="s">
        <v>441</v>
      </c>
      <c r="P284">
        <v>7.9186566411680842E-2</v>
      </c>
      <c r="Q284" t="s">
        <v>159</v>
      </c>
    </row>
    <row r="285" spans="9:17" x14ac:dyDescent="0.45">
      <c r="I285" t="s">
        <v>189</v>
      </c>
      <c r="J285" t="s">
        <v>442</v>
      </c>
      <c r="K285">
        <v>5.7592846616377254E-3</v>
      </c>
      <c r="L285" t="s">
        <v>159</v>
      </c>
      <c r="N285" t="s">
        <v>232</v>
      </c>
      <c r="O285" t="s">
        <v>442</v>
      </c>
      <c r="P285">
        <v>0.1441976470929521</v>
      </c>
      <c r="Q285" t="s">
        <v>159</v>
      </c>
    </row>
    <row r="286" spans="9:17" x14ac:dyDescent="0.45">
      <c r="I286" t="s">
        <v>189</v>
      </c>
      <c r="J286" t="s">
        <v>443</v>
      </c>
      <c r="K286">
        <v>3.1532317294673068E-2</v>
      </c>
      <c r="L286" t="s">
        <v>159</v>
      </c>
      <c r="N286" t="s">
        <v>232</v>
      </c>
      <c r="O286" t="s">
        <v>443</v>
      </c>
      <c r="P286">
        <v>1.6632189789814351E-2</v>
      </c>
      <c r="Q286" t="s">
        <v>159</v>
      </c>
    </row>
    <row r="287" spans="9:17" x14ac:dyDescent="0.45">
      <c r="I287" t="s">
        <v>190</v>
      </c>
      <c r="J287" t="s">
        <v>432</v>
      </c>
      <c r="K287">
        <v>0.25168252058821888</v>
      </c>
      <c r="L287" t="s">
        <v>159</v>
      </c>
      <c r="N287" t="s">
        <v>233</v>
      </c>
      <c r="O287" t="s">
        <v>432</v>
      </c>
      <c r="P287">
        <v>0.12385204906311313</v>
      </c>
      <c r="Q287" t="s">
        <v>159</v>
      </c>
    </row>
    <row r="288" spans="9:17" x14ac:dyDescent="0.45">
      <c r="I288" t="s">
        <v>190</v>
      </c>
      <c r="J288" t="s">
        <v>433</v>
      </c>
      <c r="K288">
        <v>0</v>
      </c>
      <c r="L288" t="s">
        <v>159</v>
      </c>
      <c r="N288" t="s">
        <v>233</v>
      </c>
      <c r="O288" t="s">
        <v>433</v>
      </c>
      <c r="P288">
        <v>0.21384046114315589</v>
      </c>
      <c r="Q288" t="s">
        <v>159</v>
      </c>
    </row>
    <row r="289" spans="9:17" x14ac:dyDescent="0.45">
      <c r="I289" t="s">
        <v>190</v>
      </c>
      <c r="J289" t="s">
        <v>434</v>
      </c>
      <c r="K289">
        <v>3.0126519855275587E-2</v>
      </c>
      <c r="L289" t="s">
        <v>159</v>
      </c>
      <c r="N289" t="s">
        <v>233</v>
      </c>
      <c r="O289" t="s">
        <v>434</v>
      </c>
      <c r="P289">
        <v>1.8765399253548021E-2</v>
      </c>
      <c r="Q289" t="s">
        <v>159</v>
      </c>
    </row>
    <row r="290" spans="9:17" x14ac:dyDescent="0.45">
      <c r="I290" t="s">
        <v>190</v>
      </c>
      <c r="J290" t="s">
        <v>435</v>
      </c>
      <c r="K290">
        <v>0.21989010077565876</v>
      </c>
      <c r="L290" t="s">
        <v>159</v>
      </c>
      <c r="N290" t="s">
        <v>233</v>
      </c>
      <c r="O290" t="s">
        <v>435</v>
      </c>
      <c r="P290">
        <v>6.3044603660852891E-2</v>
      </c>
      <c r="Q290" t="s">
        <v>159</v>
      </c>
    </row>
    <row r="291" spans="9:17" x14ac:dyDescent="0.45">
      <c r="I291" t="s">
        <v>190</v>
      </c>
      <c r="J291" t="s">
        <v>436</v>
      </c>
      <c r="K291">
        <v>0</v>
      </c>
      <c r="L291" t="s">
        <v>159</v>
      </c>
      <c r="N291" t="s">
        <v>233</v>
      </c>
      <c r="O291" t="s">
        <v>436</v>
      </c>
      <c r="P291">
        <v>0.11222021418038987</v>
      </c>
      <c r="Q291" t="s">
        <v>159</v>
      </c>
    </row>
    <row r="292" spans="9:17" x14ac:dyDescent="0.45">
      <c r="I292" t="s">
        <v>190</v>
      </c>
      <c r="J292" t="s">
        <v>437</v>
      </c>
      <c r="K292">
        <v>2.6207656352272506E-2</v>
      </c>
      <c r="L292" t="s">
        <v>159</v>
      </c>
      <c r="N292" t="s">
        <v>233</v>
      </c>
      <c r="O292" t="s">
        <v>437</v>
      </c>
      <c r="P292">
        <v>8.4232360202614424E-3</v>
      </c>
      <c r="Q292" t="s">
        <v>159</v>
      </c>
    </row>
    <row r="293" spans="9:17" x14ac:dyDescent="0.45">
      <c r="I293" t="s">
        <v>190</v>
      </c>
      <c r="J293" t="s">
        <v>438</v>
      </c>
      <c r="K293">
        <v>0.18330371067926143</v>
      </c>
      <c r="L293" t="s">
        <v>159</v>
      </c>
      <c r="N293" t="s">
        <v>233</v>
      </c>
      <c r="O293" t="s">
        <v>438</v>
      </c>
      <c r="P293">
        <v>8.4366516288758409E-2</v>
      </c>
      <c r="Q293" t="s">
        <v>159</v>
      </c>
    </row>
    <row r="294" spans="9:17" x14ac:dyDescent="0.45">
      <c r="I294" t="s">
        <v>190</v>
      </c>
      <c r="J294" t="s">
        <v>439</v>
      </c>
      <c r="K294">
        <v>0</v>
      </c>
      <c r="L294" t="s">
        <v>159</v>
      </c>
      <c r="N294" t="s">
        <v>233</v>
      </c>
      <c r="O294" t="s">
        <v>439</v>
      </c>
      <c r="P294">
        <v>0.14731273768759356</v>
      </c>
      <c r="Q294" t="s">
        <v>159</v>
      </c>
    </row>
    <row r="295" spans="9:17" x14ac:dyDescent="0.45">
      <c r="I295" t="s">
        <v>190</v>
      </c>
      <c r="J295" t="s">
        <v>440</v>
      </c>
      <c r="K295">
        <v>1.6521956386869395E-2</v>
      </c>
      <c r="L295" t="s">
        <v>159</v>
      </c>
      <c r="N295" t="s">
        <v>233</v>
      </c>
      <c r="O295" t="s">
        <v>440</v>
      </c>
      <c r="P295">
        <v>1.4421999939382703E-2</v>
      </c>
      <c r="Q295" t="s">
        <v>159</v>
      </c>
    </row>
    <row r="296" spans="9:17" x14ac:dyDescent="0.45">
      <c r="I296" t="s">
        <v>190</v>
      </c>
      <c r="J296" t="s">
        <v>441</v>
      </c>
      <c r="K296">
        <v>0.23140889775949811</v>
      </c>
      <c r="L296" t="s">
        <v>159</v>
      </c>
      <c r="N296" t="s">
        <v>233</v>
      </c>
      <c r="O296" t="s">
        <v>441</v>
      </c>
      <c r="P296">
        <v>7.5527416492888702E-2</v>
      </c>
      <c r="Q296" t="s">
        <v>159</v>
      </c>
    </row>
    <row r="297" spans="9:17" x14ac:dyDescent="0.45">
      <c r="I297" t="s">
        <v>190</v>
      </c>
      <c r="J297" t="s">
        <v>442</v>
      </c>
      <c r="K297">
        <v>6.3496966231788654E-3</v>
      </c>
      <c r="L297" t="s">
        <v>159</v>
      </c>
      <c r="N297" t="s">
        <v>233</v>
      </c>
      <c r="O297" t="s">
        <v>442</v>
      </c>
      <c r="P297">
        <v>0.12811592386691059</v>
      </c>
      <c r="Q297" t="s">
        <v>159</v>
      </c>
    </row>
    <row r="298" spans="9:17" x14ac:dyDescent="0.45">
      <c r="I298" t="s">
        <v>190</v>
      </c>
      <c r="J298" t="s">
        <v>443</v>
      </c>
      <c r="K298">
        <v>3.4508940979768837E-2</v>
      </c>
      <c r="L298" t="s">
        <v>159</v>
      </c>
      <c r="N298" t="s">
        <v>233</v>
      </c>
      <c r="O298" t="s">
        <v>443</v>
      </c>
      <c r="P298">
        <v>1.0109442403147616E-2</v>
      </c>
      <c r="Q298" t="s">
        <v>159</v>
      </c>
    </row>
    <row r="299" spans="9:17" x14ac:dyDescent="0.45">
      <c r="I299" t="s">
        <v>191</v>
      </c>
      <c r="J299" t="s">
        <v>432</v>
      </c>
      <c r="K299">
        <v>0.2508296070758646</v>
      </c>
      <c r="L299" t="s">
        <v>159</v>
      </c>
      <c r="N299" t="s">
        <v>234</v>
      </c>
      <c r="O299" t="s">
        <v>432</v>
      </c>
      <c r="P299">
        <v>0.13631914795712302</v>
      </c>
      <c r="Q299" t="s">
        <v>159</v>
      </c>
    </row>
    <row r="300" spans="9:17" x14ac:dyDescent="0.45">
      <c r="I300" t="s">
        <v>191</v>
      </c>
      <c r="J300" t="s">
        <v>433</v>
      </c>
      <c r="K300">
        <v>0</v>
      </c>
      <c r="L300" t="s">
        <v>159</v>
      </c>
      <c r="N300" t="s">
        <v>234</v>
      </c>
      <c r="O300" t="s">
        <v>433</v>
      </c>
      <c r="P300">
        <v>0.20603249628183679</v>
      </c>
      <c r="Q300" t="s">
        <v>159</v>
      </c>
    </row>
    <row r="301" spans="9:17" x14ac:dyDescent="0.45">
      <c r="I301" t="s">
        <v>191</v>
      </c>
      <c r="J301" t="s">
        <v>434</v>
      </c>
      <c r="K301">
        <v>3.1494164311580537E-2</v>
      </c>
      <c r="L301" t="s">
        <v>159</v>
      </c>
      <c r="N301" t="s">
        <v>234</v>
      </c>
      <c r="O301" t="s">
        <v>434</v>
      </c>
      <c r="P301">
        <v>2.7721676057652023E-2</v>
      </c>
      <c r="Q301" t="s">
        <v>159</v>
      </c>
    </row>
    <row r="302" spans="9:17" x14ac:dyDescent="0.45">
      <c r="I302" t="s">
        <v>191</v>
      </c>
      <c r="J302" t="s">
        <v>435</v>
      </c>
      <c r="K302">
        <v>0.21754784736086152</v>
      </c>
      <c r="L302" t="s">
        <v>159</v>
      </c>
      <c r="N302" t="s">
        <v>234</v>
      </c>
      <c r="O302" t="s">
        <v>435</v>
      </c>
      <c r="P302">
        <v>5.2895638084601668E-2</v>
      </c>
      <c r="Q302" t="s">
        <v>159</v>
      </c>
    </row>
    <row r="303" spans="9:17" x14ac:dyDescent="0.45">
      <c r="I303" t="s">
        <v>191</v>
      </c>
      <c r="J303" t="s">
        <v>436</v>
      </c>
      <c r="K303">
        <v>0</v>
      </c>
      <c r="L303" t="s">
        <v>159</v>
      </c>
      <c r="N303" t="s">
        <v>234</v>
      </c>
      <c r="O303" t="s">
        <v>436</v>
      </c>
      <c r="P303">
        <v>0.1010673985601498</v>
      </c>
      <c r="Q303" t="s">
        <v>159</v>
      </c>
    </row>
    <row r="304" spans="9:17" x14ac:dyDescent="0.45">
      <c r="I304" t="s">
        <v>191</v>
      </c>
      <c r="J304" t="s">
        <v>437</v>
      </c>
      <c r="K304">
        <v>2.8178950503471453E-2</v>
      </c>
      <c r="L304" t="s">
        <v>159</v>
      </c>
      <c r="N304" t="s">
        <v>234</v>
      </c>
      <c r="O304" t="s">
        <v>437</v>
      </c>
      <c r="P304">
        <v>1.061786796559255E-2</v>
      </c>
      <c r="Q304" t="s">
        <v>159</v>
      </c>
    </row>
    <row r="305" spans="9:17" x14ac:dyDescent="0.45">
      <c r="I305" t="s">
        <v>191</v>
      </c>
      <c r="J305" t="s">
        <v>438</v>
      </c>
      <c r="K305">
        <v>0.18024964491474185</v>
      </c>
      <c r="L305" t="s">
        <v>159</v>
      </c>
      <c r="N305" t="s">
        <v>234</v>
      </c>
      <c r="O305" t="s">
        <v>438</v>
      </c>
      <c r="P305">
        <v>9.0136902238022509E-2</v>
      </c>
      <c r="Q305" t="s">
        <v>159</v>
      </c>
    </row>
    <row r="306" spans="9:17" x14ac:dyDescent="0.45">
      <c r="I306" t="s">
        <v>191</v>
      </c>
      <c r="J306" t="s">
        <v>439</v>
      </c>
      <c r="K306">
        <v>0</v>
      </c>
      <c r="L306" t="s">
        <v>159</v>
      </c>
      <c r="N306" t="s">
        <v>234</v>
      </c>
      <c r="O306" t="s">
        <v>439</v>
      </c>
      <c r="P306">
        <v>0.15352009288174642</v>
      </c>
      <c r="Q306" t="s">
        <v>159</v>
      </c>
    </row>
    <row r="307" spans="9:17" x14ac:dyDescent="0.45">
      <c r="I307" t="s">
        <v>191</v>
      </c>
      <c r="J307" t="s">
        <v>440</v>
      </c>
      <c r="K307">
        <v>1.8443354637726669E-2</v>
      </c>
      <c r="L307" t="s">
        <v>159</v>
      </c>
      <c r="N307" t="s">
        <v>234</v>
      </c>
      <c r="O307" t="s">
        <v>440</v>
      </c>
      <c r="P307">
        <v>1.9206225143892065E-2</v>
      </c>
      <c r="Q307" t="s">
        <v>159</v>
      </c>
    </row>
    <row r="308" spans="9:17" x14ac:dyDescent="0.45">
      <c r="I308" t="s">
        <v>191</v>
      </c>
      <c r="J308" t="s">
        <v>441</v>
      </c>
      <c r="K308">
        <v>0.22941932411784932</v>
      </c>
      <c r="L308" t="s">
        <v>159</v>
      </c>
      <c r="N308" t="s">
        <v>234</v>
      </c>
      <c r="O308" t="s">
        <v>441</v>
      </c>
      <c r="P308">
        <v>6.9279116398541479E-2</v>
      </c>
      <c r="Q308" t="s">
        <v>159</v>
      </c>
    </row>
    <row r="309" spans="9:17" x14ac:dyDescent="0.45">
      <c r="I309" t="s">
        <v>191</v>
      </c>
      <c r="J309" t="s">
        <v>442</v>
      </c>
      <c r="K309">
        <v>8.1495362641016821E-3</v>
      </c>
      <c r="L309" t="s">
        <v>159</v>
      </c>
      <c r="N309" t="s">
        <v>234</v>
      </c>
      <c r="O309" t="s">
        <v>442</v>
      </c>
      <c r="P309">
        <v>0.12042298899203599</v>
      </c>
      <c r="Q309" t="s">
        <v>159</v>
      </c>
    </row>
    <row r="310" spans="9:17" x14ac:dyDescent="0.45">
      <c r="I310" t="s">
        <v>191</v>
      </c>
      <c r="J310" t="s">
        <v>443</v>
      </c>
      <c r="K310">
        <v>3.5687570813802631E-2</v>
      </c>
      <c r="L310" t="s">
        <v>159</v>
      </c>
      <c r="N310" t="s">
        <v>234</v>
      </c>
      <c r="O310" t="s">
        <v>443</v>
      </c>
      <c r="P310">
        <v>1.2780449438805516E-2</v>
      </c>
      <c r="Q310" t="s">
        <v>159</v>
      </c>
    </row>
    <row r="311" spans="9:17" x14ac:dyDescent="0.45">
      <c r="I311" t="s">
        <v>192</v>
      </c>
      <c r="J311" t="s">
        <v>432</v>
      </c>
      <c r="K311">
        <v>0.25537262848649001</v>
      </c>
      <c r="L311" t="s">
        <v>159</v>
      </c>
      <c r="N311" t="s">
        <v>235</v>
      </c>
      <c r="O311" t="s">
        <v>432</v>
      </c>
      <c r="P311">
        <v>0.1093148895692754</v>
      </c>
      <c r="Q311" t="s">
        <v>159</v>
      </c>
    </row>
    <row r="312" spans="9:17" x14ac:dyDescent="0.45">
      <c r="I312" t="s">
        <v>192</v>
      </c>
      <c r="J312" t="s">
        <v>433</v>
      </c>
      <c r="K312">
        <v>9.4488046039898206E-5</v>
      </c>
      <c r="L312" t="s">
        <v>159</v>
      </c>
      <c r="N312" t="s">
        <v>235</v>
      </c>
      <c r="O312" t="s">
        <v>433</v>
      </c>
      <c r="P312">
        <v>0.23082877581218533</v>
      </c>
      <c r="Q312" t="s">
        <v>159</v>
      </c>
    </row>
    <row r="313" spans="9:17" x14ac:dyDescent="0.45">
      <c r="I313" t="s">
        <v>192</v>
      </c>
      <c r="J313" t="s">
        <v>434</v>
      </c>
      <c r="K313">
        <v>3.0345389764094458E-2</v>
      </c>
      <c r="L313" t="s">
        <v>159</v>
      </c>
      <c r="N313" t="s">
        <v>235</v>
      </c>
      <c r="O313" t="s">
        <v>434</v>
      </c>
      <c r="P313">
        <v>2.4644502026811482E-2</v>
      </c>
      <c r="Q313" t="s">
        <v>159</v>
      </c>
    </row>
    <row r="314" spans="9:17" x14ac:dyDescent="0.45">
      <c r="I314" t="s">
        <v>192</v>
      </c>
      <c r="J314" t="s">
        <v>435</v>
      </c>
      <c r="K314">
        <v>0.20454942372992926</v>
      </c>
      <c r="L314" t="s">
        <v>159</v>
      </c>
      <c r="N314" t="s">
        <v>235</v>
      </c>
      <c r="O314" t="s">
        <v>435</v>
      </c>
      <c r="P314">
        <v>4.9053006308114259E-2</v>
      </c>
      <c r="Q314" t="s">
        <v>159</v>
      </c>
    </row>
    <row r="315" spans="9:17" x14ac:dyDescent="0.45">
      <c r="I315" t="s">
        <v>192</v>
      </c>
      <c r="J315" t="s">
        <v>436</v>
      </c>
      <c r="K315">
        <v>0</v>
      </c>
      <c r="L315" t="s">
        <v>159</v>
      </c>
      <c r="N315" t="s">
        <v>235</v>
      </c>
      <c r="O315" t="s">
        <v>436</v>
      </c>
      <c r="P315">
        <v>0.11098335826841077</v>
      </c>
      <c r="Q315" t="s">
        <v>159</v>
      </c>
    </row>
    <row r="316" spans="9:17" x14ac:dyDescent="0.45">
      <c r="I316" t="s">
        <v>192</v>
      </c>
      <c r="J316" t="s">
        <v>437</v>
      </c>
      <c r="K316">
        <v>2.2816455352444809E-2</v>
      </c>
      <c r="L316" t="s">
        <v>159</v>
      </c>
      <c r="N316" t="s">
        <v>235</v>
      </c>
      <c r="O316" t="s">
        <v>437</v>
      </c>
      <c r="P316">
        <v>1.2060277286214133E-2</v>
      </c>
      <c r="Q316" t="s">
        <v>159</v>
      </c>
    </row>
    <row r="317" spans="9:17" x14ac:dyDescent="0.45">
      <c r="I317" t="s">
        <v>192</v>
      </c>
      <c r="J317" t="s">
        <v>438</v>
      </c>
      <c r="K317">
        <v>0.18530471579017663</v>
      </c>
      <c r="L317" t="s">
        <v>159</v>
      </c>
      <c r="N317" t="s">
        <v>235</v>
      </c>
      <c r="O317" t="s">
        <v>438</v>
      </c>
      <c r="P317">
        <v>8.1092428242557163E-2</v>
      </c>
      <c r="Q317" t="s">
        <v>159</v>
      </c>
    </row>
    <row r="318" spans="9:17" x14ac:dyDescent="0.45">
      <c r="I318" t="s">
        <v>192</v>
      </c>
      <c r="J318" t="s">
        <v>439</v>
      </c>
      <c r="K318">
        <v>0</v>
      </c>
      <c r="L318" t="s">
        <v>159</v>
      </c>
      <c r="N318" t="s">
        <v>235</v>
      </c>
      <c r="O318" t="s">
        <v>439</v>
      </c>
      <c r="P318">
        <v>0.15007632672213697</v>
      </c>
      <c r="Q318" t="s">
        <v>159</v>
      </c>
    </row>
    <row r="319" spans="9:17" x14ac:dyDescent="0.45">
      <c r="I319" t="s">
        <v>192</v>
      </c>
      <c r="J319" t="s">
        <v>440</v>
      </c>
      <c r="K319">
        <v>2.0071749997740765E-2</v>
      </c>
      <c r="L319" t="s">
        <v>159</v>
      </c>
      <c r="N319" t="s">
        <v>235</v>
      </c>
      <c r="O319" t="s">
        <v>440</v>
      </c>
      <c r="P319">
        <v>1.8918763869636635E-2</v>
      </c>
      <c r="Q319" t="s">
        <v>159</v>
      </c>
    </row>
    <row r="320" spans="9:17" x14ac:dyDescent="0.45">
      <c r="I320" t="s">
        <v>192</v>
      </c>
      <c r="J320" t="s">
        <v>441</v>
      </c>
      <c r="K320">
        <v>0.24073820684407371</v>
      </c>
      <c r="L320" t="s">
        <v>159</v>
      </c>
      <c r="N320" t="s">
        <v>235</v>
      </c>
      <c r="O320" t="s">
        <v>441</v>
      </c>
      <c r="P320">
        <v>5.914138868248614E-2</v>
      </c>
      <c r="Q320" t="s">
        <v>159</v>
      </c>
    </row>
    <row r="321" spans="9:17" x14ac:dyDescent="0.45">
      <c r="I321" t="s">
        <v>192</v>
      </c>
      <c r="J321" t="s">
        <v>442</v>
      </c>
      <c r="K321">
        <v>7.7938100396924177E-3</v>
      </c>
      <c r="L321" t="s">
        <v>159</v>
      </c>
      <c r="N321" t="s">
        <v>235</v>
      </c>
      <c r="O321" t="s">
        <v>442</v>
      </c>
      <c r="P321">
        <v>0.1406769846489615</v>
      </c>
      <c r="Q321" t="s">
        <v>159</v>
      </c>
    </row>
    <row r="322" spans="9:17" x14ac:dyDescent="0.45">
      <c r="I322" t="s">
        <v>192</v>
      </c>
      <c r="J322" t="s">
        <v>443</v>
      </c>
      <c r="K322">
        <v>3.2913131949320634E-2</v>
      </c>
      <c r="L322" t="s">
        <v>159</v>
      </c>
      <c r="N322" t="s">
        <v>235</v>
      </c>
      <c r="O322" t="s">
        <v>443</v>
      </c>
      <c r="P322">
        <v>1.3209298563210257E-2</v>
      </c>
      <c r="Q322" t="s">
        <v>159</v>
      </c>
    </row>
    <row r="323" spans="9:17" x14ac:dyDescent="0.45">
      <c r="I323" t="s">
        <v>193</v>
      </c>
      <c r="J323" t="s">
        <v>432</v>
      </c>
      <c r="K323">
        <v>0.25351629339434156</v>
      </c>
      <c r="L323" t="s">
        <v>159</v>
      </c>
      <c r="N323" t="s">
        <v>236</v>
      </c>
      <c r="O323" t="s">
        <v>432</v>
      </c>
      <c r="P323">
        <v>0.12941927917052518</v>
      </c>
      <c r="Q323" t="s">
        <v>159</v>
      </c>
    </row>
    <row r="324" spans="9:17" x14ac:dyDescent="0.45">
      <c r="I324" t="s">
        <v>193</v>
      </c>
      <c r="J324" t="s">
        <v>433</v>
      </c>
      <c r="K324">
        <v>1.8845297499800107E-4</v>
      </c>
      <c r="L324" t="s">
        <v>159</v>
      </c>
      <c r="N324" t="s">
        <v>236</v>
      </c>
      <c r="O324" t="s">
        <v>433</v>
      </c>
      <c r="P324">
        <v>0.18196308667788158</v>
      </c>
      <c r="Q324" t="s">
        <v>159</v>
      </c>
    </row>
    <row r="325" spans="9:17" x14ac:dyDescent="0.45">
      <c r="I325" t="s">
        <v>193</v>
      </c>
      <c r="J325" t="s">
        <v>434</v>
      </c>
      <c r="K325">
        <v>3.1504713868296147E-2</v>
      </c>
      <c r="L325" t="s">
        <v>159</v>
      </c>
      <c r="N325" t="s">
        <v>236</v>
      </c>
      <c r="O325" t="s">
        <v>434</v>
      </c>
      <c r="P325">
        <v>2.4619812503852864E-2</v>
      </c>
      <c r="Q325" t="s">
        <v>159</v>
      </c>
    </row>
    <row r="326" spans="9:17" x14ac:dyDescent="0.45">
      <c r="I326" t="s">
        <v>193</v>
      </c>
      <c r="J326" t="s">
        <v>435</v>
      </c>
      <c r="K326">
        <v>0.20376131839402475</v>
      </c>
      <c r="L326" t="s">
        <v>159</v>
      </c>
      <c r="N326" t="s">
        <v>236</v>
      </c>
      <c r="O326" t="s">
        <v>435</v>
      </c>
      <c r="P326">
        <v>6.024463115305094E-2</v>
      </c>
      <c r="Q326" t="s">
        <v>159</v>
      </c>
    </row>
    <row r="327" spans="9:17" x14ac:dyDescent="0.45">
      <c r="I327" t="s">
        <v>193</v>
      </c>
      <c r="J327" t="s">
        <v>436</v>
      </c>
      <c r="K327">
        <v>0</v>
      </c>
      <c r="L327" t="s">
        <v>159</v>
      </c>
      <c r="N327" t="s">
        <v>236</v>
      </c>
      <c r="O327" t="s">
        <v>436</v>
      </c>
      <c r="P327">
        <v>0.10640243330372282</v>
      </c>
      <c r="Q327" t="s">
        <v>159</v>
      </c>
    </row>
    <row r="328" spans="9:17" x14ac:dyDescent="0.45">
      <c r="I328" t="s">
        <v>193</v>
      </c>
      <c r="J328" t="s">
        <v>437</v>
      </c>
      <c r="K328">
        <v>2.2931383084117619E-2</v>
      </c>
      <c r="L328" t="s">
        <v>159</v>
      </c>
      <c r="N328" t="s">
        <v>236</v>
      </c>
      <c r="O328" t="s">
        <v>437</v>
      </c>
      <c r="P328">
        <v>8.9986086319596703E-3</v>
      </c>
      <c r="Q328" t="s">
        <v>159</v>
      </c>
    </row>
    <row r="329" spans="9:17" x14ac:dyDescent="0.45">
      <c r="I329" t="s">
        <v>193</v>
      </c>
      <c r="J329" t="s">
        <v>438</v>
      </c>
      <c r="K329">
        <v>0.18372719471933371</v>
      </c>
      <c r="L329" t="s">
        <v>159</v>
      </c>
      <c r="N329" t="s">
        <v>236</v>
      </c>
      <c r="O329" t="s">
        <v>438</v>
      </c>
      <c r="P329">
        <v>9.9261936112366098E-2</v>
      </c>
      <c r="Q329" t="s">
        <v>159</v>
      </c>
    </row>
    <row r="330" spans="9:17" x14ac:dyDescent="0.45">
      <c r="I330" t="s">
        <v>193</v>
      </c>
      <c r="J330" t="s">
        <v>439</v>
      </c>
      <c r="K330">
        <v>0</v>
      </c>
      <c r="L330" t="s">
        <v>159</v>
      </c>
      <c r="N330" t="s">
        <v>236</v>
      </c>
      <c r="O330" t="s">
        <v>439</v>
      </c>
      <c r="P330">
        <v>0.14264113934909733</v>
      </c>
      <c r="Q330" t="s">
        <v>159</v>
      </c>
    </row>
    <row r="331" spans="9:17" x14ac:dyDescent="0.45">
      <c r="I331" t="s">
        <v>193</v>
      </c>
      <c r="J331" t="s">
        <v>440</v>
      </c>
      <c r="K331">
        <v>1.9532598622843872E-2</v>
      </c>
      <c r="L331" t="s">
        <v>159</v>
      </c>
      <c r="N331" t="s">
        <v>236</v>
      </c>
      <c r="O331" t="s">
        <v>440</v>
      </c>
      <c r="P331">
        <v>1.7033439628717832E-2</v>
      </c>
      <c r="Q331" t="s">
        <v>159</v>
      </c>
    </row>
    <row r="332" spans="9:17" x14ac:dyDescent="0.45">
      <c r="I332" t="s">
        <v>193</v>
      </c>
      <c r="J332" t="s">
        <v>441</v>
      </c>
      <c r="K332">
        <v>0.24429619679612499</v>
      </c>
      <c r="L332" t="s">
        <v>159</v>
      </c>
      <c r="N332" t="s">
        <v>236</v>
      </c>
      <c r="O332" t="s">
        <v>441</v>
      </c>
      <c r="P332">
        <v>7.465408732247783E-2</v>
      </c>
      <c r="Q332" t="s">
        <v>159</v>
      </c>
    </row>
    <row r="333" spans="9:17" x14ac:dyDescent="0.45">
      <c r="I333" t="s">
        <v>193</v>
      </c>
      <c r="J333" t="s">
        <v>442</v>
      </c>
      <c r="K333">
        <v>7.5116439526117258E-3</v>
      </c>
      <c r="L333" t="s">
        <v>159</v>
      </c>
      <c r="N333" t="s">
        <v>236</v>
      </c>
      <c r="O333" t="s">
        <v>442</v>
      </c>
      <c r="P333">
        <v>0.14208473107162106</v>
      </c>
      <c r="Q333" t="s">
        <v>159</v>
      </c>
    </row>
    <row r="334" spans="9:17" x14ac:dyDescent="0.45">
      <c r="I334" t="s">
        <v>193</v>
      </c>
      <c r="J334" t="s">
        <v>443</v>
      </c>
      <c r="K334">
        <v>3.303020419330812E-2</v>
      </c>
      <c r="L334" t="s">
        <v>159</v>
      </c>
      <c r="N334" t="s">
        <v>236</v>
      </c>
      <c r="O334" t="s">
        <v>443</v>
      </c>
      <c r="P334">
        <v>1.2676815074726577E-2</v>
      </c>
      <c r="Q334" t="s">
        <v>159</v>
      </c>
    </row>
    <row r="335" spans="9:17" x14ac:dyDescent="0.45">
      <c r="I335" t="s">
        <v>194</v>
      </c>
      <c r="J335" t="s">
        <v>432</v>
      </c>
      <c r="K335">
        <v>0.25626350765972988</v>
      </c>
      <c r="L335" t="s">
        <v>159</v>
      </c>
      <c r="N335" t="s">
        <v>237</v>
      </c>
      <c r="O335" t="s">
        <v>432</v>
      </c>
      <c r="P335">
        <v>0.13516460210620698</v>
      </c>
      <c r="Q335" t="s">
        <v>159</v>
      </c>
    </row>
    <row r="336" spans="9:17" x14ac:dyDescent="0.45">
      <c r="I336" t="s">
        <v>194</v>
      </c>
      <c r="J336" t="s">
        <v>433</v>
      </c>
      <c r="K336">
        <v>7.1345421887868271E-5</v>
      </c>
      <c r="L336" t="s">
        <v>159</v>
      </c>
      <c r="N336" t="s">
        <v>237</v>
      </c>
      <c r="O336" t="s">
        <v>433</v>
      </c>
      <c r="P336">
        <v>0.17537237710760609</v>
      </c>
      <c r="Q336" t="s">
        <v>159</v>
      </c>
    </row>
    <row r="337" spans="9:17" x14ac:dyDescent="0.45">
      <c r="I337" t="s">
        <v>194</v>
      </c>
      <c r="J337" t="s">
        <v>434</v>
      </c>
      <c r="K337">
        <v>2.9307434202045742E-2</v>
      </c>
      <c r="L337" t="s">
        <v>159</v>
      </c>
      <c r="N337" t="s">
        <v>237</v>
      </c>
      <c r="O337" t="s">
        <v>434</v>
      </c>
      <c r="P337">
        <v>2.3195009266005012E-2</v>
      </c>
      <c r="Q337" t="s">
        <v>159</v>
      </c>
    </row>
    <row r="338" spans="9:17" x14ac:dyDescent="0.45">
      <c r="I338" t="s">
        <v>194</v>
      </c>
      <c r="J338" t="s">
        <v>435</v>
      </c>
      <c r="K338">
        <v>0.20856559537888955</v>
      </c>
      <c r="L338" t="s">
        <v>159</v>
      </c>
      <c r="N338" t="s">
        <v>237</v>
      </c>
      <c r="O338" t="s">
        <v>435</v>
      </c>
      <c r="P338">
        <v>6.6381789953202153E-2</v>
      </c>
      <c r="Q338" t="s">
        <v>159</v>
      </c>
    </row>
    <row r="339" spans="9:17" x14ac:dyDescent="0.45">
      <c r="I339" t="s">
        <v>194</v>
      </c>
      <c r="J339" t="s">
        <v>436</v>
      </c>
      <c r="K339">
        <v>0</v>
      </c>
      <c r="L339" t="s">
        <v>159</v>
      </c>
      <c r="N339" t="s">
        <v>237</v>
      </c>
      <c r="O339" t="s">
        <v>436</v>
      </c>
      <c r="P339">
        <v>0.10053569759056026</v>
      </c>
      <c r="Q339" t="s">
        <v>159</v>
      </c>
    </row>
    <row r="340" spans="9:17" x14ac:dyDescent="0.45">
      <c r="I340" t="s">
        <v>194</v>
      </c>
      <c r="J340" t="s">
        <v>437</v>
      </c>
      <c r="K340">
        <v>2.2376918508976777E-2</v>
      </c>
      <c r="L340" t="s">
        <v>159</v>
      </c>
      <c r="N340" t="s">
        <v>237</v>
      </c>
      <c r="O340" t="s">
        <v>437</v>
      </c>
      <c r="P340">
        <v>8.142545826139996E-3</v>
      </c>
      <c r="Q340" t="s">
        <v>159</v>
      </c>
    </row>
    <row r="341" spans="9:17" x14ac:dyDescent="0.45">
      <c r="I341" t="s">
        <v>194</v>
      </c>
      <c r="J341" t="s">
        <v>438</v>
      </c>
      <c r="K341">
        <v>0.17761485036448274</v>
      </c>
      <c r="L341" t="s">
        <v>159</v>
      </c>
      <c r="N341" t="s">
        <v>237</v>
      </c>
      <c r="O341" t="s">
        <v>438</v>
      </c>
      <c r="P341">
        <v>0.11523154093466154</v>
      </c>
      <c r="Q341" t="s">
        <v>159</v>
      </c>
    </row>
    <row r="342" spans="9:17" x14ac:dyDescent="0.45">
      <c r="I342" t="s">
        <v>194</v>
      </c>
      <c r="J342" t="s">
        <v>439</v>
      </c>
      <c r="K342">
        <v>0</v>
      </c>
      <c r="L342" t="s">
        <v>159</v>
      </c>
      <c r="N342" t="s">
        <v>237</v>
      </c>
      <c r="O342" t="s">
        <v>439</v>
      </c>
      <c r="P342">
        <v>0.15801315771090696</v>
      </c>
      <c r="Q342" t="s">
        <v>159</v>
      </c>
    </row>
    <row r="343" spans="9:17" x14ac:dyDescent="0.45">
      <c r="I343" t="s">
        <v>194</v>
      </c>
      <c r="J343" t="s">
        <v>440</v>
      </c>
      <c r="K343">
        <v>1.4820842035040076E-2</v>
      </c>
      <c r="L343" t="s">
        <v>159</v>
      </c>
      <c r="N343" t="s">
        <v>237</v>
      </c>
      <c r="O343" t="s">
        <v>440</v>
      </c>
      <c r="P343">
        <v>1.7250885816545346E-2</v>
      </c>
      <c r="Q343" t="s">
        <v>159</v>
      </c>
    </row>
    <row r="344" spans="9:17" x14ac:dyDescent="0.45">
      <c r="I344" t="s">
        <v>194</v>
      </c>
      <c r="J344" t="s">
        <v>441</v>
      </c>
      <c r="K344">
        <v>0.25442133931219801</v>
      </c>
      <c r="L344" t="s">
        <v>159</v>
      </c>
      <c r="N344" t="s">
        <v>237</v>
      </c>
      <c r="O344" t="s">
        <v>441</v>
      </c>
      <c r="P344">
        <v>7.5172829980124964E-2</v>
      </c>
      <c r="Q344" t="s">
        <v>159</v>
      </c>
    </row>
    <row r="345" spans="9:17" x14ac:dyDescent="0.45">
      <c r="I345" t="s">
        <v>194</v>
      </c>
      <c r="J345" t="s">
        <v>442</v>
      </c>
      <c r="K345">
        <v>5.8132692097999051E-3</v>
      </c>
      <c r="L345" t="s">
        <v>159</v>
      </c>
      <c r="N345" t="s">
        <v>237</v>
      </c>
      <c r="O345" t="s">
        <v>442</v>
      </c>
      <c r="P345">
        <v>0.11544595771635562</v>
      </c>
      <c r="Q345" t="s">
        <v>159</v>
      </c>
    </row>
    <row r="346" spans="9:17" x14ac:dyDescent="0.45">
      <c r="I346" t="s">
        <v>194</v>
      </c>
      <c r="J346" t="s">
        <v>443</v>
      </c>
      <c r="K346">
        <v>3.0744897906948454E-2</v>
      </c>
      <c r="L346" t="s">
        <v>159</v>
      </c>
      <c r="N346" t="s">
        <v>237</v>
      </c>
      <c r="O346" t="s">
        <v>443</v>
      </c>
      <c r="P346">
        <v>1.0093605991684882E-2</v>
      </c>
      <c r="Q346" t="s">
        <v>159</v>
      </c>
    </row>
    <row r="347" spans="9:17" x14ac:dyDescent="0.45">
      <c r="I347" t="s">
        <v>195</v>
      </c>
      <c r="J347" t="s">
        <v>432</v>
      </c>
      <c r="K347">
        <v>0.25350442672134627</v>
      </c>
      <c r="L347" t="s">
        <v>159</v>
      </c>
      <c r="N347" t="s">
        <v>238</v>
      </c>
      <c r="O347" t="s">
        <v>432</v>
      </c>
      <c r="P347">
        <v>0.1108469713081533</v>
      </c>
      <c r="Q347" t="s">
        <v>159</v>
      </c>
    </row>
    <row r="348" spans="9:17" x14ac:dyDescent="0.45">
      <c r="I348" t="s">
        <v>195</v>
      </c>
      <c r="J348" t="s">
        <v>433</v>
      </c>
      <c r="K348">
        <v>2.9596208943742257E-4</v>
      </c>
      <c r="L348" t="s">
        <v>159</v>
      </c>
      <c r="N348" t="s">
        <v>238</v>
      </c>
      <c r="O348" t="s">
        <v>433</v>
      </c>
      <c r="P348">
        <v>0.14483685490434628</v>
      </c>
      <c r="Q348" t="s">
        <v>159</v>
      </c>
    </row>
    <row r="349" spans="9:17" x14ac:dyDescent="0.45">
      <c r="I349" t="s">
        <v>195</v>
      </c>
      <c r="J349" t="s">
        <v>434</v>
      </c>
      <c r="K349">
        <v>2.9027129730986645E-2</v>
      </c>
      <c r="L349" t="s">
        <v>159</v>
      </c>
      <c r="N349" t="s">
        <v>238</v>
      </c>
      <c r="O349" t="s">
        <v>434</v>
      </c>
      <c r="P349">
        <v>2.4434584614350816E-2</v>
      </c>
      <c r="Q349" t="s">
        <v>159</v>
      </c>
    </row>
    <row r="350" spans="9:17" x14ac:dyDescent="0.45">
      <c r="I350" t="s">
        <v>195</v>
      </c>
      <c r="J350" t="s">
        <v>435</v>
      </c>
      <c r="K350">
        <v>0.20909419745178615</v>
      </c>
      <c r="L350" t="s">
        <v>159</v>
      </c>
      <c r="N350" t="s">
        <v>238</v>
      </c>
      <c r="O350" t="s">
        <v>435</v>
      </c>
      <c r="P350">
        <v>7.7073320550801544E-2</v>
      </c>
      <c r="Q350" t="s">
        <v>159</v>
      </c>
    </row>
    <row r="351" spans="9:17" x14ac:dyDescent="0.45">
      <c r="I351" t="s">
        <v>195</v>
      </c>
      <c r="J351" t="s">
        <v>436</v>
      </c>
      <c r="K351">
        <v>0</v>
      </c>
      <c r="L351" t="s">
        <v>159</v>
      </c>
      <c r="N351" t="s">
        <v>238</v>
      </c>
      <c r="O351" t="s">
        <v>436</v>
      </c>
      <c r="P351">
        <v>0.11749947975562611</v>
      </c>
      <c r="Q351" t="s">
        <v>159</v>
      </c>
    </row>
    <row r="352" spans="9:17" x14ac:dyDescent="0.45">
      <c r="I352" t="s">
        <v>195</v>
      </c>
      <c r="J352" t="s">
        <v>437</v>
      </c>
      <c r="K352">
        <v>2.2406265708507279E-2</v>
      </c>
      <c r="L352" t="s">
        <v>159</v>
      </c>
      <c r="N352" t="s">
        <v>238</v>
      </c>
      <c r="O352" t="s">
        <v>437</v>
      </c>
      <c r="P352">
        <v>1.3100017463050565E-2</v>
      </c>
      <c r="Q352" t="s">
        <v>159</v>
      </c>
    </row>
    <row r="353" spans="9:17" x14ac:dyDescent="0.45">
      <c r="I353" t="s">
        <v>195</v>
      </c>
      <c r="J353" t="s">
        <v>438</v>
      </c>
      <c r="K353">
        <v>0.18646902946534091</v>
      </c>
      <c r="L353" t="s">
        <v>159</v>
      </c>
      <c r="N353" t="s">
        <v>238</v>
      </c>
      <c r="O353" t="s">
        <v>438</v>
      </c>
      <c r="P353">
        <v>0.11252024381958281</v>
      </c>
      <c r="Q353" t="s">
        <v>159</v>
      </c>
    </row>
    <row r="354" spans="9:17" x14ac:dyDescent="0.45">
      <c r="I354" t="s">
        <v>195</v>
      </c>
      <c r="J354" t="s">
        <v>439</v>
      </c>
      <c r="K354">
        <v>0</v>
      </c>
      <c r="L354" t="s">
        <v>159</v>
      </c>
      <c r="N354" t="s">
        <v>238</v>
      </c>
      <c r="O354" t="s">
        <v>439</v>
      </c>
      <c r="P354">
        <v>0.13514255181693707</v>
      </c>
      <c r="Q354" t="s">
        <v>159</v>
      </c>
    </row>
    <row r="355" spans="9:17" x14ac:dyDescent="0.45">
      <c r="I355" t="s">
        <v>195</v>
      </c>
      <c r="J355" t="s">
        <v>440</v>
      </c>
      <c r="K355">
        <v>1.8008277988000046E-2</v>
      </c>
      <c r="L355" t="s">
        <v>159</v>
      </c>
      <c r="N355" t="s">
        <v>238</v>
      </c>
      <c r="O355" t="s">
        <v>440</v>
      </c>
      <c r="P355">
        <v>2.0124197038018772E-2</v>
      </c>
      <c r="Q355" t="s">
        <v>159</v>
      </c>
    </row>
    <row r="356" spans="9:17" x14ac:dyDescent="0.45">
      <c r="I356" t="s">
        <v>195</v>
      </c>
      <c r="J356" t="s">
        <v>441</v>
      </c>
      <c r="K356">
        <v>0.24696724422849653</v>
      </c>
      <c r="L356" t="s">
        <v>159</v>
      </c>
      <c r="N356" t="s">
        <v>238</v>
      </c>
      <c r="O356" t="s">
        <v>441</v>
      </c>
      <c r="P356">
        <v>8.2372706576385013E-2</v>
      </c>
      <c r="Q356" t="s">
        <v>159</v>
      </c>
    </row>
    <row r="357" spans="9:17" x14ac:dyDescent="0.45">
      <c r="I357" t="s">
        <v>195</v>
      </c>
      <c r="J357" t="s">
        <v>442</v>
      </c>
      <c r="K357">
        <v>5.9097284090648917E-3</v>
      </c>
      <c r="L357" t="s">
        <v>159</v>
      </c>
      <c r="N357" t="s">
        <v>238</v>
      </c>
      <c r="O357" t="s">
        <v>442</v>
      </c>
      <c r="P357">
        <v>0.14629109070396418</v>
      </c>
      <c r="Q357" t="s">
        <v>159</v>
      </c>
    </row>
    <row r="358" spans="9:17" x14ac:dyDescent="0.45">
      <c r="I358" t="s">
        <v>195</v>
      </c>
      <c r="J358" t="s">
        <v>443</v>
      </c>
      <c r="K358">
        <v>2.8317738207033087E-2</v>
      </c>
      <c r="L358" t="s">
        <v>159</v>
      </c>
      <c r="N358" t="s">
        <v>238</v>
      </c>
      <c r="O358" t="s">
        <v>443</v>
      </c>
      <c r="P358">
        <v>1.5757981448781919E-2</v>
      </c>
      <c r="Q358" t="s">
        <v>159</v>
      </c>
    </row>
    <row r="359" spans="9:17" x14ac:dyDescent="0.45">
      <c r="I359" t="s">
        <v>196</v>
      </c>
      <c r="J359" t="s">
        <v>432</v>
      </c>
      <c r="K359">
        <v>0.24944769307136141</v>
      </c>
      <c r="L359" t="s">
        <v>159</v>
      </c>
      <c r="N359" t="s">
        <v>239</v>
      </c>
      <c r="O359" t="s">
        <v>432</v>
      </c>
      <c r="P359">
        <v>0.13552151089220474</v>
      </c>
      <c r="Q359" t="s">
        <v>159</v>
      </c>
    </row>
    <row r="360" spans="9:17" x14ac:dyDescent="0.45">
      <c r="I360" t="s">
        <v>196</v>
      </c>
      <c r="J360" t="s">
        <v>433</v>
      </c>
      <c r="K360">
        <v>1.2752622135451557E-5</v>
      </c>
      <c r="L360" t="s">
        <v>159</v>
      </c>
      <c r="N360" t="s">
        <v>239</v>
      </c>
      <c r="O360" t="s">
        <v>433</v>
      </c>
      <c r="P360">
        <v>0.14997888781970983</v>
      </c>
      <c r="Q360" t="s">
        <v>159</v>
      </c>
    </row>
    <row r="361" spans="9:17" x14ac:dyDescent="0.45">
      <c r="I361" t="s">
        <v>196</v>
      </c>
      <c r="J361" t="s">
        <v>434</v>
      </c>
      <c r="K361">
        <v>2.9489387618285328E-2</v>
      </c>
      <c r="L361" t="s">
        <v>159</v>
      </c>
      <c r="N361" t="s">
        <v>239</v>
      </c>
      <c r="O361" t="s">
        <v>434</v>
      </c>
      <c r="P361">
        <v>2.8297128144122524E-2</v>
      </c>
      <c r="Q361" t="s">
        <v>159</v>
      </c>
    </row>
    <row r="362" spans="9:17" x14ac:dyDescent="0.45">
      <c r="I362" t="s">
        <v>196</v>
      </c>
      <c r="J362" t="s">
        <v>435</v>
      </c>
      <c r="K362">
        <v>0.21413924176036936</v>
      </c>
      <c r="L362" t="s">
        <v>159</v>
      </c>
      <c r="N362" t="s">
        <v>239</v>
      </c>
      <c r="O362" t="s">
        <v>435</v>
      </c>
      <c r="P362">
        <v>7.8313987226548962E-2</v>
      </c>
      <c r="Q362" t="s">
        <v>159</v>
      </c>
    </row>
    <row r="363" spans="9:17" x14ac:dyDescent="0.45">
      <c r="I363" t="s">
        <v>196</v>
      </c>
      <c r="J363" t="s">
        <v>436</v>
      </c>
      <c r="K363">
        <v>0</v>
      </c>
      <c r="L363" t="s">
        <v>159</v>
      </c>
      <c r="N363" t="s">
        <v>239</v>
      </c>
      <c r="O363" t="s">
        <v>436</v>
      </c>
      <c r="P363">
        <v>9.332607990951676E-2</v>
      </c>
      <c r="Q363" t="s">
        <v>159</v>
      </c>
    </row>
    <row r="364" spans="9:17" x14ac:dyDescent="0.45">
      <c r="I364" t="s">
        <v>196</v>
      </c>
      <c r="J364" t="s">
        <v>437</v>
      </c>
      <c r="K364">
        <v>2.3656433087740278E-2</v>
      </c>
      <c r="L364" t="s">
        <v>159</v>
      </c>
      <c r="N364" t="s">
        <v>239</v>
      </c>
      <c r="O364" t="s">
        <v>437</v>
      </c>
      <c r="P364">
        <v>1.1869887278387451E-2</v>
      </c>
      <c r="Q364" t="s">
        <v>159</v>
      </c>
    </row>
    <row r="365" spans="9:17" x14ac:dyDescent="0.45">
      <c r="I365" t="s">
        <v>196</v>
      </c>
      <c r="J365" t="s">
        <v>438</v>
      </c>
      <c r="K365">
        <v>0.19217347832699361</v>
      </c>
      <c r="L365" t="s">
        <v>159</v>
      </c>
      <c r="N365" t="s">
        <v>239</v>
      </c>
      <c r="O365" t="s">
        <v>438</v>
      </c>
      <c r="P365">
        <v>0.12447008968027623</v>
      </c>
      <c r="Q365" t="s">
        <v>159</v>
      </c>
    </row>
    <row r="366" spans="9:17" x14ac:dyDescent="0.45">
      <c r="I366" t="s">
        <v>196</v>
      </c>
      <c r="J366" t="s">
        <v>439</v>
      </c>
      <c r="K366">
        <v>0</v>
      </c>
      <c r="L366" t="s">
        <v>159</v>
      </c>
      <c r="N366" t="s">
        <v>239</v>
      </c>
      <c r="O366" t="s">
        <v>439</v>
      </c>
      <c r="P366">
        <v>0.13267803638481246</v>
      </c>
      <c r="Q366" t="s">
        <v>159</v>
      </c>
    </row>
    <row r="367" spans="9:17" x14ac:dyDescent="0.45">
      <c r="I367" t="s">
        <v>196</v>
      </c>
      <c r="J367" t="s">
        <v>440</v>
      </c>
      <c r="K367">
        <v>1.7593915412935208E-2</v>
      </c>
      <c r="L367" t="s">
        <v>159</v>
      </c>
      <c r="N367" t="s">
        <v>239</v>
      </c>
      <c r="O367" t="s">
        <v>440</v>
      </c>
      <c r="P367">
        <v>2.1752146897962003E-2</v>
      </c>
      <c r="Q367" t="s">
        <v>159</v>
      </c>
    </row>
    <row r="368" spans="9:17" x14ac:dyDescent="0.45">
      <c r="I368" t="s">
        <v>196</v>
      </c>
      <c r="J368" t="s">
        <v>441</v>
      </c>
      <c r="K368">
        <v>0.23778281799935261</v>
      </c>
      <c r="L368" t="s">
        <v>159</v>
      </c>
      <c r="N368" t="s">
        <v>239</v>
      </c>
      <c r="O368" t="s">
        <v>441</v>
      </c>
      <c r="P368">
        <v>8.6710210688932629E-2</v>
      </c>
      <c r="Q368" t="s">
        <v>159</v>
      </c>
    </row>
    <row r="369" spans="9:17" x14ac:dyDescent="0.45">
      <c r="I369" t="s">
        <v>196</v>
      </c>
      <c r="J369" t="s">
        <v>442</v>
      </c>
      <c r="K369">
        <v>5.8404379060481067E-3</v>
      </c>
      <c r="L369" t="s">
        <v>159</v>
      </c>
      <c r="N369" t="s">
        <v>239</v>
      </c>
      <c r="O369" t="s">
        <v>442</v>
      </c>
      <c r="P369">
        <v>0.12189574409567755</v>
      </c>
      <c r="Q369" t="s">
        <v>159</v>
      </c>
    </row>
    <row r="370" spans="9:17" x14ac:dyDescent="0.45">
      <c r="I370" t="s">
        <v>196</v>
      </c>
      <c r="J370" t="s">
        <v>443</v>
      </c>
      <c r="K370">
        <v>2.9863842194777501E-2</v>
      </c>
      <c r="L370" t="s">
        <v>159</v>
      </c>
      <c r="N370" t="s">
        <v>239</v>
      </c>
      <c r="O370" t="s">
        <v>443</v>
      </c>
      <c r="P370">
        <v>1.5186290981848843E-2</v>
      </c>
      <c r="Q370" t="s">
        <v>159</v>
      </c>
    </row>
    <row r="371" spans="9:17" x14ac:dyDescent="0.45">
      <c r="I371" t="s">
        <v>197</v>
      </c>
      <c r="J371" t="s">
        <v>432</v>
      </c>
      <c r="K371">
        <v>0.25111186034698474</v>
      </c>
      <c r="L371" t="s">
        <v>159</v>
      </c>
      <c r="N371" t="s">
        <v>240</v>
      </c>
      <c r="O371" t="s">
        <v>432</v>
      </c>
      <c r="P371">
        <v>0.11708929542810076</v>
      </c>
      <c r="Q371" t="s">
        <v>159</v>
      </c>
    </row>
    <row r="372" spans="9:17" x14ac:dyDescent="0.45">
      <c r="I372" t="s">
        <v>197</v>
      </c>
      <c r="J372" t="s">
        <v>433</v>
      </c>
      <c r="K372">
        <v>0</v>
      </c>
      <c r="L372" t="s">
        <v>159</v>
      </c>
      <c r="N372" t="s">
        <v>240</v>
      </c>
      <c r="O372" t="s">
        <v>433</v>
      </c>
      <c r="P372">
        <v>0.15750184163442732</v>
      </c>
      <c r="Q372" t="s">
        <v>159</v>
      </c>
    </row>
    <row r="373" spans="9:17" x14ac:dyDescent="0.45">
      <c r="I373" t="s">
        <v>197</v>
      </c>
      <c r="J373" t="s">
        <v>434</v>
      </c>
      <c r="K373">
        <v>2.8345321707169767E-2</v>
      </c>
      <c r="L373" t="s">
        <v>159</v>
      </c>
      <c r="N373" t="s">
        <v>240</v>
      </c>
      <c r="O373" t="s">
        <v>434</v>
      </c>
      <c r="P373">
        <v>2.05238522859033E-2</v>
      </c>
      <c r="Q373" t="s">
        <v>159</v>
      </c>
    </row>
    <row r="374" spans="9:17" x14ac:dyDescent="0.45">
      <c r="I374" t="s">
        <v>197</v>
      </c>
      <c r="J374" t="s">
        <v>435</v>
      </c>
      <c r="K374">
        <v>0.21485393067863287</v>
      </c>
      <c r="L374" t="s">
        <v>159</v>
      </c>
      <c r="N374" t="s">
        <v>240</v>
      </c>
      <c r="O374" t="s">
        <v>435</v>
      </c>
      <c r="P374">
        <v>7.6562358752883058E-2</v>
      </c>
      <c r="Q374" t="s">
        <v>159</v>
      </c>
    </row>
    <row r="375" spans="9:17" x14ac:dyDescent="0.45">
      <c r="I375" t="s">
        <v>197</v>
      </c>
      <c r="J375" t="s">
        <v>436</v>
      </c>
      <c r="K375">
        <v>0</v>
      </c>
      <c r="L375" t="s">
        <v>159</v>
      </c>
      <c r="N375" t="s">
        <v>240</v>
      </c>
      <c r="O375" t="s">
        <v>436</v>
      </c>
      <c r="P375">
        <v>0.11435801792224094</v>
      </c>
      <c r="Q375" t="s">
        <v>159</v>
      </c>
    </row>
    <row r="376" spans="9:17" x14ac:dyDescent="0.45">
      <c r="I376" t="s">
        <v>197</v>
      </c>
      <c r="J376" t="s">
        <v>437</v>
      </c>
      <c r="K376">
        <v>2.279562324232989E-2</v>
      </c>
      <c r="L376" t="s">
        <v>159</v>
      </c>
      <c r="N376" t="s">
        <v>240</v>
      </c>
      <c r="O376" t="s">
        <v>437</v>
      </c>
      <c r="P376">
        <v>9.8329223640491441E-3</v>
      </c>
      <c r="Q376" t="s">
        <v>159</v>
      </c>
    </row>
    <row r="377" spans="9:17" x14ac:dyDescent="0.45">
      <c r="I377" t="s">
        <v>197</v>
      </c>
      <c r="J377" t="s">
        <v>438</v>
      </c>
      <c r="K377">
        <v>0.18491712163573426</v>
      </c>
      <c r="L377" t="s">
        <v>159</v>
      </c>
      <c r="N377" t="s">
        <v>240</v>
      </c>
      <c r="O377" t="s">
        <v>438</v>
      </c>
      <c r="P377">
        <v>0.12413747689445839</v>
      </c>
      <c r="Q377" t="s">
        <v>159</v>
      </c>
    </row>
    <row r="378" spans="9:17" x14ac:dyDescent="0.45">
      <c r="I378" t="s">
        <v>197</v>
      </c>
      <c r="J378" t="s">
        <v>439</v>
      </c>
      <c r="K378">
        <v>0</v>
      </c>
      <c r="L378" t="s">
        <v>159</v>
      </c>
      <c r="N378" t="s">
        <v>240</v>
      </c>
      <c r="O378" t="s">
        <v>439</v>
      </c>
      <c r="P378">
        <v>0.1540736541664447</v>
      </c>
      <c r="Q378" t="s">
        <v>159</v>
      </c>
    </row>
    <row r="379" spans="9:17" x14ac:dyDescent="0.45">
      <c r="I379" t="s">
        <v>197</v>
      </c>
      <c r="J379" t="s">
        <v>440</v>
      </c>
      <c r="K379">
        <v>1.4820514806622866E-2</v>
      </c>
      <c r="L379" t="s">
        <v>159</v>
      </c>
      <c r="N379" t="s">
        <v>240</v>
      </c>
      <c r="O379" t="s">
        <v>440</v>
      </c>
      <c r="P379">
        <v>1.8937744596072729E-2</v>
      </c>
      <c r="Q379" t="s">
        <v>159</v>
      </c>
    </row>
    <row r="380" spans="9:17" x14ac:dyDescent="0.45">
      <c r="I380" t="s">
        <v>197</v>
      </c>
      <c r="J380" t="s">
        <v>441</v>
      </c>
      <c r="K380">
        <v>0.24573798355401477</v>
      </c>
      <c r="L380" t="s">
        <v>159</v>
      </c>
      <c r="N380" t="s">
        <v>240</v>
      </c>
      <c r="O380" t="s">
        <v>441</v>
      </c>
      <c r="P380">
        <v>7.7504853596796597E-2</v>
      </c>
      <c r="Q380" t="s">
        <v>159</v>
      </c>
    </row>
    <row r="381" spans="9:17" x14ac:dyDescent="0.45">
      <c r="I381" t="s">
        <v>197</v>
      </c>
      <c r="J381" t="s">
        <v>442</v>
      </c>
      <c r="K381">
        <v>5.9422543091659751E-3</v>
      </c>
      <c r="L381" t="s">
        <v>159</v>
      </c>
      <c r="N381" t="s">
        <v>240</v>
      </c>
      <c r="O381" t="s">
        <v>442</v>
      </c>
      <c r="P381">
        <v>0.11956357405642326</v>
      </c>
      <c r="Q381" t="s">
        <v>159</v>
      </c>
    </row>
    <row r="382" spans="9:17" x14ac:dyDescent="0.45">
      <c r="I382" t="s">
        <v>197</v>
      </c>
      <c r="J382" t="s">
        <v>443</v>
      </c>
      <c r="K382">
        <v>3.1475389719342349E-2</v>
      </c>
      <c r="L382" t="s">
        <v>159</v>
      </c>
      <c r="N382" t="s">
        <v>240</v>
      </c>
      <c r="O382" t="s">
        <v>443</v>
      </c>
      <c r="P382">
        <v>9.9144083021996277E-3</v>
      </c>
      <c r="Q382" t="s">
        <v>159</v>
      </c>
    </row>
    <row r="383" spans="9:17" x14ac:dyDescent="0.45">
      <c r="I383" t="s">
        <v>198</v>
      </c>
      <c r="J383" t="s">
        <v>432</v>
      </c>
      <c r="K383">
        <v>0.26284275560623155</v>
      </c>
      <c r="L383" t="s">
        <v>159</v>
      </c>
      <c r="N383" t="s">
        <v>241</v>
      </c>
      <c r="O383" t="s">
        <v>432</v>
      </c>
      <c r="P383">
        <v>0.10662422161103458</v>
      </c>
      <c r="Q383" t="s">
        <v>159</v>
      </c>
    </row>
    <row r="384" spans="9:17" x14ac:dyDescent="0.45">
      <c r="I384" t="s">
        <v>198</v>
      </c>
      <c r="J384" t="s">
        <v>433</v>
      </c>
      <c r="K384">
        <v>6.4457356503602465E-4</v>
      </c>
      <c r="L384" t="s">
        <v>159</v>
      </c>
      <c r="N384" t="s">
        <v>241</v>
      </c>
      <c r="O384" t="s">
        <v>433</v>
      </c>
      <c r="P384">
        <v>0.17236689031525004</v>
      </c>
      <c r="Q384" t="s">
        <v>159</v>
      </c>
    </row>
    <row r="385" spans="9:17" x14ac:dyDescent="0.45">
      <c r="I385" t="s">
        <v>198</v>
      </c>
      <c r="J385" t="s">
        <v>434</v>
      </c>
      <c r="K385">
        <v>2.9261096785637937E-2</v>
      </c>
      <c r="L385" t="s">
        <v>159</v>
      </c>
      <c r="N385" t="s">
        <v>241</v>
      </c>
      <c r="O385" t="s">
        <v>434</v>
      </c>
      <c r="P385">
        <v>1.8984188827428895E-2</v>
      </c>
      <c r="Q385" t="s">
        <v>159</v>
      </c>
    </row>
    <row r="386" spans="9:17" x14ac:dyDescent="0.45">
      <c r="I386" t="s">
        <v>198</v>
      </c>
      <c r="J386" t="s">
        <v>435</v>
      </c>
      <c r="K386">
        <v>0.20366893886811402</v>
      </c>
      <c r="L386" t="s">
        <v>159</v>
      </c>
      <c r="N386" t="s">
        <v>241</v>
      </c>
      <c r="O386" t="s">
        <v>435</v>
      </c>
      <c r="P386">
        <v>7.1558620698973271E-2</v>
      </c>
      <c r="Q386" t="s">
        <v>159</v>
      </c>
    </row>
    <row r="387" spans="9:17" x14ac:dyDescent="0.45">
      <c r="I387" t="s">
        <v>198</v>
      </c>
      <c r="J387" t="s">
        <v>436</v>
      </c>
      <c r="K387">
        <v>0</v>
      </c>
      <c r="L387" t="s">
        <v>159</v>
      </c>
      <c r="N387" t="s">
        <v>241</v>
      </c>
      <c r="O387" t="s">
        <v>436</v>
      </c>
      <c r="P387">
        <v>0.12831269818650765</v>
      </c>
      <c r="Q387" t="s">
        <v>159</v>
      </c>
    </row>
    <row r="388" spans="9:17" x14ac:dyDescent="0.45">
      <c r="I388" t="s">
        <v>198</v>
      </c>
      <c r="J388" t="s">
        <v>437</v>
      </c>
      <c r="K388">
        <v>2.2317489572849607E-2</v>
      </c>
      <c r="L388" t="s">
        <v>159</v>
      </c>
      <c r="N388" t="s">
        <v>241</v>
      </c>
      <c r="O388" t="s">
        <v>437</v>
      </c>
      <c r="P388">
        <v>8.4484008600252611E-3</v>
      </c>
      <c r="Q388" t="s">
        <v>159</v>
      </c>
    </row>
    <row r="389" spans="9:17" x14ac:dyDescent="0.45">
      <c r="I389" t="s">
        <v>198</v>
      </c>
      <c r="J389" t="s">
        <v>438</v>
      </c>
      <c r="K389">
        <v>0.17481950665073143</v>
      </c>
      <c r="L389" t="s">
        <v>159</v>
      </c>
      <c r="N389" t="s">
        <v>241</v>
      </c>
      <c r="O389" t="s">
        <v>438</v>
      </c>
      <c r="P389">
        <v>0.11145880318299208</v>
      </c>
      <c r="Q389" t="s">
        <v>159</v>
      </c>
    </row>
    <row r="390" spans="9:17" x14ac:dyDescent="0.45">
      <c r="I390" t="s">
        <v>198</v>
      </c>
      <c r="J390" t="s">
        <v>439</v>
      </c>
      <c r="K390">
        <v>0</v>
      </c>
      <c r="L390" t="s">
        <v>159</v>
      </c>
      <c r="N390" t="s">
        <v>241</v>
      </c>
      <c r="O390" t="s">
        <v>439</v>
      </c>
      <c r="P390">
        <v>0.16744526506793858</v>
      </c>
      <c r="Q390" t="s">
        <v>159</v>
      </c>
    </row>
    <row r="391" spans="9:17" x14ac:dyDescent="0.45">
      <c r="I391" t="s">
        <v>198</v>
      </c>
      <c r="J391" t="s">
        <v>440</v>
      </c>
      <c r="K391">
        <v>1.5421898865693775E-2</v>
      </c>
      <c r="L391" t="s">
        <v>159</v>
      </c>
      <c r="N391" t="s">
        <v>241</v>
      </c>
      <c r="O391" t="s">
        <v>440</v>
      </c>
      <c r="P391">
        <v>1.5456751611643687E-2</v>
      </c>
      <c r="Q391" t="s">
        <v>159</v>
      </c>
    </row>
    <row r="392" spans="9:17" x14ac:dyDescent="0.45">
      <c r="I392" t="s">
        <v>198</v>
      </c>
      <c r="J392" t="s">
        <v>441</v>
      </c>
      <c r="K392">
        <v>0.25450142209651494</v>
      </c>
      <c r="L392" t="s">
        <v>159</v>
      </c>
      <c r="N392" t="s">
        <v>241</v>
      </c>
      <c r="O392" t="s">
        <v>441</v>
      </c>
      <c r="P392">
        <v>6.8841950519066636E-2</v>
      </c>
      <c r="Q392" t="s">
        <v>159</v>
      </c>
    </row>
    <row r="393" spans="9:17" x14ac:dyDescent="0.45">
      <c r="I393" t="s">
        <v>198</v>
      </c>
      <c r="J393" t="s">
        <v>442</v>
      </c>
      <c r="K393">
        <v>6.4680959231539379E-3</v>
      </c>
      <c r="L393" t="s">
        <v>159</v>
      </c>
      <c r="N393" t="s">
        <v>241</v>
      </c>
      <c r="O393" t="s">
        <v>442</v>
      </c>
      <c r="P393">
        <v>0.12169943393307119</v>
      </c>
      <c r="Q393" t="s">
        <v>159</v>
      </c>
    </row>
    <row r="394" spans="9:17" x14ac:dyDescent="0.45">
      <c r="I394" t="s">
        <v>198</v>
      </c>
      <c r="J394" t="s">
        <v>443</v>
      </c>
      <c r="K394">
        <v>3.0054222066041344E-2</v>
      </c>
      <c r="L394" t="s">
        <v>159</v>
      </c>
      <c r="N394" t="s">
        <v>241</v>
      </c>
      <c r="O394" t="s">
        <v>443</v>
      </c>
      <c r="P394">
        <v>8.8027751860653928E-3</v>
      </c>
      <c r="Q394" t="s">
        <v>159</v>
      </c>
    </row>
    <row r="395" spans="9:17" x14ac:dyDescent="0.45">
      <c r="I395" t="s">
        <v>199</v>
      </c>
      <c r="J395" t="s">
        <v>432</v>
      </c>
      <c r="K395">
        <v>0.26205217715859486</v>
      </c>
      <c r="L395" t="s">
        <v>159</v>
      </c>
      <c r="N395" t="s">
        <v>242</v>
      </c>
      <c r="O395" t="s">
        <v>432</v>
      </c>
      <c r="P395">
        <v>9.6325177894086872E-2</v>
      </c>
      <c r="Q395" t="s">
        <v>159</v>
      </c>
    </row>
    <row r="396" spans="9:17" x14ac:dyDescent="0.45">
      <c r="I396" t="s">
        <v>199</v>
      </c>
      <c r="J396" t="s">
        <v>433</v>
      </c>
      <c r="K396">
        <v>8.9264829186113065E-4</v>
      </c>
      <c r="L396" t="s">
        <v>159</v>
      </c>
      <c r="N396" t="s">
        <v>242</v>
      </c>
      <c r="O396" t="s">
        <v>433</v>
      </c>
      <c r="P396">
        <v>0.14962822243457077</v>
      </c>
      <c r="Q396" t="s">
        <v>159</v>
      </c>
    </row>
    <row r="397" spans="9:17" x14ac:dyDescent="0.45">
      <c r="I397" t="s">
        <v>199</v>
      </c>
      <c r="J397" t="s">
        <v>434</v>
      </c>
      <c r="K397">
        <v>3.2408996229138044E-2</v>
      </c>
      <c r="L397" t="s">
        <v>159</v>
      </c>
      <c r="N397" t="s">
        <v>242</v>
      </c>
      <c r="O397" t="s">
        <v>434</v>
      </c>
      <c r="P397">
        <v>1.9408946241137301E-2</v>
      </c>
      <c r="Q397" t="s">
        <v>159</v>
      </c>
    </row>
    <row r="398" spans="9:17" x14ac:dyDescent="0.45">
      <c r="I398" t="s">
        <v>199</v>
      </c>
      <c r="J398" t="s">
        <v>435</v>
      </c>
      <c r="K398">
        <v>0.19679505545678314</v>
      </c>
      <c r="L398" t="s">
        <v>159</v>
      </c>
      <c r="N398" t="s">
        <v>242</v>
      </c>
      <c r="O398" t="s">
        <v>435</v>
      </c>
      <c r="P398">
        <v>8.8553478674633951E-2</v>
      </c>
      <c r="Q398" t="s">
        <v>159</v>
      </c>
    </row>
    <row r="399" spans="9:17" x14ac:dyDescent="0.45">
      <c r="I399" t="s">
        <v>199</v>
      </c>
      <c r="J399" t="s">
        <v>436</v>
      </c>
      <c r="K399">
        <v>1.1776634381362693E-5</v>
      </c>
      <c r="L399" t="s">
        <v>159</v>
      </c>
      <c r="N399" t="s">
        <v>242</v>
      </c>
      <c r="O399" t="s">
        <v>436</v>
      </c>
      <c r="P399">
        <v>0.13032657650522186</v>
      </c>
      <c r="Q399" t="s">
        <v>159</v>
      </c>
    </row>
    <row r="400" spans="9:17" x14ac:dyDescent="0.45">
      <c r="I400" t="s">
        <v>199</v>
      </c>
      <c r="J400" t="s">
        <v>437</v>
      </c>
      <c r="K400">
        <v>2.2185483785954356E-2</v>
      </c>
      <c r="L400" t="s">
        <v>159</v>
      </c>
      <c r="N400" t="s">
        <v>242</v>
      </c>
      <c r="O400" t="s">
        <v>437</v>
      </c>
      <c r="P400">
        <v>1.0634336759513257E-2</v>
      </c>
      <c r="Q400" t="s">
        <v>159</v>
      </c>
    </row>
    <row r="401" spans="9:17" x14ac:dyDescent="0.45">
      <c r="I401" t="s">
        <v>199</v>
      </c>
      <c r="J401" t="s">
        <v>438</v>
      </c>
      <c r="K401">
        <v>0.17898904055968412</v>
      </c>
      <c r="L401" t="s">
        <v>159</v>
      </c>
      <c r="N401" t="s">
        <v>242</v>
      </c>
      <c r="O401" t="s">
        <v>438</v>
      </c>
      <c r="P401">
        <v>0.11871165648779586</v>
      </c>
      <c r="Q401" t="s">
        <v>159</v>
      </c>
    </row>
    <row r="402" spans="9:17" x14ac:dyDescent="0.45">
      <c r="I402" t="s">
        <v>199</v>
      </c>
      <c r="J402" t="s">
        <v>439</v>
      </c>
      <c r="K402">
        <v>0</v>
      </c>
      <c r="L402" t="s">
        <v>159</v>
      </c>
      <c r="N402" t="s">
        <v>242</v>
      </c>
      <c r="O402" t="s">
        <v>439</v>
      </c>
      <c r="P402">
        <v>0.1470533419225942</v>
      </c>
      <c r="Q402" t="s">
        <v>159</v>
      </c>
    </row>
    <row r="403" spans="9:17" x14ac:dyDescent="0.45">
      <c r="I403" t="s">
        <v>199</v>
      </c>
      <c r="J403" t="s">
        <v>440</v>
      </c>
      <c r="K403">
        <v>1.971378565467265E-2</v>
      </c>
      <c r="L403" t="s">
        <v>159</v>
      </c>
      <c r="N403" t="s">
        <v>242</v>
      </c>
      <c r="O403" t="s">
        <v>440</v>
      </c>
      <c r="P403">
        <v>1.5811445928181608E-2</v>
      </c>
      <c r="Q403" t="s">
        <v>159</v>
      </c>
    </row>
    <row r="404" spans="9:17" x14ac:dyDescent="0.45">
      <c r="I404" t="s">
        <v>199</v>
      </c>
      <c r="J404" t="s">
        <v>441</v>
      </c>
      <c r="K404">
        <v>0.25037533839078097</v>
      </c>
      <c r="L404" t="s">
        <v>159</v>
      </c>
      <c r="N404" t="s">
        <v>242</v>
      </c>
      <c r="O404" t="s">
        <v>441</v>
      </c>
      <c r="P404">
        <v>7.9225269527894784E-2</v>
      </c>
      <c r="Q404" t="s">
        <v>159</v>
      </c>
    </row>
    <row r="405" spans="9:17" x14ac:dyDescent="0.45">
      <c r="I405" t="s">
        <v>199</v>
      </c>
      <c r="J405" t="s">
        <v>442</v>
      </c>
      <c r="K405">
        <v>7.2337504169279311E-3</v>
      </c>
      <c r="L405" t="s">
        <v>159</v>
      </c>
      <c r="N405" t="s">
        <v>242</v>
      </c>
      <c r="O405" t="s">
        <v>442</v>
      </c>
      <c r="P405">
        <v>0.13318867252002334</v>
      </c>
      <c r="Q405" t="s">
        <v>159</v>
      </c>
    </row>
    <row r="406" spans="9:17" x14ac:dyDescent="0.45">
      <c r="I406" t="s">
        <v>199</v>
      </c>
      <c r="J406" t="s">
        <v>443</v>
      </c>
      <c r="K406">
        <v>2.9341947421220645E-2</v>
      </c>
      <c r="L406" t="s">
        <v>159</v>
      </c>
      <c r="N406" t="s">
        <v>242</v>
      </c>
      <c r="O406" t="s">
        <v>443</v>
      </c>
      <c r="P406">
        <v>1.1132875104345883E-2</v>
      </c>
      <c r="Q406" t="s">
        <v>159</v>
      </c>
    </row>
    <row r="407" spans="9:17" x14ac:dyDescent="0.45">
      <c r="I407" t="s">
        <v>200</v>
      </c>
      <c r="J407" t="s">
        <v>432</v>
      </c>
      <c r="K407">
        <v>0.27194714564887285</v>
      </c>
      <c r="L407" t="s">
        <v>159</v>
      </c>
      <c r="N407" t="s">
        <v>243</v>
      </c>
      <c r="O407" t="s">
        <v>432</v>
      </c>
      <c r="P407">
        <v>0.10775044601722791</v>
      </c>
      <c r="Q407" t="s">
        <v>159</v>
      </c>
    </row>
    <row r="408" spans="9:17" x14ac:dyDescent="0.45">
      <c r="I408" t="s">
        <v>200</v>
      </c>
      <c r="J408" t="s">
        <v>433</v>
      </c>
      <c r="K408">
        <v>1.8022393624882531E-3</v>
      </c>
      <c r="L408" t="s">
        <v>159</v>
      </c>
      <c r="N408" t="s">
        <v>243</v>
      </c>
      <c r="O408" t="s">
        <v>433</v>
      </c>
      <c r="P408">
        <v>0.11736202312992804</v>
      </c>
      <c r="Q408" t="s">
        <v>159</v>
      </c>
    </row>
    <row r="409" spans="9:17" x14ac:dyDescent="0.45">
      <c r="I409" t="s">
        <v>200</v>
      </c>
      <c r="J409" t="s">
        <v>434</v>
      </c>
      <c r="K409">
        <v>3.4738407046636527E-2</v>
      </c>
      <c r="L409" t="s">
        <v>159</v>
      </c>
      <c r="N409" t="s">
        <v>243</v>
      </c>
      <c r="O409" t="s">
        <v>434</v>
      </c>
      <c r="P409">
        <v>2.2216773896965681E-2</v>
      </c>
      <c r="Q409" t="s">
        <v>159</v>
      </c>
    </row>
    <row r="410" spans="9:17" x14ac:dyDescent="0.45">
      <c r="I410" t="s">
        <v>200</v>
      </c>
      <c r="J410" t="s">
        <v>435</v>
      </c>
      <c r="K410">
        <v>0.19001249667003819</v>
      </c>
      <c r="L410" t="s">
        <v>159</v>
      </c>
      <c r="N410" t="s">
        <v>243</v>
      </c>
      <c r="O410" t="s">
        <v>435</v>
      </c>
      <c r="P410">
        <v>0.1044348392719542</v>
      </c>
      <c r="Q410" t="s">
        <v>159</v>
      </c>
    </row>
    <row r="411" spans="9:17" x14ac:dyDescent="0.45">
      <c r="I411" t="s">
        <v>200</v>
      </c>
      <c r="J411" t="s">
        <v>436</v>
      </c>
      <c r="K411">
        <v>3.4408493087606415E-4</v>
      </c>
      <c r="L411" t="s">
        <v>159</v>
      </c>
      <c r="N411" t="s">
        <v>243</v>
      </c>
      <c r="O411" t="s">
        <v>436</v>
      </c>
      <c r="P411">
        <v>0.11795800860756785</v>
      </c>
      <c r="Q411" t="s">
        <v>159</v>
      </c>
    </row>
    <row r="412" spans="9:17" x14ac:dyDescent="0.45">
      <c r="I412" t="s">
        <v>200</v>
      </c>
      <c r="J412" t="s">
        <v>437</v>
      </c>
      <c r="K412">
        <v>2.2849190554130875E-2</v>
      </c>
      <c r="L412" t="s">
        <v>159</v>
      </c>
      <c r="N412" t="s">
        <v>243</v>
      </c>
      <c r="O412" t="s">
        <v>437</v>
      </c>
      <c r="P412">
        <v>1.3365833159709637E-2</v>
      </c>
      <c r="Q412" t="s">
        <v>159</v>
      </c>
    </row>
    <row r="413" spans="9:17" x14ac:dyDescent="0.45">
      <c r="I413" t="s">
        <v>200</v>
      </c>
      <c r="J413" t="s">
        <v>438</v>
      </c>
      <c r="K413">
        <v>0.16862912778845629</v>
      </c>
      <c r="L413" t="s">
        <v>159</v>
      </c>
      <c r="N413" t="s">
        <v>243</v>
      </c>
      <c r="O413" t="s">
        <v>438</v>
      </c>
      <c r="P413">
        <v>0.13078822013690916</v>
      </c>
      <c r="Q413" t="s">
        <v>159</v>
      </c>
    </row>
    <row r="414" spans="9:17" x14ac:dyDescent="0.45">
      <c r="I414" t="s">
        <v>200</v>
      </c>
      <c r="J414" t="s">
        <v>439</v>
      </c>
      <c r="K414">
        <v>0</v>
      </c>
      <c r="L414" t="s">
        <v>159</v>
      </c>
      <c r="N414" t="s">
        <v>243</v>
      </c>
      <c r="O414" t="s">
        <v>439</v>
      </c>
      <c r="P414">
        <v>0.13440314194929312</v>
      </c>
      <c r="Q414" t="s">
        <v>159</v>
      </c>
    </row>
    <row r="415" spans="9:17" x14ac:dyDescent="0.45">
      <c r="I415" t="s">
        <v>200</v>
      </c>
      <c r="J415" t="s">
        <v>440</v>
      </c>
      <c r="K415">
        <v>1.771577687119617E-2</v>
      </c>
      <c r="L415" t="s">
        <v>159</v>
      </c>
      <c r="N415" t="s">
        <v>243</v>
      </c>
      <c r="O415" t="s">
        <v>440</v>
      </c>
      <c r="P415">
        <v>2.0443923530322539E-2</v>
      </c>
      <c r="Q415" t="s">
        <v>159</v>
      </c>
    </row>
    <row r="416" spans="9:17" x14ac:dyDescent="0.45">
      <c r="I416" t="s">
        <v>200</v>
      </c>
      <c r="J416" t="s">
        <v>441</v>
      </c>
      <c r="K416">
        <v>0.24972629443940006</v>
      </c>
      <c r="L416" t="s">
        <v>159</v>
      </c>
      <c r="N416" t="s">
        <v>243</v>
      </c>
      <c r="O416" t="s">
        <v>441</v>
      </c>
      <c r="P416">
        <v>8.8584564812727903E-2</v>
      </c>
      <c r="Q416" t="s">
        <v>159</v>
      </c>
    </row>
    <row r="417" spans="9:17" x14ac:dyDescent="0.45">
      <c r="I417" t="s">
        <v>200</v>
      </c>
      <c r="J417" t="s">
        <v>442</v>
      </c>
      <c r="K417">
        <v>8.3859832123665632E-3</v>
      </c>
      <c r="L417" t="s">
        <v>159</v>
      </c>
      <c r="N417" t="s">
        <v>243</v>
      </c>
      <c r="O417" t="s">
        <v>442</v>
      </c>
      <c r="P417">
        <v>0.12717995419647501</v>
      </c>
      <c r="Q417" t="s">
        <v>159</v>
      </c>
    </row>
    <row r="418" spans="9:17" x14ac:dyDescent="0.45">
      <c r="I418" t="s">
        <v>200</v>
      </c>
      <c r="J418" t="s">
        <v>443</v>
      </c>
      <c r="K418">
        <v>3.3849253475539166E-2</v>
      </c>
      <c r="L418" t="s">
        <v>159</v>
      </c>
      <c r="N418" t="s">
        <v>243</v>
      </c>
      <c r="O418" t="s">
        <v>443</v>
      </c>
      <c r="P418">
        <v>1.5512271290923479E-2</v>
      </c>
      <c r="Q418" t="s">
        <v>159</v>
      </c>
    </row>
    <row r="419" spans="9:17" x14ac:dyDescent="0.45">
      <c r="I419" t="s">
        <v>201</v>
      </c>
      <c r="J419" t="s">
        <v>432</v>
      </c>
      <c r="K419">
        <v>0.26051093323815794</v>
      </c>
      <c r="L419" t="s">
        <v>159</v>
      </c>
      <c r="N419" t="s">
        <v>244</v>
      </c>
      <c r="O419" t="s">
        <v>432</v>
      </c>
      <c r="P419">
        <v>0.11380186403003768</v>
      </c>
      <c r="Q419" t="s">
        <v>159</v>
      </c>
    </row>
    <row r="420" spans="9:17" x14ac:dyDescent="0.45">
      <c r="I420" t="s">
        <v>201</v>
      </c>
      <c r="J420" t="s">
        <v>433</v>
      </c>
      <c r="K420">
        <v>3.2002553306805328E-3</v>
      </c>
      <c r="L420" t="s">
        <v>159</v>
      </c>
      <c r="N420" t="s">
        <v>244</v>
      </c>
      <c r="O420" t="s">
        <v>433</v>
      </c>
      <c r="P420">
        <v>0.11844168565908907</v>
      </c>
      <c r="Q420" t="s">
        <v>159</v>
      </c>
    </row>
    <row r="421" spans="9:17" x14ac:dyDescent="0.45">
      <c r="I421" t="s">
        <v>201</v>
      </c>
      <c r="J421" t="s">
        <v>434</v>
      </c>
      <c r="K421">
        <v>3.7875890946082805E-2</v>
      </c>
      <c r="L421" t="s">
        <v>159</v>
      </c>
      <c r="N421" t="s">
        <v>244</v>
      </c>
      <c r="O421" t="s">
        <v>434</v>
      </c>
      <c r="P421">
        <v>2.8134122018104175E-2</v>
      </c>
      <c r="Q421" t="s">
        <v>159</v>
      </c>
    </row>
    <row r="422" spans="9:17" x14ac:dyDescent="0.45">
      <c r="I422" t="s">
        <v>201</v>
      </c>
      <c r="J422" t="s">
        <v>435</v>
      </c>
      <c r="K422">
        <v>0.18207088012020856</v>
      </c>
      <c r="L422" t="s">
        <v>159</v>
      </c>
      <c r="N422" t="s">
        <v>244</v>
      </c>
      <c r="O422" t="s">
        <v>435</v>
      </c>
      <c r="P422">
        <v>8.7584721234152049E-2</v>
      </c>
      <c r="Q422" t="s">
        <v>159</v>
      </c>
    </row>
    <row r="423" spans="9:17" x14ac:dyDescent="0.45">
      <c r="I423" t="s">
        <v>201</v>
      </c>
      <c r="J423" t="s">
        <v>436</v>
      </c>
      <c r="K423">
        <v>1.0561532493894002E-3</v>
      </c>
      <c r="L423" t="s">
        <v>159</v>
      </c>
      <c r="N423" t="s">
        <v>244</v>
      </c>
      <c r="O423" t="s">
        <v>436</v>
      </c>
      <c r="P423">
        <v>0.10178932956148148</v>
      </c>
      <c r="Q423" t="s">
        <v>159</v>
      </c>
    </row>
    <row r="424" spans="9:17" x14ac:dyDescent="0.45">
      <c r="I424" t="s">
        <v>201</v>
      </c>
      <c r="J424" t="s">
        <v>437</v>
      </c>
      <c r="K424">
        <v>2.4463534679119492E-2</v>
      </c>
      <c r="L424" t="s">
        <v>159</v>
      </c>
      <c r="N424" t="s">
        <v>244</v>
      </c>
      <c r="O424" t="s">
        <v>437</v>
      </c>
      <c r="P424">
        <v>2.2970312515347143E-2</v>
      </c>
      <c r="Q424" t="s">
        <v>159</v>
      </c>
    </row>
    <row r="425" spans="9:17" x14ac:dyDescent="0.45">
      <c r="I425" t="s">
        <v>201</v>
      </c>
      <c r="J425" t="s">
        <v>438</v>
      </c>
      <c r="K425">
        <v>0.15935984616020232</v>
      </c>
      <c r="L425" t="s">
        <v>159</v>
      </c>
      <c r="N425" t="s">
        <v>244</v>
      </c>
      <c r="O425" t="s">
        <v>438</v>
      </c>
      <c r="P425">
        <v>0.10345781301719083</v>
      </c>
      <c r="Q425" t="s">
        <v>159</v>
      </c>
    </row>
    <row r="426" spans="9:17" x14ac:dyDescent="0.45">
      <c r="I426" t="s">
        <v>201</v>
      </c>
      <c r="J426" t="s">
        <v>439</v>
      </c>
      <c r="K426">
        <v>0</v>
      </c>
      <c r="L426" t="s">
        <v>159</v>
      </c>
      <c r="N426" t="s">
        <v>244</v>
      </c>
      <c r="O426" t="s">
        <v>439</v>
      </c>
      <c r="P426">
        <v>0.10677558912276597</v>
      </c>
      <c r="Q426" t="s">
        <v>159</v>
      </c>
    </row>
    <row r="427" spans="9:17" x14ac:dyDescent="0.45">
      <c r="I427" t="s">
        <v>201</v>
      </c>
      <c r="J427" t="s">
        <v>440</v>
      </c>
      <c r="K427">
        <v>1.9627999418572451E-2</v>
      </c>
      <c r="L427" t="s">
        <v>159</v>
      </c>
      <c r="N427" t="s">
        <v>244</v>
      </c>
      <c r="O427" t="s">
        <v>440</v>
      </c>
      <c r="P427">
        <v>2.0989167562748802E-2</v>
      </c>
      <c r="Q427" t="s">
        <v>159</v>
      </c>
    </row>
    <row r="428" spans="9:17" x14ac:dyDescent="0.45">
      <c r="I428" t="s">
        <v>201</v>
      </c>
      <c r="J428" t="s">
        <v>441</v>
      </c>
      <c r="K428">
        <v>0.26169458741887913</v>
      </c>
      <c r="L428" t="s">
        <v>159</v>
      </c>
      <c r="N428" t="s">
        <v>244</v>
      </c>
      <c r="O428" t="s">
        <v>441</v>
      </c>
      <c r="P428">
        <v>0.12308928795410165</v>
      </c>
      <c r="Q428" t="s">
        <v>159</v>
      </c>
    </row>
    <row r="429" spans="9:17" x14ac:dyDescent="0.45">
      <c r="I429" t="s">
        <v>201</v>
      </c>
      <c r="J429" t="s">
        <v>442</v>
      </c>
      <c r="K429">
        <v>1.1368197842952553E-2</v>
      </c>
      <c r="L429" t="s">
        <v>159</v>
      </c>
      <c r="N429" t="s">
        <v>244</v>
      </c>
      <c r="O429" t="s">
        <v>442</v>
      </c>
      <c r="P429">
        <v>0.13949443284187929</v>
      </c>
      <c r="Q429" t="s">
        <v>159</v>
      </c>
    </row>
    <row r="430" spans="9:17" x14ac:dyDescent="0.45">
      <c r="I430" t="s">
        <v>201</v>
      </c>
      <c r="J430" t="s">
        <v>443</v>
      </c>
      <c r="K430">
        <v>3.8771721595755218E-2</v>
      </c>
      <c r="L430" t="s">
        <v>159</v>
      </c>
      <c r="N430" t="s">
        <v>244</v>
      </c>
      <c r="O430" t="s">
        <v>443</v>
      </c>
      <c r="P430">
        <v>3.3471674483101052E-2</v>
      </c>
      <c r="Q430" t="s">
        <v>159</v>
      </c>
    </row>
    <row r="431" spans="9:17" x14ac:dyDescent="0.45">
      <c r="I431" t="s">
        <v>202</v>
      </c>
      <c r="J431" t="s">
        <v>432</v>
      </c>
      <c r="K431">
        <v>0.26671150929971527</v>
      </c>
      <c r="L431" t="s">
        <v>159</v>
      </c>
      <c r="N431" t="s">
        <v>245</v>
      </c>
      <c r="O431" t="s">
        <v>432</v>
      </c>
      <c r="P431">
        <v>8.8289686330224909E-2</v>
      </c>
      <c r="Q431" t="s">
        <v>159</v>
      </c>
    </row>
    <row r="432" spans="9:17" x14ac:dyDescent="0.45">
      <c r="I432" t="s">
        <v>202</v>
      </c>
      <c r="J432" t="s">
        <v>433</v>
      </c>
      <c r="K432">
        <v>3.5921751357338169E-3</v>
      </c>
      <c r="L432" t="s">
        <v>159</v>
      </c>
      <c r="N432" t="s">
        <v>245</v>
      </c>
      <c r="O432" t="s">
        <v>433</v>
      </c>
      <c r="P432">
        <v>0.12803369997126449</v>
      </c>
      <c r="Q432" t="s">
        <v>159</v>
      </c>
    </row>
    <row r="433" spans="9:17" x14ac:dyDescent="0.45">
      <c r="I433" t="s">
        <v>202</v>
      </c>
      <c r="J433" t="s">
        <v>434</v>
      </c>
      <c r="K433">
        <v>3.8207562535782238E-2</v>
      </c>
      <c r="L433" t="s">
        <v>159</v>
      </c>
      <c r="N433" t="s">
        <v>245</v>
      </c>
      <c r="O433" t="s">
        <v>434</v>
      </c>
      <c r="P433">
        <v>2.9207241197099321E-2</v>
      </c>
      <c r="Q433" t="s">
        <v>159</v>
      </c>
    </row>
    <row r="434" spans="9:17" x14ac:dyDescent="0.45">
      <c r="I434" t="s">
        <v>202</v>
      </c>
      <c r="J434" t="s">
        <v>435</v>
      </c>
      <c r="K434">
        <v>0.18191387066942907</v>
      </c>
      <c r="L434" t="s">
        <v>159</v>
      </c>
      <c r="N434" t="s">
        <v>245</v>
      </c>
      <c r="O434" t="s">
        <v>435</v>
      </c>
      <c r="P434">
        <v>9.6417119647136965E-2</v>
      </c>
      <c r="Q434" t="s">
        <v>159</v>
      </c>
    </row>
    <row r="435" spans="9:17" x14ac:dyDescent="0.45">
      <c r="I435" t="s">
        <v>202</v>
      </c>
      <c r="J435" t="s">
        <v>436</v>
      </c>
      <c r="K435">
        <v>1.1851332475173702E-3</v>
      </c>
      <c r="L435" t="s">
        <v>159</v>
      </c>
      <c r="N435" t="s">
        <v>245</v>
      </c>
      <c r="O435" t="s">
        <v>436</v>
      </c>
      <c r="P435">
        <v>0.11562975654329008</v>
      </c>
      <c r="Q435" t="s">
        <v>159</v>
      </c>
    </row>
    <row r="436" spans="9:17" x14ac:dyDescent="0.45">
      <c r="I436" t="s">
        <v>202</v>
      </c>
      <c r="J436" t="s">
        <v>437</v>
      </c>
      <c r="K436">
        <v>2.381533735076307E-2</v>
      </c>
      <c r="L436" t="s">
        <v>159</v>
      </c>
      <c r="N436" t="s">
        <v>245</v>
      </c>
      <c r="O436" t="s">
        <v>437</v>
      </c>
      <c r="P436">
        <v>2.0544506240280803E-2</v>
      </c>
      <c r="Q436" t="s">
        <v>159</v>
      </c>
    </row>
    <row r="437" spans="9:17" x14ac:dyDescent="0.45">
      <c r="I437" t="s">
        <v>202</v>
      </c>
      <c r="J437" t="s">
        <v>438</v>
      </c>
      <c r="K437">
        <v>0.15339682815765751</v>
      </c>
      <c r="L437" t="s">
        <v>159</v>
      </c>
      <c r="N437" t="s">
        <v>245</v>
      </c>
      <c r="O437" t="s">
        <v>438</v>
      </c>
      <c r="P437">
        <v>0.12036646050861614</v>
      </c>
      <c r="Q437" t="s">
        <v>159</v>
      </c>
    </row>
    <row r="438" spans="9:17" x14ac:dyDescent="0.45">
      <c r="I438" t="s">
        <v>202</v>
      </c>
      <c r="J438" t="s">
        <v>439</v>
      </c>
      <c r="K438">
        <v>0</v>
      </c>
      <c r="L438" t="s">
        <v>159</v>
      </c>
      <c r="N438" t="s">
        <v>245</v>
      </c>
      <c r="O438" t="s">
        <v>439</v>
      </c>
      <c r="P438">
        <v>0.11770611169100516</v>
      </c>
      <c r="Q438" t="s">
        <v>159</v>
      </c>
    </row>
    <row r="439" spans="9:17" x14ac:dyDescent="0.45">
      <c r="I439" t="s">
        <v>202</v>
      </c>
      <c r="J439" t="s">
        <v>440</v>
      </c>
      <c r="K439">
        <v>1.7330058471626893E-2</v>
      </c>
      <c r="L439" t="s">
        <v>159</v>
      </c>
      <c r="N439" t="s">
        <v>245</v>
      </c>
      <c r="O439" t="s">
        <v>440</v>
      </c>
      <c r="P439">
        <v>2.2262286532245618E-2</v>
      </c>
      <c r="Q439" t="s">
        <v>159</v>
      </c>
    </row>
    <row r="440" spans="9:17" x14ac:dyDescent="0.45">
      <c r="I440" t="s">
        <v>202</v>
      </c>
      <c r="J440" t="s">
        <v>441</v>
      </c>
      <c r="K440">
        <v>0.2614298910898335</v>
      </c>
      <c r="L440" t="s">
        <v>159</v>
      </c>
      <c r="N440" t="s">
        <v>245</v>
      </c>
      <c r="O440" t="s">
        <v>441</v>
      </c>
      <c r="P440">
        <v>7.0584078613390944E-2</v>
      </c>
      <c r="Q440" t="s">
        <v>159</v>
      </c>
    </row>
    <row r="441" spans="9:17" x14ac:dyDescent="0.45">
      <c r="I441" t="s">
        <v>202</v>
      </c>
      <c r="J441" t="s">
        <v>442</v>
      </c>
      <c r="K441">
        <v>1.1457371885454438E-2</v>
      </c>
      <c r="L441" t="s">
        <v>159</v>
      </c>
      <c r="N441" t="s">
        <v>245</v>
      </c>
      <c r="O441" t="s">
        <v>442</v>
      </c>
      <c r="P441">
        <v>0.15693388535207808</v>
      </c>
      <c r="Q441" t="s">
        <v>159</v>
      </c>
    </row>
    <row r="442" spans="9:17" x14ac:dyDescent="0.45">
      <c r="I442" t="s">
        <v>202</v>
      </c>
      <c r="J442" t="s">
        <v>443</v>
      </c>
      <c r="K442">
        <v>4.0960262156486196E-2</v>
      </c>
      <c r="L442" t="s">
        <v>159</v>
      </c>
      <c r="N442" t="s">
        <v>245</v>
      </c>
      <c r="O442" t="s">
        <v>443</v>
      </c>
      <c r="P442">
        <v>3.4025167373366319E-2</v>
      </c>
      <c r="Q442" t="s">
        <v>159</v>
      </c>
    </row>
    <row r="443" spans="9:17" x14ac:dyDescent="0.45">
      <c r="I443" t="s">
        <v>203</v>
      </c>
      <c r="J443" t="s">
        <v>432</v>
      </c>
      <c r="K443">
        <v>0.2569260089436623</v>
      </c>
      <c r="L443" t="s">
        <v>159</v>
      </c>
      <c r="N443" t="s">
        <v>246</v>
      </c>
      <c r="O443" t="s">
        <v>432</v>
      </c>
      <c r="P443">
        <v>0.11154529424032315</v>
      </c>
      <c r="Q443" t="s">
        <v>159</v>
      </c>
    </row>
    <row r="444" spans="9:17" x14ac:dyDescent="0.45">
      <c r="I444" t="s">
        <v>203</v>
      </c>
      <c r="J444" t="s">
        <v>433</v>
      </c>
      <c r="K444">
        <v>6.0969306176544911E-4</v>
      </c>
      <c r="L444" t="s">
        <v>159</v>
      </c>
      <c r="N444" t="s">
        <v>246</v>
      </c>
      <c r="O444" t="s">
        <v>433</v>
      </c>
      <c r="P444">
        <v>8.4364897938898425E-2</v>
      </c>
      <c r="Q444" t="s">
        <v>159</v>
      </c>
    </row>
    <row r="445" spans="9:17" x14ac:dyDescent="0.45">
      <c r="I445" t="s">
        <v>203</v>
      </c>
      <c r="J445" t="s">
        <v>434</v>
      </c>
      <c r="K445">
        <v>3.3565517694836879E-2</v>
      </c>
      <c r="L445" t="s">
        <v>159</v>
      </c>
      <c r="N445" t="s">
        <v>246</v>
      </c>
      <c r="O445" t="s">
        <v>434</v>
      </c>
      <c r="P445">
        <v>3.7162372631322826E-2</v>
      </c>
      <c r="Q445" t="s">
        <v>159</v>
      </c>
    </row>
    <row r="446" spans="9:17" x14ac:dyDescent="0.45">
      <c r="I446" t="s">
        <v>203</v>
      </c>
      <c r="J446" t="s">
        <v>435</v>
      </c>
      <c r="K446">
        <v>0.20563815515219111</v>
      </c>
      <c r="L446" t="s">
        <v>159</v>
      </c>
      <c r="N446" t="s">
        <v>246</v>
      </c>
      <c r="O446" t="s">
        <v>435</v>
      </c>
      <c r="P446">
        <v>0.10560358879329818</v>
      </c>
      <c r="Q446" t="s">
        <v>159</v>
      </c>
    </row>
    <row r="447" spans="9:17" x14ac:dyDescent="0.45">
      <c r="I447" t="s">
        <v>203</v>
      </c>
      <c r="J447" t="s">
        <v>436</v>
      </c>
      <c r="K447">
        <v>4.0921298650974553E-4</v>
      </c>
      <c r="L447" t="s">
        <v>159</v>
      </c>
      <c r="N447" t="s">
        <v>246</v>
      </c>
      <c r="O447" t="s">
        <v>436</v>
      </c>
      <c r="P447">
        <v>8.9823279728319008E-2</v>
      </c>
      <c r="Q447" t="s">
        <v>159</v>
      </c>
    </row>
    <row r="448" spans="9:17" x14ac:dyDescent="0.45">
      <c r="I448" t="s">
        <v>203</v>
      </c>
      <c r="J448" t="s">
        <v>437</v>
      </c>
      <c r="K448">
        <v>2.868160051583846E-2</v>
      </c>
      <c r="L448" t="s">
        <v>159</v>
      </c>
      <c r="N448" t="s">
        <v>246</v>
      </c>
      <c r="O448" t="s">
        <v>437</v>
      </c>
      <c r="P448">
        <v>2.5384196768615832E-2</v>
      </c>
      <c r="Q448" t="s">
        <v>159</v>
      </c>
    </row>
    <row r="449" spans="9:17" x14ac:dyDescent="0.45">
      <c r="I449" t="s">
        <v>203</v>
      </c>
      <c r="J449" t="s">
        <v>438</v>
      </c>
      <c r="K449">
        <v>0.17671143802461198</v>
      </c>
      <c r="L449" t="s">
        <v>159</v>
      </c>
      <c r="N449" t="s">
        <v>246</v>
      </c>
      <c r="O449" t="s">
        <v>438</v>
      </c>
      <c r="P449">
        <v>0.14936756753619052</v>
      </c>
      <c r="Q449" t="s">
        <v>159</v>
      </c>
    </row>
    <row r="450" spans="9:17" x14ac:dyDescent="0.45">
      <c r="I450" t="s">
        <v>203</v>
      </c>
      <c r="J450" t="s">
        <v>439</v>
      </c>
      <c r="K450">
        <v>0</v>
      </c>
      <c r="L450" t="s">
        <v>159</v>
      </c>
      <c r="N450" t="s">
        <v>246</v>
      </c>
      <c r="O450" t="s">
        <v>439</v>
      </c>
      <c r="P450">
        <v>0.12088619074415112</v>
      </c>
      <c r="Q450" t="s">
        <v>159</v>
      </c>
    </row>
    <row r="451" spans="9:17" x14ac:dyDescent="0.45">
      <c r="I451" t="s">
        <v>203</v>
      </c>
      <c r="J451" t="s">
        <v>440</v>
      </c>
      <c r="K451">
        <v>2.284842489379511E-2</v>
      </c>
      <c r="L451" t="s">
        <v>159</v>
      </c>
      <c r="N451" t="s">
        <v>246</v>
      </c>
      <c r="O451" t="s">
        <v>440</v>
      </c>
      <c r="P451">
        <v>2.5076725020066443E-2</v>
      </c>
      <c r="Q451" t="s">
        <v>159</v>
      </c>
    </row>
    <row r="452" spans="9:17" x14ac:dyDescent="0.45">
      <c r="I452" t="s">
        <v>203</v>
      </c>
      <c r="J452" t="s">
        <v>441</v>
      </c>
      <c r="K452">
        <v>0.23125352849321226</v>
      </c>
      <c r="L452" t="s">
        <v>159</v>
      </c>
      <c r="N452" t="s">
        <v>246</v>
      </c>
      <c r="O452" t="s">
        <v>441</v>
      </c>
      <c r="P452">
        <v>0.10921082847121383</v>
      </c>
      <c r="Q452" t="s">
        <v>159</v>
      </c>
    </row>
    <row r="453" spans="9:17" x14ac:dyDescent="0.45">
      <c r="I453" t="s">
        <v>203</v>
      </c>
      <c r="J453" t="s">
        <v>442</v>
      </c>
      <c r="K453">
        <v>9.5280988589486124E-3</v>
      </c>
      <c r="L453" t="s">
        <v>159</v>
      </c>
      <c r="N453" t="s">
        <v>246</v>
      </c>
      <c r="O453" t="s">
        <v>442</v>
      </c>
      <c r="P453">
        <v>9.3339576461117332E-2</v>
      </c>
      <c r="Q453" t="s">
        <v>159</v>
      </c>
    </row>
    <row r="454" spans="9:17" x14ac:dyDescent="0.45">
      <c r="I454" t="s">
        <v>203</v>
      </c>
      <c r="J454" t="s">
        <v>443</v>
      </c>
      <c r="K454">
        <v>3.3828321374630141E-2</v>
      </c>
      <c r="L454" t="s">
        <v>159</v>
      </c>
      <c r="N454" t="s">
        <v>246</v>
      </c>
      <c r="O454" t="s">
        <v>443</v>
      </c>
      <c r="P454">
        <v>4.8235481666481783E-2</v>
      </c>
      <c r="Q454" t="s">
        <v>159</v>
      </c>
    </row>
    <row r="455" spans="9:17" x14ac:dyDescent="0.45">
      <c r="I455" t="s">
        <v>204</v>
      </c>
      <c r="J455" t="s">
        <v>432</v>
      </c>
      <c r="K455">
        <v>0.25442323734363226</v>
      </c>
      <c r="L455" t="s">
        <v>159</v>
      </c>
      <c r="N455" t="s">
        <v>247</v>
      </c>
      <c r="O455" t="s">
        <v>432</v>
      </c>
      <c r="P455">
        <v>0.12269753344238057</v>
      </c>
      <c r="Q455" t="s">
        <v>159</v>
      </c>
    </row>
    <row r="456" spans="9:17" x14ac:dyDescent="0.45">
      <c r="I456" t="s">
        <v>204</v>
      </c>
      <c r="J456" t="s">
        <v>433</v>
      </c>
      <c r="K456">
        <v>6.7414760577913643E-4</v>
      </c>
      <c r="L456" t="s">
        <v>159</v>
      </c>
      <c r="N456" t="s">
        <v>247</v>
      </c>
      <c r="O456" t="s">
        <v>433</v>
      </c>
      <c r="P456">
        <v>9.4947562138362127E-2</v>
      </c>
      <c r="Q456" t="s">
        <v>159</v>
      </c>
    </row>
    <row r="457" spans="9:17" x14ac:dyDescent="0.45">
      <c r="I457" t="s">
        <v>204</v>
      </c>
      <c r="J457" t="s">
        <v>434</v>
      </c>
      <c r="K457">
        <v>3.2911507354245931E-2</v>
      </c>
      <c r="L457" t="s">
        <v>159</v>
      </c>
      <c r="N457" t="s">
        <v>247</v>
      </c>
      <c r="O457" t="s">
        <v>434</v>
      </c>
      <c r="P457">
        <v>4.234161943098922E-2</v>
      </c>
      <c r="Q457" t="s">
        <v>159</v>
      </c>
    </row>
    <row r="458" spans="9:17" x14ac:dyDescent="0.45">
      <c r="I458" t="s">
        <v>204</v>
      </c>
      <c r="J458" t="s">
        <v>435</v>
      </c>
      <c r="K458">
        <v>0.20158999112169404</v>
      </c>
      <c r="L458" t="s">
        <v>159</v>
      </c>
      <c r="N458" t="s">
        <v>247</v>
      </c>
      <c r="O458" t="s">
        <v>435</v>
      </c>
      <c r="P458">
        <v>0.10641432724539407</v>
      </c>
      <c r="Q458" t="s">
        <v>159</v>
      </c>
    </row>
    <row r="459" spans="9:17" x14ac:dyDescent="0.45">
      <c r="I459" t="s">
        <v>204</v>
      </c>
      <c r="J459" t="s">
        <v>436</v>
      </c>
      <c r="K459">
        <v>4.8305695328228811E-4</v>
      </c>
      <c r="L459" t="s">
        <v>159</v>
      </c>
      <c r="N459" t="s">
        <v>247</v>
      </c>
      <c r="O459" t="s">
        <v>436</v>
      </c>
      <c r="P459">
        <v>8.0645796462240321E-2</v>
      </c>
      <c r="Q459" t="s">
        <v>159</v>
      </c>
    </row>
    <row r="460" spans="9:17" x14ac:dyDescent="0.45">
      <c r="I460" t="s">
        <v>204</v>
      </c>
      <c r="J460" t="s">
        <v>437</v>
      </c>
      <c r="K460">
        <v>2.7554876931679934E-2</v>
      </c>
      <c r="L460" t="s">
        <v>159</v>
      </c>
      <c r="N460" t="s">
        <v>247</v>
      </c>
      <c r="O460" t="s">
        <v>437</v>
      </c>
      <c r="P460">
        <v>2.6438237413988638E-2</v>
      </c>
      <c r="Q460" t="s">
        <v>159</v>
      </c>
    </row>
    <row r="461" spans="9:17" x14ac:dyDescent="0.45">
      <c r="I461" t="s">
        <v>204</v>
      </c>
      <c r="J461" t="s">
        <v>438</v>
      </c>
      <c r="K461">
        <v>0.17616881678151158</v>
      </c>
      <c r="L461" t="s">
        <v>159</v>
      </c>
      <c r="N461" t="s">
        <v>247</v>
      </c>
      <c r="O461" t="s">
        <v>438</v>
      </c>
      <c r="P461">
        <v>0.1356600031259933</v>
      </c>
      <c r="Q461" t="s">
        <v>159</v>
      </c>
    </row>
    <row r="462" spans="9:17" x14ac:dyDescent="0.45">
      <c r="I462" t="s">
        <v>204</v>
      </c>
      <c r="J462" t="s">
        <v>439</v>
      </c>
      <c r="K462">
        <v>0</v>
      </c>
      <c r="L462" t="s">
        <v>159</v>
      </c>
      <c r="N462" t="s">
        <v>247</v>
      </c>
      <c r="O462" t="s">
        <v>439</v>
      </c>
      <c r="P462">
        <v>0.11469554819655613</v>
      </c>
      <c r="Q462" t="s">
        <v>159</v>
      </c>
    </row>
    <row r="463" spans="9:17" x14ac:dyDescent="0.45">
      <c r="I463" t="s">
        <v>204</v>
      </c>
      <c r="J463" t="s">
        <v>440</v>
      </c>
      <c r="K463">
        <v>2.2240934195295534E-2</v>
      </c>
      <c r="L463" t="s">
        <v>159</v>
      </c>
      <c r="N463" t="s">
        <v>247</v>
      </c>
      <c r="O463" t="s">
        <v>440</v>
      </c>
      <c r="P463">
        <v>2.3670183611581928E-2</v>
      </c>
      <c r="Q463" t="s">
        <v>159</v>
      </c>
    </row>
    <row r="464" spans="9:17" x14ac:dyDescent="0.45">
      <c r="I464" t="s">
        <v>204</v>
      </c>
      <c r="J464" t="s">
        <v>441</v>
      </c>
      <c r="K464">
        <v>0.23783754126741977</v>
      </c>
      <c r="L464" t="s">
        <v>159</v>
      </c>
      <c r="N464" t="s">
        <v>247</v>
      </c>
      <c r="O464" t="s">
        <v>441</v>
      </c>
      <c r="P464">
        <v>0.11426693400497416</v>
      </c>
      <c r="Q464" t="s">
        <v>159</v>
      </c>
    </row>
    <row r="465" spans="9:17" x14ac:dyDescent="0.45">
      <c r="I465" t="s">
        <v>204</v>
      </c>
      <c r="J465" t="s">
        <v>442</v>
      </c>
      <c r="K465">
        <v>9.7608674863120474E-3</v>
      </c>
      <c r="L465" t="s">
        <v>159</v>
      </c>
      <c r="N465" t="s">
        <v>247</v>
      </c>
      <c r="O465" t="s">
        <v>442</v>
      </c>
      <c r="P465">
        <v>8.57344915931499E-2</v>
      </c>
      <c r="Q465" t="s">
        <v>159</v>
      </c>
    </row>
    <row r="466" spans="9:17" x14ac:dyDescent="0.45">
      <c r="I466" t="s">
        <v>204</v>
      </c>
      <c r="J466" t="s">
        <v>443</v>
      </c>
      <c r="K466">
        <v>3.6355022959149011E-2</v>
      </c>
      <c r="L466" t="s">
        <v>159</v>
      </c>
      <c r="N466" t="s">
        <v>247</v>
      </c>
      <c r="O466" t="s">
        <v>443</v>
      </c>
      <c r="P466">
        <v>5.2487763334388593E-2</v>
      </c>
      <c r="Q466" t="s">
        <v>159</v>
      </c>
    </row>
    <row r="467" spans="9:17" x14ac:dyDescent="0.45">
      <c r="I467" t="s">
        <v>205</v>
      </c>
      <c r="J467" t="s">
        <v>432</v>
      </c>
      <c r="K467">
        <v>0.25434193159836266</v>
      </c>
      <c r="L467" t="s">
        <v>159</v>
      </c>
      <c r="N467" t="s">
        <v>248</v>
      </c>
      <c r="O467" t="s">
        <v>432</v>
      </c>
      <c r="P467">
        <v>0.10143906870835694</v>
      </c>
      <c r="Q467" t="s">
        <v>159</v>
      </c>
    </row>
    <row r="468" spans="9:17" x14ac:dyDescent="0.45">
      <c r="I468" t="s">
        <v>205</v>
      </c>
      <c r="J468" t="s">
        <v>433</v>
      </c>
      <c r="K468">
        <v>5.9907933675832958E-5</v>
      </c>
      <c r="L468" t="s">
        <v>159</v>
      </c>
      <c r="N468" t="s">
        <v>248</v>
      </c>
      <c r="O468" t="s">
        <v>433</v>
      </c>
      <c r="P468">
        <v>0.12818809762231281</v>
      </c>
      <c r="Q468" t="s">
        <v>159</v>
      </c>
    </row>
    <row r="469" spans="9:17" x14ac:dyDescent="0.45">
      <c r="I469" t="s">
        <v>205</v>
      </c>
      <c r="J469" t="s">
        <v>434</v>
      </c>
      <c r="K469">
        <v>3.2916470545161738E-2</v>
      </c>
      <c r="L469" t="s">
        <v>159</v>
      </c>
      <c r="N469" t="s">
        <v>248</v>
      </c>
      <c r="O469" t="s">
        <v>434</v>
      </c>
      <c r="P469">
        <v>2.3401828476081944E-2</v>
      </c>
      <c r="Q469" t="s">
        <v>159</v>
      </c>
    </row>
    <row r="470" spans="9:17" x14ac:dyDescent="0.45">
      <c r="I470" t="s">
        <v>205</v>
      </c>
      <c r="J470" t="s">
        <v>435</v>
      </c>
      <c r="K470">
        <v>0.21246739937255504</v>
      </c>
      <c r="L470" t="s">
        <v>159</v>
      </c>
      <c r="N470" t="s">
        <v>248</v>
      </c>
      <c r="O470" t="s">
        <v>435</v>
      </c>
      <c r="P470">
        <v>0.10147395318294805</v>
      </c>
      <c r="Q470" t="s">
        <v>159</v>
      </c>
    </row>
    <row r="471" spans="9:17" x14ac:dyDescent="0.45">
      <c r="I471" t="s">
        <v>205</v>
      </c>
      <c r="J471" t="s">
        <v>436</v>
      </c>
      <c r="K471">
        <v>3.1190845075925649E-6</v>
      </c>
      <c r="L471" t="s">
        <v>159</v>
      </c>
      <c r="N471" t="s">
        <v>248</v>
      </c>
      <c r="O471" t="s">
        <v>436</v>
      </c>
      <c r="P471">
        <v>0.12016056148662772</v>
      </c>
      <c r="Q471" t="s">
        <v>159</v>
      </c>
    </row>
    <row r="472" spans="9:17" x14ac:dyDescent="0.45">
      <c r="I472" t="s">
        <v>205</v>
      </c>
      <c r="J472" t="s">
        <v>437</v>
      </c>
      <c r="K472">
        <v>2.8398246436999435E-2</v>
      </c>
      <c r="L472" t="s">
        <v>159</v>
      </c>
      <c r="N472" t="s">
        <v>248</v>
      </c>
      <c r="O472" t="s">
        <v>437</v>
      </c>
      <c r="P472">
        <v>1.8266034455102397E-2</v>
      </c>
      <c r="Q472" t="s">
        <v>159</v>
      </c>
    </row>
    <row r="473" spans="9:17" x14ac:dyDescent="0.45">
      <c r="I473" t="s">
        <v>205</v>
      </c>
      <c r="J473" t="s">
        <v>438</v>
      </c>
      <c r="K473">
        <v>0.17769677855677496</v>
      </c>
      <c r="L473" t="s">
        <v>159</v>
      </c>
      <c r="N473" t="s">
        <v>248</v>
      </c>
      <c r="O473" t="s">
        <v>438</v>
      </c>
      <c r="P473">
        <v>0.11827598376516074</v>
      </c>
      <c r="Q473" t="s">
        <v>159</v>
      </c>
    </row>
    <row r="474" spans="9:17" x14ac:dyDescent="0.45">
      <c r="I474" t="s">
        <v>205</v>
      </c>
      <c r="J474" t="s">
        <v>439</v>
      </c>
      <c r="K474">
        <v>0</v>
      </c>
      <c r="L474" t="s">
        <v>159</v>
      </c>
      <c r="N474" t="s">
        <v>248</v>
      </c>
      <c r="O474" t="s">
        <v>439</v>
      </c>
      <c r="P474">
        <v>0.114335368309592</v>
      </c>
      <c r="Q474" t="s">
        <v>159</v>
      </c>
    </row>
    <row r="475" spans="9:17" x14ac:dyDescent="0.45">
      <c r="I475" t="s">
        <v>205</v>
      </c>
      <c r="J475" t="s">
        <v>440</v>
      </c>
      <c r="K475">
        <v>2.0827590171345171E-2</v>
      </c>
      <c r="L475" t="s">
        <v>159</v>
      </c>
      <c r="N475" t="s">
        <v>248</v>
      </c>
      <c r="O475" t="s">
        <v>440</v>
      </c>
      <c r="P475">
        <v>2.1747743890578777E-2</v>
      </c>
      <c r="Q475" t="s">
        <v>159</v>
      </c>
    </row>
    <row r="476" spans="9:17" x14ac:dyDescent="0.45">
      <c r="I476" t="s">
        <v>205</v>
      </c>
      <c r="J476" t="s">
        <v>441</v>
      </c>
      <c r="K476">
        <v>0.23039760613423516</v>
      </c>
      <c r="L476" t="s">
        <v>159</v>
      </c>
      <c r="N476" t="s">
        <v>248</v>
      </c>
      <c r="O476" t="s">
        <v>441</v>
      </c>
      <c r="P476">
        <v>7.6524072871086174E-2</v>
      </c>
      <c r="Q476" t="s">
        <v>159</v>
      </c>
    </row>
    <row r="477" spans="9:17" x14ac:dyDescent="0.45">
      <c r="I477" t="s">
        <v>205</v>
      </c>
      <c r="J477" t="s">
        <v>442</v>
      </c>
      <c r="K477">
        <v>9.0469003913995691E-3</v>
      </c>
      <c r="L477" t="s">
        <v>159</v>
      </c>
      <c r="N477" t="s">
        <v>248</v>
      </c>
      <c r="O477" t="s">
        <v>442</v>
      </c>
      <c r="P477">
        <v>0.15428542760717004</v>
      </c>
      <c r="Q477" t="s">
        <v>159</v>
      </c>
    </row>
    <row r="478" spans="9:17" x14ac:dyDescent="0.45">
      <c r="I478" t="s">
        <v>205</v>
      </c>
      <c r="J478" t="s">
        <v>443</v>
      </c>
      <c r="K478">
        <v>3.3844049774984897E-2</v>
      </c>
      <c r="L478" t="s">
        <v>159</v>
      </c>
      <c r="N478" t="s">
        <v>248</v>
      </c>
      <c r="O478" t="s">
        <v>443</v>
      </c>
      <c r="P478">
        <v>2.1901859624978773E-2</v>
      </c>
      <c r="Q478" t="s">
        <v>159</v>
      </c>
    </row>
    <row r="479" spans="9:17" x14ac:dyDescent="0.45">
      <c r="I479" t="s">
        <v>206</v>
      </c>
      <c r="J479" t="s">
        <v>432</v>
      </c>
      <c r="K479">
        <v>0.25641265956967951</v>
      </c>
      <c r="L479" t="s">
        <v>159</v>
      </c>
      <c r="N479" t="s">
        <v>249</v>
      </c>
      <c r="O479" t="s">
        <v>432</v>
      </c>
      <c r="P479">
        <v>0.11280915260509178</v>
      </c>
      <c r="Q479" t="s">
        <v>159</v>
      </c>
    </row>
    <row r="480" spans="9:17" x14ac:dyDescent="0.45">
      <c r="I480" t="s">
        <v>206</v>
      </c>
      <c r="J480" t="s">
        <v>433</v>
      </c>
      <c r="K480">
        <v>6.0237086659478163E-5</v>
      </c>
      <c r="L480" t="s">
        <v>159</v>
      </c>
      <c r="N480" t="s">
        <v>249</v>
      </c>
      <c r="O480" t="s">
        <v>433</v>
      </c>
      <c r="P480">
        <v>0.13404254478255082</v>
      </c>
      <c r="Q480" t="s">
        <v>159</v>
      </c>
    </row>
    <row r="481" spans="9:17" x14ac:dyDescent="0.45">
      <c r="I481" t="s">
        <v>206</v>
      </c>
      <c r="J481" t="s">
        <v>434</v>
      </c>
      <c r="K481">
        <v>3.0871092783413497E-2</v>
      </c>
      <c r="L481" t="s">
        <v>159</v>
      </c>
      <c r="N481" t="s">
        <v>249</v>
      </c>
      <c r="O481" t="s">
        <v>434</v>
      </c>
      <c r="P481">
        <v>2.5886088463465289E-2</v>
      </c>
      <c r="Q481" t="s">
        <v>159</v>
      </c>
    </row>
    <row r="482" spans="9:17" x14ac:dyDescent="0.45">
      <c r="I482" t="s">
        <v>206</v>
      </c>
      <c r="J482" t="s">
        <v>435</v>
      </c>
      <c r="K482">
        <v>0.20947525769277389</v>
      </c>
      <c r="L482" t="s">
        <v>159</v>
      </c>
      <c r="N482" t="s">
        <v>249</v>
      </c>
      <c r="O482" t="s">
        <v>435</v>
      </c>
      <c r="P482">
        <v>8.9854547954739725E-2</v>
      </c>
      <c r="Q482" t="s">
        <v>159</v>
      </c>
    </row>
    <row r="483" spans="9:17" x14ac:dyDescent="0.45">
      <c r="I483" t="s">
        <v>206</v>
      </c>
      <c r="J483" t="s">
        <v>436</v>
      </c>
      <c r="K483">
        <v>0</v>
      </c>
      <c r="L483" t="s">
        <v>159</v>
      </c>
      <c r="N483" t="s">
        <v>249</v>
      </c>
      <c r="O483" t="s">
        <v>436</v>
      </c>
      <c r="P483">
        <v>0.11001328731802053</v>
      </c>
      <c r="Q483" t="s">
        <v>159</v>
      </c>
    </row>
    <row r="484" spans="9:17" x14ac:dyDescent="0.45">
      <c r="I484" t="s">
        <v>206</v>
      </c>
      <c r="J484" t="s">
        <v>437</v>
      </c>
      <c r="K484">
        <v>2.5427468442625879E-2</v>
      </c>
      <c r="L484" t="s">
        <v>159</v>
      </c>
      <c r="N484" t="s">
        <v>249</v>
      </c>
      <c r="O484" t="s">
        <v>437</v>
      </c>
      <c r="P484">
        <v>1.6147719285122372E-2</v>
      </c>
      <c r="Q484" t="s">
        <v>159</v>
      </c>
    </row>
    <row r="485" spans="9:17" x14ac:dyDescent="0.45">
      <c r="I485" t="s">
        <v>206</v>
      </c>
      <c r="J485" t="s">
        <v>438</v>
      </c>
      <c r="K485">
        <v>0.17981146987074098</v>
      </c>
      <c r="L485" t="s">
        <v>159</v>
      </c>
      <c r="N485" t="s">
        <v>249</v>
      </c>
      <c r="O485" t="s">
        <v>438</v>
      </c>
      <c r="P485">
        <v>0.11683673432005626</v>
      </c>
      <c r="Q485" t="s">
        <v>159</v>
      </c>
    </row>
    <row r="486" spans="9:17" x14ac:dyDescent="0.45">
      <c r="I486" t="s">
        <v>206</v>
      </c>
      <c r="J486" t="s">
        <v>439</v>
      </c>
      <c r="K486">
        <v>0</v>
      </c>
      <c r="L486" t="s">
        <v>159</v>
      </c>
      <c r="N486" t="s">
        <v>249</v>
      </c>
      <c r="O486" t="s">
        <v>439</v>
      </c>
      <c r="P486">
        <v>0.12212357886595086</v>
      </c>
      <c r="Q486" t="s">
        <v>159</v>
      </c>
    </row>
    <row r="487" spans="9:17" x14ac:dyDescent="0.45">
      <c r="I487" t="s">
        <v>206</v>
      </c>
      <c r="J487" t="s">
        <v>440</v>
      </c>
      <c r="K487">
        <v>1.9754298677198946E-2</v>
      </c>
      <c r="L487" t="s">
        <v>159</v>
      </c>
      <c r="N487" t="s">
        <v>249</v>
      </c>
      <c r="O487" t="s">
        <v>440</v>
      </c>
      <c r="P487">
        <v>2.1903253574186817E-2</v>
      </c>
      <c r="Q487" t="s">
        <v>159</v>
      </c>
    </row>
    <row r="488" spans="9:17" x14ac:dyDescent="0.45">
      <c r="I488" t="s">
        <v>206</v>
      </c>
      <c r="J488" t="s">
        <v>441</v>
      </c>
      <c r="K488">
        <v>0.23692857419874833</v>
      </c>
      <c r="L488" t="s">
        <v>159</v>
      </c>
      <c r="N488" t="s">
        <v>249</v>
      </c>
      <c r="O488" t="s">
        <v>441</v>
      </c>
      <c r="P488">
        <v>7.8951971955105518E-2</v>
      </c>
      <c r="Q488" t="s">
        <v>159</v>
      </c>
    </row>
    <row r="489" spans="9:17" x14ac:dyDescent="0.45">
      <c r="I489" t="s">
        <v>206</v>
      </c>
      <c r="J489" t="s">
        <v>442</v>
      </c>
      <c r="K489">
        <v>8.1269961926064577E-3</v>
      </c>
      <c r="L489" t="s">
        <v>159</v>
      </c>
      <c r="N489" t="s">
        <v>249</v>
      </c>
      <c r="O489" t="s">
        <v>442</v>
      </c>
      <c r="P489">
        <v>0.15062492644329722</v>
      </c>
      <c r="Q489" t="s">
        <v>159</v>
      </c>
    </row>
    <row r="490" spans="9:17" x14ac:dyDescent="0.45">
      <c r="I490" t="s">
        <v>206</v>
      </c>
      <c r="J490" t="s">
        <v>443</v>
      </c>
      <c r="K490">
        <v>3.3131945485552511E-2</v>
      </c>
      <c r="L490" t="s">
        <v>159</v>
      </c>
      <c r="N490" t="s">
        <v>249</v>
      </c>
      <c r="O490" t="s">
        <v>443</v>
      </c>
      <c r="P490">
        <v>2.0806194432413268E-2</v>
      </c>
      <c r="Q490" t="s">
        <v>159</v>
      </c>
    </row>
    <row r="491" spans="9:17" x14ac:dyDescent="0.45">
      <c r="I491" t="s">
        <v>207</v>
      </c>
      <c r="J491" t="s">
        <v>432</v>
      </c>
      <c r="K491">
        <v>0.25909767910826809</v>
      </c>
      <c r="L491" t="s">
        <v>159</v>
      </c>
      <c r="N491" t="s">
        <v>250</v>
      </c>
      <c r="O491" t="s">
        <v>432</v>
      </c>
      <c r="P491">
        <v>8.2356170730017692E-2</v>
      </c>
      <c r="Q491" t="s">
        <v>159</v>
      </c>
    </row>
    <row r="492" spans="9:17" x14ac:dyDescent="0.45">
      <c r="I492" t="s">
        <v>207</v>
      </c>
      <c r="J492" t="s">
        <v>433</v>
      </c>
      <c r="K492">
        <v>2.3144795074299699E-3</v>
      </c>
      <c r="L492" t="s">
        <v>159</v>
      </c>
      <c r="N492" t="s">
        <v>250</v>
      </c>
      <c r="O492" t="s">
        <v>433</v>
      </c>
      <c r="P492">
        <v>0.14165026833694427</v>
      </c>
      <c r="Q492" t="s">
        <v>159</v>
      </c>
    </row>
    <row r="493" spans="9:17" x14ac:dyDescent="0.45">
      <c r="I493" t="s">
        <v>207</v>
      </c>
      <c r="J493" t="s">
        <v>434</v>
      </c>
      <c r="K493">
        <v>3.6806164486123248E-2</v>
      </c>
      <c r="L493" t="s">
        <v>159</v>
      </c>
      <c r="N493" t="s">
        <v>250</v>
      </c>
      <c r="O493" t="s">
        <v>434</v>
      </c>
      <c r="P493">
        <v>1.9964274186462273E-2</v>
      </c>
      <c r="Q493" t="s">
        <v>159</v>
      </c>
    </row>
    <row r="494" spans="9:17" x14ac:dyDescent="0.45">
      <c r="I494" t="s">
        <v>207</v>
      </c>
      <c r="J494" t="s">
        <v>435</v>
      </c>
      <c r="K494">
        <v>0.1841420870992205</v>
      </c>
      <c r="L494" t="s">
        <v>159</v>
      </c>
      <c r="N494" t="s">
        <v>250</v>
      </c>
      <c r="O494" t="s">
        <v>435</v>
      </c>
      <c r="P494">
        <v>9.8031191913883015E-2</v>
      </c>
      <c r="Q494" t="s">
        <v>159</v>
      </c>
    </row>
    <row r="495" spans="9:17" x14ac:dyDescent="0.45">
      <c r="I495" t="s">
        <v>207</v>
      </c>
      <c r="J495" t="s">
        <v>436</v>
      </c>
      <c r="K495">
        <v>8.2703726526504656E-4</v>
      </c>
      <c r="L495" t="s">
        <v>159</v>
      </c>
      <c r="N495" t="s">
        <v>250</v>
      </c>
      <c r="O495" t="s">
        <v>436</v>
      </c>
      <c r="P495">
        <v>0.13018977564158485</v>
      </c>
      <c r="Q495" t="s">
        <v>159</v>
      </c>
    </row>
    <row r="496" spans="9:17" x14ac:dyDescent="0.45">
      <c r="I496" t="s">
        <v>207</v>
      </c>
      <c r="J496" t="s">
        <v>437</v>
      </c>
      <c r="K496">
        <v>2.4666941256898986E-2</v>
      </c>
      <c r="L496" t="s">
        <v>159</v>
      </c>
      <c r="N496" t="s">
        <v>250</v>
      </c>
      <c r="O496" t="s">
        <v>437</v>
      </c>
      <c r="P496">
        <v>1.4753510269756539E-2</v>
      </c>
      <c r="Q496" t="s">
        <v>159</v>
      </c>
    </row>
    <row r="497" spans="9:17" x14ac:dyDescent="0.45">
      <c r="I497" t="s">
        <v>207</v>
      </c>
      <c r="J497" t="s">
        <v>438</v>
      </c>
      <c r="K497">
        <v>0.16122886581728893</v>
      </c>
      <c r="L497" t="s">
        <v>159</v>
      </c>
      <c r="N497" t="s">
        <v>250</v>
      </c>
      <c r="O497" t="s">
        <v>438</v>
      </c>
      <c r="P497">
        <v>0.10921495878555564</v>
      </c>
      <c r="Q497" t="s">
        <v>159</v>
      </c>
    </row>
    <row r="498" spans="9:17" x14ac:dyDescent="0.45">
      <c r="I498" t="s">
        <v>207</v>
      </c>
      <c r="J498" t="s">
        <v>439</v>
      </c>
      <c r="K498">
        <v>0</v>
      </c>
      <c r="L498" t="s">
        <v>159</v>
      </c>
      <c r="N498" t="s">
        <v>250</v>
      </c>
      <c r="O498" t="s">
        <v>439</v>
      </c>
      <c r="P498">
        <v>0.12607202218523908</v>
      </c>
      <c r="Q498" t="s">
        <v>159</v>
      </c>
    </row>
    <row r="499" spans="9:17" x14ac:dyDescent="0.45">
      <c r="I499" t="s">
        <v>207</v>
      </c>
      <c r="J499" t="s">
        <v>440</v>
      </c>
      <c r="K499">
        <v>2.0572516587803853E-2</v>
      </c>
      <c r="L499" t="s">
        <v>159</v>
      </c>
      <c r="N499" t="s">
        <v>250</v>
      </c>
      <c r="O499" t="s">
        <v>440</v>
      </c>
      <c r="P499">
        <v>1.9108606176030725E-2</v>
      </c>
      <c r="Q499" t="s">
        <v>159</v>
      </c>
    </row>
    <row r="500" spans="9:17" x14ac:dyDescent="0.45">
      <c r="I500" t="s">
        <v>207</v>
      </c>
      <c r="J500" t="s">
        <v>441</v>
      </c>
      <c r="K500">
        <v>0.25958472279698874</v>
      </c>
      <c r="L500" t="s">
        <v>159</v>
      </c>
      <c r="N500" t="s">
        <v>250</v>
      </c>
      <c r="O500" t="s">
        <v>441</v>
      </c>
      <c r="P500">
        <v>7.2304529795104988E-2</v>
      </c>
      <c r="Q500" t="s">
        <v>159</v>
      </c>
    </row>
    <row r="501" spans="9:17" x14ac:dyDescent="0.45">
      <c r="I501" t="s">
        <v>207</v>
      </c>
      <c r="J501" t="s">
        <v>442</v>
      </c>
      <c r="K501">
        <v>1.1254412947720907E-2</v>
      </c>
      <c r="L501" t="s">
        <v>159</v>
      </c>
      <c r="N501" t="s">
        <v>250</v>
      </c>
      <c r="O501" t="s">
        <v>442</v>
      </c>
      <c r="P501">
        <v>0.16745751152740374</v>
      </c>
      <c r="Q501" t="s">
        <v>159</v>
      </c>
    </row>
    <row r="502" spans="9:17" x14ac:dyDescent="0.45">
      <c r="I502" t="s">
        <v>207</v>
      </c>
      <c r="J502" t="s">
        <v>443</v>
      </c>
      <c r="K502">
        <v>3.9505093126990042E-2</v>
      </c>
      <c r="L502" t="s">
        <v>159</v>
      </c>
      <c r="N502" t="s">
        <v>250</v>
      </c>
      <c r="O502" t="s">
        <v>443</v>
      </c>
      <c r="P502">
        <v>1.8897180452017562E-2</v>
      </c>
      <c r="Q502" t="s">
        <v>159</v>
      </c>
    </row>
    <row r="503" spans="9:17" x14ac:dyDescent="0.45">
      <c r="I503" t="s">
        <v>208</v>
      </c>
      <c r="J503" t="s">
        <v>432</v>
      </c>
      <c r="K503">
        <v>0.25607447458923882</v>
      </c>
      <c r="L503" t="s">
        <v>159</v>
      </c>
      <c r="N503" t="s">
        <v>251</v>
      </c>
      <c r="O503" t="s">
        <v>432</v>
      </c>
      <c r="P503">
        <v>7.3358243252200458E-2</v>
      </c>
      <c r="Q503" t="s">
        <v>159</v>
      </c>
    </row>
    <row r="504" spans="9:17" x14ac:dyDescent="0.45">
      <c r="I504" t="s">
        <v>208</v>
      </c>
      <c r="J504" t="s">
        <v>433</v>
      </c>
      <c r="K504">
        <v>1.2525767989026943E-3</v>
      </c>
      <c r="L504" t="s">
        <v>159</v>
      </c>
      <c r="N504" t="s">
        <v>251</v>
      </c>
      <c r="O504" t="s">
        <v>433</v>
      </c>
      <c r="P504">
        <v>0.16809272963412966</v>
      </c>
      <c r="Q504" t="s">
        <v>159</v>
      </c>
    </row>
    <row r="505" spans="9:17" x14ac:dyDescent="0.45">
      <c r="I505" t="s">
        <v>208</v>
      </c>
      <c r="J505" t="s">
        <v>434</v>
      </c>
      <c r="K505">
        <v>3.4401106465746123E-2</v>
      </c>
      <c r="L505" t="s">
        <v>159</v>
      </c>
      <c r="N505" t="s">
        <v>251</v>
      </c>
      <c r="O505" t="s">
        <v>434</v>
      </c>
      <c r="P505">
        <v>1.6051472237140322E-2</v>
      </c>
      <c r="Q505" t="s">
        <v>159</v>
      </c>
    </row>
    <row r="506" spans="9:17" x14ac:dyDescent="0.45">
      <c r="I506" t="s">
        <v>208</v>
      </c>
      <c r="J506" t="s">
        <v>435</v>
      </c>
      <c r="K506">
        <v>0.19178688746800257</v>
      </c>
      <c r="L506" t="s">
        <v>159</v>
      </c>
      <c r="N506" t="s">
        <v>251</v>
      </c>
      <c r="O506" t="s">
        <v>435</v>
      </c>
      <c r="P506">
        <v>8.9310664645410973E-2</v>
      </c>
      <c r="Q506" t="s">
        <v>159</v>
      </c>
    </row>
    <row r="507" spans="9:17" x14ac:dyDescent="0.45">
      <c r="I507" t="s">
        <v>208</v>
      </c>
      <c r="J507" t="s">
        <v>436</v>
      </c>
      <c r="K507">
        <v>6.2356573393596319E-4</v>
      </c>
      <c r="L507" t="s">
        <v>159</v>
      </c>
      <c r="N507" t="s">
        <v>251</v>
      </c>
      <c r="O507" t="s">
        <v>436</v>
      </c>
      <c r="P507">
        <v>0.14666832517761846</v>
      </c>
      <c r="Q507" t="s">
        <v>159</v>
      </c>
    </row>
    <row r="508" spans="9:17" x14ac:dyDescent="0.45">
      <c r="I508" t="s">
        <v>208</v>
      </c>
      <c r="J508" t="s">
        <v>437</v>
      </c>
      <c r="K508">
        <v>2.6667146775931603E-2</v>
      </c>
      <c r="L508" t="s">
        <v>159</v>
      </c>
      <c r="N508" t="s">
        <v>251</v>
      </c>
      <c r="O508" t="s">
        <v>437</v>
      </c>
      <c r="P508">
        <v>1.1440262872540735E-2</v>
      </c>
      <c r="Q508" t="s">
        <v>159</v>
      </c>
    </row>
    <row r="509" spans="9:17" x14ac:dyDescent="0.45">
      <c r="I509" t="s">
        <v>208</v>
      </c>
      <c r="J509" t="s">
        <v>438</v>
      </c>
      <c r="K509">
        <v>0.17098209779441392</v>
      </c>
      <c r="L509" t="s">
        <v>159</v>
      </c>
      <c r="N509" t="s">
        <v>251</v>
      </c>
      <c r="O509" t="s">
        <v>438</v>
      </c>
      <c r="P509">
        <v>0.10098961853144255</v>
      </c>
      <c r="Q509" t="s">
        <v>159</v>
      </c>
    </row>
    <row r="510" spans="9:17" x14ac:dyDescent="0.45">
      <c r="I510" t="s">
        <v>208</v>
      </c>
      <c r="J510" t="s">
        <v>439</v>
      </c>
      <c r="K510">
        <v>0</v>
      </c>
      <c r="L510" t="s">
        <v>159</v>
      </c>
      <c r="N510" t="s">
        <v>251</v>
      </c>
      <c r="O510" t="s">
        <v>439</v>
      </c>
      <c r="P510">
        <v>0.15083529476762272</v>
      </c>
      <c r="Q510" t="s">
        <v>159</v>
      </c>
    </row>
    <row r="511" spans="9:17" x14ac:dyDescent="0.45">
      <c r="I511" t="s">
        <v>208</v>
      </c>
      <c r="J511" t="s">
        <v>440</v>
      </c>
      <c r="K511">
        <v>2.2039768374360984E-2</v>
      </c>
      <c r="L511" t="s">
        <v>159</v>
      </c>
      <c r="N511" t="s">
        <v>251</v>
      </c>
      <c r="O511" t="s">
        <v>440</v>
      </c>
      <c r="P511">
        <v>1.5222083486857028E-2</v>
      </c>
      <c r="Q511" t="s">
        <v>159</v>
      </c>
    </row>
    <row r="512" spans="9:17" x14ac:dyDescent="0.45">
      <c r="I512" t="s">
        <v>208</v>
      </c>
      <c r="J512" t="s">
        <v>441</v>
      </c>
      <c r="K512">
        <v>0.24898679625440062</v>
      </c>
      <c r="L512" t="s">
        <v>159</v>
      </c>
      <c r="N512" t="s">
        <v>251</v>
      </c>
      <c r="O512" t="s">
        <v>441</v>
      </c>
      <c r="P512">
        <v>6.4371245864931717E-2</v>
      </c>
      <c r="Q512" t="s">
        <v>159</v>
      </c>
    </row>
    <row r="513" spans="9:17" x14ac:dyDescent="0.45">
      <c r="I513" t="s">
        <v>208</v>
      </c>
      <c r="J513" t="s">
        <v>442</v>
      </c>
      <c r="K513">
        <v>9.9561744426007025E-3</v>
      </c>
      <c r="L513" t="s">
        <v>159</v>
      </c>
      <c r="N513" t="s">
        <v>251</v>
      </c>
      <c r="O513" t="s">
        <v>442</v>
      </c>
      <c r="P513">
        <v>0.15317025797117714</v>
      </c>
      <c r="Q513" t="s">
        <v>159</v>
      </c>
    </row>
    <row r="514" spans="9:17" x14ac:dyDescent="0.45">
      <c r="I514" t="s">
        <v>208</v>
      </c>
      <c r="J514" t="s">
        <v>443</v>
      </c>
      <c r="K514">
        <v>3.7229405302469348E-2</v>
      </c>
      <c r="L514" t="s">
        <v>159</v>
      </c>
      <c r="N514" t="s">
        <v>251</v>
      </c>
      <c r="O514" t="s">
        <v>443</v>
      </c>
      <c r="P514">
        <v>1.0489801558929019E-2</v>
      </c>
      <c r="Q514" t="s">
        <v>159</v>
      </c>
    </row>
    <row r="515" spans="9:17" x14ac:dyDescent="0.45">
      <c r="I515" t="s">
        <v>209</v>
      </c>
      <c r="J515" t="s">
        <v>432</v>
      </c>
      <c r="K515">
        <v>0.25663147619269028</v>
      </c>
      <c r="L515" t="s">
        <v>159</v>
      </c>
    </row>
    <row r="516" spans="9:17" x14ac:dyDescent="0.45">
      <c r="I516" t="s">
        <v>209</v>
      </c>
      <c r="J516" t="s">
        <v>433</v>
      </c>
      <c r="K516">
        <v>6.6337508914611487E-4</v>
      </c>
      <c r="L516" t="s">
        <v>159</v>
      </c>
    </row>
    <row r="517" spans="9:17" x14ac:dyDescent="0.45">
      <c r="I517" t="s">
        <v>209</v>
      </c>
      <c r="J517" t="s">
        <v>434</v>
      </c>
      <c r="K517">
        <v>3.3617675072979691E-2</v>
      </c>
      <c r="L517" t="s">
        <v>159</v>
      </c>
    </row>
    <row r="518" spans="9:17" x14ac:dyDescent="0.45">
      <c r="I518" t="s">
        <v>209</v>
      </c>
      <c r="J518" t="s">
        <v>435</v>
      </c>
      <c r="K518">
        <v>0.19400141627648365</v>
      </c>
      <c r="L518" t="s">
        <v>159</v>
      </c>
    </row>
    <row r="519" spans="9:17" x14ac:dyDescent="0.45">
      <c r="I519" t="s">
        <v>209</v>
      </c>
      <c r="J519" t="s">
        <v>436</v>
      </c>
      <c r="K519">
        <v>4.4852915303561084E-5</v>
      </c>
      <c r="L519" t="s">
        <v>159</v>
      </c>
    </row>
    <row r="520" spans="9:17" x14ac:dyDescent="0.45">
      <c r="I520" t="s">
        <v>209</v>
      </c>
      <c r="J520" t="s">
        <v>437</v>
      </c>
      <c r="K520">
        <v>2.3742566289088926E-2</v>
      </c>
      <c r="L520" t="s">
        <v>159</v>
      </c>
    </row>
    <row r="521" spans="9:17" x14ac:dyDescent="0.45">
      <c r="I521" t="s">
        <v>209</v>
      </c>
      <c r="J521" t="s">
        <v>438</v>
      </c>
      <c r="K521">
        <v>0.17580700726796761</v>
      </c>
      <c r="L521" t="s">
        <v>159</v>
      </c>
    </row>
    <row r="522" spans="9:17" x14ac:dyDescent="0.45">
      <c r="I522" t="s">
        <v>209</v>
      </c>
      <c r="J522" t="s">
        <v>439</v>
      </c>
      <c r="K522">
        <v>0</v>
      </c>
      <c r="L522" t="s">
        <v>159</v>
      </c>
    </row>
    <row r="523" spans="9:17" x14ac:dyDescent="0.45">
      <c r="I523" t="s">
        <v>209</v>
      </c>
      <c r="J523" t="s">
        <v>440</v>
      </c>
      <c r="K523">
        <v>2.0649527923252815E-2</v>
      </c>
      <c r="L523" t="s">
        <v>159</v>
      </c>
    </row>
    <row r="524" spans="9:17" x14ac:dyDescent="0.45">
      <c r="I524" t="s">
        <v>209</v>
      </c>
      <c r="J524" t="s">
        <v>441</v>
      </c>
      <c r="K524">
        <v>0.24901062508518249</v>
      </c>
      <c r="L524" t="s">
        <v>159</v>
      </c>
    </row>
    <row r="525" spans="9:17" x14ac:dyDescent="0.45">
      <c r="I525" t="s">
        <v>209</v>
      </c>
      <c r="J525" t="s">
        <v>442</v>
      </c>
      <c r="K525">
        <v>9.3840592783726706E-3</v>
      </c>
      <c r="L525" t="s">
        <v>159</v>
      </c>
    </row>
    <row r="526" spans="9:17" x14ac:dyDescent="0.45">
      <c r="I526" t="s">
        <v>209</v>
      </c>
      <c r="J526" t="s">
        <v>443</v>
      </c>
      <c r="K526">
        <v>3.6447418609532024E-2</v>
      </c>
      <c r="L526" t="s">
        <v>159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Veda</vt:lpstr>
      <vt:lpstr>fuel_prices</vt:lpstr>
      <vt:lpstr>iea_data</vt:lpstr>
      <vt:lpstr>ar6_r10</vt:lpstr>
      <vt:lpstr>ev_charging_uc</vt:lpstr>
      <vt:lpstr>ts_012</vt:lpstr>
      <vt:lpstr>ts_030</vt:lpstr>
      <vt:lpstr>ts_048</vt:lpstr>
      <vt:lpstr>s1_d</vt:lpstr>
      <vt:lpstr>s1v1_d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2025-12-11T06:56:45Z</dcterms:modified>
</cp:coreProperties>
</file>