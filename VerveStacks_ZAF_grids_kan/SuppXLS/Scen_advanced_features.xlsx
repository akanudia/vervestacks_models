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4A0A4705-7F21-4329-9A64-2A4CEEA16E79}" xr6:coauthVersionLast="47" xr6:coauthVersionMax="47" xr10:uidLastSave="{00000000-0000-0000-0000-000000000000}"/>
  <bookViews>
    <workbookView xWindow="-98" yWindow="-98" windowWidth="28996" windowHeight="17475" activeTab="1"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Y5" i="7" l="1"/>
  <c r="AX5" i="7"/>
  <c r="AW5" i="7"/>
  <c r="BC5" i="7" s="1"/>
  <c r="AV5" i="7"/>
  <c r="BB5" i="7" s="1"/>
  <c r="AU5" i="7"/>
  <c r="BA5" i="7" s="1"/>
  <c r="AT5" i="7"/>
  <c r="AZ5" i="7" s="1"/>
  <c r="AZ4" i="7"/>
  <c r="AY4" i="7"/>
  <c r="AX4" i="7"/>
  <c r="AW4" i="7"/>
  <c r="BC4" i="7" s="1"/>
  <c r="AV4" i="7"/>
  <c r="BB4" i="7" s="1"/>
  <c r="AU4" i="7"/>
  <c r="BA4" i="7" s="1"/>
  <c r="AT4" i="7"/>
  <c r="BA3" i="7"/>
  <c r="BB3" i="7" s="1"/>
  <c r="BC3" i="7" s="1"/>
  <c r="AX3" i="7"/>
  <c r="AY3" i="7" s="1"/>
  <c r="AZ3" i="7" s="1"/>
  <c r="AU3" i="7"/>
  <c r="AV3" i="7" s="1"/>
  <c r="AW3" i="7" s="1"/>
  <c r="AR3" i="7"/>
  <c r="AS3" i="7" s="1"/>
  <c r="AT3" i="7" s="1"/>
  <c r="AO3" i="7"/>
  <c r="AP3" i="7" s="1"/>
  <c r="AQ3" i="7" s="1"/>
  <c r="AL3" i="7"/>
  <c r="AM3" i="7" s="1"/>
  <c r="AN3" i="7" s="1"/>
  <c r="AK3" i="7"/>
  <c r="AJ3" i="7"/>
  <c r="AI3" i="7"/>
  <c r="L18" i="1"/>
  <c r="S18" i="1"/>
  <c r="R18" i="1"/>
  <c r="Q18" i="1"/>
  <c r="AX10" i="7"/>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sharedStrings.xml><?xml version="1.0" encoding="utf-8"?>
<sst xmlns="http://schemas.openxmlformats.org/spreadsheetml/2006/main" count="425" uniqueCount="278">
  <si>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</si>
  <si>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</si>
  <si>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</si>
  <si>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</si>
  <si>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</si>
  <si>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</si>
  <si>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</si>
  <si>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</si>
  <si>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</si>
  <si>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</si>
  <si>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</si>
  <si>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</si>
  <si>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</si>
  <si>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</si>
  <si>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</si>
  <si>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</si>
  <si>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</si>
  <si>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</si>
  <si>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</si>
  <si>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</si>
  <si>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</si>
  <si>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</si>
  <si>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</si>
  <si>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</si>
  <si>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</si>
  <si>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</si>
  <si>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</si>
  <si>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</si>
  <si>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</si>
  <si>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</si>
  <si>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</si>
  <si>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</si>
  <si>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</si>
  <si>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</si>
  <si>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</si>
  <si>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</si>
  <si>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</si>
  <si>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</si>
  <si>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</si>
  <si>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</si>
  <si>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</si>
  <si>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</si>
  <si>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</si>
  <si>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</si>
  <si>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</si>
  <si>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</si>
  <si>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</si>
  <si>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</si>
  <si>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</si>
  <si>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</si>
  <si>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</si>
  <si>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</si>
  <si>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</si>
  <si>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</si>
  <si>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</si>
  <si>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</si>
  <si>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</si>
  <si>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</si>
  <si>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</si>
  <si>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</si>
  <si>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</si>
  <si>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</si>
  <si>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</si>
  <si>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</si>
  <si>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</si>
  <si>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</si>
  <si>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</si>
  <si>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</si>
  <si>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</si>
  <si>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</si>
  <si>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</si>
  <si>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</si>
  <si>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</si>
  <si>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</si>
  <si>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</si>
  <si>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</si>
  <si>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</si>
  <si>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</si>
  <si>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</si>
  <si>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</si>
  <si>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</si>
  <si>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</si>
  <si>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</si>
  <si>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</si>
  <si>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</si>
  <si>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</si>
  <si>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</si>
  <si>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</si>
  <si>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</si>
  <si>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</si>
  <si>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</si>
  <si>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</si>
  <si>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</si>
  <si>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</si>
  <si>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</si>
  <si>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</si>
  <si>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</si>
  <si>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</si>
  <si>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</si>
  <si>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</si>
  <si>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</si>
  <si>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</si>
  <si>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</si>
  <si>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</si>
  <si>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</si>
  <si>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</si>
  <si>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</si>
  <si>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</si>
  <si>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</si>
  <si>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</si>
  <si>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</si>
  <si>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</si>
  <si>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</si>
  <si>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</si>
  <si>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</si>
  <si>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</si>
  <si>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</si>
  <si>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</si>
  <si>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</si>
  <si>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</si>
  <si>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</si>
  <si>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</si>
  <si>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</si>
  <si>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</si>
  <si>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</si>
  <si>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</si>
  <si>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</si>
  <si>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</si>
  <si>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</si>
  <si>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</si>
  <si>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</si>
  <si>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</si>
  <si>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</si>
  <si>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</si>
  <si>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</si>
  <si>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</si>
  <si>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</si>
  <si>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</si>
  <si>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</si>
  <si>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</si>
  <si>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</si>
  <si>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</si>
  <si>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</si>
  <si>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</si>
  <si>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</si>
  <si>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</si>
  <si>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</si>
  <si>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</si>
  <si>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</si>
  <si>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</si>
  <si>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</si>
  <si>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</si>
  <si>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</si>
  <si>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</si>
  <si>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</si>
  <si>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</si>
  <si>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</si>
  <si>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</si>
  <si>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</si>
  <si>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</si>
  <si>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</si>
  <si>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</si>
  <si>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</si>
  <si>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</si>
  <si>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</si>
  <si>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</si>
  <si>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</si>
  <si>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</si>
  <si>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</si>
  <si>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</si>
  <si>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</si>
  <si>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</si>
  <si>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</si>
  <si>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</si>
  <si>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</si>
  <si>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</si>
  <si>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</si>
  <si>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</si>
  <si>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</si>
  <si>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</si>
  <si>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</si>
  <si>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</si>
  <si>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</si>
  <si>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</si>
  <si>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</si>
  <si>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</si>
  <si>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</si>
  <si>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</si>
  <si>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</si>
  <si>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</si>
  <si>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</si>
  <si>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</si>
  <si>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</si>
  <si>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</si>
  <si>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</si>
  <si>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</si>
  <si>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</si>
  <si>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</si>
  <si>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</si>
  <si>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</si>
  <si>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</si>
  <si>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</si>
  <si>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</si>
  <si>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</si>
  <si>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</si>
  <si>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</si>
  <si>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</si>
  <si>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</si>
  <si>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</si>
  <si>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</si>
  <si>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</si>
  <si>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</si>
  <si>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</si>
  <si>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</si>
  <si>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</si>
  <si>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</si>
  <si>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</si>
  <si>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</si>
  <si>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</si>
  <si>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</si>
  <si>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</si>
  <si>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</si>
  <si>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</si>
  <si>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</si>
  <si>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</si>
  <si>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</si>
  <si>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</si>
  <si>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</si>
  <si>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</si>
  <si>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</si>
  <si>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</si>
  <si>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</si>
  <si>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</si>
  <si>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</si>
  <si>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</si>
  <si>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</si>
  <si>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</si>
  <si>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</si>
  <si>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</si>
  <si>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</si>
  <si>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</si>
  <si>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</si>
  <si>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</si>
  <si>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</si>
  <si>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</si>
  <si>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</si>
  <si>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</si>
  <si>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</si>
  <si>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</si>
  <si>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</si>
  <si>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</si>
  <si>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IN</t>
  </si>
  <si>
    <t>ELC4H,ELC8H</t>
  </si>
  <si>
    <t>OUT</t>
  </si>
  <si>
    <t>~UC_Sets: R_E: AllRegions</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</si>
  <si>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</si>
  <si>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</si>
  <si>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</si>
  <si>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</si>
  <si>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</si>
  <si>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</si>
  <si>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</si>
  <si>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</si>
  <si>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</si>
  <si>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</si>
  <si>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</si>
  <si>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</si>
  <si>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</si>
  <si>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</si>
  <si>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</si>
  <si>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</si>
  <si>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</si>
  <si>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</si>
  <si>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</si>
  <si>
    <t>ELC4H</t>
  </si>
  <si>
    <t>Gas Turbine*</t>
  </si>
  <si>
    <t>Supercritical Coal, IGCC, coal_ccs</t>
  </si>
  <si>
    <t>~UC_T: LO~2030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</si>
</sst>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1">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xf numFmtId="0" fontId="3" fillId="0" borderId="0" xfId="0" quotePrefix="1" applyFon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8"/>
  <sheetViews>
    <sheetView workbookViewId="0">
      <selection activeCell="C18" sqref="C18"/>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26.5976562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26.59765625" bestFit="1" customWidth="1"/>
    <col min="17" max="17" width="10.1328125" bestFit="1" customWidth="1"/>
    <col min="18" max="18" width="8" bestFit="1" customWidth="1"/>
    <col min="19" max="19" width="7.33203125" bestFit="1" customWidth="1"/>
  </cols>
  <sheetData>
    <row r="2" spans="2:19" ht="17.25" thickBot="1" x14ac:dyDescent="0.55000000000000004">
      <c r="D2" s="2" t="s">
        <v>197</v>
      </c>
      <c r="N2" s="2" t="s">
        <v>89</v>
      </c>
    </row>
    <row r="3" spans="2:19" ht="15" thickTop="1" thickBot="1" x14ac:dyDescent="0.5">
      <c r="B3" t="s">
        <v>86</v>
      </c>
      <c r="C3" t="s">
        <v>87</v>
      </c>
      <c r="D3" s="3" t="s">
        <v>0</v>
      </c>
      <c r="E3" s="3" t="s">
        <v>2</v>
      </c>
      <c r="F3" s="3" t="s">
        <v>3</v>
      </c>
      <c r="G3" s="3" t="s">
        <v>1</v>
      </c>
      <c r="H3" s="3" t="s">
        <v>4</v>
      </c>
      <c r="I3" s="3" t="s">
        <v>74</v>
      </c>
      <c r="J3" s="3" t="s">
        <v>75</v>
      </c>
      <c r="K3" s="3" t="s">
        <v>82</v>
      </c>
      <c r="L3" s="3" t="s">
        <v>198</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276</v>
      </c>
      <c r="K15" s="1" t="s">
        <v>83</v>
      </c>
      <c r="L15" s="1">
        <f>dcost_data!C13</f>
        <v>110</v>
      </c>
      <c r="N15">
        <v>8</v>
      </c>
      <c r="O15">
        <v>0.15</v>
      </c>
      <c r="P15" t="str">
        <f t="shared" si="0"/>
        <v>Supercritical Coal, IGCC, coal_ccs</v>
      </c>
      <c r="Q15" t="str">
        <f t="shared" si="3"/>
        <v/>
      </c>
      <c r="R15" t="str">
        <f t="shared" si="1"/>
        <v/>
      </c>
      <c r="S15" t="str">
        <f t="shared" si="2"/>
        <v>-aggregated*</v>
      </c>
    </row>
    <row r="16" spans="2:19" x14ac:dyDescent="0.45">
      <c r="B16" t="s">
        <v>14</v>
      </c>
      <c r="C16" t="s">
        <v>28</v>
      </c>
      <c r="D16">
        <v>0.45</v>
      </c>
      <c r="E16">
        <v>6</v>
      </c>
      <c r="F16">
        <v>0.25</v>
      </c>
      <c r="G16">
        <v>0.05</v>
      </c>
      <c r="H16" t="str">
        <f>H15</f>
        <v>Supercritical Coal, IGCC, coal_ccs</v>
      </c>
      <c r="I16" t="s">
        <v>76</v>
      </c>
      <c r="J16" t="s">
        <v>79</v>
      </c>
      <c r="K16" s="1" t="s">
        <v>83</v>
      </c>
      <c r="L16" s="1">
        <f>dcost_data!C14</f>
        <v>100</v>
      </c>
      <c r="N16">
        <v>6</v>
      </c>
      <c r="O16">
        <v>0.25</v>
      </c>
      <c r="P16" t="str">
        <f t="shared" si="0"/>
        <v>Supercritical Coal, IGCC, coal_ccs</v>
      </c>
      <c r="Q16" t="str">
        <f t="shared" si="3"/>
        <v>PASTI</v>
      </c>
      <c r="R16" t="str">
        <f t="shared" si="1"/>
        <v>&lt;.5</v>
      </c>
      <c r="S16" t="str">
        <f t="shared" si="2"/>
        <v>-aggregated*</v>
      </c>
    </row>
    <row r="17" spans="2:19" x14ac:dyDescent="0.45">
      <c r="B17" t="s">
        <v>5</v>
      </c>
      <c r="C17" t="s">
        <v>30</v>
      </c>
      <c r="D17">
        <v>0.70000000000000007</v>
      </c>
      <c r="E17">
        <v>24</v>
      </c>
      <c r="F17">
        <v>0.05</v>
      </c>
      <c r="G17">
        <v>0.1</v>
      </c>
      <c r="H17" t="s">
        <v>246</v>
      </c>
      <c r="K17" s="1" t="s">
        <v>83</v>
      </c>
      <c r="L17" s="1">
        <f>dcost_data!C15</f>
        <v>500</v>
      </c>
      <c r="N17">
        <v>24</v>
      </c>
      <c r="O17">
        <v>0.05</v>
      </c>
      <c r="P17" t="str">
        <f t="shared" si="0"/>
        <v>Nuclear P</v>
      </c>
      <c r="Q17" t="str">
        <f t="shared" si="3"/>
        <v/>
      </c>
      <c r="R17" t="str">
        <f t="shared" si="1"/>
        <v/>
      </c>
      <c r="S17" t="str">
        <f t="shared" si="2"/>
        <v>-aggregated*</v>
      </c>
    </row>
    <row r="18" spans="2:19" x14ac:dyDescent="0.45">
      <c r="B18" s="15" t="s">
        <v>15</v>
      </c>
      <c r="C18" s="15" t="s">
        <v>19</v>
      </c>
      <c r="D18" s="15">
        <v>0</v>
      </c>
      <c r="E18" s="15">
        <v>0.5</v>
      </c>
      <c r="F18" s="15">
        <v>1.2</v>
      </c>
      <c r="G18" s="15">
        <v>0.01</v>
      </c>
      <c r="H18" s="15"/>
      <c r="I18" s="15"/>
      <c r="J18" s="15"/>
      <c r="K18" s="20" t="s">
        <v>275</v>
      </c>
      <c r="L18" s="20">
        <f>L6</f>
        <v>30</v>
      </c>
      <c r="M18" s="15"/>
      <c r="N18" s="15">
        <v>0.5</v>
      </c>
      <c r="O18" s="15">
        <v>1.2</v>
      </c>
      <c r="P18" s="15"/>
      <c r="Q18" s="15" t="str">
        <f t="shared" ref="Q18" si="4">IF(I18="","",I18)</f>
        <v/>
      </c>
      <c r="R18" s="15" t="str">
        <f t="shared" ref="R18" si="5">IF(J18="","",J18)</f>
        <v/>
      </c>
      <c r="S18" s="15" t="str">
        <f t="shared" ref="S18" si="6">IF(K18="","",K18)</f>
        <v>Gas Turbine*</v>
      </c>
    </row>
  </sheetData>
  <sortState xmlns:xlrd2="http://schemas.microsoft.com/office/spreadsheetml/2017/richdata2" ref="A4:P17">
    <sortCondition ref="A4:A1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BC26"/>
  <sheetViews>
    <sheetView tabSelected="1" topLeftCell="R1" workbookViewId="0">
      <selection activeCell="AU4" sqref="AU4"/>
    </sheetView>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5" ht="17.25" thickBot="1" x14ac:dyDescent="0.55000000000000004">
      <c r="B2" s="16" t="s">
        <v>199</v>
      </c>
      <c r="AD2" s="2" t="s">
        <v>200</v>
      </c>
    </row>
    <row r="3" spans="2:55" ht="15" thickTop="1" thickBot="1" x14ac:dyDescent="0.5">
      <c r="B3" t="s">
        <v>201</v>
      </c>
      <c r="C3" t="s">
        <v>202</v>
      </c>
      <c r="D3" t="s">
        <v>203</v>
      </c>
      <c r="E3" t="s">
        <v>204</v>
      </c>
      <c r="F3" t="s">
        <v>205</v>
      </c>
      <c r="G3" t="s">
        <v>206</v>
      </c>
      <c r="H3" t="s">
        <v>207</v>
      </c>
      <c r="I3" t="s">
        <v>208</v>
      </c>
      <c r="J3" t="s">
        <v>209</v>
      </c>
      <c r="K3">
        <v>1</v>
      </c>
      <c r="L3">
        <v>39</v>
      </c>
      <c r="M3">
        <v>40</v>
      </c>
      <c r="N3">
        <v>41</v>
      </c>
      <c r="O3">
        <v>79</v>
      </c>
      <c r="P3">
        <v>80</v>
      </c>
      <c r="Q3">
        <v>81</v>
      </c>
      <c r="R3">
        <v>119</v>
      </c>
      <c r="S3">
        <v>120</v>
      </c>
      <c r="T3">
        <v>121</v>
      </c>
      <c r="U3">
        <v>159</v>
      </c>
      <c r="V3">
        <v>160</v>
      </c>
      <c r="W3">
        <v>161</v>
      </c>
      <c r="X3">
        <v>199</v>
      </c>
      <c r="Y3">
        <v>200</v>
      </c>
      <c r="AD3" s="3" t="s">
        <v>210</v>
      </c>
      <c r="AE3" s="3">
        <f t="shared" ref="AE3:AS4" si="0">K3</f>
        <v>1</v>
      </c>
      <c r="AF3" s="3">
        <f t="shared" si="0"/>
        <v>39</v>
      </c>
      <c r="AG3" s="3">
        <f t="shared" si="0"/>
        <v>40</v>
      </c>
      <c r="AH3" s="3">
        <f t="shared" si="0"/>
        <v>41</v>
      </c>
      <c r="AI3" s="3">
        <f>AH3+20-2</f>
        <v>59</v>
      </c>
      <c r="AJ3" s="3">
        <f>AI3+1</f>
        <v>60</v>
      </c>
      <c r="AK3" s="3">
        <f>AJ3+1</f>
        <v>61</v>
      </c>
      <c r="AL3" s="3">
        <f>AK3+20-2</f>
        <v>79</v>
      </c>
      <c r="AM3" s="3">
        <f>AL3+1</f>
        <v>80</v>
      </c>
      <c r="AN3" s="3">
        <f>AM3+1</f>
        <v>81</v>
      </c>
      <c r="AO3" s="3">
        <f>AN3+20-2</f>
        <v>99</v>
      </c>
      <c r="AP3" s="3">
        <f>AO3+1</f>
        <v>100</v>
      </c>
      <c r="AQ3" s="3">
        <f>AP3+1</f>
        <v>101</v>
      </c>
      <c r="AR3" s="3">
        <f>AQ3+20-2</f>
        <v>119</v>
      </c>
      <c r="AS3" s="3">
        <f>AR3+1</f>
        <v>120</v>
      </c>
      <c r="AT3" s="3">
        <f>AS3+1</f>
        <v>121</v>
      </c>
      <c r="AU3" s="3">
        <f>AT3+20-2</f>
        <v>139</v>
      </c>
      <c r="AV3" s="3">
        <f>AU3+1</f>
        <v>140</v>
      </c>
      <c r="AW3" s="3">
        <f>AV3+1</f>
        <v>141</v>
      </c>
      <c r="AX3" s="3">
        <f>AW3+20-2</f>
        <v>159</v>
      </c>
      <c r="AY3" s="3">
        <f>AX3+1</f>
        <v>160</v>
      </c>
      <c r="AZ3" s="3">
        <f>AY3+1</f>
        <v>161</v>
      </c>
      <c r="BA3" s="3">
        <f>AZ3+20-2</f>
        <v>179</v>
      </c>
      <c r="BB3" s="3">
        <f>BA3+1</f>
        <v>180</v>
      </c>
      <c r="BC3" s="3">
        <f>BB3+1</f>
        <v>181</v>
      </c>
    </row>
    <row r="4" spans="2:55" x14ac:dyDescent="0.45">
      <c r="B4" t="s">
        <v>211</v>
      </c>
      <c r="C4" t="s">
        <v>212</v>
      </c>
      <c r="D4" t="s">
        <v>213</v>
      </c>
      <c r="E4" t="s">
        <v>213</v>
      </c>
      <c r="F4" t="s">
        <v>214</v>
      </c>
      <c r="G4" s="17">
        <v>39.18</v>
      </c>
      <c r="H4" s="17" t="s">
        <v>215</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c r="AT4">
        <f>AN4</f>
        <v>1</v>
      </c>
      <c r="AU4">
        <f t="shared" ref="AU4:AU5" si="2">AO4</f>
        <v>1.1100000000000001</v>
      </c>
      <c r="AV4">
        <f t="shared" ref="AV4:AV5" si="3">AP4</f>
        <v>6.18</v>
      </c>
      <c r="AW4">
        <f t="shared" ref="AW4:AW5" si="4">AQ4</f>
        <v>1</v>
      </c>
      <c r="AX4">
        <f t="shared" ref="AX4:AX5" si="5">AR4</f>
        <v>1.1100000000000001</v>
      </c>
      <c r="AY4">
        <f t="shared" ref="AY4:AY5" si="6">AS4</f>
        <v>6.18</v>
      </c>
      <c r="AZ4">
        <f t="shared" ref="AZ4:AZ5" si="7">AT4</f>
        <v>1</v>
      </c>
      <c r="BA4">
        <f t="shared" ref="BA4:BA5" si="8">AU4</f>
        <v>1.1100000000000001</v>
      </c>
      <c r="BB4">
        <f t="shared" ref="BB4:BB5" si="9">AV4</f>
        <v>6.18</v>
      </c>
      <c r="BC4">
        <f t="shared" ref="BC4:BC5" si="10">AW4</f>
        <v>1</v>
      </c>
    </row>
    <row r="5" spans="2:55" x14ac:dyDescent="0.45">
      <c r="B5" t="s">
        <v>216</v>
      </c>
      <c r="C5" t="s">
        <v>213</v>
      </c>
      <c r="D5" t="s">
        <v>217</v>
      </c>
      <c r="E5" t="s">
        <v>213</v>
      </c>
      <c r="F5" t="s">
        <v>214</v>
      </c>
      <c r="G5" s="17">
        <v>19.34</v>
      </c>
      <c r="H5" s="17" t="s">
        <v>215</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c r="AT5">
        <f t="shared" ref="AT5" si="11">AN5</f>
        <v>1</v>
      </c>
      <c r="AU5">
        <f t="shared" si="2"/>
        <v>1.48</v>
      </c>
      <c r="AV5">
        <f t="shared" si="3"/>
        <v>10</v>
      </c>
      <c r="AW5">
        <f t="shared" si="4"/>
        <v>1</v>
      </c>
      <c r="AX5">
        <f t="shared" si="5"/>
        <v>1.48</v>
      </c>
      <c r="AY5">
        <f t="shared" si="6"/>
        <v>10</v>
      </c>
      <c r="AZ5">
        <f t="shared" si="7"/>
        <v>1</v>
      </c>
      <c r="BA5">
        <f t="shared" si="8"/>
        <v>1.48</v>
      </c>
      <c r="BB5">
        <f t="shared" si="9"/>
        <v>10</v>
      </c>
      <c r="BC5">
        <f t="shared" si="10"/>
        <v>1</v>
      </c>
    </row>
    <row r="7" spans="2:55" ht="17.25" thickBot="1" x14ac:dyDescent="0.55000000000000004">
      <c r="AD7" s="2" t="s">
        <v>200</v>
      </c>
    </row>
    <row r="8" spans="2:55" ht="15" thickTop="1" thickBot="1" x14ac:dyDescent="0.5">
      <c r="B8" t="s">
        <v>201</v>
      </c>
      <c r="C8" t="s">
        <v>202</v>
      </c>
      <c r="D8" t="s">
        <v>203</v>
      </c>
      <c r="E8" t="s">
        <v>204</v>
      </c>
      <c r="F8" t="s">
        <v>205</v>
      </c>
      <c r="G8" t="s">
        <v>206</v>
      </c>
      <c r="H8" t="s">
        <v>209</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210</v>
      </c>
      <c r="AE8" s="3">
        <f t="shared" ref="AE8:AT10" si="12">I8</f>
        <v>1</v>
      </c>
      <c r="AF8" s="3">
        <f t="shared" si="12"/>
        <v>29</v>
      </c>
      <c r="AG8" s="3">
        <f t="shared" si="12"/>
        <v>30</v>
      </c>
      <c r="AH8" s="3">
        <f t="shared" si="12"/>
        <v>31</v>
      </c>
      <c r="AI8" s="3">
        <f t="shared" si="12"/>
        <v>59</v>
      </c>
      <c r="AJ8" s="3">
        <f t="shared" si="12"/>
        <v>60</v>
      </c>
      <c r="AK8" s="3">
        <f t="shared" si="12"/>
        <v>61</v>
      </c>
      <c r="AL8" s="3">
        <f t="shared" si="12"/>
        <v>89</v>
      </c>
      <c r="AM8" s="3">
        <f t="shared" si="12"/>
        <v>90</v>
      </c>
      <c r="AN8" s="3">
        <f t="shared" si="12"/>
        <v>91</v>
      </c>
      <c r="AO8" s="3">
        <f t="shared" si="12"/>
        <v>119</v>
      </c>
      <c r="AP8" s="3">
        <f t="shared" si="12"/>
        <v>120</v>
      </c>
      <c r="AQ8" s="3">
        <f t="shared" si="12"/>
        <v>121</v>
      </c>
      <c r="AR8" s="3">
        <f t="shared" si="12"/>
        <v>149</v>
      </c>
      <c r="AS8" s="3">
        <f t="shared" si="12"/>
        <v>150</v>
      </c>
      <c r="AT8" s="3">
        <f t="shared" si="12"/>
        <v>151</v>
      </c>
      <c r="AU8" s="3">
        <f t="shared" ref="AO8:AX10" si="13">Y8</f>
        <v>179</v>
      </c>
      <c r="AV8" s="3">
        <f t="shared" si="13"/>
        <v>180</v>
      </c>
      <c r="AW8" s="3">
        <f t="shared" si="13"/>
        <v>181</v>
      </c>
      <c r="AX8" s="3">
        <f t="shared" si="13"/>
        <v>200</v>
      </c>
    </row>
    <row r="9" spans="2:55" x14ac:dyDescent="0.45">
      <c r="B9" t="s">
        <v>218</v>
      </c>
      <c r="C9" t="s">
        <v>213</v>
      </c>
      <c r="D9" t="s">
        <v>213</v>
      </c>
      <c r="E9" t="s">
        <v>213</v>
      </c>
      <c r="F9" t="s">
        <v>219</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14">H9</f>
        <v>83</v>
      </c>
      <c r="AE9">
        <f t="shared" si="12"/>
        <v>1</v>
      </c>
      <c r="AF9">
        <f t="shared" si="12"/>
        <v>1</v>
      </c>
      <c r="AG9">
        <f t="shared" si="12"/>
        <v>3.72</v>
      </c>
      <c r="AH9">
        <f t="shared" si="12"/>
        <v>1</v>
      </c>
      <c r="AI9">
        <f t="shared" si="12"/>
        <v>1</v>
      </c>
      <c r="AJ9">
        <f t="shared" si="12"/>
        <v>3.72</v>
      </c>
      <c r="AK9">
        <f t="shared" si="12"/>
        <v>1</v>
      </c>
      <c r="AL9">
        <f t="shared" si="12"/>
        <v>1</v>
      </c>
      <c r="AM9">
        <f t="shared" si="12"/>
        <v>3.72</v>
      </c>
      <c r="AN9">
        <f t="shared" si="12"/>
        <v>1</v>
      </c>
      <c r="AO9">
        <f t="shared" si="13"/>
        <v>1</v>
      </c>
      <c r="AP9">
        <f t="shared" si="13"/>
        <v>3.72</v>
      </c>
      <c r="AQ9">
        <f t="shared" si="13"/>
        <v>1</v>
      </c>
      <c r="AR9">
        <f t="shared" si="13"/>
        <v>1</v>
      </c>
      <c r="AS9">
        <f t="shared" si="13"/>
        <v>3.72</v>
      </c>
      <c r="AT9">
        <f t="shared" si="13"/>
        <v>1</v>
      </c>
      <c r="AU9">
        <f t="shared" si="13"/>
        <v>1</v>
      </c>
      <c r="AV9">
        <f t="shared" si="13"/>
        <v>3.72</v>
      </c>
      <c r="AW9">
        <f t="shared" si="13"/>
        <v>1</v>
      </c>
      <c r="AX9">
        <f t="shared" si="13"/>
        <v>3.72</v>
      </c>
    </row>
    <row r="10" spans="2:55" x14ac:dyDescent="0.45">
      <c r="B10" t="s">
        <v>220</v>
      </c>
      <c r="C10" t="s">
        <v>213</v>
      </c>
      <c r="D10" t="s">
        <v>213</v>
      </c>
      <c r="E10" t="s">
        <v>213</v>
      </c>
      <c r="F10" t="s">
        <v>219</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14"/>
        <v>84</v>
      </c>
      <c r="AE10">
        <f t="shared" si="12"/>
        <v>1</v>
      </c>
      <c r="AF10">
        <f t="shared" si="12"/>
        <v>1</v>
      </c>
      <c r="AG10">
        <f t="shared" si="12"/>
        <v>13.27</v>
      </c>
      <c r="AH10">
        <f t="shared" si="12"/>
        <v>1</v>
      </c>
      <c r="AI10">
        <f t="shared" si="12"/>
        <v>1</v>
      </c>
      <c r="AJ10">
        <f t="shared" si="12"/>
        <v>13.27</v>
      </c>
      <c r="AK10">
        <f t="shared" si="12"/>
        <v>1</v>
      </c>
      <c r="AL10">
        <f t="shared" si="12"/>
        <v>1</v>
      </c>
      <c r="AM10">
        <f t="shared" si="12"/>
        <v>13.27</v>
      </c>
      <c r="AN10">
        <f t="shared" si="12"/>
        <v>1</v>
      </c>
      <c r="AO10">
        <f t="shared" si="13"/>
        <v>1</v>
      </c>
      <c r="AP10">
        <f t="shared" si="13"/>
        <v>13.27</v>
      </c>
      <c r="AQ10">
        <f t="shared" si="13"/>
        <v>1</v>
      </c>
      <c r="AR10">
        <f t="shared" si="13"/>
        <v>1</v>
      </c>
      <c r="AS10">
        <f t="shared" si="13"/>
        <v>13.27</v>
      </c>
      <c r="AT10">
        <f t="shared" si="13"/>
        <v>1</v>
      </c>
      <c r="AU10">
        <f t="shared" si="13"/>
        <v>1</v>
      </c>
      <c r="AV10">
        <f t="shared" si="13"/>
        <v>13.27</v>
      </c>
      <c r="AW10">
        <f t="shared" si="13"/>
        <v>1</v>
      </c>
      <c r="AX10">
        <f t="shared" si="13"/>
        <v>13.27</v>
      </c>
    </row>
    <row r="13" spans="2:55" x14ac:dyDescent="0.45">
      <c r="B13" s="16" t="s">
        <v>221</v>
      </c>
    </row>
    <row r="14" spans="2:55" x14ac:dyDescent="0.45">
      <c r="B14" s="18" t="s">
        <v>222</v>
      </c>
      <c r="C14" s="18"/>
      <c r="D14" s="18"/>
    </row>
    <row r="15" spans="2:55" x14ac:dyDescent="0.45">
      <c r="B15" s="18" t="s">
        <v>223</v>
      </c>
      <c r="C15" s="18"/>
      <c r="D15" s="18"/>
    </row>
    <row r="16" spans="2:55" x14ac:dyDescent="0.45">
      <c r="B16" s="18" t="s">
        <v>224</v>
      </c>
      <c r="C16" s="18"/>
      <c r="D16" s="18"/>
    </row>
    <row r="18" spans="2:12" x14ac:dyDescent="0.45">
      <c r="B18" s="18" t="s">
        <v>225</v>
      </c>
      <c r="C18" s="18" t="s">
        <v>226</v>
      </c>
      <c r="D18" s="18" t="s">
        <v>227</v>
      </c>
    </row>
    <row r="19" spans="2:12" x14ac:dyDescent="0.45">
      <c r="B19" s="18" t="s">
        <v>228</v>
      </c>
      <c r="C19" s="18" t="s">
        <v>229</v>
      </c>
      <c r="D19" s="18">
        <v>253</v>
      </c>
    </row>
    <row r="20" spans="2:12" ht="17.25" thickBot="1" x14ac:dyDescent="0.55000000000000004">
      <c r="B20" s="18" t="s">
        <v>230</v>
      </c>
      <c r="C20" s="18" t="s">
        <v>229</v>
      </c>
      <c r="D20" s="18">
        <v>203</v>
      </c>
      <c r="H20" s="2" t="s">
        <v>231</v>
      </c>
    </row>
    <row r="21" spans="2:12" ht="15" thickTop="1" thickBot="1" x14ac:dyDescent="0.5">
      <c r="B21" s="18" t="s">
        <v>232</v>
      </c>
      <c r="C21" s="18" t="s">
        <v>233</v>
      </c>
      <c r="D21" s="18">
        <v>82</v>
      </c>
      <c r="H21" s="3" t="s">
        <v>234</v>
      </c>
      <c r="I21" s="3" t="s">
        <v>235</v>
      </c>
      <c r="J21" s="3" t="s">
        <v>236</v>
      </c>
      <c r="K21" s="3">
        <v>2019</v>
      </c>
      <c r="L21" s="3">
        <v>0</v>
      </c>
    </row>
    <row r="22" spans="2:12" x14ac:dyDescent="0.45">
      <c r="B22" s="18" t="s">
        <v>237</v>
      </c>
      <c r="C22" s="18" t="s">
        <v>233</v>
      </c>
      <c r="D22" s="18">
        <v>242</v>
      </c>
      <c r="H22" t="s">
        <v>238</v>
      </c>
      <c r="I22" t="s">
        <v>244</v>
      </c>
      <c r="J22" t="s">
        <v>245</v>
      </c>
      <c r="K22">
        <f>AD4</f>
        <v>81</v>
      </c>
      <c r="L22">
        <v>2</v>
      </c>
    </row>
    <row r="23" spans="2:12" x14ac:dyDescent="0.45">
      <c r="B23" s="18" t="s">
        <v>239</v>
      </c>
      <c r="C23" s="18" t="s">
        <v>233</v>
      </c>
      <c r="D23" s="18">
        <v>226</v>
      </c>
      <c r="H23" t="s">
        <v>238</v>
      </c>
      <c r="I23" t="s">
        <v>80</v>
      </c>
      <c r="K23">
        <f>AD5</f>
        <v>82</v>
      </c>
      <c r="L23">
        <v>2</v>
      </c>
    </row>
    <row r="24" spans="2:12" x14ac:dyDescent="0.45">
      <c r="B24" s="18" t="s">
        <v>240</v>
      </c>
      <c r="C24" s="18" t="s">
        <v>229</v>
      </c>
      <c r="D24" s="18">
        <v>174</v>
      </c>
      <c r="H24" t="s">
        <v>238</v>
      </c>
      <c r="I24" t="s">
        <v>22</v>
      </c>
      <c r="K24">
        <f>AD9</f>
        <v>83</v>
      </c>
      <c r="L24">
        <v>2</v>
      </c>
    </row>
    <row r="25" spans="2:12" x14ac:dyDescent="0.45">
      <c r="B25" s="18" t="s">
        <v>241</v>
      </c>
      <c r="C25" s="18" t="s">
        <v>229</v>
      </c>
      <c r="D25" s="18">
        <v>258</v>
      </c>
      <c r="H25" t="s">
        <v>238</v>
      </c>
      <c r="I25" t="s">
        <v>15</v>
      </c>
      <c r="K25">
        <f>AD10</f>
        <v>84</v>
      </c>
      <c r="L25">
        <v>2</v>
      </c>
    </row>
    <row r="26" spans="2:12" x14ac:dyDescent="0.45">
      <c r="B26" s="18" t="s">
        <v>242</v>
      </c>
      <c r="C26" s="18" t="s">
        <v>243</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196</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90</v>
      </c>
    </row>
    <row r="3" spans="1:5" x14ac:dyDescent="0.45">
      <c r="A3" s="11" t="s">
        <v>91</v>
      </c>
      <c r="B3" s="11" t="s">
        <v>92</v>
      </c>
      <c r="C3" s="11" t="s">
        <v>93</v>
      </c>
      <c r="D3" s="11" t="s">
        <v>94</v>
      </c>
      <c r="E3" s="11" t="s">
        <v>95</v>
      </c>
    </row>
    <row r="4" spans="1:5" ht="85.5" x14ac:dyDescent="0.45">
      <c r="A4" s="12" t="s">
        <v>96</v>
      </c>
      <c r="B4" s="13" t="s">
        <v>97</v>
      </c>
      <c r="C4" s="14" t="s">
        <v>98</v>
      </c>
      <c r="D4" s="14" t="s">
        <v>99</v>
      </c>
      <c r="E4" s="14" t="s">
        <v>100</v>
      </c>
    </row>
    <row r="5" spans="1:5" ht="142.5" x14ac:dyDescent="0.45">
      <c r="A5" s="12" t="s">
        <v>101</v>
      </c>
      <c r="B5" s="14" t="s">
        <v>102</v>
      </c>
      <c r="C5" s="14" t="s">
        <v>103</v>
      </c>
      <c r="D5" s="14" t="s">
        <v>104</v>
      </c>
      <c r="E5" s="14" t="s">
        <v>105</v>
      </c>
    </row>
    <row r="6" spans="1:5" ht="114" x14ac:dyDescent="0.45">
      <c r="A6" s="12" t="s">
        <v>106</v>
      </c>
      <c r="B6" s="13" t="s">
        <v>107</v>
      </c>
      <c r="C6" s="14" t="s">
        <v>108</v>
      </c>
      <c r="D6" s="14" t="s">
        <v>109</v>
      </c>
      <c r="E6" s="14" t="s">
        <v>110</v>
      </c>
    </row>
    <row r="7" spans="1:5" ht="185.25" x14ac:dyDescent="0.45">
      <c r="A7" s="12" t="s">
        <v>111</v>
      </c>
      <c r="B7" s="12" t="s">
        <v>112</v>
      </c>
      <c r="C7" s="14" t="s">
        <v>113</v>
      </c>
      <c r="D7" s="12" t="s">
        <v>114</v>
      </c>
      <c r="E7" s="14" t="s">
        <v>115</v>
      </c>
    </row>
    <row r="8" spans="1:5" ht="128.25" x14ac:dyDescent="0.45">
      <c r="A8" s="12" t="s">
        <v>116</v>
      </c>
      <c r="B8" s="13" t="s">
        <v>117</v>
      </c>
      <c r="C8" s="14" t="s">
        <v>118</v>
      </c>
      <c r="D8" s="14" t="s">
        <v>119</v>
      </c>
      <c r="E8" s="14" t="s">
        <v>120</v>
      </c>
    </row>
    <row r="9" spans="1:5" ht="128.25" x14ac:dyDescent="0.45">
      <c r="A9" s="12" t="s">
        <v>121</v>
      </c>
      <c r="B9" s="12" t="s">
        <v>122</v>
      </c>
      <c r="C9" s="14" t="s">
        <v>123</v>
      </c>
      <c r="D9" s="14" t="s">
        <v>124</v>
      </c>
      <c r="E9" s="14" t="s">
        <v>125</v>
      </c>
    </row>
    <row r="10" spans="1:5" ht="114" x14ac:dyDescent="0.45">
      <c r="A10" s="12" t="s">
        <v>126</v>
      </c>
      <c r="B10" s="13" t="s">
        <v>127</v>
      </c>
      <c r="C10" s="14" t="s">
        <v>128</v>
      </c>
      <c r="D10" s="14" t="s">
        <v>129</v>
      </c>
      <c r="E10" s="14" t="s">
        <v>130</v>
      </c>
    </row>
    <row r="11" spans="1:5" ht="128.25" x14ac:dyDescent="0.45">
      <c r="A11" s="12" t="s">
        <v>131</v>
      </c>
      <c r="B11" s="12" t="s">
        <v>132</v>
      </c>
      <c r="C11" s="14" t="s">
        <v>133</v>
      </c>
      <c r="D11" s="14" t="s">
        <v>134</v>
      </c>
      <c r="E11" s="14" t="s">
        <v>135</v>
      </c>
    </row>
    <row r="12" spans="1:5" ht="128.25" x14ac:dyDescent="0.45">
      <c r="A12" s="12" t="s">
        <v>136</v>
      </c>
      <c r="B12" s="13" t="s">
        <v>137</v>
      </c>
      <c r="C12" s="14" t="s">
        <v>138</v>
      </c>
      <c r="D12" s="14" t="s">
        <v>139</v>
      </c>
      <c r="E12" s="14" t="s">
        <v>140</v>
      </c>
    </row>
    <row r="13" spans="1:5" ht="185.25" x14ac:dyDescent="0.45">
      <c r="A13" s="12" t="s">
        <v>141</v>
      </c>
      <c r="B13" s="13" t="s">
        <v>142</v>
      </c>
      <c r="C13" s="14" t="s">
        <v>143</v>
      </c>
      <c r="D13" s="14" t="s">
        <v>144</v>
      </c>
      <c r="E13" s="14" t="s">
        <v>145</v>
      </c>
    </row>
    <row r="14" spans="1:5" ht="228" x14ac:dyDescent="0.45">
      <c r="A14" s="12" t="s">
        <v>146</v>
      </c>
      <c r="B14" s="12" t="s">
        <v>147</v>
      </c>
      <c r="C14" s="14" t="s">
        <v>148</v>
      </c>
      <c r="D14" s="12" t="s">
        <v>149</v>
      </c>
      <c r="E14" s="14" t="s">
        <v>150</v>
      </c>
    </row>
    <row r="15" spans="1:5" ht="171" x14ac:dyDescent="0.45">
      <c r="A15" s="12" t="s">
        <v>151</v>
      </c>
      <c r="B15" s="13" t="s">
        <v>152</v>
      </c>
      <c r="C15" s="14" t="s">
        <v>153</v>
      </c>
      <c r="D15" s="14" t="s">
        <v>154</v>
      </c>
      <c r="E15" s="14" t="s">
        <v>155</v>
      </c>
    </row>
    <row r="16" spans="1:5" ht="156.75" x14ac:dyDescent="0.45">
      <c r="A16" s="12" t="s">
        <v>156</v>
      </c>
      <c r="B16" s="12" t="s">
        <v>157</v>
      </c>
      <c r="C16" s="14" t="s">
        <v>158</v>
      </c>
      <c r="D16" s="14" t="s">
        <v>159</v>
      </c>
      <c r="E16" s="14" t="s">
        <v>160</v>
      </c>
    </row>
    <row r="17" spans="1:5" ht="156.75" x14ac:dyDescent="0.45">
      <c r="A17" s="12" t="s">
        <v>161</v>
      </c>
      <c r="B17" s="12" t="s">
        <v>162</v>
      </c>
      <c r="C17" s="14" t="s">
        <v>163</v>
      </c>
      <c r="D17" s="14" t="s">
        <v>164</v>
      </c>
      <c r="E17" s="14" t="s">
        <v>165</v>
      </c>
    </row>
    <row r="18" spans="1:5" ht="171" x14ac:dyDescent="0.45">
      <c r="A18" s="12" t="s">
        <v>166</v>
      </c>
      <c r="B18" s="12" t="s">
        <v>167</v>
      </c>
      <c r="C18" s="14" t="s">
        <v>168</v>
      </c>
      <c r="D18" s="14" t="s">
        <v>169</v>
      </c>
      <c r="E18" s="14" t="s">
        <v>170</v>
      </c>
    </row>
    <row r="19" spans="1:5" ht="128.25" x14ac:dyDescent="0.45">
      <c r="A19" s="12" t="s">
        <v>171</v>
      </c>
      <c r="B19" s="13" t="s">
        <v>172</v>
      </c>
      <c r="C19" s="14" t="s">
        <v>173</v>
      </c>
      <c r="D19" s="14" t="s">
        <v>174</v>
      </c>
      <c r="E19" s="14" t="s">
        <v>175</v>
      </c>
    </row>
    <row r="20" spans="1:5" ht="142.5" x14ac:dyDescent="0.45">
      <c r="A20" s="12" t="s">
        <v>176</v>
      </c>
      <c r="B20" s="12" t="s">
        <v>177</v>
      </c>
      <c r="C20" s="14" t="s">
        <v>178</v>
      </c>
      <c r="D20" s="14" t="s">
        <v>179</v>
      </c>
      <c r="E20" s="14" t="s">
        <v>180</v>
      </c>
    </row>
    <row r="21" spans="1:5" ht="185.25" x14ac:dyDescent="0.45">
      <c r="A21" s="12" t="s">
        <v>181</v>
      </c>
      <c r="B21" s="12" t="s">
        <v>182</v>
      </c>
      <c r="C21" s="14" t="s">
        <v>183</v>
      </c>
      <c r="D21" s="14" t="s">
        <v>184</v>
      </c>
      <c r="E21" s="14" t="s">
        <v>185</v>
      </c>
    </row>
    <row r="22" spans="1:5" ht="185.25" x14ac:dyDescent="0.45">
      <c r="A22" s="12" t="s">
        <v>186</v>
      </c>
      <c r="B22" s="12" t="s">
        <v>187</v>
      </c>
      <c r="C22" s="14" t="s">
        <v>188</v>
      </c>
      <c r="D22" s="14" t="s">
        <v>189</v>
      </c>
      <c r="E22" s="14" t="s">
        <v>190</v>
      </c>
    </row>
    <row r="23" spans="1:5" ht="242.25" x14ac:dyDescent="0.45">
      <c r="A23" s="12" t="s">
        <v>191</v>
      </c>
      <c r="B23" s="12" t="s">
        <v>192</v>
      </c>
      <c r="C23" s="14" t="s">
        <v>193</v>
      </c>
      <c r="D23" s="14" t="s">
        <v>194</v>
      </c>
      <c r="E23" s="14" t="s">
        <v>195</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workbookViewId="0">
      <selection activeCell="H21" sqref="H21"/>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247</v>
      </c>
    </row>
    <row r="4" spans="2:4" x14ac:dyDescent="0.45">
      <c r="B4" t="s">
        <v>248</v>
      </c>
      <c r="C4" t="s">
        <v>249</v>
      </c>
      <c r="D4" t="s">
        <v>250</v>
      </c>
    </row>
    <row r="5" spans="2:4" x14ac:dyDescent="0.45">
      <c r="B5" t="s">
        <v>270</v>
      </c>
      <c r="C5" t="s">
        <v>252</v>
      </c>
      <c r="D5" t="s">
        <v>251</v>
      </c>
    </row>
    <row r="6" spans="2:4" x14ac:dyDescent="0.45">
      <c r="B6" t="s">
        <v>271</v>
      </c>
      <c r="C6" t="s">
        <v>274</v>
      </c>
      <c r="D6" t="s">
        <v>251</v>
      </c>
    </row>
    <row r="7" spans="2:4" x14ac:dyDescent="0.45">
      <c r="B7" t="s">
        <v>272</v>
      </c>
      <c r="C7" t="s">
        <v>252</v>
      </c>
      <c r="D7" t="s">
        <v>253</v>
      </c>
    </row>
    <row r="17" spans="2:13" x14ac:dyDescent="0.45">
      <c r="B17" t="s">
        <v>254</v>
      </c>
    </row>
    <row r="20" spans="2:13" x14ac:dyDescent="0.45">
      <c r="H20" s="19" t="s">
        <v>277</v>
      </c>
    </row>
    <row r="21" spans="2:13" x14ac:dyDescent="0.45">
      <c r="B21" t="s">
        <v>255</v>
      </c>
      <c r="C21" t="s">
        <v>235</v>
      </c>
      <c r="D21" t="s">
        <v>256</v>
      </c>
      <c r="E21" t="s">
        <v>257</v>
      </c>
      <c r="F21" t="s">
        <v>258</v>
      </c>
      <c r="G21" t="s">
        <v>259</v>
      </c>
      <c r="H21" t="s">
        <v>260</v>
      </c>
      <c r="I21" t="s">
        <v>261</v>
      </c>
      <c r="J21" t="s">
        <v>262</v>
      </c>
      <c r="K21" t="s">
        <v>263</v>
      </c>
      <c r="L21" t="s">
        <v>264</v>
      </c>
      <c r="M21" t="s">
        <v>265</v>
      </c>
    </row>
    <row r="22" spans="2:13" x14ac:dyDescent="0.45">
      <c r="B22" t="s">
        <v>266</v>
      </c>
      <c r="C22" t="s">
        <v>267</v>
      </c>
      <c r="E22" t="s">
        <v>273</v>
      </c>
      <c r="I22">
        <v>1</v>
      </c>
      <c r="K22">
        <v>0</v>
      </c>
      <c r="L22">
        <v>5</v>
      </c>
      <c r="M22" t="s">
        <v>268</v>
      </c>
    </row>
    <row r="23" spans="2:13" x14ac:dyDescent="0.45">
      <c r="G23" t="s">
        <v>269</v>
      </c>
      <c r="J2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2026-05-30T12:27:54Z</dcterms:modified>
</cp:coreProperties>
</file>