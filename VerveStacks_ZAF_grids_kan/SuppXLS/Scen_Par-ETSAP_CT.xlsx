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7A34ED71-C666-437A-B69B-5D2835A13E7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  <c r="F72" i="1"/>
  <c r="F71" i="1"/>
  <c r="F70" i="1"/>
  <c r="F69" i="1"/>
  <c r="E69" i="1"/>
  <c r="F68" i="1"/>
  <c r="G67" i="1"/>
  <c r="F67" i="1"/>
  <c r="G66" i="1"/>
  <c r="F66" i="1"/>
  <c r="G65" i="1"/>
  <c r="F65" i="1"/>
  <c r="E65" i="1"/>
  <c r="G64" i="1"/>
  <c r="F64" i="1"/>
  <c r="G63" i="1"/>
  <c r="G71" i="1" s="1"/>
  <c r="F63" i="1"/>
  <c r="G62" i="1"/>
  <c r="G70" i="1" s="1"/>
  <c r="F62" i="1"/>
  <c r="G61" i="1"/>
  <c r="G69" i="1" s="1"/>
  <c r="F61" i="1"/>
  <c r="E61" i="1"/>
  <c r="G60" i="1"/>
  <c r="G68" i="1" s="1"/>
  <c r="F60" i="1"/>
  <c r="E60" i="1"/>
  <c r="E64" i="1" s="1"/>
  <c r="E68" i="1" s="1"/>
  <c r="E72" i="1" s="1"/>
  <c r="D60" i="1"/>
  <c r="D62" i="1" s="1"/>
  <c r="B60" i="1"/>
  <c r="G59" i="1"/>
  <c r="F59" i="1"/>
  <c r="E59" i="1"/>
  <c r="E63" i="1" s="1"/>
  <c r="E67" i="1" s="1"/>
  <c r="E71" i="1" s="1"/>
  <c r="G58" i="1"/>
  <c r="F58" i="1"/>
  <c r="E58" i="1"/>
  <c r="E62" i="1" s="1"/>
  <c r="E66" i="1" s="1"/>
  <c r="E70" i="1" s="1"/>
  <c r="D58" i="1"/>
  <c r="C58" i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B58" i="1"/>
  <c r="G57" i="1"/>
  <c r="F57" i="1"/>
  <c r="E57" i="1"/>
  <c r="D57" i="1"/>
  <c r="D59" i="1" s="1"/>
  <c r="C57" i="1"/>
  <c r="B57" i="1"/>
  <c r="S18" i="1"/>
  <c r="R18" i="1"/>
  <c r="Q18" i="1"/>
  <c r="P18" i="1"/>
  <c r="O18" i="1"/>
  <c r="N18" i="1"/>
  <c r="M18" i="1"/>
  <c r="S3" i="1"/>
  <c r="R3" i="1"/>
  <c r="Q3" i="1"/>
  <c r="P3" i="1"/>
  <c r="O3" i="1"/>
  <c r="N3" i="1"/>
  <c r="B11" i="4"/>
  <c r="B10" i="1"/>
  <c r="B9" i="1"/>
  <c r="F56" i="1"/>
  <c r="F48" i="1"/>
  <c r="F45" i="1"/>
  <c r="F44" i="1"/>
  <c r="F43" i="1"/>
  <c r="F40" i="1"/>
  <c r="F39" i="1"/>
  <c r="F55" i="1" s="1"/>
  <c r="F38" i="1"/>
  <c r="F54" i="1" s="1"/>
  <c r="F37" i="1"/>
  <c r="F53" i="1" s="1"/>
  <c r="F36" i="1"/>
  <c r="F52" i="1" s="1"/>
  <c r="F35" i="1"/>
  <c r="F51" i="1" s="1"/>
  <c r="F34" i="1"/>
  <c r="F50" i="1" s="1"/>
  <c r="F33" i="1"/>
  <c r="F49" i="1" s="1"/>
  <c r="F32" i="1"/>
  <c r="F31" i="1"/>
  <c r="F47" i="1" s="1"/>
  <c r="F30" i="1"/>
  <c r="F46" i="1" s="1"/>
  <c r="F29" i="1"/>
  <c r="F28" i="1"/>
  <c r="F27" i="1"/>
  <c r="F26" i="1"/>
  <c r="F42" i="1" s="1"/>
  <c r="F25" i="1"/>
  <c r="F41" i="1" s="1"/>
  <c r="G24" i="1"/>
  <c r="G32" i="1" s="1"/>
  <c r="G40" i="1" s="1"/>
  <c r="G48" i="1" s="1"/>
  <c r="G56" i="1" s="1"/>
  <c r="G23" i="1"/>
  <c r="G31" i="1" s="1"/>
  <c r="G39" i="1" s="1"/>
  <c r="G47" i="1" s="1"/>
  <c r="G55" i="1" s="1"/>
  <c r="G22" i="1"/>
  <c r="G30" i="1" s="1"/>
  <c r="G38" i="1" s="1"/>
  <c r="G46" i="1" s="1"/>
  <c r="G54" i="1" s="1"/>
  <c r="G21" i="1"/>
  <c r="G29" i="1" s="1"/>
  <c r="G37" i="1" s="1"/>
  <c r="G45" i="1" s="1"/>
  <c r="G53" i="1" s="1"/>
  <c r="G20" i="1"/>
  <c r="G28" i="1" s="1"/>
  <c r="G36" i="1" s="1"/>
  <c r="G44" i="1" s="1"/>
  <c r="G52" i="1" s="1"/>
  <c r="G19" i="1"/>
  <c r="G27" i="1" s="1"/>
  <c r="G35" i="1" s="1"/>
  <c r="G43" i="1" s="1"/>
  <c r="G51" i="1" s="1"/>
  <c r="G18" i="1"/>
  <c r="G26" i="1" s="1"/>
  <c r="G17" i="1"/>
  <c r="G25" i="1" s="1"/>
  <c r="G33" i="1" s="1"/>
  <c r="G41" i="1" s="1"/>
  <c r="G49" i="1" s="1"/>
  <c r="B59" i="1" l="1"/>
  <c r="D61" i="1"/>
  <c r="D64" i="1"/>
  <c r="B62" i="1"/>
  <c r="G34" i="1"/>
  <c r="G42" i="1" s="1"/>
  <c r="G50" i="1" s="1"/>
  <c r="M21" i="1"/>
  <c r="M20" i="1"/>
  <c r="M19" i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A8" i="15"/>
  <c r="A9" i="15"/>
  <c r="A10" i="15"/>
  <c r="A11" i="15"/>
  <c r="A12" i="15"/>
  <c r="A7" i="15"/>
  <c r="B61" i="1" l="1"/>
  <c r="D63" i="1"/>
  <c r="B64" i="1"/>
  <c r="D66" i="1"/>
  <c r="D13" i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68" i="1" l="1"/>
  <c r="B66" i="1"/>
  <c r="B63" i="1"/>
  <c r="D65" i="1"/>
  <c r="D15" i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AN28" i="1"/>
  <c r="AN24" i="1"/>
  <c r="AN20" i="1"/>
  <c r="B2" i="1"/>
  <c r="L48" i="1"/>
  <c r="L47" i="1"/>
  <c r="L46" i="1"/>
  <c r="L45" i="1"/>
  <c r="B65" i="1" l="1"/>
  <c r="D67" i="1"/>
  <c r="B68" i="1"/>
  <c r="D70" i="1"/>
  <c r="F5" i="1"/>
  <c r="A1" i="15" s="1"/>
  <c r="G14" i="15" s="1"/>
  <c r="G18" i="15" s="1"/>
  <c r="G5" i="1"/>
  <c r="W32" i="1" s="1"/>
  <c r="E5" i="1"/>
  <c r="H5" i="1"/>
  <c r="W51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D72" i="1" l="1"/>
  <c r="B72" i="1" s="1"/>
  <c r="B70" i="1"/>
  <c r="B67" i="1"/>
  <c r="D69" i="1"/>
  <c r="AC57" i="1"/>
  <c r="Y59" i="1"/>
  <c r="AG57" i="1"/>
  <c r="W57" i="1"/>
  <c r="H14" i="15"/>
  <c r="H18" i="15" s="1"/>
  <c r="W37" i="1"/>
  <c r="D19" i="1"/>
  <c r="B19" i="1" s="1"/>
  <c r="D22" i="1"/>
  <c r="B22" i="1" s="1"/>
  <c r="N19" i="1"/>
  <c r="N21" i="1"/>
  <c r="N20" i="1"/>
  <c r="O19" i="1"/>
  <c r="O21" i="1"/>
  <c r="O20" i="1"/>
  <c r="P19" i="1"/>
  <c r="P21" i="1"/>
  <c r="P20" i="1"/>
  <c r="Q19" i="1"/>
  <c r="Q21" i="1"/>
  <c r="Q20" i="1"/>
  <c r="R19" i="1"/>
  <c r="R21" i="1"/>
  <c r="R20" i="1"/>
  <c r="S20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B69" i="1" l="1"/>
  <c r="D71" i="1"/>
  <c r="B71" i="1" s="1"/>
  <c r="D24" i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" i="1"/>
  <c r="D54" i="1"/>
  <c r="R15" i="1" l="1"/>
  <c r="AC14" i="1" s="1"/>
  <c r="M15" i="1"/>
  <c r="O15" i="1"/>
  <c r="Z14" i="1" s="1"/>
  <c r="Q15" i="1"/>
  <c r="AB14" i="1" s="1"/>
  <c r="P15" i="1"/>
  <c r="AA14" i="1" s="1"/>
  <c r="N15" i="1"/>
  <c r="Y14" i="1" s="1"/>
  <c r="S15" i="1"/>
  <c r="AD14" i="1" s="1"/>
  <c r="S48" i="1"/>
  <c r="B51" i="1"/>
  <c r="D53" i="1"/>
  <c r="B54" i="1"/>
  <c r="D56" i="1"/>
  <c r="B56" i="1" l="1"/>
  <c r="AA19" i="1"/>
  <c r="AA18" i="1"/>
  <c r="AA20" i="1"/>
  <c r="AB20" i="1"/>
  <c r="AB19" i="1"/>
  <c r="AB22" i="1" s="1"/>
  <c r="AB18" i="1"/>
  <c r="Z19" i="1"/>
  <c r="Z20" i="1"/>
  <c r="Z22" i="1" s="1"/>
  <c r="Z18" i="1"/>
  <c r="B53" i="1"/>
  <c r="D55" i="1"/>
  <c r="AD20" i="1"/>
  <c r="AD18" i="1"/>
  <c r="AD19" i="1"/>
  <c r="Y18" i="1"/>
  <c r="Y19" i="1"/>
  <c r="Y20" i="1"/>
  <c r="Y22" i="1" s="1"/>
  <c r="AC18" i="1"/>
  <c r="AC20" i="1"/>
  <c r="AC19" i="1"/>
  <c r="AD22" i="1" l="1"/>
  <c r="AA22" i="1"/>
  <c r="AC22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<sst xmlns="http://schemas.openxmlformats.org/spreadsheetml/2006/main" count="1703" uniqueCount="159">
  <si>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</si>
  <si>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</si>
  <si>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</si>
  <si>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</si>
  <si>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</si>
  <si>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</si>
  <si>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</si>
  <si>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</si>
  <si>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</si>
  <si>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</si>
  <si>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</si>
  <si>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</si>
  <si>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</si>
  <si>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</si>
  <si>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</si>
  <si>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</si>
  <si>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</si>
  <si>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</si>
  <si>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</si>
  <si>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</si>
  <si>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</si>
  <si>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</si>
  <si>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</si>
  <si>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</si>
  <si>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</si>
  <si>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</si>
  <si>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</si>
  <si>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</si>
  <si>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</si>
  <si>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</si>
  <si>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</si>
  <si>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</si>
  <si>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</si>
  <si>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</si>
  <si>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</si>
  <si>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</si>
  <si>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</si>
  <si>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</si>
  <si>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</si>
  <si>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</si>
  <si>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</si>
  <si>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</si>
  <si>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</si>
  <si>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</si>
  <si>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</si>
  <si>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</si>
  <si>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</si>
  <si>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</si>
  <si>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</si>
  <si>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</si>
  <si>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</si>
  <si>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</si>
  <si>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</si>
  <si>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</si>
  <si>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</si>
  <si>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</si>
  <si>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</si>
  <si>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</si>
  <si>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</si>
  <si>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</si>
  <si>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</si>
  <si>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</si>
  <si>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</si>
  <si>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</si>
  <si>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</si>
  <si>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</si>
  <si>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</si>
  <si>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</si>
  <si>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</si>
  <si>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</si>
  <si>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</si>
  <si>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</si>
  <si>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</si>
  <si>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</si>
  <si>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</si>
  <si>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</si>
  <si>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</si>
  <si>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</si>
  <si>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</si>
  <si>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</si>
  <si>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</si>
  <si>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</si>
  <si>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</si>
  <si>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</si>
  <si>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</si>
  <si>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</si>
  <si>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</si>
  <si>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</si>
  <si>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</si>
  <si>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</si>
  <si>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</si>
  <si>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</si>
  <si>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</si>
  <si>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</si>
  <si>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</si>
  <si>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</si>
  <si>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</si>
  <si>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</si>
  <si>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</si>
  <si>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</si>
  <si>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</si>
  <si>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</si>
  <si>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</si>
  <si>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</si>
  <si>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</si>
  <si>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</si>
  <si>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</si>
  <si>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</si>
  <si>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</si>
  <si>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</si>
  <si>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</si>
  <si>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</si>
  <si>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</si>
  <si>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</si>
  <si>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</si>
  <si>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</si>
  <si>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</si>
  <si>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</si>
  <si>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</si>
  <si>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</si>
  <si>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</si>
  <si>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</si>
  <si>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</si>
  <si>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</si>
  <si>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</si>
  <si>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</si>
  <si>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</si>
  <si>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</si>
  <si>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</si>
  <si>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</si>
  <si>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</si>
  <si>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</si>
  <si>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</si>
  <si>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</si>
  <si>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</si>
  <si>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</si>
  <si>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</si>
  <si>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</si>
  <si>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</si>
  <si>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</si>
  <si>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</si>
  <si>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</si>
  <si>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</si>
  <si>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</si>
  <si>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</si>
  <si>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</si>
  <si>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</si>
  <si>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</si>
  <si>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</si>
  <si>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</si>
  <si>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</si>
  <si>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</si>
  <si>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</si>
  <si>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</si>
  <si>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</si>
  <si>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</si>
  <si>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</si>
  <si>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NCAP_ELIFE</t>
  </si>
  <si>
    <t>1-64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</si>
</sst>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242.36057142857143</c:v>
                </c:pt>
                <c:pt idx="2">
                  <c:v>246.61825714285717</c:v>
                </c:pt>
                <c:pt idx="3">
                  <c:v>250.87594285714286</c:v>
                </c:pt>
                <c:pt idx="4">
                  <c:v>270.52679999999998</c:v>
                </c:pt>
                <c:pt idx="5">
                  <c:v>294.76285714285711</c:v>
                </c:pt>
                <c:pt idx="6">
                  <c:v>315.85477714285713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35</c:v>
                </c:pt>
                <c:pt idx="4">
                  <c:v>60</c:v>
                </c:pt>
                <c:pt idx="5">
                  <c:v>80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>
      <selection activeCell="K2" sqref="K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3.86328125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158</v>
      </c>
    </row>
    <row r="2" spans="1:44" x14ac:dyDescent="0.45">
      <c r="B2" s="1" t="str">
        <f>"~Inputcell: "&amp;_xlfn.TEXTJOIN(",",TRUE,K1:EI1)</f>
        <v>~Inputcell: 1-64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44" x14ac:dyDescent="0.45">
      <c r="B3" s="9">
        <v>55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44" x14ac:dyDescent="0.45">
      <c r="D5" s="21" t="str">
        <f t="shared" ref="D5:I5" si="1">VLOOKUP($B$3,$C$9:$K$999,COLUMN()-2,FALSE)</f>
        <v>Lo</v>
      </c>
      <c r="E5" s="21">
        <f t="shared" si="1"/>
        <v>95</v>
      </c>
      <c r="F5" s="21" t="str">
        <f t="shared" si="1"/>
        <v>CF1</v>
      </c>
      <c r="G5" s="21" t="str">
        <f t="shared" si="1"/>
        <v>N</v>
      </c>
      <c r="H5" s="21" t="str">
        <f t="shared" si="1"/>
        <v>Y</v>
      </c>
      <c r="I5" s="21">
        <f t="shared" si="1"/>
        <v>0.1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90</v>
      </c>
    </row>
    <row r="8" spans="1:4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145</v>
      </c>
      <c r="I8" s="4" t="s">
        <v>152</v>
      </c>
      <c r="J8" s="4"/>
      <c r="AR8" s="2" t="s">
        <v>95</v>
      </c>
    </row>
    <row r="9" spans="1:44" x14ac:dyDescent="0.45">
      <c r="A9">
        <v>5</v>
      </c>
      <c r="B9" t="str">
        <f>_xlfn.TEXTJOIN(".",TRUE,D9:I9)</f>
        <v>Lo.0.CF1.Y.Y.1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135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44" x14ac:dyDescent="0.45">
      <c r="A10">
        <v>5</v>
      </c>
      <c r="B10" t="str">
        <f t="shared" ref="B10:B56" si="2">_xlfn.TEXTJOIN(".",TRUE,D10:I10)</f>
        <v>Hi.0.CF1.Y.Y.1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135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44" x14ac:dyDescent="0.45">
      <c r="A11">
        <v>5</v>
      </c>
      <c r="B11" t="str">
        <f t="shared" si="2"/>
        <v>Lo.95.CF1.Y.Y.1</v>
      </c>
      <c r="C11">
        <f t="shared" ref="C11:C72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135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Hi.95.CF1.Y.Y.1</v>
      </c>
      <c r="C12">
        <f t="shared" si="3"/>
        <v>4</v>
      </c>
      <c r="D12" t="str">
        <f t="shared" ref="D12:D72" si="4">D10</f>
        <v>Hi</v>
      </c>
      <c r="E12">
        <v>95</v>
      </c>
      <c r="F12" s="15" t="s">
        <v>129</v>
      </c>
      <c r="G12" s="15" t="s">
        <v>135</v>
      </c>
      <c r="H12" s="15" t="s">
        <v>135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Lo.0.CF1.N.Y.1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135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44" x14ac:dyDescent="0.45">
      <c r="A14">
        <v>5</v>
      </c>
      <c r="B14" t="str">
        <f t="shared" si="2"/>
        <v>Hi.0.CF1.N.Y.1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135</v>
      </c>
      <c r="I14" s="22">
        <v>1</v>
      </c>
      <c r="X14" s="8">
        <f>W12</f>
        <v>229.26</v>
      </c>
      <c r="Y14" s="8">
        <f t="shared" ref="Y14:AD14" si="6">$W$12*N15</f>
        <v>242.36057142857143</v>
      </c>
      <c r="Z14" s="8">
        <f t="shared" si="6"/>
        <v>246.61825714285717</v>
      </c>
      <c r="AA14" s="8">
        <f t="shared" si="6"/>
        <v>250.87594285714286</v>
      </c>
      <c r="AB14" s="8">
        <f t="shared" si="6"/>
        <v>270.52679999999998</v>
      </c>
      <c r="AC14" s="8">
        <f t="shared" si="6"/>
        <v>294.76285714285711</v>
      </c>
      <c r="AD14" s="8">
        <f t="shared" si="6"/>
        <v>315.85477714285713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Lo.95.CF1.N.Y.1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135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1.0571428571428572</v>
      </c>
      <c r="O15" s="11">
        <f t="shared" si="8"/>
        <v>1.0757142857142858</v>
      </c>
      <c r="P15" s="11">
        <f t="shared" si="8"/>
        <v>1.0942857142857143</v>
      </c>
      <c r="Q15" s="11">
        <f t="shared" si="8"/>
        <v>1.18</v>
      </c>
      <c r="R15" s="11">
        <f t="shared" si="8"/>
        <v>1.2857142857142856</v>
      </c>
      <c r="S15" s="11">
        <f t="shared" si="8"/>
        <v>1.3777142857142857</v>
      </c>
      <c r="AN15" s="10">
        <f t="shared" ref="AN15:AN78" si="9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Hi.95.CF1.N.Y.1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135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Lo.0.CF6.Y.Y.1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135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Hi.0.CF6.Y.Y.1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72" si="14">G10</f>
        <v>Y</v>
      </c>
      <c r="H18" s="15" t="s">
        <v>135</v>
      </c>
      <c r="I18" s="22">
        <v>1</v>
      </c>
      <c r="K18" t="s">
        <v>15</v>
      </c>
      <c r="M18" s="11">
        <f>SUMIFS(ar6_r10!$K$2:$K$999,ar6_r10!$A$2:$A$999,$K$17,ar6_r10!$C$2:$C$999,Veda!M$17,ar6_r10!$M$2:$M$999,Veda!$K18)</f>
        <v>0</v>
      </c>
      <c r="N18" s="11">
        <f>SUMIFS(ar6_r10!$K$2:$K$999,ar6_r10!$A$2:$A$999,$K$17,ar6_r10!$C$2:$C$999,Veda!N$17,ar6_r10!$M$2:$M$999,Veda!$K18)</f>
        <v>0</v>
      </c>
      <c r="O18" s="11">
        <f>SUMIFS(ar6_r10!$K$2:$K$999,ar6_r10!$A$2:$A$999,$K$17,ar6_r10!$C$2:$C$999,Veda!O$17,ar6_r10!$M$2:$M$999,Veda!$K18)</f>
        <v>0</v>
      </c>
      <c r="P18" s="11">
        <f>SUMIFS(ar6_r10!$K$2:$K$999,ar6_r10!$A$2:$A$999,$K$17,ar6_r10!$C$2:$C$999,Veda!P$17,ar6_r10!$M$2:$M$999,Veda!$K18)</f>
        <v>0</v>
      </c>
      <c r="Q18" s="11">
        <f>SUMIFS(ar6_r10!$K$2:$K$999,ar6_r10!$A$2:$A$999,$K$17,ar6_r10!$C$2:$C$999,Veda!Q$17,ar6_r10!$M$2:$M$999,Veda!$K18)</f>
        <v>0</v>
      </c>
      <c r="R18" s="11">
        <f>SUMIFS(ar6_r10!$K$2:$K$999,ar6_r10!$A$2:$A$999,$K$17,ar6_r10!$C$2:$C$999,Veda!R$17,ar6_r10!$M$2:$M$999,Veda!$K18)</f>
        <v>0.01</v>
      </c>
      <c r="S18" s="11">
        <f>SUMIFS(ar6_r10!$K$2:$K$999,ar6_r10!$A$2:$A$999,$K$17,ar6_r10!$C$2:$C$999,Veda!S$17,ar6_r10!$M$2:$M$999,Veda!$K18)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2.947628571428571</v>
      </c>
      <c r="AD18" s="6">
        <f t="shared" si="15"/>
        <v>3.1585477714285712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Lo.95.CF6.Y.Y.1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135</v>
      </c>
      <c r="I19" s="22">
        <v>1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5"/>
        <v>91.704000000000008</v>
      </c>
      <c r="Y19" s="6">
        <f t="shared" si="15"/>
        <v>84.8262</v>
      </c>
      <c r="Z19" s="6">
        <f t="shared" si="15"/>
        <v>81.384024857142876</v>
      </c>
      <c r="AA19" s="6">
        <f t="shared" si="15"/>
        <v>80.280301714285713</v>
      </c>
      <c r="AB19" s="6">
        <f t="shared" si="15"/>
        <v>83.863307999999989</v>
      </c>
      <c r="AC19" s="6">
        <f t="shared" si="15"/>
        <v>91.376485714285707</v>
      </c>
      <c r="AD19" s="6">
        <f t="shared" si="15"/>
        <v>97.914980914285707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Hi.95.CF6.Y.Y.1</v>
      </c>
      <c r="C20">
        <f t="shared" si="3"/>
        <v>12</v>
      </c>
      <c r="D20" t="str">
        <f t="shared" si="4"/>
        <v>Hi</v>
      </c>
      <c r="E20">
        <f t="shared" ref="E20:E72" si="17">E16</f>
        <v>95</v>
      </c>
      <c r="F20" t="s">
        <v>130</v>
      </c>
      <c r="G20" t="str">
        <f t="shared" si="14"/>
        <v>Y</v>
      </c>
      <c r="H20" s="15" t="s">
        <v>135</v>
      </c>
      <c r="I20" s="22">
        <v>1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5"/>
        <v>107.75219999999999</v>
      </c>
      <c r="Y20" s="6">
        <f t="shared" si="15"/>
        <v>126.02749714285714</v>
      </c>
      <c r="Z20" s="6">
        <f t="shared" si="15"/>
        <v>133.17385885714287</v>
      </c>
      <c r="AA20" s="6">
        <f t="shared" si="15"/>
        <v>132.96424971428573</v>
      </c>
      <c r="AB20" s="6">
        <f t="shared" si="15"/>
        <v>140.673936</v>
      </c>
      <c r="AC20" s="6">
        <f t="shared" si="15"/>
        <v>147.38142857142856</v>
      </c>
      <c r="AD20" s="6">
        <f t="shared" si="15"/>
        <v>151.61029302857142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Lo.0.CF6.N.Y.1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135</v>
      </c>
      <c r="I21" s="22">
        <v>1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Hi.0.CF6.N.Y.1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135</v>
      </c>
      <c r="I22" s="22">
        <v>1</v>
      </c>
      <c r="W22" s="10" t="s">
        <v>25</v>
      </c>
      <c r="X22" s="6">
        <f t="shared" ref="X22:AD22" si="19">X14-SUM(X19:X21)</f>
        <v>27.511200000000002</v>
      </c>
      <c r="Y22" s="6">
        <f t="shared" si="19"/>
        <v>29.214274285714311</v>
      </c>
      <c r="Z22" s="6">
        <f t="shared" si="19"/>
        <v>29.767773428571417</v>
      </c>
      <c r="AA22" s="6">
        <f t="shared" si="19"/>
        <v>35.338791428571426</v>
      </c>
      <c r="AB22" s="6">
        <f t="shared" si="19"/>
        <v>43.696956</v>
      </c>
      <c r="AC22" s="6">
        <f t="shared" si="19"/>
        <v>53.712342857142858</v>
      </c>
      <c r="AD22" s="6">
        <f t="shared" si="19"/>
        <v>64.036903200000012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Lo.95.CF6.N.Y.1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135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Hi.95.CF6.N.Y.1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135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3</v>
      </c>
      <c r="P24" s="11">
        <f t="shared" si="20"/>
        <v>35</v>
      </c>
      <c r="Q24" s="11">
        <f t="shared" si="20"/>
        <v>60</v>
      </c>
      <c r="R24" s="11">
        <f t="shared" si="20"/>
        <v>80</v>
      </c>
      <c r="S24" s="11">
        <f t="shared" si="20"/>
        <v>95</v>
      </c>
      <c r="W24" t="s">
        <v>28</v>
      </c>
      <c r="Y24">
        <v>0</v>
      </c>
      <c r="Z24" s="11">
        <f>O24/1000</f>
        <v>3.0000000000000001E-3</v>
      </c>
      <c r="AA24" s="11">
        <f>P24/1000</f>
        <v>3.5000000000000003E-2</v>
      </c>
      <c r="AB24" s="11">
        <f>Q24/1000</f>
        <v>0.06</v>
      </c>
      <c r="AC24" s="11">
        <f>R24/1000</f>
        <v>0.08</v>
      </c>
      <c r="AD24" s="11">
        <f>S24/1000</f>
        <v>9.5000000000000001E-2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Lo.0.CF1.Y.Y.0.25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135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Hi.0.CF1.Y.Y.0.25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72" si="21">F10</f>
        <v>CF1</v>
      </c>
      <c r="G26" t="str">
        <f t="shared" si="14"/>
        <v>Y</v>
      </c>
      <c r="H26" s="15" t="s">
        <v>135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Lo.95.CF1.Y.Y.0.25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135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Hi.95.CF1.Y.Y.0.25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135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Lo.0.CF1.N.Y.0.25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135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Hi.0.CF1.N.Y.0.25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135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Lo.95.CF1.N.Y.0.25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135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Hi.95.CF1.N.Y.0.25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135</v>
      </c>
      <c r="I32" s="23">
        <v>0.25</v>
      </c>
      <c r="W32" s="5" t="str">
        <f>IF($G$5="N","~TFM_UPD","DEF correction active")</f>
        <v>~TFM_UPD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Lo.0.CF6.Y.Y.0.25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135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Hi.0.CF6.Y.Y.0.25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135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Lo.95.CF6.Y.Y.0.25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135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Hi.95.CF6.Y.Y.0.25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135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Lo.0.CF6.N.Y.0.25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135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~TFM_INS: limtype=LO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Hi.0.CF6.N.Y.0.25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135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Lo.95.CF6.N.Y.0.25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135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Hi.95.CF6.N.Y.0.25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135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Lo.0.CF1.Y.Y.2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135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Hi.0.CF1.Y.Y.2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135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Lo.95.CF1.Y.Y.2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135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Hi.95.CF1.Y.Y.2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135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Lo.0.CF1.N.Y.2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135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Hi.0.CF1.N.Y.2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135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Lo.95.CF1.N.Y.2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135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Hi.95.CF1.N.Y.2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135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Lo.0.CF6.Y.Y.2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135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Hi.0.CF6.Y.Y.2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135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Lo.95.CF6.Y.Y.2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135</v>
      </c>
      <c r="I51" s="23">
        <v>2</v>
      </c>
      <c r="W51" s="5" t="str">
        <f>IF($H$5="N","~TFM_INS: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Hi.95.CF6.Y.Y.2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135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Lo.0.CF6.N.Y.2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135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Hi.0.CF6.N.Y.2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135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Lo.95.CF6.N.Y.2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135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Hi.95.CF6.N.Y.2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135</v>
      </c>
      <c r="I56" s="23">
        <v>2</v>
      </c>
      <c r="AN56" s="10">
        <f t="shared" si="9"/>
        <v>10</v>
      </c>
    </row>
    <row r="57" spans="1:40" ht="17.649999999999999" thickBot="1" x14ac:dyDescent="0.6">
      <c r="A57">
        <v>5</v>
      </c>
      <c r="B57" t="str">
        <f t="shared" ref="B57:B72" si="30">_xlfn.TEXTJOIN(".",TRUE,D57:I57)</f>
        <v>Lo.0.CF1.Y.Y.0.1</v>
      </c>
      <c r="C57">
        <f t="shared" si="3"/>
        <v>49</v>
      </c>
      <c r="D57" t="str">
        <f t="shared" si="4"/>
        <v>Lo</v>
      </c>
      <c r="E57">
        <f t="shared" si="17"/>
        <v>0</v>
      </c>
      <c r="F57" t="str">
        <f t="shared" si="21"/>
        <v>CF1</v>
      </c>
      <c r="G57" t="str">
        <f t="shared" si="14"/>
        <v>Y</v>
      </c>
      <c r="H57" s="15" t="s">
        <v>135</v>
      </c>
      <c r="I57" s="23">
        <v>0.1</v>
      </c>
      <c r="W57" s="5" t="str">
        <f>IF($I$5&lt;&gt;1,"~TFM_UPD","Transmission costs default")</f>
        <v>~TFM_UPD</v>
      </c>
      <c r="AC57" s="5" t="str">
        <f>IF($I$5&lt;1,"~TFM_INS","No hurdle rate")</f>
        <v>~TFM_INS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A58">
        <v>5</v>
      </c>
      <c r="B58" t="str">
        <f t="shared" si="30"/>
        <v>Hi.0.CF1.Y.Y.0.1</v>
      </c>
      <c r="C58">
        <f t="shared" si="3"/>
        <v>50</v>
      </c>
      <c r="D58" t="str">
        <f t="shared" si="4"/>
        <v>Hi</v>
      </c>
      <c r="E58">
        <f t="shared" si="17"/>
        <v>0</v>
      </c>
      <c r="F58" t="str">
        <f t="shared" si="21"/>
        <v>CF1</v>
      </c>
      <c r="G58" t="str">
        <f t="shared" si="14"/>
        <v>Y</v>
      </c>
      <c r="H58" s="15" t="s">
        <v>135</v>
      </c>
      <c r="I58" s="23">
        <v>0.1</v>
      </c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A59">
        <v>5</v>
      </c>
      <c r="B59" t="str">
        <f t="shared" si="30"/>
        <v>Lo.95.CF1.Y.Y.0.1</v>
      </c>
      <c r="C59">
        <f t="shared" si="3"/>
        <v>51</v>
      </c>
      <c r="D59" t="str">
        <f t="shared" si="4"/>
        <v>Lo</v>
      </c>
      <c r="E59">
        <f t="shared" si="17"/>
        <v>95</v>
      </c>
      <c r="F59" t="str">
        <f t="shared" si="21"/>
        <v>CF1</v>
      </c>
      <c r="G59" t="str">
        <f t="shared" si="14"/>
        <v>Y</v>
      </c>
      <c r="H59" s="15" t="s">
        <v>135</v>
      </c>
      <c r="I59" s="23">
        <v>0.1</v>
      </c>
      <c r="W59" t="s">
        <v>154</v>
      </c>
      <c r="X59" s="20"/>
      <c r="Y59" t="str">
        <f>"*"&amp;$I$5</f>
        <v>*0.1</v>
      </c>
      <c r="Z59" t="s">
        <v>155</v>
      </c>
      <c r="AC59" t="s">
        <v>156</v>
      </c>
      <c r="AD59">
        <v>0.02</v>
      </c>
      <c r="AE59" t="s">
        <v>155</v>
      </c>
      <c r="AG59" t="s">
        <v>157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60">
        <v>5</v>
      </c>
      <c r="B60" t="str">
        <f t="shared" si="30"/>
        <v>Hi.95.CF1.Y.Y.0.1</v>
      </c>
      <c r="C60">
        <f t="shared" si="3"/>
        <v>52</v>
      </c>
      <c r="D60" t="str">
        <f t="shared" si="4"/>
        <v>Hi</v>
      </c>
      <c r="E60">
        <f t="shared" si="17"/>
        <v>95</v>
      </c>
      <c r="F60" t="str">
        <f t="shared" si="21"/>
        <v>CF1</v>
      </c>
      <c r="G60" t="str">
        <f t="shared" si="14"/>
        <v>Y</v>
      </c>
      <c r="H60" s="15" t="s">
        <v>135</v>
      </c>
      <c r="I60" s="23">
        <v>0.1</v>
      </c>
      <c r="AN60" s="10">
        <f t="shared" si="9"/>
        <v>11</v>
      </c>
    </row>
    <row r="61" spans="1:40" x14ac:dyDescent="0.45">
      <c r="A61">
        <v>5</v>
      </c>
      <c r="B61" t="str">
        <f t="shared" si="30"/>
        <v>Lo.0.CF1.N.Y.0.1</v>
      </c>
      <c r="C61">
        <f t="shared" si="3"/>
        <v>53</v>
      </c>
      <c r="D61" t="str">
        <f t="shared" si="4"/>
        <v>Lo</v>
      </c>
      <c r="E61">
        <f t="shared" si="17"/>
        <v>0</v>
      </c>
      <c r="F61" t="str">
        <f t="shared" si="21"/>
        <v>CF1</v>
      </c>
      <c r="G61" t="str">
        <f t="shared" si="14"/>
        <v>N</v>
      </c>
      <c r="H61" s="15" t="s">
        <v>135</v>
      </c>
      <c r="I61" s="23">
        <v>0.1</v>
      </c>
      <c r="AN61" s="10">
        <f t="shared" si="9"/>
        <v>11</v>
      </c>
    </row>
    <row r="62" spans="1:40" x14ac:dyDescent="0.45">
      <c r="A62">
        <v>5</v>
      </c>
      <c r="B62" t="str">
        <f t="shared" si="30"/>
        <v>Hi.0.CF1.N.Y.0.1</v>
      </c>
      <c r="C62">
        <f t="shared" si="3"/>
        <v>54</v>
      </c>
      <c r="D62" t="str">
        <f t="shared" si="4"/>
        <v>Hi</v>
      </c>
      <c r="E62">
        <f t="shared" si="17"/>
        <v>0</v>
      </c>
      <c r="F62" t="str">
        <f t="shared" si="21"/>
        <v>CF1</v>
      </c>
      <c r="G62" t="str">
        <f t="shared" si="14"/>
        <v>N</v>
      </c>
      <c r="H62" s="15" t="s">
        <v>135</v>
      </c>
      <c r="I62" s="23">
        <v>0.1</v>
      </c>
      <c r="AN62" s="10">
        <f t="shared" si="9"/>
        <v>11</v>
      </c>
    </row>
    <row r="63" spans="1:40" x14ac:dyDescent="0.45">
      <c r="A63">
        <v>5</v>
      </c>
      <c r="B63" t="str">
        <f t="shared" si="30"/>
        <v>Lo.95.CF1.N.Y.0.1</v>
      </c>
      <c r="C63">
        <f t="shared" si="3"/>
        <v>55</v>
      </c>
      <c r="D63" t="str">
        <f t="shared" si="4"/>
        <v>Lo</v>
      </c>
      <c r="E63">
        <f t="shared" si="17"/>
        <v>95</v>
      </c>
      <c r="F63" t="str">
        <f t="shared" si="21"/>
        <v>CF1</v>
      </c>
      <c r="G63" t="str">
        <f t="shared" si="14"/>
        <v>N</v>
      </c>
      <c r="H63" s="15" t="s">
        <v>135</v>
      </c>
      <c r="I63" s="23">
        <v>0.1</v>
      </c>
      <c r="AN63" s="10">
        <f t="shared" si="9"/>
        <v>11</v>
      </c>
    </row>
    <row r="64" spans="1:40" x14ac:dyDescent="0.45">
      <c r="A64">
        <v>5</v>
      </c>
      <c r="B64" t="str">
        <f t="shared" si="30"/>
        <v>Hi.95.CF1.N.Y.0.1</v>
      </c>
      <c r="C64">
        <f t="shared" si="3"/>
        <v>56</v>
      </c>
      <c r="D64" t="str">
        <f t="shared" si="4"/>
        <v>Hi</v>
      </c>
      <c r="E64">
        <f t="shared" si="17"/>
        <v>95</v>
      </c>
      <c r="F64" t="str">
        <f t="shared" si="21"/>
        <v>CF1</v>
      </c>
      <c r="G64" t="str">
        <f t="shared" si="14"/>
        <v>N</v>
      </c>
      <c r="H64" s="15" t="s">
        <v>135</v>
      </c>
      <c r="I64" s="23">
        <v>0.1</v>
      </c>
      <c r="AN64" s="10">
        <f t="shared" si="9"/>
        <v>12</v>
      </c>
    </row>
    <row r="65" spans="1:40" x14ac:dyDescent="0.45">
      <c r="A65">
        <v>5</v>
      </c>
      <c r="B65" t="str">
        <f t="shared" si="30"/>
        <v>Lo.0.CF6.Y.Y.0.1</v>
      </c>
      <c r="C65">
        <f t="shared" si="3"/>
        <v>57</v>
      </c>
      <c r="D65" t="str">
        <f t="shared" si="4"/>
        <v>Lo</v>
      </c>
      <c r="E65">
        <f t="shared" si="17"/>
        <v>0</v>
      </c>
      <c r="F65" t="str">
        <f t="shared" si="21"/>
        <v>CF6</v>
      </c>
      <c r="G65" t="str">
        <f t="shared" si="14"/>
        <v>Y</v>
      </c>
      <c r="H65" s="15" t="s">
        <v>135</v>
      </c>
      <c r="I65" s="23">
        <v>0.1</v>
      </c>
      <c r="AN65" s="10">
        <f t="shared" si="9"/>
        <v>12</v>
      </c>
    </row>
    <row r="66" spans="1:40" x14ac:dyDescent="0.45">
      <c r="A66">
        <v>5</v>
      </c>
      <c r="B66" t="str">
        <f t="shared" si="30"/>
        <v>Hi.0.CF6.Y.Y.0.1</v>
      </c>
      <c r="C66">
        <f t="shared" si="3"/>
        <v>58</v>
      </c>
      <c r="D66" t="str">
        <f t="shared" si="4"/>
        <v>Hi</v>
      </c>
      <c r="E66">
        <f t="shared" si="17"/>
        <v>0</v>
      </c>
      <c r="F66" t="str">
        <f t="shared" si="21"/>
        <v>CF6</v>
      </c>
      <c r="G66" t="str">
        <f t="shared" si="14"/>
        <v>Y</v>
      </c>
      <c r="H66" s="15" t="s">
        <v>135</v>
      </c>
      <c r="I66" s="23">
        <v>0.1</v>
      </c>
      <c r="AN66" s="10">
        <f t="shared" si="9"/>
        <v>12</v>
      </c>
    </row>
    <row r="67" spans="1:40" x14ac:dyDescent="0.45">
      <c r="A67">
        <v>5</v>
      </c>
      <c r="B67" t="str">
        <f t="shared" si="30"/>
        <v>Lo.95.CF6.Y.Y.0.1</v>
      </c>
      <c r="C67">
        <f t="shared" si="3"/>
        <v>59</v>
      </c>
      <c r="D67" t="str">
        <f t="shared" si="4"/>
        <v>Lo</v>
      </c>
      <c r="E67">
        <f t="shared" si="17"/>
        <v>95</v>
      </c>
      <c r="F67" t="str">
        <f t="shared" si="21"/>
        <v>CF6</v>
      </c>
      <c r="G67" t="str">
        <f t="shared" si="14"/>
        <v>Y</v>
      </c>
      <c r="H67" s="15" t="s">
        <v>135</v>
      </c>
      <c r="I67" s="23">
        <v>0.1</v>
      </c>
      <c r="AN67" s="10">
        <f t="shared" si="9"/>
        <v>12</v>
      </c>
    </row>
    <row r="68" spans="1:40" x14ac:dyDescent="0.45">
      <c r="A68">
        <v>5</v>
      </c>
      <c r="B68" t="str">
        <f t="shared" si="30"/>
        <v>Hi.95.CF6.Y.Y.0.1</v>
      </c>
      <c r="C68">
        <f t="shared" si="3"/>
        <v>60</v>
      </c>
      <c r="D68" t="str">
        <f t="shared" si="4"/>
        <v>Hi</v>
      </c>
      <c r="E68">
        <f t="shared" si="17"/>
        <v>95</v>
      </c>
      <c r="F68" t="str">
        <f t="shared" si="21"/>
        <v>CF6</v>
      </c>
      <c r="G68" t="str">
        <f t="shared" si="14"/>
        <v>Y</v>
      </c>
      <c r="H68" s="15" t="s">
        <v>135</v>
      </c>
      <c r="I68" s="23">
        <v>0.1</v>
      </c>
      <c r="AN68" s="10">
        <f t="shared" si="9"/>
        <v>12</v>
      </c>
    </row>
    <row r="69" spans="1:40" x14ac:dyDescent="0.45">
      <c r="A69">
        <v>5</v>
      </c>
      <c r="B69" t="str">
        <f t="shared" si="30"/>
        <v>Lo.0.CF6.N.Y.0.1</v>
      </c>
      <c r="C69">
        <f t="shared" si="3"/>
        <v>61</v>
      </c>
      <c r="D69" t="str">
        <f t="shared" si="4"/>
        <v>Lo</v>
      </c>
      <c r="E69">
        <f t="shared" si="17"/>
        <v>0</v>
      </c>
      <c r="F69" t="str">
        <f t="shared" si="21"/>
        <v>CF6</v>
      </c>
      <c r="G69" t="str">
        <f t="shared" si="14"/>
        <v>N</v>
      </c>
      <c r="H69" s="15" t="s">
        <v>135</v>
      </c>
      <c r="I69" s="23">
        <v>0.1</v>
      </c>
      <c r="AN69" s="10">
        <f t="shared" si="9"/>
        <v>13</v>
      </c>
    </row>
    <row r="70" spans="1:40" x14ac:dyDescent="0.45">
      <c r="A70">
        <v>5</v>
      </c>
      <c r="B70" t="str">
        <f t="shared" si="30"/>
        <v>Hi.0.CF6.N.Y.0.1</v>
      </c>
      <c r="C70">
        <f t="shared" si="3"/>
        <v>62</v>
      </c>
      <c r="D70" t="str">
        <f t="shared" si="4"/>
        <v>Hi</v>
      </c>
      <c r="E70">
        <f t="shared" si="17"/>
        <v>0</v>
      </c>
      <c r="F70" t="str">
        <f t="shared" si="21"/>
        <v>CF6</v>
      </c>
      <c r="G70" t="str">
        <f t="shared" si="14"/>
        <v>N</v>
      </c>
      <c r="H70" s="15" t="s">
        <v>135</v>
      </c>
      <c r="I70" s="23">
        <v>0.1</v>
      </c>
      <c r="AN70" s="10">
        <f t="shared" si="9"/>
        <v>13</v>
      </c>
    </row>
    <row r="71" spans="1:40" x14ac:dyDescent="0.45">
      <c r="A71">
        <v>5</v>
      </c>
      <c r="B71" t="str">
        <f t="shared" si="30"/>
        <v>Lo.95.CF6.N.Y.0.1</v>
      </c>
      <c r="C71">
        <f t="shared" si="3"/>
        <v>63</v>
      </c>
      <c r="D71" t="str">
        <f t="shared" si="4"/>
        <v>Lo</v>
      </c>
      <c r="E71">
        <f t="shared" si="17"/>
        <v>95</v>
      </c>
      <c r="F71" t="str">
        <f t="shared" si="21"/>
        <v>CF6</v>
      </c>
      <c r="G71" t="str">
        <f t="shared" si="14"/>
        <v>N</v>
      </c>
      <c r="H71" s="15" t="s">
        <v>135</v>
      </c>
      <c r="I71" s="23">
        <v>0.1</v>
      </c>
      <c r="AN71" s="10">
        <f t="shared" si="9"/>
        <v>13</v>
      </c>
    </row>
    <row r="72" spans="1:40" x14ac:dyDescent="0.45">
      <c r="A72">
        <v>5</v>
      </c>
      <c r="B72" t="str">
        <f t="shared" si="30"/>
        <v>Hi.95.CF6.N.Y.0.1</v>
      </c>
      <c r="C72">
        <f t="shared" si="3"/>
        <v>64</v>
      </c>
      <c r="D72" t="str">
        <f t="shared" si="4"/>
        <v>Hi</v>
      </c>
      <c r="E72">
        <f t="shared" si="17"/>
        <v>95</v>
      </c>
      <c r="F72" t="str">
        <f t="shared" si="21"/>
        <v>CF6</v>
      </c>
      <c r="G72" t="str">
        <f t="shared" si="14"/>
        <v>N</v>
      </c>
      <c r="H72" s="15" t="s">
        <v>135</v>
      </c>
      <c r="I72" s="23">
        <v>0.1</v>
      </c>
      <c r="AN72" s="10">
        <f t="shared" si="9"/>
        <v>13</v>
      </c>
    </row>
    <row r="73" spans="1:40" x14ac:dyDescent="0.45">
      <c r="AN73" s="10">
        <f t="shared" si="9"/>
        <v>13</v>
      </c>
    </row>
    <row r="74" spans="1:40" x14ac:dyDescent="0.45">
      <c r="AN74" s="10">
        <f t="shared" si="9"/>
        <v>14</v>
      </c>
    </row>
    <row r="75" spans="1:40" x14ac:dyDescent="0.45">
      <c r="AN75" s="10">
        <f t="shared" si="9"/>
        <v>14</v>
      </c>
    </row>
    <row r="76" spans="1:40" x14ac:dyDescent="0.45">
      <c r="AN76" s="10">
        <f t="shared" si="9"/>
        <v>14</v>
      </c>
    </row>
    <row r="77" spans="1:40" x14ac:dyDescent="0.45">
      <c r="AN77" s="10">
        <f t="shared" si="9"/>
        <v>14</v>
      </c>
    </row>
    <row r="78" spans="1:40" x14ac:dyDescent="0.45">
      <c r="AN78" s="10">
        <f t="shared" si="9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100</v>
      </c>
    </row>
    <row r="4" spans="1:8" x14ac:dyDescent="0.45">
      <c r="B4" t="s">
        <v>101</v>
      </c>
    </row>
    <row r="6" spans="1:8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8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127</v>
      </c>
    </row>
    <row r="17" spans="7:9" ht="14.65" thickBot="1" x14ac:dyDescent="0.5">
      <c r="G17" s="13" t="s">
        <v>125</v>
      </c>
      <c r="H17" s="13" t="s">
        <v>126</v>
      </c>
      <c r="I17" s="13" t="s">
        <v>124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2026-05-29T03:44:05Z</dcterms:modified>
</cp:coreProperties>
</file>