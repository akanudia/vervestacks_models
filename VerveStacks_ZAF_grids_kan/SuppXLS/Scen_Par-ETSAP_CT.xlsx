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4AFAAB13-8DB7-47AC-BC0E-E5E65BB8D39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Veda!$A$8:$I$136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" l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73" i="1"/>
  <c r="W51" i="1"/>
  <c r="M18" i="1"/>
  <c r="S3" i="1"/>
  <c r="R3" i="1"/>
  <c r="Q3" i="1"/>
  <c r="P3" i="1"/>
  <c r="O3" i="1"/>
  <c r="N3" i="1"/>
  <c r="B11" i="4"/>
  <c r="B10" i="1"/>
  <c r="B9" i="1"/>
  <c r="F40" i="1"/>
  <c r="F56" i="1" s="1"/>
  <c r="F72" i="1" s="1"/>
  <c r="F88" i="1" s="1"/>
  <c r="F104" i="1" s="1"/>
  <c r="F120" i="1" s="1"/>
  <c r="F136" i="1" s="1"/>
  <c r="F39" i="1"/>
  <c r="F55" i="1" s="1"/>
  <c r="F71" i="1" s="1"/>
  <c r="F87" i="1" s="1"/>
  <c r="F103" i="1" s="1"/>
  <c r="F119" i="1" s="1"/>
  <c r="F135" i="1" s="1"/>
  <c r="F38" i="1"/>
  <c r="F54" i="1" s="1"/>
  <c r="F70" i="1" s="1"/>
  <c r="F86" i="1" s="1"/>
  <c r="F102" i="1" s="1"/>
  <c r="F118" i="1" s="1"/>
  <c r="F134" i="1" s="1"/>
  <c r="F37" i="1"/>
  <c r="F53" i="1" s="1"/>
  <c r="F69" i="1" s="1"/>
  <c r="F85" i="1" s="1"/>
  <c r="F101" i="1" s="1"/>
  <c r="F117" i="1" s="1"/>
  <c r="F133" i="1" s="1"/>
  <c r="F36" i="1"/>
  <c r="F52" i="1" s="1"/>
  <c r="F68" i="1" s="1"/>
  <c r="F84" i="1" s="1"/>
  <c r="F100" i="1" s="1"/>
  <c r="F116" i="1" s="1"/>
  <c r="F132" i="1" s="1"/>
  <c r="F35" i="1"/>
  <c r="F51" i="1" s="1"/>
  <c r="F67" i="1" s="1"/>
  <c r="F83" i="1" s="1"/>
  <c r="F99" i="1" s="1"/>
  <c r="F115" i="1" s="1"/>
  <c r="F131" i="1" s="1"/>
  <c r="F34" i="1"/>
  <c r="F50" i="1" s="1"/>
  <c r="F66" i="1" s="1"/>
  <c r="F82" i="1" s="1"/>
  <c r="F98" i="1" s="1"/>
  <c r="F114" i="1" s="1"/>
  <c r="F130" i="1" s="1"/>
  <c r="F33" i="1"/>
  <c r="F49" i="1" s="1"/>
  <c r="F65" i="1" s="1"/>
  <c r="F81" i="1" s="1"/>
  <c r="F97" i="1" s="1"/>
  <c r="F113" i="1" s="1"/>
  <c r="F129" i="1" s="1"/>
  <c r="F32" i="1"/>
  <c r="F48" i="1" s="1"/>
  <c r="F64" i="1" s="1"/>
  <c r="F80" i="1" s="1"/>
  <c r="F96" i="1" s="1"/>
  <c r="F112" i="1" s="1"/>
  <c r="F128" i="1" s="1"/>
  <c r="F31" i="1"/>
  <c r="F47" i="1" s="1"/>
  <c r="F63" i="1" s="1"/>
  <c r="F79" i="1" s="1"/>
  <c r="F95" i="1" s="1"/>
  <c r="F111" i="1" s="1"/>
  <c r="F127" i="1" s="1"/>
  <c r="F30" i="1"/>
  <c r="F46" i="1" s="1"/>
  <c r="F62" i="1" s="1"/>
  <c r="F78" i="1" s="1"/>
  <c r="F94" i="1" s="1"/>
  <c r="F110" i="1" s="1"/>
  <c r="F126" i="1" s="1"/>
  <c r="F29" i="1"/>
  <c r="F45" i="1" s="1"/>
  <c r="F61" i="1" s="1"/>
  <c r="F77" i="1" s="1"/>
  <c r="F93" i="1" s="1"/>
  <c r="F109" i="1" s="1"/>
  <c r="F125" i="1" s="1"/>
  <c r="F28" i="1"/>
  <c r="F44" i="1" s="1"/>
  <c r="F60" i="1" s="1"/>
  <c r="F76" i="1" s="1"/>
  <c r="F92" i="1" s="1"/>
  <c r="F108" i="1" s="1"/>
  <c r="F124" i="1" s="1"/>
  <c r="F27" i="1"/>
  <c r="F43" i="1" s="1"/>
  <c r="F59" i="1" s="1"/>
  <c r="F75" i="1" s="1"/>
  <c r="F91" i="1" s="1"/>
  <c r="F107" i="1" s="1"/>
  <c r="F123" i="1" s="1"/>
  <c r="F26" i="1"/>
  <c r="F42" i="1" s="1"/>
  <c r="F58" i="1" s="1"/>
  <c r="F74" i="1" s="1"/>
  <c r="F90" i="1" s="1"/>
  <c r="F106" i="1" s="1"/>
  <c r="F122" i="1" s="1"/>
  <c r="F25" i="1"/>
  <c r="F41" i="1" s="1"/>
  <c r="F57" i="1" s="1"/>
  <c r="F73" i="1" s="1"/>
  <c r="F89" i="1" s="1"/>
  <c r="F105" i="1" s="1"/>
  <c r="F121" i="1" s="1"/>
  <c r="G24" i="1"/>
  <c r="G32" i="1" s="1"/>
  <c r="G40" i="1" s="1"/>
  <c r="G48" i="1" s="1"/>
  <c r="G56" i="1" s="1"/>
  <c r="G64" i="1" s="1"/>
  <c r="G72" i="1" s="1"/>
  <c r="G80" i="1" s="1"/>
  <c r="G88" i="1" s="1"/>
  <c r="G96" i="1" s="1"/>
  <c r="G104" i="1" s="1"/>
  <c r="G112" i="1" s="1"/>
  <c r="G120" i="1" s="1"/>
  <c r="G128" i="1" s="1"/>
  <c r="G136" i="1" s="1"/>
  <c r="G23" i="1"/>
  <c r="G31" i="1" s="1"/>
  <c r="G39" i="1" s="1"/>
  <c r="G47" i="1" s="1"/>
  <c r="G55" i="1" s="1"/>
  <c r="G63" i="1" s="1"/>
  <c r="G71" i="1" s="1"/>
  <c r="G79" i="1" s="1"/>
  <c r="G87" i="1" s="1"/>
  <c r="G95" i="1" s="1"/>
  <c r="G103" i="1" s="1"/>
  <c r="G111" i="1" s="1"/>
  <c r="G119" i="1" s="1"/>
  <c r="G127" i="1" s="1"/>
  <c r="G135" i="1" s="1"/>
  <c r="G22" i="1"/>
  <c r="G30" i="1" s="1"/>
  <c r="G38" i="1" s="1"/>
  <c r="G46" i="1" s="1"/>
  <c r="G54" i="1" s="1"/>
  <c r="G62" i="1" s="1"/>
  <c r="G70" i="1" s="1"/>
  <c r="G78" i="1" s="1"/>
  <c r="G86" i="1" s="1"/>
  <c r="G94" i="1" s="1"/>
  <c r="G102" i="1" s="1"/>
  <c r="G110" i="1" s="1"/>
  <c r="G118" i="1" s="1"/>
  <c r="G126" i="1" s="1"/>
  <c r="G134" i="1" s="1"/>
  <c r="G21" i="1"/>
  <c r="G29" i="1" s="1"/>
  <c r="G37" i="1" s="1"/>
  <c r="G45" i="1" s="1"/>
  <c r="G53" i="1" s="1"/>
  <c r="G61" i="1" s="1"/>
  <c r="G69" i="1" s="1"/>
  <c r="G77" i="1" s="1"/>
  <c r="G85" i="1" s="1"/>
  <c r="G93" i="1" s="1"/>
  <c r="G101" i="1" s="1"/>
  <c r="G109" i="1" s="1"/>
  <c r="G117" i="1" s="1"/>
  <c r="G125" i="1" s="1"/>
  <c r="G133" i="1" s="1"/>
  <c r="G20" i="1"/>
  <c r="G28" i="1" s="1"/>
  <c r="G36" i="1" s="1"/>
  <c r="G44" i="1" s="1"/>
  <c r="G52" i="1" s="1"/>
  <c r="G60" i="1" s="1"/>
  <c r="G68" i="1" s="1"/>
  <c r="G76" i="1" s="1"/>
  <c r="G84" i="1" s="1"/>
  <c r="G92" i="1" s="1"/>
  <c r="G100" i="1" s="1"/>
  <c r="G108" i="1" s="1"/>
  <c r="G116" i="1" s="1"/>
  <c r="G124" i="1" s="1"/>
  <c r="G132" i="1" s="1"/>
  <c r="G19" i="1"/>
  <c r="G27" i="1" s="1"/>
  <c r="G35" i="1" s="1"/>
  <c r="G43" i="1" s="1"/>
  <c r="G51" i="1" s="1"/>
  <c r="G59" i="1" s="1"/>
  <c r="G67" i="1" s="1"/>
  <c r="G75" i="1" s="1"/>
  <c r="G83" i="1" s="1"/>
  <c r="G91" i="1" s="1"/>
  <c r="G99" i="1" s="1"/>
  <c r="G107" i="1" s="1"/>
  <c r="G115" i="1" s="1"/>
  <c r="G123" i="1" s="1"/>
  <c r="G131" i="1" s="1"/>
  <c r="G18" i="1"/>
  <c r="G26" i="1" s="1"/>
  <c r="G17" i="1"/>
  <c r="G25" i="1" s="1"/>
  <c r="G33" i="1" s="1"/>
  <c r="G41" i="1" s="1"/>
  <c r="G49" i="1" s="1"/>
  <c r="G57" i="1" s="1"/>
  <c r="G65" i="1" s="1"/>
  <c r="G73" i="1" s="1"/>
  <c r="G81" i="1" s="1"/>
  <c r="G89" i="1" s="1"/>
  <c r="G97" i="1" s="1"/>
  <c r="G105" i="1" s="1"/>
  <c r="G113" i="1" s="1"/>
  <c r="G121" i="1" s="1"/>
  <c r="G129" i="1" s="1"/>
  <c r="G34" i="1" l="1"/>
  <c r="G42" i="1" s="1"/>
  <c r="G50" i="1" s="1"/>
  <c r="G58" i="1" s="1"/>
  <c r="G66" i="1" s="1"/>
  <c r="G74" i="1" s="1"/>
  <c r="G82" i="1" s="1"/>
  <c r="G90" i="1" s="1"/>
  <c r="G98" i="1" s="1"/>
  <c r="G106" i="1" s="1"/>
  <c r="G114" i="1" s="1"/>
  <c r="G122" i="1" s="1"/>
  <c r="G130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76" i="1" s="1"/>
  <c r="E80" i="1" s="1"/>
  <c r="E84" i="1" s="1"/>
  <c r="E88" i="1" s="1"/>
  <c r="E92" i="1" s="1"/>
  <c r="E96" i="1" s="1"/>
  <c r="E100" i="1" s="1"/>
  <c r="E104" i="1" s="1"/>
  <c r="E108" i="1" s="1"/>
  <c r="E112" i="1" s="1"/>
  <c r="E116" i="1" s="1"/>
  <c r="E120" i="1" s="1"/>
  <c r="E124" i="1" s="1"/>
  <c r="E128" i="1" s="1"/>
  <c r="E132" i="1" s="1"/>
  <c r="E13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75" i="1" s="1"/>
  <c r="E79" i="1" s="1"/>
  <c r="E83" i="1" s="1"/>
  <c r="E87" i="1" s="1"/>
  <c r="E91" i="1" s="1"/>
  <c r="E95" i="1" s="1"/>
  <c r="E99" i="1" s="1"/>
  <c r="E103" i="1" s="1"/>
  <c r="E107" i="1" s="1"/>
  <c r="E111" i="1" s="1"/>
  <c r="E115" i="1" s="1"/>
  <c r="E119" i="1" s="1"/>
  <c r="E123" i="1" s="1"/>
  <c r="E127" i="1" s="1"/>
  <c r="E131" i="1" s="1"/>
  <c r="E13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74" i="1" s="1"/>
  <c r="E78" i="1" s="1"/>
  <c r="E82" i="1" s="1"/>
  <c r="E86" i="1" s="1"/>
  <c r="E90" i="1" s="1"/>
  <c r="E94" i="1" s="1"/>
  <c r="E98" i="1" s="1"/>
  <c r="E102" i="1" s="1"/>
  <c r="E106" i="1" s="1"/>
  <c r="E110" i="1" s="1"/>
  <c r="E114" i="1" s="1"/>
  <c r="E118" i="1" s="1"/>
  <c r="E122" i="1" s="1"/>
  <c r="E126" i="1" s="1"/>
  <c r="E130" i="1" s="1"/>
  <c r="E13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E73" i="1" s="1"/>
  <c r="E77" i="1" s="1"/>
  <c r="E81" i="1" s="1"/>
  <c r="E85" i="1" s="1"/>
  <c r="E89" i="1" s="1"/>
  <c r="E93" i="1" s="1"/>
  <c r="E97" i="1" s="1"/>
  <c r="E101" i="1" s="1"/>
  <c r="E105" i="1" s="1"/>
  <c r="E109" i="1" s="1"/>
  <c r="E113" i="1" s="1"/>
  <c r="E117" i="1" s="1"/>
  <c r="E121" i="1" s="1"/>
  <c r="E125" i="1" s="1"/>
  <c r="E129" i="1" s="1"/>
  <c r="E133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62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S18" i="1" s="1"/>
  <c r="R17" i="1"/>
  <c r="R18" i="1" s="1"/>
  <c r="Q17" i="1"/>
  <c r="Q18" i="1" s="1"/>
  <c r="P17" i="1"/>
  <c r="P18" i="1" s="1"/>
  <c r="O17" i="1"/>
  <c r="O18" i="1" s="1"/>
  <c r="N17" i="1"/>
  <c r="N18" i="1" s="1"/>
  <c r="AC57" i="1" l="1"/>
  <c r="Y59" i="1"/>
  <c r="AG57" i="1"/>
  <c r="W57" i="1"/>
  <c r="H14" i="15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4" i="1"/>
  <c r="B51" i="1" l="1"/>
  <c r="D53" i="1"/>
  <c r="B54" i="1"/>
  <c r="D56" i="1"/>
  <c r="D58" i="1" s="1"/>
  <c r="D60" i="1" l="1"/>
  <c r="B58" i="1"/>
  <c r="B56" i="1"/>
  <c r="B53" i="1"/>
  <c r="D55" i="1"/>
  <c r="D57" i="1" s="1"/>
  <c r="D59" i="1" l="1"/>
  <c r="B57" i="1"/>
  <c r="D62" i="1"/>
  <c r="B60" i="1"/>
  <c r="B55" i="1"/>
  <c r="B62" i="1" l="1"/>
  <c r="D64" i="1"/>
  <c r="D61" i="1"/>
  <c r="B59" i="1"/>
  <c r="B61" i="1" l="1"/>
  <c r="D63" i="1"/>
  <c r="B64" i="1"/>
  <c r="D66" i="1"/>
  <c r="D65" i="1" l="1"/>
  <c r="B63" i="1"/>
  <c r="D68" i="1"/>
  <c r="B66" i="1"/>
  <c r="D70" i="1" l="1"/>
  <c r="B68" i="1"/>
  <c r="B65" i="1"/>
  <c r="D67" i="1"/>
  <c r="D69" i="1" l="1"/>
  <c r="B67" i="1"/>
  <c r="D72" i="1"/>
  <c r="B70" i="1"/>
  <c r="D71" i="1" l="1"/>
  <c r="B69" i="1"/>
  <c r="B72" i="1"/>
  <c r="D74" i="1"/>
  <c r="D5" i="1" s="1"/>
  <c r="O15" i="1" l="1"/>
  <c r="Z14" i="1" s="1"/>
  <c r="N15" i="1"/>
  <c r="Y14" i="1" s="1"/>
  <c r="R15" i="1"/>
  <c r="AC14" i="1" s="1"/>
  <c r="S15" i="1"/>
  <c r="AD14" i="1" s="1"/>
  <c r="Q15" i="1"/>
  <c r="AB14" i="1" s="1"/>
  <c r="S48" i="1"/>
  <c r="P15" i="1"/>
  <c r="AA14" i="1" s="1"/>
  <c r="M15" i="1"/>
  <c r="D76" i="1"/>
  <c r="B74" i="1"/>
  <c r="B71" i="1"/>
  <c r="D73" i="1"/>
  <c r="AB18" i="1" l="1"/>
  <c r="AB20" i="1"/>
  <c r="AB19" i="1"/>
  <c r="AD20" i="1"/>
  <c r="AD19" i="1"/>
  <c r="AD18" i="1"/>
  <c r="AD22" i="1"/>
  <c r="AA18" i="1"/>
  <c r="AA19" i="1"/>
  <c r="AA20" i="1"/>
  <c r="AA22" i="1"/>
  <c r="AC18" i="1"/>
  <c r="AC19" i="1"/>
  <c r="AC20" i="1"/>
  <c r="Z20" i="1"/>
  <c r="Z19" i="1"/>
  <c r="Z18" i="1"/>
  <c r="Z22" i="1"/>
  <c r="Y20" i="1"/>
  <c r="Y18" i="1"/>
  <c r="Y19" i="1"/>
  <c r="D75" i="1"/>
  <c r="B73" i="1"/>
  <c r="D78" i="1"/>
  <c r="B76" i="1"/>
  <c r="AC22" i="1" l="1"/>
  <c r="AB22" i="1"/>
  <c r="Y22" i="1"/>
  <c r="B78" i="1"/>
  <c r="D80" i="1"/>
  <c r="D77" i="1"/>
  <c r="B75" i="1"/>
  <c r="D79" i="1" l="1"/>
  <c r="B77" i="1"/>
  <c r="B80" i="1"/>
  <c r="D82" i="1"/>
  <c r="D84" i="1" l="1"/>
  <c r="B82" i="1"/>
  <c r="D81" i="1"/>
  <c r="B79" i="1"/>
  <c r="D83" i="1" l="1"/>
  <c r="B81" i="1"/>
  <c r="D86" i="1"/>
  <c r="B84" i="1"/>
  <c r="D88" i="1" l="1"/>
  <c r="B86" i="1"/>
  <c r="D85" i="1"/>
  <c r="B83" i="1"/>
  <c r="B85" i="1" l="1"/>
  <c r="D87" i="1"/>
  <c r="B88" i="1"/>
  <c r="D90" i="1"/>
  <c r="D89" i="1" l="1"/>
  <c r="B87" i="1"/>
  <c r="D92" i="1"/>
  <c r="B90" i="1"/>
  <c r="B92" i="1" l="1"/>
  <c r="D94" i="1"/>
  <c r="D91" i="1"/>
  <c r="B89" i="1"/>
  <c r="D93" i="1" l="1"/>
  <c r="B91" i="1"/>
  <c r="B94" i="1"/>
  <c r="D96" i="1"/>
  <c r="B96" i="1" l="1"/>
  <c r="D98" i="1"/>
  <c r="D95" i="1"/>
  <c r="B93" i="1"/>
  <c r="B95" i="1" l="1"/>
  <c r="D97" i="1"/>
  <c r="D100" i="1"/>
  <c r="B98" i="1"/>
  <c r="B100" i="1" l="1"/>
  <c r="D102" i="1"/>
  <c r="D99" i="1"/>
  <c r="B97" i="1"/>
  <c r="B99" i="1" l="1"/>
  <c r="D101" i="1"/>
  <c r="B102" i="1"/>
  <c r="D104" i="1"/>
  <c r="D106" i="1" l="1"/>
  <c r="B104" i="1"/>
  <c r="D103" i="1"/>
  <c r="B101" i="1"/>
  <c r="B103" i="1" l="1"/>
  <c r="D105" i="1"/>
  <c r="D108" i="1"/>
  <c r="B106" i="1"/>
  <c r="D107" i="1" l="1"/>
  <c r="B105" i="1"/>
  <c r="D110" i="1"/>
  <c r="B108" i="1"/>
  <c r="B110" i="1" l="1"/>
  <c r="D112" i="1"/>
  <c r="B107" i="1"/>
  <c r="D109" i="1"/>
  <c r="D114" i="1" l="1"/>
  <c r="B112" i="1"/>
  <c r="D111" i="1"/>
  <c r="B109" i="1"/>
  <c r="D113" i="1" l="1"/>
  <c r="B111" i="1"/>
  <c r="B114" i="1"/>
  <c r="D116" i="1"/>
  <c r="B116" i="1" l="1"/>
  <c r="D118" i="1"/>
  <c r="D115" i="1"/>
  <c r="B113" i="1"/>
  <c r="D117" i="1" l="1"/>
  <c r="B115" i="1"/>
  <c r="B118" i="1"/>
  <c r="D120" i="1"/>
  <c r="B120" i="1" l="1"/>
  <c r="D122" i="1"/>
  <c r="B117" i="1"/>
  <c r="D119" i="1"/>
  <c r="B119" i="1" l="1"/>
  <c r="D121" i="1"/>
  <c r="D124" i="1"/>
  <c r="B122" i="1"/>
  <c r="D126" i="1" l="1"/>
  <c r="B124" i="1"/>
  <c r="B121" i="1"/>
  <c r="D123" i="1"/>
  <c r="D125" i="1" l="1"/>
  <c r="B123" i="1"/>
  <c r="B126" i="1"/>
  <c r="D128" i="1"/>
  <c r="B128" i="1" l="1"/>
  <c r="D130" i="1"/>
  <c r="B125" i="1"/>
  <c r="D127" i="1"/>
  <c r="D129" i="1" l="1"/>
  <c r="B127" i="1"/>
  <c r="D132" i="1"/>
  <c r="B130" i="1"/>
  <c r="D134" i="1" l="1"/>
  <c r="B132" i="1"/>
  <c r="B129" i="1"/>
  <c r="D131" i="1"/>
  <c r="B131" i="1" l="1"/>
  <c r="D133" i="1"/>
  <c r="B134" i="1"/>
  <c r="D136" i="1"/>
  <c r="B136" i="1" s="1"/>
  <c r="D135" i="1" l="1"/>
  <c r="B135" i="1" s="1"/>
  <c r="B1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<sst xmlns="http://schemas.openxmlformats.org/spreadsheetml/2006/main" count="1774" uniqueCount="165">
  <si>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</si>
  <si>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</si>
  <si>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</si>
  <si>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</si>
  <si>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</si>
  <si>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</si>
  <si>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</si>
  <si>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</si>
  <si>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</si>
  <si>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</si>
  <si>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</si>
  <si>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</si>
  <si>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</si>
  <si>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</si>
  <si>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</si>
  <si>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</si>
  <si>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</si>
  <si>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</si>
  <si>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</si>
  <si>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</si>
  <si>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</si>
  <si>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</si>
  <si>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</si>
  <si>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</si>
  <si>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</si>
  <si>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</si>
  <si>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</si>
  <si>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</si>
  <si>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</si>
  <si>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</si>
  <si>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</si>
  <si>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</si>
  <si>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</si>
  <si>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</si>
  <si>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</si>
  <si>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</si>
  <si>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</si>
  <si>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</si>
  <si>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</si>
  <si>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</si>
  <si>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</si>
  <si>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</si>
  <si>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</si>
  <si>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</si>
  <si>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</si>
  <si>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</si>
  <si>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</si>
  <si>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</si>
  <si>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</si>
  <si>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</si>
  <si>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</si>
  <si>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</si>
  <si>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</si>
  <si>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</si>
  <si>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</si>
  <si>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</si>
  <si>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</si>
  <si>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</si>
  <si>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</si>
  <si>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</si>
  <si>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</si>
  <si>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</si>
  <si>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</si>
  <si>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</si>
  <si>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</si>
  <si>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</si>
  <si>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</si>
  <si>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</si>
  <si>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</si>
  <si>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</si>
  <si>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</si>
  <si>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</si>
  <si>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</si>
  <si>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</si>
  <si>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</si>
  <si>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</si>
  <si>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</si>
  <si>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</si>
  <si>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</si>
  <si>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</si>
  <si>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</si>
  <si>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</si>
  <si>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</si>
  <si>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</si>
  <si>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</si>
  <si>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</si>
  <si>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</si>
  <si>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</si>
  <si>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</si>
  <si>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</si>
  <si>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</si>
  <si>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</si>
  <si>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</si>
  <si>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</si>
  <si>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</si>
  <si>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</si>
  <si>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</si>
  <si>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</si>
  <si>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</si>
  <si>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</si>
  <si>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</si>
  <si>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</si>
  <si>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</si>
  <si>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</si>
  <si>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</si>
  <si>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</si>
  <si>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</si>
  <si>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</si>
  <si>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</si>
  <si>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</si>
  <si>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</si>
  <si>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</si>
  <si>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</si>
  <si>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</si>
  <si>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</si>
  <si>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</si>
  <si>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</si>
  <si>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</si>
  <si>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</si>
  <si>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</si>
  <si>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</si>
  <si>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</si>
  <si>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</si>
  <si>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</si>
  <si>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</si>
  <si>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</si>
  <si>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</si>
  <si>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</si>
  <si>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</si>
  <si>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</si>
  <si>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</si>
  <si>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</si>
  <si>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</si>
  <si>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</si>
  <si>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</si>
  <si>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</si>
  <si>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</si>
  <si>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</si>
  <si>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</si>
  <si>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</si>
  <si>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</si>
  <si>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</si>
  <si>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</si>
  <si>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</si>
  <si>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</si>
  <si>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</si>
  <si>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</si>
  <si>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</si>
  <si>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</si>
  <si>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</si>
  <si>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</si>
  <si>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</si>
  <si>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</si>
  <si>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</si>
  <si>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</si>
  <si>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</si>
  <si>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</si>
  <si>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</si>
  <si>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CoaRet</t>
  </si>
  <si>
    <t>Pln</t>
  </si>
  <si>
    <t>Eco</t>
  </si>
  <si>
    <t>NCAP_TLIFE</t>
  </si>
  <si>
    <t>+25</t>
  </si>
  <si>
    <t>pset_pn</t>
  </si>
  <si>
    <t>ep_coal_sub*,-*rf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</si>
</sst>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5" fillId="0" borderId="0" xfId="4" applyBorder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136"/>
  <sheetViews>
    <sheetView tabSelected="1" workbookViewId="0">
      <selection activeCell="J2" sqref="J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6.59765625" bestFit="1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74" x14ac:dyDescent="0.45">
      <c r="K1" s="16">
        <v>1</v>
      </c>
      <c r="L1">
        <v>2</v>
      </c>
      <c r="M1">
        <v>3</v>
      </c>
      <c r="N1">
        <v>4</v>
      </c>
      <c r="O1">
        <v>9</v>
      </c>
      <c r="P1">
        <v>10</v>
      </c>
      <c r="Q1">
        <v>11</v>
      </c>
      <c r="R1">
        <v>12</v>
      </c>
      <c r="S1">
        <v>17</v>
      </c>
      <c r="T1">
        <v>18</v>
      </c>
      <c r="U1">
        <v>19</v>
      </c>
      <c r="V1">
        <v>20</v>
      </c>
      <c r="W1">
        <v>25</v>
      </c>
      <c r="X1">
        <v>26</v>
      </c>
      <c r="Y1">
        <v>27</v>
      </c>
      <c r="Z1">
        <v>28</v>
      </c>
      <c r="AA1">
        <v>33</v>
      </c>
      <c r="AB1">
        <v>34</v>
      </c>
      <c r="AC1">
        <v>35</v>
      </c>
      <c r="AD1">
        <v>36</v>
      </c>
      <c r="AE1">
        <v>41</v>
      </c>
      <c r="AF1">
        <v>42</v>
      </c>
      <c r="AG1">
        <v>43</v>
      </c>
      <c r="AH1">
        <v>44</v>
      </c>
      <c r="AI1">
        <v>49</v>
      </c>
      <c r="AJ1">
        <v>50</v>
      </c>
      <c r="AK1">
        <v>51</v>
      </c>
      <c r="AL1">
        <v>52</v>
      </c>
      <c r="AM1">
        <v>57</v>
      </c>
      <c r="AN1">
        <v>58</v>
      </c>
      <c r="AO1">
        <v>59</v>
      </c>
      <c r="AP1">
        <v>60</v>
      </c>
      <c r="AQ1">
        <v>65</v>
      </c>
      <c r="AR1">
        <v>66</v>
      </c>
      <c r="AS1">
        <v>67</v>
      </c>
      <c r="AT1">
        <v>68</v>
      </c>
      <c r="AU1">
        <v>73</v>
      </c>
      <c r="AV1">
        <v>74</v>
      </c>
      <c r="AW1">
        <v>75</v>
      </c>
      <c r="AX1">
        <v>76</v>
      </c>
      <c r="AY1">
        <v>81</v>
      </c>
      <c r="AZ1">
        <v>82</v>
      </c>
      <c r="BA1">
        <v>83</v>
      </c>
      <c r="BB1">
        <v>84</v>
      </c>
      <c r="BC1">
        <v>89</v>
      </c>
      <c r="BD1">
        <v>90</v>
      </c>
      <c r="BE1">
        <v>91</v>
      </c>
      <c r="BF1">
        <v>92</v>
      </c>
      <c r="BG1">
        <v>97</v>
      </c>
      <c r="BH1">
        <v>98</v>
      </c>
      <c r="BI1">
        <v>99</v>
      </c>
      <c r="BJ1">
        <v>100</v>
      </c>
      <c r="BK1">
        <v>105</v>
      </c>
      <c r="BL1">
        <v>106</v>
      </c>
      <c r="BM1">
        <v>107</v>
      </c>
      <c r="BN1">
        <v>108</v>
      </c>
      <c r="BO1">
        <v>113</v>
      </c>
      <c r="BP1">
        <v>114</v>
      </c>
      <c r="BQ1">
        <v>115</v>
      </c>
      <c r="BR1">
        <v>116</v>
      </c>
      <c r="BS1">
        <v>121</v>
      </c>
      <c r="BT1">
        <v>122</v>
      </c>
      <c r="BU1">
        <v>123</v>
      </c>
      <c r="BV1">
        <v>124</v>
      </c>
    </row>
    <row r="2" spans="1:74" x14ac:dyDescent="0.45">
      <c r="B2" s="1" t="str">
        <f>"~Inputcell: "&amp;_xlfn.TEXTJOIN(",",TRUE,K1:EI1)</f>
        <v>~Inputcell: 1,2,3,4,9,10,11,12,17,18,19,20,25,26,27,28,33,34,35,36,41,42,43,44,49,50,51,52,57,58,59,60,65,66,67,68,73,74,75,76,81,82,83,84,89,90,91,92,97,98,99,100,105,106,107,108,113,114,115,116,121,122,123,124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74" x14ac:dyDescent="0.45">
      <c r="B3" s="9">
        <v>66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74" x14ac:dyDescent="0.45">
      <c r="D5" s="21" t="str">
        <f t="shared" ref="D5:I5" si="1">VLOOKUP($B$3,$C$9:$K$999,COLUMN()-2,FALSE)</f>
        <v>Hi</v>
      </c>
      <c r="E5" s="21">
        <f t="shared" si="1"/>
        <v>0</v>
      </c>
      <c r="F5" s="21" t="str">
        <f t="shared" si="1"/>
        <v>CF1</v>
      </c>
      <c r="G5" s="21" t="str">
        <f t="shared" si="1"/>
        <v>Y</v>
      </c>
      <c r="H5" s="21" t="str">
        <f t="shared" si="1"/>
        <v>Eco</v>
      </c>
      <c r="I5" s="21">
        <f t="shared" si="1"/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7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74" x14ac:dyDescent="0.45">
      <c r="B7" s="14" t="s">
        <v>90</v>
      </c>
    </row>
    <row r="8" spans="1:7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158</v>
      </c>
      <c r="I8" s="4" t="s">
        <v>152</v>
      </c>
      <c r="J8" s="4"/>
      <c r="AR8" s="2" t="s">
        <v>95</v>
      </c>
    </row>
    <row r="9" spans="1:74" x14ac:dyDescent="0.45">
      <c r="A9">
        <v>5</v>
      </c>
      <c r="B9" t="str">
        <f>_xlfn.TEXTJOIN(".",TRUE,D9:I9)</f>
        <v>Lo.0.CF1.Y.Pln.1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159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74" x14ac:dyDescent="0.45">
      <c r="A10">
        <v>5</v>
      </c>
      <c r="B10" t="str">
        <f t="shared" ref="B10:B56" si="2">_xlfn.TEXTJOIN(".",TRUE,D10:I10)</f>
        <v>Hi.0.CF1.Y.Pln.1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159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74" x14ac:dyDescent="0.45">
      <c r="A11">
        <v>5</v>
      </c>
      <c r="B11" t="str">
        <f t="shared" si="2"/>
        <v>Lo.95.CF1.Y.Pln.1</v>
      </c>
      <c r="C11">
        <f t="shared" ref="C11:C74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159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74" ht="14.65" customHeight="1" thickBot="1" x14ac:dyDescent="0.5">
      <c r="A12">
        <v>5</v>
      </c>
      <c r="B12" t="str">
        <f t="shared" si="2"/>
        <v>Hi.95.CF1.Y.Pln.1</v>
      </c>
      <c r="C12">
        <f t="shared" si="3"/>
        <v>4</v>
      </c>
      <c r="D12" t="str">
        <f t="shared" ref="D12:D75" si="4">D10</f>
        <v>Hi</v>
      </c>
      <c r="E12">
        <v>95</v>
      </c>
      <c r="F12" s="15" t="s">
        <v>129</v>
      </c>
      <c r="G12" s="15" t="s">
        <v>135</v>
      </c>
      <c r="H12" s="15" t="s">
        <v>159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74" ht="14.65" customHeight="1" thickTop="1" x14ac:dyDescent="0.45">
      <c r="A13">
        <v>5</v>
      </c>
      <c r="B13" t="str">
        <f t="shared" si="2"/>
        <v>Lo.0.CF1.N.Pln.1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159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74" x14ac:dyDescent="0.45">
      <c r="A14">
        <v>5</v>
      </c>
      <c r="B14" t="str">
        <f t="shared" si="2"/>
        <v>Hi.0.CF1.N.Pln.1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159</v>
      </c>
      <c r="I14" s="22">
        <v>1</v>
      </c>
      <c r="X14" s="8">
        <f>W12</f>
        <v>229.26</v>
      </c>
      <c r="Y14" s="8">
        <f t="shared" ref="Y14:AD14" si="6">$W$12*N15</f>
        <v>275.11199999999997</v>
      </c>
      <c r="Z14" s="8">
        <f t="shared" si="6"/>
        <v>290.01390000000004</v>
      </c>
      <c r="AA14" s="8">
        <f t="shared" si="6"/>
        <v>304.91579999999999</v>
      </c>
      <c r="AB14" s="8">
        <f t="shared" si="6"/>
        <v>373.69379999999995</v>
      </c>
      <c r="AC14" s="8">
        <f t="shared" si="6"/>
        <v>458.52</v>
      </c>
      <c r="AD14" s="8">
        <f t="shared" si="6"/>
        <v>532.34172000000001</v>
      </c>
      <c r="AN14" s="10">
        <f>AN9+1</f>
        <v>2</v>
      </c>
    </row>
    <row r="15" spans="1:74" x14ac:dyDescent="0.45">
      <c r="A15">
        <v>5</v>
      </c>
      <c r="B15" t="str">
        <f t="shared" si="2"/>
        <v>Lo.95.CF1.N.Pln.1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159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1.2</v>
      </c>
      <c r="O15" s="11">
        <f t="shared" si="8"/>
        <v>1.2650000000000001</v>
      </c>
      <c r="P15" s="11">
        <f t="shared" si="8"/>
        <v>1.33</v>
      </c>
      <c r="Q15" s="11">
        <f t="shared" si="8"/>
        <v>1.63</v>
      </c>
      <c r="R15" s="11">
        <f t="shared" si="8"/>
        <v>2</v>
      </c>
      <c r="S15" s="11">
        <f t="shared" si="8"/>
        <v>2.3220000000000001</v>
      </c>
      <c r="AN15" s="10">
        <f t="shared" ref="AN15:AN78" si="9">AN10+1</f>
        <v>2</v>
      </c>
    </row>
    <row r="16" spans="1:74" ht="17.649999999999999" customHeight="1" thickBot="1" x14ac:dyDescent="0.6">
      <c r="A16">
        <v>5</v>
      </c>
      <c r="B16" t="str">
        <f t="shared" si="2"/>
        <v>Hi.95.CF1.N.Pln.1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159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Lo.0.CF6.Y.Pln.1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159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Hi.0.CF6.Y.Pln.1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81" si="14">G10</f>
        <v>Y</v>
      </c>
      <c r="H18" s="15" t="s">
        <v>159</v>
      </c>
      <c r="I18" s="22">
        <v>1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4.5851999999999995</v>
      </c>
      <c r="AD18" s="6">
        <f t="shared" si="15"/>
        <v>5.3234172000000006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Lo.95.CF6.Y.Pln.1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159</v>
      </c>
      <c r="I19" s="22">
        <v>1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5"/>
        <v>91.704000000000008</v>
      </c>
      <c r="Y19" s="6">
        <f t="shared" si="15"/>
        <v>96.28919999999998</v>
      </c>
      <c r="Z19" s="6">
        <f t="shared" si="15"/>
        <v>95.704587000000018</v>
      </c>
      <c r="AA19" s="6">
        <f t="shared" si="15"/>
        <v>97.573055999999994</v>
      </c>
      <c r="AB19" s="6">
        <f t="shared" si="15"/>
        <v>115.84507799999999</v>
      </c>
      <c r="AC19" s="6">
        <f t="shared" si="15"/>
        <v>142.1412</v>
      </c>
      <c r="AD19" s="6">
        <f t="shared" si="15"/>
        <v>165.0259332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Hi.95.CF6.Y.Pln.1</v>
      </c>
      <c r="C20">
        <f t="shared" si="3"/>
        <v>12</v>
      </c>
      <c r="D20" t="str">
        <f t="shared" si="4"/>
        <v>Hi</v>
      </c>
      <c r="E20">
        <f t="shared" ref="E20:E83" si="17">E16</f>
        <v>95</v>
      </c>
      <c r="F20" t="s">
        <v>130</v>
      </c>
      <c r="G20" t="str">
        <f t="shared" si="14"/>
        <v>Y</v>
      </c>
      <c r="H20" s="15" t="s">
        <v>159</v>
      </c>
      <c r="I20" s="22">
        <v>1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5"/>
        <v>107.75219999999999</v>
      </c>
      <c r="Y20" s="6">
        <f t="shared" si="15"/>
        <v>143.05823999999998</v>
      </c>
      <c r="Z20" s="6">
        <f t="shared" si="15"/>
        <v>156.60750600000003</v>
      </c>
      <c r="AA20" s="6">
        <f t="shared" si="15"/>
        <v>161.60537400000001</v>
      </c>
      <c r="AB20" s="6">
        <f t="shared" si="15"/>
        <v>194.320776</v>
      </c>
      <c r="AC20" s="6">
        <f t="shared" si="15"/>
        <v>229.26</v>
      </c>
      <c r="AD20" s="6">
        <f t="shared" si="15"/>
        <v>255.52402559999999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Lo.0.CF6.N.Pln.1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159</v>
      </c>
      <c r="I21" s="22">
        <v>1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Hi.0.CF6.N.Pln.1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159</v>
      </c>
      <c r="I22" s="22">
        <v>1</v>
      </c>
      <c r="W22" s="10" t="s">
        <v>25</v>
      </c>
      <c r="X22" s="6">
        <f t="shared" ref="X22:AD22" si="19">X14-SUM(X19:X21)</f>
        <v>27.511200000000002</v>
      </c>
      <c r="Y22" s="6">
        <f t="shared" si="19"/>
        <v>33.471960000000024</v>
      </c>
      <c r="Z22" s="6">
        <f t="shared" si="19"/>
        <v>35.409206999999981</v>
      </c>
      <c r="AA22" s="6">
        <f t="shared" si="19"/>
        <v>43.444770000000005</v>
      </c>
      <c r="AB22" s="6">
        <f t="shared" si="19"/>
        <v>61.235345999999993</v>
      </c>
      <c r="AC22" s="6">
        <f t="shared" si="19"/>
        <v>84.826199999999972</v>
      </c>
      <c r="AD22" s="6">
        <f t="shared" si="19"/>
        <v>109.4991612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Lo.95.CF6.N.Pln.1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159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Hi.95.CF6.N.Pln.1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159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S24" s="11">
        <f t="shared" si="20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Lo.0.CF1.Y.Pln.0.25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159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Hi.0.CF1.Y.Pln.0.25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89" si="21">F10</f>
        <v>CF1</v>
      </c>
      <c r="G26" t="str">
        <f t="shared" si="14"/>
        <v>Y</v>
      </c>
      <c r="H26" s="15" t="s">
        <v>159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Lo.95.CF1.Y.Pln.0.25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159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Hi.95.CF1.Y.Pln.0.25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159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Lo.0.CF1.N.Pln.0.25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159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Hi.0.CF1.N.Pln.0.25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159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Lo.95.CF1.N.Pln.0.25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159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Hi.95.CF1.N.Pln.0.25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159</v>
      </c>
      <c r="I32" s="23">
        <v>0.25</v>
      </c>
      <c r="W32" s="5" t="str">
        <f>IF($G$5="N","~TFM_UPD","DEF correction active")</f>
        <v>DEF correction active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Lo.0.CF6.Y.Pln.0.25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159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Hi.0.CF6.Y.Pln.0.25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159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Lo.95.CF6.Y.Pln.0.25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159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Hi.95.CF6.Y.Pln.0.25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159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Lo.0.CF6.N.Pln.0.25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159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Hi.0.CF6.N.Pln.0.25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159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Lo.95.CF6.N.Pln.0.25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159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Hi.95.CF6.N.Pln.0.25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159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Lo.0.CF1.Y.Pln.2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159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Hi.0.CF1.Y.Pln.2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159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Lo.95.CF1.Y.Pln.2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159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Hi.95.CF1.Y.Pln.2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159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Lo.0.CF1.N.Pln.2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159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Hi.0.CF1.N.Pln.2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159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Lo.95.CF1.N.Pln.2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159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Hi.95.CF1.N.Pln.2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159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Lo.0.CF6.Y.Pln.2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159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Hi.0.CF6.Y.Pln.2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159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Lo.95.CF6.Y.Pln.2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159</v>
      </c>
      <c r="I51" s="23">
        <v>2</v>
      </c>
      <c r="U51" t="s">
        <v>135</v>
      </c>
      <c r="W51" s="5" t="str">
        <f>IF($U$51="N","~TFM_INS: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Hi.95.CF6.Y.Pln.2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159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Lo.0.CF6.N.Pln.2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159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Hi.0.CF6.N.Pln.2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159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Lo.95.CF6.N.Pln.2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159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Hi.95.CF6.N.Pln.2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159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Lo.0.CF1.Y.Pln.0.1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159</v>
      </c>
      <c r="I57" s="23">
        <v>0.1</v>
      </c>
      <c r="W57" s="5" t="str">
        <f>IF($I$5&lt;&gt;1,"~TFM_UPD","Transmission costs default")</f>
        <v>Transmission costs default</v>
      </c>
      <c r="AC57" s="5" t="str">
        <f>IF($I$5&lt;1,"~TFM_INS","No hurdle rate")</f>
        <v>No hurdle rate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Hi.0.CF1.Y.Pln.0.1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159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Lo.95.CF1.Y.Pln.0.1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159</v>
      </c>
      <c r="I59" s="23">
        <v>0.1</v>
      </c>
      <c r="W59" t="s">
        <v>154</v>
      </c>
      <c r="X59" s="20"/>
      <c r="Y59" t="str">
        <f>"*"&amp;$I$5</f>
        <v>*1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Hi.95.CF1.Y.Pln.0.1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159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Lo.0.CF1.N.Pln.0.1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159</v>
      </c>
      <c r="I61" s="23">
        <v>0.1</v>
      </c>
      <c r="AN61" s="10">
        <f t="shared" si="9"/>
        <v>11</v>
      </c>
    </row>
    <row r="62" spans="1:40" ht="17.649999999999999" thickBot="1" x14ac:dyDescent="0.6">
      <c r="A62">
        <v>5</v>
      </c>
      <c r="B62" t="str">
        <f t="shared" si="30"/>
        <v>Hi.0.CF1.N.Pln.0.1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159</v>
      </c>
      <c r="I62" s="23">
        <v>0.1</v>
      </c>
      <c r="W62" s="5" t="str">
        <f>IF($H$5&lt;&gt;"Pln","~TFM_UPD","Coal plants retire as per plan")</f>
        <v>~TFM_UPD</v>
      </c>
      <c r="AN62" s="10">
        <f t="shared" si="9"/>
        <v>11</v>
      </c>
    </row>
    <row r="63" spans="1:40" ht="14.65" thickTop="1" x14ac:dyDescent="0.45">
      <c r="A63">
        <v>5</v>
      </c>
      <c r="B63" t="str">
        <f t="shared" si="30"/>
        <v>Lo.95.CF1.N.Pln.0.1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159</v>
      </c>
      <c r="I63" s="23">
        <v>0.1</v>
      </c>
      <c r="W63" s="24" t="s">
        <v>14</v>
      </c>
      <c r="X63" s="24" t="s">
        <v>150</v>
      </c>
      <c r="Y63" s="24" t="s">
        <v>138</v>
      </c>
      <c r="Z63" s="24" t="s">
        <v>163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Hi.95.CF1.N.Pln.0.1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159</v>
      </c>
      <c r="I64" s="23">
        <v>0.1</v>
      </c>
      <c r="W64" t="s">
        <v>161</v>
      </c>
      <c r="X64" s="20"/>
      <c r="Y64" s="20" t="s">
        <v>162</v>
      </c>
      <c r="Z64" t="s">
        <v>164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Lo.0.CF6.Y.Pln.0.1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159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Hi.0.CF6.Y.Pln.0.1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159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Lo.95.CF6.Y.Pln.0.1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159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Hi.95.CF6.Y.Pln.0.1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159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Lo.0.CF6.N.Pln.0.1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159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Hi.0.CF6.N.Pln.0.1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159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Lo.95.CF6.N.Pln.0.1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159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Hi.95.CF6.N.Pln.0.1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159</v>
      </c>
      <c r="I72" s="23">
        <v>0.1</v>
      </c>
      <c r="AN72" s="10">
        <f t="shared" si="9"/>
        <v>13</v>
      </c>
    </row>
    <row r="73" spans="1:40" x14ac:dyDescent="0.45">
      <c r="A73">
        <v>5</v>
      </c>
      <c r="B73" t="str">
        <f t="shared" ref="B73:B136" si="31">_xlfn.TEXTJOIN(".",TRUE,D73:I73)</f>
        <v>Lo.0.CF1.Y.Eco.1</v>
      </c>
      <c r="C73">
        <f t="shared" si="3"/>
        <v>65</v>
      </c>
      <c r="D73" t="str">
        <f t="shared" si="4"/>
        <v>Lo</v>
      </c>
      <c r="E73">
        <f t="shared" si="17"/>
        <v>0</v>
      </c>
      <c r="F73" t="str">
        <f t="shared" si="21"/>
        <v>CF1</v>
      </c>
      <c r="G73" t="str">
        <f t="shared" si="14"/>
        <v>Y</v>
      </c>
      <c r="H73" s="15" t="s">
        <v>160</v>
      </c>
      <c r="I73" s="23">
        <f>I9</f>
        <v>1</v>
      </c>
      <c r="AN73" s="10">
        <f t="shared" si="9"/>
        <v>13</v>
      </c>
    </row>
    <row r="74" spans="1:40" x14ac:dyDescent="0.45">
      <c r="A74">
        <v>5</v>
      </c>
      <c r="B74" t="str">
        <f t="shared" si="31"/>
        <v>Hi.0.CF1.Y.Eco.1</v>
      </c>
      <c r="C74">
        <f t="shared" si="3"/>
        <v>66</v>
      </c>
      <c r="D74" t="str">
        <f t="shared" si="4"/>
        <v>Hi</v>
      </c>
      <c r="E74">
        <f t="shared" si="17"/>
        <v>0</v>
      </c>
      <c r="F74" t="str">
        <f t="shared" si="21"/>
        <v>CF1</v>
      </c>
      <c r="G74" t="str">
        <f t="shared" si="14"/>
        <v>Y</v>
      </c>
      <c r="H74" s="15" t="s">
        <v>160</v>
      </c>
      <c r="I74" s="23">
        <f t="shared" ref="I74:I136" si="32">I10</f>
        <v>1</v>
      </c>
      <c r="AN74" s="10">
        <f t="shared" si="9"/>
        <v>14</v>
      </c>
    </row>
    <row r="75" spans="1:40" x14ac:dyDescent="0.45">
      <c r="A75">
        <v>5</v>
      </c>
      <c r="B75" t="str">
        <f t="shared" si="31"/>
        <v>Lo.95.CF1.Y.Eco.1</v>
      </c>
      <c r="C75">
        <f t="shared" ref="C75:C136" si="33">C74+1</f>
        <v>67</v>
      </c>
      <c r="D75" t="str">
        <f t="shared" si="4"/>
        <v>Lo</v>
      </c>
      <c r="E75">
        <f t="shared" si="17"/>
        <v>95</v>
      </c>
      <c r="F75" t="str">
        <f t="shared" si="21"/>
        <v>CF1</v>
      </c>
      <c r="G75" t="str">
        <f t="shared" si="14"/>
        <v>Y</v>
      </c>
      <c r="H75" s="15" t="s">
        <v>160</v>
      </c>
      <c r="I75" s="23">
        <f t="shared" si="32"/>
        <v>1</v>
      </c>
      <c r="AN75" s="10">
        <f t="shared" si="9"/>
        <v>14</v>
      </c>
    </row>
    <row r="76" spans="1:40" x14ac:dyDescent="0.45">
      <c r="A76">
        <v>5</v>
      </c>
      <c r="B76" t="str">
        <f t="shared" si="31"/>
        <v>Hi.95.CF1.Y.Eco.1</v>
      </c>
      <c r="C76">
        <f t="shared" si="33"/>
        <v>68</v>
      </c>
      <c r="D76" t="str">
        <f t="shared" ref="D76:D136" si="34">D74</f>
        <v>Hi</v>
      </c>
      <c r="E76">
        <f t="shared" si="17"/>
        <v>95</v>
      </c>
      <c r="F76" t="str">
        <f t="shared" si="21"/>
        <v>CF1</v>
      </c>
      <c r="G76" t="str">
        <f t="shared" si="14"/>
        <v>Y</v>
      </c>
      <c r="H76" s="15" t="s">
        <v>160</v>
      </c>
      <c r="I76" s="23">
        <f t="shared" si="32"/>
        <v>1</v>
      </c>
      <c r="AN76" s="10">
        <f t="shared" si="9"/>
        <v>14</v>
      </c>
    </row>
    <row r="77" spans="1:40" x14ac:dyDescent="0.45">
      <c r="A77">
        <v>5</v>
      </c>
      <c r="B77" t="str">
        <f t="shared" si="31"/>
        <v>Lo.0.CF1.N.Eco.1</v>
      </c>
      <c r="C77">
        <f t="shared" si="33"/>
        <v>69</v>
      </c>
      <c r="D77" t="str">
        <f t="shared" si="34"/>
        <v>Lo</v>
      </c>
      <c r="E77">
        <f t="shared" si="17"/>
        <v>0</v>
      </c>
      <c r="F77" t="str">
        <f t="shared" si="21"/>
        <v>CF1</v>
      </c>
      <c r="G77" t="str">
        <f t="shared" si="14"/>
        <v>N</v>
      </c>
      <c r="H77" s="15" t="s">
        <v>160</v>
      </c>
      <c r="I77" s="23">
        <f t="shared" si="32"/>
        <v>1</v>
      </c>
      <c r="AN77" s="10">
        <f t="shared" si="9"/>
        <v>14</v>
      </c>
    </row>
    <row r="78" spans="1:40" x14ac:dyDescent="0.45">
      <c r="A78">
        <v>5</v>
      </c>
      <c r="B78" t="str">
        <f t="shared" si="31"/>
        <v>Hi.0.CF1.N.Eco.1</v>
      </c>
      <c r="C78">
        <f t="shared" si="33"/>
        <v>70</v>
      </c>
      <c r="D78" t="str">
        <f t="shared" si="34"/>
        <v>Hi</v>
      </c>
      <c r="E78">
        <f t="shared" si="17"/>
        <v>0</v>
      </c>
      <c r="F78" t="str">
        <f t="shared" si="21"/>
        <v>CF1</v>
      </c>
      <c r="G78" t="str">
        <f t="shared" si="14"/>
        <v>N</v>
      </c>
      <c r="H78" s="15" t="s">
        <v>160</v>
      </c>
      <c r="I78" s="23">
        <f t="shared" si="32"/>
        <v>1</v>
      </c>
      <c r="AN78" s="10">
        <f t="shared" si="9"/>
        <v>14</v>
      </c>
    </row>
    <row r="79" spans="1:40" x14ac:dyDescent="0.45">
      <c r="A79">
        <v>5</v>
      </c>
      <c r="B79" t="str">
        <f t="shared" si="31"/>
        <v>Lo.95.CF1.N.Eco.1</v>
      </c>
      <c r="C79">
        <f t="shared" si="33"/>
        <v>71</v>
      </c>
      <c r="D79" t="str">
        <f t="shared" si="34"/>
        <v>Lo</v>
      </c>
      <c r="E79">
        <f t="shared" si="17"/>
        <v>95</v>
      </c>
      <c r="F79" t="str">
        <f t="shared" si="21"/>
        <v>CF1</v>
      </c>
      <c r="G79" t="str">
        <f t="shared" si="14"/>
        <v>N</v>
      </c>
      <c r="H79" s="15" t="s">
        <v>160</v>
      </c>
      <c r="I79" s="23">
        <f t="shared" si="32"/>
        <v>1</v>
      </c>
    </row>
    <row r="80" spans="1:40" x14ac:dyDescent="0.45">
      <c r="A80">
        <v>5</v>
      </c>
      <c r="B80" t="str">
        <f t="shared" si="31"/>
        <v>Hi.95.CF1.N.Eco.1</v>
      </c>
      <c r="C80">
        <f t="shared" si="33"/>
        <v>72</v>
      </c>
      <c r="D80" t="str">
        <f t="shared" si="34"/>
        <v>Hi</v>
      </c>
      <c r="E80">
        <f t="shared" si="17"/>
        <v>95</v>
      </c>
      <c r="F80" t="str">
        <f t="shared" si="21"/>
        <v>CF1</v>
      </c>
      <c r="G80" t="str">
        <f t="shared" si="14"/>
        <v>N</v>
      </c>
      <c r="H80" s="15" t="s">
        <v>160</v>
      </c>
      <c r="I80" s="23">
        <f t="shared" si="32"/>
        <v>1</v>
      </c>
    </row>
    <row r="81" spans="1:9" x14ac:dyDescent="0.45">
      <c r="A81">
        <v>5</v>
      </c>
      <c r="B81" t="str">
        <f t="shared" si="31"/>
        <v>Lo.0.CF6.Y.Eco.1</v>
      </c>
      <c r="C81">
        <f t="shared" si="33"/>
        <v>73</v>
      </c>
      <c r="D81" t="str">
        <f t="shared" si="34"/>
        <v>Lo</v>
      </c>
      <c r="E81">
        <f t="shared" si="17"/>
        <v>0</v>
      </c>
      <c r="F81" t="str">
        <f t="shared" si="21"/>
        <v>CF6</v>
      </c>
      <c r="G81" t="str">
        <f t="shared" si="14"/>
        <v>Y</v>
      </c>
      <c r="H81" s="15" t="s">
        <v>160</v>
      </c>
      <c r="I81" s="23">
        <f t="shared" si="32"/>
        <v>1</v>
      </c>
    </row>
    <row r="82" spans="1:9" x14ac:dyDescent="0.45">
      <c r="A82">
        <v>5</v>
      </c>
      <c r="B82" t="str">
        <f t="shared" si="31"/>
        <v>Hi.0.CF6.Y.Eco.1</v>
      </c>
      <c r="C82">
        <f t="shared" si="33"/>
        <v>74</v>
      </c>
      <c r="D82" t="str">
        <f t="shared" si="34"/>
        <v>Hi</v>
      </c>
      <c r="E82">
        <f t="shared" si="17"/>
        <v>0</v>
      </c>
      <c r="F82" t="str">
        <f t="shared" si="21"/>
        <v>CF6</v>
      </c>
      <c r="G82" t="str">
        <f t="shared" ref="G82:G136" si="35">G74</f>
        <v>Y</v>
      </c>
      <c r="H82" s="15" t="s">
        <v>160</v>
      </c>
      <c r="I82" s="23">
        <f t="shared" si="32"/>
        <v>1</v>
      </c>
    </row>
    <row r="83" spans="1:9" x14ac:dyDescent="0.45">
      <c r="A83">
        <v>5</v>
      </c>
      <c r="B83" t="str">
        <f t="shared" si="31"/>
        <v>Lo.95.CF6.Y.Eco.1</v>
      </c>
      <c r="C83">
        <f t="shared" si="33"/>
        <v>75</v>
      </c>
      <c r="D83" t="str">
        <f t="shared" si="34"/>
        <v>Lo</v>
      </c>
      <c r="E83">
        <f t="shared" si="17"/>
        <v>95</v>
      </c>
      <c r="F83" t="str">
        <f t="shared" si="21"/>
        <v>CF6</v>
      </c>
      <c r="G83" t="str">
        <f t="shared" si="35"/>
        <v>Y</v>
      </c>
      <c r="H83" s="15" t="s">
        <v>160</v>
      </c>
      <c r="I83" s="23">
        <f t="shared" si="32"/>
        <v>1</v>
      </c>
    </row>
    <row r="84" spans="1:9" x14ac:dyDescent="0.45">
      <c r="A84">
        <v>5</v>
      </c>
      <c r="B84" t="str">
        <f t="shared" si="31"/>
        <v>Hi.95.CF6.Y.Eco.1</v>
      </c>
      <c r="C84">
        <f t="shared" si="33"/>
        <v>76</v>
      </c>
      <c r="D84" t="str">
        <f t="shared" si="34"/>
        <v>Hi</v>
      </c>
      <c r="E84">
        <f t="shared" ref="E84:E136" si="36">E80</f>
        <v>95</v>
      </c>
      <c r="F84" t="str">
        <f t="shared" si="21"/>
        <v>CF6</v>
      </c>
      <c r="G84" t="str">
        <f t="shared" si="35"/>
        <v>Y</v>
      </c>
      <c r="H84" s="15" t="s">
        <v>160</v>
      </c>
      <c r="I84" s="23">
        <f t="shared" si="32"/>
        <v>1</v>
      </c>
    </row>
    <row r="85" spans="1:9" x14ac:dyDescent="0.45">
      <c r="A85">
        <v>5</v>
      </c>
      <c r="B85" t="str">
        <f t="shared" si="31"/>
        <v>Lo.0.CF6.N.Eco.1</v>
      </c>
      <c r="C85">
        <f t="shared" si="33"/>
        <v>77</v>
      </c>
      <c r="D85" t="str">
        <f t="shared" si="34"/>
        <v>Lo</v>
      </c>
      <c r="E85">
        <f t="shared" si="36"/>
        <v>0</v>
      </c>
      <c r="F85" t="str">
        <f t="shared" si="21"/>
        <v>CF6</v>
      </c>
      <c r="G85" t="str">
        <f t="shared" si="35"/>
        <v>N</v>
      </c>
      <c r="H85" s="15" t="s">
        <v>160</v>
      </c>
      <c r="I85" s="23">
        <f t="shared" si="32"/>
        <v>1</v>
      </c>
    </row>
    <row r="86" spans="1:9" x14ac:dyDescent="0.45">
      <c r="A86">
        <v>5</v>
      </c>
      <c r="B86" t="str">
        <f t="shared" si="31"/>
        <v>Hi.0.CF6.N.Eco.1</v>
      </c>
      <c r="C86">
        <f t="shared" si="33"/>
        <v>78</v>
      </c>
      <c r="D86" t="str">
        <f t="shared" si="34"/>
        <v>Hi</v>
      </c>
      <c r="E86">
        <f t="shared" si="36"/>
        <v>0</v>
      </c>
      <c r="F86" t="str">
        <f t="shared" si="21"/>
        <v>CF6</v>
      </c>
      <c r="G86" t="str">
        <f t="shared" si="35"/>
        <v>N</v>
      </c>
      <c r="H86" s="15" t="s">
        <v>160</v>
      </c>
      <c r="I86" s="23">
        <f t="shared" si="32"/>
        <v>1</v>
      </c>
    </row>
    <row r="87" spans="1:9" x14ac:dyDescent="0.45">
      <c r="A87">
        <v>5</v>
      </c>
      <c r="B87" t="str">
        <f t="shared" si="31"/>
        <v>Lo.95.CF6.N.Eco.1</v>
      </c>
      <c r="C87">
        <f t="shared" si="33"/>
        <v>79</v>
      </c>
      <c r="D87" t="str">
        <f t="shared" si="34"/>
        <v>Lo</v>
      </c>
      <c r="E87">
        <f t="shared" si="36"/>
        <v>95</v>
      </c>
      <c r="F87" t="str">
        <f t="shared" si="21"/>
        <v>CF6</v>
      </c>
      <c r="G87" t="str">
        <f t="shared" si="35"/>
        <v>N</v>
      </c>
      <c r="H87" s="15" t="s">
        <v>160</v>
      </c>
      <c r="I87" s="23">
        <f t="shared" si="32"/>
        <v>1</v>
      </c>
    </row>
    <row r="88" spans="1:9" x14ac:dyDescent="0.45">
      <c r="A88">
        <v>5</v>
      </c>
      <c r="B88" t="str">
        <f t="shared" si="31"/>
        <v>Hi.95.CF6.N.Eco.1</v>
      </c>
      <c r="C88">
        <f t="shared" si="33"/>
        <v>80</v>
      </c>
      <c r="D88" t="str">
        <f t="shared" si="34"/>
        <v>Hi</v>
      </c>
      <c r="E88">
        <f t="shared" si="36"/>
        <v>95</v>
      </c>
      <c r="F88" t="str">
        <f t="shared" si="21"/>
        <v>CF6</v>
      </c>
      <c r="G88" t="str">
        <f t="shared" si="35"/>
        <v>N</v>
      </c>
      <c r="H88" s="15" t="s">
        <v>160</v>
      </c>
      <c r="I88" s="23">
        <f t="shared" si="32"/>
        <v>1</v>
      </c>
    </row>
    <row r="89" spans="1:9" x14ac:dyDescent="0.45">
      <c r="A89">
        <v>5</v>
      </c>
      <c r="B89" t="str">
        <f t="shared" si="31"/>
        <v>Lo.0.CF1.Y.Eco.0.25</v>
      </c>
      <c r="C89">
        <f t="shared" si="33"/>
        <v>81</v>
      </c>
      <c r="D89" t="str">
        <f t="shared" si="34"/>
        <v>Lo</v>
      </c>
      <c r="E89">
        <f t="shared" si="36"/>
        <v>0</v>
      </c>
      <c r="F89" t="str">
        <f t="shared" si="21"/>
        <v>CF1</v>
      </c>
      <c r="G89" t="str">
        <f t="shared" si="35"/>
        <v>Y</v>
      </c>
      <c r="H89" s="15" t="s">
        <v>160</v>
      </c>
      <c r="I89" s="23">
        <f t="shared" si="32"/>
        <v>0.25</v>
      </c>
    </row>
    <row r="90" spans="1:9" x14ac:dyDescent="0.45">
      <c r="A90">
        <v>5</v>
      </c>
      <c r="B90" t="str">
        <f t="shared" si="31"/>
        <v>Hi.0.CF1.Y.Eco.0.25</v>
      </c>
      <c r="C90">
        <f t="shared" si="33"/>
        <v>82</v>
      </c>
      <c r="D90" t="str">
        <f t="shared" si="34"/>
        <v>Hi</v>
      </c>
      <c r="E90">
        <f t="shared" si="36"/>
        <v>0</v>
      </c>
      <c r="F90" t="str">
        <f t="shared" ref="F90:F136" si="37">F74</f>
        <v>CF1</v>
      </c>
      <c r="G90" t="str">
        <f t="shared" si="35"/>
        <v>Y</v>
      </c>
      <c r="H90" s="15" t="s">
        <v>160</v>
      </c>
      <c r="I90" s="23">
        <f t="shared" si="32"/>
        <v>0.25</v>
      </c>
    </row>
    <row r="91" spans="1:9" x14ac:dyDescent="0.45">
      <c r="A91">
        <v>5</v>
      </c>
      <c r="B91" t="str">
        <f t="shared" si="31"/>
        <v>Lo.95.CF1.Y.Eco.0.25</v>
      </c>
      <c r="C91">
        <f t="shared" si="33"/>
        <v>83</v>
      </c>
      <c r="D91" t="str">
        <f t="shared" si="34"/>
        <v>Lo</v>
      </c>
      <c r="E91">
        <f t="shared" si="36"/>
        <v>95</v>
      </c>
      <c r="F91" t="str">
        <f t="shared" si="37"/>
        <v>CF1</v>
      </c>
      <c r="G91" t="str">
        <f t="shared" si="35"/>
        <v>Y</v>
      </c>
      <c r="H91" s="15" t="s">
        <v>160</v>
      </c>
      <c r="I91" s="23">
        <f t="shared" si="32"/>
        <v>0.25</v>
      </c>
    </row>
    <row r="92" spans="1:9" x14ac:dyDescent="0.45">
      <c r="A92">
        <v>5</v>
      </c>
      <c r="B92" t="str">
        <f t="shared" si="31"/>
        <v>Hi.95.CF1.Y.Eco.0.25</v>
      </c>
      <c r="C92">
        <f t="shared" si="33"/>
        <v>84</v>
      </c>
      <c r="D92" t="str">
        <f t="shared" si="34"/>
        <v>Hi</v>
      </c>
      <c r="E92">
        <f t="shared" si="36"/>
        <v>95</v>
      </c>
      <c r="F92" t="str">
        <f t="shared" si="37"/>
        <v>CF1</v>
      </c>
      <c r="G92" t="str">
        <f t="shared" si="35"/>
        <v>Y</v>
      </c>
      <c r="H92" s="15" t="s">
        <v>160</v>
      </c>
      <c r="I92" s="23">
        <f t="shared" si="32"/>
        <v>0.25</v>
      </c>
    </row>
    <row r="93" spans="1:9" x14ac:dyDescent="0.45">
      <c r="A93">
        <v>5</v>
      </c>
      <c r="B93" t="str">
        <f t="shared" si="31"/>
        <v>Lo.0.CF1.N.Eco.0.25</v>
      </c>
      <c r="C93">
        <f t="shared" si="33"/>
        <v>85</v>
      </c>
      <c r="D93" t="str">
        <f t="shared" si="34"/>
        <v>Lo</v>
      </c>
      <c r="E93">
        <f t="shared" si="36"/>
        <v>0</v>
      </c>
      <c r="F93" t="str">
        <f t="shared" si="37"/>
        <v>CF1</v>
      </c>
      <c r="G93" t="str">
        <f t="shared" si="35"/>
        <v>N</v>
      </c>
      <c r="H93" s="15" t="s">
        <v>160</v>
      </c>
      <c r="I93" s="23">
        <f t="shared" si="32"/>
        <v>0.25</v>
      </c>
    </row>
    <row r="94" spans="1:9" x14ac:dyDescent="0.45">
      <c r="A94">
        <v>5</v>
      </c>
      <c r="B94" t="str">
        <f t="shared" si="31"/>
        <v>Hi.0.CF1.N.Eco.0.25</v>
      </c>
      <c r="C94">
        <f t="shared" si="33"/>
        <v>86</v>
      </c>
      <c r="D94" t="str">
        <f t="shared" si="34"/>
        <v>Hi</v>
      </c>
      <c r="E94">
        <f t="shared" si="36"/>
        <v>0</v>
      </c>
      <c r="F94" t="str">
        <f t="shared" si="37"/>
        <v>CF1</v>
      </c>
      <c r="G94" t="str">
        <f t="shared" si="35"/>
        <v>N</v>
      </c>
      <c r="H94" s="15" t="s">
        <v>160</v>
      </c>
      <c r="I94" s="23">
        <f t="shared" si="32"/>
        <v>0.25</v>
      </c>
    </row>
    <row r="95" spans="1:9" x14ac:dyDescent="0.45">
      <c r="A95">
        <v>5</v>
      </c>
      <c r="B95" t="str">
        <f t="shared" si="31"/>
        <v>Lo.95.CF1.N.Eco.0.25</v>
      </c>
      <c r="C95">
        <f t="shared" si="33"/>
        <v>87</v>
      </c>
      <c r="D95" t="str">
        <f t="shared" si="34"/>
        <v>Lo</v>
      </c>
      <c r="E95">
        <f t="shared" si="36"/>
        <v>95</v>
      </c>
      <c r="F95" t="str">
        <f t="shared" si="37"/>
        <v>CF1</v>
      </c>
      <c r="G95" t="str">
        <f t="shared" si="35"/>
        <v>N</v>
      </c>
      <c r="H95" s="15" t="s">
        <v>160</v>
      </c>
      <c r="I95" s="23">
        <f t="shared" si="32"/>
        <v>0.25</v>
      </c>
    </row>
    <row r="96" spans="1:9" x14ac:dyDescent="0.45">
      <c r="A96">
        <v>5</v>
      </c>
      <c r="B96" t="str">
        <f t="shared" si="31"/>
        <v>Hi.95.CF1.N.Eco.0.25</v>
      </c>
      <c r="C96">
        <f t="shared" si="33"/>
        <v>88</v>
      </c>
      <c r="D96" t="str">
        <f t="shared" si="34"/>
        <v>Hi</v>
      </c>
      <c r="E96">
        <f t="shared" si="36"/>
        <v>95</v>
      </c>
      <c r="F96" t="str">
        <f t="shared" si="37"/>
        <v>CF1</v>
      </c>
      <c r="G96" t="str">
        <f t="shared" si="35"/>
        <v>N</v>
      </c>
      <c r="H96" s="15" t="s">
        <v>160</v>
      </c>
      <c r="I96" s="23">
        <f t="shared" si="32"/>
        <v>0.25</v>
      </c>
    </row>
    <row r="97" spans="1:9" x14ac:dyDescent="0.45">
      <c r="A97">
        <v>5</v>
      </c>
      <c r="B97" t="str">
        <f t="shared" si="31"/>
        <v>Lo.0.CF6.Y.Eco.0.25</v>
      </c>
      <c r="C97">
        <f t="shared" si="33"/>
        <v>89</v>
      </c>
      <c r="D97" t="str">
        <f t="shared" si="34"/>
        <v>Lo</v>
      </c>
      <c r="E97">
        <f t="shared" si="36"/>
        <v>0</v>
      </c>
      <c r="F97" t="str">
        <f t="shared" si="37"/>
        <v>CF6</v>
      </c>
      <c r="G97" t="str">
        <f t="shared" si="35"/>
        <v>Y</v>
      </c>
      <c r="H97" s="15" t="s">
        <v>160</v>
      </c>
      <c r="I97" s="23">
        <f t="shared" si="32"/>
        <v>0.25</v>
      </c>
    </row>
    <row r="98" spans="1:9" x14ac:dyDescent="0.45">
      <c r="A98">
        <v>5</v>
      </c>
      <c r="B98" t="str">
        <f t="shared" si="31"/>
        <v>Hi.0.CF6.Y.Eco.0.25</v>
      </c>
      <c r="C98">
        <f t="shared" si="33"/>
        <v>90</v>
      </c>
      <c r="D98" t="str">
        <f t="shared" si="34"/>
        <v>Hi</v>
      </c>
      <c r="E98">
        <f t="shared" si="36"/>
        <v>0</v>
      </c>
      <c r="F98" t="str">
        <f t="shared" si="37"/>
        <v>CF6</v>
      </c>
      <c r="G98" t="str">
        <f t="shared" si="35"/>
        <v>Y</v>
      </c>
      <c r="H98" s="15" t="s">
        <v>160</v>
      </c>
      <c r="I98" s="23">
        <f t="shared" si="32"/>
        <v>0.25</v>
      </c>
    </row>
    <row r="99" spans="1:9" x14ac:dyDescent="0.45">
      <c r="A99">
        <v>5</v>
      </c>
      <c r="B99" t="str">
        <f t="shared" si="31"/>
        <v>Lo.95.CF6.Y.Eco.0.25</v>
      </c>
      <c r="C99">
        <f t="shared" si="33"/>
        <v>91</v>
      </c>
      <c r="D99" t="str">
        <f t="shared" si="34"/>
        <v>Lo</v>
      </c>
      <c r="E99">
        <f t="shared" si="36"/>
        <v>95</v>
      </c>
      <c r="F99" t="str">
        <f t="shared" si="37"/>
        <v>CF6</v>
      </c>
      <c r="G99" t="str">
        <f t="shared" si="35"/>
        <v>Y</v>
      </c>
      <c r="H99" s="15" t="s">
        <v>160</v>
      </c>
      <c r="I99" s="23">
        <f t="shared" si="32"/>
        <v>0.25</v>
      </c>
    </row>
    <row r="100" spans="1:9" x14ac:dyDescent="0.45">
      <c r="A100">
        <v>5</v>
      </c>
      <c r="B100" t="str">
        <f t="shared" si="31"/>
        <v>Hi.95.CF6.Y.Eco.0.25</v>
      </c>
      <c r="C100">
        <f t="shared" si="33"/>
        <v>92</v>
      </c>
      <c r="D100" t="str">
        <f t="shared" si="34"/>
        <v>Hi</v>
      </c>
      <c r="E100">
        <f t="shared" si="36"/>
        <v>95</v>
      </c>
      <c r="F100" t="str">
        <f t="shared" si="37"/>
        <v>CF6</v>
      </c>
      <c r="G100" t="str">
        <f t="shared" si="35"/>
        <v>Y</v>
      </c>
      <c r="H100" s="15" t="s">
        <v>160</v>
      </c>
      <c r="I100" s="23">
        <f t="shared" si="32"/>
        <v>0.25</v>
      </c>
    </row>
    <row r="101" spans="1:9" x14ac:dyDescent="0.45">
      <c r="A101">
        <v>5</v>
      </c>
      <c r="B101" t="str">
        <f t="shared" si="31"/>
        <v>Lo.0.CF6.N.Eco.0.25</v>
      </c>
      <c r="C101">
        <f t="shared" si="33"/>
        <v>93</v>
      </c>
      <c r="D101" t="str">
        <f t="shared" si="34"/>
        <v>Lo</v>
      </c>
      <c r="E101">
        <f t="shared" si="36"/>
        <v>0</v>
      </c>
      <c r="F101" t="str">
        <f t="shared" si="37"/>
        <v>CF6</v>
      </c>
      <c r="G101" t="str">
        <f t="shared" si="35"/>
        <v>N</v>
      </c>
      <c r="H101" s="15" t="s">
        <v>160</v>
      </c>
      <c r="I101" s="23">
        <f t="shared" si="32"/>
        <v>0.25</v>
      </c>
    </row>
    <row r="102" spans="1:9" x14ac:dyDescent="0.45">
      <c r="A102">
        <v>5</v>
      </c>
      <c r="B102" t="str">
        <f t="shared" si="31"/>
        <v>Hi.0.CF6.N.Eco.0.25</v>
      </c>
      <c r="C102">
        <f t="shared" si="33"/>
        <v>94</v>
      </c>
      <c r="D102" t="str">
        <f t="shared" si="34"/>
        <v>Hi</v>
      </c>
      <c r="E102">
        <f t="shared" si="36"/>
        <v>0</v>
      </c>
      <c r="F102" t="str">
        <f t="shared" si="37"/>
        <v>CF6</v>
      </c>
      <c r="G102" t="str">
        <f t="shared" si="35"/>
        <v>N</v>
      </c>
      <c r="H102" s="15" t="s">
        <v>160</v>
      </c>
      <c r="I102" s="23">
        <f t="shared" si="32"/>
        <v>0.25</v>
      </c>
    </row>
    <row r="103" spans="1:9" x14ac:dyDescent="0.45">
      <c r="A103">
        <v>5</v>
      </c>
      <c r="B103" t="str">
        <f t="shared" si="31"/>
        <v>Lo.95.CF6.N.Eco.0.25</v>
      </c>
      <c r="C103">
        <f t="shared" si="33"/>
        <v>95</v>
      </c>
      <c r="D103" t="str">
        <f t="shared" si="34"/>
        <v>Lo</v>
      </c>
      <c r="E103">
        <f t="shared" si="36"/>
        <v>95</v>
      </c>
      <c r="F103" t="str">
        <f t="shared" si="37"/>
        <v>CF6</v>
      </c>
      <c r="G103" t="str">
        <f t="shared" si="35"/>
        <v>N</v>
      </c>
      <c r="H103" s="15" t="s">
        <v>160</v>
      </c>
      <c r="I103" s="23">
        <f t="shared" si="32"/>
        <v>0.25</v>
      </c>
    </row>
    <row r="104" spans="1:9" x14ac:dyDescent="0.45">
      <c r="A104">
        <v>5</v>
      </c>
      <c r="B104" t="str">
        <f t="shared" si="31"/>
        <v>Hi.95.CF6.N.Eco.0.25</v>
      </c>
      <c r="C104">
        <f t="shared" si="33"/>
        <v>96</v>
      </c>
      <c r="D104" t="str">
        <f t="shared" si="34"/>
        <v>Hi</v>
      </c>
      <c r="E104">
        <f t="shared" si="36"/>
        <v>95</v>
      </c>
      <c r="F104" t="str">
        <f t="shared" si="37"/>
        <v>CF6</v>
      </c>
      <c r="G104" t="str">
        <f t="shared" si="35"/>
        <v>N</v>
      </c>
      <c r="H104" s="15" t="s">
        <v>160</v>
      </c>
      <c r="I104" s="23">
        <f t="shared" si="32"/>
        <v>0.25</v>
      </c>
    </row>
    <row r="105" spans="1:9" x14ac:dyDescent="0.45">
      <c r="A105">
        <v>5</v>
      </c>
      <c r="B105" t="str">
        <f t="shared" si="31"/>
        <v>Lo.0.CF1.Y.Eco.2</v>
      </c>
      <c r="C105">
        <f t="shared" si="33"/>
        <v>97</v>
      </c>
      <c r="D105" t="str">
        <f t="shared" si="34"/>
        <v>Lo</v>
      </c>
      <c r="E105">
        <f t="shared" si="36"/>
        <v>0</v>
      </c>
      <c r="F105" t="str">
        <f t="shared" si="37"/>
        <v>CF1</v>
      </c>
      <c r="G105" t="str">
        <f t="shared" si="35"/>
        <v>Y</v>
      </c>
      <c r="H105" s="15" t="s">
        <v>160</v>
      </c>
      <c r="I105" s="23">
        <f t="shared" si="32"/>
        <v>2</v>
      </c>
    </row>
    <row r="106" spans="1:9" x14ac:dyDescent="0.45">
      <c r="A106">
        <v>5</v>
      </c>
      <c r="B106" t="str">
        <f t="shared" si="31"/>
        <v>Hi.0.CF1.Y.Eco.2</v>
      </c>
      <c r="C106">
        <f t="shared" si="33"/>
        <v>98</v>
      </c>
      <c r="D106" t="str">
        <f t="shared" si="34"/>
        <v>Hi</v>
      </c>
      <c r="E106">
        <f t="shared" si="36"/>
        <v>0</v>
      </c>
      <c r="F106" t="str">
        <f t="shared" si="37"/>
        <v>CF1</v>
      </c>
      <c r="G106" t="str">
        <f t="shared" si="35"/>
        <v>Y</v>
      </c>
      <c r="H106" s="15" t="s">
        <v>160</v>
      </c>
      <c r="I106" s="23">
        <f t="shared" si="32"/>
        <v>2</v>
      </c>
    </row>
    <row r="107" spans="1:9" x14ac:dyDescent="0.45">
      <c r="A107">
        <v>5</v>
      </c>
      <c r="B107" t="str">
        <f t="shared" si="31"/>
        <v>Lo.95.CF1.Y.Eco.2</v>
      </c>
      <c r="C107">
        <f t="shared" si="33"/>
        <v>99</v>
      </c>
      <c r="D107" t="str">
        <f t="shared" si="34"/>
        <v>Lo</v>
      </c>
      <c r="E107">
        <f t="shared" si="36"/>
        <v>95</v>
      </c>
      <c r="F107" t="str">
        <f t="shared" si="37"/>
        <v>CF1</v>
      </c>
      <c r="G107" t="str">
        <f t="shared" si="35"/>
        <v>Y</v>
      </c>
      <c r="H107" s="15" t="s">
        <v>160</v>
      </c>
      <c r="I107" s="23">
        <f t="shared" si="32"/>
        <v>2</v>
      </c>
    </row>
    <row r="108" spans="1:9" x14ac:dyDescent="0.45">
      <c r="A108">
        <v>5</v>
      </c>
      <c r="B108" t="str">
        <f t="shared" si="31"/>
        <v>Hi.95.CF1.Y.Eco.2</v>
      </c>
      <c r="C108">
        <f t="shared" si="33"/>
        <v>100</v>
      </c>
      <c r="D108" t="str">
        <f t="shared" si="34"/>
        <v>Hi</v>
      </c>
      <c r="E108">
        <f t="shared" si="36"/>
        <v>95</v>
      </c>
      <c r="F108" t="str">
        <f t="shared" si="37"/>
        <v>CF1</v>
      </c>
      <c r="G108" t="str">
        <f t="shared" si="35"/>
        <v>Y</v>
      </c>
      <c r="H108" s="15" t="s">
        <v>160</v>
      </c>
      <c r="I108" s="23">
        <f t="shared" si="32"/>
        <v>2</v>
      </c>
    </row>
    <row r="109" spans="1:9" x14ac:dyDescent="0.45">
      <c r="A109">
        <v>5</v>
      </c>
      <c r="B109" t="str">
        <f t="shared" si="31"/>
        <v>Lo.0.CF1.N.Eco.2</v>
      </c>
      <c r="C109">
        <f t="shared" si="33"/>
        <v>101</v>
      </c>
      <c r="D109" t="str">
        <f t="shared" si="34"/>
        <v>Lo</v>
      </c>
      <c r="E109">
        <f t="shared" si="36"/>
        <v>0</v>
      </c>
      <c r="F109" t="str">
        <f t="shared" si="37"/>
        <v>CF1</v>
      </c>
      <c r="G109" t="str">
        <f t="shared" si="35"/>
        <v>N</v>
      </c>
      <c r="H109" s="15" t="s">
        <v>160</v>
      </c>
      <c r="I109" s="23">
        <f t="shared" si="32"/>
        <v>2</v>
      </c>
    </row>
    <row r="110" spans="1:9" x14ac:dyDescent="0.45">
      <c r="A110">
        <v>5</v>
      </c>
      <c r="B110" t="str">
        <f t="shared" si="31"/>
        <v>Hi.0.CF1.N.Eco.2</v>
      </c>
      <c r="C110">
        <f t="shared" si="33"/>
        <v>102</v>
      </c>
      <c r="D110" t="str">
        <f t="shared" si="34"/>
        <v>Hi</v>
      </c>
      <c r="E110">
        <f t="shared" si="36"/>
        <v>0</v>
      </c>
      <c r="F110" t="str">
        <f t="shared" si="37"/>
        <v>CF1</v>
      </c>
      <c r="G110" t="str">
        <f t="shared" si="35"/>
        <v>N</v>
      </c>
      <c r="H110" s="15" t="s">
        <v>160</v>
      </c>
      <c r="I110" s="23">
        <f t="shared" si="32"/>
        <v>2</v>
      </c>
    </row>
    <row r="111" spans="1:9" x14ac:dyDescent="0.45">
      <c r="A111">
        <v>5</v>
      </c>
      <c r="B111" t="str">
        <f t="shared" si="31"/>
        <v>Lo.95.CF1.N.Eco.2</v>
      </c>
      <c r="C111">
        <f t="shared" si="33"/>
        <v>103</v>
      </c>
      <c r="D111" t="str">
        <f t="shared" si="34"/>
        <v>Lo</v>
      </c>
      <c r="E111">
        <f t="shared" si="36"/>
        <v>95</v>
      </c>
      <c r="F111" t="str">
        <f t="shared" si="37"/>
        <v>CF1</v>
      </c>
      <c r="G111" t="str">
        <f t="shared" si="35"/>
        <v>N</v>
      </c>
      <c r="H111" s="15" t="s">
        <v>160</v>
      </c>
      <c r="I111" s="23">
        <f t="shared" si="32"/>
        <v>2</v>
      </c>
    </row>
    <row r="112" spans="1:9" x14ac:dyDescent="0.45">
      <c r="A112">
        <v>5</v>
      </c>
      <c r="B112" t="str">
        <f t="shared" si="31"/>
        <v>Hi.95.CF1.N.Eco.2</v>
      </c>
      <c r="C112">
        <f t="shared" si="33"/>
        <v>104</v>
      </c>
      <c r="D112" t="str">
        <f t="shared" si="34"/>
        <v>Hi</v>
      </c>
      <c r="E112">
        <f t="shared" si="36"/>
        <v>95</v>
      </c>
      <c r="F112" t="str">
        <f t="shared" si="37"/>
        <v>CF1</v>
      </c>
      <c r="G112" t="str">
        <f t="shared" si="35"/>
        <v>N</v>
      </c>
      <c r="H112" s="15" t="s">
        <v>160</v>
      </c>
      <c r="I112" s="23">
        <f t="shared" si="32"/>
        <v>2</v>
      </c>
    </row>
    <row r="113" spans="1:9" x14ac:dyDescent="0.45">
      <c r="A113">
        <v>5</v>
      </c>
      <c r="B113" t="str">
        <f t="shared" si="31"/>
        <v>Lo.0.CF6.Y.Eco.2</v>
      </c>
      <c r="C113">
        <f t="shared" si="33"/>
        <v>105</v>
      </c>
      <c r="D113" t="str">
        <f t="shared" si="34"/>
        <v>Lo</v>
      </c>
      <c r="E113">
        <f t="shared" si="36"/>
        <v>0</v>
      </c>
      <c r="F113" t="str">
        <f t="shared" si="37"/>
        <v>CF6</v>
      </c>
      <c r="G113" t="str">
        <f t="shared" si="35"/>
        <v>Y</v>
      </c>
      <c r="H113" s="15" t="s">
        <v>160</v>
      </c>
      <c r="I113" s="23">
        <f t="shared" si="32"/>
        <v>2</v>
      </c>
    </row>
    <row r="114" spans="1:9" x14ac:dyDescent="0.45">
      <c r="A114">
        <v>5</v>
      </c>
      <c r="B114" t="str">
        <f t="shared" si="31"/>
        <v>Hi.0.CF6.Y.Eco.2</v>
      </c>
      <c r="C114">
        <f t="shared" si="33"/>
        <v>106</v>
      </c>
      <c r="D114" t="str">
        <f t="shared" si="34"/>
        <v>Hi</v>
      </c>
      <c r="E114">
        <f t="shared" si="36"/>
        <v>0</v>
      </c>
      <c r="F114" t="str">
        <f t="shared" si="37"/>
        <v>CF6</v>
      </c>
      <c r="G114" t="str">
        <f t="shared" si="35"/>
        <v>Y</v>
      </c>
      <c r="H114" s="15" t="s">
        <v>160</v>
      </c>
      <c r="I114" s="23">
        <f t="shared" si="32"/>
        <v>2</v>
      </c>
    </row>
    <row r="115" spans="1:9" x14ac:dyDescent="0.45">
      <c r="A115">
        <v>5</v>
      </c>
      <c r="B115" t="str">
        <f t="shared" si="31"/>
        <v>Lo.95.CF6.Y.Eco.2</v>
      </c>
      <c r="C115">
        <f t="shared" si="33"/>
        <v>107</v>
      </c>
      <c r="D115" t="str">
        <f t="shared" si="34"/>
        <v>Lo</v>
      </c>
      <c r="E115">
        <f t="shared" si="36"/>
        <v>95</v>
      </c>
      <c r="F115" t="str">
        <f t="shared" si="37"/>
        <v>CF6</v>
      </c>
      <c r="G115" t="str">
        <f t="shared" si="35"/>
        <v>Y</v>
      </c>
      <c r="H115" s="15" t="s">
        <v>160</v>
      </c>
      <c r="I115" s="23">
        <f t="shared" si="32"/>
        <v>2</v>
      </c>
    </row>
    <row r="116" spans="1:9" x14ac:dyDescent="0.45">
      <c r="A116">
        <v>5</v>
      </c>
      <c r="B116" t="str">
        <f t="shared" si="31"/>
        <v>Hi.95.CF6.Y.Eco.2</v>
      </c>
      <c r="C116">
        <f t="shared" si="33"/>
        <v>108</v>
      </c>
      <c r="D116" t="str">
        <f t="shared" si="34"/>
        <v>Hi</v>
      </c>
      <c r="E116">
        <f t="shared" si="36"/>
        <v>95</v>
      </c>
      <c r="F116" t="str">
        <f t="shared" si="37"/>
        <v>CF6</v>
      </c>
      <c r="G116" t="str">
        <f t="shared" si="35"/>
        <v>Y</v>
      </c>
      <c r="H116" s="15" t="s">
        <v>160</v>
      </c>
      <c r="I116" s="23">
        <f t="shared" si="32"/>
        <v>2</v>
      </c>
    </row>
    <row r="117" spans="1:9" x14ac:dyDescent="0.45">
      <c r="A117">
        <v>5</v>
      </c>
      <c r="B117" t="str">
        <f t="shared" si="31"/>
        <v>Lo.0.CF6.N.Eco.2</v>
      </c>
      <c r="C117">
        <f t="shared" si="33"/>
        <v>109</v>
      </c>
      <c r="D117" t="str">
        <f t="shared" si="34"/>
        <v>Lo</v>
      </c>
      <c r="E117">
        <f t="shared" si="36"/>
        <v>0</v>
      </c>
      <c r="F117" t="str">
        <f t="shared" si="37"/>
        <v>CF6</v>
      </c>
      <c r="G117" t="str">
        <f t="shared" si="35"/>
        <v>N</v>
      </c>
      <c r="H117" s="15" t="s">
        <v>160</v>
      </c>
      <c r="I117" s="23">
        <f t="shared" si="32"/>
        <v>2</v>
      </c>
    </row>
    <row r="118" spans="1:9" x14ac:dyDescent="0.45">
      <c r="A118">
        <v>5</v>
      </c>
      <c r="B118" t="str">
        <f t="shared" si="31"/>
        <v>Hi.0.CF6.N.Eco.2</v>
      </c>
      <c r="C118">
        <f t="shared" si="33"/>
        <v>110</v>
      </c>
      <c r="D118" t="str">
        <f t="shared" si="34"/>
        <v>Hi</v>
      </c>
      <c r="E118">
        <f t="shared" si="36"/>
        <v>0</v>
      </c>
      <c r="F118" t="str">
        <f t="shared" si="37"/>
        <v>CF6</v>
      </c>
      <c r="G118" t="str">
        <f t="shared" si="35"/>
        <v>N</v>
      </c>
      <c r="H118" s="15" t="s">
        <v>160</v>
      </c>
      <c r="I118" s="23">
        <f t="shared" si="32"/>
        <v>2</v>
      </c>
    </row>
    <row r="119" spans="1:9" x14ac:dyDescent="0.45">
      <c r="A119">
        <v>5</v>
      </c>
      <c r="B119" t="str">
        <f t="shared" si="31"/>
        <v>Lo.95.CF6.N.Eco.2</v>
      </c>
      <c r="C119">
        <f t="shared" si="33"/>
        <v>111</v>
      </c>
      <c r="D119" t="str">
        <f t="shared" si="34"/>
        <v>Lo</v>
      </c>
      <c r="E119">
        <f t="shared" si="36"/>
        <v>95</v>
      </c>
      <c r="F119" t="str">
        <f t="shared" si="37"/>
        <v>CF6</v>
      </c>
      <c r="G119" t="str">
        <f t="shared" si="35"/>
        <v>N</v>
      </c>
      <c r="H119" s="15" t="s">
        <v>160</v>
      </c>
      <c r="I119" s="23">
        <f t="shared" si="32"/>
        <v>2</v>
      </c>
    </row>
    <row r="120" spans="1:9" x14ac:dyDescent="0.45">
      <c r="A120">
        <v>5</v>
      </c>
      <c r="B120" t="str">
        <f t="shared" si="31"/>
        <v>Hi.95.CF6.N.Eco.2</v>
      </c>
      <c r="C120">
        <f t="shared" si="33"/>
        <v>112</v>
      </c>
      <c r="D120" t="str">
        <f t="shared" si="34"/>
        <v>Hi</v>
      </c>
      <c r="E120">
        <f t="shared" si="36"/>
        <v>95</v>
      </c>
      <c r="F120" t="str">
        <f t="shared" si="37"/>
        <v>CF6</v>
      </c>
      <c r="G120" t="str">
        <f t="shared" si="35"/>
        <v>N</v>
      </c>
      <c r="H120" s="15" t="s">
        <v>160</v>
      </c>
      <c r="I120" s="23">
        <f t="shared" si="32"/>
        <v>2</v>
      </c>
    </row>
    <row r="121" spans="1:9" x14ac:dyDescent="0.45">
      <c r="A121">
        <v>5</v>
      </c>
      <c r="B121" t="str">
        <f t="shared" si="31"/>
        <v>Lo.0.CF1.Y.Eco.0.1</v>
      </c>
      <c r="C121">
        <f t="shared" si="33"/>
        <v>113</v>
      </c>
      <c r="D121" t="str">
        <f t="shared" si="34"/>
        <v>Lo</v>
      </c>
      <c r="E121">
        <f t="shared" si="36"/>
        <v>0</v>
      </c>
      <c r="F121" t="str">
        <f t="shared" si="37"/>
        <v>CF1</v>
      </c>
      <c r="G121" t="str">
        <f t="shared" si="35"/>
        <v>Y</v>
      </c>
      <c r="H121" s="15" t="s">
        <v>160</v>
      </c>
      <c r="I121" s="23">
        <f t="shared" si="32"/>
        <v>0.1</v>
      </c>
    </row>
    <row r="122" spans="1:9" x14ac:dyDescent="0.45">
      <c r="A122">
        <v>5</v>
      </c>
      <c r="B122" t="str">
        <f t="shared" si="31"/>
        <v>Hi.0.CF1.Y.Eco.0.1</v>
      </c>
      <c r="C122">
        <f t="shared" si="33"/>
        <v>114</v>
      </c>
      <c r="D122" t="str">
        <f t="shared" si="34"/>
        <v>Hi</v>
      </c>
      <c r="E122">
        <f t="shared" si="36"/>
        <v>0</v>
      </c>
      <c r="F122" t="str">
        <f t="shared" si="37"/>
        <v>CF1</v>
      </c>
      <c r="G122" t="str">
        <f t="shared" si="35"/>
        <v>Y</v>
      </c>
      <c r="H122" s="15" t="s">
        <v>160</v>
      </c>
      <c r="I122" s="23">
        <f t="shared" si="32"/>
        <v>0.1</v>
      </c>
    </row>
    <row r="123" spans="1:9" x14ac:dyDescent="0.45">
      <c r="A123">
        <v>5</v>
      </c>
      <c r="B123" t="str">
        <f t="shared" si="31"/>
        <v>Lo.95.CF1.Y.Eco.0.1</v>
      </c>
      <c r="C123">
        <f t="shared" si="33"/>
        <v>115</v>
      </c>
      <c r="D123" t="str">
        <f t="shared" si="34"/>
        <v>Lo</v>
      </c>
      <c r="E123">
        <f t="shared" si="36"/>
        <v>95</v>
      </c>
      <c r="F123" t="str">
        <f t="shared" si="37"/>
        <v>CF1</v>
      </c>
      <c r="G123" t="str">
        <f t="shared" si="35"/>
        <v>Y</v>
      </c>
      <c r="H123" s="15" t="s">
        <v>160</v>
      </c>
      <c r="I123" s="23">
        <f t="shared" si="32"/>
        <v>0.1</v>
      </c>
    </row>
    <row r="124" spans="1:9" x14ac:dyDescent="0.45">
      <c r="A124">
        <v>5</v>
      </c>
      <c r="B124" t="str">
        <f t="shared" si="31"/>
        <v>Hi.95.CF1.Y.Eco.0.1</v>
      </c>
      <c r="C124">
        <f t="shared" si="33"/>
        <v>116</v>
      </c>
      <c r="D124" t="str">
        <f t="shared" si="34"/>
        <v>Hi</v>
      </c>
      <c r="E124">
        <f t="shared" si="36"/>
        <v>95</v>
      </c>
      <c r="F124" t="str">
        <f t="shared" si="37"/>
        <v>CF1</v>
      </c>
      <c r="G124" t="str">
        <f t="shared" si="35"/>
        <v>Y</v>
      </c>
      <c r="H124" s="15" t="s">
        <v>160</v>
      </c>
      <c r="I124" s="23">
        <f t="shared" si="32"/>
        <v>0.1</v>
      </c>
    </row>
    <row r="125" spans="1:9" x14ac:dyDescent="0.45">
      <c r="A125">
        <v>5</v>
      </c>
      <c r="B125" t="str">
        <f t="shared" si="31"/>
        <v>Lo.0.CF1.N.Eco.0.1</v>
      </c>
      <c r="C125">
        <f t="shared" si="33"/>
        <v>117</v>
      </c>
      <c r="D125" t="str">
        <f t="shared" si="34"/>
        <v>Lo</v>
      </c>
      <c r="E125">
        <f t="shared" si="36"/>
        <v>0</v>
      </c>
      <c r="F125" t="str">
        <f t="shared" si="37"/>
        <v>CF1</v>
      </c>
      <c r="G125" t="str">
        <f t="shared" si="35"/>
        <v>N</v>
      </c>
      <c r="H125" s="15" t="s">
        <v>160</v>
      </c>
      <c r="I125" s="23">
        <f t="shared" si="32"/>
        <v>0.1</v>
      </c>
    </row>
    <row r="126" spans="1:9" x14ac:dyDescent="0.45">
      <c r="A126">
        <v>5</v>
      </c>
      <c r="B126" t="str">
        <f t="shared" si="31"/>
        <v>Hi.0.CF1.N.Eco.0.1</v>
      </c>
      <c r="C126">
        <f t="shared" si="33"/>
        <v>118</v>
      </c>
      <c r="D126" t="str">
        <f t="shared" si="34"/>
        <v>Hi</v>
      </c>
      <c r="E126">
        <f t="shared" si="36"/>
        <v>0</v>
      </c>
      <c r="F126" t="str">
        <f t="shared" si="37"/>
        <v>CF1</v>
      </c>
      <c r="G126" t="str">
        <f t="shared" si="35"/>
        <v>N</v>
      </c>
      <c r="H126" s="15" t="s">
        <v>160</v>
      </c>
      <c r="I126" s="23">
        <f t="shared" si="32"/>
        <v>0.1</v>
      </c>
    </row>
    <row r="127" spans="1:9" x14ac:dyDescent="0.45">
      <c r="A127">
        <v>5</v>
      </c>
      <c r="B127" t="str">
        <f t="shared" si="31"/>
        <v>Lo.95.CF1.N.Eco.0.1</v>
      </c>
      <c r="C127">
        <f t="shared" si="33"/>
        <v>119</v>
      </c>
      <c r="D127" t="str">
        <f t="shared" si="34"/>
        <v>Lo</v>
      </c>
      <c r="E127">
        <f t="shared" si="36"/>
        <v>95</v>
      </c>
      <c r="F127" t="str">
        <f t="shared" si="37"/>
        <v>CF1</v>
      </c>
      <c r="G127" t="str">
        <f t="shared" si="35"/>
        <v>N</v>
      </c>
      <c r="H127" s="15" t="s">
        <v>160</v>
      </c>
      <c r="I127" s="23">
        <f t="shared" si="32"/>
        <v>0.1</v>
      </c>
    </row>
    <row r="128" spans="1:9" x14ac:dyDescent="0.45">
      <c r="A128">
        <v>5</v>
      </c>
      <c r="B128" t="str">
        <f t="shared" si="31"/>
        <v>Hi.95.CF1.N.Eco.0.1</v>
      </c>
      <c r="C128">
        <f t="shared" si="33"/>
        <v>120</v>
      </c>
      <c r="D128" t="str">
        <f t="shared" si="34"/>
        <v>Hi</v>
      </c>
      <c r="E128">
        <f t="shared" si="36"/>
        <v>95</v>
      </c>
      <c r="F128" t="str">
        <f t="shared" si="37"/>
        <v>CF1</v>
      </c>
      <c r="G128" t="str">
        <f t="shared" si="35"/>
        <v>N</v>
      </c>
      <c r="H128" s="15" t="s">
        <v>160</v>
      </c>
      <c r="I128" s="23">
        <f t="shared" si="32"/>
        <v>0.1</v>
      </c>
    </row>
    <row r="129" spans="1:9" x14ac:dyDescent="0.45">
      <c r="A129">
        <v>5</v>
      </c>
      <c r="B129" t="str">
        <f t="shared" si="31"/>
        <v>Lo.0.CF6.Y.Eco.0.1</v>
      </c>
      <c r="C129">
        <f t="shared" si="33"/>
        <v>121</v>
      </c>
      <c r="D129" t="str">
        <f t="shared" si="34"/>
        <v>Lo</v>
      </c>
      <c r="E129">
        <f t="shared" si="36"/>
        <v>0</v>
      </c>
      <c r="F129" t="str">
        <f t="shared" si="37"/>
        <v>CF6</v>
      </c>
      <c r="G129" t="str">
        <f t="shared" si="35"/>
        <v>Y</v>
      </c>
      <c r="H129" s="15" t="s">
        <v>160</v>
      </c>
      <c r="I129" s="23">
        <f t="shared" si="32"/>
        <v>0.1</v>
      </c>
    </row>
    <row r="130" spans="1:9" x14ac:dyDescent="0.45">
      <c r="A130">
        <v>5</v>
      </c>
      <c r="B130" t="str">
        <f t="shared" si="31"/>
        <v>Hi.0.CF6.Y.Eco.0.1</v>
      </c>
      <c r="C130">
        <f t="shared" si="33"/>
        <v>122</v>
      </c>
      <c r="D130" t="str">
        <f t="shared" si="34"/>
        <v>Hi</v>
      </c>
      <c r="E130">
        <f t="shared" si="36"/>
        <v>0</v>
      </c>
      <c r="F130" t="str">
        <f t="shared" si="37"/>
        <v>CF6</v>
      </c>
      <c r="G130" t="str">
        <f t="shared" si="35"/>
        <v>Y</v>
      </c>
      <c r="H130" s="15" t="s">
        <v>160</v>
      </c>
      <c r="I130" s="23">
        <f t="shared" si="32"/>
        <v>0.1</v>
      </c>
    </row>
    <row r="131" spans="1:9" x14ac:dyDescent="0.45">
      <c r="A131">
        <v>5</v>
      </c>
      <c r="B131" t="str">
        <f t="shared" si="31"/>
        <v>Lo.95.CF6.Y.Eco.0.1</v>
      </c>
      <c r="C131">
        <f t="shared" si="33"/>
        <v>123</v>
      </c>
      <c r="D131" t="str">
        <f t="shared" si="34"/>
        <v>Lo</v>
      </c>
      <c r="E131">
        <f t="shared" si="36"/>
        <v>95</v>
      </c>
      <c r="F131" t="str">
        <f t="shared" si="37"/>
        <v>CF6</v>
      </c>
      <c r="G131" t="str">
        <f t="shared" si="35"/>
        <v>Y</v>
      </c>
      <c r="H131" s="15" t="s">
        <v>160</v>
      </c>
      <c r="I131" s="23">
        <f t="shared" si="32"/>
        <v>0.1</v>
      </c>
    </row>
    <row r="132" spans="1:9" x14ac:dyDescent="0.45">
      <c r="A132">
        <v>5</v>
      </c>
      <c r="B132" t="str">
        <f t="shared" si="31"/>
        <v>Hi.95.CF6.Y.Eco.0.1</v>
      </c>
      <c r="C132">
        <f t="shared" si="33"/>
        <v>124</v>
      </c>
      <c r="D132" t="str">
        <f t="shared" si="34"/>
        <v>Hi</v>
      </c>
      <c r="E132">
        <f t="shared" si="36"/>
        <v>95</v>
      </c>
      <c r="F132" t="str">
        <f t="shared" si="37"/>
        <v>CF6</v>
      </c>
      <c r="G132" t="str">
        <f t="shared" si="35"/>
        <v>Y</v>
      </c>
      <c r="H132" s="15" t="s">
        <v>160</v>
      </c>
      <c r="I132" s="23">
        <f t="shared" si="32"/>
        <v>0.1</v>
      </c>
    </row>
    <row r="133" spans="1:9" x14ac:dyDescent="0.45">
      <c r="A133">
        <v>5</v>
      </c>
      <c r="B133" t="str">
        <f t="shared" si="31"/>
        <v>Lo.0.CF6.N.Eco.0.1</v>
      </c>
      <c r="C133">
        <f t="shared" si="33"/>
        <v>125</v>
      </c>
      <c r="D133" t="str">
        <f t="shared" si="34"/>
        <v>Lo</v>
      </c>
      <c r="E133">
        <f t="shared" si="36"/>
        <v>0</v>
      </c>
      <c r="F133" t="str">
        <f t="shared" si="37"/>
        <v>CF6</v>
      </c>
      <c r="G133" t="str">
        <f t="shared" si="35"/>
        <v>N</v>
      </c>
      <c r="H133" s="15" t="s">
        <v>160</v>
      </c>
      <c r="I133" s="23">
        <f t="shared" si="32"/>
        <v>0.1</v>
      </c>
    </row>
    <row r="134" spans="1:9" x14ac:dyDescent="0.45">
      <c r="A134">
        <v>5</v>
      </c>
      <c r="B134" t="str">
        <f t="shared" si="31"/>
        <v>Hi.0.CF6.N.Eco.0.1</v>
      </c>
      <c r="C134">
        <f t="shared" si="33"/>
        <v>126</v>
      </c>
      <c r="D134" t="str">
        <f t="shared" si="34"/>
        <v>Hi</v>
      </c>
      <c r="E134">
        <f t="shared" si="36"/>
        <v>0</v>
      </c>
      <c r="F134" t="str">
        <f t="shared" si="37"/>
        <v>CF6</v>
      </c>
      <c r="G134" t="str">
        <f t="shared" si="35"/>
        <v>N</v>
      </c>
      <c r="H134" s="15" t="s">
        <v>160</v>
      </c>
      <c r="I134" s="23">
        <f t="shared" si="32"/>
        <v>0.1</v>
      </c>
    </row>
    <row r="135" spans="1:9" x14ac:dyDescent="0.45">
      <c r="A135">
        <v>5</v>
      </c>
      <c r="B135" t="str">
        <f t="shared" si="31"/>
        <v>Lo.95.CF6.N.Eco.0.1</v>
      </c>
      <c r="C135">
        <f t="shared" si="33"/>
        <v>127</v>
      </c>
      <c r="D135" t="str">
        <f t="shared" si="34"/>
        <v>Lo</v>
      </c>
      <c r="E135">
        <f t="shared" si="36"/>
        <v>95</v>
      </c>
      <c r="F135" t="str">
        <f t="shared" si="37"/>
        <v>CF6</v>
      </c>
      <c r="G135" t="str">
        <f t="shared" si="35"/>
        <v>N</v>
      </c>
      <c r="H135" s="15" t="s">
        <v>160</v>
      </c>
      <c r="I135" s="23">
        <f t="shared" si="32"/>
        <v>0.1</v>
      </c>
    </row>
    <row r="136" spans="1:9" x14ac:dyDescent="0.45">
      <c r="A136">
        <v>5</v>
      </c>
      <c r="B136" t="str">
        <f t="shared" si="31"/>
        <v>Hi.95.CF6.N.Eco.0.1</v>
      </c>
      <c r="C136">
        <f t="shared" si="33"/>
        <v>128</v>
      </c>
      <c r="D136" t="str">
        <f t="shared" si="34"/>
        <v>Hi</v>
      </c>
      <c r="E136">
        <f t="shared" si="36"/>
        <v>95</v>
      </c>
      <c r="F136" t="str">
        <f t="shared" si="37"/>
        <v>CF6</v>
      </c>
      <c r="G136" t="str">
        <f t="shared" si="35"/>
        <v>N</v>
      </c>
      <c r="H136" s="15" t="s">
        <v>160</v>
      </c>
      <c r="I136" s="23">
        <f t="shared" si="32"/>
        <v>0.1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2026-05-30T15:26:24Z</dcterms:modified>
</cp:coreProperties>
</file>