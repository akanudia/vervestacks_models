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245922E2-256A-42DA-BDA5-7C932A3CBF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Veda!$B$8:$D$48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9" i="1"/>
  <c r="H5" i="1"/>
  <c r="V51" i="1" s="1"/>
  <c r="F40" i="1"/>
  <c r="F39" i="1"/>
  <c r="F38" i="1"/>
  <c r="G37" i="1"/>
  <c r="F37" i="1"/>
  <c r="F36" i="1"/>
  <c r="F35" i="1"/>
  <c r="F34" i="1"/>
  <c r="G33" i="1"/>
  <c r="F33" i="1"/>
  <c r="G32" i="1"/>
  <c r="G40" i="1" s="1"/>
  <c r="F32" i="1"/>
  <c r="G31" i="1"/>
  <c r="G39" i="1" s="1"/>
  <c r="F31" i="1"/>
  <c r="G30" i="1"/>
  <c r="G38" i="1" s="1"/>
  <c r="F30" i="1"/>
  <c r="E30" i="1"/>
  <c r="E34" i="1" s="1"/>
  <c r="E38" i="1" s="1"/>
  <c r="G29" i="1"/>
  <c r="F29" i="1"/>
  <c r="E29" i="1"/>
  <c r="E33" i="1" s="1"/>
  <c r="E37" i="1" s="1"/>
  <c r="G28" i="1"/>
  <c r="G36" i="1" s="1"/>
  <c r="F28" i="1"/>
  <c r="E28" i="1"/>
  <c r="E32" i="1" s="1"/>
  <c r="E36" i="1" s="1"/>
  <c r="E40" i="1" s="1"/>
  <c r="D28" i="1"/>
  <c r="D30" i="1" s="1"/>
  <c r="G27" i="1"/>
  <c r="G35" i="1" s="1"/>
  <c r="F27" i="1"/>
  <c r="E27" i="1"/>
  <c r="E31" i="1" s="1"/>
  <c r="E35" i="1" s="1"/>
  <c r="E39" i="1" s="1"/>
  <c r="D27" i="1"/>
  <c r="D29" i="1" s="1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G26" i="1"/>
  <c r="F26" i="1"/>
  <c r="E26" i="1"/>
  <c r="D26" i="1"/>
  <c r="C26" i="1"/>
  <c r="F25" i="1"/>
  <c r="G25" i="1"/>
  <c r="E25" i="1"/>
  <c r="D25" i="1"/>
  <c r="C25" i="1"/>
  <c r="G24" i="1"/>
  <c r="G23" i="1"/>
  <c r="G22" i="1"/>
  <c r="G21" i="1"/>
  <c r="G20" i="1"/>
  <c r="G19" i="1"/>
  <c r="G18" i="1"/>
  <c r="G17" i="1"/>
  <c r="D31" i="1" l="1"/>
  <c r="D32" i="1"/>
  <c r="G34" i="1"/>
  <c r="L21" i="1"/>
  <c r="L20" i="1"/>
  <c r="L19" i="1"/>
  <c r="L18" i="1"/>
  <c r="D12" i="1"/>
  <c r="D11" i="1"/>
  <c r="R3" i="1"/>
  <c r="Q3" i="1"/>
  <c r="P3" i="1"/>
  <c r="O3" i="1"/>
  <c r="M3" i="1"/>
  <c r="N2" i="1"/>
  <c r="N3" i="1" s="1"/>
  <c r="B11" i="4"/>
  <c r="E16" i="1"/>
  <c r="E20" i="1" s="1"/>
  <c r="E24" i="1" s="1"/>
  <c r="E15" i="1"/>
  <c r="E19" i="1" s="1"/>
  <c r="E23" i="1" s="1"/>
  <c r="E14" i="1"/>
  <c r="E18" i="1" s="1"/>
  <c r="E22" i="1" s="1"/>
  <c r="E13" i="1"/>
  <c r="E17" i="1" s="1"/>
  <c r="E21" i="1" s="1"/>
  <c r="A8" i="15"/>
  <c r="A9" i="15"/>
  <c r="A10" i="15"/>
  <c r="A11" i="15"/>
  <c r="A12" i="15"/>
  <c r="A7" i="15"/>
  <c r="D34" i="1" l="1"/>
  <c r="D33" i="1"/>
  <c r="D13" i="1"/>
  <c r="D14" i="1"/>
  <c r="D16" i="1"/>
  <c r="G8" i="15"/>
  <c r="G9" i="15"/>
  <c r="G10" i="15"/>
  <c r="G11" i="15"/>
  <c r="G12" i="15"/>
  <c r="G7" i="15"/>
  <c r="G11" i="4"/>
  <c r="F11" i="4"/>
  <c r="C11" i="4"/>
  <c r="L40" i="1"/>
  <c r="M40" i="1" s="1"/>
  <c r="N40" i="1" s="1"/>
  <c r="O40" i="1" s="1"/>
  <c r="P40" i="1" s="1"/>
  <c r="Q40" i="1" s="1"/>
  <c r="R40" i="1" s="1"/>
  <c r="L39" i="1"/>
  <c r="M39" i="1" s="1"/>
  <c r="N39" i="1" s="1"/>
  <c r="O39" i="1" s="1"/>
  <c r="P39" i="1" s="1"/>
  <c r="Q39" i="1" s="1"/>
  <c r="R39" i="1" s="1"/>
  <c r="L38" i="1"/>
  <c r="M38" i="1" s="1"/>
  <c r="N38" i="1" s="1"/>
  <c r="O38" i="1" s="1"/>
  <c r="P38" i="1" s="1"/>
  <c r="Q38" i="1" s="1"/>
  <c r="R38" i="1" s="1"/>
  <c r="L37" i="1"/>
  <c r="M37" i="1" s="1"/>
  <c r="N37" i="1" s="1"/>
  <c r="O37" i="1" s="1"/>
  <c r="P37" i="1" s="1"/>
  <c r="Q37" i="1" s="1"/>
  <c r="R37" i="1" s="1"/>
  <c r="E11" i="4"/>
  <c r="D11" i="4"/>
  <c r="AL14" i="1"/>
  <c r="AL13" i="1"/>
  <c r="AL12" i="1"/>
  <c r="AL11" i="1"/>
  <c r="C10" i="1"/>
  <c r="AM15" i="1"/>
  <c r="AM16" i="1"/>
  <c r="AM21" i="1" s="1"/>
  <c r="AM26" i="1" s="1"/>
  <c r="AM31" i="1" s="1"/>
  <c r="AM36" i="1" s="1"/>
  <c r="AM41" i="1" s="1"/>
  <c r="AM46" i="1" s="1"/>
  <c r="AM51" i="1" s="1"/>
  <c r="AM56" i="1" s="1"/>
  <c r="AM61" i="1" s="1"/>
  <c r="AM66" i="1" s="1"/>
  <c r="AM71" i="1" s="1"/>
  <c r="AM76" i="1" s="1"/>
  <c r="AM17" i="1"/>
  <c r="AM22" i="1" s="1"/>
  <c r="AM27" i="1" s="1"/>
  <c r="AM32" i="1" s="1"/>
  <c r="AM37" i="1" s="1"/>
  <c r="AM42" i="1" s="1"/>
  <c r="AM47" i="1" s="1"/>
  <c r="AM52" i="1" s="1"/>
  <c r="AM57" i="1" s="1"/>
  <c r="AM62" i="1" s="1"/>
  <c r="AM67" i="1" s="1"/>
  <c r="AM72" i="1" s="1"/>
  <c r="AM77" i="1" s="1"/>
  <c r="AM18" i="1"/>
  <c r="AM23" i="1" s="1"/>
  <c r="AM14" i="1"/>
  <c r="AM19" i="1" s="1"/>
  <c r="D35" i="1" l="1"/>
  <c r="D36" i="1"/>
  <c r="D15" i="1"/>
  <c r="D18" i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AM28" i="1"/>
  <c r="AM24" i="1"/>
  <c r="AM20" i="1"/>
  <c r="B2" i="1"/>
  <c r="K48" i="1"/>
  <c r="K47" i="1"/>
  <c r="K46" i="1"/>
  <c r="K45" i="1"/>
  <c r="D38" i="1" l="1"/>
  <c r="D37" i="1"/>
  <c r="F5" i="1"/>
  <c r="A1" i="15" s="1"/>
  <c r="G14" i="15" s="1"/>
  <c r="G18" i="15" s="1"/>
  <c r="D17" i="1"/>
  <c r="D5" i="1"/>
  <c r="Q15" i="1" s="1"/>
  <c r="G5" i="1"/>
  <c r="V32" i="1" s="1"/>
  <c r="E5" i="1"/>
  <c r="D20" i="1"/>
  <c r="AM33" i="1"/>
  <c r="AM25" i="1"/>
  <c r="AM29" i="1"/>
  <c r="V48" i="1"/>
  <c r="U48" i="1"/>
  <c r="V47" i="1"/>
  <c r="U47" i="1"/>
  <c r="V46" i="1"/>
  <c r="U46" i="1"/>
  <c r="V45" i="1"/>
  <c r="U45" i="1"/>
  <c r="T29" i="1"/>
  <c r="W29" i="1" s="1"/>
  <c r="T28" i="1"/>
  <c r="W28" i="1" s="1"/>
  <c r="AC27" i="1"/>
  <c r="AB27" i="1"/>
  <c r="AA27" i="1"/>
  <c r="Z27" i="1"/>
  <c r="Y27" i="1"/>
  <c r="X27" i="1"/>
  <c r="W27" i="1"/>
  <c r="R17" i="1"/>
  <c r="Q17" i="1"/>
  <c r="P17" i="1"/>
  <c r="O17" i="1"/>
  <c r="N17" i="1"/>
  <c r="M17" i="1"/>
  <c r="H14" i="15" l="1"/>
  <c r="H18" i="15" s="1"/>
  <c r="D39" i="1"/>
  <c r="D40" i="1"/>
  <c r="O15" i="1"/>
  <c r="L15" i="1"/>
  <c r="M15" i="1"/>
  <c r="R15" i="1"/>
  <c r="V37" i="1"/>
  <c r="D19" i="1"/>
  <c r="D22" i="1"/>
  <c r="N15" i="1"/>
  <c r="P15" i="1"/>
  <c r="M19" i="1"/>
  <c r="M18" i="1"/>
  <c r="M21" i="1"/>
  <c r="M20" i="1"/>
  <c r="N19" i="1"/>
  <c r="N18" i="1"/>
  <c r="N21" i="1"/>
  <c r="N20" i="1"/>
  <c r="O19" i="1"/>
  <c r="O21" i="1"/>
  <c r="O18" i="1"/>
  <c r="O20" i="1"/>
  <c r="P19" i="1"/>
  <c r="P21" i="1"/>
  <c r="P18" i="1"/>
  <c r="P20" i="1"/>
  <c r="Q19" i="1"/>
  <c r="Q18" i="1"/>
  <c r="Q21" i="1"/>
  <c r="Q20" i="1"/>
  <c r="R20" i="1"/>
  <c r="R18" i="1"/>
  <c r="R21" i="1"/>
  <c r="R19" i="1"/>
  <c r="R24" i="1"/>
  <c r="AC24" i="1" s="1"/>
  <c r="O24" i="1"/>
  <c r="Z24" i="1" s="1"/>
  <c r="N24" i="1"/>
  <c r="Y24" i="1" s="1"/>
  <c r="Q24" i="1"/>
  <c r="AB24" i="1" s="1"/>
  <c r="M24" i="1"/>
  <c r="P24" i="1"/>
  <c r="AA24" i="1" s="1"/>
  <c r="L24" i="1"/>
  <c r="N46" i="1"/>
  <c r="M44" i="1"/>
  <c r="O46" i="1"/>
  <c r="AM38" i="1"/>
  <c r="AM34" i="1"/>
  <c r="AM30" i="1"/>
  <c r="M45" i="1"/>
  <c r="L47" i="1"/>
  <c r="P44" i="1"/>
  <c r="Q44" i="1"/>
  <c r="N45" i="1"/>
  <c r="O45" i="1"/>
  <c r="L46" i="1"/>
  <c r="P45" i="1"/>
  <c r="Q45" i="1"/>
  <c r="P46" i="1"/>
  <c r="Q46" i="1"/>
  <c r="L48" i="1"/>
  <c r="R48" i="1" s="1"/>
  <c r="Q47" i="1"/>
  <c r="L45" i="1"/>
  <c r="N47" i="1"/>
  <c r="O47" i="1"/>
  <c r="M47" i="1"/>
  <c r="P47" i="1"/>
  <c r="R47" i="1"/>
  <c r="R45" i="1"/>
  <c r="N44" i="1"/>
  <c r="O44" i="1"/>
  <c r="R46" i="1"/>
  <c r="R44" i="1"/>
  <c r="M46" i="1"/>
  <c r="V12" i="1"/>
  <c r="W14" i="1" s="1"/>
  <c r="D24" i="1" l="1"/>
  <c r="D21" i="1"/>
  <c r="AM43" i="1"/>
  <c r="AM39" i="1"/>
  <c r="AM35" i="1"/>
  <c r="W18" i="1"/>
  <c r="Y14" i="1"/>
  <c r="Y19" i="1" s="1"/>
  <c r="AB14" i="1"/>
  <c r="AB18" i="1" s="1"/>
  <c r="AC14" i="1"/>
  <c r="AC20" i="1" s="1"/>
  <c r="Z14" i="1"/>
  <c r="Z19" i="1" s="1"/>
  <c r="X14" i="1"/>
  <c r="X18" i="1" s="1"/>
  <c r="AA14" i="1"/>
  <c r="AA20" i="1" s="1"/>
  <c r="W19" i="1"/>
  <c r="W21" i="1"/>
  <c r="X21" i="1" s="1"/>
  <c r="Y21" i="1" s="1"/>
  <c r="Z21" i="1" s="1"/>
  <c r="AA21" i="1" s="1"/>
  <c r="AB21" i="1" s="1"/>
  <c r="AC21" i="1" s="1"/>
  <c r="W20" i="1"/>
  <c r="D23" i="1" l="1"/>
  <c r="AM48" i="1"/>
  <c r="AM40" i="1"/>
  <c r="AM44" i="1"/>
  <c r="AA19" i="1"/>
  <c r="AA22" i="1" s="1"/>
  <c r="X19" i="1"/>
  <c r="X20" i="1"/>
  <c r="AA18" i="1"/>
  <c r="Z18" i="1"/>
  <c r="AC18" i="1"/>
  <c r="AB20" i="1"/>
  <c r="AB19" i="1"/>
  <c r="AC19" i="1"/>
  <c r="AC22" i="1" s="1"/>
  <c r="Y18" i="1"/>
  <c r="Y20" i="1"/>
  <c r="Y22" i="1" s="1"/>
  <c r="Z20" i="1"/>
  <c r="Z22" i="1" s="1"/>
  <c r="W22" i="1"/>
  <c r="AM53" i="1" l="1"/>
  <c r="AM58" i="1" s="1"/>
  <c r="AM63" i="1" s="1"/>
  <c r="AM68" i="1" s="1"/>
  <c r="AM73" i="1" s="1"/>
  <c r="AM78" i="1" s="1"/>
  <c r="AM49" i="1"/>
  <c r="AM45" i="1"/>
  <c r="X22" i="1"/>
  <c r="AB22" i="1"/>
  <c r="AM50" i="1" l="1"/>
  <c r="AM54" i="1"/>
  <c r="AM59" i="1" l="1"/>
  <c r="AM55" i="1"/>
  <c r="AM60" i="1" l="1"/>
  <c r="AM64" i="1"/>
  <c r="AM69" i="1" l="1"/>
  <c r="AM65" i="1"/>
  <c r="AM70" i="1" l="1"/>
  <c r="AM74" i="1"/>
  <c r="AM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N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Q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<sst xmlns="http://schemas.openxmlformats.org/spreadsheetml/2006/main" count="1674" uniqueCount="174">
  <si>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</si>
  <si>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</si>
  <si>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</si>
  <si>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</si>
  <si>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</si>
  <si>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</si>
  <si>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</si>
  <si>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</si>
  <si>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</si>
  <si>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</si>
  <si>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</si>
  <si>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</si>
  <si>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</si>
  <si>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</si>
  <si>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</si>
  <si>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</si>
  <si>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</si>
  <si>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</si>
  <si>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</si>
  <si>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</si>
  <si>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</si>
  <si>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</si>
  <si>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</si>
  <si>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</si>
  <si>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</si>
  <si>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</si>
  <si>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</si>
  <si>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</si>
  <si>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</si>
  <si>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</si>
  <si>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</si>
  <si>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</si>
  <si>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</si>
  <si>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</si>
  <si>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</si>
  <si>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</si>
  <si>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</si>
  <si>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</si>
  <si>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</si>
  <si>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</si>
  <si>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</si>
  <si>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</si>
  <si>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</si>
  <si>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</si>
  <si>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</si>
  <si>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</si>
  <si>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</si>
  <si>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</si>
  <si>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</si>
  <si>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</si>
  <si>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</si>
  <si>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</si>
  <si>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</si>
  <si>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</si>
  <si>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</si>
  <si>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</si>
  <si>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</si>
  <si>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</si>
  <si>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</si>
  <si>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</si>
  <si>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</si>
  <si>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</si>
  <si>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</si>
  <si>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</si>
  <si>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</si>
  <si>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</si>
  <si>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</si>
  <si>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</si>
  <si>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</si>
  <si>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</si>
  <si>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</si>
  <si>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</si>
  <si>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</si>
  <si>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</si>
  <si>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</si>
  <si>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</si>
  <si>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</si>
  <si>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</si>
  <si>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</si>
  <si>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</si>
  <si>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</si>
  <si>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</si>
  <si>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</si>
  <si>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</si>
  <si>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</si>
  <si>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</si>
  <si>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</si>
  <si>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</si>
  <si>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</si>
  <si>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</si>
  <si>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</si>
  <si>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</si>
  <si>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</si>
  <si>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</si>
  <si>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</si>
  <si>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</si>
  <si>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</si>
  <si>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</si>
  <si>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</si>
  <si>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</si>
  <si>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</si>
  <si>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</si>
  <si>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</si>
  <si>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</si>
  <si>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</si>
  <si>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</si>
  <si>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</si>
  <si>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</si>
  <si>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</si>
  <si>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</si>
  <si>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</si>
  <si>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</si>
  <si>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</si>
  <si>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ts_60c</t>
  </si>
  <si>
    <t>ts_216c</t>
  </si>
  <si>
    <t>co2price</t>
  </si>
  <si>
    <t>c60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</si>
  <si>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</si>
  <si>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</si>
  <si>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</si>
  <si>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</si>
  <si>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</si>
  <si>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</si>
  <si>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</si>
  <si>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</si>
  <si>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</si>
  <si>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</si>
  <si>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</si>
  <si>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</si>
  <si>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</si>
  <si>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</si>
  <si>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</si>
  <si>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</si>
  <si>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</si>
  <si>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</si>
  <si>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</si>
  <si>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</si>
  <si>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</si>
  <si>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</si>
  <si>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</si>
  <si>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</si>
  <si>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</si>
  <si>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</si>
  <si>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</si>
  <si>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</si>
  <si>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</si>
  <si>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</si>
  <si>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</si>
  <si>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c216</t>
  </si>
  <si>
    <t>ts_108c</t>
  </si>
  <si>
    <t>c108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</si>
  <si>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</si>
  <si>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</si>
  <si>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</si>
  <si>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</si>
  <si>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</si>
  <si>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</si>
  <si>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</si>
  <si>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</si>
  <si>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</si>
  <si>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</si>
  <si>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</si>
  <si>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</si>
  <si>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</si>
  <si>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</si>
  <si>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</si>
  <si>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1-32</t>
  </si>
  <si>
    <t>START</t>
  </si>
  <si>
    <t>pset_ci</t>
  </si>
  <si>
    <t>Share</t>
  </si>
  <si>
    <t>ELC?H</t>
  </si>
  <si>
    <t>distr*</t>
  </si>
  <si>
    <t>pset_pd</t>
  </si>
  <si>
    <t>-Gas turbine*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</si>
</sst>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1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Veda!$W$17:$AC$17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Veda!$W$14:$AC$14</c:f>
              <c:numCache>
                <c:formatCode>0</c:formatCode>
                <c:ptCount val="7"/>
                <c:pt idx="0">
                  <c:v>229.26</c:v>
                </c:pt>
                <c:pt idx="1">
                  <c:v>252.18600000000001</c:v>
                </c:pt>
                <c:pt idx="2">
                  <c:v>259.63695000000001</c:v>
                </c:pt>
                <c:pt idx="3">
                  <c:v>267.08789999999999</c:v>
                </c:pt>
                <c:pt idx="4">
                  <c:v>301.4769</c:v>
                </c:pt>
                <c:pt idx="5">
                  <c:v>343.89</c:v>
                </c:pt>
                <c:pt idx="6">
                  <c:v>380.80086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Veda!$L$17:$R$17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Veda!$L$24:$R$24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454817</xdr:colOff>
      <xdr:row>0</xdr:row>
      <xdr:rowOff>142875</xdr:rowOff>
    </xdr:from>
    <xdr:to>
      <xdr:col>29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481012</xdr:colOff>
      <xdr:row>24</xdr:row>
      <xdr:rowOff>171450</xdr:rowOff>
    </xdr:from>
    <xdr:to>
      <xdr:col>18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8"/>
  <sheetViews>
    <sheetView tabSelected="1" topLeftCell="A12" workbookViewId="0">
      <selection activeCell="W53" sqref="W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3.86328125" customWidth="1"/>
    <col min="9" max="9" width="1.73046875" bestFit="1" customWidth="1"/>
    <col min="10" max="10" width="24.53125" customWidth="1"/>
    <col min="11" max="11" width="9.6640625" bestFit="1" customWidth="1"/>
    <col min="12" max="13" width="5.265625" bestFit="1" customWidth="1"/>
    <col min="14" max="14" width="7.265625" bestFit="1" customWidth="1"/>
    <col min="15" max="17" width="5.265625" bestFit="1" customWidth="1"/>
    <col min="18" max="18" width="6.265625" bestFit="1" customWidth="1"/>
    <col min="22" max="22" width="14.6640625" bestFit="1" customWidth="1"/>
    <col min="36" max="36" width="2.73046875" bestFit="1" customWidth="1"/>
    <col min="37" max="37" width="9.265625" bestFit="1" customWidth="1"/>
    <col min="38" max="38" width="6.265625" bestFit="1" customWidth="1"/>
    <col min="39" max="39" width="2.73046875" bestFit="1" customWidth="1"/>
    <col min="40" max="40" width="2.9296875" bestFit="1" customWidth="1"/>
    <col min="41" max="41" width="12.59765625" bestFit="1" customWidth="1"/>
  </cols>
  <sheetData>
    <row r="1" spans="1:43" x14ac:dyDescent="0.45">
      <c r="J1" s="16" t="s">
        <v>166</v>
      </c>
    </row>
    <row r="2" spans="1:43" x14ac:dyDescent="0.45">
      <c r="B2" s="1" t="str">
        <f>"~Inputcell: "&amp;_xlfn.TEXTJOIN(",",TRUE,J1:EH1)</f>
        <v>~Inputcell: 1-32</v>
      </c>
      <c r="K2" t="s">
        <v>151</v>
      </c>
      <c r="L2">
        <v>1</v>
      </c>
      <c r="M2">
        <v>1.2</v>
      </c>
      <c r="N2">
        <f>AVERAGE(M2,O2)</f>
        <v>1.2650000000000001</v>
      </c>
      <c r="O2">
        <v>1.33</v>
      </c>
      <c r="P2">
        <v>1.63</v>
      </c>
      <c r="Q2">
        <v>2</v>
      </c>
      <c r="R2">
        <v>2.3220000000000001</v>
      </c>
      <c r="T2" s="2" t="s">
        <v>152</v>
      </c>
    </row>
    <row r="3" spans="1:43" x14ac:dyDescent="0.45">
      <c r="B3" s="9">
        <v>1</v>
      </c>
      <c r="K3" t="s">
        <v>153</v>
      </c>
      <c r="L3">
        <v>1</v>
      </c>
      <c r="M3">
        <f>1+(M2-1)/2</f>
        <v>1.1000000000000001</v>
      </c>
      <c r="N3">
        <f t="shared" ref="N3:R3" si="0">1+(N2-1)/2</f>
        <v>1.1325000000000001</v>
      </c>
      <c r="O3">
        <f t="shared" si="0"/>
        <v>1.165</v>
      </c>
      <c r="P3">
        <f t="shared" si="0"/>
        <v>1.3149999999999999</v>
      </c>
      <c r="Q3">
        <f t="shared" si="0"/>
        <v>1.5</v>
      </c>
      <c r="R3">
        <f t="shared" si="0"/>
        <v>1.661</v>
      </c>
    </row>
    <row r="5" spans="1:43" x14ac:dyDescent="0.45">
      <c r="D5" s="1" t="str">
        <f>VLOOKUP(B3,$C$9:$F$999,2,FALSE)</f>
        <v>Lo</v>
      </c>
      <c r="E5" s="1">
        <f>VLOOKUP($B$3,$C$9:$F$999,3,FALSE)</f>
        <v>0</v>
      </c>
      <c r="F5" s="1" t="str">
        <f>VLOOKUP($B$3,$C$9:$F$999,4,FALSE)</f>
        <v>CF1</v>
      </c>
      <c r="G5" s="1" t="str">
        <f>VLOOKUP($B$3,$C$9:$G$999,5,FALSE)</f>
        <v>Y</v>
      </c>
      <c r="H5" s="1" t="str">
        <f>VLOOKUP($B$3,$C$9:$H$999,6,FALSE)</f>
        <v>Y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43" x14ac:dyDescent="0.45">
      <c r="K6">
        <v>95</v>
      </c>
      <c r="L6">
        <v>0</v>
      </c>
      <c r="M6">
        <v>0</v>
      </c>
      <c r="N6">
        <v>3</v>
      </c>
      <c r="O6">
        <v>35</v>
      </c>
      <c r="P6">
        <v>60</v>
      </c>
      <c r="Q6">
        <v>80</v>
      </c>
      <c r="R6">
        <v>95</v>
      </c>
    </row>
    <row r="7" spans="1:43" x14ac:dyDescent="0.45">
      <c r="B7" s="14" t="s">
        <v>95</v>
      </c>
    </row>
    <row r="8" spans="1:43" ht="14.65" thickBot="1" x14ac:dyDescent="0.5">
      <c r="A8" s="4" t="s">
        <v>98</v>
      </c>
      <c r="B8" s="4" t="s">
        <v>96</v>
      </c>
      <c r="C8" s="4" t="s">
        <v>97</v>
      </c>
      <c r="D8" s="4" t="s">
        <v>17</v>
      </c>
      <c r="E8" s="4" t="s">
        <v>115</v>
      </c>
      <c r="F8" s="4" t="s">
        <v>145</v>
      </c>
      <c r="G8" s="4" t="s">
        <v>154</v>
      </c>
      <c r="H8" s="4" t="s">
        <v>165</v>
      </c>
      <c r="I8" s="4"/>
      <c r="AQ8" s="2" t="s">
        <v>102</v>
      </c>
    </row>
    <row r="9" spans="1:43" x14ac:dyDescent="0.45">
      <c r="A9">
        <v>5</v>
      </c>
      <c r="B9" t="str">
        <f>_xlfn.TEXTJOIN(".",TRUE,D9:H9)</f>
        <v>Lo.0.CF1.Y.Y</v>
      </c>
      <c r="C9">
        <v>1</v>
      </c>
      <c r="D9" t="s">
        <v>153</v>
      </c>
      <c r="E9" s="15">
        <v>0</v>
      </c>
      <c r="F9" s="15" t="s">
        <v>146</v>
      </c>
      <c r="G9" s="15" t="s">
        <v>155</v>
      </c>
      <c r="H9" s="15" t="s">
        <v>155</v>
      </c>
      <c r="J9" t="s">
        <v>1</v>
      </c>
      <c r="AJ9">
        <v>1</v>
      </c>
      <c r="AK9" t="s">
        <v>86</v>
      </c>
      <c r="AL9" t="s">
        <v>109</v>
      </c>
      <c r="AM9" s="10">
        <v>1</v>
      </c>
      <c r="AN9" t="s">
        <v>0</v>
      </c>
      <c r="AO9" t="s">
        <v>88</v>
      </c>
      <c r="AP9" s="12">
        <v>5</v>
      </c>
    </row>
    <row r="10" spans="1:43" x14ac:dyDescent="0.45">
      <c r="A10">
        <v>5</v>
      </c>
      <c r="B10" t="str">
        <f t="shared" ref="B10:B40" si="1">_xlfn.TEXTJOIN(".",TRUE,D10:H10)</f>
        <v>Hi.0.CF1.Y.Y</v>
      </c>
      <c r="C10">
        <f>C9+1</f>
        <v>2</v>
      </c>
      <c r="D10" t="s">
        <v>151</v>
      </c>
      <c r="E10" s="15">
        <v>0</v>
      </c>
      <c r="F10" s="15" t="s">
        <v>146</v>
      </c>
      <c r="G10" s="15" t="s">
        <v>155</v>
      </c>
      <c r="H10" s="15" t="s">
        <v>155</v>
      </c>
      <c r="J10" t="s">
        <v>3</v>
      </c>
      <c r="V10" t="s">
        <v>4</v>
      </c>
      <c r="AJ10">
        <v>2</v>
      </c>
      <c r="AK10" t="s">
        <v>113</v>
      </c>
      <c r="AL10" t="s">
        <v>116</v>
      </c>
      <c r="AM10" s="10">
        <v>1</v>
      </c>
      <c r="AN10" t="s">
        <v>2</v>
      </c>
      <c r="AO10" t="s">
        <v>90</v>
      </c>
      <c r="AP10" s="12">
        <v>4</v>
      </c>
    </row>
    <row r="11" spans="1:43" x14ac:dyDescent="0.45">
      <c r="A11">
        <v>5</v>
      </c>
      <c r="B11" t="str">
        <f t="shared" si="1"/>
        <v>Lo.95.CF1.Y.Y</v>
      </c>
      <c r="C11">
        <f t="shared" ref="C11:C40" si="2">C10+1</f>
        <v>3</v>
      </c>
      <c r="D11" t="str">
        <f>D9</f>
        <v>Lo</v>
      </c>
      <c r="E11">
        <v>95</v>
      </c>
      <c r="F11" s="15" t="s">
        <v>146</v>
      </c>
      <c r="G11" s="15" t="s">
        <v>155</v>
      </c>
      <c r="H11" s="15" t="s">
        <v>155</v>
      </c>
      <c r="J11" t="s">
        <v>6</v>
      </c>
      <c r="V11" s="1">
        <v>2022</v>
      </c>
      <c r="AJ11">
        <v>3</v>
      </c>
      <c r="AK11" t="s">
        <v>99</v>
      </c>
      <c r="AL11" t="str">
        <f>AK11</f>
        <v>ts_012</v>
      </c>
      <c r="AM11" s="10">
        <v>1</v>
      </c>
      <c r="AN11" t="s">
        <v>5</v>
      </c>
      <c r="AO11" t="s">
        <v>91</v>
      </c>
      <c r="AP11" s="12">
        <v>3</v>
      </c>
    </row>
    <row r="12" spans="1:43" ht="14.65" customHeight="1" thickBot="1" x14ac:dyDescent="0.5">
      <c r="A12">
        <v>5</v>
      </c>
      <c r="B12" t="str">
        <f t="shared" si="1"/>
        <v>Hi.95.CF1.Y.Y</v>
      </c>
      <c r="C12">
        <f t="shared" si="2"/>
        <v>4</v>
      </c>
      <c r="D12" t="str">
        <f t="shared" ref="D12:D40" si="3">D10</f>
        <v>Hi</v>
      </c>
      <c r="E12">
        <v>95</v>
      </c>
      <c r="F12" s="15" t="s">
        <v>146</v>
      </c>
      <c r="G12" s="15" t="s">
        <v>155</v>
      </c>
      <c r="H12" s="15" t="s">
        <v>155</v>
      </c>
      <c r="J12" t="s">
        <v>8</v>
      </c>
      <c r="V12" s="3">
        <f>SUMIFS(iea_data!I3:I9999,iea_data!$B$3:$B$9999,Veda!$V$11)+W28-W29</f>
        <v>229.26</v>
      </c>
      <c r="W12" s="2" t="s">
        <v>57</v>
      </c>
      <c r="AJ12">
        <v>4</v>
      </c>
      <c r="AK12" t="s">
        <v>104</v>
      </c>
      <c r="AL12" t="str">
        <f t="shared" ref="AL12:AL14" si="4">AK12</f>
        <v>ts_030</v>
      </c>
      <c r="AM12" s="10">
        <v>1</v>
      </c>
      <c r="AN12" t="s">
        <v>7</v>
      </c>
      <c r="AO12" t="s">
        <v>92</v>
      </c>
      <c r="AP12" s="12">
        <v>3</v>
      </c>
    </row>
    <row r="13" spans="1:43" ht="14.65" customHeight="1" thickTop="1" x14ac:dyDescent="0.45">
      <c r="A13">
        <v>5</v>
      </c>
      <c r="B13" t="str">
        <f t="shared" si="1"/>
        <v>Lo.0.CF1.N.Y</v>
      </c>
      <c r="C13">
        <f t="shared" si="2"/>
        <v>5</v>
      </c>
      <c r="D13" t="str">
        <f t="shared" si="3"/>
        <v>Lo</v>
      </c>
      <c r="E13">
        <f>E9</f>
        <v>0</v>
      </c>
      <c r="F13" s="15" t="s">
        <v>146</v>
      </c>
      <c r="G13" t="s">
        <v>156</v>
      </c>
      <c r="H13" s="15" t="s">
        <v>155</v>
      </c>
      <c r="J13" t="s">
        <v>10</v>
      </c>
      <c r="AJ13">
        <v>5</v>
      </c>
      <c r="AK13" t="s">
        <v>100</v>
      </c>
      <c r="AL13" t="str">
        <f t="shared" si="4"/>
        <v>ts_048</v>
      </c>
      <c r="AM13" s="10">
        <v>1</v>
      </c>
      <c r="AN13" t="s">
        <v>9</v>
      </c>
      <c r="AO13" t="s">
        <v>93</v>
      </c>
      <c r="AP13" s="12">
        <v>1.5</v>
      </c>
    </row>
    <row r="14" spans="1:43" x14ac:dyDescent="0.45">
      <c r="A14">
        <v>5</v>
      </c>
      <c r="B14" t="str">
        <f t="shared" si="1"/>
        <v>Hi.0.CF1.N.Y</v>
      </c>
      <c r="C14">
        <f t="shared" si="2"/>
        <v>6</v>
      </c>
      <c r="D14" t="str">
        <f t="shared" si="3"/>
        <v>Hi</v>
      </c>
      <c r="E14">
        <f t="shared" ref="E14" si="5">E10</f>
        <v>0</v>
      </c>
      <c r="F14" s="15" t="s">
        <v>146</v>
      </c>
      <c r="G14" t="s">
        <v>156</v>
      </c>
      <c r="H14" s="15" t="s">
        <v>155</v>
      </c>
      <c r="W14" s="8">
        <f>V12</f>
        <v>229.26</v>
      </c>
      <c r="X14" s="8">
        <f t="shared" ref="X14:AC14" si="6">$V$12*M15</f>
        <v>252.18600000000001</v>
      </c>
      <c r="Y14" s="8">
        <f t="shared" si="6"/>
        <v>259.63695000000001</v>
      </c>
      <c r="Z14" s="8">
        <f t="shared" si="6"/>
        <v>267.08789999999999</v>
      </c>
      <c r="AA14" s="8">
        <f t="shared" si="6"/>
        <v>301.4769</v>
      </c>
      <c r="AB14" s="8">
        <f t="shared" si="6"/>
        <v>343.89</v>
      </c>
      <c r="AC14" s="8">
        <f t="shared" si="6"/>
        <v>380.80086</v>
      </c>
      <c r="AJ14">
        <v>6</v>
      </c>
      <c r="AK14" t="s">
        <v>108</v>
      </c>
      <c r="AL14" t="str">
        <f t="shared" si="4"/>
        <v>ts_072</v>
      </c>
      <c r="AM14" s="10">
        <f>AM9+1</f>
        <v>2</v>
      </c>
    </row>
    <row r="15" spans="1:43" x14ac:dyDescent="0.45">
      <c r="A15">
        <v>5</v>
      </c>
      <c r="B15" t="str">
        <f t="shared" si="1"/>
        <v>Lo.95.CF1.N.Y</v>
      </c>
      <c r="C15">
        <f t="shared" si="2"/>
        <v>7</v>
      </c>
      <c r="D15" t="str">
        <f t="shared" si="3"/>
        <v>Lo</v>
      </c>
      <c r="E15">
        <f t="shared" ref="E15" si="7">E11</f>
        <v>95</v>
      </c>
      <c r="F15" s="15" t="s">
        <v>146</v>
      </c>
      <c r="G15" t="s">
        <v>156</v>
      </c>
      <c r="H15" s="15" t="s">
        <v>155</v>
      </c>
      <c r="J15" t="s">
        <v>11</v>
      </c>
      <c r="L15" s="11">
        <f t="shared" ref="L15:R15" si="8">SUMIF($K$2:$K$6,$D$5,L$2:L$6)</f>
        <v>1</v>
      </c>
      <c r="M15" s="11">
        <f t="shared" si="8"/>
        <v>1.1000000000000001</v>
      </c>
      <c r="N15" s="11">
        <f t="shared" si="8"/>
        <v>1.1325000000000001</v>
      </c>
      <c r="O15" s="11">
        <f t="shared" si="8"/>
        <v>1.165</v>
      </c>
      <c r="P15" s="11">
        <f t="shared" si="8"/>
        <v>1.3149999999999999</v>
      </c>
      <c r="Q15" s="11">
        <f t="shared" si="8"/>
        <v>1.5</v>
      </c>
      <c r="R15" s="11">
        <f t="shared" si="8"/>
        <v>1.661</v>
      </c>
      <c r="AJ15">
        <v>7</v>
      </c>
      <c r="AK15" t="s">
        <v>149</v>
      </c>
      <c r="AL15" t="s">
        <v>150</v>
      </c>
      <c r="AM15" s="10">
        <f t="shared" ref="AM15:AM78" si="9">AM10+1</f>
        <v>2</v>
      </c>
    </row>
    <row r="16" spans="1:43" ht="17.649999999999999" customHeight="1" thickBot="1" x14ac:dyDescent="0.6">
      <c r="A16">
        <v>5</v>
      </c>
      <c r="B16" t="str">
        <f t="shared" si="1"/>
        <v>Hi.95.CF1.N.Y</v>
      </c>
      <c r="C16">
        <f t="shared" si="2"/>
        <v>8</v>
      </c>
      <c r="D16" t="str">
        <f t="shared" si="3"/>
        <v>Hi</v>
      </c>
      <c r="E16">
        <f t="shared" ref="E16" si="10">E12</f>
        <v>95</v>
      </c>
      <c r="F16" s="15" t="s">
        <v>146</v>
      </c>
      <c r="G16" t="s">
        <v>156</v>
      </c>
      <c r="H16" s="15" t="s">
        <v>155</v>
      </c>
      <c r="V16" s="5" t="s">
        <v>12</v>
      </c>
      <c r="AJ16">
        <v>8</v>
      </c>
      <c r="AK16" t="s">
        <v>114</v>
      </c>
      <c r="AL16" t="s">
        <v>148</v>
      </c>
      <c r="AM16" s="10">
        <f t="shared" si="9"/>
        <v>2</v>
      </c>
    </row>
    <row r="17" spans="1:39" ht="15" customHeight="1" thickTop="1" thickBot="1" x14ac:dyDescent="0.5">
      <c r="A17">
        <v>5</v>
      </c>
      <c r="B17" t="str">
        <f t="shared" si="1"/>
        <v>Lo.0.CF6.Y.Y</v>
      </c>
      <c r="C17">
        <f t="shared" si="2"/>
        <v>9</v>
      </c>
      <c r="D17" t="str">
        <f t="shared" si="3"/>
        <v>Lo</v>
      </c>
      <c r="E17">
        <f t="shared" ref="E17" si="11">E13</f>
        <v>0</v>
      </c>
      <c r="F17" t="s">
        <v>147</v>
      </c>
      <c r="G17" t="str">
        <f>G9</f>
        <v>Y</v>
      </c>
      <c r="H17" s="15" t="s">
        <v>155</v>
      </c>
      <c r="J17" s="7" t="s">
        <v>7</v>
      </c>
      <c r="L17" s="7">
        <v>2020</v>
      </c>
      <c r="M17" s="7">
        <f t="shared" ref="M17:R17" si="12">X17</f>
        <v>2025</v>
      </c>
      <c r="N17" s="7">
        <f t="shared" si="12"/>
        <v>2030</v>
      </c>
      <c r="O17" s="7">
        <f t="shared" si="12"/>
        <v>2035</v>
      </c>
      <c r="P17" s="7">
        <f t="shared" si="12"/>
        <v>2040</v>
      </c>
      <c r="Q17" s="7">
        <f t="shared" si="12"/>
        <v>2045</v>
      </c>
      <c r="R17" s="7">
        <f t="shared" si="12"/>
        <v>2050</v>
      </c>
      <c r="V17" s="4" t="s">
        <v>13</v>
      </c>
      <c r="W17" s="4">
        <v>2022</v>
      </c>
      <c r="X17" s="4">
        <v>2025</v>
      </c>
      <c r="Y17" s="4">
        <v>2030</v>
      </c>
      <c r="Z17" s="4">
        <v>2035</v>
      </c>
      <c r="AA17" s="4">
        <v>2040</v>
      </c>
      <c r="AB17" s="4">
        <v>2045</v>
      </c>
      <c r="AC17" s="4">
        <v>2050</v>
      </c>
      <c r="AD17" s="4" t="s">
        <v>14</v>
      </c>
      <c r="AJ17">
        <v>9</v>
      </c>
      <c r="AK17" t="s">
        <v>103</v>
      </c>
      <c r="AL17" t="s">
        <v>105</v>
      </c>
      <c r="AM17" s="10">
        <f t="shared" si="9"/>
        <v>2</v>
      </c>
    </row>
    <row r="18" spans="1:39" x14ac:dyDescent="0.45">
      <c r="A18">
        <v>5</v>
      </c>
      <c r="B18" t="str">
        <f t="shared" si="1"/>
        <v>Hi.0.CF6.Y.Y</v>
      </c>
      <c r="C18">
        <f t="shared" si="2"/>
        <v>10</v>
      </c>
      <c r="D18" t="str">
        <f t="shared" si="3"/>
        <v>Hi</v>
      </c>
      <c r="E18">
        <f t="shared" ref="E18" si="13">E14</f>
        <v>0</v>
      </c>
      <c r="F18" t="s">
        <v>147</v>
      </c>
      <c r="G18" t="str">
        <f t="shared" ref="G18:G40" si="14">G10</f>
        <v>Y</v>
      </c>
      <c r="H18" s="15" t="s">
        <v>155</v>
      </c>
      <c r="J18" t="s">
        <v>15</v>
      </c>
      <c r="L18" s="11">
        <f>SUMIFS(ar6_r10!$J$2:$J$999,ar6_r10!$A$2:$A$999,$J$17,ar6_r10!$C$2:$C$999,Veda!L$17,ar6_r10!$M$2:$M$999,Veda!$J18)</f>
        <v>0</v>
      </c>
      <c r="M18" s="11">
        <f>SUMIFS(ar6_r10!$J$2:$J$999,ar6_r10!$A$2:$A$999,$J$17,ar6_r10!$C$2:$C$999,Veda!M$17,ar6_r10!$M$2:$M$999,Veda!$J18)</f>
        <v>0</v>
      </c>
      <c r="N18" s="11">
        <f>SUMIFS(ar6_r10!$J$2:$J$999,ar6_r10!$A$2:$A$999,$J$17,ar6_r10!$C$2:$C$999,Veda!N$17,ar6_r10!$M$2:$M$999,Veda!$J18)</f>
        <v>0</v>
      </c>
      <c r="O18" s="11">
        <f>SUMIFS(ar6_r10!$J$2:$J$999,ar6_r10!$A$2:$A$999,$J$17,ar6_r10!$C$2:$C$999,Veda!O$17,ar6_r10!$M$2:$M$999,Veda!$J18)</f>
        <v>0</v>
      </c>
      <c r="P18" s="11">
        <f>SUMIFS(ar6_r10!$J$2:$J$999,ar6_r10!$A$2:$A$999,$J$17,ar6_r10!$C$2:$C$999,Veda!P$17,ar6_r10!$M$2:$M$999,Veda!$J18)</f>
        <v>0</v>
      </c>
      <c r="Q18" s="11">
        <f>SUMIFS(ar6_r10!$J$2:$J$999,ar6_r10!$A$2:$A$999,$J$17,ar6_r10!$C$2:$C$999,Veda!Q$17,ar6_r10!$M$2:$M$999,Veda!$J18)</f>
        <v>0</v>
      </c>
      <c r="R18" s="11">
        <f>SUMIFS(ar6_r10!$J$2:$J$999,ar6_r10!$A$2:$A$999,$J$17,ar6_r10!$C$2:$C$999,Veda!R$17,ar6_r10!$M$2:$M$999,Veda!$J18)</f>
        <v>0</v>
      </c>
      <c r="V18" s="10" t="s">
        <v>16</v>
      </c>
      <c r="W18" s="6">
        <f t="shared" ref="W18:AC20" si="15">L18*W$14</f>
        <v>0</v>
      </c>
      <c r="X18" s="6">
        <f t="shared" si="15"/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0</v>
      </c>
      <c r="AD18" t="s">
        <v>17</v>
      </c>
      <c r="AF18" s="2"/>
      <c r="AJ18">
        <v>10</v>
      </c>
      <c r="AK18" t="s">
        <v>106</v>
      </c>
      <c r="AL18" t="s">
        <v>107</v>
      </c>
      <c r="AM18" s="10">
        <f t="shared" si="9"/>
        <v>2</v>
      </c>
    </row>
    <row r="19" spans="1:39" x14ac:dyDescent="0.45">
      <c r="A19">
        <v>5</v>
      </c>
      <c r="B19" t="str">
        <f t="shared" si="1"/>
        <v>Lo.95.CF6.Y.Y</v>
      </c>
      <c r="C19">
        <f t="shared" si="2"/>
        <v>11</v>
      </c>
      <c r="D19" t="str">
        <f t="shared" si="3"/>
        <v>Lo</v>
      </c>
      <c r="E19">
        <f t="shared" ref="E19" si="16">E15</f>
        <v>95</v>
      </c>
      <c r="F19" t="s">
        <v>147</v>
      </c>
      <c r="G19" t="str">
        <f t="shared" si="14"/>
        <v>Y</v>
      </c>
      <c r="H19" s="15" t="s">
        <v>155</v>
      </c>
      <c r="J19" t="s">
        <v>18</v>
      </c>
      <c r="L19" s="11">
        <f>SUMIFS(ar6_r10!$J$2:$J$999,ar6_r10!$A$2:$A$999,$J$17,ar6_r10!$C$2:$C$999,Veda!L$17,ar6_r10!$M$2:$M$999,Veda!$J19)</f>
        <v>0.4</v>
      </c>
      <c r="M19" s="11">
        <f>SUMIFS(ar6_r10!$J$2:$J$999,ar6_r10!$A$2:$A$999,$J$17,ar6_r10!$C$2:$C$999,Veda!M$17,ar6_r10!$M$2:$M$999,Veda!$J19)</f>
        <v>0.35</v>
      </c>
      <c r="N19" s="11">
        <f>SUMIFS(ar6_r10!$J$2:$J$999,ar6_r10!$A$2:$A$999,$J$17,ar6_r10!$C$2:$C$999,Veda!N$17,ar6_r10!$M$2:$M$999,Veda!$J19)</f>
        <v>0.33</v>
      </c>
      <c r="O19" s="11">
        <f>SUMIFS(ar6_r10!$J$2:$J$999,ar6_r10!$A$2:$A$999,$J$17,ar6_r10!$C$2:$C$999,Veda!O$17,ar6_r10!$M$2:$M$999,Veda!$J19)</f>
        <v>0.32</v>
      </c>
      <c r="P19" s="11">
        <f>SUMIFS(ar6_r10!$J$2:$J$999,ar6_r10!$A$2:$A$999,$J$17,ar6_r10!$C$2:$C$999,Veda!P$17,ar6_r10!$M$2:$M$999,Veda!$J19)</f>
        <v>0.31</v>
      </c>
      <c r="Q19" s="11">
        <f>SUMIFS(ar6_r10!$J$2:$J$999,ar6_r10!$A$2:$A$999,$J$17,ar6_r10!$C$2:$C$999,Veda!Q$17,ar6_r10!$M$2:$M$999,Veda!$J19)</f>
        <v>0.31</v>
      </c>
      <c r="R19" s="11">
        <f>SUMIFS(ar6_r10!$J$2:$J$999,ar6_r10!$A$2:$A$999,$J$17,ar6_r10!$C$2:$C$999,Veda!R$17,ar6_r10!$M$2:$M$999,Veda!$J19)</f>
        <v>0.31</v>
      </c>
      <c r="V19" s="10" t="s">
        <v>19</v>
      </c>
      <c r="W19" s="6">
        <f t="shared" si="15"/>
        <v>91.704000000000008</v>
      </c>
      <c r="X19" s="6">
        <f t="shared" si="15"/>
        <v>88.265100000000004</v>
      </c>
      <c r="Y19" s="6">
        <f t="shared" si="15"/>
        <v>85.680193500000001</v>
      </c>
      <c r="Z19" s="6">
        <f t="shared" si="15"/>
        <v>85.468127999999993</v>
      </c>
      <c r="AA19" s="6">
        <f t="shared" si="15"/>
        <v>93.457838999999993</v>
      </c>
      <c r="AB19" s="6">
        <f t="shared" si="15"/>
        <v>106.60589999999999</v>
      </c>
      <c r="AC19" s="6">
        <f t="shared" si="15"/>
        <v>118.04826660000001</v>
      </c>
      <c r="AD19" t="s">
        <v>17</v>
      </c>
      <c r="AJ19">
        <v>11</v>
      </c>
      <c r="AK19" t="s">
        <v>84</v>
      </c>
      <c r="AL19" t="s">
        <v>89</v>
      </c>
      <c r="AM19" s="10">
        <f t="shared" si="9"/>
        <v>3</v>
      </c>
    </row>
    <row r="20" spans="1:39" x14ac:dyDescent="0.45">
      <c r="A20">
        <v>5</v>
      </c>
      <c r="B20" t="str">
        <f t="shared" si="1"/>
        <v>Hi.95.CF6.Y.Y</v>
      </c>
      <c r="C20">
        <f t="shared" si="2"/>
        <v>12</v>
      </c>
      <c r="D20" t="str">
        <f t="shared" si="3"/>
        <v>Hi</v>
      </c>
      <c r="E20">
        <f t="shared" ref="E20:E40" si="17">E16</f>
        <v>95</v>
      </c>
      <c r="F20" t="s">
        <v>147</v>
      </c>
      <c r="G20" t="str">
        <f t="shared" si="14"/>
        <v>Y</v>
      </c>
      <c r="H20" s="15" t="s">
        <v>155</v>
      </c>
      <c r="J20" t="s">
        <v>21</v>
      </c>
      <c r="L20" s="11">
        <f>SUMIFS(ar6_r10!$J$2:$J$999,ar6_r10!$A$2:$A$999,$J$17,ar6_r10!$C$2:$C$999,Veda!L$17,ar6_r10!$M$2:$M$999,Veda!$J20)</f>
        <v>0.47</v>
      </c>
      <c r="M20" s="11">
        <f>SUMIFS(ar6_r10!$J$2:$J$999,ar6_r10!$A$2:$A$999,$J$17,ar6_r10!$C$2:$C$999,Veda!M$17,ar6_r10!$M$2:$M$999,Veda!$J20)</f>
        <v>0.52</v>
      </c>
      <c r="N20" s="11">
        <f>SUMIFS(ar6_r10!$J$2:$J$999,ar6_r10!$A$2:$A$999,$J$17,ar6_r10!$C$2:$C$999,Veda!N$17,ar6_r10!$M$2:$M$999,Veda!$J20)</f>
        <v>0.54</v>
      </c>
      <c r="O20" s="11">
        <f>SUMIFS(ar6_r10!$J$2:$J$999,ar6_r10!$A$2:$A$999,$J$17,ar6_r10!$C$2:$C$999,Veda!O$17,ar6_r10!$M$2:$M$999,Veda!$J20)</f>
        <v>0.53</v>
      </c>
      <c r="P20" s="11">
        <f>SUMIFS(ar6_r10!$J$2:$J$999,ar6_r10!$A$2:$A$999,$J$17,ar6_r10!$C$2:$C$999,Veda!P$17,ar6_r10!$M$2:$M$999,Veda!$J20)</f>
        <v>0.52</v>
      </c>
      <c r="Q20" s="11">
        <f>SUMIFS(ar6_r10!$J$2:$J$999,ar6_r10!$A$2:$A$999,$J$17,ar6_r10!$C$2:$C$999,Veda!Q$17,ar6_r10!$M$2:$M$999,Veda!$J20)</f>
        <v>0.5</v>
      </c>
      <c r="R20" s="11">
        <f>SUMIFS(ar6_r10!$J$2:$J$999,ar6_r10!$A$2:$A$999,$J$17,ar6_r10!$C$2:$C$999,Veda!R$17,ar6_r10!$M$2:$M$999,Veda!$J20)</f>
        <v>0.48</v>
      </c>
      <c r="V20" s="10" t="s">
        <v>22</v>
      </c>
      <c r="W20" s="6">
        <f t="shared" si="15"/>
        <v>107.75219999999999</v>
      </c>
      <c r="X20" s="6">
        <f t="shared" si="15"/>
        <v>131.13672</v>
      </c>
      <c r="Y20" s="6">
        <f t="shared" si="15"/>
        <v>140.20395300000001</v>
      </c>
      <c r="Z20" s="6">
        <f t="shared" si="15"/>
        <v>141.55658700000001</v>
      </c>
      <c r="AA20" s="6">
        <f t="shared" si="15"/>
        <v>156.767988</v>
      </c>
      <c r="AB20" s="6">
        <f t="shared" si="15"/>
        <v>171.94499999999999</v>
      </c>
      <c r="AC20" s="6">
        <f t="shared" si="15"/>
        <v>182.78441279999998</v>
      </c>
      <c r="AD20" t="s">
        <v>17</v>
      </c>
      <c r="AJ20">
        <v>12</v>
      </c>
      <c r="AK20" t="s">
        <v>85</v>
      </c>
      <c r="AL20" t="s">
        <v>94</v>
      </c>
      <c r="AM20" s="10">
        <f t="shared" si="9"/>
        <v>3</v>
      </c>
    </row>
    <row r="21" spans="1:39" x14ac:dyDescent="0.45">
      <c r="A21">
        <v>5</v>
      </c>
      <c r="B21" t="str">
        <f t="shared" si="1"/>
        <v>Lo.0.CF6.N.Y</v>
      </c>
      <c r="C21">
        <f t="shared" si="2"/>
        <v>13</v>
      </c>
      <c r="D21" t="str">
        <f t="shared" si="3"/>
        <v>Lo</v>
      </c>
      <c r="E21">
        <f t="shared" si="17"/>
        <v>0</v>
      </c>
      <c r="F21" t="s">
        <v>147</v>
      </c>
      <c r="G21" t="str">
        <f t="shared" si="14"/>
        <v>N</v>
      </c>
      <c r="H21" s="15" t="s">
        <v>155</v>
      </c>
      <c r="J21" t="s">
        <v>23</v>
      </c>
      <c r="L21" s="11">
        <f>SUMIFS(ar6_r10!$J$2:$J$999,ar6_r10!$A$2:$A$999,$J$17,ar6_r10!$C$2:$C$999,Veda!L$17,ar6_r10!$M$2:$M$999,Veda!$J21)</f>
        <v>0.01</v>
      </c>
      <c r="M21" s="11">
        <f>SUMIFS(ar6_r10!$J$2:$J$999,ar6_r10!$A$2:$A$999,$J$17,ar6_r10!$C$2:$C$999,Veda!M$17,ar6_r10!$M$2:$M$999,Veda!$J21)</f>
        <v>0.01</v>
      </c>
      <c r="N21" s="11">
        <f>SUMIFS(ar6_r10!$J$2:$J$999,ar6_r10!$A$2:$A$999,$J$17,ar6_r10!$C$2:$C$999,Veda!N$17,ar6_r10!$M$2:$M$999,Veda!$J21)</f>
        <v>0.01</v>
      </c>
      <c r="O21" s="11">
        <f>SUMIFS(ar6_r10!$J$2:$J$999,ar6_r10!$A$2:$A$999,$J$17,ar6_r10!$C$2:$C$999,Veda!O$17,ar6_r10!$M$2:$M$999,Veda!$J21)</f>
        <v>0.01</v>
      </c>
      <c r="P21" s="11">
        <f>SUMIFS(ar6_r10!$J$2:$J$999,ar6_r10!$A$2:$A$999,$J$17,ar6_r10!$C$2:$C$999,Veda!P$17,ar6_r10!$M$2:$M$999,Veda!$J21)</f>
        <v>0.01</v>
      </c>
      <c r="Q21" s="11">
        <f>SUMIFS(ar6_r10!$J$2:$J$999,ar6_r10!$A$2:$A$999,$J$17,ar6_r10!$C$2:$C$999,Veda!Q$17,ar6_r10!$M$2:$M$999,Veda!$J21)</f>
        <v>0.02</v>
      </c>
      <c r="R21" s="11">
        <f>SUMIFS(ar6_r10!$J$2:$J$999,ar6_r10!$A$2:$A$999,$J$17,ar6_r10!$C$2:$C$999,Veda!R$17,ar6_r10!$M$2:$M$999,Veda!$J21)</f>
        <v>0.02</v>
      </c>
      <c r="V21" s="10" t="s">
        <v>24</v>
      </c>
      <c r="W21" s="6">
        <f>L21*W$14</f>
        <v>2.2925999999999997</v>
      </c>
      <c r="X21" s="6">
        <f t="shared" ref="X21:AC21" si="18">W21</f>
        <v>2.2925999999999997</v>
      </c>
      <c r="Y21" s="6">
        <f t="shared" si="18"/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t="s">
        <v>17</v>
      </c>
      <c r="AF21" s="2" t="s">
        <v>20</v>
      </c>
      <c r="AM21" s="10">
        <f t="shared" si="9"/>
        <v>3</v>
      </c>
    </row>
    <row r="22" spans="1:39" x14ac:dyDescent="0.45">
      <c r="A22">
        <v>5</v>
      </c>
      <c r="B22" t="str">
        <f t="shared" si="1"/>
        <v>Hi.0.CF6.N.Y</v>
      </c>
      <c r="C22">
        <f t="shared" si="2"/>
        <v>14</v>
      </c>
      <c r="D22" t="str">
        <f t="shared" si="3"/>
        <v>Hi</v>
      </c>
      <c r="E22">
        <f t="shared" si="17"/>
        <v>0</v>
      </c>
      <c r="F22" t="s">
        <v>147</v>
      </c>
      <c r="G22" t="str">
        <f t="shared" si="14"/>
        <v>N</v>
      </c>
      <c r="H22" s="15" t="s">
        <v>155</v>
      </c>
      <c r="V22" s="10" t="s">
        <v>25</v>
      </c>
      <c r="W22" s="6">
        <f t="shared" ref="W22:AC22" si="19">W14-SUM(W19:W21)</f>
        <v>27.511200000000002</v>
      </c>
      <c r="X22" s="6">
        <f t="shared" si="19"/>
        <v>30.491580000000027</v>
      </c>
      <c r="Y22" s="6">
        <f t="shared" si="19"/>
        <v>31.460203500000006</v>
      </c>
      <c r="Z22" s="6">
        <f t="shared" si="19"/>
        <v>37.770584999999983</v>
      </c>
      <c r="AA22" s="6">
        <f t="shared" si="19"/>
        <v>48.958473000000026</v>
      </c>
      <c r="AB22" s="6">
        <f t="shared" si="19"/>
        <v>63.046500000000037</v>
      </c>
      <c r="AC22" s="6">
        <f t="shared" si="19"/>
        <v>77.675580600000046</v>
      </c>
      <c r="AD22" t="s">
        <v>17</v>
      </c>
      <c r="AM22" s="10">
        <f t="shared" si="9"/>
        <v>3</v>
      </c>
    </row>
    <row r="23" spans="1:39" x14ac:dyDescent="0.45">
      <c r="A23">
        <v>5</v>
      </c>
      <c r="B23" t="str">
        <f t="shared" si="1"/>
        <v>Lo.95.CF6.N.Y</v>
      </c>
      <c r="C23">
        <f t="shared" si="2"/>
        <v>15</v>
      </c>
      <c r="D23" t="str">
        <f t="shared" si="3"/>
        <v>Lo</v>
      </c>
      <c r="E23">
        <f t="shared" si="17"/>
        <v>95</v>
      </c>
      <c r="F23" t="s">
        <v>147</v>
      </c>
      <c r="G23" t="str">
        <f t="shared" si="14"/>
        <v>N</v>
      </c>
      <c r="H23" s="15" t="s">
        <v>155</v>
      </c>
      <c r="V23" t="s">
        <v>26</v>
      </c>
      <c r="AM23" s="10">
        <f t="shared" si="9"/>
        <v>3</v>
      </c>
    </row>
    <row r="24" spans="1:39" ht="14.65" customHeight="1" x14ac:dyDescent="0.45">
      <c r="A24">
        <v>5</v>
      </c>
      <c r="B24" t="str">
        <f t="shared" si="1"/>
        <v>Hi.95.CF6.N.Y</v>
      </c>
      <c r="C24">
        <f t="shared" si="2"/>
        <v>16</v>
      </c>
      <c r="D24" t="str">
        <f t="shared" si="3"/>
        <v>Hi</v>
      </c>
      <c r="E24">
        <f t="shared" si="17"/>
        <v>95</v>
      </c>
      <c r="F24" t="s">
        <v>147</v>
      </c>
      <c r="G24" t="str">
        <f t="shared" si="14"/>
        <v>N</v>
      </c>
      <c r="H24" s="15" t="s">
        <v>155</v>
      </c>
      <c r="J24" s="10" t="s">
        <v>27</v>
      </c>
      <c r="L24" s="11">
        <f t="shared" ref="L24:R24" si="20">SUMIF($K$2:$K$6,$E$5,L$2:L$6)</f>
        <v>0</v>
      </c>
      <c r="M24" s="11">
        <f t="shared" si="20"/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V24" t="s">
        <v>28</v>
      </c>
      <c r="X24">
        <v>0</v>
      </c>
      <c r="Y24" s="11">
        <f>N24/1000</f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t="s">
        <v>29</v>
      </c>
      <c r="AM24" s="10">
        <f t="shared" si="9"/>
        <v>4</v>
      </c>
    </row>
    <row r="25" spans="1:39" ht="14.65" customHeight="1" x14ac:dyDescent="0.45">
      <c r="A25">
        <v>5</v>
      </c>
      <c r="B25" t="str">
        <f t="shared" si="1"/>
        <v>Lo.0.CF1.Y.N</v>
      </c>
      <c r="C25">
        <f t="shared" si="2"/>
        <v>17</v>
      </c>
      <c r="D25" t="str">
        <f t="shared" si="3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156</v>
      </c>
      <c r="AM25" s="10">
        <f t="shared" si="9"/>
        <v>4</v>
      </c>
    </row>
    <row r="26" spans="1:39" ht="17.649999999999999" customHeight="1" thickBot="1" x14ac:dyDescent="0.6">
      <c r="A26">
        <v>5</v>
      </c>
      <c r="B26" t="str">
        <f t="shared" si="1"/>
        <v>Hi.0.CF1.Y.N</v>
      </c>
      <c r="C26">
        <f t="shared" si="2"/>
        <v>18</v>
      </c>
      <c r="D26" t="str">
        <f t="shared" si="3"/>
        <v>Hi</v>
      </c>
      <c r="E26">
        <f t="shared" si="17"/>
        <v>0</v>
      </c>
      <c r="F26" t="str">
        <f t="shared" ref="F26:F40" si="21">F10</f>
        <v>CF1</v>
      </c>
      <c r="G26" t="str">
        <f t="shared" si="14"/>
        <v>Y</v>
      </c>
      <c r="H26" s="15" t="s">
        <v>156</v>
      </c>
      <c r="V26" s="5" t="s">
        <v>12</v>
      </c>
      <c r="AM26" s="10">
        <f t="shared" si="9"/>
        <v>4</v>
      </c>
    </row>
    <row r="27" spans="1:39" ht="15" customHeight="1" thickTop="1" thickBot="1" x14ac:dyDescent="0.5">
      <c r="A27">
        <v>5</v>
      </c>
      <c r="B27" t="str">
        <f t="shared" si="1"/>
        <v>Lo.95.CF1.Y.N</v>
      </c>
      <c r="C27">
        <f t="shared" si="2"/>
        <v>19</v>
      </c>
      <c r="D27" t="str">
        <f t="shared" si="3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156</v>
      </c>
      <c r="V27" s="4" t="s">
        <v>30</v>
      </c>
      <c r="W27" s="4">
        <f t="shared" ref="W27:AC27" si="22">W17</f>
        <v>2022</v>
      </c>
      <c r="X27" s="4">
        <f t="shared" si="22"/>
        <v>2025</v>
      </c>
      <c r="Y27" s="4">
        <f t="shared" si="22"/>
        <v>2030</v>
      </c>
      <c r="Z27" s="4">
        <f t="shared" si="22"/>
        <v>2035</v>
      </c>
      <c r="AA27" s="4">
        <f t="shared" si="22"/>
        <v>2040</v>
      </c>
      <c r="AB27" s="4">
        <f t="shared" si="22"/>
        <v>2045</v>
      </c>
      <c r="AC27" s="4">
        <f t="shared" si="22"/>
        <v>2050</v>
      </c>
      <c r="AD27" s="4" t="s">
        <v>14</v>
      </c>
      <c r="AE27" s="4" t="s">
        <v>31</v>
      </c>
      <c r="AM27" s="10">
        <f t="shared" si="9"/>
        <v>4</v>
      </c>
    </row>
    <row r="28" spans="1:39" ht="14.65" customHeight="1" thickBot="1" x14ac:dyDescent="0.5">
      <c r="A28">
        <v>5</v>
      </c>
      <c r="B28" t="str">
        <f t="shared" si="1"/>
        <v>Hi.95.CF1.Y.N</v>
      </c>
      <c r="C28">
        <f t="shared" si="2"/>
        <v>20</v>
      </c>
      <c r="D28" t="str">
        <f t="shared" si="3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156</v>
      </c>
      <c r="T28" s="3">
        <f>SUMIFS(iea_data!G3:G9999,iea_data!$B$3:$B$9999,Veda!$V$11)</f>
        <v>10.76</v>
      </c>
      <c r="V28" t="s">
        <v>32</v>
      </c>
      <c r="W28" s="3">
        <f>T28</f>
        <v>10.76</v>
      </c>
      <c r="Y28" s="6"/>
      <c r="Z28" s="6"/>
      <c r="AA28" s="6"/>
      <c r="AB28" s="6"/>
      <c r="AC28" s="6"/>
      <c r="AD28" t="s">
        <v>33</v>
      </c>
      <c r="AE28" t="s">
        <v>34</v>
      </c>
      <c r="AM28" s="10">
        <f t="shared" si="9"/>
        <v>4</v>
      </c>
    </row>
    <row r="29" spans="1:39" ht="15" customHeight="1" thickTop="1" thickBot="1" x14ac:dyDescent="0.5">
      <c r="A29">
        <v>5</v>
      </c>
      <c r="B29" t="str">
        <f t="shared" si="1"/>
        <v>Lo.0.CF1.N.N</v>
      </c>
      <c r="C29">
        <f t="shared" si="2"/>
        <v>21</v>
      </c>
      <c r="D29" t="str">
        <f t="shared" si="3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156</v>
      </c>
      <c r="T29" s="3">
        <f>SUMIFS(iea_data!H3:H9999,iea_data!$B$3:$B$9999,Veda!$V$11)</f>
        <v>-12.27</v>
      </c>
      <c r="V29" t="s">
        <v>35</v>
      </c>
      <c r="W29" s="3">
        <f>-1*T29</f>
        <v>12.27</v>
      </c>
      <c r="Y29" s="6"/>
      <c r="Z29" s="6"/>
      <c r="AA29" s="6"/>
      <c r="AB29" s="6"/>
      <c r="AC29" s="6"/>
      <c r="AD29" t="s">
        <v>33</v>
      </c>
      <c r="AE29" t="s">
        <v>34</v>
      </c>
      <c r="AM29" s="10">
        <f t="shared" si="9"/>
        <v>5</v>
      </c>
    </row>
    <row r="30" spans="1:39" ht="14.65" customHeight="1" thickTop="1" x14ac:dyDescent="0.45">
      <c r="A30">
        <v>5</v>
      </c>
      <c r="B30" t="str">
        <f t="shared" si="1"/>
        <v>Hi.0.CF1.N.N</v>
      </c>
      <c r="C30">
        <f t="shared" si="2"/>
        <v>22</v>
      </c>
      <c r="D30" t="str">
        <f t="shared" si="3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156</v>
      </c>
      <c r="AM30" s="10">
        <f t="shared" si="9"/>
        <v>5</v>
      </c>
    </row>
    <row r="31" spans="1:39" x14ac:dyDescent="0.45">
      <c r="A31">
        <v>5</v>
      </c>
      <c r="B31" t="str">
        <f t="shared" si="1"/>
        <v>Lo.95.CF1.N.N</v>
      </c>
      <c r="C31">
        <f t="shared" si="2"/>
        <v>23</v>
      </c>
      <c r="D31" t="str">
        <f t="shared" si="3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156</v>
      </c>
      <c r="AM31" s="10">
        <f t="shared" si="9"/>
        <v>5</v>
      </c>
    </row>
    <row r="32" spans="1:39" ht="17.649999999999999" thickBot="1" x14ac:dyDescent="0.6">
      <c r="A32">
        <v>5</v>
      </c>
      <c r="B32" t="str">
        <f t="shared" si="1"/>
        <v>Hi.95.CF1.N.N</v>
      </c>
      <c r="C32">
        <f t="shared" si="2"/>
        <v>24</v>
      </c>
      <c r="D32" t="str">
        <f t="shared" si="3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156</v>
      </c>
      <c r="V32" s="5" t="str">
        <f>IF($G$5="N","~TFM_UPD","DEF correction active")</f>
        <v>DEF correction active</v>
      </c>
      <c r="AM32" s="10">
        <f t="shared" si="9"/>
        <v>5</v>
      </c>
    </row>
    <row r="33" spans="1:39" ht="15" thickTop="1" thickBot="1" x14ac:dyDescent="0.5">
      <c r="A33">
        <v>5</v>
      </c>
      <c r="B33" t="str">
        <f t="shared" si="1"/>
        <v>Lo.0.CF6.Y.N</v>
      </c>
      <c r="C33">
        <f t="shared" si="2"/>
        <v>25</v>
      </c>
      <c r="D33" t="str">
        <f t="shared" si="3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156</v>
      </c>
      <c r="V33" s="4" t="s">
        <v>14</v>
      </c>
      <c r="W33" s="4" t="s">
        <v>13</v>
      </c>
      <c r="X33" s="4" t="s">
        <v>30</v>
      </c>
      <c r="Y33" s="4" t="s">
        <v>158</v>
      </c>
      <c r="AM33" s="10">
        <f t="shared" si="9"/>
        <v>5</v>
      </c>
    </row>
    <row r="34" spans="1:39" x14ac:dyDescent="0.45">
      <c r="A34">
        <v>5</v>
      </c>
      <c r="B34" t="str">
        <f t="shared" si="1"/>
        <v>Hi.0.CF6.Y.N</v>
      </c>
      <c r="C34">
        <f t="shared" si="2"/>
        <v>26</v>
      </c>
      <c r="D34" t="str">
        <f t="shared" si="3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156</v>
      </c>
      <c r="V34" t="s">
        <v>169</v>
      </c>
      <c r="W34" t="s">
        <v>170</v>
      </c>
      <c r="X34" t="s">
        <v>171</v>
      </c>
      <c r="Y34">
        <v>0</v>
      </c>
      <c r="AM34" s="10">
        <f t="shared" si="9"/>
        <v>6</v>
      </c>
    </row>
    <row r="35" spans="1:39" x14ac:dyDescent="0.45">
      <c r="A35">
        <v>5</v>
      </c>
      <c r="B35" t="str">
        <f t="shared" si="1"/>
        <v>Lo.95.CF6.Y.N</v>
      </c>
      <c r="C35">
        <f t="shared" si="2"/>
        <v>27</v>
      </c>
      <c r="D35" t="str">
        <f t="shared" si="3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156</v>
      </c>
      <c r="AM35" s="10">
        <f t="shared" si="9"/>
        <v>6</v>
      </c>
    </row>
    <row r="36" spans="1:39" x14ac:dyDescent="0.45">
      <c r="A36">
        <v>5</v>
      </c>
      <c r="B36" t="str">
        <f t="shared" si="1"/>
        <v>Hi.95.CF6.Y.N</v>
      </c>
      <c r="C36">
        <f t="shared" si="2"/>
        <v>28</v>
      </c>
      <c r="D36" t="str">
        <f t="shared" si="3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156</v>
      </c>
      <c r="J36" s="2" t="s">
        <v>9</v>
      </c>
      <c r="AM36" s="10">
        <f t="shared" si="9"/>
        <v>6</v>
      </c>
    </row>
    <row r="37" spans="1:39" ht="17.649999999999999" thickBot="1" x14ac:dyDescent="0.6">
      <c r="A37">
        <v>5</v>
      </c>
      <c r="B37" t="str">
        <f t="shared" si="1"/>
        <v>Lo.0.CF6.N.N</v>
      </c>
      <c r="C37">
        <f t="shared" si="2"/>
        <v>29</v>
      </c>
      <c r="D37" t="str">
        <f t="shared" si="3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156</v>
      </c>
      <c r="J37" t="s">
        <v>74</v>
      </c>
      <c r="L37" s="11">
        <f>SUMIFS(ar6_r10!$J$2:$J$999,ar6_r10!$A$2:$A$999,Veda!$J$36,ar6_r10!$C$2:$C$999,Veda!L$17,ar6_r10!$M$2:$M$999,Veda!$J37)</f>
        <v>1</v>
      </c>
      <c r="M37" s="11">
        <f>L37</f>
        <v>1</v>
      </c>
      <c r="N37" s="11">
        <f>M37*(1+$T37)^5</f>
        <v>1.0510100500999999</v>
      </c>
      <c r="O37" s="11">
        <f t="shared" ref="O37:R37" si="23">N37*(1+$T37)^5</f>
        <v>1.1046221254112043</v>
      </c>
      <c r="P37" s="11">
        <f t="shared" si="23"/>
        <v>1.1609689553699982</v>
      </c>
      <c r="Q37" s="11">
        <f t="shared" si="23"/>
        <v>1.2201900399479664</v>
      </c>
      <c r="R37" s="11">
        <f t="shared" si="23"/>
        <v>1.2824319950172332</v>
      </c>
      <c r="T37">
        <v>0.01</v>
      </c>
      <c r="V37" s="5" t="str">
        <f>IF($G$5="N","~TFM_INS: limtype=LO","DEF correction active")</f>
        <v>DEF correction active</v>
      </c>
      <c r="AM37" s="10">
        <f t="shared" si="9"/>
        <v>6</v>
      </c>
    </row>
    <row r="38" spans="1:39" ht="15" thickTop="1" thickBot="1" x14ac:dyDescent="0.5">
      <c r="A38">
        <v>5</v>
      </c>
      <c r="B38" t="str">
        <f t="shared" si="1"/>
        <v>Hi.0.CF6.N.N</v>
      </c>
      <c r="C38">
        <f t="shared" si="2"/>
        <v>30</v>
      </c>
      <c r="D38" t="str">
        <f t="shared" si="3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156</v>
      </c>
      <c r="J38" t="s">
        <v>75</v>
      </c>
      <c r="L38" s="11">
        <f>SUMIFS(ar6_r10!$J$2:$J$999,ar6_r10!$A$2:$A$999,Veda!$J$36,ar6_r10!$C$2:$C$999,Veda!L$17,ar6_r10!$M$2:$M$999,Veda!$J38)</f>
        <v>1</v>
      </c>
      <c r="M38" s="11">
        <f t="shared" ref="M38:R38" si="24">L38</f>
        <v>1</v>
      </c>
      <c r="N38" s="11">
        <f t="shared" si="24"/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V38" s="4" t="s">
        <v>14</v>
      </c>
      <c r="W38" s="4" t="s">
        <v>157</v>
      </c>
      <c r="X38" s="4" t="s">
        <v>37</v>
      </c>
      <c r="Y38" s="4" t="s">
        <v>158</v>
      </c>
      <c r="Z38" s="4" t="s">
        <v>159</v>
      </c>
      <c r="AM38" s="10">
        <f t="shared" si="9"/>
        <v>6</v>
      </c>
    </row>
    <row r="39" spans="1:39" x14ac:dyDescent="0.45">
      <c r="A39">
        <v>5</v>
      </c>
      <c r="B39" t="str">
        <f t="shared" si="1"/>
        <v>Lo.95.CF6.N.N</v>
      </c>
      <c r="C39">
        <f t="shared" si="2"/>
        <v>31</v>
      </c>
      <c r="D39" t="str">
        <f t="shared" si="3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156</v>
      </c>
      <c r="J39" t="s">
        <v>76</v>
      </c>
      <c r="L39" s="11">
        <f>SUMIFS(ar6_r10!$J$2:$J$999,ar6_r10!$A$2:$A$999,Veda!$J$36,ar6_r10!$C$2:$C$999,Veda!L$17,ar6_r10!$M$2:$M$999,Veda!$J39)</f>
        <v>1</v>
      </c>
      <c r="M39" s="11">
        <f t="shared" ref="M39:R39" si="25">L39</f>
        <v>1</v>
      </c>
      <c r="N39" s="11">
        <f t="shared" si="25"/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V39" t="s">
        <v>160</v>
      </c>
      <c r="W39" t="s">
        <v>161</v>
      </c>
      <c r="X39">
        <v>0</v>
      </c>
      <c r="Y39">
        <v>-13</v>
      </c>
      <c r="Z39" t="s">
        <v>162</v>
      </c>
      <c r="AM39" s="10">
        <f t="shared" si="9"/>
        <v>7</v>
      </c>
    </row>
    <row r="40" spans="1:39" x14ac:dyDescent="0.45">
      <c r="A40">
        <v>5</v>
      </c>
      <c r="B40" t="str">
        <f t="shared" si="1"/>
        <v>Hi.95.CF6.N.N</v>
      </c>
      <c r="C40">
        <f t="shared" si="2"/>
        <v>32</v>
      </c>
      <c r="D40" t="str">
        <f t="shared" si="3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156</v>
      </c>
      <c r="J40" t="s">
        <v>77</v>
      </c>
      <c r="L40" s="11">
        <f>SUMIFS(ar6_r10!$J$2:$J$999,ar6_r10!$A$2:$A$999,Veda!$J$36,ar6_r10!$C$2:$C$999,Veda!L$17,ar6_r10!$M$2:$M$999,Veda!$J40)</f>
        <v>1</v>
      </c>
      <c r="M40" s="11">
        <f t="shared" ref="M40:R40" si="26">L40</f>
        <v>1</v>
      </c>
      <c r="N40" s="11">
        <f t="shared" si="26"/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V40" t="s">
        <v>163</v>
      </c>
      <c r="X40">
        <v>0</v>
      </c>
      <c r="Y40">
        <v>-13</v>
      </c>
      <c r="Z40" t="s">
        <v>164</v>
      </c>
      <c r="AM40" s="10">
        <f t="shared" si="9"/>
        <v>7</v>
      </c>
    </row>
    <row r="41" spans="1:39" x14ac:dyDescent="0.45">
      <c r="A41">
        <v>5</v>
      </c>
      <c r="AM41" s="10">
        <f t="shared" si="9"/>
        <v>7</v>
      </c>
    </row>
    <row r="42" spans="1:39" x14ac:dyDescent="0.45">
      <c r="A42">
        <v>5</v>
      </c>
      <c r="AM42" s="10">
        <f t="shared" si="9"/>
        <v>7</v>
      </c>
    </row>
    <row r="43" spans="1:39" x14ac:dyDescent="0.45">
      <c r="A43">
        <v>5</v>
      </c>
      <c r="J43" t="s">
        <v>101</v>
      </c>
      <c r="AM43" s="10">
        <f t="shared" si="9"/>
        <v>7</v>
      </c>
    </row>
    <row r="44" spans="1:39" x14ac:dyDescent="0.45">
      <c r="A44">
        <v>5</v>
      </c>
      <c r="J44" t="s">
        <v>13</v>
      </c>
      <c r="K44" t="s">
        <v>87</v>
      </c>
      <c r="L44">
        <v>2022</v>
      </c>
      <c r="M44">
        <f>M17</f>
        <v>2025</v>
      </c>
      <c r="N44">
        <f t="shared" ref="N44:R44" si="27">N17</f>
        <v>2030</v>
      </c>
      <c r="O44">
        <f t="shared" si="27"/>
        <v>2035</v>
      </c>
      <c r="P44">
        <f t="shared" si="27"/>
        <v>2040</v>
      </c>
      <c r="Q44">
        <f t="shared" si="27"/>
        <v>2045</v>
      </c>
      <c r="R44">
        <f t="shared" si="27"/>
        <v>2050</v>
      </c>
      <c r="U44" t="s">
        <v>82</v>
      </c>
      <c r="V44" t="s">
        <v>83</v>
      </c>
      <c r="AM44" s="10">
        <f t="shared" si="9"/>
        <v>8</v>
      </c>
    </row>
    <row r="45" spans="1:39" x14ac:dyDescent="0.45">
      <c r="A45">
        <v>5</v>
      </c>
      <c r="J45" t="s">
        <v>78</v>
      </c>
      <c r="K45" t="str">
        <f>J45</f>
        <v>Gas</v>
      </c>
      <c r="L45">
        <f t="shared" ref="L45:R48" si="28">AVERAGE($U45:$V45)*L37</f>
        <v>45</v>
      </c>
      <c r="M45">
        <f t="shared" si="28"/>
        <v>45</v>
      </c>
      <c r="N45">
        <f t="shared" si="28"/>
        <v>47.295452254499999</v>
      </c>
      <c r="O45">
        <f t="shared" si="28"/>
        <v>49.707995643504191</v>
      </c>
      <c r="P45">
        <f t="shared" si="28"/>
        <v>52.243602991649922</v>
      </c>
      <c r="Q45">
        <f t="shared" si="28"/>
        <v>54.90855179765849</v>
      </c>
      <c r="R45">
        <f t="shared" si="28"/>
        <v>57.709439775775493</v>
      </c>
      <c r="U45">
        <f>HLOOKUP($J45&amp;"_"&amp;U$44,fuel_prices!$B$10:$I$11,2,FALSE)</f>
        <v>45</v>
      </c>
      <c r="V45">
        <f>HLOOKUP($J45&amp;"_"&amp;V$44,fuel_prices!$B$10:$I$11,2,FALSE)</f>
        <v>45</v>
      </c>
      <c r="AM45" s="10">
        <f t="shared" si="9"/>
        <v>8</v>
      </c>
    </row>
    <row r="46" spans="1:39" x14ac:dyDescent="0.45">
      <c r="A46">
        <v>5</v>
      </c>
      <c r="J46" t="s">
        <v>79</v>
      </c>
      <c r="K46" t="str">
        <f t="shared" ref="K46:K48" si="29">J46</f>
        <v>Coal</v>
      </c>
      <c r="L46">
        <f t="shared" si="28"/>
        <v>4.68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U46">
        <f>HLOOKUP($J46&amp;"_"&amp;U$44,fuel_prices!$B$10:$I$11,2,FALSE)</f>
        <v>4.32</v>
      </c>
      <c r="V46">
        <f>HLOOKUP($J46&amp;"_"&amp;V$44,fuel_prices!$B$10:$I$11,2,FALSE)</f>
        <v>5.04</v>
      </c>
      <c r="AM46" s="10">
        <f t="shared" si="9"/>
        <v>8</v>
      </c>
    </row>
    <row r="47" spans="1:39" x14ac:dyDescent="0.45">
      <c r="A47">
        <v>5</v>
      </c>
      <c r="J47" t="s">
        <v>80</v>
      </c>
      <c r="K47" t="str">
        <f t="shared" si="29"/>
        <v>Oil</v>
      </c>
      <c r="L47">
        <f t="shared" si="28"/>
        <v>79.2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U47">
        <f>HLOOKUP($J47&amp;"_"&amp;U$44,fuel_prices!$B$10:$I$11,2,FALSE)</f>
        <v>79.2</v>
      </c>
      <c r="V47">
        <f>HLOOKUP($J47&amp;"_"&amp;V$44,fuel_prices!$B$10:$I$11,2,FALSE)</f>
        <v>79.2</v>
      </c>
      <c r="AM47" s="10">
        <f t="shared" si="9"/>
        <v>8</v>
      </c>
    </row>
    <row r="48" spans="1:39" x14ac:dyDescent="0.45">
      <c r="A48">
        <v>5</v>
      </c>
      <c r="J48" t="s">
        <v>81</v>
      </c>
      <c r="K48" t="str">
        <f t="shared" si="29"/>
        <v>Bioenergy</v>
      </c>
      <c r="L48">
        <f t="shared" si="28"/>
        <v>22</v>
      </c>
      <c r="R48" t="e">
        <f>VLOOKUP($D$5,$AN$9:$AP$15,3,FALSE)*L48</f>
        <v>#N/A</v>
      </c>
      <c r="U48">
        <f>HLOOKUP($J48&amp;"_"&amp;U$44,fuel_prices!$B$10:$I$11,2,FALSE)</f>
        <v>18</v>
      </c>
      <c r="V48">
        <f>HLOOKUP($J48&amp;"_"&amp;V$44,fuel_prices!$B$10:$I$11,2,FALSE)</f>
        <v>26</v>
      </c>
      <c r="AM48" s="10">
        <f t="shared" si="9"/>
        <v>8</v>
      </c>
    </row>
    <row r="49" spans="22:39" x14ac:dyDescent="0.45">
      <c r="AM49" s="10">
        <f t="shared" si="9"/>
        <v>9</v>
      </c>
    </row>
    <row r="50" spans="22:39" x14ac:dyDescent="0.45">
      <c r="AM50" s="10">
        <f t="shared" si="9"/>
        <v>9</v>
      </c>
    </row>
    <row r="51" spans="22:39" ht="17.649999999999999" thickBot="1" x14ac:dyDescent="0.6">
      <c r="V51" s="5" t="str">
        <f>IF($H$5="N","~TFM_INS: limtype=LO","GAS available")</f>
        <v>GAS available</v>
      </c>
      <c r="AM51" s="10">
        <f t="shared" si="9"/>
        <v>9</v>
      </c>
    </row>
    <row r="52" spans="22:39" ht="15" thickTop="1" thickBot="1" x14ac:dyDescent="0.5">
      <c r="V52" s="4" t="s">
        <v>14</v>
      </c>
      <c r="W52" s="4" t="s">
        <v>172</v>
      </c>
      <c r="X52" s="4" t="s">
        <v>37</v>
      </c>
      <c r="Y52" s="4" t="s">
        <v>158</v>
      </c>
      <c r="Z52" s="4" t="s">
        <v>168</v>
      </c>
      <c r="AM52" s="10">
        <f t="shared" si="9"/>
        <v>9</v>
      </c>
    </row>
    <row r="53" spans="22:39" x14ac:dyDescent="0.45">
      <c r="V53" t="s">
        <v>167</v>
      </c>
      <c r="W53" s="20" t="s">
        <v>173</v>
      </c>
      <c r="Y53">
        <v>2100</v>
      </c>
      <c r="Z53" t="s">
        <v>165</v>
      </c>
      <c r="AM53" s="10">
        <f t="shared" si="9"/>
        <v>9</v>
      </c>
    </row>
    <row r="54" spans="22:39" x14ac:dyDescent="0.45">
      <c r="AM54" s="10">
        <f t="shared" si="9"/>
        <v>10</v>
      </c>
    </row>
    <row r="55" spans="22:39" x14ac:dyDescent="0.45">
      <c r="AM55" s="10">
        <f t="shared" si="9"/>
        <v>10</v>
      </c>
    </row>
    <row r="56" spans="22:39" x14ac:dyDescent="0.45">
      <c r="AM56" s="10">
        <f t="shared" si="9"/>
        <v>10</v>
      </c>
    </row>
    <row r="57" spans="22:39" x14ac:dyDescent="0.45">
      <c r="AM57" s="10">
        <f t="shared" si="9"/>
        <v>10</v>
      </c>
    </row>
    <row r="58" spans="22:39" x14ac:dyDescent="0.45">
      <c r="AM58" s="10">
        <f t="shared" si="9"/>
        <v>10</v>
      </c>
    </row>
    <row r="59" spans="22:39" x14ac:dyDescent="0.45">
      <c r="AM59" s="10">
        <f t="shared" si="9"/>
        <v>11</v>
      </c>
    </row>
    <row r="60" spans="22:39" x14ac:dyDescent="0.45">
      <c r="AM60" s="10">
        <f t="shared" si="9"/>
        <v>11</v>
      </c>
    </row>
    <row r="61" spans="22:39" x14ac:dyDescent="0.45">
      <c r="AM61" s="10">
        <f t="shared" si="9"/>
        <v>11</v>
      </c>
    </row>
    <row r="62" spans="22:39" x14ac:dyDescent="0.45">
      <c r="AM62" s="10">
        <f t="shared" si="9"/>
        <v>11</v>
      </c>
    </row>
    <row r="63" spans="22:39" x14ac:dyDescent="0.45">
      <c r="AM63" s="10">
        <f t="shared" si="9"/>
        <v>11</v>
      </c>
    </row>
    <row r="64" spans="22:39" x14ac:dyDescent="0.45">
      <c r="AM64" s="10">
        <f t="shared" si="9"/>
        <v>12</v>
      </c>
    </row>
    <row r="65" spans="39:39" x14ac:dyDescent="0.45">
      <c r="AM65" s="10">
        <f t="shared" si="9"/>
        <v>12</v>
      </c>
    </row>
    <row r="66" spans="39:39" x14ac:dyDescent="0.45">
      <c r="AM66" s="10">
        <f t="shared" si="9"/>
        <v>12</v>
      </c>
    </row>
    <row r="67" spans="39:39" x14ac:dyDescent="0.45">
      <c r="AM67" s="10">
        <f t="shared" si="9"/>
        <v>12</v>
      </c>
    </row>
    <row r="68" spans="39:39" x14ac:dyDescent="0.45">
      <c r="AM68" s="10">
        <f t="shared" si="9"/>
        <v>12</v>
      </c>
    </row>
    <row r="69" spans="39:39" x14ac:dyDescent="0.45">
      <c r="AM69" s="10">
        <f t="shared" si="9"/>
        <v>13</v>
      </c>
    </row>
    <row r="70" spans="39:39" x14ac:dyDescent="0.45">
      <c r="AM70" s="10">
        <f t="shared" si="9"/>
        <v>13</v>
      </c>
    </row>
    <row r="71" spans="39:39" x14ac:dyDescent="0.45">
      <c r="AM71" s="10">
        <f t="shared" si="9"/>
        <v>13</v>
      </c>
    </row>
    <row r="72" spans="39:39" x14ac:dyDescent="0.45">
      <c r="AM72" s="10">
        <f t="shared" si="9"/>
        <v>13</v>
      </c>
    </row>
    <row r="73" spans="39:39" x14ac:dyDescent="0.45">
      <c r="AM73" s="10">
        <f t="shared" si="9"/>
        <v>13</v>
      </c>
    </row>
    <row r="74" spans="39:39" x14ac:dyDescent="0.45">
      <c r="AM74" s="10">
        <f t="shared" si="9"/>
        <v>14</v>
      </c>
    </row>
    <row r="75" spans="39:39" x14ac:dyDescent="0.45">
      <c r="AM75" s="10">
        <f t="shared" si="9"/>
        <v>14</v>
      </c>
    </row>
    <row r="76" spans="39:39" x14ac:dyDescent="0.45">
      <c r="AM76" s="10">
        <f t="shared" si="9"/>
        <v>14</v>
      </c>
    </row>
    <row r="77" spans="39:39" x14ac:dyDescent="0.45">
      <c r="AM77" s="10">
        <f t="shared" si="9"/>
        <v>14</v>
      </c>
    </row>
    <row r="78" spans="39:39" x14ac:dyDescent="0.45">
      <c r="AM78" s="10">
        <f t="shared" si="9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117</v>
      </c>
    </row>
    <row r="4" spans="1:8" x14ac:dyDescent="0.45">
      <c r="B4" t="s">
        <v>118</v>
      </c>
    </row>
    <row r="6" spans="1:8" x14ac:dyDescent="0.45">
      <c r="B6" s="19" t="s">
        <v>119</v>
      </c>
      <c r="C6" s="19" t="s">
        <v>120</v>
      </c>
      <c r="D6" s="19" t="s">
        <v>121</v>
      </c>
      <c r="E6" s="19" t="s">
        <v>122</v>
      </c>
      <c r="F6" s="19" t="s">
        <v>123</v>
      </c>
      <c r="G6" s="19" t="s">
        <v>121</v>
      </c>
      <c r="H6" s="19" t="s">
        <v>139</v>
      </c>
    </row>
    <row r="7" spans="1:8" x14ac:dyDescent="0.45">
      <c r="A7" t="str">
        <f>LEFT(B7,3)</f>
        <v>CF1</v>
      </c>
      <c r="B7" s="17" t="s">
        <v>124</v>
      </c>
      <c r="C7" s="17" t="s">
        <v>125</v>
      </c>
      <c r="D7" s="17">
        <v>0.7</v>
      </c>
      <c r="E7" s="17" t="s">
        <v>126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127</v>
      </c>
      <c r="C8" s="17" t="s">
        <v>128</v>
      </c>
      <c r="D8" s="17">
        <v>0.5</v>
      </c>
      <c r="E8" s="17" t="s">
        <v>129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130</v>
      </c>
      <c r="C9" s="17" t="s">
        <v>131</v>
      </c>
      <c r="D9" s="17">
        <v>0.7</v>
      </c>
      <c r="E9" s="17" t="s">
        <v>129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132</v>
      </c>
      <c r="C10" s="17" t="s">
        <v>133</v>
      </c>
      <c r="D10" s="17">
        <v>0.5</v>
      </c>
      <c r="E10" s="17" t="s">
        <v>129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134</v>
      </c>
      <c r="C11" s="17" t="s">
        <v>135</v>
      </c>
      <c r="D11" s="17">
        <v>0.7</v>
      </c>
      <c r="E11" s="17" t="s">
        <v>129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136</v>
      </c>
      <c r="C12" s="17" t="s">
        <v>137</v>
      </c>
      <c r="D12" s="17">
        <v>0.4</v>
      </c>
      <c r="E12" s="17" t="s">
        <v>138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144</v>
      </c>
    </row>
    <row r="17" spans="7:9" ht="14.65" thickBot="1" x14ac:dyDescent="0.5">
      <c r="G17" s="13" t="s">
        <v>142</v>
      </c>
      <c r="H17" s="13" t="s">
        <v>143</v>
      </c>
      <c r="I17" s="13" t="s">
        <v>141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2" sqref="B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110</v>
      </c>
      <c r="B11">
        <f>12.5*3.6</f>
        <v>45</v>
      </c>
      <c r="C11">
        <f>B11</f>
        <v>45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110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110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110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110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110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110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110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110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110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110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110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110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110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110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110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110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110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110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110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110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110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110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110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111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111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111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111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111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111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111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111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111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111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111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111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111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111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111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111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111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111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111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111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111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111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111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111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111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111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111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111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111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111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111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111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111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111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111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111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111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111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111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111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111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111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111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111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111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111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111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111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111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111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111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111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111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111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111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111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111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111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111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111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111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111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111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111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111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111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111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111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111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111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111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111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111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111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111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111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111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111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111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111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111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111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111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111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111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111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111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111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111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111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111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111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111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111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111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111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111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111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111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111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111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111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111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111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111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111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111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111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111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111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111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111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111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111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111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111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111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111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111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111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111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111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111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111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111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111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111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111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111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111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111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111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111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111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111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111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111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111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111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111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111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111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111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111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111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111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111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111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111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111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111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111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111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111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111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111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111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111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111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111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111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111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111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111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111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111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111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111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111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111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111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111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111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111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111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111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111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111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111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111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111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111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111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111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111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111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111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111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111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111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111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111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111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111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111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111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111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111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111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111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111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111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111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111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111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111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111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111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111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111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111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111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111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111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111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111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111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111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111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111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111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111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111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111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111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111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111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111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111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111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111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111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111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111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111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111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111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111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111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111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111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111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111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111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111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111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111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111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111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111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111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111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111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111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111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111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111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111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111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111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111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111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111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111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111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111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111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111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111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111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111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111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111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111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111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111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111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111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111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111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111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111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111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111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111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111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111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111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111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111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111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111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111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111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111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111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111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111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111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111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111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111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111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111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111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2026-05-27T18:53:00Z</dcterms:modified>
</cp:coreProperties>
</file>