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59A281CA-5C71-47D3-A15E-C2D3ECA3D285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10" i="1"/>
  <c r="B9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F56" i="1"/>
  <c r="F72" i="1" s="1"/>
  <c r="H55" i="1"/>
  <c r="H54" i="1"/>
  <c r="H53" i="1"/>
  <c r="H52" i="1"/>
  <c r="H51" i="1"/>
  <c r="H50" i="1"/>
  <c r="H49" i="1"/>
  <c r="H48" i="1"/>
  <c r="F48" i="1"/>
  <c r="F64" i="1" s="1"/>
  <c r="H47" i="1"/>
  <c r="H46" i="1"/>
  <c r="H45" i="1"/>
  <c r="F45" i="1"/>
  <c r="F61" i="1" s="1"/>
  <c r="H44" i="1"/>
  <c r="F44" i="1"/>
  <c r="F60" i="1" s="1"/>
  <c r="H43" i="1"/>
  <c r="F43" i="1"/>
  <c r="F59" i="1" s="1"/>
  <c r="H42" i="1"/>
  <c r="H41" i="1"/>
  <c r="F40" i="1"/>
  <c r="F39" i="1"/>
  <c r="F55" i="1" s="1"/>
  <c r="F71" i="1" s="1"/>
  <c r="F38" i="1"/>
  <c r="F54" i="1" s="1"/>
  <c r="F70" i="1" s="1"/>
  <c r="F37" i="1"/>
  <c r="F53" i="1" s="1"/>
  <c r="F69" i="1" s="1"/>
  <c r="F36" i="1"/>
  <c r="F52" i="1" s="1"/>
  <c r="F68" i="1" s="1"/>
  <c r="F35" i="1"/>
  <c r="F51" i="1" s="1"/>
  <c r="F67" i="1" s="1"/>
  <c r="F34" i="1"/>
  <c r="F50" i="1" s="1"/>
  <c r="F66" i="1" s="1"/>
  <c r="F33" i="1"/>
  <c r="F49" i="1" s="1"/>
  <c r="F65" i="1" s="1"/>
  <c r="F32" i="1"/>
  <c r="F31" i="1"/>
  <c r="F47" i="1" s="1"/>
  <c r="F63" i="1" s="1"/>
  <c r="F30" i="1"/>
  <c r="F46" i="1" s="1"/>
  <c r="F62" i="1" s="1"/>
  <c r="F29" i="1"/>
  <c r="F28" i="1"/>
  <c r="F27" i="1"/>
  <c r="F26" i="1"/>
  <c r="F42" i="1" s="1"/>
  <c r="F58" i="1" s="1"/>
  <c r="F25" i="1"/>
  <c r="F41" i="1" s="1"/>
  <c r="F57" i="1" s="1"/>
  <c r="G24" i="1"/>
  <c r="G32" i="1" s="1"/>
  <c r="G40" i="1" s="1"/>
  <c r="G48" i="1" s="1"/>
  <c r="G56" i="1" s="1"/>
  <c r="G64" i="1" s="1"/>
  <c r="G72" i="1" s="1"/>
  <c r="G23" i="1"/>
  <c r="G31" i="1" s="1"/>
  <c r="G39" i="1" s="1"/>
  <c r="G47" i="1" s="1"/>
  <c r="G55" i="1" s="1"/>
  <c r="G63" i="1" s="1"/>
  <c r="G71" i="1" s="1"/>
  <c r="G22" i="1"/>
  <c r="G30" i="1" s="1"/>
  <c r="G38" i="1" s="1"/>
  <c r="G46" i="1" s="1"/>
  <c r="G54" i="1" s="1"/>
  <c r="G62" i="1" s="1"/>
  <c r="G70" i="1" s="1"/>
  <c r="G21" i="1"/>
  <c r="G29" i="1" s="1"/>
  <c r="G37" i="1" s="1"/>
  <c r="G45" i="1" s="1"/>
  <c r="G53" i="1" s="1"/>
  <c r="G61" i="1" s="1"/>
  <c r="G69" i="1" s="1"/>
  <c r="G20" i="1"/>
  <c r="G28" i="1" s="1"/>
  <c r="G36" i="1" s="1"/>
  <c r="G44" i="1" s="1"/>
  <c r="G52" i="1" s="1"/>
  <c r="G60" i="1" s="1"/>
  <c r="G68" i="1" s="1"/>
  <c r="G19" i="1"/>
  <c r="G27" i="1" s="1"/>
  <c r="G35" i="1" s="1"/>
  <c r="G43" i="1" s="1"/>
  <c r="G51" i="1" s="1"/>
  <c r="G59" i="1" s="1"/>
  <c r="G67" i="1" s="1"/>
  <c r="G18" i="1"/>
  <c r="G26" i="1" s="1"/>
  <c r="G17" i="1"/>
  <c r="G25" i="1" s="1"/>
  <c r="G33" i="1" s="1"/>
  <c r="G41" i="1" s="1"/>
  <c r="G49" i="1" s="1"/>
  <c r="G57" i="1" s="1"/>
  <c r="G65" i="1" s="1"/>
  <c r="G34" i="1" l="1"/>
  <c r="G42" i="1" s="1"/>
  <c r="G50" i="1" s="1"/>
  <c r="G58" i="1" s="1"/>
  <c r="G66" i="1" s="1"/>
  <c r="M21" i="1"/>
  <c r="M20" i="1"/>
  <c r="M19" i="1"/>
  <c r="M18" i="1"/>
  <c r="D12" i="1"/>
  <c r="B12" i="1" s="1"/>
  <c r="D11" i="1"/>
  <c r="B11" i="1" s="1"/>
  <c r="S3" i="1"/>
  <c r="R3" i="1"/>
  <c r="Q3" i="1"/>
  <c r="P3" i="1"/>
  <c r="N3" i="1"/>
  <c r="O2" i="1"/>
  <c r="O3" i="1" s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AM14" i="1"/>
  <c r="AM13" i="1"/>
  <c r="AM12" i="1"/>
  <c r="AM11" i="1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E5" i="1"/>
  <c r="H5" i="1"/>
  <c r="W51" i="1" s="1"/>
  <c r="I5" i="1"/>
  <c r="W57" i="1" s="1"/>
  <c r="D17" i="1"/>
  <c r="B17" i="1" s="1"/>
  <c r="W32" i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H14" i="15" l="1"/>
  <c r="H18" i="15" s="1"/>
  <c r="W37" i="1"/>
  <c r="D19" i="1"/>
  <c r="B19" i="1" s="1"/>
  <c r="D22" i="1"/>
  <c r="B22" i="1" s="1"/>
  <c r="N19" i="1"/>
  <c r="N18" i="1"/>
  <c r="N21" i="1"/>
  <c r="N20" i="1"/>
  <c r="O19" i="1"/>
  <c r="O18" i="1"/>
  <c r="O21" i="1"/>
  <c r="O20" i="1"/>
  <c r="P19" i="1"/>
  <c r="P21" i="1"/>
  <c r="P18" i="1"/>
  <c r="P20" i="1"/>
  <c r="Q19" i="1"/>
  <c r="Q21" i="1"/>
  <c r="Q18" i="1"/>
  <c r="Q20" i="1"/>
  <c r="R19" i="1"/>
  <c r="R18" i="1"/>
  <c r="R21" i="1"/>
  <c r="R20" i="1"/>
  <c r="S20" i="1"/>
  <c r="S18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" i="1"/>
  <c r="D54" i="1"/>
  <c r="R15" i="1" l="1"/>
  <c r="AC14" i="1" s="1"/>
  <c r="M15" i="1"/>
  <c r="O15" i="1"/>
  <c r="Z14" i="1" s="1"/>
  <c r="Q15" i="1"/>
  <c r="AB14" i="1" s="1"/>
  <c r="P15" i="1"/>
  <c r="AA14" i="1" s="1"/>
  <c r="N15" i="1"/>
  <c r="Y14" i="1" s="1"/>
  <c r="S15" i="1"/>
  <c r="AD14" i="1" s="1"/>
  <c r="S48" i="1"/>
  <c r="B51" i="1"/>
  <c r="D53" i="1"/>
  <c r="B54" i="1"/>
  <c r="D56" i="1"/>
  <c r="B56" i="1" l="1"/>
  <c r="D58" i="1"/>
  <c r="AA19" i="1"/>
  <c r="AA18" i="1"/>
  <c r="AA20" i="1"/>
  <c r="AA22" i="1" s="1"/>
  <c r="AB20" i="1"/>
  <c r="AB19" i="1"/>
  <c r="AB22" i="1" s="1"/>
  <c r="AB18" i="1"/>
  <c r="Z19" i="1"/>
  <c r="Z20" i="1"/>
  <c r="Z22" i="1" s="1"/>
  <c r="Z18" i="1"/>
  <c r="B53" i="1"/>
  <c r="D55" i="1"/>
  <c r="AD20" i="1"/>
  <c r="AD18" i="1"/>
  <c r="AD19" i="1"/>
  <c r="AD22" i="1" s="1"/>
  <c r="Y18" i="1"/>
  <c r="Y19" i="1"/>
  <c r="Y20" i="1"/>
  <c r="Y22" i="1"/>
  <c r="AC18" i="1"/>
  <c r="AC20" i="1"/>
  <c r="AC19" i="1"/>
  <c r="AC22" i="1" l="1"/>
  <c r="B58" i="1"/>
  <c r="D60" i="1"/>
  <c r="B55" i="1"/>
  <c r="D57" i="1"/>
  <c r="B57" i="1" l="1"/>
  <c r="D59" i="1"/>
  <c r="B60" i="1"/>
  <c r="D62" i="1"/>
  <c r="B62" i="1" l="1"/>
  <c r="D64" i="1"/>
  <c r="B59" i="1"/>
  <c r="D61" i="1"/>
  <c r="B64" i="1" l="1"/>
  <c r="D66" i="1"/>
  <c r="B61" i="1"/>
  <c r="D63" i="1"/>
  <c r="B63" i="1" l="1"/>
  <c r="D65" i="1"/>
  <c r="B66" i="1"/>
  <c r="D68" i="1"/>
  <c r="B65" i="1" l="1"/>
  <c r="D67" i="1"/>
  <c r="B68" i="1"/>
  <c r="D70" i="1"/>
  <c r="B67" i="1" l="1"/>
  <c r="D69" i="1"/>
  <c r="B70" i="1"/>
  <c r="D72" i="1"/>
  <c r="B72" i="1" s="1"/>
  <c r="B69" i="1" l="1"/>
  <c r="D71" i="1"/>
  <c r="B7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<sst xmlns="http://schemas.openxmlformats.org/spreadsheetml/2006/main" count="1746" uniqueCount="177">
  <si>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</si>
  <si>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</si>
  <si>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</si>
  <si>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</si>
  <si>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</si>
  <si>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</si>
  <si>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</si>
  <si>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</si>
  <si>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</si>
  <si>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</si>
  <si>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</si>
  <si>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</si>
  <si>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</si>
  <si>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</si>
  <si>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</si>
  <si>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</si>
  <si>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</si>
  <si>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</si>
  <si>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</si>
  <si>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</si>
  <si>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</si>
  <si>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</si>
  <si>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</si>
  <si>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</si>
  <si>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</si>
  <si>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</si>
  <si>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</si>
  <si>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</si>
  <si>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</si>
  <si>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</si>
  <si>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</si>
  <si>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</si>
  <si>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</si>
  <si>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</si>
  <si>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</si>
  <si>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</si>
  <si>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</si>
  <si>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</si>
  <si>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</si>
  <si>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</si>
  <si>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</si>
  <si>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</si>
  <si>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</si>
  <si>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</si>
  <si>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</si>
  <si>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</si>
  <si>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</si>
  <si>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</si>
  <si>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</si>
  <si>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</si>
  <si>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</si>
  <si>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</si>
  <si>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</si>
  <si>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</si>
  <si>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</si>
  <si>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</si>
  <si>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</si>
  <si>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</si>
  <si>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</si>
  <si>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</si>
  <si>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</si>
  <si>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</si>
  <si>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</si>
  <si>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</si>
  <si>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</si>
  <si>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</si>
  <si>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</si>
  <si>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</si>
  <si>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</si>
  <si>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</si>
  <si>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</si>
  <si>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</si>
  <si>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</si>
  <si>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</si>
  <si>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</si>
  <si>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</si>
  <si>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</si>
  <si>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</si>
  <si>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</si>
  <si>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</si>
  <si>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</si>
  <si>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</si>
  <si>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</si>
  <si>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</si>
  <si>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</si>
  <si>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</si>
  <si>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</si>
  <si>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</si>
  <si>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</si>
  <si>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</si>
  <si>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</si>
  <si>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</si>
  <si>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</si>
  <si>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</si>
  <si>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</si>
  <si>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</si>
  <si>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</si>
  <si>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</si>
  <si>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</si>
  <si>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</si>
  <si>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</si>
  <si>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</si>
  <si>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</si>
  <si>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</si>
  <si>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</si>
  <si>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</si>
  <si>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</si>
  <si>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</si>
  <si>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</si>
  <si>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</si>
  <si>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</si>
  <si>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</si>
  <si>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</si>
  <si>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</si>
  <si>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</si>
  <si>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</si>
  <si>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</si>
  <si>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</si>
  <si>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</si>
  <si>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</si>
  <si>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</si>
  <si>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</si>
  <si>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</si>
  <si>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</si>
  <si>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</si>
  <si>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</si>
  <si>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</si>
  <si>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</si>
  <si>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</si>
  <si>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</si>
  <si>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</si>
  <si>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</si>
  <si>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</si>
  <si>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</si>
  <si>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</si>
  <si>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</si>
  <si>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</si>
  <si>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</si>
  <si>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</si>
  <si>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</si>
  <si>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</si>
  <si>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</si>
  <si>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</si>
  <si>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</si>
  <si>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</si>
  <si>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</si>
  <si>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</si>
  <si>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</si>
  <si>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</si>
  <si>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</si>
  <si>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</si>
  <si>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</si>
  <si>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</si>
  <si>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</si>
  <si>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</si>
  <si>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</si>
  <si>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</si>
  <si>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</si>
  <si>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</si>
  <si>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</si>
  <si>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</si>
  <si>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</si>
  <si>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</si>
  <si>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</si>
  <si>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</si>
  <si>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</si>
  <si>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</si>
  <si>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</si>
  <si>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</si>
  <si>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</si>
  <si>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</si>
  <si>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</si>
  <si>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</si>
  <si>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</si>
  <si>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</si>
  <si>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</si>
  <si>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1-16,33-48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</si>
</sst>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35</c:v>
                </c:pt>
                <c:pt idx="4">
                  <c:v>60</c:v>
                </c:pt>
                <c:pt idx="5">
                  <c:v>80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K3" sqref="K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9" width="3.86328125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176</v>
      </c>
    </row>
    <row r="2" spans="1:44" x14ac:dyDescent="0.45">
      <c r="B2" s="1" t="str">
        <f>"~Inputcell: "&amp;_xlfn.TEXTJOIN(",",TRUE,K1:EI1)</f>
        <v>~Inputcell: 1-16,33-48</v>
      </c>
      <c r="L2" t="s">
        <v>151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152</v>
      </c>
    </row>
    <row r="3" spans="1:44" x14ac:dyDescent="0.45">
      <c r="B3" s="9">
        <v>44</v>
      </c>
      <c r="L3" t="s">
        <v>153</v>
      </c>
      <c r="M3">
        <v>1</v>
      </c>
      <c r="N3">
        <f>1+(N2-1)/2</f>
        <v>1.1000000000000001</v>
      </c>
      <c r="O3">
        <f t="shared" ref="O3:S3" si="0">1+(O2-1)/2</f>
        <v>1.1325000000000001</v>
      </c>
      <c r="P3">
        <f t="shared" si="0"/>
        <v>1.165</v>
      </c>
      <c r="Q3">
        <f t="shared" si="0"/>
        <v>1.3149999999999999</v>
      </c>
      <c r="R3">
        <f t="shared" si="0"/>
        <v>1.5</v>
      </c>
      <c r="S3">
        <f t="shared" si="0"/>
        <v>1.661</v>
      </c>
    </row>
    <row r="5" spans="1:44" x14ac:dyDescent="0.45">
      <c r="D5" s="21" t="str">
        <f t="shared" ref="D5:I5" si="1">VLOOKUP($B$3,$C$9:$K$999,COLUMN()-2,FALSE)</f>
        <v>Hi</v>
      </c>
      <c r="E5" s="21">
        <f t="shared" si="1"/>
        <v>95</v>
      </c>
      <c r="F5" s="21" t="str">
        <f t="shared" si="1"/>
        <v>CF6</v>
      </c>
      <c r="G5" s="21" t="str">
        <f t="shared" si="1"/>
        <v>Y</v>
      </c>
      <c r="H5" s="21" t="str">
        <f t="shared" si="1"/>
        <v>Y</v>
      </c>
      <c r="I5" s="21" t="str">
        <f t="shared" si="1"/>
        <v>N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95</v>
      </c>
    </row>
    <row r="8" spans="1:44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 t="s">
        <v>172</v>
      </c>
      <c r="J8" s="4"/>
      <c r="AR8" s="2" t="s">
        <v>102</v>
      </c>
    </row>
    <row r="9" spans="1:44" x14ac:dyDescent="0.45">
      <c r="A9">
        <v>5</v>
      </c>
      <c r="B9" t="str">
        <f>_xlfn.TEXTJOIN(".",TRUE,D9:I9)</f>
        <v>Lo.0.CF1.Y.Y.Y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I9" s="15" t="s">
        <v>155</v>
      </c>
      <c r="K9" t="s">
        <v>1</v>
      </c>
      <c r="AK9">
        <v>1</v>
      </c>
      <c r="AL9" t="s">
        <v>86</v>
      </c>
      <c r="AM9" t="s">
        <v>109</v>
      </c>
      <c r="AN9" s="10">
        <v>1</v>
      </c>
      <c r="AO9" t="s">
        <v>0</v>
      </c>
      <c r="AP9" t="s">
        <v>88</v>
      </c>
      <c r="AQ9" s="12">
        <v>5</v>
      </c>
    </row>
    <row r="10" spans="1:44" x14ac:dyDescent="0.45">
      <c r="A10">
        <v>5</v>
      </c>
      <c r="B10" t="str">
        <f t="shared" ref="B10:B72" si="2">_xlfn.TEXTJOIN(".",TRUE,D10:I10)</f>
        <v>Hi.0.CF1.Y.Y.Y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I10" s="15" t="s">
        <v>155</v>
      </c>
      <c r="K10" t="s">
        <v>3</v>
      </c>
      <c r="W10" t="s">
        <v>4</v>
      </c>
      <c r="AK10">
        <v>2</v>
      </c>
      <c r="AL10" t="s">
        <v>113</v>
      </c>
      <c r="AM10" t="s">
        <v>116</v>
      </c>
      <c r="AN10" s="10">
        <v>1</v>
      </c>
      <c r="AO10" t="s">
        <v>2</v>
      </c>
      <c r="AP10" t="s">
        <v>90</v>
      </c>
      <c r="AQ10" s="12">
        <v>4</v>
      </c>
    </row>
    <row r="11" spans="1:44" x14ac:dyDescent="0.45">
      <c r="A11">
        <v>5</v>
      </c>
      <c r="B11" t="str">
        <f t="shared" si="2"/>
        <v>Lo.95.CF1.Y.Y.Y</v>
      </c>
      <c r="C11">
        <f t="shared" ref="C11:C72" si="3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I11" s="15" t="s">
        <v>155</v>
      </c>
      <c r="K11" t="s">
        <v>6</v>
      </c>
      <c r="W11" s="1">
        <v>2022</v>
      </c>
      <c r="AK11">
        <v>3</v>
      </c>
      <c r="AL11" t="s">
        <v>99</v>
      </c>
      <c r="AM11" t="str">
        <f>AL11</f>
        <v>ts_012</v>
      </c>
      <c r="AN11" s="10">
        <v>1</v>
      </c>
      <c r="AO11" t="s">
        <v>5</v>
      </c>
      <c r="AP11" t="s">
        <v>91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Hi.95.CF1.Y.Y.Y</v>
      </c>
      <c r="C12">
        <f t="shared" si="3"/>
        <v>4</v>
      </c>
      <c r="D12" t="str">
        <f t="shared" ref="D12:D72" si="4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I12" s="15" t="s">
        <v>155</v>
      </c>
      <c r="K12" t="s">
        <v>8</v>
      </c>
      <c r="W12" s="3">
        <f>SUMIFS(iea_data!I3:I9999,iea_data!$B$3:$B$9999,Veda!$W$11)+X28-X29</f>
        <v>229.26</v>
      </c>
      <c r="X12" s="2" t="s">
        <v>57</v>
      </c>
      <c r="AK12">
        <v>4</v>
      </c>
      <c r="AL12" t="s">
        <v>104</v>
      </c>
      <c r="AM12" t="str">
        <f t="shared" ref="AM12:AM14" si="5">AL12</f>
        <v>ts_030</v>
      </c>
      <c r="AN12" s="10">
        <v>1</v>
      </c>
      <c r="AO12" t="s">
        <v>7</v>
      </c>
      <c r="AP12" t="s">
        <v>92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Lo.0.CF1.N.Y.Y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I13" s="15" t="s">
        <v>155</v>
      </c>
      <c r="K13" t="s">
        <v>10</v>
      </c>
      <c r="AK13">
        <v>5</v>
      </c>
      <c r="AL13" t="s">
        <v>100</v>
      </c>
      <c r="AM13" t="str">
        <f t="shared" si="5"/>
        <v>ts_048</v>
      </c>
      <c r="AN13" s="10">
        <v>1</v>
      </c>
      <c r="AO13" t="s">
        <v>9</v>
      </c>
      <c r="AP13" t="s">
        <v>93</v>
      </c>
      <c r="AQ13" s="12">
        <v>1.5</v>
      </c>
    </row>
    <row r="14" spans="1:44" x14ac:dyDescent="0.45">
      <c r="A14">
        <v>5</v>
      </c>
      <c r="B14" t="str">
        <f t="shared" si="2"/>
        <v>Hi.0.CF1.N.Y.Y</v>
      </c>
      <c r="C14">
        <f t="shared" si="3"/>
        <v>6</v>
      </c>
      <c r="D14" t="str">
        <f t="shared" si="4"/>
        <v>Hi</v>
      </c>
      <c r="E14">
        <f t="shared" ref="E14" si="6">E10</f>
        <v>0</v>
      </c>
      <c r="F14" s="15" t="s">
        <v>146</v>
      </c>
      <c r="G14" t="s">
        <v>156</v>
      </c>
      <c r="H14" s="15" t="s">
        <v>155</v>
      </c>
      <c r="I14" s="15" t="s">
        <v>155</v>
      </c>
      <c r="X14" s="8">
        <f>W12</f>
        <v>229.26</v>
      </c>
      <c r="Y14" s="8">
        <f t="shared" ref="Y14:AD14" si="7">$W$12*N15</f>
        <v>275.11199999999997</v>
      </c>
      <c r="Z14" s="8">
        <f t="shared" si="7"/>
        <v>290.01390000000004</v>
      </c>
      <c r="AA14" s="8">
        <f t="shared" si="7"/>
        <v>304.91579999999999</v>
      </c>
      <c r="AB14" s="8">
        <f t="shared" si="7"/>
        <v>373.69379999999995</v>
      </c>
      <c r="AC14" s="8">
        <f t="shared" si="7"/>
        <v>458.52</v>
      </c>
      <c r="AD14" s="8">
        <f t="shared" si="7"/>
        <v>532.34172000000001</v>
      </c>
      <c r="AK14">
        <v>6</v>
      </c>
      <c r="AL14" t="s">
        <v>108</v>
      </c>
      <c r="AM14" t="str">
        <f t="shared" si="5"/>
        <v>ts_072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Lo.95.CF1.N.Y.Y</v>
      </c>
      <c r="C15">
        <f t="shared" si="3"/>
        <v>7</v>
      </c>
      <c r="D15" t="str">
        <f t="shared" si="4"/>
        <v>Lo</v>
      </c>
      <c r="E15">
        <f t="shared" ref="E15" si="8">E11</f>
        <v>95</v>
      </c>
      <c r="F15" s="15" t="s">
        <v>146</v>
      </c>
      <c r="G15" t="s">
        <v>156</v>
      </c>
      <c r="H15" s="15" t="s">
        <v>155</v>
      </c>
      <c r="I15" s="15" t="s">
        <v>155</v>
      </c>
      <c r="K15" t="s">
        <v>11</v>
      </c>
      <c r="M15" s="11">
        <f t="shared" ref="M15:S15" si="9">SUMIF($L$2:$L$6,$D$5,M$2:M$6)</f>
        <v>1</v>
      </c>
      <c r="N15" s="11">
        <f t="shared" si="9"/>
        <v>1.2</v>
      </c>
      <c r="O15" s="11">
        <f t="shared" si="9"/>
        <v>1.2650000000000001</v>
      </c>
      <c r="P15" s="11">
        <f t="shared" si="9"/>
        <v>1.33</v>
      </c>
      <c r="Q15" s="11">
        <f t="shared" si="9"/>
        <v>1.63</v>
      </c>
      <c r="R15" s="11">
        <f t="shared" si="9"/>
        <v>2</v>
      </c>
      <c r="S15" s="11">
        <f t="shared" si="9"/>
        <v>2.3220000000000001</v>
      </c>
      <c r="AK15">
        <v>7</v>
      </c>
      <c r="AL15" t="s">
        <v>149</v>
      </c>
      <c r="AM15" t="s">
        <v>150</v>
      </c>
      <c r="AN15" s="10">
        <f t="shared" ref="AN15:AN78" si="10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Hi.95.CF1.N.Y.Y</v>
      </c>
      <c r="C16">
        <f t="shared" si="3"/>
        <v>8</v>
      </c>
      <c r="D16" t="str">
        <f t="shared" si="4"/>
        <v>Hi</v>
      </c>
      <c r="E16">
        <f t="shared" ref="E16" si="11">E12</f>
        <v>95</v>
      </c>
      <c r="F16" s="15" t="s">
        <v>146</v>
      </c>
      <c r="G16" t="s">
        <v>156</v>
      </c>
      <c r="H16" s="15" t="s">
        <v>155</v>
      </c>
      <c r="I16" s="15" t="s">
        <v>155</v>
      </c>
      <c r="W16" s="5" t="s">
        <v>12</v>
      </c>
      <c r="AK16">
        <v>8</v>
      </c>
      <c r="AL16" t="s">
        <v>114</v>
      </c>
      <c r="AM16" t="s">
        <v>148</v>
      </c>
      <c r="AN16" s="10">
        <f t="shared" si="10"/>
        <v>2</v>
      </c>
    </row>
    <row r="17" spans="1:40" ht="15" customHeight="1" thickTop="1" thickBot="1" x14ac:dyDescent="0.5">
      <c r="A17">
        <v>5</v>
      </c>
      <c r="B17" t="str">
        <f t="shared" si="2"/>
        <v>Lo.0.CF6.Y.Y.Y</v>
      </c>
      <c r="C17">
        <f t="shared" si="3"/>
        <v>9</v>
      </c>
      <c r="D17" t="str">
        <f t="shared" si="4"/>
        <v>Lo</v>
      </c>
      <c r="E17">
        <f t="shared" ref="E17" si="12">E13</f>
        <v>0</v>
      </c>
      <c r="F17" t="s">
        <v>147</v>
      </c>
      <c r="G17" t="str">
        <f>G9</f>
        <v>Y</v>
      </c>
      <c r="H17" s="15" t="s">
        <v>155</v>
      </c>
      <c r="I17" s="15" t="s">
        <v>155</v>
      </c>
      <c r="K17" s="7" t="s">
        <v>7</v>
      </c>
      <c r="M17" s="7">
        <v>2020</v>
      </c>
      <c r="N17" s="7">
        <f t="shared" ref="N17:S17" si="13">Y17</f>
        <v>2025</v>
      </c>
      <c r="O17" s="7">
        <f t="shared" si="13"/>
        <v>2030</v>
      </c>
      <c r="P17" s="7">
        <f t="shared" si="13"/>
        <v>2035</v>
      </c>
      <c r="Q17" s="7">
        <f t="shared" si="13"/>
        <v>2040</v>
      </c>
      <c r="R17" s="7">
        <f t="shared" si="13"/>
        <v>2045</v>
      </c>
      <c r="S17" s="7">
        <f t="shared" si="13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K17">
        <v>9</v>
      </c>
      <c r="AL17" t="s">
        <v>103</v>
      </c>
      <c r="AM17" t="s">
        <v>105</v>
      </c>
      <c r="AN17" s="10">
        <f t="shared" si="10"/>
        <v>2</v>
      </c>
    </row>
    <row r="18" spans="1:40" x14ac:dyDescent="0.45">
      <c r="A18">
        <v>5</v>
      </c>
      <c r="B18" t="str">
        <f t="shared" si="2"/>
        <v>Hi.0.CF6.Y.Y.Y</v>
      </c>
      <c r="C18">
        <f t="shared" si="3"/>
        <v>10</v>
      </c>
      <c r="D18" t="str">
        <f t="shared" si="4"/>
        <v>Hi</v>
      </c>
      <c r="E18">
        <f t="shared" ref="E18" si="14">E14</f>
        <v>0</v>
      </c>
      <c r="F18" t="s">
        <v>147</v>
      </c>
      <c r="G18" t="str">
        <f t="shared" ref="G18:G72" si="15">G10</f>
        <v>Y</v>
      </c>
      <c r="H18" s="15" t="s">
        <v>155</v>
      </c>
      <c r="I18" s="15" t="s">
        <v>155</v>
      </c>
      <c r="K18" t="s">
        <v>15</v>
      </c>
      <c r="M18" s="11">
        <f>SUMIFS(ar6_r10!$J$2:$J$999,ar6_r10!$A$2:$A$999,$K$17,ar6_r10!$C$2:$C$999,Veda!M$17,ar6_r10!$M$2:$M$999,Veda!$K18)</f>
        <v>0</v>
      </c>
      <c r="N18" s="11">
        <f>SUMIFS(ar6_r10!$J$2:$J$999,ar6_r10!$A$2:$A$999,$K$17,ar6_r10!$C$2:$C$999,Veda!N$17,ar6_r10!$M$2:$M$999,Veda!$K18)</f>
        <v>0</v>
      </c>
      <c r="O18" s="11">
        <f>SUMIFS(ar6_r10!$J$2:$J$999,ar6_r10!$A$2:$A$999,$K$17,ar6_r10!$C$2:$C$999,Veda!O$17,ar6_r10!$M$2:$M$999,Veda!$K18)</f>
        <v>0</v>
      </c>
      <c r="P18" s="11">
        <f>SUMIFS(ar6_r10!$J$2:$J$999,ar6_r10!$A$2:$A$999,$K$17,ar6_r10!$C$2:$C$999,Veda!P$17,ar6_r10!$M$2:$M$999,Veda!$K18)</f>
        <v>0</v>
      </c>
      <c r="Q18" s="11">
        <f>SUMIFS(ar6_r10!$J$2:$J$999,ar6_r10!$A$2:$A$999,$K$17,ar6_r10!$C$2:$C$999,Veda!Q$17,ar6_r10!$M$2:$M$999,Veda!$K18)</f>
        <v>0</v>
      </c>
      <c r="R18" s="11">
        <f>SUMIFS(ar6_r10!$J$2:$J$999,ar6_r10!$A$2:$A$999,$K$17,ar6_r10!$C$2:$C$999,Veda!R$17,ar6_r10!$M$2:$M$999,Veda!$K18)</f>
        <v>0</v>
      </c>
      <c r="S18" s="11">
        <f>SUMIFS(ar6_r10!$J$2:$J$999,ar6_r10!$A$2:$A$999,$K$17,ar6_r10!$C$2:$C$999,Veda!S$17,ar6_r10!$M$2:$M$999,Veda!$K18)</f>
        <v>0</v>
      </c>
      <c r="W18" s="10" t="s">
        <v>16</v>
      </c>
      <c r="X18" s="6">
        <f t="shared" ref="X18:AD20" si="16">M18*X$14</f>
        <v>0</v>
      </c>
      <c r="Y18" s="6">
        <f t="shared" si="16"/>
        <v>0</v>
      </c>
      <c r="Z18" s="6">
        <f t="shared" si="16"/>
        <v>0</v>
      </c>
      <c r="AA18" s="6">
        <f t="shared" si="16"/>
        <v>0</v>
      </c>
      <c r="AB18" s="6">
        <f t="shared" si="16"/>
        <v>0</v>
      </c>
      <c r="AC18" s="6">
        <f t="shared" si="16"/>
        <v>0</v>
      </c>
      <c r="AD18" s="6">
        <f t="shared" si="16"/>
        <v>0</v>
      </c>
      <c r="AE18" t="s">
        <v>17</v>
      </c>
      <c r="AG18" s="2"/>
      <c r="AK18">
        <v>10</v>
      </c>
      <c r="AL18" t="s">
        <v>106</v>
      </c>
      <c r="AM18" t="s">
        <v>107</v>
      </c>
      <c r="AN18" s="10">
        <f t="shared" si="10"/>
        <v>2</v>
      </c>
    </row>
    <row r="19" spans="1:40" x14ac:dyDescent="0.45">
      <c r="A19">
        <v>5</v>
      </c>
      <c r="B19" t="str">
        <f t="shared" si="2"/>
        <v>Lo.95.CF6.Y.Y.Y</v>
      </c>
      <c r="C19">
        <f t="shared" si="3"/>
        <v>11</v>
      </c>
      <c r="D19" t="str">
        <f t="shared" si="4"/>
        <v>Lo</v>
      </c>
      <c r="E19">
        <f t="shared" ref="E19" si="17">E15</f>
        <v>95</v>
      </c>
      <c r="F19" t="s">
        <v>147</v>
      </c>
      <c r="G19" t="str">
        <f t="shared" si="15"/>
        <v>Y</v>
      </c>
      <c r="H19" s="15" t="s">
        <v>155</v>
      </c>
      <c r="I19" s="15" t="s">
        <v>155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6"/>
        <v>91.704000000000008</v>
      </c>
      <c r="Y19" s="6">
        <f t="shared" si="16"/>
        <v>96.28919999999998</v>
      </c>
      <c r="Z19" s="6">
        <f t="shared" si="16"/>
        <v>95.704587000000018</v>
      </c>
      <c r="AA19" s="6">
        <f t="shared" si="16"/>
        <v>97.573055999999994</v>
      </c>
      <c r="AB19" s="6">
        <f t="shared" si="16"/>
        <v>115.84507799999999</v>
      </c>
      <c r="AC19" s="6">
        <f t="shared" si="16"/>
        <v>142.1412</v>
      </c>
      <c r="AD19" s="6">
        <f t="shared" si="16"/>
        <v>165.0259332</v>
      </c>
      <c r="AE19" t="s">
        <v>17</v>
      </c>
      <c r="AK19">
        <v>11</v>
      </c>
      <c r="AL19" t="s">
        <v>84</v>
      </c>
      <c r="AM19" t="s">
        <v>89</v>
      </c>
      <c r="AN19" s="10">
        <f t="shared" si="10"/>
        <v>3</v>
      </c>
    </row>
    <row r="20" spans="1:40" x14ac:dyDescent="0.45">
      <c r="A20">
        <v>5</v>
      </c>
      <c r="B20" t="str">
        <f t="shared" si="2"/>
        <v>Hi.95.CF6.Y.Y.Y</v>
      </c>
      <c r="C20">
        <f t="shared" si="3"/>
        <v>12</v>
      </c>
      <c r="D20" t="str">
        <f t="shared" si="4"/>
        <v>Hi</v>
      </c>
      <c r="E20">
        <f t="shared" ref="E20:E72" si="18">E16</f>
        <v>95</v>
      </c>
      <c r="F20" t="s">
        <v>147</v>
      </c>
      <c r="G20" t="str">
        <f t="shared" si="15"/>
        <v>Y</v>
      </c>
      <c r="H20" s="15" t="s">
        <v>155</v>
      </c>
      <c r="I20" s="15" t="s">
        <v>155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6"/>
        <v>107.75219999999999</v>
      </c>
      <c r="Y20" s="6">
        <f t="shared" si="16"/>
        <v>143.05823999999998</v>
      </c>
      <c r="Z20" s="6">
        <f t="shared" si="16"/>
        <v>156.60750600000003</v>
      </c>
      <c r="AA20" s="6">
        <f t="shared" si="16"/>
        <v>161.60537400000001</v>
      </c>
      <c r="AB20" s="6">
        <f t="shared" si="16"/>
        <v>194.320776</v>
      </c>
      <c r="AC20" s="6">
        <f t="shared" si="16"/>
        <v>229.26</v>
      </c>
      <c r="AD20" s="6">
        <f t="shared" si="16"/>
        <v>255.52402559999999</v>
      </c>
      <c r="AE20" t="s">
        <v>17</v>
      </c>
      <c r="AK20">
        <v>12</v>
      </c>
      <c r="AL20" t="s">
        <v>85</v>
      </c>
      <c r="AM20" t="s">
        <v>94</v>
      </c>
      <c r="AN20" s="10">
        <f t="shared" si="10"/>
        <v>3</v>
      </c>
    </row>
    <row r="21" spans="1:40" x14ac:dyDescent="0.45">
      <c r="A21">
        <v>5</v>
      </c>
      <c r="B21" t="str">
        <f t="shared" si="2"/>
        <v>Lo.0.CF6.N.Y.Y</v>
      </c>
      <c r="C21">
        <f t="shared" si="3"/>
        <v>13</v>
      </c>
      <c r="D21" t="str">
        <f t="shared" si="4"/>
        <v>Lo</v>
      </c>
      <c r="E21">
        <f t="shared" si="18"/>
        <v>0</v>
      </c>
      <c r="F21" t="s">
        <v>147</v>
      </c>
      <c r="G21" t="str">
        <f t="shared" si="15"/>
        <v>N</v>
      </c>
      <c r="H21" s="15" t="s">
        <v>155</v>
      </c>
      <c r="I21" s="15" t="s">
        <v>155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9">X21</f>
        <v>2.2925999999999997</v>
      </c>
      <c r="Z21" s="6">
        <f t="shared" si="19"/>
        <v>2.2925999999999997</v>
      </c>
      <c r="AA21" s="6">
        <f t="shared" si="19"/>
        <v>2.2925999999999997</v>
      </c>
      <c r="AB21" s="6">
        <f t="shared" si="19"/>
        <v>2.2925999999999997</v>
      </c>
      <c r="AC21" s="6">
        <f t="shared" si="19"/>
        <v>2.2925999999999997</v>
      </c>
      <c r="AD21" s="6">
        <f t="shared" si="19"/>
        <v>2.2925999999999997</v>
      </c>
      <c r="AE21" t="s">
        <v>17</v>
      </c>
      <c r="AG21" s="2" t="s">
        <v>20</v>
      </c>
      <c r="AN21" s="10">
        <f t="shared" si="10"/>
        <v>3</v>
      </c>
    </row>
    <row r="22" spans="1:40" x14ac:dyDescent="0.45">
      <c r="A22">
        <v>5</v>
      </c>
      <c r="B22" t="str">
        <f t="shared" si="2"/>
        <v>Hi.0.CF6.N.Y.Y</v>
      </c>
      <c r="C22">
        <f t="shared" si="3"/>
        <v>14</v>
      </c>
      <c r="D22" t="str">
        <f t="shared" si="4"/>
        <v>Hi</v>
      </c>
      <c r="E22">
        <f t="shared" si="18"/>
        <v>0</v>
      </c>
      <c r="F22" t="s">
        <v>147</v>
      </c>
      <c r="G22" t="str">
        <f t="shared" si="15"/>
        <v>N</v>
      </c>
      <c r="H22" s="15" t="s">
        <v>155</v>
      </c>
      <c r="I22" s="15" t="s">
        <v>155</v>
      </c>
      <c r="W22" s="10" t="s">
        <v>25</v>
      </c>
      <c r="X22" s="6">
        <f t="shared" ref="X22:AD22" si="20">X14-SUM(X19:X21)</f>
        <v>27.511200000000002</v>
      </c>
      <c r="Y22" s="6">
        <f t="shared" si="20"/>
        <v>33.471960000000024</v>
      </c>
      <c r="Z22" s="6">
        <f t="shared" si="20"/>
        <v>35.409206999999981</v>
      </c>
      <c r="AA22" s="6">
        <f t="shared" si="20"/>
        <v>43.444770000000005</v>
      </c>
      <c r="AB22" s="6">
        <f t="shared" si="20"/>
        <v>61.235345999999993</v>
      </c>
      <c r="AC22" s="6">
        <f t="shared" si="20"/>
        <v>84.826199999999972</v>
      </c>
      <c r="AD22" s="6">
        <f t="shared" si="20"/>
        <v>109.4991612</v>
      </c>
      <c r="AE22" t="s">
        <v>17</v>
      </c>
      <c r="AN22" s="10">
        <f t="shared" si="10"/>
        <v>3</v>
      </c>
    </row>
    <row r="23" spans="1:40" x14ac:dyDescent="0.45">
      <c r="A23">
        <v>5</v>
      </c>
      <c r="B23" t="str">
        <f t="shared" si="2"/>
        <v>Lo.95.CF6.N.Y.Y</v>
      </c>
      <c r="C23">
        <f t="shared" si="3"/>
        <v>15</v>
      </c>
      <c r="D23" t="str">
        <f t="shared" si="4"/>
        <v>Lo</v>
      </c>
      <c r="E23">
        <f t="shared" si="18"/>
        <v>95</v>
      </c>
      <c r="F23" t="s">
        <v>147</v>
      </c>
      <c r="G23" t="str">
        <f t="shared" si="15"/>
        <v>N</v>
      </c>
      <c r="H23" s="15" t="s">
        <v>155</v>
      </c>
      <c r="I23" s="15" t="s">
        <v>155</v>
      </c>
      <c r="W23" t="s">
        <v>26</v>
      </c>
      <c r="AN23" s="10">
        <f t="shared" si="10"/>
        <v>3</v>
      </c>
    </row>
    <row r="24" spans="1:40" ht="14.65" customHeight="1" x14ac:dyDescent="0.45">
      <c r="A24">
        <v>5</v>
      </c>
      <c r="B24" t="str">
        <f t="shared" si="2"/>
        <v>Hi.95.CF6.N.Y.Y</v>
      </c>
      <c r="C24">
        <f t="shared" si="3"/>
        <v>16</v>
      </c>
      <c r="D24" t="str">
        <f t="shared" si="4"/>
        <v>Hi</v>
      </c>
      <c r="E24">
        <f t="shared" si="18"/>
        <v>95</v>
      </c>
      <c r="F24" t="s">
        <v>147</v>
      </c>
      <c r="G24" t="str">
        <f t="shared" si="15"/>
        <v>N</v>
      </c>
      <c r="H24" s="15" t="s">
        <v>155</v>
      </c>
      <c r="I24" s="15" t="s">
        <v>155</v>
      </c>
      <c r="K24" s="10" t="s">
        <v>27</v>
      </c>
      <c r="M24" s="11">
        <f t="shared" ref="M24:S24" si="21">SUMIF($L$2:$L$6,$E$5,M$2:M$6)</f>
        <v>0</v>
      </c>
      <c r="N24" s="11">
        <f t="shared" si="21"/>
        <v>0</v>
      </c>
      <c r="O24" s="11">
        <f t="shared" si="21"/>
        <v>3</v>
      </c>
      <c r="P24" s="11">
        <f t="shared" si="21"/>
        <v>35</v>
      </c>
      <c r="Q24" s="11">
        <f t="shared" si="21"/>
        <v>60</v>
      </c>
      <c r="R24" s="11">
        <f t="shared" si="21"/>
        <v>80</v>
      </c>
      <c r="S24" s="11">
        <f t="shared" si="21"/>
        <v>95</v>
      </c>
      <c r="W24" t="s">
        <v>28</v>
      </c>
      <c r="Y24">
        <v>0</v>
      </c>
      <c r="Z24" s="11">
        <f>O24/1000</f>
        <v>3.0000000000000001E-3</v>
      </c>
      <c r="AA24" s="11">
        <f>P24/1000</f>
        <v>3.5000000000000003E-2</v>
      </c>
      <c r="AB24" s="11">
        <f>Q24/1000</f>
        <v>0.06</v>
      </c>
      <c r="AC24" s="11">
        <f>R24/1000</f>
        <v>0.08</v>
      </c>
      <c r="AD24" s="11">
        <f>S24/1000</f>
        <v>9.5000000000000001E-2</v>
      </c>
      <c r="AE24" t="s">
        <v>29</v>
      </c>
      <c r="AN24" s="10">
        <f t="shared" si="10"/>
        <v>4</v>
      </c>
    </row>
    <row r="25" spans="1:40" ht="14.65" customHeight="1" x14ac:dyDescent="0.45">
      <c r="A25">
        <v>5</v>
      </c>
      <c r="B25" t="str">
        <f t="shared" si="2"/>
        <v>Lo.0.CF1.Y.N.Y</v>
      </c>
      <c r="C25">
        <f t="shared" si="3"/>
        <v>17</v>
      </c>
      <c r="D25" t="str">
        <f t="shared" si="4"/>
        <v>Lo</v>
      </c>
      <c r="E25">
        <f t="shared" si="18"/>
        <v>0</v>
      </c>
      <c r="F25" t="str">
        <f>F9</f>
        <v>CF1</v>
      </c>
      <c r="G25" t="str">
        <f t="shared" si="15"/>
        <v>Y</v>
      </c>
      <c r="H25" s="15" t="s">
        <v>156</v>
      </c>
      <c r="I25" s="15" t="s">
        <v>155</v>
      </c>
      <c r="AN25" s="10">
        <f t="shared" si="10"/>
        <v>4</v>
      </c>
    </row>
    <row r="26" spans="1:40" ht="17.649999999999999" customHeight="1" thickBot="1" x14ac:dyDescent="0.6">
      <c r="A26">
        <v>5</v>
      </c>
      <c r="B26" t="str">
        <f t="shared" si="2"/>
        <v>Hi.0.CF1.Y.N.Y</v>
      </c>
      <c r="C26">
        <f t="shared" si="3"/>
        <v>18</v>
      </c>
      <c r="D26" t="str">
        <f t="shared" si="4"/>
        <v>Hi</v>
      </c>
      <c r="E26">
        <f t="shared" si="18"/>
        <v>0</v>
      </c>
      <c r="F26" t="str">
        <f t="shared" ref="F26:F72" si="22">F10</f>
        <v>CF1</v>
      </c>
      <c r="G26" t="str">
        <f t="shared" si="15"/>
        <v>Y</v>
      </c>
      <c r="H26" s="15" t="s">
        <v>156</v>
      </c>
      <c r="I26" s="15" t="s">
        <v>155</v>
      </c>
      <c r="W26" s="5" t="s">
        <v>12</v>
      </c>
      <c r="AN26" s="10">
        <f t="shared" si="10"/>
        <v>4</v>
      </c>
    </row>
    <row r="27" spans="1:40" ht="15" customHeight="1" thickTop="1" thickBot="1" x14ac:dyDescent="0.5">
      <c r="A27">
        <v>5</v>
      </c>
      <c r="B27" t="str">
        <f t="shared" si="2"/>
        <v>Lo.95.CF1.Y.N.Y</v>
      </c>
      <c r="C27">
        <f t="shared" si="3"/>
        <v>19</v>
      </c>
      <c r="D27" t="str">
        <f t="shared" si="4"/>
        <v>Lo</v>
      </c>
      <c r="E27">
        <f t="shared" si="18"/>
        <v>95</v>
      </c>
      <c r="F27" t="str">
        <f t="shared" si="22"/>
        <v>CF1</v>
      </c>
      <c r="G27" t="str">
        <f t="shared" si="15"/>
        <v>Y</v>
      </c>
      <c r="H27" s="15" t="s">
        <v>156</v>
      </c>
      <c r="I27" s="15" t="s">
        <v>155</v>
      </c>
      <c r="W27" s="4" t="s">
        <v>30</v>
      </c>
      <c r="X27" s="4">
        <f t="shared" ref="X27:AD27" si="23">X17</f>
        <v>2022</v>
      </c>
      <c r="Y27" s="4">
        <f t="shared" si="23"/>
        <v>2025</v>
      </c>
      <c r="Z27" s="4">
        <f t="shared" si="23"/>
        <v>2030</v>
      </c>
      <c r="AA27" s="4">
        <f t="shared" si="23"/>
        <v>2035</v>
      </c>
      <c r="AB27" s="4">
        <f t="shared" si="23"/>
        <v>2040</v>
      </c>
      <c r="AC27" s="4">
        <f t="shared" si="23"/>
        <v>2045</v>
      </c>
      <c r="AD27" s="4">
        <f t="shared" si="23"/>
        <v>2050</v>
      </c>
      <c r="AE27" s="4" t="s">
        <v>14</v>
      </c>
      <c r="AF27" s="4" t="s">
        <v>31</v>
      </c>
      <c r="AN27" s="10">
        <f t="shared" si="10"/>
        <v>4</v>
      </c>
    </row>
    <row r="28" spans="1:40" ht="14.65" customHeight="1" thickBot="1" x14ac:dyDescent="0.5">
      <c r="A28">
        <v>5</v>
      </c>
      <c r="B28" t="str">
        <f t="shared" si="2"/>
        <v>Hi.95.CF1.Y.N.Y</v>
      </c>
      <c r="C28">
        <f t="shared" si="3"/>
        <v>20</v>
      </c>
      <c r="D28" t="str">
        <f t="shared" si="4"/>
        <v>Hi</v>
      </c>
      <c r="E28">
        <f t="shared" si="18"/>
        <v>95</v>
      </c>
      <c r="F28" t="str">
        <f t="shared" si="22"/>
        <v>CF1</v>
      </c>
      <c r="G28" t="str">
        <f t="shared" si="15"/>
        <v>Y</v>
      </c>
      <c r="H28" s="15" t="s">
        <v>156</v>
      </c>
      <c r="I28" s="15" t="s">
        <v>155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10"/>
        <v>4</v>
      </c>
    </row>
    <row r="29" spans="1:40" ht="15" customHeight="1" thickTop="1" thickBot="1" x14ac:dyDescent="0.5">
      <c r="A29">
        <v>5</v>
      </c>
      <c r="B29" t="str">
        <f t="shared" si="2"/>
        <v>Lo.0.CF1.N.N.Y</v>
      </c>
      <c r="C29">
        <f t="shared" si="3"/>
        <v>21</v>
      </c>
      <c r="D29" t="str">
        <f t="shared" si="4"/>
        <v>Lo</v>
      </c>
      <c r="E29">
        <f t="shared" si="18"/>
        <v>0</v>
      </c>
      <c r="F29" t="str">
        <f t="shared" si="22"/>
        <v>CF1</v>
      </c>
      <c r="G29" t="str">
        <f t="shared" si="15"/>
        <v>N</v>
      </c>
      <c r="H29" s="15" t="s">
        <v>156</v>
      </c>
      <c r="I29" s="15" t="s">
        <v>155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10"/>
        <v>5</v>
      </c>
    </row>
    <row r="30" spans="1:40" ht="14.65" customHeight="1" thickTop="1" x14ac:dyDescent="0.45">
      <c r="A30">
        <v>5</v>
      </c>
      <c r="B30" t="str">
        <f t="shared" si="2"/>
        <v>Hi.0.CF1.N.N.Y</v>
      </c>
      <c r="C30">
        <f t="shared" si="3"/>
        <v>22</v>
      </c>
      <c r="D30" t="str">
        <f t="shared" si="4"/>
        <v>Hi</v>
      </c>
      <c r="E30">
        <f t="shared" si="18"/>
        <v>0</v>
      </c>
      <c r="F30" t="str">
        <f t="shared" si="22"/>
        <v>CF1</v>
      </c>
      <c r="G30" t="str">
        <f t="shared" si="15"/>
        <v>N</v>
      </c>
      <c r="H30" s="15" t="s">
        <v>156</v>
      </c>
      <c r="I30" s="15" t="s">
        <v>155</v>
      </c>
      <c r="AN30" s="10">
        <f t="shared" si="10"/>
        <v>5</v>
      </c>
    </row>
    <row r="31" spans="1:40" x14ac:dyDescent="0.45">
      <c r="A31">
        <v>5</v>
      </c>
      <c r="B31" t="str">
        <f t="shared" si="2"/>
        <v>Lo.95.CF1.N.N.Y</v>
      </c>
      <c r="C31">
        <f t="shared" si="3"/>
        <v>23</v>
      </c>
      <c r="D31" t="str">
        <f t="shared" si="4"/>
        <v>Lo</v>
      </c>
      <c r="E31">
        <f t="shared" si="18"/>
        <v>95</v>
      </c>
      <c r="F31" t="str">
        <f t="shared" si="22"/>
        <v>CF1</v>
      </c>
      <c r="G31" t="str">
        <f t="shared" si="15"/>
        <v>N</v>
      </c>
      <c r="H31" s="15" t="s">
        <v>156</v>
      </c>
      <c r="I31" s="15" t="s">
        <v>155</v>
      </c>
      <c r="AN31" s="10">
        <f t="shared" si="10"/>
        <v>5</v>
      </c>
    </row>
    <row r="32" spans="1:40" ht="17.649999999999999" thickBot="1" x14ac:dyDescent="0.6">
      <c r="A32">
        <v>5</v>
      </c>
      <c r="B32" t="str">
        <f t="shared" si="2"/>
        <v>Hi.95.CF1.N.N.Y</v>
      </c>
      <c r="C32">
        <f t="shared" si="3"/>
        <v>24</v>
      </c>
      <c r="D32" t="str">
        <f t="shared" si="4"/>
        <v>Hi</v>
      </c>
      <c r="E32">
        <f t="shared" si="18"/>
        <v>95</v>
      </c>
      <c r="F32" t="str">
        <f t="shared" si="22"/>
        <v>CF1</v>
      </c>
      <c r="G32" t="str">
        <f t="shared" si="15"/>
        <v>N</v>
      </c>
      <c r="H32" s="15" t="s">
        <v>156</v>
      </c>
      <c r="I32" s="15" t="s">
        <v>155</v>
      </c>
      <c r="W32" s="5" t="str">
        <f>IF($G$5="N","~TFM_UPD","DEF correction active")</f>
        <v>DEF correction active</v>
      </c>
      <c r="AN32" s="10">
        <f t="shared" si="10"/>
        <v>5</v>
      </c>
    </row>
    <row r="33" spans="1:40" ht="15" thickTop="1" thickBot="1" x14ac:dyDescent="0.5">
      <c r="A33">
        <v>5</v>
      </c>
      <c r="B33" t="str">
        <f t="shared" si="2"/>
        <v>Lo.0.CF6.Y.N.Y</v>
      </c>
      <c r="C33">
        <f t="shared" si="3"/>
        <v>25</v>
      </c>
      <c r="D33" t="str">
        <f t="shared" si="4"/>
        <v>Lo</v>
      </c>
      <c r="E33">
        <f t="shared" si="18"/>
        <v>0</v>
      </c>
      <c r="F33" t="str">
        <f t="shared" si="22"/>
        <v>CF6</v>
      </c>
      <c r="G33" t="str">
        <f t="shared" si="15"/>
        <v>Y</v>
      </c>
      <c r="H33" s="15" t="s">
        <v>156</v>
      </c>
      <c r="I33" s="15" t="s">
        <v>155</v>
      </c>
      <c r="W33" s="4" t="s">
        <v>14</v>
      </c>
      <c r="X33" s="4" t="s">
        <v>13</v>
      </c>
      <c r="Y33" s="4" t="s">
        <v>141</v>
      </c>
      <c r="Z33" s="4" t="s">
        <v>158</v>
      </c>
      <c r="AN33" s="10">
        <f t="shared" si="10"/>
        <v>5</v>
      </c>
    </row>
    <row r="34" spans="1:40" x14ac:dyDescent="0.45">
      <c r="A34">
        <v>5</v>
      </c>
      <c r="B34" t="str">
        <f t="shared" si="2"/>
        <v>Hi.0.CF6.Y.N.Y</v>
      </c>
      <c r="C34">
        <f t="shared" si="3"/>
        <v>26</v>
      </c>
      <c r="D34" t="str">
        <f t="shared" si="4"/>
        <v>Hi</v>
      </c>
      <c r="E34">
        <f t="shared" si="18"/>
        <v>0</v>
      </c>
      <c r="F34" t="str">
        <f t="shared" si="22"/>
        <v>CF6</v>
      </c>
      <c r="G34" t="str">
        <f t="shared" si="15"/>
        <v>Y</v>
      </c>
      <c r="H34" s="15" t="s">
        <v>156</v>
      </c>
      <c r="I34" s="15" t="s">
        <v>155</v>
      </c>
      <c r="W34" t="s">
        <v>168</v>
      </c>
      <c r="X34" t="s">
        <v>169</v>
      </c>
      <c r="Y34" t="s">
        <v>173</v>
      </c>
      <c r="Z34">
        <v>0</v>
      </c>
      <c r="AN34" s="10">
        <f t="shared" si="10"/>
        <v>6</v>
      </c>
    </row>
    <row r="35" spans="1:40" x14ac:dyDescent="0.45">
      <c r="A35">
        <v>5</v>
      </c>
      <c r="B35" t="str">
        <f t="shared" si="2"/>
        <v>Lo.95.CF6.Y.N.Y</v>
      </c>
      <c r="C35">
        <f t="shared" si="3"/>
        <v>27</v>
      </c>
      <c r="D35" t="str">
        <f t="shared" si="4"/>
        <v>Lo</v>
      </c>
      <c r="E35">
        <f t="shared" si="18"/>
        <v>95</v>
      </c>
      <c r="F35" t="str">
        <f t="shared" si="22"/>
        <v>CF6</v>
      </c>
      <c r="G35" t="str">
        <f t="shared" si="15"/>
        <v>Y</v>
      </c>
      <c r="H35" s="15" t="s">
        <v>156</v>
      </c>
      <c r="I35" s="15" t="s">
        <v>155</v>
      </c>
      <c r="AN35" s="10">
        <f t="shared" si="10"/>
        <v>6</v>
      </c>
    </row>
    <row r="36" spans="1:40" x14ac:dyDescent="0.45">
      <c r="A36">
        <v>5</v>
      </c>
      <c r="B36" t="str">
        <f t="shared" si="2"/>
        <v>Hi.95.CF6.Y.N.Y</v>
      </c>
      <c r="C36">
        <f t="shared" si="3"/>
        <v>28</v>
      </c>
      <c r="D36" t="str">
        <f t="shared" si="4"/>
        <v>Hi</v>
      </c>
      <c r="E36">
        <f t="shared" si="18"/>
        <v>95</v>
      </c>
      <c r="F36" t="str">
        <f t="shared" si="22"/>
        <v>CF6</v>
      </c>
      <c r="G36" t="str">
        <f t="shared" si="15"/>
        <v>Y</v>
      </c>
      <c r="H36" s="15" t="s">
        <v>156</v>
      </c>
      <c r="I36" s="15" t="s">
        <v>155</v>
      </c>
      <c r="K36" s="2" t="s">
        <v>9</v>
      </c>
      <c r="AN36" s="10">
        <f t="shared" si="10"/>
        <v>6</v>
      </c>
    </row>
    <row r="37" spans="1:40" ht="17.649999999999999" thickBot="1" x14ac:dyDescent="0.6">
      <c r="A37">
        <v>5</v>
      </c>
      <c r="B37" t="str">
        <f t="shared" si="2"/>
        <v>Lo.0.CF6.N.N.Y</v>
      </c>
      <c r="C37">
        <f t="shared" si="3"/>
        <v>29</v>
      </c>
      <c r="D37" t="str">
        <f t="shared" si="4"/>
        <v>Lo</v>
      </c>
      <c r="E37">
        <f t="shared" si="18"/>
        <v>0</v>
      </c>
      <c r="F37" t="str">
        <f t="shared" si="22"/>
        <v>CF6</v>
      </c>
      <c r="G37" t="str">
        <f t="shared" si="15"/>
        <v>N</v>
      </c>
      <c r="H37" s="15" t="s">
        <v>156</v>
      </c>
      <c r="I37" s="15" t="s">
        <v>155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4">O37*(1+$U37)^5</f>
        <v>1.1046221254112043</v>
      </c>
      <c r="Q37" s="11">
        <f t="shared" si="24"/>
        <v>1.1609689553699982</v>
      </c>
      <c r="R37" s="11">
        <f t="shared" si="24"/>
        <v>1.2201900399479664</v>
      </c>
      <c r="S37" s="11">
        <f t="shared" si="24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10"/>
        <v>6</v>
      </c>
    </row>
    <row r="38" spans="1:40" ht="15" thickTop="1" thickBot="1" x14ac:dyDescent="0.5">
      <c r="A38">
        <v>5</v>
      </c>
      <c r="B38" t="str">
        <f t="shared" si="2"/>
        <v>Hi.0.CF6.N.N.Y</v>
      </c>
      <c r="C38">
        <f t="shared" si="3"/>
        <v>30</v>
      </c>
      <c r="D38" t="str">
        <f t="shared" si="4"/>
        <v>Hi</v>
      </c>
      <c r="E38">
        <f t="shared" si="18"/>
        <v>0</v>
      </c>
      <c r="F38" t="str">
        <f t="shared" si="22"/>
        <v>CF6</v>
      </c>
      <c r="G38" t="str">
        <f t="shared" si="15"/>
        <v>N</v>
      </c>
      <c r="H38" s="15" t="s">
        <v>156</v>
      </c>
      <c r="I38" s="15" t="s">
        <v>155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5">M38</f>
        <v>1</v>
      </c>
      <c r="O38" s="11">
        <f t="shared" si="25"/>
        <v>1</v>
      </c>
      <c r="P38" s="11">
        <f t="shared" si="25"/>
        <v>1</v>
      </c>
      <c r="Q38" s="11">
        <f t="shared" si="25"/>
        <v>1</v>
      </c>
      <c r="R38" s="11">
        <f t="shared" si="25"/>
        <v>1</v>
      </c>
      <c r="S38" s="11">
        <f t="shared" si="25"/>
        <v>1</v>
      </c>
      <c r="W38" s="4" t="s">
        <v>14</v>
      </c>
      <c r="X38" s="4" t="s">
        <v>157</v>
      </c>
      <c r="Y38" s="4" t="s">
        <v>37</v>
      </c>
      <c r="Z38" s="4" t="s">
        <v>158</v>
      </c>
      <c r="AA38" s="4" t="s">
        <v>159</v>
      </c>
      <c r="AN38" s="10">
        <f t="shared" si="10"/>
        <v>6</v>
      </c>
    </row>
    <row r="39" spans="1:40" x14ac:dyDescent="0.45">
      <c r="A39">
        <v>5</v>
      </c>
      <c r="B39" t="str">
        <f t="shared" si="2"/>
        <v>Lo.95.CF6.N.N.Y</v>
      </c>
      <c r="C39">
        <f t="shared" si="3"/>
        <v>31</v>
      </c>
      <c r="D39" t="str">
        <f t="shared" si="4"/>
        <v>Lo</v>
      </c>
      <c r="E39">
        <f t="shared" si="18"/>
        <v>95</v>
      </c>
      <c r="F39" t="str">
        <f t="shared" si="22"/>
        <v>CF6</v>
      </c>
      <c r="G39" t="str">
        <f t="shared" si="15"/>
        <v>N</v>
      </c>
      <c r="H39" s="15" t="s">
        <v>156</v>
      </c>
      <c r="I39" s="15" t="s">
        <v>155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6">M39</f>
        <v>1</v>
      </c>
      <c r="O39" s="11">
        <f t="shared" si="26"/>
        <v>1</v>
      </c>
      <c r="P39" s="11">
        <f t="shared" si="26"/>
        <v>1</v>
      </c>
      <c r="Q39" s="11">
        <f t="shared" si="26"/>
        <v>1</v>
      </c>
      <c r="R39" s="11">
        <f t="shared" si="26"/>
        <v>1</v>
      </c>
      <c r="S39" s="11">
        <f t="shared" si="26"/>
        <v>1</v>
      </c>
      <c r="W39" t="s">
        <v>160</v>
      </c>
      <c r="X39" t="s">
        <v>161</v>
      </c>
      <c r="Y39">
        <v>0</v>
      </c>
      <c r="Z39">
        <v>-13</v>
      </c>
      <c r="AA39" t="s">
        <v>162</v>
      </c>
      <c r="AN39" s="10">
        <f t="shared" si="10"/>
        <v>7</v>
      </c>
    </row>
    <row r="40" spans="1:40" x14ac:dyDescent="0.45">
      <c r="A40">
        <v>5</v>
      </c>
      <c r="B40" t="str">
        <f t="shared" si="2"/>
        <v>Hi.95.CF6.N.N.Y</v>
      </c>
      <c r="C40">
        <f t="shared" si="3"/>
        <v>32</v>
      </c>
      <c r="D40" t="str">
        <f t="shared" si="4"/>
        <v>Hi</v>
      </c>
      <c r="E40">
        <f t="shared" si="18"/>
        <v>95</v>
      </c>
      <c r="F40" t="str">
        <f t="shared" si="22"/>
        <v>CF6</v>
      </c>
      <c r="G40" t="str">
        <f t="shared" si="15"/>
        <v>N</v>
      </c>
      <c r="H40" s="15" t="s">
        <v>156</v>
      </c>
      <c r="I40" s="15" t="s">
        <v>155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7">M40</f>
        <v>1</v>
      </c>
      <c r="O40" s="11">
        <f t="shared" si="27"/>
        <v>1</v>
      </c>
      <c r="P40" s="11">
        <f t="shared" si="27"/>
        <v>1</v>
      </c>
      <c r="Q40" s="11">
        <f t="shared" si="27"/>
        <v>1</v>
      </c>
      <c r="R40" s="11">
        <f t="shared" si="27"/>
        <v>1</v>
      </c>
      <c r="S40" s="11">
        <f t="shared" si="27"/>
        <v>1</v>
      </c>
      <c r="W40" t="s">
        <v>163</v>
      </c>
      <c r="Y40">
        <v>0</v>
      </c>
      <c r="Z40">
        <v>-13</v>
      </c>
      <c r="AA40" t="s">
        <v>164</v>
      </c>
      <c r="AN40" s="10">
        <f t="shared" si="10"/>
        <v>7</v>
      </c>
    </row>
    <row r="41" spans="1:40" x14ac:dyDescent="0.45">
      <c r="A41">
        <v>5</v>
      </c>
      <c r="B41" t="str">
        <f t="shared" si="2"/>
        <v>Lo.0.CF1.Y.Y.N</v>
      </c>
      <c r="C41">
        <f t="shared" si="3"/>
        <v>33</v>
      </c>
      <c r="D41" t="str">
        <f t="shared" si="4"/>
        <v>Lo</v>
      </c>
      <c r="E41">
        <f t="shared" si="18"/>
        <v>0</v>
      </c>
      <c r="F41" t="str">
        <f t="shared" si="22"/>
        <v>CF1</v>
      </c>
      <c r="G41" t="str">
        <f t="shared" si="15"/>
        <v>Y</v>
      </c>
      <c r="H41" s="15" t="str">
        <f>H9</f>
        <v>Y</v>
      </c>
      <c r="I41" s="15" t="s">
        <v>156</v>
      </c>
      <c r="AN41" s="10">
        <f t="shared" si="10"/>
        <v>7</v>
      </c>
    </row>
    <row r="42" spans="1:40" x14ac:dyDescent="0.45">
      <c r="A42">
        <v>5</v>
      </c>
      <c r="B42" t="str">
        <f t="shared" si="2"/>
        <v>Hi.0.CF1.Y.Y.N</v>
      </c>
      <c r="C42">
        <f t="shared" si="3"/>
        <v>34</v>
      </c>
      <c r="D42" t="str">
        <f t="shared" si="4"/>
        <v>Hi</v>
      </c>
      <c r="E42">
        <f t="shared" si="18"/>
        <v>0</v>
      </c>
      <c r="F42" t="str">
        <f t="shared" si="22"/>
        <v>CF1</v>
      </c>
      <c r="G42" t="str">
        <f t="shared" si="15"/>
        <v>Y</v>
      </c>
      <c r="H42" s="15" t="str">
        <f t="shared" ref="H42:H72" si="28">H10</f>
        <v>Y</v>
      </c>
      <c r="I42" s="15" t="s">
        <v>156</v>
      </c>
      <c r="AN42" s="10">
        <f t="shared" si="10"/>
        <v>7</v>
      </c>
    </row>
    <row r="43" spans="1:40" x14ac:dyDescent="0.45">
      <c r="A43">
        <v>5</v>
      </c>
      <c r="B43" t="str">
        <f t="shared" si="2"/>
        <v>Lo.95.CF1.Y.Y.N</v>
      </c>
      <c r="C43">
        <f t="shared" si="3"/>
        <v>35</v>
      </c>
      <c r="D43" t="str">
        <f t="shared" si="4"/>
        <v>Lo</v>
      </c>
      <c r="E43">
        <f t="shared" si="18"/>
        <v>95</v>
      </c>
      <c r="F43" t="str">
        <f t="shared" si="22"/>
        <v>CF1</v>
      </c>
      <c r="G43" t="str">
        <f t="shared" si="15"/>
        <v>Y</v>
      </c>
      <c r="H43" s="15" t="str">
        <f t="shared" si="28"/>
        <v>Y</v>
      </c>
      <c r="I43" s="15" t="s">
        <v>156</v>
      </c>
      <c r="K43" t="s">
        <v>101</v>
      </c>
      <c r="AN43" s="10">
        <f t="shared" si="10"/>
        <v>7</v>
      </c>
    </row>
    <row r="44" spans="1:40" x14ac:dyDescent="0.45">
      <c r="A44">
        <v>5</v>
      </c>
      <c r="B44" t="str">
        <f t="shared" si="2"/>
        <v>Hi.95.CF1.Y.Y.N</v>
      </c>
      <c r="C44">
        <f t="shared" si="3"/>
        <v>36</v>
      </c>
      <c r="D44" t="str">
        <f t="shared" si="4"/>
        <v>Hi</v>
      </c>
      <c r="E44">
        <f t="shared" si="18"/>
        <v>95</v>
      </c>
      <c r="F44" t="str">
        <f t="shared" si="22"/>
        <v>CF1</v>
      </c>
      <c r="G44" t="str">
        <f t="shared" si="15"/>
        <v>Y</v>
      </c>
      <c r="H44" s="15" t="str">
        <f t="shared" si="28"/>
        <v>Y</v>
      </c>
      <c r="I44" s="15" t="s">
        <v>156</v>
      </c>
      <c r="K44" t="s">
        <v>13</v>
      </c>
      <c r="L44" t="s">
        <v>87</v>
      </c>
      <c r="M44">
        <v>2022</v>
      </c>
      <c r="N44">
        <f>N17</f>
        <v>2025</v>
      </c>
      <c r="O44">
        <f t="shared" ref="O44:S44" si="29">O17</f>
        <v>2030</v>
      </c>
      <c r="P44">
        <f t="shared" si="29"/>
        <v>2035</v>
      </c>
      <c r="Q44">
        <f t="shared" si="29"/>
        <v>2040</v>
      </c>
      <c r="R44">
        <f t="shared" si="29"/>
        <v>2045</v>
      </c>
      <c r="S44">
        <f t="shared" si="29"/>
        <v>2050</v>
      </c>
      <c r="V44" t="s">
        <v>82</v>
      </c>
      <c r="W44" t="s">
        <v>83</v>
      </c>
      <c r="AN44" s="10">
        <f t="shared" si="10"/>
        <v>8</v>
      </c>
    </row>
    <row r="45" spans="1:40" x14ac:dyDescent="0.45">
      <c r="A45">
        <v>5</v>
      </c>
      <c r="B45" t="str">
        <f t="shared" si="2"/>
        <v>Lo.0.CF1.N.Y.N</v>
      </c>
      <c r="C45">
        <f t="shared" si="3"/>
        <v>37</v>
      </c>
      <c r="D45" t="str">
        <f t="shared" si="4"/>
        <v>Lo</v>
      </c>
      <c r="E45">
        <f t="shared" si="18"/>
        <v>0</v>
      </c>
      <c r="F45" t="str">
        <f t="shared" si="22"/>
        <v>CF1</v>
      </c>
      <c r="G45" t="str">
        <f t="shared" si="15"/>
        <v>N</v>
      </c>
      <c r="H45" s="15" t="str">
        <f t="shared" si="28"/>
        <v>Y</v>
      </c>
      <c r="I45" s="15" t="s">
        <v>156</v>
      </c>
      <c r="K45" t="s">
        <v>78</v>
      </c>
      <c r="L45" t="str">
        <f>K45</f>
        <v>Gas</v>
      </c>
      <c r="M45">
        <f t="shared" ref="M45:S48" si="30">AVERAGE($V45:$W45)*M37</f>
        <v>25.2</v>
      </c>
      <c r="N45">
        <f t="shared" si="30"/>
        <v>25.2</v>
      </c>
      <c r="O45">
        <f t="shared" si="30"/>
        <v>26.485453262519997</v>
      </c>
      <c r="P45">
        <f t="shared" si="30"/>
        <v>27.836477560362347</v>
      </c>
      <c r="Q45">
        <f t="shared" si="30"/>
        <v>29.256417675323956</v>
      </c>
      <c r="R45">
        <f t="shared" si="30"/>
        <v>30.748789006688753</v>
      </c>
      <c r="S45">
        <f t="shared" si="30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10"/>
        <v>8</v>
      </c>
    </row>
    <row r="46" spans="1:40" x14ac:dyDescent="0.45">
      <c r="A46">
        <v>5</v>
      </c>
      <c r="B46" t="str">
        <f t="shared" si="2"/>
        <v>Hi.0.CF1.N.Y.N</v>
      </c>
      <c r="C46">
        <f t="shared" si="3"/>
        <v>38</v>
      </c>
      <c r="D46" t="str">
        <f t="shared" si="4"/>
        <v>Hi</v>
      </c>
      <c r="E46">
        <f t="shared" si="18"/>
        <v>0</v>
      </c>
      <c r="F46" t="str">
        <f t="shared" si="22"/>
        <v>CF1</v>
      </c>
      <c r="G46" t="str">
        <f t="shared" si="15"/>
        <v>N</v>
      </c>
      <c r="H46" s="15" t="str">
        <f t="shared" si="28"/>
        <v>Y</v>
      </c>
      <c r="I46" s="15" t="s">
        <v>156</v>
      </c>
      <c r="K46" t="s">
        <v>79</v>
      </c>
      <c r="L46" t="str">
        <f t="shared" ref="L46:L48" si="31">K46</f>
        <v>Coal</v>
      </c>
      <c r="M46">
        <f t="shared" si="30"/>
        <v>4.68</v>
      </c>
      <c r="N46">
        <f t="shared" si="30"/>
        <v>4.68</v>
      </c>
      <c r="O46">
        <f t="shared" si="30"/>
        <v>4.68</v>
      </c>
      <c r="P46">
        <f t="shared" si="30"/>
        <v>4.68</v>
      </c>
      <c r="Q46">
        <f t="shared" si="30"/>
        <v>4.68</v>
      </c>
      <c r="R46">
        <f t="shared" si="30"/>
        <v>4.68</v>
      </c>
      <c r="S46">
        <f t="shared" si="30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10"/>
        <v>8</v>
      </c>
    </row>
    <row r="47" spans="1:40" x14ac:dyDescent="0.45">
      <c r="A47">
        <v>5</v>
      </c>
      <c r="B47" t="str">
        <f t="shared" si="2"/>
        <v>Lo.95.CF1.N.Y.N</v>
      </c>
      <c r="C47">
        <f t="shared" si="3"/>
        <v>39</v>
      </c>
      <c r="D47" t="str">
        <f t="shared" si="4"/>
        <v>Lo</v>
      </c>
      <c r="E47">
        <f t="shared" si="18"/>
        <v>95</v>
      </c>
      <c r="F47" t="str">
        <f t="shared" si="22"/>
        <v>CF1</v>
      </c>
      <c r="G47" t="str">
        <f t="shared" si="15"/>
        <v>N</v>
      </c>
      <c r="H47" s="15" t="str">
        <f t="shared" si="28"/>
        <v>Y</v>
      </c>
      <c r="I47" s="15" t="s">
        <v>156</v>
      </c>
      <c r="K47" t="s">
        <v>80</v>
      </c>
      <c r="L47" t="str">
        <f t="shared" si="31"/>
        <v>Oil</v>
      </c>
      <c r="M47">
        <f t="shared" si="30"/>
        <v>79.2</v>
      </c>
      <c r="N47">
        <f t="shared" si="30"/>
        <v>79.2</v>
      </c>
      <c r="O47">
        <f t="shared" si="30"/>
        <v>79.2</v>
      </c>
      <c r="P47">
        <f t="shared" si="30"/>
        <v>79.2</v>
      </c>
      <c r="Q47">
        <f t="shared" si="30"/>
        <v>79.2</v>
      </c>
      <c r="R47">
        <f t="shared" si="30"/>
        <v>79.2</v>
      </c>
      <c r="S47">
        <f t="shared" si="30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10"/>
        <v>8</v>
      </c>
    </row>
    <row r="48" spans="1:40" x14ac:dyDescent="0.45">
      <c r="A48">
        <v>5</v>
      </c>
      <c r="B48" t="str">
        <f t="shared" si="2"/>
        <v>Hi.95.CF1.N.Y.N</v>
      </c>
      <c r="C48">
        <f t="shared" si="3"/>
        <v>40</v>
      </c>
      <c r="D48" t="str">
        <f t="shared" si="4"/>
        <v>Hi</v>
      </c>
      <c r="E48">
        <f t="shared" si="18"/>
        <v>95</v>
      </c>
      <c r="F48" t="str">
        <f t="shared" si="22"/>
        <v>CF1</v>
      </c>
      <c r="G48" t="str">
        <f t="shared" si="15"/>
        <v>N</v>
      </c>
      <c r="H48" s="15" t="str">
        <f t="shared" si="28"/>
        <v>Y</v>
      </c>
      <c r="I48" s="15" t="s">
        <v>156</v>
      </c>
      <c r="K48" t="s">
        <v>81</v>
      </c>
      <c r="L48" t="str">
        <f t="shared" si="31"/>
        <v>Bioenergy</v>
      </c>
      <c r="M48">
        <f t="shared" si="30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10"/>
        <v>8</v>
      </c>
    </row>
    <row r="49" spans="1:40" x14ac:dyDescent="0.45">
      <c r="A49">
        <v>5</v>
      </c>
      <c r="B49" t="str">
        <f t="shared" si="2"/>
        <v>Lo.0.CF6.Y.Y.N</v>
      </c>
      <c r="C49">
        <f t="shared" si="3"/>
        <v>41</v>
      </c>
      <c r="D49" t="str">
        <f t="shared" si="4"/>
        <v>Lo</v>
      </c>
      <c r="E49">
        <f t="shared" si="18"/>
        <v>0</v>
      </c>
      <c r="F49" t="str">
        <f t="shared" si="22"/>
        <v>CF6</v>
      </c>
      <c r="G49" t="str">
        <f t="shared" si="15"/>
        <v>Y</v>
      </c>
      <c r="H49" s="15" t="str">
        <f t="shared" si="28"/>
        <v>Y</v>
      </c>
      <c r="I49" s="15" t="s">
        <v>156</v>
      </c>
      <c r="AN49" s="10">
        <f t="shared" si="10"/>
        <v>9</v>
      </c>
    </row>
    <row r="50" spans="1:40" x14ac:dyDescent="0.45">
      <c r="A50">
        <v>5</v>
      </c>
      <c r="B50" t="str">
        <f t="shared" si="2"/>
        <v>Hi.0.CF6.Y.Y.N</v>
      </c>
      <c r="C50">
        <f t="shared" si="3"/>
        <v>42</v>
      </c>
      <c r="D50" t="str">
        <f t="shared" si="4"/>
        <v>Hi</v>
      </c>
      <c r="E50">
        <f t="shared" si="18"/>
        <v>0</v>
      </c>
      <c r="F50" t="str">
        <f t="shared" si="22"/>
        <v>CF6</v>
      </c>
      <c r="G50" t="str">
        <f t="shared" si="15"/>
        <v>Y</v>
      </c>
      <c r="H50" s="15" t="str">
        <f t="shared" si="28"/>
        <v>Y</v>
      </c>
      <c r="I50" s="15" t="s">
        <v>156</v>
      </c>
      <c r="AN50" s="10">
        <f t="shared" si="10"/>
        <v>9</v>
      </c>
    </row>
    <row r="51" spans="1:40" ht="17.649999999999999" thickBot="1" x14ac:dyDescent="0.6">
      <c r="A51">
        <v>5</v>
      </c>
      <c r="B51" t="str">
        <f t="shared" si="2"/>
        <v>Lo.95.CF6.Y.Y.N</v>
      </c>
      <c r="C51">
        <f t="shared" si="3"/>
        <v>43</v>
      </c>
      <c r="D51" t="str">
        <f t="shared" si="4"/>
        <v>Lo</v>
      </c>
      <c r="E51">
        <f t="shared" si="18"/>
        <v>95</v>
      </c>
      <c r="F51" t="str">
        <f t="shared" si="22"/>
        <v>CF6</v>
      </c>
      <c r="G51" t="str">
        <f t="shared" si="15"/>
        <v>Y</v>
      </c>
      <c r="H51" s="15" t="str">
        <f t="shared" si="28"/>
        <v>Y</v>
      </c>
      <c r="I51" s="15" t="s">
        <v>156</v>
      </c>
      <c r="W51" s="5" t="str">
        <f>IF($H$5="N","~TFM_INS: limtype=LO","GAS available")</f>
        <v>GAS available</v>
      </c>
      <c r="AN51" s="10">
        <f t="shared" si="10"/>
        <v>9</v>
      </c>
    </row>
    <row r="52" spans="1:40" ht="15" thickTop="1" thickBot="1" x14ac:dyDescent="0.5">
      <c r="A52">
        <v>5</v>
      </c>
      <c r="B52" t="str">
        <f t="shared" si="2"/>
        <v>Hi.95.CF6.Y.Y.N</v>
      </c>
      <c r="C52">
        <f t="shared" si="3"/>
        <v>44</v>
      </c>
      <c r="D52" t="str">
        <f t="shared" si="4"/>
        <v>Hi</v>
      </c>
      <c r="E52">
        <f t="shared" si="18"/>
        <v>95</v>
      </c>
      <c r="F52" t="str">
        <f t="shared" si="22"/>
        <v>CF6</v>
      </c>
      <c r="G52" t="str">
        <f t="shared" si="15"/>
        <v>Y</v>
      </c>
      <c r="H52" s="15" t="str">
        <f t="shared" si="28"/>
        <v>Y</v>
      </c>
      <c r="I52" s="15" t="s">
        <v>156</v>
      </c>
      <c r="W52" s="4" t="s">
        <v>14</v>
      </c>
      <c r="X52" s="4" t="s">
        <v>170</v>
      </c>
      <c r="Y52" s="4" t="s">
        <v>37</v>
      </c>
      <c r="Z52" s="4" t="s">
        <v>158</v>
      </c>
      <c r="AA52" s="4" t="s">
        <v>167</v>
      </c>
      <c r="AN52" s="10">
        <f t="shared" si="10"/>
        <v>9</v>
      </c>
    </row>
    <row r="53" spans="1:40" x14ac:dyDescent="0.45">
      <c r="A53">
        <v>5</v>
      </c>
      <c r="B53" t="str">
        <f t="shared" si="2"/>
        <v>Lo.0.CF6.N.Y.N</v>
      </c>
      <c r="C53">
        <f t="shared" si="3"/>
        <v>45</v>
      </c>
      <c r="D53" t="str">
        <f t="shared" si="4"/>
        <v>Lo</v>
      </c>
      <c r="E53">
        <f t="shared" si="18"/>
        <v>0</v>
      </c>
      <c r="F53" t="str">
        <f t="shared" si="22"/>
        <v>CF6</v>
      </c>
      <c r="G53" t="str">
        <f t="shared" si="15"/>
        <v>N</v>
      </c>
      <c r="H53" s="15" t="str">
        <f t="shared" si="28"/>
        <v>Y</v>
      </c>
      <c r="I53" s="15" t="s">
        <v>156</v>
      </c>
      <c r="W53" t="s">
        <v>166</v>
      </c>
      <c r="X53" s="20" t="s">
        <v>171</v>
      </c>
      <c r="Z53">
        <v>2100</v>
      </c>
      <c r="AA53" t="s">
        <v>165</v>
      </c>
      <c r="AN53" s="10">
        <f t="shared" si="10"/>
        <v>9</v>
      </c>
    </row>
    <row r="54" spans="1:40" x14ac:dyDescent="0.45">
      <c r="A54">
        <v>5</v>
      </c>
      <c r="B54" t="str">
        <f t="shared" si="2"/>
        <v>Hi.0.CF6.N.Y.N</v>
      </c>
      <c r="C54">
        <f t="shared" si="3"/>
        <v>46</v>
      </c>
      <c r="D54" t="str">
        <f t="shared" si="4"/>
        <v>Hi</v>
      </c>
      <c r="E54">
        <f t="shared" si="18"/>
        <v>0</v>
      </c>
      <c r="F54" t="str">
        <f t="shared" si="22"/>
        <v>CF6</v>
      </c>
      <c r="G54" t="str">
        <f t="shared" si="15"/>
        <v>N</v>
      </c>
      <c r="H54" s="15" t="str">
        <f t="shared" si="28"/>
        <v>Y</v>
      </c>
      <c r="I54" s="15" t="s">
        <v>156</v>
      </c>
      <c r="AN54" s="10">
        <f t="shared" si="10"/>
        <v>10</v>
      </c>
    </row>
    <row r="55" spans="1:40" x14ac:dyDescent="0.45">
      <c r="A55">
        <v>5</v>
      </c>
      <c r="B55" t="str">
        <f t="shared" si="2"/>
        <v>Lo.95.CF6.N.Y.N</v>
      </c>
      <c r="C55">
        <f t="shared" si="3"/>
        <v>47</v>
      </c>
      <c r="D55" t="str">
        <f t="shared" si="4"/>
        <v>Lo</v>
      </c>
      <c r="E55">
        <f t="shared" si="18"/>
        <v>95</v>
      </c>
      <c r="F55" t="str">
        <f t="shared" si="22"/>
        <v>CF6</v>
      </c>
      <c r="G55" t="str">
        <f t="shared" si="15"/>
        <v>N</v>
      </c>
      <c r="H55" s="15" t="str">
        <f t="shared" si="28"/>
        <v>Y</v>
      </c>
      <c r="I55" s="15" t="s">
        <v>156</v>
      </c>
      <c r="AN55" s="10">
        <f t="shared" si="10"/>
        <v>10</v>
      </c>
    </row>
    <row r="56" spans="1:40" x14ac:dyDescent="0.45">
      <c r="A56">
        <v>5</v>
      </c>
      <c r="B56" t="str">
        <f t="shared" si="2"/>
        <v>Hi.95.CF6.N.Y.N</v>
      </c>
      <c r="C56">
        <f t="shared" si="3"/>
        <v>48</v>
      </c>
      <c r="D56" t="str">
        <f t="shared" si="4"/>
        <v>Hi</v>
      </c>
      <c r="E56">
        <f t="shared" si="18"/>
        <v>95</v>
      </c>
      <c r="F56" t="str">
        <f t="shared" si="22"/>
        <v>CF6</v>
      </c>
      <c r="G56" t="str">
        <f t="shared" si="15"/>
        <v>N</v>
      </c>
      <c r="H56" s="15" t="str">
        <f t="shared" si="28"/>
        <v>Y</v>
      </c>
      <c r="I56" s="15" t="s">
        <v>156</v>
      </c>
      <c r="AN56" s="10">
        <f t="shared" si="10"/>
        <v>10</v>
      </c>
    </row>
    <row r="57" spans="1:40" ht="17.649999999999999" thickBot="1" x14ac:dyDescent="0.6">
      <c r="A57">
        <v>5</v>
      </c>
      <c r="B57" t="str">
        <f t="shared" si="2"/>
        <v>Lo.0.CF1.Y.N.N</v>
      </c>
      <c r="C57">
        <f t="shared" si="3"/>
        <v>49</v>
      </c>
      <c r="D57" t="str">
        <f t="shared" si="4"/>
        <v>Lo</v>
      </c>
      <c r="E57">
        <f t="shared" si="18"/>
        <v>0</v>
      </c>
      <c r="F57" t="str">
        <f t="shared" si="22"/>
        <v>CF1</v>
      </c>
      <c r="G57" t="str">
        <f t="shared" si="15"/>
        <v>Y</v>
      </c>
      <c r="H57" s="15" t="str">
        <f t="shared" si="28"/>
        <v>N</v>
      </c>
      <c r="I57" s="15" t="s">
        <v>156</v>
      </c>
      <c r="W57" s="5" t="str">
        <f>IF($I$5="N","~TFM_UPD","Transmission costs active")</f>
        <v>~TFM_UPD</v>
      </c>
      <c r="AN57" s="10">
        <f t="shared" si="10"/>
        <v>10</v>
      </c>
    </row>
    <row r="58" spans="1:40" ht="15" thickTop="1" thickBot="1" x14ac:dyDescent="0.5">
      <c r="A58">
        <v>5</v>
      </c>
      <c r="B58" t="str">
        <f t="shared" si="2"/>
        <v>Hi.0.CF1.Y.N.N</v>
      </c>
      <c r="C58">
        <f t="shared" si="3"/>
        <v>50</v>
      </c>
      <c r="D58" t="str">
        <f t="shared" si="4"/>
        <v>Hi</v>
      </c>
      <c r="E58">
        <f t="shared" si="18"/>
        <v>0</v>
      </c>
      <c r="F58" t="str">
        <f t="shared" si="22"/>
        <v>CF1</v>
      </c>
      <c r="G58" t="str">
        <f t="shared" si="15"/>
        <v>Y</v>
      </c>
      <c r="H58" s="15" t="str">
        <f t="shared" si="28"/>
        <v>N</v>
      </c>
      <c r="I58" s="15" t="s">
        <v>156</v>
      </c>
      <c r="W58" s="4" t="s">
        <v>14</v>
      </c>
      <c r="X58" s="4" t="s">
        <v>170</v>
      </c>
      <c r="Y58" s="4" t="s">
        <v>37</v>
      </c>
      <c r="Z58" s="4" t="s">
        <v>158</v>
      </c>
      <c r="AA58" s="4" t="s">
        <v>141</v>
      </c>
      <c r="AN58" s="10">
        <f t="shared" si="10"/>
        <v>10</v>
      </c>
    </row>
    <row r="59" spans="1:40" x14ac:dyDescent="0.45">
      <c r="A59">
        <v>5</v>
      </c>
      <c r="B59" t="str">
        <f t="shared" si="2"/>
        <v>Lo.95.CF1.Y.N.N</v>
      </c>
      <c r="C59">
        <f t="shared" si="3"/>
        <v>51</v>
      </c>
      <c r="D59" t="str">
        <f t="shared" si="4"/>
        <v>Lo</v>
      </c>
      <c r="E59">
        <f t="shared" si="18"/>
        <v>95</v>
      </c>
      <c r="F59" t="str">
        <f t="shared" si="22"/>
        <v>CF1</v>
      </c>
      <c r="G59" t="str">
        <f t="shared" si="15"/>
        <v>Y</v>
      </c>
      <c r="H59" s="15" t="str">
        <f t="shared" si="28"/>
        <v>N</v>
      </c>
      <c r="I59" s="15" t="s">
        <v>156</v>
      </c>
      <c r="W59" t="s">
        <v>174</v>
      </c>
      <c r="X59" s="20"/>
      <c r="Z59">
        <v>0</v>
      </c>
      <c r="AA59" t="s">
        <v>175</v>
      </c>
      <c r="AN59" s="10">
        <f t="shared" si="10"/>
        <v>11</v>
      </c>
    </row>
    <row r="60" spans="1:40" x14ac:dyDescent="0.45">
      <c r="A60">
        <v>5</v>
      </c>
      <c r="B60" t="str">
        <f t="shared" si="2"/>
        <v>Hi.95.CF1.Y.N.N</v>
      </c>
      <c r="C60">
        <f t="shared" si="3"/>
        <v>52</v>
      </c>
      <c r="D60" t="str">
        <f t="shared" si="4"/>
        <v>Hi</v>
      </c>
      <c r="E60">
        <f t="shared" si="18"/>
        <v>95</v>
      </c>
      <c r="F60" t="str">
        <f t="shared" si="22"/>
        <v>CF1</v>
      </c>
      <c r="G60" t="str">
        <f t="shared" si="15"/>
        <v>Y</v>
      </c>
      <c r="H60" s="15" t="str">
        <f t="shared" si="28"/>
        <v>N</v>
      </c>
      <c r="I60" s="15" t="s">
        <v>156</v>
      </c>
      <c r="AN60" s="10">
        <f t="shared" si="10"/>
        <v>11</v>
      </c>
    </row>
    <row r="61" spans="1:40" x14ac:dyDescent="0.45">
      <c r="A61">
        <v>5</v>
      </c>
      <c r="B61" t="str">
        <f t="shared" si="2"/>
        <v>Lo.0.CF1.N.N.N</v>
      </c>
      <c r="C61">
        <f t="shared" si="3"/>
        <v>53</v>
      </c>
      <c r="D61" t="str">
        <f t="shared" si="4"/>
        <v>Lo</v>
      </c>
      <c r="E61">
        <f t="shared" si="18"/>
        <v>0</v>
      </c>
      <c r="F61" t="str">
        <f t="shared" si="22"/>
        <v>CF1</v>
      </c>
      <c r="G61" t="str">
        <f t="shared" si="15"/>
        <v>N</v>
      </c>
      <c r="H61" s="15" t="str">
        <f t="shared" si="28"/>
        <v>N</v>
      </c>
      <c r="I61" s="15" t="s">
        <v>156</v>
      </c>
      <c r="AN61" s="10">
        <f t="shared" si="10"/>
        <v>11</v>
      </c>
    </row>
    <row r="62" spans="1:40" x14ac:dyDescent="0.45">
      <c r="A62">
        <v>5</v>
      </c>
      <c r="B62" t="str">
        <f t="shared" si="2"/>
        <v>Hi.0.CF1.N.N.N</v>
      </c>
      <c r="C62">
        <f t="shared" si="3"/>
        <v>54</v>
      </c>
      <c r="D62" t="str">
        <f t="shared" si="4"/>
        <v>Hi</v>
      </c>
      <c r="E62">
        <f t="shared" si="18"/>
        <v>0</v>
      </c>
      <c r="F62" t="str">
        <f t="shared" si="22"/>
        <v>CF1</v>
      </c>
      <c r="G62" t="str">
        <f t="shared" si="15"/>
        <v>N</v>
      </c>
      <c r="H62" s="15" t="str">
        <f t="shared" si="28"/>
        <v>N</v>
      </c>
      <c r="I62" s="15" t="s">
        <v>156</v>
      </c>
      <c r="AN62" s="10">
        <f t="shared" si="10"/>
        <v>11</v>
      </c>
    </row>
    <row r="63" spans="1:40" x14ac:dyDescent="0.45">
      <c r="A63">
        <v>5</v>
      </c>
      <c r="B63" t="str">
        <f t="shared" si="2"/>
        <v>Lo.95.CF1.N.N.N</v>
      </c>
      <c r="C63">
        <f t="shared" si="3"/>
        <v>55</v>
      </c>
      <c r="D63" t="str">
        <f t="shared" si="4"/>
        <v>Lo</v>
      </c>
      <c r="E63">
        <f t="shared" si="18"/>
        <v>95</v>
      </c>
      <c r="F63" t="str">
        <f t="shared" si="22"/>
        <v>CF1</v>
      </c>
      <c r="G63" t="str">
        <f t="shared" si="15"/>
        <v>N</v>
      </c>
      <c r="H63" s="15" t="str">
        <f t="shared" si="28"/>
        <v>N</v>
      </c>
      <c r="I63" s="15" t="s">
        <v>156</v>
      </c>
      <c r="AN63" s="10">
        <f t="shared" si="10"/>
        <v>11</v>
      </c>
    </row>
    <row r="64" spans="1:40" x14ac:dyDescent="0.45">
      <c r="A64">
        <v>5</v>
      </c>
      <c r="B64" t="str">
        <f t="shared" si="2"/>
        <v>Hi.95.CF1.N.N.N</v>
      </c>
      <c r="C64">
        <f t="shared" si="3"/>
        <v>56</v>
      </c>
      <c r="D64" t="str">
        <f t="shared" si="4"/>
        <v>Hi</v>
      </c>
      <c r="E64">
        <f t="shared" si="18"/>
        <v>95</v>
      </c>
      <c r="F64" t="str">
        <f t="shared" si="22"/>
        <v>CF1</v>
      </c>
      <c r="G64" t="str">
        <f t="shared" si="15"/>
        <v>N</v>
      </c>
      <c r="H64" s="15" t="str">
        <f t="shared" si="28"/>
        <v>N</v>
      </c>
      <c r="I64" s="15" t="s">
        <v>156</v>
      </c>
      <c r="AN64" s="10">
        <f t="shared" si="10"/>
        <v>12</v>
      </c>
    </row>
    <row r="65" spans="1:40" x14ac:dyDescent="0.45">
      <c r="A65">
        <v>5</v>
      </c>
      <c r="B65" t="str">
        <f t="shared" si="2"/>
        <v>Lo.0.CF6.Y.N.N</v>
      </c>
      <c r="C65">
        <f t="shared" si="3"/>
        <v>57</v>
      </c>
      <c r="D65" t="str">
        <f t="shared" si="4"/>
        <v>Lo</v>
      </c>
      <c r="E65">
        <f t="shared" si="18"/>
        <v>0</v>
      </c>
      <c r="F65" t="str">
        <f t="shared" si="22"/>
        <v>CF6</v>
      </c>
      <c r="G65" t="str">
        <f t="shared" si="15"/>
        <v>Y</v>
      </c>
      <c r="H65" s="15" t="str">
        <f t="shared" si="28"/>
        <v>N</v>
      </c>
      <c r="I65" s="15" t="s">
        <v>156</v>
      </c>
      <c r="AN65" s="10">
        <f t="shared" si="10"/>
        <v>12</v>
      </c>
    </row>
    <row r="66" spans="1:40" x14ac:dyDescent="0.45">
      <c r="A66">
        <v>5</v>
      </c>
      <c r="B66" t="str">
        <f t="shared" si="2"/>
        <v>Hi.0.CF6.Y.N.N</v>
      </c>
      <c r="C66">
        <f t="shared" si="3"/>
        <v>58</v>
      </c>
      <c r="D66" t="str">
        <f t="shared" si="4"/>
        <v>Hi</v>
      </c>
      <c r="E66">
        <f t="shared" si="18"/>
        <v>0</v>
      </c>
      <c r="F66" t="str">
        <f t="shared" si="22"/>
        <v>CF6</v>
      </c>
      <c r="G66" t="str">
        <f t="shared" si="15"/>
        <v>Y</v>
      </c>
      <c r="H66" s="15" t="str">
        <f t="shared" si="28"/>
        <v>N</v>
      </c>
      <c r="I66" s="15" t="s">
        <v>156</v>
      </c>
      <c r="AN66" s="10">
        <f t="shared" si="10"/>
        <v>12</v>
      </c>
    </row>
    <row r="67" spans="1:40" x14ac:dyDescent="0.45">
      <c r="A67">
        <v>5</v>
      </c>
      <c r="B67" t="str">
        <f t="shared" si="2"/>
        <v>Lo.95.CF6.Y.N.N</v>
      </c>
      <c r="C67">
        <f t="shared" si="3"/>
        <v>59</v>
      </c>
      <c r="D67" t="str">
        <f t="shared" si="4"/>
        <v>Lo</v>
      </c>
      <c r="E67">
        <f t="shared" si="18"/>
        <v>95</v>
      </c>
      <c r="F67" t="str">
        <f t="shared" si="22"/>
        <v>CF6</v>
      </c>
      <c r="G67" t="str">
        <f t="shared" si="15"/>
        <v>Y</v>
      </c>
      <c r="H67" s="15" t="str">
        <f t="shared" si="28"/>
        <v>N</v>
      </c>
      <c r="I67" s="15" t="s">
        <v>156</v>
      </c>
      <c r="AN67" s="10">
        <f t="shared" si="10"/>
        <v>12</v>
      </c>
    </row>
    <row r="68" spans="1:40" x14ac:dyDescent="0.45">
      <c r="A68">
        <v>5</v>
      </c>
      <c r="B68" t="str">
        <f t="shared" si="2"/>
        <v>Hi.95.CF6.Y.N.N</v>
      </c>
      <c r="C68">
        <f t="shared" si="3"/>
        <v>60</v>
      </c>
      <c r="D68" t="str">
        <f t="shared" si="4"/>
        <v>Hi</v>
      </c>
      <c r="E68">
        <f t="shared" si="18"/>
        <v>95</v>
      </c>
      <c r="F68" t="str">
        <f t="shared" si="22"/>
        <v>CF6</v>
      </c>
      <c r="G68" t="str">
        <f t="shared" si="15"/>
        <v>Y</v>
      </c>
      <c r="H68" s="15" t="str">
        <f t="shared" si="28"/>
        <v>N</v>
      </c>
      <c r="I68" s="15" t="s">
        <v>156</v>
      </c>
      <c r="AN68" s="10">
        <f t="shared" si="10"/>
        <v>12</v>
      </c>
    </row>
    <row r="69" spans="1:40" x14ac:dyDescent="0.45">
      <c r="A69">
        <v>5</v>
      </c>
      <c r="B69" t="str">
        <f t="shared" si="2"/>
        <v>Lo.0.CF6.N.N.N</v>
      </c>
      <c r="C69">
        <f t="shared" si="3"/>
        <v>61</v>
      </c>
      <c r="D69" t="str">
        <f t="shared" si="4"/>
        <v>Lo</v>
      </c>
      <c r="E69">
        <f t="shared" si="18"/>
        <v>0</v>
      </c>
      <c r="F69" t="str">
        <f t="shared" si="22"/>
        <v>CF6</v>
      </c>
      <c r="G69" t="str">
        <f t="shared" si="15"/>
        <v>N</v>
      </c>
      <c r="H69" s="15" t="str">
        <f t="shared" si="28"/>
        <v>N</v>
      </c>
      <c r="I69" s="15" t="s">
        <v>156</v>
      </c>
      <c r="AN69" s="10">
        <f t="shared" si="10"/>
        <v>13</v>
      </c>
    </row>
    <row r="70" spans="1:40" x14ac:dyDescent="0.45">
      <c r="A70">
        <v>5</v>
      </c>
      <c r="B70" t="str">
        <f t="shared" si="2"/>
        <v>Hi.0.CF6.N.N.N</v>
      </c>
      <c r="C70">
        <f t="shared" si="3"/>
        <v>62</v>
      </c>
      <c r="D70" t="str">
        <f t="shared" si="4"/>
        <v>Hi</v>
      </c>
      <c r="E70">
        <f t="shared" si="18"/>
        <v>0</v>
      </c>
      <c r="F70" t="str">
        <f t="shared" si="22"/>
        <v>CF6</v>
      </c>
      <c r="G70" t="str">
        <f t="shared" si="15"/>
        <v>N</v>
      </c>
      <c r="H70" s="15" t="str">
        <f t="shared" si="28"/>
        <v>N</v>
      </c>
      <c r="I70" s="15" t="s">
        <v>156</v>
      </c>
      <c r="AN70" s="10">
        <f t="shared" si="10"/>
        <v>13</v>
      </c>
    </row>
    <row r="71" spans="1:40" x14ac:dyDescent="0.45">
      <c r="A71">
        <v>5</v>
      </c>
      <c r="B71" t="str">
        <f t="shared" si="2"/>
        <v>Lo.95.CF6.N.N.N</v>
      </c>
      <c r="C71">
        <f t="shared" si="3"/>
        <v>63</v>
      </c>
      <c r="D71" t="str">
        <f t="shared" si="4"/>
        <v>Lo</v>
      </c>
      <c r="E71">
        <f t="shared" si="18"/>
        <v>95</v>
      </c>
      <c r="F71" t="str">
        <f t="shared" si="22"/>
        <v>CF6</v>
      </c>
      <c r="G71" t="str">
        <f t="shared" si="15"/>
        <v>N</v>
      </c>
      <c r="H71" s="15" t="str">
        <f t="shared" si="28"/>
        <v>N</v>
      </c>
      <c r="I71" s="15" t="s">
        <v>156</v>
      </c>
      <c r="AN71" s="10">
        <f t="shared" si="10"/>
        <v>13</v>
      </c>
    </row>
    <row r="72" spans="1:40" x14ac:dyDescent="0.45">
      <c r="A72">
        <v>5</v>
      </c>
      <c r="B72" t="str">
        <f t="shared" si="2"/>
        <v>Hi.95.CF6.N.N.N</v>
      </c>
      <c r="C72">
        <f t="shared" si="3"/>
        <v>64</v>
      </c>
      <c r="D72" t="str">
        <f t="shared" si="4"/>
        <v>Hi</v>
      </c>
      <c r="E72">
        <f t="shared" si="18"/>
        <v>95</v>
      </c>
      <c r="F72" t="str">
        <f t="shared" si="22"/>
        <v>CF6</v>
      </c>
      <c r="G72" t="str">
        <f t="shared" si="15"/>
        <v>N</v>
      </c>
      <c r="H72" s="15" t="str">
        <f t="shared" si="28"/>
        <v>N</v>
      </c>
      <c r="I72" s="15" t="s">
        <v>156</v>
      </c>
      <c r="AN72" s="10">
        <f t="shared" si="10"/>
        <v>13</v>
      </c>
    </row>
    <row r="73" spans="1:40" x14ac:dyDescent="0.45">
      <c r="AN73" s="10">
        <f t="shared" si="10"/>
        <v>13</v>
      </c>
    </row>
    <row r="74" spans="1:40" x14ac:dyDescent="0.45">
      <c r="AN74" s="10">
        <f t="shared" si="10"/>
        <v>14</v>
      </c>
    </row>
    <row r="75" spans="1:40" x14ac:dyDescent="0.45">
      <c r="AN75" s="10">
        <f t="shared" si="10"/>
        <v>14</v>
      </c>
    </row>
    <row r="76" spans="1:40" x14ac:dyDescent="0.45">
      <c r="AN76" s="10">
        <f t="shared" si="10"/>
        <v>14</v>
      </c>
    </row>
    <row r="77" spans="1:40" x14ac:dyDescent="0.45">
      <c r="AN77" s="10">
        <f t="shared" si="10"/>
        <v>14</v>
      </c>
    </row>
    <row r="78" spans="1:40" x14ac:dyDescent="0.45">
      <c r="AN78" s="10">
        <f t="shared" si="10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CF6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0.57142857142857151</v>
      </c>
      <c r="H14" s="11">
        <f>SUMIF($A$7:$A$12,$A$1,H7:H12)</f>
        <v>1.5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*0.571428571428572</v>
      </c>
      <c r="H18" t="str">
        <f>"*"&amp;H14</f>
        <v>*1.5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2026-05-28T10:16:39Z</dcterms:modified>
</cp:coreProperties>
</file>