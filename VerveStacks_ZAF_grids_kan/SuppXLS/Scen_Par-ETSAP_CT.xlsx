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3F2084F0-4428-4B7B-8171-FB553D74A03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" l="1"/>
  <c r="R18" i="1"/>
  <c r="Q18" i="1"/>
  <c r="P18" i="1"/>
  <c r="O18" i="1"/>
  <c r="N18" i="1"/>
  <c r="M18" i="1"/>
  <c r="S3" i="1"/>
  <c r="R3" i="1"/>
  <c r="Q3" i="1"/>
  <c r="P3" i="1"/>
  <c r="O3" i="1"/>
  <c r="N3" i="1"/>
  <c r="B11" i="4"/>
  <c r="B10" i="1"/>
  <c r="B9" i="1"/>
  <c r="F56" i="1"/>
  <c r="F48" i="1"/>
  <c r="F45" i="1"/>
  <c r="F44" i="1"/>
  <c r="F43" i="1"/>
  <c r="F40" i="1"/>
  <c r="F39" i="1"/>
  <c r="F55" i="1" s="1"/>
  <c r="F38" i="1"/>
  <c r="F54" i="1" s="1"/>
  <c r="F37" i="1"/>
  <c r="F53" i="1" s="1"/>
  <c r="F36" i="1"/>
  <c r="F52" i="1" s="1"/>
  <c r="F35" i="1"/>
  <c r="F51" i="1" s="1"/>
  <c r="F34" i="1"/>
  <c r="F50" i="1" s="1"/>
  <c r="F33" i="1"/>
  <c r="F49" i="1" s="1"/>
  <c r="F32" i="1"/>
  <c r="F31" i="1"/>
  <c r="F47" i="1" s="1"/>
  <c r="F30" i="1"/>
  <c r="F46" i="1" s="1"/>
  <c r="F29" i="1"/>
  <c r="F28" i="1"/>
  <c r="F27" i="1"/>
  <c r="F26" i="1"/>
  <c r="F42" i="1" s="1"/>
  <c r="F25" i="1"/>
  <c r="F41" i="1" s="1"/>
  <c r="G24" i="1"/>
  <c r="G32" i="1" s="1"/>
  <c r="G40" i="1" s="1"/>
  <c r="G48" i="1" s="1"/>
  <c r="G56" i="1" s="1"/>
  <c r="G23" i="1"/>
  <c r="G31" i="1" s="1"/>
  <c r="G39" i="1" s="1"/>
  <c r="G47" i="1" s="1"/>
  <c r="G55" i="1" s="1"/>
  <c r="G22" i="1"/>
  <c r="G30" i="1" s="1"/>
  <c r="G38" i="1" s="1"/>
  <c r="G46" i="1" s="1"/>
  <c r="G54" i="1" s="1"/>
  <c r="G21" i="1"/>
  <c r="G29" i="1" s="1"/>
  <c r="G37" i="1" s="1"/>
  <c r="G45" i="1" s="1"/>
  <c r="G53" i="1" s="1"/>
  <c r="G20" i="1"/>
  <c r="G28" i="1" s="1"/>
  <c r="G36" i="1" s="1"/>
  <c r="G44" i="1" s="1"/>
  <c r="G52" i="1" s="1"/>
  <c r="G19" i="1"/>
  <c r="G27" i="1" s="1"/>
  <c r="G35" i="1" s="1"/>
  <c r="G43" i="1" s="1"/>
  <c r="G51" i="1" s="1"/>
  <c r="G18" i="1"/>
  <c r="G26" i="1" s="1"/>
  <c r="G17" i="1"/>
  <c r="G25" i="1" s="1"/>
  <c r="G33" i="1" s="1"/>
  <c r="G41" i="1" s="1"/>
  <c r="G49" i="1" s="1"/>
  <c r="G34" i="1" l="1"/>
  <c r="G42" i="1" s="1"/>
  <c r="G50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51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AC57" i="1" l="1"/>
  <c r="Y59" i="1"/>
  <c r="AG57" i="1"/>
  <c r="W57" i="1"/>
  <c r="H14" i="15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" i="1"/>
  <c r="D54" i="1"/>
  <c r="R15" i="1" l="1"/>
  <c r="AC14" i="1" s="1"/>
  <c r="M15" i="1"/>
  <c r="O15" i="1"/>
  <c r="Z14" i="1" s="1"/>
  <c r="Q15" i="1"/>
  <c r="AB14" i="1" s="1"/>
  <c r="P15" i="1"/>
  <c r="AA14" i="1" s="1"/>
  <c r="N15" i="1"/>
  <c r="Y14" i="1" s="1"/>
  <c r="S15" i="1"/>
  <c r="AD14" i="1" s="1"/>
  <c r="S48" i="1"/>
  <c r="B51" i="1"/>
  <c r="D53" i="1"/>
  <c r="B54" i="1"/>
  <c r="D56" i="1"/>
  <c r="B56" i="1" l="1"/>
  <c r="AA19" i="1"/>
  <c r="AA18" i="1"/>
  <c r="AA20" i="1"/>
  <c r="AB20" i="1"/>
  <c r="AB19" i="1"/>
  <c r="AB22" i="1" s="1"/>
  <c r="AB18" i="1"/>
  <c r="Z19" i="1"/>
  <c r="Z20" i="1"/>
  <c r="Z22" i="1" s="1"/>
  <c r="Z18" i="1"/>
  <c r="B53" i="1"/>
  <c r="D55" i="1"/>
  <c r="AD20" i="1"/>
  <c r="AD18" i="1"/>
  <c r="AD19" i="1"/>
  <c r="Y18" i="1"/>
  <c r="Y19" i="1"/>
  <c r="Y20" i="1"/>
  <c r="Y22" i="1" s="1"/>
  <c r="AC18" i="1"/>
  <c r="AC20" i="1"/>
  <c r="AC19" i="1"/>
  <c r="AD22" i="1" l="1"/>
  <c r="AA22" i="1"/>
  <c r="AC22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<sst xmlns="http://schemas.openxmlformats.org/spreadsheetml/2006/main" count="1687" uniqueCount="159">
  <si>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</si>
  <si>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</si>
  <si>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</si>
  <si>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</si>
  <si>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</si>
  <si>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</si>
  <si>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</si>
  <si>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</si>
  <si>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</si>
  <si>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</si>
  <si>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</si>
  <si>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</si>
  <si>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</si>
  <si>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</si>
  <si>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</si>
  <si>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</si>
  <si>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</si>
  <si>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</si>
  <si>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</si>
  <si>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</si>
  <si>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</si>
  <si>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</si>
  <si>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</si>
  <si>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</si>
  <si>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</si>
  <si>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</si>
  <si>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</si>
  <si>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</si>
  <si>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</si>
  <si>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</si>
  <si>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</si>
  <si>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</si>
  <si>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</si>
  <si>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</si>
  <si>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</si>
  <si>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</si>
  <si>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</si>
  <si>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</si>
  <si>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</si>
  <si>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</si>
  <si>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</si>
  <si>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</si>
  <si>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</si>
  <si>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</si>
  <si>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</si>
  <si>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</si>
  <si>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</si>
  <si>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</si>
  <si>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</si>
  <si>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</si>
  <si>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</si>
  <si>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</si>
  <si>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</si>
  <si>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</si>
  <si>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</si>
  <si>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</si>
  <si>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</si>
  <si>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</si>
  <si>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</si>
  <si>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</si>
  <si>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</si>
  <si>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</si>
  <si>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</si>
  <si>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</si>
  <si>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</si>
  <si>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</si>
  <si>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</si>
  <si>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</si>
  <si>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</si>
  <si>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</si>
  <si>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</si>
  <si>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</si>
  <si>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</si>
  <si>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</si>
  <si>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</si>
  <si>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</si>
  <si>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</si>
  <si>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</si>
  <si>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</si>
  <si>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</si>
  <si>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</si>
  <si>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</si>
  <si>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</si>
  <si>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</si>
  <si>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</si>
  <si>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</si>
  <si>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</si>
  <si>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</si>
  <si>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</si>
  <si>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</si>
  <si>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</si>
  <si>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</si>
  <si>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</si>
  <si>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</si>
  <si>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</si>
  <si>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</si>
  <si>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</si>
  <si>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</si>
  <si>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</si>
  <si>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</si>
  <si>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</si>
  <si>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</si>
  <si>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</si>
  <si>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</si>
  <si>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</si>
  <si>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</si>
  <si>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</si>
  <si>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</si>
  <si>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</si>
  <si>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</si>
  <si>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</si>
  <si>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</si>
  <si>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</si>
  <si>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</si>
  <si>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</si>
  <si>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</si>
  <si>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</si>
  <si>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</si>
  <si>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</si>
  <si>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</si>
  <si>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</si>
  <si>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</si>
  <si>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</si>
  <si>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</si>
  <si>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</si>
  <si>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</si>
  <si>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</si>
  <si>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</si>
  <si>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</si>
  <si>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</si>
  <si>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</si>
  <si>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</si>
  <si>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</si>
  <si>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</si>
  <si>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</si>
  <si>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</si>
  <si>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</si>
  <si>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</si>
  <si>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</si>
  <si>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</si>
  <si>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</si>
  <si>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</si>
  <si>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</si>
  <si>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</si>
  <si>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</si>
  <si>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</si>
  <si>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</si>
  <si>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</si>
  <si>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</si>
  <si>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</si>
  <si>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</si>
  <si>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</si>
  <si>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</si>
  <si>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</si>
  <si>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</si>
  <si>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</si>
  <si>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</si>
  <si>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1-48</t>
  </si>
  <si>
    <t>NCAP_ELIFE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</si>
</sst>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157</v>
      </c>
    </row>
    <row r="2" spans="1:44" x14ac:dyDescent="0.45">
      <c r="B2" s="1" t="str">
        <f>"~Inputcell: "&amp;_xlfn.TEXTJOIN(",",TRUE,K1:EI1)</f>
        <v>~Inputcell: 1-48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44" x14ac:dyDescent="0.45">
      <c r="B3" s="9">
        <v>22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44" x14ac:dyDescent="0.45">
      <c r="D5" s="21" t="str">
        <f t="shared" ref="D5:I5" si="1">VLOOKUP($B$3,$C$9:$K$999,COLUMN()-2,FALSE)</f>
        <v>Hi</v>
      </c>
      <c r="E5" s="21">
        <f t="shared" si="1"/>
        <v>0</v>
      </c>
      <c r="F5" s="21" t="str">
        <f t="shared" si="1"/>
        <v>CF1</v>
      </c>
      <c r="G5" s="21" t="str">
        <f t="shared" si="1"/>
        <v>N</v>
      </c>
      <c r="H5" s="21" t="str">
        <f t="shared" si="1"/>
        <v>Y</v>
      </c>
      <c r="I5" s="21">
        <f t="shared" si="1"/>
        <v>0.25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90</v>
      </c>
    </row>
    <row r="8" spans="1:4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145</v>
      </c>
      <c r="I8" s="4" t="s">
        <v>152</v>
      </c>
      <c r="J8" s="4"/>
      <c r="AR8" s="2" t="s">
        <v>95</v>
      </c>
    </row>
    <row r="9" spans="1:44" x14ac:dyDescent="0.45">
      <c r="A9">
        <v>5</v>
      </c>
      <c r="B9" t="str">
        <f>_xlfn.TEXTJOIN(".",TRUE,D9:I9)</f>
        <v>Lo.0.CF1.Y.Y.1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135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44" x14ac:dyDescent="0.45">
      <c r="A10">
        <v>5</v>
      </c>
      <c r="B10" t="str">
        <f t="shared" ref="B10:B56" si="2">_xlfn.TEXTJOIN(".",TRUE,D10:I10)</f>
        <v>Hi.0.CF1.Y.Y.1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135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44" x14ac:dyDescent="0.45">
      <c r="A11">
        <v>5</v>
      </c>
      <c r="B11" t="str">
        <f t="shared" si="2"/>
        <v>Lo.95.CF1.Y.Y.1</v>
      </c>
      <c r="C11">
        <f t="shared" ref="C11:C56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135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Hi.95.CF1.Y.Y.1</v>
      </c>
      <c r="C12">
        <f t="shared" si="3"/>
        <v>4</v>
      </c>
      <c r="D12" t="str">
        <f t="shared" ref="D12:D56" si="4">D10</f>
        <v>Hi</v>
      </c>
      <c r="E12">
        <v>95</v>
      </c>
      <c r="F12" s="15" t="s">
        <v>129</v>
      </c>
      <c r="G12" s="15" t="s">
        <v>135</v>
      </c>
      <c r="H12" s="15" t="s">
        <v>135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Lo.0.CF1.N.Y.1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135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44" x14ac:dyDescent="0.45">
      <c r="A14">
        <v>5</v>
      </c>
      <c r="B14" t="str">
        <f t="shared" si="2"/>
        <v>Hi.0.CF1.N.Y.1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135</v>
      </c>
      <c r="I14" s="22">
        <v>1</v>
      </c>
      <c r="X14" s="8">
        <f>W12</f>
        <v>229.26</v>
      </c>
      <c r="Y14" s="8">
        <f t="shared" ref="Y14:AD14" si="6">$W$12*N15</f>
        <v>275.11199999999997</v>
      </c>
      <c r="Z14" s="8">
        <f t="shared" si="6"/>
        <v>290.01390000000004</v>
      </c>
      <c r="AA14" s="8">
        <f t="shared" si="6"/>
        <v>304.91579999999999</v>
      </c>
      <c r="AB14" s="8">
        <f t="shared" si="6"/>
        <v>373.69379999999995</v>
      </c>
      <c r="AC14" s="8">
        <f t="shared" si="6"/>
        <v>458.52</v>
      </c>
      <c r="AD14" s="8">
        <f t="shared" si="6"/>
        <v>532.34172000000001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Lo.95.CF1.N.Y.1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135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1.2</v>
      </c>
      <c r="O15" s="11">
        <f t="shared" si="8"/>
        <v>1.2650000000000001</v>
      </c>
      <c r="P15" s="11">
        <f t="shared" si="8"/>
        <v>1.33</v>
      </c>
      <c r="Q15" s="11">
        <f t="shared" si="8"/>
        <v>1.63</v>
      </c>
      <c r="R15" s="11">
        <f t="shared" si="8"/>
        <v>2</v>
      </c>
      <c r="S15" s="11">
        <f t="shared" si="8"/>
        <v>2.3220000000000001</v>
      </c>
      <c r="AN15" s="10">
        <f t="shared" ref="AN15:AN78" si="9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Hi.95.CF1.N.Y.1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135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Lo.0.CF6.Y.Y.1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135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Hi.0.CF6.Y.Y.1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56" si="14">G10</f>
        <v>Y</v>
      </c>
      <c r="H18" s="15" t="s">
        <v>135</v>
      </c>
      <c r="I18" s="22">
        <v>1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4.5851999999999995</v>
      </c>
      <c r="AD18" s="6">
        <f t="shared" si="15"/>
        <v>5.3234172000000006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Lo.95.CF6.Y.Y.1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135</v>
      </c>
      <c r="I19" s="22">
        <v>1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5"/>
        <v>91.704000000000008</v>
      </c>
      <c r="Y19" s="6">
        <f t="shared" si="15"/>
        <v>96.28919999999998</v>
      </c>
      <c r="Z19" s="6">
        <f t="shared" si="15"/>
        <v>95.704587000000018</v>
      </c>
      <c r="AA19" s="6">
        <f t="shared" si="15"/>
        <v>97.573055999999994</v>
      </c>
      <c r="AB19" s="6">
        <f t="shared" si="15"/>
        <v>115.84507799999999</v>
      </c>
      <c r="AC19" s="6">
        <f t="shared" si="15"/>
        <v>142.1412</v>
      </c>
      <c r="AD19" s="6">
        <f t="shared" si="15"/>
        <v>165.0259332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Hi.95.CF6.Y.Y.1</v>
      </c>
      <c r="C20">
        <f t="shared" si="3"/>
        <v>12</v>
      </c>
      <c r="D20" t="str">
        <f t="shared" si="4"/>
        <v>Hi</v>
      </c>
      <c r="E20">
        <f t="shared" ref="E20:E56" si="17">E16</f>
        <v>95</v>
      </c>
      <c r="F20" t="s">
        <v>130</v>
      </c>
      <c r="G20" t="str">
        <f t="shared" si="14"/>
        <v>Y</v>
      </c>
      <c r="H20" s="15" t="s">
        <v>135</v>
      </c>
      <c r="I20" s="22">
        <v>1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5"/>
        <v>107.75219999999999</v>
      </c>
      <c r="Y20" s="6">
        <f t="shared" si="15"/>
        <v>143.05823999999998</v>
      </c>
      <c r="Z20" s="6">
        <f t="shared" si="15"/>
        <v>156.60750600000003</v>
      </c>
      <c r="AA20" s="6">
        <f t="shared" si="15"/>
        <v>161.60537400000001</v>
      </c>
      <c r="AB20" s="6">
        <f t="shared" si="15"/>
        <v>194.320776</v>
      </c>
      <c r="AC20" s="6">
        <f t="shared" si="15"/>
        <v>229.26</v>
      </c>
      <c r="AD20" s="6">
        <f t="shared" si="15"/>
        <v>255.52402559999999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Lo.0.CF6.N.Y.1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135</v>
      </c>
      <c r="I21" s="22">
        <v>1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Hi.0.CF6.N.Y.1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135</v>
      </c>
      <c r="I22" s="22">
        <v>1</v>
      </c>
      <c r="W22" s="10" t="s">
        <v>25</v>
      </c>
      <c r="X22" s="6">
        <f t="shared" ref="X22:AD22" si="19">X14-SUM(X19:X21)</f>
        <v>27.511200000000002</v>
      </c>
      <c r="Y22" s="6">
        <f t="shared" si="19"/>
        <v>33.471960000000024</v>
      </c>
      <c r="Z22" s="6">
        <f t="shared" si="19"/>
        <v>35.409206999999981</v>
      </c>
      <c r="AA22" s="6">
        <f t="shared" si="19"/>
        <v>43.444770000000005</v>
      </c>
      <c r="AB22" s="6">
        <f t="shared" si="19"/>
        <v>61.235345999999993</v>
      </c>
      <c r="AC22" s="6">
        <f t="shared" si="19"/>
        <v>84.826199999999972</v>
      </c>
      <c r="AD22" s="6">
        <f t="shared" si="19"/>
        <v>109.4991612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Lo.95.CF6.N.Y.1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135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Hi.95.CF6.N.Y.1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135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S24" s="11">
        <f t="shared" si="20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Lo.0.CF1.Y.Y.0.25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135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Hi.0.CF1.Y.Y.0.25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56" si="21">F10</f>
        <v>CF1</v>
      </c>
      <c r="G26" t="str">
        <f t="shared" si="14"/>
        <v>Y</v>
      </c>
      <c r="H26" s="15" t="s">
        <v>135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Lo.95.CF1.Y.Y.0.25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135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Hi.95.CF1.Y.Y.0.25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135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Lo.0.CF1.N.Y.0.25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135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Hi.0.CF1.N.Y.0.25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135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Lo.95.CF1.N.Y.0.25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135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Hi.95.CF1.N.Y.0.25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135</v>
      </c>
      <c r="I32" s="23">
        <v>0.25</v>
      </c>
      <c r="W32" s="5" t="str">
        <f>IF($G$5="N","~TFM_UPD","DEF correction active")</f>
        <v>~TFM_UPD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Lo.0.CF6.Y.Y.0.25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135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Hi.0.CF6.Y.Y.0.25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135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Lo.95.CF6.Y.Y.0.25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135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Hi.95.CF6.Y.Y.0.25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135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Lo.0.CF6.N.Y.0.25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135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~TFM_INS: limtype=LO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Hi.0.CF6.N.Y.0.25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135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Lo.95.CF6.N.Y.0.25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135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Hi.95.CF6.N.Y.0.25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135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Lo.0.CF1.Y.Y.2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135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Hi.0.CF1.Y.Y.2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135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Lo.95.CF1.Y.Y.2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135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Hi.95.CF1.Y.Y.2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135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Lo.0.CF1.N.Y.2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135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Hi.0.CF1.N.Y.2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135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Lo.95.CF1.N.Y.2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135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Hi.95.CF1.N.Y.2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135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Lo.0.CF6.Y.Y.2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135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Hi.0.CF6.Y.Y.2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135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Lo.95.CF6.Y.Y.2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135</v>
      </c>
      <c r="I51" s="23">
        <v>2</v>
      </c>
      <c r="W51" s="5" t="str">
        <f>IF($H$5="N","~TFM_INS: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Hi.95.CF6.Y.Y.2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135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Lo.0.CF6.N.Y.2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135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Hi.0.CF6.N.Y.2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135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Lo.95.CF6.N.Y.2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135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Hi.95.CF6.N.Y.2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135</v>
      </c>
      <c r="I56" s="23">
        <v>2</v>
      </c>
      <c r="AN56" s="10">
        <f t="shared" si="9"/>
        <v>10</v>
      </c>
    </row>
    <row r="57" spans="1:40" ht="17.649999999999999" thickBot="1" x14ac:dyDescent="0.6">
      <c r="W57" s="5" t="str">
        <f>IF($I$5&lt;&gt;1,"~TFM_UPD","Transmission costs default")</f>
        <v>~TFM_UPD</v>
      </c>
      <c r="AC57" s="5" t="str">
        <f>IF($I$5&lt;1,"~TFM_INS","No hurdle rate")</f>
        <v>~TFM_INS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W59" t="s">
        <v>154</v>
      </c>
      <c r="X59" s="20"/>
      <c r="Y59" t="str">
        <f>"*"&amp;$I$5</f>
        <v>*0.25</v>
      </c>
      <c r="Z59" t="s">
        <v>155</v>
      </c>
      <c r="AC59" t="s">
        <v>156</v>
      </c>
      <c r="AD59">
        <v>0.02</v>
      </c>
      <c r="AE59" t="s">
        <v>155</v>
      </c>
      <c r="AG59" t="s">
        <v>158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N60" s="10">
        <f t="shared" si="9"/>
        <v>11</v>
      </c>
    </row>
    <row r="61" spans="1:40" x14ac:dyDescent="0.45">
      <c r="AN61" s="10">
        <f t="shared" si="9"/>
        <v>11</v>
      </c>
    </row>
    <row r="62" spans="1:40" x14ac:dyDescent="0.45">
      <c r="AN62" s="10">
        <f t="shared" si="9"/>
        <v>11</v>
      </c>
    </row>
    <row r="63" spans="1:40" x14ac:dyDescent="0.45">
      <c r="AN63" s="10">
        <f t="shared" si="9"/>
        <v>11</v>
      </c>
    </row>
    <row r="64" spans="1:40" x14ac:dyDescent="0.45">
      <c r="AN64" s="10">
        <f t="shared" si="9"/>
        <v>12</v>
      </c>
    </row>
    <row r="65" spans="40:40" x14ac:dyDescent="0.45">
      <c r="AN65" s="10">
        <f t="shared" si="9"/>
        <v>12</v>
      </c>
    </row>
    <row r="66" spans="40:40" x14ac:dyDescent="0.45">
      <c r="AN66" s="10">
        <f t="shared" si="9"/>
        <v>12</v>
      </c>
    </row>
    <row r="67" spans="40:40" x14ac:dyDescent="0.45">
      <c r="AN67" s="10">
        <f t="shared" si="9"/>
        <v>12</v>
      </c>
    </row>
    <row r="68" spans="40:40" x14ac:dyDescent="0.45">
      <c r="AN68" s="10">
        <f t="shared" si="9"/>
        <v>12</v>
      </c>
    </row>
    <row r="69" spans="40:40" x14ac:dyDescent="0.45">
      <c r="AN69" s="10">
        <f t="shared" si="9"/>
        <v>13</v>
      </c>
    </row>
    <row r="70" spans="40:40" x14ac:dyDescent="0.45">
      <c r="AN70" s="10">
        <f t="shared" si="9"/>
        <v>13</v>
      </c>
    </row>
    <row r="71" spans="40:40" x14ac:dyDescent="0.45">
      <c r="AN71" s="10">
        <f t="shared" si="9"/>
        <v>13</v>
      </c>
    </row>
    <row r="72" spans="40:40" x14ac:dyDescent="0.45">
      <c r="AN72" s="10">
        <f t="shared" si="9"/>
        <v>13</v>
      </c>
    </row>
    <row r="73" spans="40:40" x14ac:dyDescent="0.45">
      <c r="AN73" s="10">
        <f t="shared" si="9"/>
        <v>13</v>
      </c>
    </row>
    <row r="74" spans="40:40" x14ac:dyDescent="0.45">
      <c r="AN74" s="10">
        <f t="shared" si="9"/>
        <v>14</v>
      </c>
    </row>
    <row r="75" spans="40:40" x14ac:dyDescent="0.45">
      <c r="AN75" s="10">
        <f t="shared" si="9"/>
        <v>14</v>
      </c>
    </row>
    <row r="76" spans="40:40" x14ac:dyDescent="0.45">
      <c r="AN76" s="10">
        <f t="shared" si="9"/>
        <v>14</v>
      </c>
    </row>
    <row r="77" spans="40:40" x14ac:dyDescent="0.45">
      <c r="AN77" s="10">
        <f t="shared" si="9"/>
        <v>14</v>
      </c>
    </row>
    <row r="78" spans="40:40" x14ac:dyDescent="0.45">
      <c r="AN78" s="10">
        <f t="shared" si="9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2026-05-28T17:31:02Z</dcterms:modified>
</cp:coreProperties>
</file>