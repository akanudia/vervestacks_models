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1599CD73-2FF5-40ED-AC39-A6EA4C6F54A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" i="1" l="1"/>
  <c r="M37" i="1" s="1"/>
  <c r="N37" i="1" s="1"/>
  <c r="O37" i="1" s="1"/>
  <c r="P37" i="1" s="1"/>
  <c r="B11" i="4"/>
  <c r="F5" i="1"/>
  <c r="E5" i="1"/>
  <c r="P24" i="1" s="1"/>
  <c r="D5" i="1"/>
  <c r="B10" i="1"/>
  <c r="B11" i="1"/>
  <c r="B12" i="1"/>
  <c r="B13" i="1"/>
  <c r="B14" i="1"/>
  <c r="B15" i="1"/>
  <c r="B16" i="1"/>
  <c r="B17" i="1"/>
  <c r="B18" i="1"/>
  <c r="B19" i="1"/>
  <c r="B20" i="1"/>
  <c r="B9" i="1"/>
  <c r="E17" i="1"/>
  <c r="D17" i="1"/>
  <c r="E16" i="1"/>
  <c r="E20" i="1" s="1"/>
  <c r="D16" i="1"/>
  <c r="D20" i="1" s="1"/>
  <c r="E15" i="1"/>
  <c r="E19" i="1" s="1"/>
  <c r="D15" i="1"/>
  <c r="D19" i="1" s="1"/>
  <c r="E14" i="1"/>
  <c r="E18" i="1" s="1"/>
  <c r="D14" i="1"/>
  <c r="D18" i="1" s="1"/>
  <c r="E13" i="1"/>
  <c r="D13" i="1"/>
  <c r="A8" i="15"/>
  <c r="A9" i="15"/>
  <c r="A10" i="15"/>
  <c r="A11" i="15"/>
  <c r="A12" i="15"/>
  <c r="A7" i="15"/>
  <c r="L24" i="1" l="1"/>
  <c r="M24" i="1"/>
  <c r="N24" i="1"/>
  <c r="O24" i="1"/>
  <c r="G8" i="15"/>
  <c r="G9" i="15"/>
  <c r="G10" i="15"/>
  <c r="G11" i="15"/>
  <c r="G12" i="15"/>
  <c r="G7" i="15"/>
  <c r="G11" i="4"/>
  <c r="F11" i="4"/>
  <c r="C11" i="4"/>
  <c r="J40" i="1"/>
  <c r="K40" i="1" s="1"/>
  <c r="L40" i="1" s="1"/>
  <c r="M40" i="1" s="1"/>
  <c r="N40" i="1" s="1"/>
  <c r="O40" i="1" s="1"/>
  <c r="P40" i="1" s="1"/>
  <c r="J39" i="1"/>
  <c r="K39" i="1" s="1"/>
  <c r="L39" i="1" s="1"/>
  <c r="M39" i="1" s="1"/>
  <c r="N39" i="1" s="1"/>
  <c r="O39" i="1" s="1"/>
  <c r="P39" i="1" s="1"/>
  <c r="J38" i="1"/>
  <c r="K38" i="1" s="1"/>
  <c r="L38" i="1" s="1"/>
  <c r="M38" i="1" s="1"/>
  <c r="N38" i="1" s="1"/>
  <c r="O38" i="1" s="1"/>
  <c r="P38" i="1" s="1"/>
  <c r="J37" i="1"/>
  <c r="K37" i="1" s="1"/>
  <c r="E11" i="4"/>
  <c r="D11" i="4"/>
  <c r="AJ14" i="1"/>
  <c r="AJ13" i="1"/>
  <c r="AJ12" i="1"/>
  <c r="AJ11" i="1"/>
  <c r="C10" i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A1" i="15"/>
  <c r="J18" i="1"/>
  <c r="AK28" i="1"/>
  <c r="AK24" i="1"/>
  <c r="AK20" i="1"/>
  <c r="B2" i="1"/>
  <c r="I48" i="1"/>
  <c r="I47" i="1"/>
  <c r="I46" i="1"/>
  <c r="I45" i="1"/>
  <c r="H14" i="15" l="1"/>
  <c r="H18" i="15" s="1"/>
  <c r="G14" i="15"/>
  <c r="G18" i="15" s="1"/>
  <c r="J21" i="1"/>
  <c r="J15" i="1"/>
  <c r="J19" i="1"/>
  <c r="J20" i="1"/>
  <c r="AK33" i="1"/>
  <c r="AK25" i="1"/>
  <c r="AK29" i="1"/>
  <c r="T48" i="1"/>
  <c r="S48" i="1"/>
  <c r="T47" i="1"/>
  <c r="S47" i="1"/>
  <c r="T46" i="1"/>
  <c r="S46" i="1"/>
  <c r="T45" i="1"/>
  <c r="S45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O17" i="1"/>
  <c r="N17" i="1"/>
  <c r="M17" i="1"/>
  <c r="L17" i="1"/>
  <c r="K17" i="1"/>
  <c r="N20" i="1" l="1"/>
  <c r="Y24" i="1"/>
  <c r="P15" i="1"/>
  <c r="P18" i="1"/>
  <c r="P19" i="1"/>
  <c r="P20" i="1"/>
  <c r="L46" i="1"/>
  <c r="L18" i="1"/>
  <c r="L15" i="1"/>
  <c r="L20" i="1"/>
  <c r="L21" i="1"/>
  <c r="K44" i="1"/>
  <c r="K15" i="1"/>
  <c r="K18" i="1"/>
  <c r="K19" i="1"/>
  <c r="K20" i="1"/>
  <c r="K21" i="1"/>
  <c r="M46" i="1"/>
  <c r="M20" i="1"/>
  <c r="M21" i="1"/>
  <c r="M18" i="1"/>
  <c r="M15" i="1"/>
  <c r="M19" i="1"/>
  <c r="P21" i="1"/>
  <c r="N21" i="1"/>
  <c r="N15" i="1"/>
  <c r="N19" i="1"/>
  <c r="N18" i="1"/>
  <c r="O19" i="1"/>
  <c r="O20" i="1"/>
  <c r="O21" i="1"/>
  <c r="O15" i="1"/>
  <c r="O18" i="1"/>
  <c r="L19" i="1"/>
  <c r="AK38" i="1"/>
  <c r="AK34" i="1"/>
  <c r="AK30" i="1"/>
  <c r="K45" i="1"/>
  <c r="J47" i="1"/>
  <c r="N44" i="1"/>
  <c r="O44" i="1"/>
  <c r="L45" i="1"/>
  <c r="M45" i="1"/>
  <c r="J46" i="1"/>
  <c r="N45" i="1"/>
  <c r="O45" i="1"/>
  <c r="N46" i="1"/>
  <c r="O46" i="1"/>
  <c r="J48" i="1"/>
  <c r="P48" i="1" s="1"/>
  <c r="O47" i="1"/>
  <c r="J45" i="1"/>
  <c r="L47" i="1"/>
  <c r="M47" i="1"/>
  <c r="K47" i="1"/>
  <c r="N47" i="1"/>
  <c r="P47" i="1"/>
  <c r="P45" i="1"/>
  <c r="L44" i="1"/>
  <c r="M44" i="1"/>
  <c r="P46" i="1"/>
  <c r="P44" i="1"/>
  <c r="K46" i="1"/>
  <c r="W24" i="1"/>
  <c r="X24" i="1"/>
  <c r="Z24" i="1"/>
  <c r="AA24" i="1"/>
  <c r="T12" i="1"/>
  <c r="U14" i="1" s="1"/>
  <c r="AK43" i="1" l="1"/>
  <c r="AK39" i="1"/>
  <c r="AK35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AK40" i="1"/>
  <c r="AK44" i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AK49" i="1"/>
  <c r="AK45" i="1"/>
  <c r="V22" i="1"/>
  <c r="Z22" i="1"/>
  <c r="AK50" i="1" l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<sst xmlns="http://schemas.openxmlformats.org/spreadsheetml/2006/main" count="1605" uniqueCount="153">
  <si>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</si>
  <si>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</si>
  <si>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</si>
  <si>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</si>
  <si>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</si>
  <si>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</si>
  <si>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</si>
  <si>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</si>
  <si>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</si>
  <si>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</si>
  <si>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</si>
  <si>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</si>
  <si>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</si>
  <si>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</si>
  <si>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</si>
  <si>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</si>
  <si>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</si>
  <si>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</si>
  <si>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</si>
  <si>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</si>
  <si>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</si>
  <si>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</si>
  <si>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</si>
  <si>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</si>
  <si>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</si>
  <si>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</si>
  <si>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</si>
  <si>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</si>
  <si>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</si>
  <si>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</si>
  <si>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</si>
  <si>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</si>
  <si>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</si>
  <si>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</si>
  <si>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</si>
  <si>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</si>
  <si>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</si>
  <si>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</si>
  <si>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</si>
  <si>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</si>
  <si>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</si>
  <si>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</si>
  <si>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</si>
  <si>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</si>
  <si>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</si>
  <si>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</si>
  <si>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</si>
  <si>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</si>
  <si>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</si>
  <si>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</si>
  <si>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</si>
  <si>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</si>
  <si>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</si>
  <si>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</si>
  <si>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</si>
  <si>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</si>
  <si>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</si>
  <si>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</si>
  <si>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</si>
  <si>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</si>
  <si>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</si>
  <si>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</si>
  <si>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</si>
  <si>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</si>
  <si>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</si>
  <si>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</si>
  <si>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</si>
  <si>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</si>
  <si>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</si>
  <si>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</si>
  <si>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</si>
  <si>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</si>
  <si>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</si>
  <si>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</si>
  <si>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</si>
  <si>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</si>
  <si>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</si>
  <si>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</si>
  <si>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</si>
  <si>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</si>
  <si>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</si>
  <si>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</si>
  <si>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</si>
  <si>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</si>
  <si>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</si>
  <si>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</si>
  <si>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</si>
  <si>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</si>
  <si>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</si>
  <si>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</si>
  <si>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</si>
  <si>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</si>
  <si>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</si>
  <si>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</si>
  <si>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</si>
  <si>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</si>
  <si>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</si>
  <si>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</si>
  <si>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</si>
  <si>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</si>
  <si>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</si>
  <si>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</si>
  <si>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</si>
  <si>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</si>
  <si>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</si>
  <si>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</si>
  <si>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</si>
  <si>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</si>
  <si>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</si>
  <si>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</si>
  <si>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</si>
  <si>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</si>
  <si>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</si>
  <si>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</si>
  <si>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</si>
  <si>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</si>
  <si>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</si>
  <si>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</si>
  <si>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</si>
  <si>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</si>
  <si>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</si>
  <si>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</si>
  <si>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</si>
  <si>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</si>
  <si>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</si>
  <si>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</si>
  <si>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</si>
  <si>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</si>
  <si>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</si>
  <si>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</si>
  <si>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</si>
  <si>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</si>
  <si>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</si>
  <si>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</si>
  <si>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</si>
  <si>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</si>
  <si>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</si>
  <si>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</si>
  <si>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</si>
  <si>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</si>
  <si>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</si>
  <si>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</si>
  <si>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</si>
  <si>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</si>
  <si>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</si>
  <si>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</si>
  <si>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CF3</t>
  </si>
  <si>
    <t>CF1</t>
  </si>
  <si>
    <t>CF6</t>
  </si>
  <si>
    <t>c216</t>
  </si>
  <si>
    <t>1-12</t>
  </si>
  <si>
    <t>ts_108c</t>
  </si>
  <si>
    <t>c108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</si>
</sst>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355.35300000000001</c:v>
                </c:pt>
                <c:pt idx="3">
                  <c:v>412.66800000000001</c:v>
                </c:pt>
                <c:pt idx="4">
                  <c:v>550.22399999999993</c:v>
                </c:pt>
                <c:pt idx="5">
                  <c:v>660.26879999999994</c:v>
                </c:pt>
                <c:pt idx="6">
                  <c:v>862.47611999999992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0.33333333333333337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8"/>
  <sheetViews>
    <sheetView tabSelected="1"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1" x14ac:dyDescent="0.45">
      <c r="H1" s="16" t="s">
        <v>150</v>
      </c>
    </row>
    <row r="2" spans="1:41" x14ac:dyDescent="0.45">
      <c r="B2" s="1" t="str">
        <f>"~Inputcell: "&amp;_xlfn.TEXTJOIN(",",TRUE,H1:EF1)</f>
        <v>~Inputcell: 1-12</v>
      </c>
    </row>
    <row r="3" spans="1:41" x14ac:dyDescent="0.45">
      <c r="B3" s="9">
        <v>2</v>
      </c>
    </row>
    <row r="5" spans="1:41" x14ac:dyDescent="0.45">
      <c r="D5" s="1" t="str">
        <f>VLOOKUP(B3,$C$9:$F$999,2,FALSE)</f>
        <v>C3</v>
      </c>
      <c r="E5" s="1" t="str">
        <f>VLOOKUP($B$3,$C$9:$F$999,3,FALSE)</f>
        <v>C7</v>
      </c>
      <c r="F5" s="1" t="str">
        <f>VLOOKUP($B$3,$C$9:$F$999,4,FALSE)</f>
        <v>CF3</v>
      </c>
    </row>
    <row r="7" spans="1:41" x14ac:dyDescent="0.45">
      <c r="B7" s="14" t="s">
        <v>95</v>
      </c>
    </row>
    <row r="8" spans="1:41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/>
      <c r="AO8" s="2" t="s">
        <v>102</v>
      </c>
    </row>
    <row r="9" spans="1:41" x14ac:dyDescent="0.45">
      <c r="A9">
        <v>5</v>
      </c>
      <c r="B9" t="str">
        <f>VLOOKUP(D9,$AL$9:$AM$15,2,FALSE)&amp;"."&amp;F9</f>
        <v>b 2 deg (50%).CF3</v>
      </c>
      <c r="C9">
        <v>1</v>
      </c>
      <c r="D9" s="15" t="s">
        <v>7</v>
      </c>
      <c r="E9" s="15" t="s">
        <v>9</v>
      </c>
      <c r="F9" s="15" t="s">
        <v>146</v>
      </c>
      <c r="H9" t="s">
        <v>1</v>
      </c>
      <c r="AH9">
        <v>1</v>
      </c>
      <c r="AI9" t="s">
        <v>86</v>
      </c>
      <c r="AJ9" t="s">
        <v>109</v>
      </c>
      <c r="AK9" s="10">
        <v>1</v>
      </c>
      <c r="AL9" t="s">
        <v>0</v>
      </c>
      <c r="AM9" t="s">
        <v>88</v>
      </c>
      <c r="AN9" s="12">
        <v>5</v>
      </c>
    </row>
    <row r="10" spans="1:41" x14ac:dyDescent="0.45">
      <c r="A10">
        <v>5</v>
      </c>
      <c r="B10" t="str">
        <f t="shared" ref="B10:B20" si="0">VLOOKUP(D10,$AL$9:$AM$15,2,FALSE)&amp;"."&amp;F10</f>
        <v>c 2 deg (67%).CF3</v>
      </c>
      <c r="C10">
        <f>C9+1</f>
        <v>2</v>
      </c>
      <c r="D10" s="15" t="s">
        <v>5</v>
      </c>
      <c r="E10" s="15" t="s">
        <v>9</v>
      </c>
      <c r="F10" s="15" t="s">
        <v>146</v>
      </c>
      <c r="H10" t="s">
        <v>3</v>
      </c>
      <c r="T10" t="s">
        <v>4</v>
      </c>
      <c r="AH10">
        <v>2</v>
      </c>
      <c r="AI10" t="s">
        <v>113</v>
      </c>
      <c r="AJ10" t="s">
        <v>116</v>
      </c>
      <c r="AK10" s="10">
        <v>1</v>
      </c>
      <c r="AL10" t="s">
        <v>2</v>
      </c>
      <c r="AM10" t="s">
        <v>90</v>
      </c>
      <c r="AN10" s="12">
        <v>4</v>
      </c>
    </row>
    <row r="11" spans="1:41" x14ac:dyDescent="0.45">
      <c r="A11">
        <v>5</v>
      </c>
      <c r="B11" t="str">
        <f t="shared" si="0"/>
        <v>b 2 deg (50%).CF3</v>
      </c>
      <c r="C11">
        <f t="shared" ref="C11:C20" si="1">C10+1</f>
        <v>3</v>
      </c>
      <c r="D11" s="15" t="s">
        <v>7</v>
      </c>
      <c r="E11" s="15" t="s">
        <v>7</v>
      </c>
      <c r="F11" s="15" t="s">
        <v>146</v>
      </c>
      <c r="H11" t="s">
        <v>6</v>
      </c>
      <c r="T11" s="1">
        <v>2022</v>
      </c>
      <c r="AH11">
        <v>3</v>
      </c>
      <c r="AI11" t="s">
        <v>99</v>
      </c>
      <c r="AJ11" t="str">
        <f>AI11</f>
        <v>ts_012</v>
      </c>
      <c r="AK11" s="10">
        <v>1</v>
      </c>
      <c r="AL11" t="s">
        <v>5</v>
      </c>
      <c r="AM11" t="s">
        <v>91</v>
      </c>
      <c r="AN11" s="12">
        <v>3</v>
      </c>
    </row>
    <row r="12" spans="1:41" ht="14.65" customHeight="1" thickBot="1" x14ac:dyDescent="0.5">
      <c r="A12">
        <v>5</v>
      </c>
      <c r="B12" t="str">
        <f t="shared" si="0"/>
        <v>c 2 deg (67%).CF3</v>
      </c>
      <c r="C12">
        <f t="shared" si="1"/>
        <v>4</v>
      </c>
      <c r="D12" s="15" t="s">
        <v>5</v>
      </c>
      <c r="E12" s="15" t="s">
        <v>7</v>
      </c>
      <c r="F12" s="15" t="s">
        <v>146</v>
      </c>
      <c r="H12" t="s">
        <v>8</v>
      </c>
      <c r="T12" s="3">
        <f>SUMIFS(iea_data!I3:I9999,iea_data!$B$3:$B$9999,Veda!$T$11)+U28-U29</f>
        <v>229.26</v>
      </c>
      <c r="U12" s="2" t="s">
        <v>57</v>
      </c>
      <c r="AH12">
        <v>4</v>
      </c>
      <c r="AI12" t="s">
        <v>104</v>
      </c>
      <c r="AJ12" t="str">
        <f t="shared" ref="AJ12:AJ14" si="2">AI12</f>
        <v>ts_030</v>
      </c>
      <c r="AK12" s="10">
        <v>1</v>
      </c>
      <c r="AL12" t="s">
        <v>7</v>
      </c>
      <c r="AM12" t="s">
        <v>92</v>
      </c>
      <c r="AN12" s="12">
        <v>3</v>
      </c>
    </row>
    <row r="13" spans="1:41" ht="14.65" customHeight="1" thickTop="1" x14ac:dyDescent="0.45">
      <c r="A13">
        <v>5</v>
      </c>
      <c r="B13" t="str">
        <f t="shared" si="0"/>
        <v>b 2 deg (50%).CF1</v>
      </c>
      <c r="C13">
        <f t="shared" si="1"/>
        <v>5</v>
      </c>
      <c r="D13" t="str">
        <f>D9</f>
        <v>C4</v>
      </c>
      <c r="E13" t="str">
        <f>E9</f>
        <v>C7</v>
      </c>
      <c r="F13" s="15" t="s">
        <v>147</v>
      </c>
      <c r="H13" t="s">
        <v>10</v>
      </c>
      <c r="AH13">
        <v>5</v>
      </c>
      <c r="AI13" t="s">
        <v>100</v>
      </c>
      <c r="AJ13" t="str">
        <f t="shared" si="2"/>
        <v>ts_048</v>
      </c>
      <c r="AK13" s="10">
        <v>1</v>
      </c>
      <c r="AL13" t="s">
        <v>9</v>
      </c>
      <c r="AM13" t="s">
        <v>93</v>
      </c>
      <c r="AN13" s="12">
        <v>1.5</v>
      </c>
    </row>
    <row r="14" spans="1:41" x14ac:dyDescent="0.45">
      <c r="A14">
        <v>5</v>
      </c>
      <c r="B14" t="str">
        <f t="shared" si="0"/>
        <v>c 2 deg (67%).CF1</v>
      </c>
      <c r="C14">
        <f t="shared" si="1"/>
        <v>6</v>
      </c>
      <c r="D14" t="str">
        <f t="shared" ref="D14:E14" si="3">D10</f>
        <v>C3</v>
      </c>
      <c r="E14" t="str">
        <f t="shared" si="3"/>
        <v>C7</v>
      </c>
      <c r="F14" s="15" t="s">
        <v>147</v>
      </c>
      <c r="U14" s="8">
        <f>T12</f>
        <v>229.26</v>
      </c>
      <c r="V14" s="8">
        <f t="shared" ref="V14:AA14" si="4">$T$12*K15</f>
        <v>275.11199999999997</v>
      </c>
      <c r="W14" s="8">
        <f t="shared" si="4"/>
        <v>355.35300000000001</v>
      </c>
      <c r="X14" s="8">
        <f t="shared" si="4"/>
        <v>412.66800000000001</v>
      </c>
      <c r="Y14" s="8">
        <f t="shared" si="4"/>
        <v>550.22399999999993</v>
      </c>
      <c r="Z14" s="8">
        <f t="shared" si="4"/>
        <v>660.26879999999994</v>
      </c>
      <c r="AA14" s="8">
        <f t="shared" si="4"/>
        <v>862.47611999999992</v>
      </c>
      <c r="AH14">
        <v>6</v>
      </c>
      <c r="AI14" t="s">
        <v>108</v>
      </c>
      <c r="AJ14" t="str">
        <f t="shared" si="2"/>
        <v>ts_072</v>
      </c>
      <c r="AK14" s="10">
        <f>AK9+1</f>
        <v>2</v>
      </c>
    </row>
    <row r="15" spans="1:41" x14ac:dyDescent="0.45">
      <c r="A15">
        <v>5</v>
      </c>
      <c r="B15" t="str">
        <f t="shared" si="0"/>
        <v>b 2 deg (50%).CF1</v>
      </c>
      <c r="C15">
        <f t="shared" si="1"/>
        <v>7</v>
      </c>
      <c r="D15" t="str">
        <f t="shared" ref="D15:E15" si="5">D11</f>
        <v>C4</v>
      </c>
      <c r="E15" t="str">
        <f t="shared" si="5"/>
        <v>C4</v>
      </c>
      <c r="F15" s="15" t="s">
        <v>147</v>
      </c>
      <c r="H15" t="s">
        <v>11</v>
      </c>
      <c r="J15" s="11">
        <f>SUMIFS(ar6_r10!$J$2:$J$999,ar6_r10!$A$2:$A$999,Veda!$D$5,ar6_r10!$C$2:$C$999,Veda!J$17,ar6_r10!$M$2:$M$999,Veda!$H15)</f>
        <v>1</v>
      </c>
      <c r="K15" s="11">
        <f>SUMIFS(ar6_r10!$J$2:$J$999,ar6_r10!$A$2:$A$999,Veda!$D$5,ar6_r10!$C$2:$C$999,Veda!K$17,ar6_r10!$M$2:$M$999,Veda!$H15)</f>
        <v>1.2</v>
      </c>
      <c r="L15" s="11">
        <f>SUMIFS(ar6_r10!$J$2:$J$999,ar6_r10!$A$2:$A$999,Veda!$D$5,ar6_r10!$C$2:$C$999,Veda!L$17,ar6_r10!$M$2:$M$999,Veda!$H15)</f>
        <v>1.55</v>
      </c>
      <c r="M15" s="11">
        <f>SUMIFS(ar6_r10!$J$2:$J$999,ar6_r10!$A$2:$A$999,Veda!$D$5,ar6_r10!$C$2:$C$999,Veda!M$17,ar6_r10!$M$2:$M$999,Veda!$H15)</f>
        <v>1.8</v>
      </c>
      <c r="N15" s="11">
        <f>SUMIFS(ar6_r10!$J$2:$J$999,ar6_r10!$A$2:$A$999,Veda!$D$5,ar6_r10!$C$2:$C$999,Veda!N$17,ar6_r10!$M$2:$M$999,Veda!$H15)</f>
        <v>2.4</v>
      </c>
      <c r="O15" s="11">
        <f>SUMIFS(ar6_r10!$J$2:$J$999,ar6_r10!$A$2:$A$999,Veda!$D$5,ar6_r10!$C$2:$C$999,Veda!O$17,ar6_r10!$M$2:$M$999,Veda!$H15)</f>
        <v>2.88</v>
      </c>
      <c r="P15" s="11">
        <f>SUMIFS(ar6_r10!$J$2:$J$999,ar6_r10!$A$2:$A$999,Veda!$D$5,ar6_r10!$C$2:$C$999,Veda!P$17,ar6_r10!$M$2:$M$999,Veda!$H15)*0.9</f>
        <v>3.762</v>
      </c>
      <c r="AH15">
        <v>7</v>
      </c>
      <c r="AI15" t="s">
        <v>151</v>
      </c>
      <c r="AJ15" t="s">
        <v>152</v>
      </c>
      <c r="AK15" s="10">
        <f t="shared" ref="AK15:AK78" si="6">AK10+1</f>
        <v>2</v>
      </c>
    </row>
    <row r="16" spans="1:41" ht="17.649999999999999" customHeight="1" thickBot="1" x14ac:dyDescent="0.6">
      <c r="A16">
        <v>5</v>
      </c>
      <c r="B16" t="str">
        <f t="shared" si="0"/>
        <v>c 2 deg (67%).CF1</v>
      </c>
      <c r="C16">
        <f t="shared" si="1"/>
        <v>8</v>
      </c>
      <c r="D16" t="str">
        <f t="shared" ref="D16:E16" si="7">D12</f>
        <v>C3</v>
      </c>
      <c r="E16" t="str">
        <f t="shared" si="7"/>
        <v>C4</v>
      </c>
      <c r="F16" s="15" t="s">
        <v>147</v>
      </c>
      <c r="T16" s="5" t="s">
        <v>12</v>
      </c>
      <c r="AH16">
        <v>8</v>
      </c>
      <c r="AI16" t="s">
        <v>114</v>
      </c>
      <c r="AJ16" t="s">
        <v>149</v>
      </c>
      <c r="AK16" s="10">
        <f t="shared" si="6"/>
        <v>2</v>
      </c>
    </row>
    <row r="17" spans="1:37" ht="15" customHeight="1" thickTop="1" thickBot="1" x14ac:dyDescent="0.5">
      <c r="A17">
        <v>5</v>
      </c>
      <c r="B17" t="str">
        <f t="shared" si="0"/>
        <v>b 2 deg (50%).CF6</v>
      </c>
      <c r="C17">
        <f t="shared" si="1"/>
        <v>9</v>
      </c>
      <c r="D17" t="str">
        <f t="shared" ref="D17:E17" si="8">D13</f>
        <v>C4</v>
      </c>
      <c r="E17" t="str">
        <f t="shared" si="8"/>
        <v>C7</v>
      </c>
      <c r="F17" s="15" t="s">
        <v>148</v>
      </c>
      <c r="J17" s="7">
        <v>2020</v>
      </c>
      <c r="K17" s="7">
        <f t="shared" ref="K17:P17" si="9">V17</f>
        <v>2025</v>
      </c>
      <c r="L17" s="7">
        <f t="shared" si="9"/>
        <v>2030</v>
      </c>
      <c r="M17" s="7">
        <f t="shared" si="9"/>
        <v>2035</v>
      </c>
      <c r="N17" s="7">
        <f t="shared" si="9"/>
        <v>2040</v>
      </c>
      <c r="O17" s="7">
        <f t="shared" si="9"/>
        <v>2045</v>
      </c>
      <c r="P17" s="7">
        <f t="shared" si="9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103</v>
      </c>
      <c r="AJ17" t="s">
        <v>105</v>
      </c>
      <c r="AK17" s="10">
        <f t="shared" si="6"/>
        <v>2</v>
      </c>
    </row>
    <row r="18" spans="1:37" x14ac:dyDescent="0.45">
      <c r="A18">
        <v>5</v>
      </c>
      <c r="B18" t="str">
        <f t="shared" si="0"/>
        <v>c 2 deg (67%).CF6</v>
      </c>
      <c r="C18">
        <f t="shared" si="1"/>
        <v>10</v>
      </c>
      <c r="D18" t="str">
        <f t="shared" ref="D18:E18" si="10">D14</f>
        <v>C3</v>
      </c>
      <c r="E18" t="str">
        <f t="shared" si="10"/>
        <v>C7</v>
      </c>
      <c r="F18" s="15" t="s">
        <v>148</v>
      </c>
      <c r="H18" t="s">
        <v>15</v>
      </c>
      <c r="J18" s="11">
        <f>SUMIFS(ar6_r10!$J$2:$J$999,ar6_r10!$A$2:$A$999,Veda!$D$5,ar6_r10!$C$2:$C$999,Veda!J$17,ar6_r10!$M$2:$M$999,Veda!$H18)</f>
        <v>0</v>
      </c>
      <c r="K18" s="11">
        <f>SUMIFS(ar6_r10!$J$2:$J$999,ar6_r10!$A$2:$A$999,Veda!$D$5,ar6_r10!$C$2:$C$999,Veda!K$17,ar6_r10!$M$2:$M$999,Veda!$H18)</f>
        <v>0</v>
      </c>
      <c r="L18" s="11">
        <f>SUMIFS(ar6_r10!$J$2:$J$999,ar6_r10!$A$2:$A$999,Veda!$D$5,ar6_r10!$C$2:$C$999,Veda!L$17,ar6_r10!$M$2:$M$999,Veda!$H18)</f>
        <v>0</v>
      </c>
      <c r="M18" s="11">
        <f>SUMIFS(ar6_r10!$J$2:$J$999,ar6_r10!$A$2:$A$999,Veda!$D$5,ar6_r10!$C$2:$C$999,Veda!M$17,ar6_r10!$M$2:$M$999,Veda!$H18)</f>
        <v>0</v>
      </c>
      <c r="N18" s="11">
        <f>SUMIFS(ar6_r10!$J$2:$J$999,ar6_r10!$A$2:$A$999,Veda!$D$5,ar6_r10!$C$2:$C$999,Veda!N$17,ar6_r10!$M$2:$M$999,Veda!$H18)</f>
        <v>0.01</v>
      </c>
      <c r="O18" s="11">
        <f>SUMIFS(ar6_r10!$J$2:$J$999,ar6_r10!$A$2:$A$999,Veda!$D$5,ar6_r10!$C$2:$C$999,Veda!O$17,ar6_r10!$M$2:$M$999,Veda!$H18)</f>
        <v>0.01</v>
      </c>
      <c r="P18" s="11">
        <f>SUMIFS(ar6_r10!$J$2:$J$999,ar6_r10!$A$2:$A$999,Veda!$D$5,ar6_r10!$C$2:$C$999,Veda!P$17,ar6_r10!$M$2:$M$999,Veda!$H18)</f>
        <v>0.01</v>
      </c>
      <c r="T18" s="10" t="s">
        <v>16</v>
      </c>
      <c r="U18" s="6">
        <f t="shared" ref="U18:AA20" si="11">J18*U$14</f>
        <v>0</v>
      </c>
      <c r="V18" s="6">
        <f t="shared" si="11"/>
        <v>0</v>
      </c>
      <c r="W18" s="6">
        <f t="shared" si="11"/>
        <v>0</v>
      </c>
      <c r="X18" s="6">
        <f t="shared" si="11"/>
        <v>0</v>
      </c>
      <c r="Y18" s="6">
        <f t="shared" si="11"/>
        <v>5.5022399999999996</v>
      </c>
      <c r="Z18" s="6">
        <f t="shared" si="11"/>
        <v>6.6026879999999997</v>
      </c>
      <c r="AA18" s="6">
        <f t="shared" si="11"/>
        <v>8.6247612</v>
      </c>
      <c r="AB18" t="s">
        <v>17</v>
      </c>
      <c r="AD18" s="2"/>
      <c r="AH18">
        <v>10</v>
      </c>
      <c r="AI18" t="s">
        <v>106</v>
      </c>
      <c r="AJ18" t="s">
        <v>107</v>
      </c>
      <c r="AK18" s="10">
        <f t="shared" si="6"/>
        <v>2</v>
      </c>
    </row>
    <row r="19" spans="1:37" x14ac:dyDescent="0.45">
      <c r="A19">
        <v>5</v>
      </c>
      <c r="B19" t="str">
        <f t="shared" si="0"/>
        <v>b 2 deg (50%).CF6</v>
      </c>
      <c r="C19">
        <f t="shared" si="1"/>
        <v>11</v>
      </c>
      <c r="D19" t="str">
        <f t="shared" ref="D19:E19" si="12">D15</f>
        <v>C4</v>
      </c>
      <c r="E19" t="str">
        <f t="shared" si="12"/>
        <v>C4</v>
      </c>
      <c r="F19" s="15" t="s">
        <v>148</v>
      </c>
      <c r="H19" t="s">
        <v>18</v>
      </c>
      <c r="J19" s="11">
        <f>SUMIFS(ar6_r10!$J$2:$J$999,ar6_r10!$A$2:$A$999,Veda!$D$5,ar6_r10!$C$2:$C$999,Veda!J$17,ar6_r10!$M$2:$M$999,Veda!$H19)</f>
        <v>0.43</v>
      </c>
      <c r="K19" s="11">
        <f>SUMIFS(ar6_r10!$J$2:$J$999,ar6_r10!$A$2:$A$999,Veda!$D$5,ar6_r10!$C$2:$C$999,Veda!K$17,ar6_r10!$M$2:$M$999,Veda!$H19)</f>
        <v>0.43</v>
      </c>
      <c r="L19" s="11">
        <f>SUMIFS(ar6_r10!$J$2:$J$999,ar6_r10!$A$2:$A$999,Veda!$D$5,ar6_r10!$C$2:$C$999,Veda!L$17,ar6_r10!$M$2:$M$999,Veda!$H19)</f>
        <v>0.34</v>
      </c>
      <c r="M19" s="11">
        <f>SUMIFS(ar6_r10!$J$2:$J$999,ar6_r10!$A$2:$A$999,Veda!$D$5,ar6_r10!$C$2:$C$999,Veda!M$17,ar6_r10!$M$2:$M$999,Veda!$H19)</f>
        <v>0.37</v>
      </c>
      <c r="N19" s="11">
        <f>SUMIFS(ar6_r10!$J$2:$J$999,ar6_r10!$A$2:$A$999,Veda!$D$5,ar6_r10!$C$2:$C$999,Veda!N$17,ar6_r10!$M$2:$M$999,Veda!$H19)</f>
        <v>0.32</v>
      </c>
      <c r="O19" s="11">
        <f>SUMIFS(ar6_r10!$J$2:$J$999,ar6_r10!$A$2:$A$999,Veda!$D$5,ar6_r10!$C$2:$C$999,Veda!O$17,ar6_r10!$M$2:$M$999,Veda!$H19)</f>
        <v>0.33</v>
      </c>
      <c r="P19" s="11">
        <f>SUMIFS(ar6_r10!$J$2:$J$999,ar6_r10!$A$2:$A$999,Veda!$D$5,ar6_r10!$C$2:$C$999,Veda!P$17,ar6_r10!$M$2:$M$999,Veda!$H19)</f>
        <v>0.31</v>
      </c>
      <c r="T19" s="10" t="s">
        <v>19</v>
      </c>
      <c r="U19" s="6">
        <f t="shared" si="11"/>
        <v>98.581800000000001</v>
      </c>
      <c r="V19" s="6">
        <f t="shared" si="11"/>
        <v>118.29815999999998</v>
      </c>
      <c r="W19" s="6">
        <f t="shared" si="11"/>
        <v>120.82002000000001</v>
      </c>
      <c r="X19" s="6">
        <f t="shared" si="11"/>
        <v>152.68716000000001</v>
      </c>
      <c r="Y19" s="6">
        <f t="shared" si="11"/>
        <v>176.07167999999999</v>
      </c>
      <c r="Z19" s="6">
        <f t="shared" si="11"/>
        <v>217.88870399999999</v>
      </c>
      <c r="AA19" s="6">
        <f t="shared" si="11"/>
        <v>267.36759719999998</v>
      </c>
      <c r="AB19" t="s">
        <v>17</v>
      </c>
      <c r="AH19">
        <v>11</v>
      </c>
      <c r="AI19" t="s">
        <v>84</v>
      </c>
      <c r="AJ19" t="s">
        <v>89</v>
      </c>
      <c r="AK19" s="10">
        <f t="shared" si="6"/>
        <v>3</v>
      </c>
    </row>
    <row r="20" spans="1:37" x14ac:dyDescent="0.45">
      <c r="A20">
        <v>5</v>
      </c>
      <c r="B20" t="str">
        <f t="shared" si="0"/>
        <v>c 2 deg (67%).CF6</v>
      </c>
      <c r="C20">
        <f t="shared" si="1"/>
        <v>12</v>
      </c>
      <c r="D20" t="str">
        <f t="shared" ref="D20:E20" si="13">D16</f>
        <v>C3</v>
      </c>
      <c r="E20" t="str">
        <f t="shared" si="13"/>
        <v>C4</v>
      </c>
      <c r="F20" s="15" t="s">
        <v>148</v>
      </c>
      <c r="H20" t="s">
        <v>21</v>
      </c>
      <c r="J20" s="11">
        <f>SUMIFS(ar6_r10!$J$2:$J$999,ar6_r10!$A$2:$A$999,Veda!$D$5,ar6_r10!$C$2:$C$999,Veda!J$17,ar6_r10!$M$2:$M$999,Veda!$H20)</f>
        <v>0.48</v>
      </c>
      <c r="K20" s="11">
        <f>SUMIFS(ar6_r10!$J$2:$J$999,ar6_r10!$A$2:$A$999,Veda!$D$5,ar6_r10!$C$2:$C$999,Veda!K$17,ar6_r10!$M$2:$M$999,Veda!$H20)</f>
        <v>0.45</v>
      </c>
      <c r="L20" s="11">
        <f>SUMIFS(ar6_r10!$J$2:$J$999,ar6_r10!$A$2:$A$999,Veda!$D$5,ar6_r10!$C$2:$C$999,Veda!L$17,ar6_r10!$M$2:$M$999,Veda!$H20)</f>
        <v>0.42</v>
      </c>
      <c r="M20" s="11">
        <f>SUMIFS(ar6_r10!$J$2:$J$999,ar6_r10!$A$2:$A$999,Veda!$D$5,ar6_r10!$C$2:$C$999,Veda!M$17,ar6_r10!$M$2:$M$999,Veda!$H20)</f>
        <v>0.44</v>
      </c>
      <c r="N20" s="11">
        <f>SUMIFS(ar6_r10!$J$2:$J$999,ar6_r10!$A$2:$A$999,Veda!$D$5,ar6_r10!$C$2:$C$999,Veda!N$17,ar6_r10!$M$2:$M$999,Veda!$H20)</f>
        <v>0.44</v>
      </c>
      <c r="O20" s="11">
        <f>SUMIFS(ar6_r10!$J$2:$J$999,ar6_r10!$A$2:$A$999,Veda!$D$5,ar6_r10!$C$2:$C$999,Veda!O$17,ar6_r10!$M$2:$M$999,Veda!$H20)</f>
        <v>0.42</v>
      </c>
      <c r="P20" s="11">
        <f>SUMIFS(ar6_r10!$J$2:$J$999,ar6_r10!$A$2:$A$999,Veda!$D$5,ar6_r10!$C$2:$C$999,Veda!P$17,ar6_r10!$M$2:$M$999,Veda!$H20)</f>
        <v>0.4</v>
      </c>
      <c r="T20" s="10" t="s">
        <v>22</v>
      </c>
      <c r="U20" s="6">
        <f t="shared" si="11"/>
        <v>110.0448</v>
      </c>
      <c r="V20" s="6">
        <f t="shared" si="11"/>
        <v>123.80039999999998</v>
      </c>
      <c r="W20" s="6">
        <f t="shared" si="11"/>
        <v>149.24825999999999</v>
      </c>
      <c r="X20" s="6">
        <f t="shared" si="11"/>
        <v>181.57392000000002</v>
      </c>
      <c r="Y20" s="6">
        <f t="shared" si="11"/>
        <v>242.09855999999996</v>
      </c>
      <c r="Z20" s="6">
        <f t="shared" si="11"/>
        <v>277.31289599999997</v>
      </c>
      <c r="AA20" s="6">
        <f t="shared" si="11"/>
        <v>344.99044800000001</v>
      </c>
      <c r="AB20" t="s">
        <v>17</v>
      </c>
      <c r="AH20">
        <v>12</v>
      </c>
      <c r="AI20" t="s">
        <v>85</v>
      </c>
      <c r="AJ20" t="s">
        <v>94</v>
      </c>
      <c r="AK20" s="10">
        <f t="shared" si="6"/>
        <v>3</v>
      </c>
    </row>
    <row r="21" spans="1:37" x14ac:dyDescent="0.45">
      <c r="A21">
        <v>5</v>
      </c>
      <c r="H21" t="s">
        <v>23</v>
      </c>
      <c r="J21" s="11">
        <f>SUMIFS(ar6_r10!$J$2:$J$999,ar6_r10!$A$2:$A$999,Veda!$D$5,ar6_r10!$C$2:$C$999,Veda!J$17,ar6_r10!$M$2:$M$999,Veda!$H21)</f>
        <v>0.01</v>
      </c>
      <c r="K21" s="11">
        <f>SUMIFS(ar6_r10!$J$2:$J$999,ar6_r10!$A$2:$A$999,Veda!$D$5,ar6_r10!$C$2:$C$999,Veda!K$17,ar6_r10!$M$2:$M$999,Veda!$H21)</f>
        <v>0.01</v>
      </c>
      <c r="L21" s="11">
        <f>SUMIFS(ar6_r10!$J$2:$J$999,ar6_r10!$A$2:$A$999,Veda!$D$5,ar6_r10!$C$2:$C$999,Veda!L$17,ar6_r10!$M$2:$M$999,Veda!$H21)</f>
        <v>0.01</v>
      </c>
      <c r="M21" s="11">
        <f>SUMIFS(ar6_r10!$J$2:$J$999,ar6_r10!$A$2:$A$999,Veda!$D$5,ar6_r10!$C$2:$C$999,Veda!M$17,ar6_r10!$M$2:$M$999,Veda!$H21)</f>
        <v>0.02</v>
      </c>
      <c r="N21" s="11">
        <f>SUMIFS(ar6_r10!$J$2:$J$999,ar6_r10!$A$2:$A$999,Veda!$D$5,ar6_r10!$C$2:$C$999,Veda!N$17,ar6_r10!$M$2:$M$999,Veda!$H21)</f>
        <v>0.02</v>
      </c>
      <c r="O21" s="11">
        <f>SUMIFS(ar6_r10!$J$2:$J$999,ar6_r10!$A$2:$A$999,Veda!$D$5,ar6_r10!$C$2:$C$999,Veda!O$17,ar6_r10!$M$2:$M$999,Veda!$H21)</f>
        <v>0.03</v>
      </c>
      <c r="P21" s="11">
        <f>SUMIFS(ar6_r10!$J$2:$J$999,ar6_r10!$A$2:$A$999,Veda!$D$5,ar6_r10!$C$2:$C$999,Veda!P$17,ar6_r10!$M$2:$M$999,Veda!$H21)</f>
        <v>0.03</v>
      </c>
      <c r="T21" s="10" t="s">
        <v>24</v>
      </c>
      <c r="U21" s="6">
        <f>J21*U$14</f>
        <v>2.2925999999999997</v>
      </c>
      <c r="V21" s="6">
        <f t="shared" ref="V21:AA21" si="14">U21</f>
        <v>2.2925999999999997</v>
      </c>
      <c r="W21" s="6">
        <f t="shared" si="14"/>
        <v>2.2925999999999997</v>
      </c>
      <c r="X21" s="6">
        <f t="shared" si="14"/>
        <v>2.2925999999999997</v>
      </c>
      <c r="Y21" s="6">
        <f t="shared" si="14"/>
        <v>2.2925999999999997</v>
      </c>
      <c r="Z21" s="6">
        <f t="shared" si="14"/>
        <v>2.2925999999999997</v>
      </c>
      <c r="AA21" s="6">
        <f t="shared" si="14"/>
        <v>2.2925999999999997</v>
      </c>
      <c r="AB21" t="s">
        <v>17</v>
      </c>
      <c r="AD21" s="2" t="s">
        <v>20</v>
      </c>
      <c r="AK21" s="10">
        <f t="shared" si="6"/>
        <v>3</v>
      </c>
    </row>
    <row r="22" spans="1:37" x14ac:dyDescent="0.45">
      <c r="A22">
        <v>5</v>
      </c>
      <c r="T22" s="10" t="s">
        <v>25</v>
      </c>
      <c r="U22" s="6">
        <f t="shared" ref="U22:AA22" si="15">U14-SUM(U19:U21)</f>
        <v>18.340800000000002</v>
      </c>
      <c r="V22" s="6">
        <f t="shared" si="15"/>
        <v>30.72084000000001</v>
      </c>
      <c r="W22" s="6">
        <f t="shared" si="15"/>
        <v>82.99212</v>
      </c>
      <c r="X22" s="6">
        <f t="shared" si="15"/>
        <v>76.114320000000021</v>
      </c>
      <c r="Y22" s="6">
        <f t="shared" si="15"/>
        <v>129.76116000000002</v>
      </c>
      <c r="Z22" s="6">
        <f t="shared" si="15"/>
        <v>162.77459999999996</v>
      </c>
      <c r="AA22" s="6">
        <f t="shared" si="15"/>
        <v>247.82547479999994</v>
      </c>
      <c r="AB22" t="s">
        <v>17</v>
      </c>
      <c r="AK22" s="10">
        <f t="shared" si="6"/>
        <v>3</v>
      </c>
    </row>
    <row r="23" spans="1:37" x14ac:dyDescent="0.45">
      <c r="A23">
        <v>5</v>
      </c>
      <c r="T23" t="s">
        <v>26</v>
      </c>
      <c r="AK23" s="10">
        <f t="shared" si="6"/>
        <v>3</v>
      </c>
    </row>
    <row r="24" spans="1:37" ht="14.65" customHeight="1" x14ac:dyDescent="0.45">
      <c r="A24">
        <v>5</v>
      </c>
      <c r="H24" s="10" t="s">
        <v>27</v>
      </c>
      <c r="J24" s="8">
        <v>0</v>
      </c>
      <c r="K24" s="8">
        <v>0</v>
      </c>
      <c r="L24" s="8">
        <f>SUMIFS(ar6_r10!$F$2:$F$999,ar6_r10!$A$2:$A$999,$E$5,ar6_r10!$C$2:$C$999,Veda!L$17,ar6_r10!$M$2:$M$999,Veda!$H24)/4</f>
        <v>0</v>
      </c>
      <c r="M24" s="8">
        <f>SUMIFS(ar6_r10!$F$2:$F$999,ar6_r10!$A$2:$A$999,$E$5,ar6_r10!$C$2:$C$999,Veda!M$17,ar6_r10!$M$2:$M$999,Veda!$H24)/1.6</f>
        <v>0</v>
      </c>
      <c r="N24" s="8">
        <f>SUMIFS(ar6_r10!$F$2:$F$999,ar6_r10!$A$2:$A$999,$E$5,ar6_r10!$C$2:$C$999,Veda!N$17,ar6_r10!$M$2:$M$999,Veda!$H24)/1.3</f>
        <v>0</v>
      </c>
      <c r="O24" s="8">
        <f>SUMIFS(ar6_r10!$F$2:$F$999,ar6_r10!$A$2:$A$999,$E$5,ar6_r10!$C$2:$C$999,Veda!O$17,ar6_r10!$M$2:$M$999,Veda!$H24)/1.2</f>
        <v>0.33333333333333337</v>
      </c>
      <c r="P24" s="8">
        <f>SUMIFS(ar6_r10!$F$2:$F$999,ar6_r10!$A$2:$A$999,$E$5,ar6_r10!$C$2:$C$999,Veda!P$17,ar6_r10!$M$2:$M$999,Veda!$H24)/1.2</f>
        <v>0</v>
      </c>
      <c r="T24" t="s">
        <v>28</v>
      </c>
      <c r="V24"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3.3333333333333338E-4</v>
      </c>
      <c r="AA24" s="11">
        <f>P24/1000</f>
        <v>0</v>
      </c>
      <c r="AB24" t="s">
        <v>29</v>
      </c>
      <c r="AK24" s="10">
        <f t="shared" si="6"/>
        <v>4</v>
      </c>
    </row>
    <row r="25" spans="1:37" ht="14.65" customHeight="1" x14ac:dyDescent="0.45">
      <c r="A25">
        <v>5</v>
      </c>
      <c r="AK25" s="10">
        <f t="shared" si="6"/>
        <v>4</v>
      </c>
    </row>
    <row r="26" spans="1:37" ht="17.649999999999999" customHeight="1" thickBot="1" x14ac:dyDescent="0.6">
      <c r="A26">
        <v>5</v>
      </c>
      <c r="T26" s="5" t="s">
        <v>12</v>
      </c>
      <c r="AK26" s="10">
        <f t="shared" si="6"/>
        <v>4</v>
      </c>
    </row>
    <row r="27" spans="1:37" ht="15" customHeight="1" thickTop="1" thickBot="1" x14ac:dyDescent="0.5">
      <c r="A27">
        <v>5</v>
      </c>
      <c r="T27" s="4" t="s">
        <v>30</v>
      </c>
      <c r="U27" s="4">
        <f t="shared" ref="U27:AA27" si="16">U17</f>
        <v>2022</v>
      </c>
      <c r="V27" s="4">
        <f t="shared" si="16"/>
        <v>2025</v>
      </c>
      <c r="W27" s="4">
        <f t="shared" si="16"/>
        <v>2030</v>
      </c>
      <c r="X27" s="4">
        <f t="shared" si="16"/>
        <v>2035</v>
      </c>
      <c r="Y27" s="4">
        <f t="shared" si="16"/>
        <v>2040</v>
      </c>
      <c r="Z27" s="4">
        <f t="shared" si="16"/>
        <v>2045</v>
      </c>
      <c r="AA27" s="4">
        <f t="shared" si="16"/>
        <v>2050</v>
      </c>
      <c r="AB27" s="4" t="s">
        <v>14</v>
      </c>
      <c r="AC27" s="4" t="s">
        <v>31</v>
      </c>
      <c r="AK27" s="10">
        <f t="shared" si="6"/>
        <v>4</v>
      </c>
    </row>
    <row r="28" spans="1:37" ht="14.65" customHeight="1" thickBot="1" x14ac:dyDescent="0.5">
      <c r="A28">
        <v>5</v>
      </c>
      <c r="R28" s="3">
        <f>SUMIFS(iea_data!G3:G9999,iea_data!$B$3:$B$9999,Veda!$T$11)</f>
        <v>10.76</v>
      </c>
      <c r="T28" t="s">
        <v>32</v>
      </c>
      <c r="U28" s="3">
        <f>R28</f>
        <v>10.76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6"/>
        <v>4</v>
      </c>
    </row>
    <row r="29" spans="1:37" ht="15" customHeight="1" thickTop="1" thickBot="1" x14ac:dyDescent="0.5">
      <c r="A29">
        <v>5</v>
      </c>
      <c r="R29" s="3">
        <f>SUMIFS(iea_data!H3:H9999,iea_data!$B$3:$B$9999,Veda!$T$11)</f>
        <v>-12.27</v>
      </c>
      <c r="T29" t="s">
        <v>35</v>
      </c>
      <c r="U29" s="3">
        <f>-1*R29</f>
        <v>12.27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6"/>
        <v>5</v>
      </c>
    </row>
    <row r="30" spans="1:37" ht="14.65" customHeight="1" thickTop="1" x14ac:dyDescent="0.45">
      <c r="A30">
        <v>5</v>
      </c>
      <c r="AK30" s="10">
        <f t="shared" si="6"/>
        <v>5</v>
      </c>
    </row>
    <row r="31" spans="1:37" x14ac:dyDescent="0.45">
      <c r="A31">
        <v>5</v>
      </c>
      <c r="AK31" s="10">
        <f t="shared" si="6"/>
        <v>5</v>
      </c>
    </row>
    <row r="32" spans="1:37" x14ac:dyDescent="0.45">
      <c r="A32">
        <v>5</v>
      </c>
      <c r="AK32" s="10">
        <f t="shared" si="6"/>
        <v>5</v>
      </c>
    </row>
    <row r="33" spans="1:37" x14ac:dyDescent="0.45">
      <c r="A33">
        <v>5</v>
      </c>
      <c r="AK33" s="10">
        <f t="shared" si="6"/>
        <v>5</v>
      </c>
    </row>
    <row r="34" spans="1:37" x14ac:dyDescent="0.45">
      <c r="A34">
        <v>5</v>
      </c>
      <c r="AK34" s="10">
        <f t="shared" si="6"/>
        <v>6</v>
      </c>
    </row>
    <row r="35" spans="1:37" x14ac:dyDescent="0.45">
      <c r="A35">
        <v>5</v>
      </c>
      <c r="AK35" s="10">
        <f t="shared" si="6"/>
        <v>6</v>
      </c>
    </row>
    <row r="36" spans="1:37" x14ac:dyDescent="0.45">
      <c r="A36">
        <v>5</v>
      </c>
      <c r="H36" s="2" t="s">
        <v>9</v>
      </c>
      <c r="AK36" s="10">
        <f t="shared" si="6"/>
        <v>6</v>
      </c>
    </row>
    <row r="37" spans="1:37" x14ac:dyDescent="0.45">
      <c r="A37">
        <v>5</v>
      </c>
      <c r="H37" t="s">
        <v>74</v>
      </c>
      <c r="J37" s="11">
        <f>SUMIFS(ar6_r10!$J$2:$J$999,ar6_r10!$A$2:$A$999,Veda!$H$36,ar6_r10!$C$2:$C$999,Veda!J$17,ar6_r10!$M$2:$M$999,Veda!$H37)</f>
        <v>1</v>
      </c>
      <c r="K37" s="11">
        <f>J37</f>
        <v>1</v>
      </c>
      <c r="L37" s="11">
        <f>K37*(1+$R37)^5</f>
        <v>1.0510100500999999</v>
      </c>
      <c r="M37" s="11">
        <f t="shared" ref="M37:P37" si="17">L37*(1+$R37)^5</f>
        <v>1.1046221254112043</v>
      </c>
      <c r="N37" s="11">
        <f t="shared" si="17"/>
        <v>1.1609689553699982</v>
      </c>
      <c r="O37" s="11">
        <f t="shared" si="17"/>
        <v>1.2201900399479664</v>
      </c>
      <c r="P37" s="11">
        <f t="shared" si="17"/>
        <v>1.2824319950172332</v>
      </c>
      <c r="R37">
        <v>0.01</v>
      </c>
      <c r="AK37" s="10">
        <f t="shared" si="6"/>
        <v>6</v>
      </c>
    </row>
    <row r="38" spans="1:37" x14ac:dyDescent="0.45">
      <c r="A38">
        <v>5</v>
      </c>
      <c r="H38" t="s">
        <v>75</v>
      </c>
      <c r="J38" s="11">
        <f>SUMIFS(ar6_r10!$J$2:$J$999,ar6_r10!$A$2:$A$999,Veda!$H$36,ar6_r10!$C$2:$C$999,Veda!J$17,ar6_r10!$M$2:$M$999,Veda!$H38)</f>
        <v>1</v>
      </c>
      <c r="K38" s="11">
        <f t="shared" ref="K38:P38" si="18">J38</f>
        <v>1</v>
      </c>
      <c r="L38" s="11">
        <f t="shared" si="18"/>
        <v>1</v>
      </c>
      <c r="M38" s="11">
        <f t="shared" si="18"/>
        <v>1</v>
      </c>
      <c r="N38" s="11">
        <f t="shared" si="18"/>
        <v>1</v>
      </c>
      <c r="O38" s="11">
        <f t="shared" si="18"/>
        <v>1</v>
      </c>
      <c r="P38" s="11">
        <f t="shared" si="18"/>
        <v>1</v>
      </c>
      <c r="AK38" s="10">
        <f t="shared" si="6"/>
        <v>6</v>
      </c>
    </row>
    <row r="39" spans="1:37" x14ac:dyDescent="0.45">
      <c r="A39">
        <v>5</v>
      </c>
      <c r="H39" t="s">
        <v>76</v>
      </c>
      <c r="J39" s="11">
        <f>SUMIFS(ar6_r10!$J$2:$J$999,ar6_r10!$A$2:$A$999,Veda!$H$36,ar6_r10!$C$2:$C$999,Veda!J$17,ar6_r10!$M$2:$M$999,Veda!$H39)</f>
        <v>1</v>
      </c>
      <c r="K39" s="11">
        <f t="shared" ref="K39:P39" si="19">J39</f>
        <v>1</v>
      </c>
      <c r="L39" s="11">
        <f t="shared" si="19"/>
        <v>1</v>
      </c>
      <c r="M39" s="11">
        <f t="shared" si="19"/>
        <v>1</v>
      </c>
      <c r="N39" s="11">
        <f t="shared" si="19"/>
        <v>1</v>
      </c>
      <c r="O39" s="11">
        <f t="shared" si="19"/>
        <v>1</v>
      </c>
      <c r="P39" s="11">
        <f t="shared" si="19"/>
        <v>1</v>
      </c>
      <c r="AK39" s="10">
        <f t="shared" si="6"/>
        <v>7</v>
      </c>
    </row>
    <row r="40" spans="1:37" x14ac:dyDescent="0.45">
      <c r="A40">
        <v>5</v>
      </c>
      <c r="H40" t="s">
        <v>77</v>
      </c>
      <c r="J40" s="11">
        <f>SUMIFS(ar6_r10!$J$2:$J$999,ar6_r10!$A$2:$A$999,Veda!$H$36,ar6_r10!$C$2:$C$999,Veda!J$17,ar6_r10!$M$2:$M$999,Veda!$H40)</f>
        <v>1</v>
      </c>
      <c r="K40" s="11">
        <f t="shared" ref="K40:P40" si="20">J40</f>
        <v>1</v>
      </c>
      <c r="L40" s="11">
        <f t="shared" si="20"/>
        <v>1</v>
      </c>
      <c r="M40" s="11">
        <f t="shared" si="20"/>
        <v>1</v>
      </c>
      <c r="N40" s="11">
        <f t="shared" si="20"/>
        <v>1</v>
      </c>
      <c r="O40" s="11">
        <f t="shared" si="20"/>
        <v>1</v>
      </c>
      <c r="P40" s="11">
        <f t="shared" si="20"/>
        <v>1</v>
      </c>
      <c r="AK40" s="10">
        <f t="shared" si="6"/>
        <v>7</v>
      </c>
    </row>
    <row r="41" spans="1:37" x14ac:dyDescent="0.45">
      <c r="A41">
        <v>5</v>
      </c>
      <c r="AK41" s="10">
        <f t="shared" si="6"/>
        <v>7</v>
      </c>
    </row>
    <row r="42" spans="1:37" x14ac:dyDescent="0.45">
      <c r="A42">
        <v>5</v>
      </c>
      <c r="AK42" s="10">
        <f t="shared" si="6"/>
        <v>7</v>
      </c>
    </row>
    <row r="43" spans="1:37" x14ac:dyDescent="0.45">
      <c r="A43">
        <v>5</v>
      </c>
      <c r="H43" t="s">
        <v>101</v>
      </c>
      <c r="AK43" s="10">
        <f t="shared" si="6"/>
        <v>7</v>
      </c>
    </row>
    <row r="44" spans="1:37" x14ac:dyDescent="0.45">
      <c r="A44">
        <v>5</v>
      </c>
      <c r="H44" t="s">
        <v>13</v>
      </c>
      <c r="I44" t="s">
        <v>87</v>
      </c>
      <c r="J44">
        <v>2022</v>
      </c>
      <c r="K44">
        <f>K17</f>
        <v>2025</v>
      </c>
      <c r="L44">
        <f t="shared" ref="L44:P44" si="21">L17</f>
        <v>2030</v>
      </c>
      <c r="M44">
        <f t="shared" si="21"/>
        <v>2035</v>
      </c>
      <c r="N44">
        <f t="shared" si="21"/>
        <v>2040</v>
      </c>
      <c r="O44">
        <f t="shared" si="21"/>
        <v>2045</v>
      </c>
      <c r="P44">
        <f t="shared" si="21"/>
        <v>2050</v>
      </c>
      <c r="S44" t="s">
        <v>82</v>
      </c>
      <c r="T44" t="s">
        <v>83</v>
      </c>
      <c r="AK44" s="10">
        <f t="shared" si="6"/>
        <v>8</v>
      </c>
    </row>
    <row r="45" spans="1:37" x14ac:dyDescent="0.45">
      <c r="A45">
        <v>5</v>
      </c>
      <c r="H45" t="s">
        <v>78</v>
      </c>
      <c r="I45" t="str">
        <f>H45</f>
        <v>Gas</v>
      </c>
      <c r="J45">
        <f t="shared" ref="J45:P48" si="22">AVERAGE($S45:$T45)*J37</f>
        <v>45</v>
      </c>
      <c r="K45">
        <f t="shared" si="22"/>
        <v>45</v>
      </c>
      <c r="L45">
        <f t="shared" si="22"/>
        <v>47.295452254499999</v>
      </c>
      <c r="M45">
        <f t="shared" si="22"/>
        <v>49.707995643504191</v>
      </c>
      <c r="N45">
        <f t="shared" si="22"/>
        <v>52.243602991649922</v>
      </c>
      <c r="O45">
        <f t="shared" si="22"/>
        <v>54.90855179765849</v>
      </c>
      <c r="P45">
        <f t="shared" si="22"/>
        <v>57.709439775775493</v>
      </c>
      <c r="S45">
        <f>HLOOKUP($H45&amp;"_"&amp;S$44,fuel_prices!$B$10:$I$11,2,FALSE)</f>
        <v>45</v>
      </c>
      <c r="T45">
        <f>HLOOKUP($H45&amp;"_"&amp;T$44,fuel_prices!$B$10:$I$11,2,FALSE)</f>
        <v>45</v>
      </c>
      <c r="AK45" s="10">
        <f t="shared" si="6"/>
        <v>8</v>
      </c>
    </row>
    <row r="46" spans="1:37" x14ac:dyDescent="0.45">
      <c r="A46">
        <v>5</v>
      </c>
      <c r="H46" t="s">
        <v>79</v>
      </c>
      <c r="I46" t="str">
        <f t="shared" ref="I46:I48" si="23">H46</f>
        <v>Coal</v>
      </c>
      <c r="J46">
        <f t="shared" si="22"/>
        <v>4.68</v>
      </c>
      <c r="K46">
        <f t="shared" si="22"/>
        <v>4.68</v>
      </c>
      <c r="L46">
        <f t="shared" si="22"/>
        <v>4.68</v>
      </c>
      <c r="M46">
        <f t="shared" si="22"/>
        <v>4.68</v>
      </c>
      <c r="N46">
        <f t="shared" si="22"/>
        <v>4.68</v>
      </c>
      <c r="O46">
        <f t="shared" si="22"/>
        <v>4.68</v>
      </c>
      <c r="P46">
        <f t="shared" si="22"/>
        <v>4.68</v>
      </c>
      <c r="S46">
        <f>HLOOKUP($H46&amp;"_"&amp;S$44,fuel_prices!$B$10:$I$11,2,FALSE)</f>
        <v>4.32</v>
      </c>
      <c r="T46">
        <f>HLOOKUP($H46&amp;"_"&amp;T$44,fuel_prices!$B$10:$I$11,2,FALSE)</f>
        <v>5.04</v>
      </c>
      <c r="AK46" s="10">
        <f t="shared" si="6"/>
        <v>8</v>
      </c>
    </row>
    <row r="47" spans="1:37" x14ac:dyDescent="0.45">
      <c r="A47">
        <v>5</v>
      </c>
      <c r="H47" t="s">
        <v>80</v>
      </c>
      <c r="I47" t="str">
        <f t="shared" si="23"/>
        <v>Oil</v>
      </c>
      <c r="J47">
        <f t="shared" si="22"/>
        <v>79.2</v>
      </c>
      <c r="K47">
        <f t="shared" si="22"/>
        <v>79.2</v>
      </c>
      <c r="L47">
        <f t="shared" si="22"/>
        <v>79.2</v>
      </c>
      <c r="M47">
        <f t="shared" si="22"/>
        <v>79.2</v>
      </c>
      <c r="N47">
        <f t="shared" si="22"/>
        <v>79.2</v>
      </c>
      <c r="O47">
        <f t="shared" si="22"/>
        <v>79.2</v>
      </c>
      <c r="P47">
        <f t="shared" si="22"/>
        <v>79.2</v>
      </c>
      <c r="S47">
        <f>HLOOKUP($H47&amp;"_"&amp;S$44,fuel_prices!$B$10:$I$11,2,FALSE)</f>
        <v>79.2</v>
      </c>
      <c r="T47">
        <f>HLOOKUP($H47&amp;"_"&amp;T$44,fuel_prices!$B$10:$I$11,2,FALSE)</f>
        <v>79.2</v>
      </c>
      <c r="AK47" s="10">
        <f t="shared" si="6"/>
        <v>8</v>
      </c>
    </row>
    <row r="48" spans="1:37" x14ac:dyDescent="0.45">
      <c r="A48">
        <v>5</v>
      </c>
      <c r="H48" t="s">
        <v>81</v>
      </c>
      <c r="I48" t="str">
        <f t="shared" si="23"/>
        <v>Bioenergy</v>
      </c>
      <c r="J48">
        <f t="shared" si="22"/>
        <v>22</v>
      </c>
      <c r="P48">
        <f>VLOOKUP($D$5,$AL$9:$AN$15,3,FALSE)*J48</f>
        <v>66</v>
      </c>
      <c r="S48">
        <f>HLOOKUP($H48&amp;"_"&amp;S$44,fuel_prices!$B$10:$I$11,2,FALSE)</f>
        <v>18</v>
      </c>
      <c r="T48">
        <f>HLOOKUP($H48&amp;"_"&amp;T$44,fuel_prices!$B$10:$I$11,2,FALSE)</f>
        <v>26</v>
      </c>
      <c r="AK48" s="10">
        <f t="shared" si="6"/>
        <v>8</v>
      </c>
    </row>
    <row r="49" spans="37:37" x14ac:dyDescent="0.45">
      <c r="AK49" s="10">
        <f t="shared" si="6"/>
        <v>9</v>
      </c>
    </row>
    <row r="50" spans="37:37" x14ac:dyDescent="0.45">
      <c r="AK50" s="10">
        <f t="shared" si="6"/>
        <v>9</v>
      </c>
    </row>
    <row r="51" spans="37:37" x14ac:dyDescent="0.45">
      <c r="AK51" s="10">
        <f t="shared" si="6"/>
        <v>9</v>
      </c>
    </row>
    <row r="52" spans="37:37" x14ac:dyDescent="0.45">
      <c r="AK52" s="10">
        <f t="shared" si="6"/>
        <v>9</v>
      </c>
    </row>
    <row r="53" spans="37:37" x14ac:dyDescent="0.45">
      <c r="AK53" s="10">
        <f t="shared" si="6"/>
        <v>9</v>
      </c>
    </row>
    <row r="54" spans="37:37" x14ac:dyDescent="0.45">
      <c r="AK54" s="10">
        <f t="shared" si="6"/>
        <v>10</v>
      </c>
    </row>
    <row r="55" spans="37:37" x14ac:dyDescent="0.45">
      <c r="AK55" s="10">
        <f t="shared" si="6"/>
        <v>10</v>
      </c>
    </row>
    <row r="56" spans="37:37" x14ac:dyDescent="0.45">
      <c r="AK56" s="10">
        <f t="shared" si="6"/>
        <v>10</v>
      </c>
    </row>
    <row r="57" spans="37:37" x14ac:dyDescent="0.45">
      <c r="AK57" s="10">
        <f t="shared" si="6"/>
        <v>10</v>
      </c>
    </row>
    <row r="58" spans="37:37" x14ac:dyDescent="0.45">
      <c r="AK58" s="10">
        <f t="shared" si="6"/>
        <v>10</v>
      </c>
    </row>
    <row r="59" spans="37:37" x14ac:dyDescent="0.45">
      <c r="AK59" s="10">
        <f t="shared" si="6"/>
        <v>11</v>
      </c>
    </row>
    <row r="60" spans="37:37" x14ac:dyDescent="0.45">
      <c r="AK60" s="10">
        <f t="shared" si="6"/>
        <v>11</v>
      </c>
    </row>
    <row r="61" spans="37:37" x14ac:dyDescent="0.45">
      <c r="AK61" s="10">
        <f t="shared" si="6"/>
        <v>11</v>
      </c>
    </row>
    <row r="62" spans="37:37" x14ac:dyDescent="0.45">
      <c r="AK62" s="10">
        <f t="shared" si="6"/>
        <v>11</v>
      </c>
    </row>
    <row r="63" spans="37:37" x14ac:dyDescent="0.45">
      <c r="AK63" s="10">
        <f t="shared" si="6"/>
        <v>11</v>
      </c>
    </row>
    <row r="64" spans="37:37" x14ac:dyDescent="0.45">
      <c r="AK64" s="10">
        <f t="shared" si="6"/>
        <v>12</v>
      </c>
    </row>
    <row r="65" spans="37:37" x14ac:dyDescent="0.45">
      <c r="AK65" s="10">
        <f t="shared" si="6"/>
        <v>12</v>
      </c>
    </row>
    <row r="66" spans="37:37" x14ac:dyDescent="0.45">
      <c r="AK66" s="10">
        <f t="shared" si="6"/>
        <v>12</v>
      </c>
    </row>
    <row r="67" spans="37:37" x14ac:dyDescent="0.45">
      <c r="AK67" s="10">
        <f t="shared" si="6"/>
        <v>12</v>
      </c>
    </row>
    <row r="68" spans="37:37" x14ac:dyDescent="0.45">
      <c r="AK68" s="10">
        <f t="shared" si="6"/>
        <v>12</v>
      </c>
    </row>
    <row r="69" spans="37:37" x14ac:dyDescent="0.45">
      <c r="AK69" s="10">
        <f t="shared" si="6"/>
        <v>13</v>
      </c>
    </row>
    <row r="70" spans="37:37" x14ac:dyDescent="0.45">
      <c r="AK70" s="10">
        <f t="shared" si="6"/>
        <v>13</v>
      </c>
    </row>
    <row r="71" spans="37:37" x14ac:dyDescent="0.45">
      <c r="AK71" s="10">
        <f t="shared" si="6"/>
        <v>13</v>
      </c>
    </row>
    <row r="72" spans="37:37" x14ac:dyDescent="0.45">
      <c r="AK72" s="10">
        <f t="shared" si="6"/>
        <v>13</v>
      </c>
    </row>
    <row r="73" spans="37:37" x14ac:dyDescent="0.45">
      <c r="AK73" s="10">
        <f t="shared" si="6"/>
        <v>13</v>
      </c>
    </row>
    <row r="74" spans="37:37" x14ac:dyDescent="0.45">
      <c r="AK74" s="10">
        <f t="shared" si="6"/>
        <v>14</v>
      </c>
    </row>
    <row r="75" spans="37:37" x14ac:dyDescent="0.45">
      <c r="AK75" s="10">
        <f t="shared" si="6"/>
        <v>14</v>
      </c>
    </row>
    <row r="76" spans="37:37" x14ac:dyDescent="0.45">
      <c r="AK76" s="10">
        <f t="shared" si="6"/>
        <v>14</v>
      </c>
    </row>
    <row r="77" spans="37:37" x14ac:dyDescent="0.45">
      <c r="AK77" s="10">
        <f t="shared" si="6"/>
        <v>14</v>
      </c>
    </row>
    <row r="78" spans="37:37" x14ac:dyDescent="0.45">
      <c r="AK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CF3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1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*1</v>
      </c>
      <c r="H18" t="str">
        <f>"*"&amp;H14</f>
        <v>*1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2" sqref="B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12.5*3.6</f>
        <v>45</v>
      </c>
      <c r="C11">
        <f>B11</f>
        <v>45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2026-05-27T08:42:45Z</dcterms:modified>
</cp:coreProperties>
</file>